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7.xml" ContentType="application/vnd.openxmlformats-officedocument.spreadsheetml.worksheet+xml"/>
  <Override PartName="/xl/pivotTables/pivotTable5.xml" ContentType="application/vnd.openxmlformats-officedocument.spreadsheetml.pivotTable+xml"/>
  <Override PartName="/xl/pivotCache/pivotCacheDefinition5.xml" ContentType="application/vnd.openxmlformats-officedocument.spreadsheetml.pivotCacheDefinition+xml"/>
  <Override PartName="/xl/worksheets/sheet8.xml" ContentType="application/vnd.openxmlformats-officedocument.spreadsheetml.worksheet+xml"/>
  <Override PartName="/xl/pivotTables/pivotTable6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worksheets/sheet9.xml" ContentType="application/vnd.openxmlformats-officedocument.spreadsheetml.worksheet+xml"/>
  <Override PartName="/xl/pivotTables/pivotTable7.xml" ContentType="application/vnd.openxmlformats-officedocument.spreadsheetml.pivotTable+xml"/>
  <Override PartName="/xl/pivotCache/pivotCacheDefinition7.xml" ContentType="application/vnd.openxmlformats-officedocument.spreadsheetml.pivotCacheDefinition+xml"/>
  <Override PartName="/xl/worksheets/sheet10.xml" ContentType="application/vnd.openxmlformats-officedocument.spreadsheetml.worksheet+xml"/>
  <Override PartName="/xl/pivotTables/pivotTable8.xml" ContentType="application/vnd.openxmlformats-officedocument.spreadsheetml.pivotTable+xml"/>
  <Override PartName="/xl/pivotCache/pivotCacheDefinition8.xml" ContentType="application/vnd.openxmlformats-officedocument.spreadsheetml.pivotCacheDefinition+xml"/>
  <Override PartName="/xl/worksheets/sheet11.xml" ContentType="application/vnd.openxmlformats-officedocument.spreadsheetml.worksheet+xml"/>
  <Override PartName="/xl/pivotTables/pivotTable9.xml" ContentType="application/vnd.openxmlformats-officedocument.spreadsheetml.pivotTable+xml"/>
  <Override PartName="/xl/pivotCache/pivotCacheDefinition9.xml" ContentType="application/vnd.openxmlformats-officedocument.spreadsheetml.pivotCacheDefinition+xml"/>
  <Override PartName="/xl/worksheets/sheet12.xml" ContentType="application/vnd.openxmlformats-officedocument.spreadsheetml.worksheet+xml"/>
  <Override PartName="/xl/pivotTables/pivotTable10.xml" ContentType="application/vnd.openxmlformats-officedocument.spreadsheetml.pivotTable+xml"/>
  <Override PartName="/xl/pivotCache/pivotCacheDefinition10.xml" ContentType="application/vnd.openxmlformats-officedocument.spreadsheetml.pivotCacheDefinition+xml"/>
  <Override PartName="/xl/worksheets/sheet13.xml" ContentType="application/vnd.openxmlformats-officedocument.spreadsheetml.worksheet+xml"/>
  <Override PartName="/xl/pivotTables/pivotTable11.xml" ContentType="application/vnd.openxmlformats-officedocument.spreadsheetml.pivotTable+xml"/>
  <Override PartName="/xl/pivotCache/pivotCacheDefinition11.xml" ContentType="application/vnd.openxmlformats-officedocument.spreadsheetml.pivotCacheDefinition+xml"/>
  <Override PartName="/xl/worksheets/sheet14.xml" ContentType="application/vnd.openxmlformats-officedocument.spreadsheetml.worksheet+xml"/>
  <Override PartName="/xl/pivotTables/pivotTable12.xml" ContentType="application/vnd.openxmlformats-officedocument.spreadsheetml.pivotTable+xml"/>
  <Override PartName="/xl/pivotCache/pivotCacheDefinition12.xml" ContentType="application/vnd.openxmlformats-officedocument.spreadsheetml.pivotCacheDefinition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年中复盘" sheetId="2" r:id="rId5"/>
    <sheet name="2026年10月" sheetId="3" r:id="rId6"/>
    <sheet name="2026年9月" sheetId="4" r:id="rId7"/>
    <sheet name="2026年8月" sheetId="5" r:id="rId10"/>
    <sheet name="2026年7月" sheetId="6" r:id="rId12"/>
    <sheet name="2026年6月" sheetId="7" r:id="rId14"/>
    <sheet name="2026年5月" sheetId="8" r:id="rId16"/>
    <sheet name="2026年4月" sheetId="9" r:id="rId18"/>
    <sheet name="2026年3月" sheetId="10" r:id="rId20"/>
    <sheet name="2026年2月" sheetId="11" r:id="rId22"/>
    <sheet name="2026年1月" sheetId="12" r:id="rId24"/>
    <sheet name="2025年12月" sheetId="13" r:id="rId26"/>
    <sheet name="2025年11月" sheetId="14" r:id="rId28"/>
    <sheet name="2025年10月" sheetId="15" r:id="rId30"/>
    <sheet name="2025年9月" sheetId="16" r:id="rId31"/>
    <sheet name="2025年8月" sheetId="17" r:id="rId32"/>
    <sheet name="2025年7月" sheetId="18" r:id="rId33"/>
    <sheet name="2025年6月" sheetId="19" r:id="rId34"/>
    <sheet name="2025年5月" sheetId="20" r:id="rId35"/>
    <sheet name="2025年4月" sheetId="21" r:id="rId36"/>
    <sheet name="2025年3月" sheetId="22" r:id="rId37"/>
  </sheets>
  <calcPr calcMode="auto"/>
  <pivotCaches>
    <pivotCache cacheId="1" r:id="rId8"/>
    <pivotCache cacheId="2" r:id="rId9"/>
    <pivotCache cacheId="3" r:id="rId11"/>
    <pivotCache cacheId="4" r:id="rId13"/>
    <pivotCache cacheId="5" r:id="rId15"/>
    <pivotCache cacheId="6" r:id="rId17"/>
    <pivotCache cacheId="7" r:id="rId19"/>
    <pivotCache cacheId="8" r:id="rId21"/>
    <pivotCache cacheId="9" r:id="rId23"/>
    <pivotCache cacheId="10" r:id="rId25"/>
    <pivotCache cacheId="11" r:id="rId27"/>
    <pivotCache cacheId="12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<sst xmlns="http://schemas.openxmlformats.org/spreadsheetml/2006/main" count="1137" uniqueCount="1137">
  <si>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</si>
  <si>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</si>
  <si>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</si>
  <si>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</si>
  <si>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</si>
  <si>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</si>
  <si>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</si>
  <si>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</si>
  <si>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</si>
  <si>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</si>
  <si>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</si>
  <si>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</si>
  <si>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</si>
  <si>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</si>
  <si>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</si>
  <si>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/>
  </si>
  <si>
    <t xml:space="preserve">卢林琰</t>
  </si>
  <si>
    <t xml:space="preserve">06:00-11:00</t>
  </si>
  <si>
    <t xml:space="preserve">杨智勇</t>
  </si>
  <si>
    <t xml:space="preserve">11:00-16:00</t>
  </si>
  <si>
    <t xml:space="preserve">武慧聪</t>
  </si>
  <si>
    <t xml:space="preserve">16:00-21:00</t>
  </si>
  <si>
    <t xml:space="preserve">尹小雨</t>
  </si>
  <si>
    <t xml:space="preserve">21:00-02:00</t>
  </si>
  <si>
    <t xml:space="preserve">李雅琪</t>
  </si>
  <si>
    <t xml:space="preserve">16:00-18:00</t>
  </si>
  <si>
    <t xml:space="preserve">18:00-21:00</t>
  </si>
  <si>
    <t xml:space="preserve">06:00-12:00</t>
  </si>
  <si>
    <t xml:space="preserve">12:00-18:00</t>
  </si>
  <si>
    <t xml:space="preserve">18:00-24:00</t>
  </si>
  <si>
    <t xml:space="preserve">11:00-15:00</t>
  </si>
  <si>
    <t xml:space="preserve">15:00-19:00</t>
  </si>
  <si>
    <t xml:space="preserve">何钰梦</t>
  </si>
  <si>
    <t xml:space="preserve">19:00-21:00</t>
  </si>
  <si>
    <t xml:space="preserve">06:00-10:00</t>
  </si>
  <si>
    <t xml:space="preserve">10:00-15:00</t>
  </si>
  <si>
    <t xml:space="preserve">12:00-16:00</t>
  </si>
  <si>
    <t xml:space="preserve">21:00-23:00</t>
  </si>
  <si>
    <t xml:space="preserve">06:00-09:00</t>
  </si>
  <si>
    <t xml:space="preserve">09:00-15:00</t>
  </si>
  <si>
    <t xml:space="preserve">15:00-21:00</t>
  </si>
  <si>
    <t xml:space="preserve">胡天韵</t>
  </si>
  <si>
    <t xml:space="preserve">16:00-19:00</t>
  </si>
  <si>
    <t xml:space="preserve">11:00-15:34</t>
  </si>
  <si>
    <t xml:space="preserve">17:00-21:00</t>
  </si>
  <si>
    <t xml:space="preserve">16:00-20:00</t>
  </si>
  <si>
    <t xml:space="preserve">20:00-01:00</t>
  </si>
  <si>
    <t xml:space="preserve">19:00-24:00</t>
  </si>
  <si>
    <t xml:space="preserve">安宁</t>
  </si>
  <si>
    <t xml:space="preserve">09:00-13:00</t>
  </si>
  <si>
    <t xml:space="preserve">13:00-17:00</t>
  </si>
  <si>
    <t xml:space="preserve">09:00-14:00</t>
  </si>
  <si>
    <t xml:space="preserve">10:00-13:00</t>
  </si>
  <si>
    <t xml:space="preserve">14:00-19:00</t>
  </si>
  <si>
    <t xml:space="preserve">10:00-16:00</t>
  </si>
  <si>
    <t xml:space="preserve">21:00-22:00</t>
  </si>
  <si>
    <t xml:space="preserve">冯雅雯</t>
  </si>
  <si>
    <t xml:space="preserve">11:00-13:00</t>
  </si>
  <si>
    <t xml:space="preserve">13:00-18:00</t>
  </si>
  <si>
    <t xml:space="preserve">15:00-17:00</t>
  </si>
  <si>
    <t xml:space="preserve">孙紫欣</t>
  </si>
  <si>
    <t xml:space="preserve">18:00-22:00</t>
  </si>
  <si>
    <t xml:space="preserve">22:00-02:00</t>
  </si>
  <si>
    <t xml:space="preserve">10:00-14:00</t>
  </si>
  <si>
    <t xml:space="preserve">14:00-18:00</t>
  </si>
  <si>
    <t xml:space="preserve">21:30-02:30</t>
  </si>
  <si>
    <t xml:space="preserve">11:00-14:00</t>
  </si>
  <si>
    <t xml:space="preserve">侯思蕊</t>
  </si>
  <si>
    <t xml:space="preserve">14:00-16:00</t>
  </si>
  <si>
    <t xml:space="preserve">菅心茹</t>
  </si>
  <si>
    <t xml:space="preserve">13:00-16:00</t>
  </si>
  <si>
    <t xml:space="preserve">14:00-17:00</t>
  </si>
  <si>
    <t xml:space="preserve">17:00-22:00</t>
  </si>
  <si>
    <t xml:space="preserve">15:00-20:00</t>
  </si>
  <si>
    <t xml:space="preserve">20:00-22:00</t>
  </si>
  <si>
    <t xml:space="preserve">15:00-18:00</t>
  </si>
  <si>
    <t xml:space="preserve">14:00-15:00</t>
  </si>
  <si>
    <t xml:space="preserve">11:00-16:30</t>
  </si>
  <si>
    <t xml:space="preserve">16:30-21:00</t>
  </si>
  <si>
    <t xml:space="preserve">尹怡诺</t>
  </si>
  <si>
    <t xml:space="preserve">20:00-02:00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</si>
  <si>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</si>
  <si>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</si>
  <si>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</si>
  <si>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</si>
  <si>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</si>
  <si>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</si>
  <si>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</si>
  <si>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</si>
  <si>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</si>
  <si>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</si>
  <si>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</si>
  <si>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</si>
  <si>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</si>
  <si>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</si>
  <si>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</si>
  <si>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</si>
  <si>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</si>
  <si>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孙紫欣</t>
  </si>
  <si>
    <t xml:space="preserve">06:00-11:00</t>
  </si>
  <si>
    <t xml:space="preserve">张怡棣早</t>
  </si>
  <si>
    <t xml:space="preserve">武慧聪</t>
  </si>
  <si>
    <t xml:space="preserve">11:00-16:00</t>
  </si>
  <si>
    <t xml:space="preserve">聂凡</t>
  </si>
  <si>
    <t xml:space="preserve">16:00-21:00</t>
  </si>
  <si>
    <t xml:space="preserve">卢美玲</t>
  </si>
  <si>
    <t xml:space="preserve">21:00-02:00</t>
  </si>
  <si>
    <t xml:space="preserve">张滋怡晚</t>
  </si>
  <si>
    <t xml:space="preserve">王学伟早</t>
  </si>
  <si>
    <t xml:space="preserve">王佳惠</t>
  </si>
  <si>
    <t xml:space="preserve">尹小雨</t>
  </si>
  <si>
    <t xml:space="preserve">董柯言晚</t>
  </si>
  <si>
    <t xml:space="preserve">菅心茹</t>
  </si>
  <si>
    <t xml:space="preserve">张怡棣晚</t>
  </si>
  <si>
    <t xml:space="preserve">李哲早</t>
  </si>
  <si>
    <t xml:space="preserve">11:00-15:00</t>
  </si>
  <si>
    <t xml:space="preserve">15:00-18:00</t>
  </si>
  <si>
    <t xml:space="preserve">18:00-22:00</t>
  </si>
  <si>
    <t xml:space="preserve">22:00-02:00</t>
  </si>
  <si>
    <t xml:space="preserve">董柯言早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</si>
  <si>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</si>
  <si>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</si>
  <si>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</si>
  <si>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</si>
  <si>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</si>
  <si>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</si>
  <si>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</si>
  <si>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</si>
  <si>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</si>
  <si>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</si>
  <si>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</si>
  <si>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</si>
  <si>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</si>
  <si>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</si>
  <si>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</si>
  <si>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</si>
  <si>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</si>
  <si>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孙紫欣</t>
  </si>
  <si>
    <t xml:space="preserve">06:00-11:00</t>
  </si>
  <si>
    <t xml:space="preserve">张怡棣早</t>
  </si>
  <si>
    <t xml:space="preserve">菅心茹</t>
  </si>
  <si>
    <t xml:space="preserve">11:00-16:00</t>
  </si>
  <si>
    <t xml:space="preserve">武慧聪</t>
  </si>
  <si>
    <t xml:space="preserve">16:00-21:00</t>
  </si>
  <si>
    <t xml:space="preserve">聂凡</t>
  </si>
  <si>
    <t xml:space="preserve">21:00-02:00</t>
  </si>
  <si>
    <t xml:space="preserve">董柯言晚</t>
  </si>
  <si>
    <t xml:space="preserve">王佳惠</t>
  </si>
  <si>
    <t xml:space="preserve">李哲早</t>
  </si>
  <si>
    <t xml:space="preserve">王学伟早</t>
  </si>
  <si>
    <t xml:space="preserve">尹小雨</t>
  </si>
  <si>
    <t xml:space="preserve">王学伟晚</t>
  </si>
  <si>
    <t xml:space="preserve">李哲双</t>
  </si>
  <si>
    <t xml:space="preserve">11:00-15:00</t>
  </si>
  <si>
    <t xml:space="preserve">15:00-19:00</t>
  </si>
  <si>
    <t xml:space="preserve">卢美玲</t>
  </si>
  <si>
    <t xml:space="preserve">19:00-21:00</t>
  </si>
  <si>
    <t xml:space="preserve">15:00-18:00</t>
  </si>
  <si>
    <t xml:space="preserve">18:00-22:00</t>
  </si>
  <si>
    <t xml:space="preserve">高琎梅双</t>
  </si>
  <si>
    <t xml:space="preserve">22:00-02:00</t>
  </si>
  <si>
    <t xml:space="preserve">张滋怡晚</t>
  </si>
  <si>
    <t xml:space="preserve">求和项:助播时长</t>
  </si>
  <si>
    <t xml:space="preserve">roi</t>
  </si>
  <si>
    <t xml:space="preserve">平均时耗</t>
  </si>
  <si>
    <t xml:space="preserve">总计</t>
  </si>
  <si>
    <t xml:space="preserve">求和项:直播时长</t>
  </si>
  <si>
    <t xml:space="preserve">求和项:年化保费</t>
  </si>
  <si>
    <t xml:space="preserve">求和项:投流消耗</t>
  </si>
  <si>
    <t xml:space="preserve">快手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</si>
  <si>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</si>
  <si>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</si>
  <si>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</si>
  <si>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</si>
  <si>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</si>
  <si>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</si>
  <si>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</si>
  <si>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</si>
  <si>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</si>
  <si>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</si>
  <si>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</si>
  <si>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</si>
  <si>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</si>
  <si>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</si>
  <si>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</si>
  <si>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</si>
  <si>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</si>
  <si>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孙紫欣</t>
  </si>
  <si>
    <t xml:space="preserve">06:00-11:00</t>
  </si>
  <si>
    <t xml:space="preserve">魏迪早</t>
  </si>
  <si>
    <t xml:space="preserve">菅心茹</t>
  </si>
  <si>
    <t xml:space="preserve">11:00-16:00</t>
  </si>
  <si>
    <t xml:space="preserve">聂凡</t>
  </si>
  <si>
    <t xml:space="preserve">16:00-21:00</t>
  </si>
  <si>
    <t xml:space="preserve">张怡棣晚</t>
  </si>
  <si>
    <t xml:space="preserve">王佳惠</t>
  </si>
  <si>
    <t xml:space="preserve">21:00-02:00</t>
  </si>
  <si>
    <t xml:space="preserve">武慧聪</t>
  </si>
  <si>
    <t xml:space="preserve">李哲早</t>
  </si>
  <si>
    <t xml:space="preserve">张滋怡晚</t>
  </si>
  <si>
    <t xml:space="preserve">任子硕晚</t>
  </si>
  <si>
    <t xml:space="preserve">王学伟早</t>
  </si>
  <si>
    <t xml:space="preserve">07:00-11:00</t>
  </si>
  <si>
    <t xml:space="preserve">李哲双</t>
  </si>
  <si>
    <t xml:space="preserve">16:00-17:00</t>
  </si>
  <si>
    <t xml:space="preserve">张怡棣</t>
  </si>
  <si>
    <t xml:space="preserve">17:30-21:00</t>
  </si>
  <si>
    <t xml:space="preserve">董柯言晚</t>
  </si>
  <si>
    <t xml:space="preserve">张怡棣早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</si>
  <si>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</si>
  <si>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</si>
  <si>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</si>
  <si>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</si>
  <si>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</si>
  <si>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</si>
  <si>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</si>
  <si>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</si>
  <si>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</si>
  <si>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</si>
  <si>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</si>
  <si>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</si>
  <si>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</si>
  <si>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</si>
  <si>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</si>
  <si>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</si>
  <si>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</si>
  <si>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孙紫欣</t>
  </si>
  <si>
    <t xml:space="preserve">06:00-11:00</t>
  </si>
  <si>
    <t xml:space="preserve">张怡棣早</t>
  </si>
  <si>
    <t xml:space="preserve">武慧聪</t>
  </si>
  <si>
    <t xml:space="preserve">11:00-16:00</t>
  </si>
  <si>
    <t xml:space="preserve">菅心茹</t>
  </si>
  <si>
    <t xml:space="preserve">16:00-21:00</t>
  </si>
  <si>
    <t xml:space="preserve">尹小雨</t>
  </si>
  <si>
    <t xml:space="preserve">21:00-02:00</t>
  </si>
  <si>
    <t xml:space="preserve">魏迪晚</t>
  </si>
  <si>
    <t xml:space="preserve">张滋怡晚</t>
  </si>
  <si>
    <t xml:space="preserve">王佳惠</t>
  </si>
  <si>
    <t xml:space="preserve">王学伟晚</t>
  </si>
  <si>
    <t xml:space="preserve">娄芮源早</t>
  </si>
  <si>
    <t xml:space="preserve">张怡棣双</t>
  </si>
  <si>
    <t xml:space="preserve">张滋怡双</t>
  </si>
  <si>
    <t xml:space="preserve">任子硕</t>
  </si>
  <si>
    <t xml:space="preserve">王学伟早</t>
  </si>
  <si>
    <t xml:space="preserve">11:00-15:00</t>
  </si>
  <si>
    <t xml:space="preserve">聂凡</t>
  </si>
  <si>
    <t xml:space="preserve">15:00-18:00</t>
  </si>
  <si>
    <t xml:space="preserve">18:00-22:00</t>
  </si>
  <si>
    <t xml:space="preserve">22:00-02:00</t>
  </si>
  <si>
    <t xml:space="preserve">张怡棣晚</t>
  </si>
  <si>
    <t xml:space="preserve">任子硕双</t>
  </si>
  <si>
    <t xml:space="preserve">06:00-10:00</t>
  </si>
  <si>
    <t xml:space="preserve">10:00-14:00</t>
  </si>
  <si>
    <t xml:space="preserve">14:00-17:00</t>
  </si>
  <si>
    <t xml:space="preserve">17:00-21:00</t>
  </si>
  <si>
    <t xml:space="preserve">张滋怡早</t>
  </si>
  <si>
    <t xml:space="preserve">17:00-22:00</t>
  </si>
  <si>
    <t xml:space="preserve">魏迪早</t>
  </si>
  <si>
    <t xml:space="preserve">张怡棣</t>
  </si>
  <si>
    <t xml:space="preserve">魏迪双</t>
  </si>
  <si>
    <t xml:space="preserve">11:00-12:30</t>
  </si>
  <si>
    <t xml:space="preserve">14:00-18:00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</si>
  <si>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</si>
  <si>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</si>
  <si>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</si>
  <si>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</si>
  <si>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</si>
  <si>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</si>
  <si>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</si>
  <si>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</si>
  <si>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</si>
  <si>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</si>
  <si>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</si>
  <si>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</si>
  <si>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</si>
  <si>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</si>
  <si>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</si>
  <si>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</si>
  <si>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</si>
  <si>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孙紫欣</t>
  </si>
  <si>
    <t xml:space="preserve">06:00-11:00</t>
  </si>
  <si>
    <t xml:space="preserve">张怡棣早</t>
  </si>
  <si>
    <t xml:space="preserve">尹小雨</t>
  </si>
  <si>
    <t xml:space="preserve">11:00-14:00</t>
  </si>
  <si>
    <t xml:space="preserve">菅心茹</t>
  </si>
  <si>
    <t xml:space="preserve">14:00-19:00</t>
  </si>
  <si>
    <t xml:space="preserve">尹怡诺</t>
  </si>
  <si>
    <t xml:space="preserve">19:00-21:00</t>
  </si>
  <si>
    <t xml:space="preserve">武慧聪</t>
  </si>
  <si>
    <t xml:space="preserve">21:00-02:00</t>
  </si>
  <si>
    <t xml:space="preserve">王学伟晚</t>
  </si>
  <si>
    <t xml:space="preserve">李哲早</t>
  </si>
  <si>
    <t xml:space="preserve">11:00-15:00</t>
  </si>
  <si>
    <t xml:space="preserve">15:00-19:00</t>
  </si>
  <si>
    <t xml:space="preserve">15:00-18:00</t>
  </si>
  <si>
    <t xml:space="preserve">18:00-21:00</t>
  </si>
  <si>
    <t xml:space="preserve">卢林琰</t>
  </si>
  <si>
    <t xml:space="preserve">11:00-16:00</t>
  </si>
  <si>
    <t xml:space="preserve">16:00-21:00</t>
  </si>
  <si>
    <t xml:space="preserve">王佳惠</t>
  </si>
  <si>
    <t xml:space="preserve">11:00-13:00</t>
  </si>
  <si>
    <t xml:space="preserve">13:00-17:00</t>
  </si>
  <si>
    <t xml:space="preserve">17:00-21:00</t>
  </si>
  <si>
    <t xml:space="preserve">张怡棣晚</t>
  </si>
  <si>
    <t xml:space="preserve">王学伟早</t>
  </si>
  <si>
    <t xml:space="preserve">张滋怡晚</t>
  </si>
  <si>
    <t xml:space="preserve">魏迪晚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</si>
  <si>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</si>
  <si>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</si>
  <si>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</si>
  <si>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</si>
  <si>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</si>
  <si>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</si>
  <si>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</si>
  <si>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</si>
  <si>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</si>
  <si>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</si>
  <si>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</si>
  <si>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</si>
  <si>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</si>
  <si>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</si>
  <si>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</si>
  <si>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</si>
  <si>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</si>
  <si>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卢林琰</t>
  </si>
  <si>
    <t xml:space="preserve">06:00-11:00</t>
  </si>
  <si>
    <t xml:space="preserve">王学伟早</t>
  </si>
  <si>
    <t xml:space="preserve">李雅琪</t>
  </si>
  <si>
    <t xml:space="preserve">11:00-14:00</t>
  </si>
  <si>
    <t xml:space="preserve">侯思蕊</t>
  </si>
  <si>
    <t xml:space="preserve">14:00-16:00</t>
  </si>
  <si>
    <t xml:space="preserve">孙紫欣</t>
  </si>
  <si>
    <t xml:space="preserve">16:00-21:00</t>
  </si>
  <si>
    <t xml:space="preserve">尹小雨</t>
  </si>
  <si>
    <t xml:space="preserve">21:00-02:00</t>
  </si>
  <si>
    <t xml:space="preserve">张怡棣晚</t>
  </si>
  <si>
    <t xml:space="preserve">武慧聪</t>
  </si>
  <si>
    <t xml:space="preserve">11:00-16:00</t>
  </si>
  <si>
    <t xml:space="preserve">菅心茹</t>
  </si>
  <si>
    <t xml:space="preserve">16:00-18:00</t>
  </si>
  <si>
    <t xml:space="preserve">18:00-22:00</t>
  </si>
  <si>
    <t xml:space="preserve">22:00-02:00</t>
  </si>
  <si>
    <t xml:space="preserve">李哲晚</t>
  </si>
  <si>
    <t xml:space="preserve">11:00-13:00</t>
  </si>
  <si>
    <t xml:space="preserve">13:00-16:00</t>
  </si>
  <si>
    <t xml:space="preserve">王学伟双</t>
  </si>
  <si>
    <t xml:space="preserve">14:00-17:00</t>
  </si>
  <si>
    <t xml:space="preserve">17:00-22:00</t>
  </si>
  <si>
    <t xml:space="preserve">06:00-10:00</t>
  </si>
  <si>
    <t xml:space="preserve">魏迪早</t>
  </si>
  <si>
    <t xml:space="preserve">10:00-15:00</t>
  </si>
  <si>
    <t xml:space="preserve">15:00-17:00</t>
  </si>
  <si>
    <t xml:space="preserve">11:00-15:00</t>
  </si>
  <si>
    <t xml:space="preserve">15:00-20:00</t>
  </si>
  <si>
    <t xml:space="preserve">20:00-22:00</t>
  </si>
  <si>
    <t xml:space="preserve">13:00-17:00</t>
  </si>
  <si>
    <t xml:space="preserve">17:00-21:00</t>
  </si>
  <si>
    <t xml:space="preserve">张怡棣早</t>
  </si>
  <si>
    <t xml:space="preserve">15:00-19:00</t>
  </si>
  <si>
    <t xml:space="preserve">19:00-21:00</t>
  </si>
  <si>
    <t xml:space="preserve">王学伟晚</t>
  </si>
  <si>
    <t xml:space="preserve">18:00-21:00</t>
  </si>
  <si>
    <t xml:space="preserve">15:00-18:00</t>
  </si>
  <si>
    <t xml:space="preserve">10:00-14:00</t>
  </si>
  <si>
    <t xml:space="preserve">14:00-18:00</t>
  </si>
  <si>
    <t xml:space="preserve">14:00-15:00</t>
  </si>
  <si>
    <t xml:space="preserve">11:00-16:30</t>
  </si>
  <si>
    <t xml:space="preserve">16:30-21:00</t>
  </si>
  <si>
    <t xml:space="preserve">尹怡诺</t>
  </si>
  <si>
    <t xml:space="preserve">16:00-20:00</t>
  </si>
  <si>
    <t xml:space="preserve">20:00-02:00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</si>
  <si>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</si>
  <si>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</si>
  <si>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</si>
  <si>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</si>
  <si>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</si>
  <si>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</si>
  <si>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</si>
  <si>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</si>
  <si>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</si>
  <si>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</si>
  <si>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</si>
  <si>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</si>
  <si>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</si>
  <si>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</si>
  <si>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</si>
  <si>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</si>
  <si>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</si>
  <si>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</si>
  <si>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卢林琰</t>
  </si>
  <si>
    <t xml:space="preserve">06:00-11:00</t>
  </si>
  <si>
    <t xml:space="preserve">王学伟早</t>
  </si>
  <si>
    <t xml:space="preserve">尹小雨</t>
  </si>
  <si>
    <t xml:space="preserve">11:00-13:00</t>
  </si>
  <si>
    <t xml:space="preserve">武慧聪</t>
  </si>
  <si>
    <t xml:space="preserve">13:00-18:00</t>
  </si>
  <si>
    <t xml:space="preserve">冯雅雯</t>
  </si>
  <si>
    <t xml:space="preserve">18:00-21:00</t>
  </si>
  <si>
    <t xml:space="preserve">李雅琪</t>
  </si>
  <si>
    <t xml:space="preserve">21:00-02:00</t>
  </si>
  <si>
    <t xml:space="preserve">张怡棣晚</t>
  </si>
  <si>
    <t xml:space="preserve">06:00-10:00</t>
  </si>
  <si>
    <t xml:space="preserve">高琎梅双</t>
  </si>
  <si>
    <t xml:space="preserve">10:00-15:00</t>
  </si>
  <si>
    <t xml:space="preserve">15:00-17:00</t>
  </si>
  <si>
    <t xml:space="preserve">17:00-21:00</t>
  </si>
  <si>
    <t xml:space="preserve">王学伟晚</t>
  </si>
  <si>
    <t xml:space="preserve">张怡棣早</t>
  </si>
  <si>
    <t xml:space="preserve">11:00-15:00</t>
  </si>
  <si>
    <t xml:space="preserve">孙紫欣</t>
  </si>
  <si>
    <t xml:space="preserve">11:00-16:00</t>
  </si>
  <si>
    <t xml:space="preserve">16:00-18:00</t>
  </si>
  <si>
    <t xml:space="preserve">18:00-22:00</t>
  </si>
  <si>
    <t xml:space="preserve">22:00-02:00</t>
  </si>
  <si>
    <t xml:space="preserve">10:00-14:00</t>
  </si>
  <si>
    <t xml:space="preserve">14:00-18:00</t>
  </si>
  <si>
    <t xml:space="preserve">15:00-19:00</t>
  </si>
  <si>
    <t xml:space="preserve">19:00-21:00</t>
  </si>
  <si>
    <t xml:space="preserve">16:00-21:00</t>
  </si>
  <si>
    <t xml:space="preserve">王学伟双</t>
  </si>
  <si>
    <t xml:space="preserve">16:00-20:00</t>
  </si>
  <si>
    <t xml:space="preserve">张滋怡双</t>
  </si>
  <si>
    <t xml:space="preserve">李哲早</t>
  </si>
  <si>
    <t xml:space="preserve">李哲双</t>
  </si>
  <si>
    <t xml:space="preserve">张怡棣双</t>
  </si>
  <si>
    <t xml:space="preserve">21:30-02:30</t>
  </si>
  <si>
    <t xml:space="preserve">张滋怡晚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</si>
  <si>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</si>
  <si>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</si>
  <si>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</si>
  <si>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</si>
  <si>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</si>
  <si>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</si>
  <si>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</si>
  <si>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</si>
  <si>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</si>
  <si>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</si>
  <si>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</si>
  <si>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</si>
  <si>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</si>
  <si>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</si>
  <si>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</si>
  <si>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</si>
  <si>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</si>
  <si>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卢林琰</t>
  </si>
  <si>
    <t xml:space="preserve">06:00-11:00</t>
  </si>
  <si>
    <t xml:space="preserve">张怡棣早</t>
  </si>
  <si>
    <t xml:space="preserve">尹小雨</t>
  </si>
  <si>
    <t xml:space="preserve">11:00-16:00</t>
  </si>
  <si>
    <t xml:space="preserve">安宁</t>
  </si>
  <si>
    <t xml:space="preserve">16:00-21:00</t>
  </si>
  <si>
    <t xml:space="preserve">李雅琪</t>
  </si>
  <si>
    <t xml:space="preserve">21:00-02:00</t>
  </si>
  <si>
    <t xml:space="preserve">王学伟晚</t>
  </si>
  <si>
    <t xml:space="preserve">武慧聪</t>
  </si>
  <si>
    <t xml:space="preserve">燕清尧早</t>
  </si>
  <si>
    <t xml:space="preserve">06:00-10:00</t>
  </si>
  <si>
    <t xml:space="preserve">10:00-16:00</t>
  </si>
  <si>
    <t xml:space="preserve">闫雪儒早</t>
  </si>
  <si>
    <t xml:space="preserve">张怡棣晚</t>
  </si>
  <si>
    <t xml:space="preserve">王学伟早</t>
  </si>
  <si>
    <t xml:space="preserve">21:00-22:00</t>
  </si>
  <si>
    <t xml:space="preserve">张怡棣</t>
  </si>
  <si>
    <t xml:space="preserve">杨得草晚</t>
  </si>
  <si>
    <t xml:space="preserve">张滋怡早</t>
  </si>
  <si>
    <t xml:space="preserve">冯雅雯</t>
  </si>
  <si>
    <t xml:space="preserve">16:00-20:00</t>
  </si>
  <si>
    <t xml:space="preserve">20:00-01:00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</si>
  <si>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</si>
  <si>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</si>
  <si>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</si>
  <si>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</si>
  <si>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</si>
  <si>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</si>
  <si>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</si>
  <si>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</si>
  <si>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</si>
  <si>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</si>
  <si>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</si>
  <si>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</si>
  <si>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</si>
  <si>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</si>
  <si>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</si>
  <si>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</si>
  <si>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</si>
  <si>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卢林琰</t>
  </si>
  <si>
    <t xml:space="preserve">06:00-11:00</t>
  </si>
  <si>
    <t xml:space="preserve">张怡棣早</t>
  </si>
  <si>
    <t xml:space="preserve">李雅琪</t>
  </si>
  <si>
    <t xml:space="preserve">11:00-16:00</t>
  </si>
  <si>
    <t xml:space="preserve">尹小雨</t>
  </si>
  <si>
    <t xml:space="preserve">16:00-21:00</t>
  </si>
  <si>
    <t xml:space="preserve">武慧聪</t>
  </si>
  <si>
    <t xml:space="preserve">21:00-02:00</t>
  </si>
  <si>
    <t xml:space="preserve">王学伟晚</t>
  </si>
  <si>
    <t xml:space="preserve">杨智勇</t>
  </si>
  <si>
    <t xml:space="preserve">19:00-24:00</t>
  </si>
  <si>
    <t xml:space="preserve">王学伟</t>
  </si>
  <si>
    <t xml:space="preserve">安宁</t>
  </si>
  <si>
    <t xml:space="preserve">09:00-13:00</t>
  </si>
  <si>
    <t xml:space="preserve">张怡棣</t>
  </si>
  <si>
    <t xml:space="preserve">13:00-17:00</t>
  </si>
  <si>
    <t xml:space="preserve">17:00-21:00</t>
  </si>
  <si>
    <t xml:space="preserve">闫雪儒晚</t>
  </si>
  <si>
    <t xml:space="preserve">王学伟早</t>
  </si>
  <si>
    <t xml:space="preserve">闫雪儒</t>
  </si>
  <si>
    <t xml:space="preserve">郝泽晗晚</t>
  </si>
  <si>
    <t xml:space="preserve">16:00-20:00</t>
  </si>
  <si>
    <t xml:space="preserve">郝泽晗双</t>
  </si>
  <si>
    <t xml:space="preserve">09:00-14:00</t>
  </si>
  <si>
    <t xml:space="preserve">10:00-15:00</t>
  </si>
  <si>
    <t xml:space="preserve">高琎梅三</t>
  </si>
  <si>
    <t xml:space="preserve">勿改</t>
  </si>
  <si>
    <t xml:space="preserve">10:00-13:00</t>
  </si>
  <si>
    <t xml:space="preserve">王学伟双</t>
  </si>
  <si>
    <t xml:space="preserve">14:00-19:00</t>
  </si>
  <si>
    <t xml:space="preserve">杨得草四</t>
  </si>
  <si>
    <t xml:space="preserve">高琎梅双</t>
  </si>
  <si>
    <t xml:space="preserve">杨得草晚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</si>
  <si>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</si>
  <si>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</si>
  <si>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</si>
  <si>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</si>
  <si>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</si>
  <si>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</si>
  <si>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</si>
  <si>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</si>
  <si>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</si>
  <si>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</si>
  <si>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</si>
  <si>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</si>
  <si>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</si>
  <si>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</si>
  <si>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</si>
  <si>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</si>
  <si>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</si>
  <si>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杨智勇</t>
  </si>
  <si>
    <t xml:space="preserve">06:00-12:00</t>
  </si>
  <si>
    <t xml:space="preserve">张怡棣早</t>
  </si>
  <si>
    <t xml:space="preserve">李雅琪</t>
  </si>
  <si>
    <t xml:space="preserve">12:00-16:00</t>
  </si>
  <si>
    <t xml:space="preserve">卢林琰</t>
  </si>
  <si>
    <t xml:space="preserve">16:00-21:00</t>
  </si>
  <si>
    <t xml:space="preserve">尹小雨</t>
  </si>
  <si>
    <t xml:space="preserve">21:00-02:00</t>
  </si>
  <si>
    <t xml:space="preserve">王学伟晚</t>
  </si>
  <si>
    <t xml:space="preserve">06:00-11:00</t>
  </si>
  <si>
    <t xml:space="preserve">11:00-16:00</t>
  </si>
  <si>
    <t xml:space="preserve">12:00-18:00</t>
  </si>
  <si>
    <t xml:space="preserve">18:00-21:00</t>
  </si>
  <si>
    <t xml:space="preserve">21:00-23:00</t>
  </si>
  <si>
    <t xml:space="preserve">王学伟</t>
  </si>
  <si>
    <t xml:space="preserve">06:00-09:00</t>
  </si>
  <si>
    <t xml:space="preserve">武慧聪</t>
  </si>
  <si>
    <t xml:space="preserve">09:00-15:00</t>
  </si>
  <si>
    <t xml:space="preserve">15:00-21:00</t>
  </si>
  <si>
    <t xml:space="preserve">张滋怡早</t>
  </si>
  <si>
    <t xml:space="preserve">胡天韵</t>
  </si>
  <si>
    <t xml:space="preserve">16:00-19:00</t>
  </si>
  <si>
    <t xml:space="preserve">19:00-21:00</t>
  </si>
  <si>
    <t xml:space="preserve">16:00-18:00</t>
  </si>
  <si>
    <t xml:space="preserve">11:00-15:34</t>
  </si>
  <si>
    <t xml:space="preserve">17:00-21:00</t>
  </si>
  <si>
    <t xml:space="preserve">张怡棣晚</t>
  </si>
  <si>
    <t xml:space="preserve">王学伟早</t>
  </si>
  <si>
    <t xml:space="preserve">李哲晚</t>
  </si>
  <si>
    <t xml:space="preserve">任子硕</t>
  </si>
  <si>
    <t xml:space="preserve">16:00-20:00</t>
  </si>
  <si>
    <t xml:space="preserve">20:00-01:00</t>
  </si>
  <si>
    <t xml:space="preserve">张怡棣</t>
  </si>
  <si>
    <t xml:space="preserve">郝泽晗晚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</si>
  <si>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</si>
  <si>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</si>
  <si>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</si>
  <si>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</si>
  <si>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</si>
  <si>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</si>
  <si>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</si>
  <si>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</si>
  <si>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</si>
  <si>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</si>
  <si>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</si>
  <si>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</si>
  <si>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</si>
  <si>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</si>
  <si>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</si>
  <si>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</si>
  <si>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</si>
  <si>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卢林琰</t>
  </si>
  <si>
    <t xml:space="preserve">06:00-11:00</t>
  </si>
  <si>
    <t xml:space="preserve">张怡棣早</t>
  </si>
  <si>
    <t xml:space="preserve">杨智勇</t>
  </si>
  <si>
    <t xml:space="preserve">11:00-16:00</t>
  </si>
  <si>
    <t xml:space="preserve">武慧聪</t>
  </si>
  <si>
    <t xml:space="preserve">16:00-21:00</t>
  </si>
  <si>
    <t xml:space="preserve">尹小雨</t>
  </si>
  <si>
    <t xml:space="preserve">21:00-02:00</t>
  </si>
  <si>
    <t xml:space="preserve">杨得草晚</t>
  </si>
  <si>
    <t xml:space="preserve">王学伟早</t>
  </si>
  <si>
    <t xml:space="preserve">李雅琪</t>
  </si>
  <si>
    <t xml:space="preserve">张怡棣晚</t>
  </si>
  <si>
    <t xml:space="preserve">16:00-18:00</t>
  </si>
  <si>
    <t xml:space="preserve">18:00-21:00</t>
  </si>
  <si>
    <t xml:space="preserve">06:00-12:00</t>
  </si>
  <si>
    <t xml:space="preserve">12:00-18:00</t>
  </si>
  <si>
    <t xml:space="preserve">18:00-24:00</t>
  </si>
  <si>
    <t xml:space="preserve">张怡棣</t>
  </si>
  <si>
    <t xml:space="preserve">李哲早</t>
  </si>
  <si>
    <t xml:space="preserve">王学伟晚</t>
  </si>
  <si>
    <t xml:space="preserve">张滋怡早</t>
  </si>
  <si>
    <t xml:space="preserve">王学伟</t>
  </si>
  <si>
    <t xml:space="preserve">11:00-15:00</t>
  </si>
  <si>
    <t xml:space="preserve">15:00-19:00</t>
  </si>
  <si>
    <t xml:space="preserve">何钰梦</t>
  </si>
  <si>
    <t xml:space="preserve">19:00-21:00</t>
  </si>
  <si>
    <t xml:space="preserve">06:00-10:00</t>
  </si>
  <si>
    <t xml:space="preserve">闫雪儒早</t>
  </si>
  <si>
    <t xml:space="preserve">10:00-15:00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</si>
  <si>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</si>
  <si>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</si>
  <si>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</si>
  <si>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</si>
  <si>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</si>
  <si>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</si>
  <si>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</si>
  <si>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</si>
  <si>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</si>
  <si>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</si>
  <si>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</si>
  <si>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</si>
  <si>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</si>
  <si>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</si>
  <si>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</si>
  <si>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</si>
  <si>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</si>
  <si>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卢林琰</t>
  </si>
  <si>
    <t xml:space="preserve">06:00-11:00</t>
  </si>
  <si>
    <t xml:space="preserve">王学伟早</t>
  </si>
  <si>
    <t xml:space="preserve">武慧聪</t>
  </si>
  <si>
    <t xml:space="preserve">11:00-16:00</t>
  </si>
  <si>
    <t xml:space="preserve">尹小雨</t>
  </si>
  <si>
    <t xml:space="preserve">16:00-21:00</t>
  </si>
  <si>
    <t xml:space="preserve">杨智勇</t>
  </si>
  <si>
    <t xml:space="preserve">21:00-02:00</t>
  </si>
  <si>
    <t xml:space="preserve">张怡棣晚</t>
  </si>
  <si>
    <t xml:space="preserve">李雅琪</t>
  </si>
  <si>
    <t xml:space="preserve">张怡棣</t>
  </si>
  <si>
    <t xml:space="preserve">杨得草晚</t>
  </si>
  <si>
    <t xml:space="preserve">张滋怡晚</t>
  </si>
  <si>
    <t xml:space="preserve">06:00-09:00</t>
  </si>
  <si>
    <t xml:space="preserve">张怡棣早</t>
  </si>
  <si>
    <t xml:space="preserve">09:00-15:00</t>
  </si>
  <si>
    <t xml:space="preserve">15:00-20:00</t>
  </si>
  <si>
    <t xml:space="preserve">20:00-02:00</t>
  </si>
  <si>
    <t xml:space="preserve">王学伟晚</t>
  </si>
  <si>
    <t xml:space="preserve">张滋怡早</t>
  </si>
  <si>
    <t xml:space="preserve">06:00-12:00</t>
  </si>
  <si>
    <t xml:space="preserve">12:00-16:00</t>
  </si>
  <si>
    <t xml:space="preserve">王学伟</t>
  </si>
  <si>
    <t xml:space="preserve">06:00-07:00</t>
  </si>
  <si>
    <t xml:space="preserve">07:00-12:00</t>
  </si>
  <si>
    <t xml:space="preserve">12:00-17:00</t>
  </si>
  <si>
    <t xml:space="preserve">17:00-21:00</t>
  </si>
  <si>
    <t xml:space="preserve">任子硕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</si>
  <si>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</si>
  <si>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</si>
  <si>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</si>
  <si>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</si>
  <si>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</si>
  <si>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</si>
  <si>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</si>
  <si>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</si>
  <si>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</si>
  <si>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</si>
  <si>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</si>
  <si>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</si>
  <si>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</si>
  <si>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</si>
  <si>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</si>
  <si>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</si>
  <si>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</si>
  <si>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卢林琰</t>
  </si>
  <si>
    <t xml:space="preserve">06:00-11:00</t>
  </si>
  <si>
    <t xml:space="preserve">张怡棣早</t>
  </si>
  <si>
    <t xml:space="preserve">尹小雨</t>
  </si>
  <si>
    <t xml:space="preserve">11:00-16:00</t>
  </si>
  <si>
    <t xml:space="preserve">李雅琪</t>
  </si>
  <si>
    <t xml:space="preserve">16:00-21:00</t>
  </si>
  <si>
    <t xml:space="preserve">杨智勇</t>
  </si>
  <si>
    <t xml:space="preserve">21:00-02:00</t>
  </si>
  <si>
    <t xml:space="preserve">王学伟晚</t>
  </si>
  <si>
    <t xml:space="preserve">薛塬滋</t>
  </si>
  <si>
    <t xml:space="preserve">李哲早</t>
  </si>
  <si>
    <t xml:space="preserve">09:00-14:00</t>
  </si>
  <si>
    <t xml:space="preserve">李哲双</t>
  </si>
  <si>
    <t xml:space="preserve">14:00-19:00</t>
  </si>
  <si>
    <t xml:space="preserve">19:00-24:00</t>
  </si>
  <si>
    <t xml:space="preserve">张怡棣</t>
  </si>
  <si>
    <t xml:space="preserve">王学伟</t>
  </si>
  <si>
    <t xml:space="preserve">19:00-21:00</t>
  </si>
  <si>
    <t xml:space="preserve">16:00-19:00</t>
  </si>
  <si>
    <t xml:space="preserve">张怡棣晚</t>
  </si>
  <si>
    <t xml:space="preserve">07:00-12:00</t>
  </si>
  <si>
    <t xml:space="preserve">12:00-17:00</t>
  </si>
  <si>
    <t xml:space="preserve">17:00-21:00</t>
  </si>
  <si>
    <t xml:space="preserve">王学伟早</t>
  </si>
  <si>
    <t xml:space="preserve">武慧聪</t>
  </si>
  <si>
    <t xml:space="preserve">06:30-11:00</t>
  </si>
  <si>
    <t xml:space="preserve">郝子航晚</t>
  </si>
  <si>
    <t xml:space="preserve">06:20-11:00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</si>
  <si>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</si>
  <si>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</si>
  <si>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</si>
  <si>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</si>
  <si>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</si>
  <si>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</si>
  <si>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</si>
  <si>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</si>
  <si>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</si>
  <si>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</si>
  <si>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</si>
  <si>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</si>
  <si>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</si>
  <si>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</si>
  <si>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</si>
  <si>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</si>
  <si>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</si>
  <si>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卢林琰</t>
  </si>
  <si>
    <t xml:space="preserve">07:00-12:00</t>
  </si>
  <si>
    <t xml:space="preserve">张怡棣</t>
  </si>
  <si>
    <t xml:space="preserve">尹小雨</t>
  </si>
  <si>
    <t xml:space="preserve">12:00-16:00</t>
  </si>
  <si>
    <t xml:space="preserve">李哲</t>
  </si>
  <si>
    <t xml:space="preserve">薛塬滋</t>
  </si>
  <si>
    <t xml:space="preserve">16:00-20:00</t>
  </si>
  <si>
    <t xml:space="preserve">杨智勇</t>
  </si>
  <si>
    <t xml:space="preserve">20:00-01:00</t>
  </si>
  <si>
    <t xml:space="preserve">杨得草</t>
  </si>
  <si>
    <t xml:space="preserve">李雅琪</t>
  </si>
  <si>
    <t xml:space="preserve">王学伟</t>
  </si>
  <si>
    <t xml:space="preserve">06:00-11:00</t>
  </si>
  <si>
    <t xml:space="preserve">王学伟早</t>
  </si>
  <si>
    <t xml:space="preserve">11:00-16:00</t>
  </si>
  <si>
    <t xml:space="preserve">16:00-21:00</t>
  </si>
  <si>
    <t xml:space="preserve">21:00-02:00</t>
  </si>
  <si>
    <t xml:space="preserve">张怡棣晚</t>
  </si>
  <si>
    <t xml:space="preserve">杨得草晚</t>
  </si>
  <si>
    <t xml:space="preserve">薛，测试单保费1609.2已剔除</t>
  </si>
  <si>
    <t xml:space="preserve">燕清尧晚</t>
  </si>
  <si>
    <t xml:space="preserve">张怡棣早</t>
  </si>
  <si>
    <t xml:space="preserve">王学伟晚</t>
  </si>
  <si>
    <t xml:space="preserve">跑飞11840.34</t>
  </si>
  <si>
    <t xml:space="preserve">张滋怡晚</t>
  </si>
  <si>
    <t xml:space="preserve">21:00-23:00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</si>
  <si>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</si>
  <si>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</si>
  <si>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</si>
  <si>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</si>
  <si>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</si>
  <si>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</si>
  <si>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</si>
  <si>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</si>
  <si>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</si>
  <si>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</si>
  <si>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</si>
  <si>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</si>
  <si>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</si>
  <si>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</si>
  <si>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</si>
  <si>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</si>
  <si>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</si>
  <si>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薛塬滋</t>
  </si>
  <si>
    <t xml:space="preserve">07:00-12:00</t>
  </si>
  <si>
    <t xml:space="preserve">王学伟</t>
  </si>
  <si>
    <t xml:space="preserve">李雅琪</t>
  </si>
  <si>
    <t xml:space="preserve">12:00-16:00</t>
  </si>
  <si>
    <t xml:space="preserve">张晓悦</t>
  </si>
  <si>
    <t xml:space="preserve">16:00-19:00</t>
  </si>
  <si>
    <t xml:space="preserve">尹小雨</t>
  </si>
  <si>
    <t xml:space="preserve">19:00-24:00</t>
  </si>
  <si>
    <t xml:space="preserve">张怡棣</t>
  </si>
  <si>
    <t xml:space="preserve">卢林琰</t>
  </si>
  <si>
    <t xml:space="preserve">高雨辰</t>
  </si>
  <si>
    <t xml:space="preserve">07:00-11:00</t>
  </si>
  <si>
    <t xml:space="preserve">11:00-16:00</t>
  </si>
  <si>
    <t xml:space="preserve">19:00-23:00</t>
  </si>
  <si>
    <t xml:space="preserve">杨智勇</t>
  </si>
  <si>
    <t xml:space="preserve">杨得草</t>
  </si>
  <si>
    <t xml:space="preserve">闫雪儒</t>
  </si>
  <si>
    <t xml:space="preserve">高琎梅</t>
  </si>
  <si>
    <t xml:space="preserve">12:00-15:00</t>
  </si>
  <si>
    <t xml:space="preserve">15:00-20:00</t>
  </si>
  <si>
    <t xml:space="preserve">20:00-24:00</t>
  </si>
  <si>
    <t xml:space="preserve">16:00-20:00</t>
  </si>
  <si>
    <t xml:space="preserve">12:00-17:00</t>
  </si>
  <si>
    <t xml:space="preserve">17:00-22:00</t>
  </si>
  <si>
    <t xml:space="preserve">20:00-01:00</t>
  </si>
  <si>
    <t xml:space="preserve">07:00-13:00</t>
  </si>
  <si>
    <t xml:space="preserve">13:00-17:00</t>
  </si>
  <si>
    <t xml:space="preserve">17:00-20:00</t>
  </si>
  <si>
    <t xml:space="preserve">卢佳轩</t>
  </si>
  <si>
    <t xml:space="preserve">0.8双</t>
  </si>
  <si>
    <t xml:space="preserve">20:00-23:00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</si>
  <si>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</si>
  <si>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</si>
  <si>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</si>
  <si>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</si>
  <si>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</si>
  <si>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</si>
  <si>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</si>
  <si>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</si>
  <si>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</si>
  <si>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</si>
  <si>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</si>
  <si>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</si>
  <si>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</si>
  <si>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</si>
  <si>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</si>
  <si>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</si>
  <si>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卢林琰</t>
  </si>
  <si>
    <t xml:space="preserve">07:00-12:00</t>
  </si>
  <si>
    <t xml:space="preserve">杨得草</t>
  </si>
  <si>
    <t xml:space="preserve">尹小雨</t>
  </si>
  <si>
    <t xml:space="preserve">12:00-16:00</t>
  </si>
  <si>
    <t xml:space="preserve">李雅琪</t>
  </si>
  <si>
    <t xml:space="preserve">16:00-18:00</t>
  </si>
  <si>
    <t xml:space="preserve">高雨辰</t>
  </si>
  <si>
    <t xml:space="preserve">20:00-24:00</t>
  </si>
  <si>
    <t xml:space="preserve">张怡棣</t>
  </si>
  <si>
    <t xml:space="preserve">07:00-11:00</t>
  </si>
  <si>
    <t xml:space="preserve">王学伟</t>
  </si>
  <si>
    <t xml:space="preserve">11:00-15:00</t>
  </si>
  <si>
    <t xml:space="preserve">薛塬滋</t>
  </si>
  <si>
    <t xml:space="preserve">15:00-19:00</t>
  </si>
  <si>
    <t xml:space="preserve">19:00-24:00</t>
  </si>
  <si>
    <t xml:space="preserve">07:00-13:00</t>
  </si>
  <si>
    <t xml:space="preserve">闫雪儒</t>
  </si>
  <si>
    <t xml:space="preserve">13:00-16:00</t>
  </si>
  <si>
    <t xml:space="preserve">16:00-20:00</t>
  </si>
  <si>
    <t xml:space="preserve">11:00-16:00</t>
  </si>
  <si>
    <t xml:space="preserve">16:00-19:00</t>
  </si>
  <si>
    <t xml:space="preserve">12:00-15:00</t>
  </si>
  <si>
    <t xml:space="preserve">15:00-20:00</t>
  </si>
  <si>
    <t xml:space="preserve">20:00-01:00</t>
  </si>
  <si>
    <t xml:space="preserve">高琎梅</t>
  </si>
  <si>
    <t xml:space="preserve">张滋怡</t>
  </si>
  <si>
    <t xml:space="preserve">20:00-23:00</t>
  </si>
  <si>
    <t xml:space="preserve">李哲</t>
  </si>
  <si>
    <t xml:space="preserve">20:00-22:00</t>
  </si>
  <si>
    <t xml:space="preserve">任子硕</t>
  </si>
  <si>
    <t xml:space="preserve">郝子航</t>
  </si>
  <si>
    <t xml:space="preserve">张晓悦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</si>
  <si>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</si>
  <si>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</si>
  <si>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</si>
  <si>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</si>
  <si>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</si>
  <si>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</si>
  <si>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</si>
  <si>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</si>
  <si>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</si>
  <si>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</si>
  <si>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</si>
  <si>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</si>
  <si>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</si>
  <si>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</si>
  <si>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</si>
  <si>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</si>
  <si>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卢林琰</t>
  </si>
  <si>
    <t xml:space="preserve">08:00-13:00</t>
  </si>
  <si>
    <t xml:space="preserve">任子硕</t>
  </si>
  <si>
    <t xml:space="preserve">尹小雨</t>
  </si>
  <si>
    <t xml:space="preserve">13:00-17:00</t>
  </si>
  <si>
    <t xml:space="preserve">薛塬滋</t>
  </si>
  <si>
    <t xml:space="preserve">17:00-20:00</t>
  </si>
  <si>
    <t xml:space="preserve">高雨辰</t>
  </si>
  <si>
    <t xml:space="preserve">20:00-24:00</t>
  </si>
  <si>
    <t xml:space="preserve">王学伟</t>
  </si>
  <si>
    <t xml:space="preserve">高苗</t>
  </si>
  <si>
    <t xml:space="preserve">邢建伟</t>
  </si>
  <si>
    <t xml:space="preserve">李仓</t>
  </si>
  <si>
    <t xml:space="preserve">17:00-21:00</t>
  </si>
  <si>
    <t xml:space="preserve">杨得草</t>
  </si>
  <si>
    <t xml:space="preserve">罗丽洋</t>
  </si>
  <si>
    <t xml:space="preserve">21:00-1:00</t>
  </si>
  <si>
    <t xml:space="preserve">陆晓晨</t>
  </si>
  <si>
    <t xml:space="preserve">燕清尧</t>
  </si>
  <si>
    <t xml:space="preserve">高琎梅</t>
  </si>
  <si>
    <t xml:space="preserve">13:00-15:00</t>
  </si>
  <si>
    <t xml:space="preserve">15:00-19:00</t>
  </si>
  <si>
    <t xml:space="preserve">19:00-24:00</t>
  </si>
  <si>
    <t xml:space="preserve">17:00-19:00</t>
  </si>
  <si>
    <t xml:space="preserve">13:00-18:00</t>
  </si>
  <si>
    <t xml:space="preserve">傅倩儒</t>
  </si>
  <si>
    <t xml:space="preserve">18:00-20:00</t>
  </si>
  <si>
    <t xml:space="preserve">傅倩儒 </t>
  </si>
  <si>
    <t xml:space="preserve">20:00-23:00</t>
  </si>
  <si>
    <t xml:space="preserve">19:00-22:00</t>
  </si>
  <si>
    <t xml:space="preserve">08:00-12:00</t>
  </si>
  <si>
    <t xml:space="preserve">12:00-16:00</t>
  </si>
  <si>
    <t xml:space="preserve">16:00-20:00</t>
  </si>
  <si>
    <t xml:space="preserve">张怡棣</t>
  </si>
  <si>
    <t xml:space="preserve">李雅琪</t>
  </si>
  <si>
    <t xml:space="preserve">21:00-24:00</t>
  </si>
  <si>
    <t xml:space="preserve">07:00-12:00</t>
  </si>
  <si>
    <t xml:space="preserve">16:00-19:00</t>
  </si>
  <si>
    <t xml:space="preserve">07:00-11:00</t>
  </si>
  <si>
    <t xml:space="preserve">李哲</t>
  </si>
  <si>
    <t xml:space="preserve">11:00-15:00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</si>
  <si>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</si>
  <si>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</si>
  <si>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</si>
  <si>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</si>
  <si>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</si>
  <si>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</si>
  <si>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</si>
  <si>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</si>
  <si>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</si>
  <si>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</si>
  <si>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</si>
  <si>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</si>
  <si>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</si>
  <si>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</si>
  <si>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</si>
  <si>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</si>
  <si>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尹小雨</t>
  </si>
  <si>
    <t xml:space="preserve">10:00-15:00</t>
  </si>
  <si>
    <t xml:space="preserve">闫雪儒</t>
  </si>
  <si>
    <t xml:space="preserve">双</t>
  </si>
  <si>
    <t xml:space="preserve">卢林琰</t>
  </si>
  <si>
    <t xml:space="preserve">15:00-20:00</t>
  </si>
  <si>
    <t xml:space="preserve">高苗</t>
  </si>
  <si>
    <t xml:space="preserve">20:00-24:00</t>
  </si>
  <si>
    <t xml:space="preserve">任子硕</t>
  </si>
  <si>
    <t xml:space="preserve">12:00-16:00</t>
  </si>
  <si>
    <t xml:space="preserve">卢佳轩</t>
  </si>
  <si>
    <t xml:space="preserve">16:00-20:00</t>
  </si>
  <si>
    <t xml:space="preserve">孟郁倩</t>
  </si>
  <si>
    <t xml:space="preserve">王佳淼</t>
  </si>
  <si>
    <t xml:space="preserve">08:00-13:00</t>
  </si>
  <si>
    <t xml:space="preserve">13:00-17:00</t>
  </si>
  <si>
    <t xml:space="preserve">高雨辰</t>
  </si>
  <si>
    <t xml:space="preserve">17:00-20:00</t>
  </si>
  <si>
    <t xml:space="preserve">高琎梅</t>
  </si>
  <si>
    <t xml:space="preserve">罗丽洋</t>
  </si>
  <si>
    <t xml:space="preserve">2025.5.6</t>
  </si>
  <si>
    <t xml:space="preserve">杨得草</t>
  </si>
  <si>
    <t xml:space="preserve">13:00-18:00</t>
  </si>
  <si>
    <t xml:space="preserve">18:00-20:00</t>
  </si>
  <si>
    <t xml:space="preserve">2025.5.7</t>
  </si>
  <si>
    <t xml:space="preserve">07:00-12:00</t>
  </si>
  <si>
    <t xml:space="preserve">12:00-17:00</t>
  </si>
  <si>
    <t xml:space="preserve">17:00-21:00</t>
  </si>
  <si>
    <t xml:space="preserve">21:00-01:00</t>
  </si>
  <si>
    <t xml:space="preserve">燕清尧</t>
  </si>
  <si>
    <t xml:space="preserve">2025.5.8</t>
  </si>
  <si>
    <t xml:space="preserve">17:00-22:00</t>
  </si>
  <si>
    <t xml:space="preserve">22:00-01:00</t>
  </si>
  <si>
    <t xml:space="preserve">20:00-23:00</t>
  </si>
  <si>
    <t xml:space="preserve">07:00-10:30</t>
  </si>
  <si>
    <t xml:space="preserve">18:00-22:00</t>
  </si>
  <si>
    <t xml:space="preserve">王学伟</t>
  </si>
  <si>
    <t xml:space="preserve">18:00-21:00</t>
  </si>
  <si>
    <t xml:space="preserve">17:00-19:00</t>
  </si>
  <si>
    <t xml:space="preserve">邢建伟</t>
  </si>
  <si>
    <t xml:space="preserve">21:00-24:00</t>
  </si>
  <si>
    <t xml:space="preserve">耿泽华</t>
  </si>
  <si>
    <t xml:space="preserve">19:00-23:00</t>
  </si>
  <si>
    <t xml:space="preserve">宋悦</t>
  </si>
  <si>
    <t xml:space="preserve">董志慧</t>
  </si>
  <si>
    <t xml:space="preserve">13:00-16:00</t>
  </si>
  <si>
    <t xml:space="preserve">16:00-19:00</t>
  </si>
  <si>
    <t xml:space="preserve">19:00-24:00</t>
  </si>
  <si>
    <t xml:space="preserve">薛塬滋</t>
  </si>
  <si>
    <t xml:space="preserve">跑飞26,498.9已剔除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</si>
  <si>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</si>
  <si>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</si>
  <si>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</si>
  <si>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</si>
  <si>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</si>
  <si>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</si>
  <si>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</si>
  <si>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</si>
  <si>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</si>
  <si>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</si>
  <si>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</si>
  <si>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</si>
  <si>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</si>
  <si>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</si>
  <si>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</si>
  <si>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姜李会</t>
  </si>
  <si>
    <t xml:space="preserve">7:00-12:00</t>
  </si>
  <si>
    <t xml:space="preserve">杨得草</t>
  </si>
  <si>
    <t xml:space="preserve">刘纯宇</t>
  </si>
  <si>
    <t xml:space="preserve">12:00-16:00</t>
  </si>
  <si>
    <t xml:space="preserve">程巍</t>
  </si>
  <si>
    <t xml:space="preserve">16:00-19:00</t>
  </si>
  <si>
    <t xml:space="preserve">高娟</t>
  </si>
  <si>
    <t xml:space="preserve">19:00-24:00</t>
  </si>
  <si>
    <t xml:space="preserve">王佳淼</t>
  </si>
  <si>
    <t xml:space="preserve">2025.4.1</t>
  </si>
  <si>
    <t xml:space="preserve">11:00-15:00</t>
  </si>
  <si>
    <t xml:space="preserve">15:00-20:00</t>
  </si>
  <si>
    <t xml:space="preserve">20:00-24:00</t>
  </si>
  <si>
    <t xml:space="preserve">2025.4.2</t>
  </si>
  <si>
    <t xml:space="preserve">卢林琰</t>
  </si>
  <si>
    <t xml:space="preserve">7:00-11:00</t>
  </si>
  <si>
    <t xml:space="preserve">11:00-16:00</t>
  </si>
  <si>
    <t xml:space="preserve">16:00-20:00</t>
  </si>
  <si>
    <t xml:space="preserve">张滋怡</t>
  </si>
  <si>
    <t xml:space="preserve">双</t>
  </si>
  <si>
    <t xml:space="preserve">2025.4.3</t>
  </si>
  <si>
    <t xml:space="preserve">胡蝶</t>
  </si>
  <si>
    <t xml:space="preserve">16:00-21:00</t>
  </si>
  <si>
    <t xml:space="preserve">2025.4.4</t>
  </si>
  <si>
    <t xml:space="preserve">10:00-14:00</t>
  </si>
  <si>
    <t xml:space="preserve">14:00-19:00</t>
  </si>
  <si>
    <t xml:space="preserve">郝子航</t>
  </si>
  <si>
    <t xml:space="preserve">2025.4.5</t>
  </si>
  <si>
    <t xml:space="preserve">王子琳</t>
  </si>
  <si>
    <t xml:space="preserve">燕清尧</t>
  </si>
  <si>
    <t xml:space="preserve">19:00-22:00</t>
  </si>
  <si>
    <t xml:space="preserve">2025.4.6</t>
  </si>
  <si>
    <t xml:space="preserve">2025.4.7</t>
  </si>
  <si>
    <t xml:space="preserve">2025.4.8</t>
  </si>
  <si>
    <t xml:space="preserve">15:00-19:00</t>
  </si>
  <si>
    <t xml:space="preserve">2025.4.9</t>
  </si>
  <si>
    <t xml:space="preserve">2025.4.10</t>
  </si>
  <si>
    <t xml:space="preserve">高子涵</t>
  </si>
  <si>
    <t xml:space="preserve">任子硕</t>
  </si>
  <si>
    <t xml:space="preserve">2025.4.11</t>
  </si>
  <si>
    <t xml:space="preserve">2025.4.12</t>
  </si>
  <si>
    <t xml:space="preserve">高苗</t>
  </si>
  <si>
    <t xml:space="preserve">尹小雨</t>
  </si>
  <si>
    <t xml:space="preserve">20:00-1:00</t>
  </si>
  <si>
    <t xml:space="preserve">2025.4.13</t>
  </si>
  <si>
    <t xml:space="preserve">2025.4.14</t>
  </si>
  <si>
    <t xml:space="preserve">2025.4.15</t>
  </si>
  <si>
    <t xml:space="preserve">6:00-11：00</t>
  </si>
  <si>
    <t xml:space="preserve">燕清尧早</t>
  </si>
  <si>
    <t xml:space="preserve">孟郁倩</t>
  </si>
  <si>
    <t xml:space="preserve">15:00-18:00</t>
  </si>
  <si>
    <t xml:space="preserve">18:00-22:00</t>
  </si>
  <si>
    <t xml:space="preserve">22:00-2:00</t>
  </si>
  <si>
    <t xml:space="preserve">任子硕晚</t>
  </si>
  <si>
    <t xml:space="preserve">2025.4.16</t>
  </si>
  <si>
    <t xml:space="preserve">张滋怡晚</t>
  </si>
  <si>
    <t xml:space="preserve">2025.4.17</t>
  </si>
  <si>
    <t xml:space="preserve">6:00-10：00</t>
  </si>
  <si>
    <t xml:space="preserve">14:00-18:00</t>
  </si>
  <si>
    <t xml:space="preserve">2025.4.18</t>
  </si>
  <si>
    <t xml:space="preserve">22:00-1:00</t>
  </si>
  <si>
    <t xml:space="preserve">2025.4.19</t>
  </si>
  <si>
    <t xml:space="preserve">6:00-10:00</t>
  </si>
  <si>
    <t xml:space="preserve">杨得草早</t>
  </si>
  <si>
    <t xml:space="preserve">2025.4.20</t>
  </si>
  <si>
    <t xml:space="preserve">2025.4.21</t>
  </si>
  <si>
    <t xml:space="preserve">郝子航早</t>
  </si>
  <si>
    <t xml:space="preserve">2025.4.22</t>
  </si>
  <si>
    <t xml:space="preserve">06:00-11:00</t>
  </si>
  <si>
    <t xml:space="preserve">李哲早</t>
  </si>
  <si>
    <t xml:space="preserve">11:00-15:30</t>
  </si>
  <si>
    <t xml:space="preserve">15:30-21:00</t>
  </si>
  <si>
    <t xml:space="preserve">21:00-2:00</t>
  </si>
  <si>
    <t xml:space="preserve">2025.4.23</t>
  </si>
  <si>
    <t xml:space="preserve">6:00-11:00</t>
  </si>
  <si>
    <t xml:space="preserve">11:00-14:00</t>
  </si>
  <si>
    <t xml:space="preserve">14:00-17:00</t>
  </si>
  <si>
    <t xml:space="preserve">17:00-22:00</t>
  </si>
  <si>
    <t xml:space="preserve">2025.4.24</t>
  </si>
  <si>
    <t xml:space="preserve">徐茂帅早</t>
  </si>
  <si>
    <t xml:space="preserve">张滋怡早</t>
  </si>
  <si>
    <t xml:space="preserve">李哲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</si>
  <si>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</si>
  <si>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</si>
  <si>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</si>
  <si>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</si>
  <si>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</si>
  <si>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</si>
  <si>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</si>
  <si>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</si>
  <si>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</si>
  <si>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</si>
  <si>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</si>
  <si>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</si>
  <si>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</si>
  <si>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</si>
  <si>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/>
  </si>
  <si>
    <t xml:space="preserve">高娟</t>
  </si>
  <si>
    <t xml:space="preserve">13:00-18:00</t>
  </si>
  <si>
    <t xml:space="preserve">王子琳</t>
  </si>
  <si>
    <t xml:space="preserve">程巍</t>
  </si>
  <si>
    <t xml:space="preserve">18:00-22:00</t>
  </si>
  <si>
    <t xml:space="preserve">2025.3.18</t>
  </si>
  <si>
    <t xml:space="preserve">08:00-13:00</t>
  </si>
  <si>
    <t xml:space="preserve">13:00-17:00</t>
  </si>
  <si>
    <t xml:space="preserve">2025.3.19</t>
  </si>
  <si>
    <t xml:space="preserve">陈思钰</t>
  </si>
  <si>
    <t xml:space="preserve">双</t>
  </si>
  <si>
    <t xml:space="preserve">孙晓星</t>
  </si>
  <si>
    <t xml:space="preserve">13:00-15:00</t>
  </si>
  <si>
    <t xml:space="preserve">15:00-20:00</t>
  </si>
  <si>
    <t xml:space="preserve">郝子航</t>
  </si>
  <si>
    <t xml:space="preserve">2025.3.20</t>
  </si>
  <si>
    <t xml:space="preserve">07:00-12:00</t>
  </si>
  <si>
    <t xml:space="preserve">闫雪儒</t>
  </si>
  <si>
    <t xml:space="preserve">12:00-16:00</t>
  </si>
  <si>
    <t xml:space="preserve">2025.3.21</t>
  </si>
  <si>
    <t xml:space="preserve">12:00-17:00</t>
  </si>
  <si>
    <t xml:space="preserve">17:00-19:00</t>
  </si>
  <si>
    <t xml:space="preserve">姜李会</t>
  </si>
  <si>
    <t xml:space="preserve">19:00-24:00</t>
  </si>
  <si>
    <t xml:space="preserve">2025.3.22</t>
  </si>
  <si>
    <t xml:space="preserve">07:00-11:00</t>
  </si>
  <si>
    <t xml:space="preserve">11:00-14:00</t>
  </si>
  <si>
    <t xml:space="preserve">14:00-19:00</t>
  </si>
  <si>
    <t xml:space="preserve">2025.3.23</t>
  </si>
  <si>
    <t xml:space="preserve">12:00-14:00</t>
  </si>
  <si>
    <t xml:space="preserve">杨得草</t>
  </si>
  <si>
    <t xml:space="preserve">14:00-18:00</t>
  </si>
  <si>
    <t xml:space="preserve">2025.3.24</t>
  </si>
  <si>
    <t xml:space="preserve">16:00-19:00</t>
  </si>
  <si>
    <t xml:space="preserve">2025.3.25</t>
  </si>
  <si>
    <t xml:space="preserve">刘纯宇</t>
  </si>
  <si>
    <t xml:space="preserve">2025.3.26</t>
  </si>
  <si>
    <t xml:space="preserve">卢林琰</t>
  </si>
  <si>
    <t xml:space="preserve">10:00-15:00</t>
  </si>
  <si>
    <t xml:space="preserve">15:00-19:00</t>
  </si>
  <si>
    <t xml:space="preserve">2025.3.27</t>
  </si>
  <si>
    <t xml:space="preserve">2025.3.28</t>
  </si>
  <si>
    <t xml:space="preserve">12:00-15:00</t>
  </si>
  <si>
    <t xml:space="preserve">15:00-18:00</t>
  </si>
  <si>
    <t xml:space="preserve">2025.3.29</t>
  </si>
  <si>
    <t xml:space="preserve">11:00-15:00</t>
  </si>
  <si>
    <t xml:space="preserve">高子涵</t>
  </si>
  <si>
    <t xml:space="preserve">2025.3.30</t>
  </si>
  <si>
    <t xml:space="preserve">2025.3.31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</si>
</sst>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1">
    <numFmt numFmtId="164" formatCode="0.00_);[Red](0.00)"/>
    <numFmt numFmtId="165" formatCode="yyyy&quot;.&quot;m&quot;.&quot;d"/>
    <numFmt numFmtId="166" formatCode="#,##0.00"/>
    <numFmt numFmtId="167" formatCode="h:mm;@"/>
    <numFmt numFmtId="168" formatCode="General"/>
    <numFmt numFmtId="169" formatCode="0.00_);[Red](0.00)"/>
    <numFmt numFmtId="170" formatCode="yyyy&quot;.&quot;m&quot;.&quot;d"/>
    <numFmt numFmtId="171" formatCode="General"/>
    <numFmt numFmtId="172" formatCode="0.00_);[Red](0.00)"/>
    <numFmt numFmtId="173" formatCode="yyyy&quot;.&quot;m&quot;.&quot;d"/>
    <numFmt numFmtId="174" formatCode="0.00_);(0.00)"/>
    <numFmt numFmtId="175" formatCode="0.00"/>
    <numFmt numFmtId="176" formatCode="0.00_);[Red](0.00)"/>
    <numFmt numFmtId="177" formatCode="yyyy&quot;.&quot;m&quot;.&quot;d"/>
    <numFmt numFmtId="178" formatCode="#,##0.00"/>
    <numFmt numFmtId="179" formatCode="h:mm;@"/>
    <numFmt numFmtId="180" formatCode="0.00_);(0.00)"/>
    <numFmt numFmtId="181" formatCode="0.00_);[Red](0.00)"/>
    <numFmt numFmtId="182" formatCode="yyyy&quot;.&quot;m&quot;.&quot;d"/>
    <numFmt numFmtId="183" formatCode="#,##0.00"/>
    <numFmt numFmtId="184" formatCode="h:mm;@"/>
    <numFmt numFmtId="185" formatCode="0.00_);[Red](0.00)"/>
    <numFmt numFmtId="186" formatCode="yyyy&quot;.&quot;m&quot;.&quot;d"/>
    <numFmt numFmtId="187" formatCode="h:mm;@"/>
    <numFmt numFmtId="188" formatCode="#,##0.00"/>
    <numFmt numFmtId="189" formatCode="0.00"/>
    <numFmt numFmtId="190" formatCode="0.00_);[Red](0.00)"/>
    <numFmt numFmtId="191" formatCode="yyyy&quot;.&quot;m&quot;.&quot;d"/>
    <numFmt numFmtId="192" formatCode="#,##0.00"/>
    <numFmt numFmtId="193" formatCode="h:mm;@"/>
    <numFmt numFmtId="194" formatCode="0.00_);(0.00)"/>
    <numFmt numFmtId="195" formatCode="0.00"/>
    <numFmt numFmtId="196" formatCode="0.00_);[Red](0.00)"/>
    <numFmt numFmtId="197" formatCode="yyyy&quot;.&quot;m&quot;.&quot;d"/>
    <numFmt numFmtId="198" formatCode="#,##0.00"/>
    <numFmt numFmtId="199" formatCode="0.00"/>
    <numFmt numFmtId="200" formatCode="0.00_);(0.00)"/>
    <numFmt numFmtId="201" formatCode="0.00_);[Red](0.00)"/>
    <numFmt numFmtId="202" formatCode="yyyy&quot;.&quot;m&quot;.&quot;d"/>
    <numFmt numFmtId="203" formatCode="#,##0.00"/>
    <numFmt numFmtId="204" formatCode="0.00"/>
    <numFmt numFmtId="205" formatCode="0.00_);[Red](0.00)"/>
    <numFmt numFmtId="206" formatCode="yyyy&quot;.&quot;m&quot;.&quot;d"/>
    <numFmt numFmtId="207" formatCode="#,##0.00"/>
    <numFmt numFmtId="208" formatCode="0.00_);[Red](0.00)"/>
    <numFmt numFmtId="209" formatCode="yyyy&quot;.&quot;m&quot;.&quot;d"/>
    <numFmt numFmtId="210" formatCode="#,##0.00"/>
    <numFmt numFmtId="211" formatCode="0.00%"/>
    <numFmt numFmtId="212" formatCode="0.00"/>
    <numFmt numFmtId="213" formatCode="0.00_);[Red](0.00)"/>
    <numFmt numFmtId="214" formatCode="yyyy&quot;.&quot;m&quot;.&quot;d"/>
    <numFmt numFmtId="215" formatCode="#,##0.00"/>
    <numFmt numFmtId="216" formatCode="0.00%"/>
    <numFmt numFmtId="217" formatCode="0.00_);(0.00)"/>
    <numFmt numFmtId="218" formatCode="#,##0.00_);(#,##0.00)"/>
    <numFmt numFmtId="219" formatCode="0.00"/>
    <numFmt numFmtId="220" formatCode="0.00_);[Red](0.00)"/>
    <numFmt numFmtId="221" formatCode="yyyy&quot;.&quot;m&quot;.&quot;d"/>
    <numFmt numFmtId="222" formatCode="#,##0.00"/>
    <numFmt numFmtId="223" formatCode="0.00_);[Red](0.00)"/>
    <numFmt numFmtId="224" formatCode="yyyy&quot;.&quot;m&quot;.&quot;d"/>
    <numFmt numFmtId="225" formatCode="#,##0.00"/>
    <numFmt numFmtId="226" formatCode="0.00_);[Red](0.00)"/>
    <numFmt numFmtId="227" formatCode="yyyy&quot;.&quot;m&quot;.&quot;d"/>
    <numFmt numFmtId="228" formatCode="#,##0.00"/>
    <numFmt numFmtId="229" formatCode="0.00_);[Red](0.00)"/>
    <numFmt numFmtId="230" formatCode="yyyy&quot;.&quot;m&quot;.&quot;d"/>
    <numFmt numFmtId="231" formatCode="#,##0.00"/>
    <numFmt numFmtId="232" formatCode="0.00"/>
    <numFmt numFmtId="233" formatCode="0.00_);[Red](0.00)"/>
    <numFmt numFmtId="234" formatCode="yyyy&quot;.&quot;m&quot;.&quot;d"/>
    <numFmt numFmtId="235" formatCode="#,##0.00"/>
    <numFmt numFmtId="236" formatCode="0.00%"/>
    <numFmt numFmtId="237" formatCode="0.00"/>
    <numFmt numFmtId="238" formatCode="0.000"/>
    <numFmt numFmtId="239" formatCode="0.00_);[Red](0.00)"/>
    <numFmt numFmtId="240" formatCode="yyyy&quot;.&quot;m&quot;.&quot;d"/>
    <numFmt numFmtId="241" formatCode="#,##0.00"/>
    <numFmt numFmtId="242" formatCode="0.00%"/>
    <numFmt numFmtId="243" formatCode="0.00_);[Red](0.00)"/>
    <numFmt numFmtId="244" formatCode="yyyy&quot;.&quot;m&quot;.&quot;d"/>
    <numFmt numFmtId="245" formatCode="#,##0.00"/>
    <numFmt numFmtId="246" formatCode="General"/>
    <numFmt numFmtId="247" formatCode="0.00_);[Red](0.00)"/>
    <numFmt numFmtId="248" formatCode="yyyy&quot;.&quot;m&quot;.&quot;d"/>
    <numFmt numFmtId="249" formatCode="#,##0.00"/>
    <numFmt numFmtId="250" formatCode="h:mm;@"/>
    <numFmt numFmtId="251" formatCode="0.00_);[Red](0.00)"/>
    <numFmt numFmtId="252" formatCode="yyyy&quot;.&quot;m&quot;.&quot;d"/>
    <numFmt numFmtId="253" formatCode="#,##0.00"/>
    <numFmt numFmtId="254" formatCode="h:mm;@"/>
  </numFmts>
  <fonts count="15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DE3C36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1"/>
      <color rgb="FF8F959E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sz val="11"/>
      <color rgb="FF1F2329"/>
      <name val="Calibri"/>
      <family val="2"/>
      <scheme val="minor"/>
    </font>
  </fonts>
  <fills count="10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1C4CBA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F5F6F7"/>
        <bgColor/>
      </patternFill>
    </fill>
    <fill>
      <patternFill patternType="solid">
        <fgColor rgb="FFF0F4FF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FF258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FF258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</fills>
  <borders count="25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C4CBA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true" applyProtection="false" borderId="1" fillId="3" fontId="3" numFmtId="164" xfId="0">
      <alignment horizontal="center" vertical="center"/>
    </xf>
    <xf applyAlignment="true" applyBorder="false" applyFill="true" applyFont="true" applyNumberFormat="true" applyProtection="false" borderId="1" fillId="2" fontId="2" numFmtId="164" xfId="0">
      <alignment horizontal="center"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false" applyFont="true" applyNumberFormat="true" applyProtection="false" borderId="2" fillId="0" fontId="4" numFmtId="165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false" applyFont="true" applyNumberFormat="true" applyProtection="false" borderId="2" fillId="0" fontId="4" numFmtId="166" xfId="0">
      <alignment horizontal="center" vertical="center"/>
    </xf>
    <xf applyAlignment="true" applyBorder="false" applyFill="false" applyFont="true" applyNumberFormat="true" applyProtection="false" borderId="3" fillId="0" fontId="4" numFmtId="164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true" applyFont="true" applyNumberFormat="false" applyProtection="false" borderId="1" fillId="4" fontId="6" numFmtId="0" xfId="0">
      <alignment horizontal="center" vertical="center"/>
    </xf>
    <xf applyAlignment="true" applyBorder="false" applyFill="true" applyFont="true" applyNumberFormat="false" applyProtection="false" borderId="1" fillId="4" fontId="6" numFmtId="0" xfId="0">
      <alignment horizontal="center" vertical="center"/>
    </xf>
    <xf applyAlignment="true" applyBorder="false" applyFill="true" applyFont="true" applyNumberFormat="false" applyProtection="false" borderId="1" fillId="4" fontId="7" numFmtId="0" xfId="0">
      <alignment horizontal="center" vertical="center"/>
    </xf>
    <xf applyAlignment="true" applyBorder="false" applyFill="true" applyFont="true" applyNumberFormat="true" applyProtection="false" borderId="4" fillId="5" fontId="4" numFmtId="165" xfId="0">
      <alignment horizontal="center" vertical="center"/>
    </xf>
    <xf applyAlignment="true" applyBorder="false" applyFill="true" applyFont="true" applyNumberFormat="false" applyProtection="false" borderId="4" fillId="5" fontId="6" numFmtId="0" xfId="0">
      <alignment horizontal="center" vertical="center"/>
    </xf>
    <xf applyAlignment="true" applyBorder="false" applyFill="true" applyFont="true" applyNumberFormat="true" applyProtection="false" borderId="5" fillId="5" fontId="6" numFmtId="164" xfId="0">
      <alignment horizontal="center" vertical="center"/>
    </xf>
    <xf applyAlignment="true" applyBorder="false" applyFill="true" applyFont="true" applyNumberFormat="false" applyProtection="false" borderId="6" fillId="5" fontId="6" numFmtId="0" xfId="0">
      <alignment horizontal="center" vertical="center"/>
    </xf>
    <xf applyAlignment="true" applyBorder="false" applyFill="false" applyFont="true" applyNumberFormat="false" applyProtection="false" borderId="2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2" fillId="0" fontId="4" numFmtId="165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false" applyFont="true" applyNumberFormat="true" applyProtection="false" borderId="2" fillId="0" fontId="4" numFmtId="166" xfId="0">
      <alignment horizontal="center" vertical="center"/>
    </xf>
    <xf applyAlignment="true" applyBorder="false" applyFill="true" applyFont="true" applyNumberFormat="true" applyProtection="false" borderId="4" fillId="5" fontId="4" numFmtId="165" xfId="0">
      <alignment horizontal="center" vertical="center"/>
    </xf>
    <xf applyAlignment="true" applyBorder="false" applyFill="false" applyFont="true" applyNumberFormat="true" applyProtection="false" borderId="7" fillId="0" fontId="4" numFmtId="164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2" fillId="0" fontId="4" numFmtId="166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false" applyProtection="false" borderId="9" fillId="0" fontId="4" numFmtId="0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false" applyFont="true" applyNumberFormat="false" applyProtection="false" borderId="9" fillId="0" fontId="4" numFmtId="0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true" applyProtection="false" borderId="8" fillId="0" fontId="4" numFmtId="165" xfId="0">
      <alignment horizontal="center" vertical="center"/>
    </xf>
    <xf applyAlignment="true" applyBorder="false" applyFill="false" applyFont="true" applyNumberFormat="false" applyProtection="false" borderId="9" fillId="0" fontId="5" numFmtId="0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 wrapText="true"/>
    </xf>
    <xf applyAlignment="true" applyBorder="false" applyFill="true" applyFont="true" applyNumberFormat="false" applyProtection="false" borderId="5" fillId="5" fontId="6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 wrapText="true"/>
    </xf>
    <xf applyAlignment="true" applyBorder="false" applyFill="false" applyFont="true" applyNumberFormat="false" applyProtection="false" borderId="3" fillId="0" fontId="4" numFmtId="0" xfId="0">
      <alignment horizontal="center" vertical="center"/>
    </xf>
    <xf applyAlignment="true" applyBorder="false" applyFill="false" applyFont="true" applyNumberFormat="true" applyProtection="false" borderId="12" fillId="0" fontId="4" numFmtId="167" xfId="0">
      <alignment horizontal="center" vertical="center"/>
    </xf>
    <xf applyAlignment="true" applyBorder="false" applyFill="false" applyFont="true" applyNumberFormat="true" applyProtection="false" borderId="12" fillId="0" fontId="4" numFmtId="167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true" applyProtection="false" borderId="4" fillId="5" fontId="4" numFmtId="165" xfId="0">
      <alignment horizontal="center" vertical="center"/>
    </xf>
    <xf applyAlignment="true" applyBorder="false" applyFill="true" applyFont="true" applyNumberFormat="false" applyProtection="false" borderId="4" fillId="5" fontId="6" numFmtId="0" xfId="0">
      <alignment horizontal="center" vertical="center"/>
    </xf>
    <xf applyAlignment="true" applyBorder="false" applyFill="true" applyFont="true" applyNumberFormat="true" applyProtection="false" borderId="5" fillId="5" fontId="6" numFmtId="164" xfId="0">
      <alignment horizontal="center" vertical="center"/>
    </xf>
    <xf applyAlignment="true" applyBorder="false" applyFill="false" applyFont="true" applyNumberFormat="true" applyProtection="false" borderId="14" fillId="0" fontId="9" numFmtId="168" xfId="0">
      <alignment horizontal="center" vertical="center"/>
    </xf>
    <xf applyAlignment="true" applyBorder="false" applyFill="true" applyFont="true" applyNumberFormat="false" applyProtection="false" borderId="15" fillId="6" fontId="1" numFmtId="0" xfId="0">
      <alignment horizontal="center" vertical="center"/>
    </xf>
    <xf applyAlignment="true" applyBorder="false" applyFill="true" applyFont="true" applyNumberFormat="false" applyProtection="false" borderId="15" fillId="6" fontId="2" numFmtId="0" xfId="0">
      <alignment horizontal="center" vertical="center"/>
    </xf>
    <xf applyAlignment="true" applyBorder="false" applyFill="true" applyFont="true" applyNumberFormat="false" applyProtection="false" borderId="15" fillId="6" fontId="2" numFmtId="0" xfId="0">
      <alignment horizontal="center" vertical="center"/>
    </xf>
    <xf applyAlignment="true" applyBorder="false" applyFill="true" applyFont="true" applyNumberFormat="true" applyProtection="false" borderId="15" fillId="7" fontId="3" numFmtId="169" xfId="0">
      <alignment horizontal="center" vertical="center"/>
    </xf>
    <xf applyAlignment="true" applyBorder="false" applyFill="true" applyFont="true" applyNumberFormat="true" applyProtection="false" borderId="15" fillId="6" fontId="2" numFmtId="169" xfId="0">
      <alignment horizontal="center" vertical="center"/>
    </xf>
    <xf applyAlignment="true" applyBorder="false" applyFill="true" applyFont="true" applyNumberFormat="false" applyProtection="false" borderId="0" fillId="6" fontId="2" numFmtId="0" xfId="0">
      <alignment horizontal="center" vertical="center"/>
    </xf>
    <xf applyAlignment="true" applyBorder="false" applyFill="false" applyFont="true" applyNumberFormat="true" applyProtection="false" borderId="16" fillId="0" fontId="4" numFmtId="170" xfId="0">
      <alignment horizontal="center" vertical="center"/>
    </xf>
    <xf applyAlignment="true" applyBorder="false" applyFill="false" applyFont="true" applyNumberFormat="false" applyProtection="false" borderId="15" fillId="0" fontId="4" numFmtId="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center" vertical="center" wrapText="true"/>
    </xf>
    <xf applyAlignment="true" applyBorder="false" applyFill="false" applyFont="true" applyNumberFormat="false" applyProtection="false" borderId="18" fillId="0" fontId="4" numFmtId="0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false" applyProtection="false" borderId="20" fillId="0" fontId="4" numFmtId="0" xfId="0">
      <alignment horizontal="center" vertical="center"/>
    </xf>
    <xf applyAlignment="true" applyBorder="false" applyFill="false" applyFont="true" applyNumberFormat="true" applyProtection="false" borderId="21" fillId="0" fontId="4" numFmtId="169" xfId="0">
      <alignment horizontal="center" vertical="center"/>
    </xf>
    <xf applyAlignment="true" applyBorder="false" applyFill="false" applyFont="true" applyNumberFormat="true" applyProtection="false" borderId="22" fillId="0" fontId="4" numFmtId="169" xfId="0">
      <alignment horizontal="center" vertical="center"/>
    </xf>
    <xf applyAlignment="true" applyBorder="false" applyFill="false" applyFont="true" applyNumberFormat="true" applyProtection="false" borderId="15" fillId="0" fontId="4" numFmtId="169" xfId="0">
      <alignment horizontal="center" vertical="center"/>
    </xf>
    <xf applyAlignment="true" applyBorder="false" applyFill="false" applyFont="true" applyNumberFormat="false" applyProtection="false" borderId="23" fillId="0" fontId="4" numFmtId="0" xfId="0">
      <alignment horizontal="center" vertical="center"/>
    </xf>
    <xf applyAlignment="true" applyBorder="false" applyFill="false" applyFont="true" applyNumberFormat="false" applyProtection="false" borderId="24" fillId="0" fontId="4" numFmtId="0" xfId="0">
      <alignment horizontal="center" vertical="center"/>
    </xf>
    <xf applyAlignment="true" applyBorder="false" applyFill="true" applyFont="true" applyNumberFormat="false" applyProtection="false" borderId="15" fillId="8" fontId="7" numFmtId="0" xfId="0">
      <alignment horizontal="center" vertical="center"/>
    </xf>
    <xf applyAlignment="true" applyBorder="false" applyFill="true" applyFont="true" applyNumberFormat="false" applyProtection="false" borderId="23" fillId="8" fontId="6" numFmtId="0" xfId="0">
      <alignment horizontal="center" vertical="center"/>
    </xf>
    <xf applyAlignment="true" applyBorder="false" applyFill="false" applyFont="true" applyNumberFormat="false" applyProtection="false" borderId="15" fillId="0" fontId="5" numFmtId="0" xfId="0">
      <alignment vertical="center"/>
    </xf>
    <xf applyAlignment="true" applyBorder="false" applyFill="false" applyFont="true" applyNumberFormat="false" applyProtection="false" borderId="25" fillId="0" fontId="4" numFmtId="0" xfId="0">
      <alignment horizontal="center" vertical="center" wrapText="true"/>
    </xf>
    <xf applyAlignment="true" applyBorder="false" applyFill="false" applyFont="true" applyNumberFormat="false" applyProtection="false" borderId="26" fillId="0" fontId="4" numFmtId="0" xfId="0">
      <alignment horizontal="center" vertical="center"/>
    </xf>
    <xf applyAlignment="true" applyBorder="false" applyFill="false" applyFont="true" applyNumberFormat="true" applyProtection="false" borderId="27" fillId="0" fontId="4" numFmtId="169" xfId="0">
      <alignment horizontal="center" vertical="center"/>
    </xf>
    <xf applyAlignment="true" applyBorder="false" applyFill="false" applyFont="true" applyNumberFormat="true" applyProtection="false" borderId="28" fillId="0" fontId="4" numFmtId="169" xfId="0">
      <alignment horizontal="center" vertical="center"/>
    </xf>
    <xf applyAlignment="true" applyBorder="false" applyFill="false" applyFont="true" applyNumberFormat="true" applyProtection="false" borderId="29" fillId="0" fontId="4" numFmtId="169" xfId="0">
      <alignment horizontal="center" vertical="center"/>
    </xf>
    <xf applyAlignment="true" applyBorder="false" applyFill="false" applyFont="true" applyNumberFormat="false" applyProtection="false" borderId="29" fillId="0" fontId="4" numFmtId="0" xfId="0">
      <alignment horizontal="center" vertical="center"/>
    </xf>
    <xf applyAlignment="true" applyBorder="false" applyFill="true" applyFont="true" applyNumberFormat="false" applyProtection="false" borderId="30" fillId="8" fontId="6" numFmtId="0" xfId="0">
      <alignment horizontal="center" vertical="center"/>
    </xf>
    <xf applyAlignment="true" applyBorder="false" applyFill="true" applyFont="true" applyNumberFormat="true" applyProtection="false" borderId="15" fillId="9" fontId="4" numFmtId="170" xfId="0">
      <alignment horizontal="center" vertical="center"/>
    </xf>
    <xf applyAlignment="true" applyBorder="false" applyFill="true" applyFont="true" applyNumberFormat="false" applyProtection="false" borderId="31" fillId="9" fontId="6" numFmtId="0" xfId="0">
      <alignment horizontal="center" vertical="center"/>
    </xf>
    <xf applyAlignment="true" applyBorder="false" applyFill="true" applyFont="true" applyNumberFormat="false" applyProtection="false" borderId="15" fillId="9" fontId="6" numFmtId="0" xfId="0">
      <alignment horizontal="center" vertical="center"/>
    </xf>
    <xf applyAlignment="true" applyBorder="false" applyFill="true" applyFont="true" applyNumberFormat="true" applyProtection="false" borderId="15" fillId="9" fontId="6" numFmtId="169" xfId="0">
      <alignment horizontal="center" vertical="center"/>
    </xf>
    <xf applyAlignment="true" applyBorder="false" applyFill="false" applyFont="true" applyNumberFormat="false" applyProtection="false" borderId="32" fillId="0" fontId="4" numFmtId="0" xfId="0">
      <alignment horizontal="center" vertical="center"/>
    </xf>
    <xf applyAlignment="true" applyBorder="false" applyFill="false" applyFont="true" applyNumberFormat="false" applyProtection="false" borderId="32" fillId="0" fontId="4" numFmtId="0" xfId="0">
      <alignment horizontal="center" vertical="center"/>
    </xf>
    <xf applyAlignment="true" applyBorder="false" applyFill="true" applyFont="true" applyNumberFormat="true" applyProtection="false" borderId="15" fillId="9" fontId="6" numFmtId="171" xfId="0">
      <alignment horizontal="center" vertical="center"/>
    </xf>
    <xf applyAlignment="true" applyBorder="false" applyFill="false" applyFont="true" applyNumberFormat="true" applyProtection="false" borderId="16" fillId="0" fontId="4" numFmtId="170" xfId="0">
      <alignment horizontal="center" vertical="center"/>
    </xf>
    <xf applyAlignment="true" applyBorder="false" applyFill="false" applyFont="true" applyNumberFormat="false" applyProtection="false" borderId="15" fillId="0" fontId="4" numFmtId="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center" vertical="center" wrapText="true"/>
    </xf>
    <xf applyAlignment="true" applyBorder="false" applyFill="false" applyFont="true" applyNumberFormat="false" applyProtection="false" borderId="18" fillId="0" fontId="4" numFmtId="0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false" applyProtection="false" borderId="20" fillId="0" fontId="4" numFmtId="0" xfId="0">
      <alignment horizontal="center" vertical="center"/>
    </xf>
    <xf applyAlignment="true" applyBorder="false" applyFill="false" applyFont="true" applyNumberFormat="true" applyProtection="false" borderId="21" fillId="0" fontId="4" numFmtId="169" xfId="0">
      <alignment horizontal="center" vertical="center"/>
    </xf>
    <xf applyAlignment="true" applyBorder="false" applyFill="false" applyFont="true" applyNumberFormat="true" applyProtection="false" borderId="22" fillId="0" fontId="4" numFmtId="169" xfId="0">
      <alignment horizontal="center" vertical="center"/>
    </xf>
    <xf applyAlignment="true" applyBorder="false" applyFill="false" applyFont="true" applyNumberFormat="true" applyProtection="false" borderId="15" fillId="0" fontId="4" numFmtId="169" xfId="0">
      <alignment horizontal="center" vertical="center"/>
    </xf>
    <xf applyAlignment="true" applyBorder="false" applyFill="false" applyFont="true" applyNumberFormat="false" applyProtection="false" borderId="23" fillId="0" fontId="4" numFmtId="0" xfId="0">
      <alignment horizontal="center" vertical="center"/>
    </xf>
    <xf applyAlignment="true" applyBorder="false" applyFill="false" applyFont="true" applyNumberFormat="false" applyProtection="false" borderId="24" fillId="0" fontId="4" numFmtId="0" xfId="0">
      <alignment horizontal="center" vertical="center"/>
    </xf>
    <xf applyAlignment="true" applyBorder="false" applyFill="true" applyFont="true" applyNumberFormat="false" applyProtection="false" borderId="15" fillId="8" fontId="7" numFmtId="0" xfId="0">
      <alignment horizontal="center" vertical="center"/>
    </xf>
    <xf applyAlignment="true" applyBorder="false" applyFill="true" applyFont="true" applyNumberFormat="false" applyProtection="false" borderId="23" fillId="8" fontId="6" numFmtId="0" xfId="0">
      <alignment horizontal="center" vertical="center"/>
    </xf>
    <xf applyAlignment="true" applyBorder="false" applyFill="false" applyFont="true" applyNumberFormat="false" applyProtection="false" borderId="15" fillId="0" fontId="5" numFmtId="0" xfId="0">
      <alignment vertical="center"/>
    </xf>
    <xf applyAlignment="true" applyBorder="false" applyFill="false" applyFont="true" applyNumberFormat="false" applyProtection="false" borderId="25" fillId="0" fontId="4" numFmtId="0" xfId="0">
      <alignment horizontal="center" vertical="center" wrapText="true"/>
    </xf>
    <xf applyAlignment="true" applyBorder="false" applyFill="false" applyFont="true" applyNumberFormat="false" applyProtection="false" borderId="26" fillId="0" fontId="4" numFmtId="0" xfId="0">
      <alignment horizontal="center" vertical="center"/>
    </xf>
    <xf applyAlignment="true" applyBorder="false" applyFill="false" applyFont="true" applyNumberFormat="true" applyProtection="false" borderId="27" fillId="0" fontId="4" numFmtId="169" xfId="0">
      <alignment horizontal="center" vertical="center"/>
    </xf>
    <xf applyAlignment="true" applyBorder="false" applyFill="false" applyFont="true" applyNumberFormat="true" applyProtection="false" borderId="28" fillId="0" fontId="4" numFmtId="169" xfId="0">
      <alignment horizontal="center" vertical="center"/>
    </xf>
    <xf applyAlignment="true" applyBorder="false" applyFill="false" applyFont="true" applyNumberFormat="true" applyProtection="false" borderId="29" fillId="0" fontId="4" numFmtId="169" xfId="0">
      <alignment horizontal="center" vertical="center"/>
    </xf>
    <xf applyAlignment="true" applyBorder="false" applyFill="false" applyFont="true" applyNumberFormat="false" applyProtection="false" borderId="32" fillId="0" fontId="4" numFmtId="0" xfId="0">
      <alignment horizontal="center" vertical="center"/>
    </xf>
    <xf applyAlignment="true" applyBorder="false" applyFill="false" applyFont="true" applyNumberFormat="false" applyProtection="false" borderId="29" fillId="0" fontId="4" numFmtId="0" xfId="0">
      <alignment horizontal="center" vertical="center"/>
    </xf>
    <xf applyAlignment="true" applyBorder="false" applyFill="true" applyFont="true" applyNumberFormat="false" applyProtection="false" borderId="30" fillId="8" fontId="6" numFmtId="0" xfId="0">
      <alignment horizontal="center" vertical="center"/>
    </xf>
    <xf applyAlignment="true" applyBorder="false" applyFill="true" applyFont="true" applyNumberFormat="true" applyProtection="false" borderId="15" fillId="9" fontId="4" numFmtId="170" xfId="0">
      <alignment horizontal="center" vertical="center"/>
    </xf>
    <xf applyAlignment="true" applyBorder="false" applyFill="true" applyFont="true" applyNumberFormat="false" applyProtection="false" borderId="31" fillId="9" fontId="6" numFmtId="0" xfId="0">
      <alignment horizontal="center" vertical="center"/>
    </xf>
    <xf applyAlignment="true" applyBorder="false" applyFill="true" applyFont="true" applyNumberFormat="false" applyProtection="false" borderId="15" fillId="9" fontId="6" numFmtId="0" xfId="0">
      <alignment horizontal="center" vertical="center"/>
    </xf>
    <xf applyAlignment="true" applyBorder="false" applyFill="true" applyFont="true" applyNumberFormat="true" applyProtection="false" borderId="15" fillId="9" fontId="6" numFmtId="171" xfId="0">
      <alignment horizontal="center" vertical="center"/>
    </xf>
    <xf applyAlignment="true" applyBorder="false" applyFill="true" applyFont="true" applyNumberFormat="true" applyProtection="false" borderId="15" fillId="9" fontId="6" numFmtId="169" xfId="0">
      <alignment horizontal="center" vertical="center"/>
    </xf>
    <xf applyAlignment="true" applyBorder="false" applyFill="true" applyFont="true" applyNumberFormat="false" applyProtection="false" borderId="33" fillId="10" fontId="1" numFmtId="0" xfId="0">
      <alignment horizontal="center" vertical="center"/>
    </xf>
    <xf applyAlignment="true" applyBorder="false" applyFill="true" applyFont="true" applyNumberFormat="false" applyProtection="false" borderId="33" fillId="10" fontId="2" numFmtId="0" xfId="0">
      <alignment horizontal="center" vertical="center"/>
    </xf>
    <xf applyAlignment="true" applyBorder="false" applyFill="true" applyFont="true" applyNumberFormat="false" applyProtection="false" borderId="33" fillId="10" fontId="2" numFmtId="0" xfId="0">
      <alignment horizontal="center" vertical="center"/>
    </xf>
    <xf applyAlignment="true" applyBorder="false" applyFill="true" applyFont="true" applyNumberFormat="true" applyProtection="false" borderId="33" fillId="11" fontId="3" numFmtId="172" xfId="0">
      <alignment horizontal="center" vertical="center"/>
    </xf>
    <xf applyAlignment="true" applyBorder="false" applyFill="true" applyFont="true" applyNumberFormat="true" applyProtection="false" borderId="33" fillId="10" fontId="2" numFmtId="172" xfId="0">
      <alignment horizontal="center" vertical="center"/>
    </xf>
    <xf applyAlignment="true" applyBorder="false" applyFill="true" applyFont="true" applyNumberFormat="false" applyProtection="false" borderId="0" fillId="10" fontId="2" numFmtId="0" xfId="0">
      <alignment horizontal="center" vertical="center"/>
    </xf>
    <xf applyAlignment="true" applyBorder="false" applyFill="false" applyFont="true" applyNumberFormat="true" applyProtection="false" borderId="34" fillId="0" fontId="4" numFmtId="173" xfId="0">
      <alignment horizontal="center" vertical="center"/>
    </xf>
    <xf applyAlignment="true" applyBorder="false" applyFill="false" applyFont="true" applyNumberFormat="false" applyProtection="false" borderId="33" fillId="0" fontId="4" numFmtId="0" xfId="0">
      <alignment horizontal="center" vertical="center"/>
    </xf>
    <xf applyAlignment="true" applyBorder="false" applyFill="false" applyFont="true" applyNumberFormat="false" applyProtection="false" borderId="35" fillId="0" fontId="4" numFmtId="0" xfId="0">
      <alignment horizontal="center" vertical="center" wrapText="true"/>
    </xf>
    <xf applyAlignment="true" applyBorder="false" applyFill="false" applyFont="true" applyNumberFormat="false" applyProtection="false" borderId="36" fillId="0" fontId="4" numFmtId="0" xfId="0">
      <alignment horizontal="center" vertical="center"/>
    </xf>
    <xf applyAlignment="true" applyBorder="false" applyFill="false" applyFont="true" applyNumberFormat="false" applyProtection="false" borderId="37" fillId="0" fontId="4" numFmtId="0" xfId="0">
      <alignment horizontal="center" vertical="center"/>
    </xf>
    <xf applyAlignment="true" applyBorder="false" applyFill="false" applyFont="true" applyNumberFormat="false" applyProtection="false" borderId="38" fillId="0" fontId="4" numFmtId="0" xfId="0">
      <alignment horizontal="center" vertical="center"/>
    </xf>
    <xf applyAlignment="true" applyBorder="false" applyFill="false" applyFont="true" applyNumberFormat="true" applyProtection="false" borderId="39" fillId="0" fontId="4" numFmtId="172" xfId="0">
      <alignment horizontal="center" vertical="center"/>
    </xf>
    <xf applyAlignment="true" applyBorder="false" applyFill="false" applyFont="true" applyNumberFormat="true" applyProtection="false" borderId="40" fillId="0" fontId="4" numFmtId="172" xfId="0">
      <alignment horizontal="center" vertical="center"/>
    </xf>
    <xf applyAlignment="true" applyBorder="false" applyFill="false" applyFont="true" applyNumberFormat="true" applyProtection="false" borderId="33" fillId="0" fontId="4" numFmtId="172" xfId="0">
      <alignment horizontal="center" vertical="center"/>
    </xf>
    <xf applyAlignment="true" applyBorder="false" applyFill="false" applyFont="true" applyNumberFormat="false" applyProtection="false" borderId="41" fillId="0" fontId="4" numFmtId="0" xfId="0">
      <alignment horizontal="center" vertical="center"/>
    </xf>
    <xf applyAlignment="true" applyBorder="false" applyFill="false" applyFont="true" applyNumberFormat="false" applyProtection="false" borderId="42" fillId="0" fontId="4" numFmtId="0" xfId="0">
      <alignment horizontal="center" vertical="center"/>
    </xf>
    <xf applyAlignment="true" applyBorder="false" applyFill="false" applyFont="true" applyNumberFormat="false" applyProtection="false" borderId="43" fillId="0" fontId="4" numFmtId="0" xfId="0">
      <alignment horizontal="center" vertical="center" wrapText="true"/>
    </xf>
    <xf applyAlignment="true" applyBorder="false" applyFill="false" applyFont="true" applyNumberFormat="false" applyProtection="false" borderId="43" fillId="0" fontId="4" numFmtId="0" xfId="0">
      <alignment horizontal="center" vertical="center"/>
    </xf>
    <xf applyAlignment="true" applyBorder="false" applyFill="true" applyFont="true" applyNumberFormat="false" applyProtection="false" borderId="33" fillId="12" fontId="7" numFmtId="0" xfId="0">
      <alignment horizontal="center" vertical="center"/>
    </xf>
    <xf applyAlignment="true" applyBorder="false" applyFill="true" applyFont="true" applyNumberFormat="false" applyProtection="false" borderId="41" fillId="12" fontId="6" numFmtId="0" xfId="0">
      <alignment horizontal="center" vertical="center"/>
    </xf>
    <xf applyAlignment="true" applyBorder="false" applyFill="false" applyFont="true" applyNumberFormat="false" applyProtection="false" borderId="33" fillId="0" fontId="5" numFmtId="0" xfId="0">
      <alignment vertical="center"/>
    </xf>
    <xf applyAlignment="true" applyBorder="false" applyFill="false" applyFont="true" applyNumberFormat="true" applyProtection="false" borderId="44" fillId="0" fontId="4" numFmtId="173" xfId="0">
      <alignment horizontal="center" vertical="center"/>
    </xf>
    <xf applyAlignment="true" applyBorder="false" applyFill="false" applyFont="true" applyNumberFormat="false" applyProtection="false" borderId="45" fillId="0" fontId="4" numFmtId="0" xfId="0">
      <alignment horizontal="center" vertical="center" wrapText="true"/>
    </xf>
    <xf applyAlignment="true" applyBorder="false" applyFill="false" applyFont="true" applyNumberFormat="false" applyProtection="false" borderId="42" fillId="0" fontId="4" numFmtId="0" xfId="0">
      <alignment horizontal="center" vertical="center"/>
    </xf>
    <xf applyAlignment="true" applyBorder="false" applyFill="false" applyFont="true" applyNumberFormat="false" applyProtection="false" borderId="46" fillId="0" fontId="4" numFmtId="0" xfId="0">
      <alignment horizontal="center" vertical="center"/>
    </xf>
    <xf applyAlignment="true" applyBorder="false" applyFill="false" applyFont="true" applyNumberFormat="true" applyProtection="false" borderId="47" fillId="0" fontId="4" numFmtId="172" xfId="0">
      <alignment horizontal="center" vertical="center"/>
    </xf>
    <xf applyAlignment="true" applyBorder="false" applyFill="false" applyFont="true" applyNumberFormat="true" applyProtection="false" borderId="48" fillId="0" fontId="4" numFmtId="172" xfId="0">
      <alignment horizontal="center" vertical="center"/>
    </xf>
    <xf applyAlignment="true" applyBorder="false" applyFill="false" applyFont="true" applyNumberFormat="true" applyProtection="false" borderId="49" fillId="0" fontId="4" numFmtId="172" xfId="0">
      <alignment horizontal="center" vertical="center"/>
    </xf>
    <xf applyAlignment="true" applyBorder="false" applyFill="false" applyFont="true" applyNumberFormat="false" applyProtection="false" borderId="49" fillId="0" fontId="4" numFmtId="0" xfId="0">
      <alignment horizontal="center" vertical="center"/>
    </xf>
    <xf applyAlignment="true" applyBorder="false" applyFill="true" applyFont="true" applyNumberFormat="false" applyProtection="false" borderId="50" fillId="12" fontId="6" numFmtId="0" xfId="0">
      <alignment horizontal="center" vertical="center"/>
    </xf>
    <xf applyAlignment="true" applyBorder="false" applyFill="true" applyFont="true" applyNumberFormat="true" applyProtection="false" borderId="33" fillId="13" fontId="4" numFmtId="173" xfId="0">
      <alignment horizontal="center" vertical="center"/>
    </xf>
    <xf applyAlignment="true" applyBorder="false" applyFill="true" applyFont="true" applyNumberFormat="false" applyProtection="false" borderId="33" fillId="13" fontId="6" numFmtId="0" xfId="0">
      <alignment horizontal="center" vertical="center"/>
    </xf>
    <xf applyAlignment="true" applyBorder="false" applyFill="true" applyFont="true" applyNumberFormat="true" applyProtection="false" borderId="33" fillId="13" fontId="6" numFmtId="172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33" fillId="0" fontId="5" numFmtId="0" xfId="0">
      <alignment horizontal="center" vertical="center"/>
    </xf>
    <xf applyAlignment="true" applyBorder="false" applyFill="false" applyFont="true" applyNumberFormat="false" applyProtection="false" borderId="51" fillId="0" fontId="4" numFmtId="0" xfId="0">
      <alignment horizontal="center" vertical="center"/>
    </xf>
    <xf applyAlignment="true" applyBorder="false" applyFill="true" applyFont="true" applyNumberFormat="false" applyProtection="false" borderId="52" fillId="13" fontId="6" numFmtId="0" xfId="0">
      <alignment horizontal="center" vertical="center"/>
    </xf>
    <xf applyAlignment="true" applyBorder="false" applyFill="false" applyFont="true" applyNumberFormat="false" applyProtection="false" borderId="35" fillId="0" fontId="4" numFmtId="0" xfId="0">
      <alignment horizontal="center" vertical="center" wrapText="true"/>
    </xf>
    <xf applyAlignment="true" applyBorder="false" applyFill="false" applyFont="true" applyNumberFormat="false" applyProtection="false" borderId="36" fillId="0" fontId="4" numFmtId="0" xfId="0">
      <alignment horizontal="center" vertical="center"/>
    </xf>
    <xf applyAlignment="true" applyBorder="false" applyFill="false" applyFont="true" applyNumberFormat="false" applyProtection="false" borderId="43" fillId="0" fontId="4" numFmtId="0" xfId="0">
      <alignment horizontal="center" vertical="center"/>
    </xf>
    <xf applyAlignment="true" applyBorder="false" applyFill="false" applyFont="true" applyNumberFormat="false" applyProtection="false" borderId="45" fillId="0" fontId="4" numFmtId="0" xfId="0">
      <alignment horizontal="center" vertical="center" wrapText="true"/>
    </xf>
    <xf applyAlignment="true" applyBorder="false" applyFill="false" applyFont="true" applyNumberFormat="false" applyProtection="false" borderId="33" fillId="0" fontId="4" numFmtId="0" xfId="0">
      <alignment horizontal="center" vertical="center" wrapText="true"/>
    </xf>
    <xf applyAlignment="true" applyBorder="false" applyFill="false" applyFont="true" applyNumberFormat="true" applyProtection="false" borderId="33" fillId="0" fontId="4" numFmtId="173" xfId="0">
      <alignment horizontal="center" vertical="center"/>
    </xf>
    <xf applyAlignment="true" applyBorder="false" applyFill="true" applyFont="true" applyNumberFormat="false" applyProtection="false" borderId="53" fillId="13" fontId="6" numFmtId="0" xfId="0">
      <alignment horizontal="center" vertical="center"/>
    </xf>
    <xf applyAlignment="true" applyBorder="false" applyFill="false" applyFont="true" applyNumberFormat="false" applyProtection="false" borderId="36" fillId="0" fontId="8" numFmtId="0" xfId="0">
      <alignment horizontal="center" vertical="center"/>
    </xf>
    <xf applyAlignment="true" applyBorder="false" applyFill="false" applyFont="true" applyNumberFormat="false" applyProtection="false" borderId="43" fillId="0" fontId="8" numFmtId="0" xfId="0">
      <alignment horizontal="center" vertical="center"/>
    </xf>
    <xf applyAlignment="true" applyBorder="false" applyFill="true" applyFont="true" applyNumberFormat="false" applyProtection="false" borderId="0" fillId="14" fontId="10" numFmtId="0" xfId="0">
      <alignment horizontal="center" vertical="center"/>
    </xf>
    <xf applyAlignment="true" applyBorder="false" applyFill="false" applyFont="true" applyNumberFormat="true" applyProtection="false" borderId="0" fillId="0" fontId="5" numFmtId="174" xfId="0">
      <alignment vertical="center"/>
    </xf>
    <xf applyAlignment="true" applyBorder="false" applyFill="false" applyFont="true" applyNumberFormat="true" applyProtection="false" borderId="0" fillId="0" fontId="5" numFmtId="175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54" fillId="15" fontId="1" numFmtId="0" xfId="0">
      <alignment horizontal="center" vertical="center"/>
    </xf>
    <xf applyAlignment="true" applyBorder="false" applyFill="true" applyFont="true" applyNumberFormat="false" applyProtection="false" borderId="54" fillId="15" fontId="2" numFmtId="0" xfId="0">
      <alignment horizontal="center" vertical="center"/>
    </xf>
    <xf applyAlignment="true" applyBorder="false" applyFill="true" applyFont="true" applyNumberFormat="false" applyProtection="false" borderId="54" fillId="15" fontId="2" numFmtId="0" xfId="0">
      <alignment horizontal="center" vertical="center"/>
    </xf>
    <xf applyAlignment="true" applyBorder="false" applyFill="true" applyFont="true" applyNumberFormat="true" applyProtection="false" borderId="54" fillId="16" fontId="3" numFmtId="176" xfId="0">
      <alignment horizontal="center" vertical="center"/>
    </xf>
    <xf applyAlignment="true" applyBorder="false" applyFill="true" applyFont="true" applyNumberFormat="true" applyProtection="false" borderId="54" fillId="15" fontId="2" numFmtId="176" xfId="0">
      <alignment horizontal="center" vertical="center"/>
    </xf>
    <xf applyAlignment="true" applyBorder="false" applyFill="true" applyFont="true" applyNumberFormat="false" applyProtection="false" borderId="0" fillId="15" fontId="2" numFmtId="0" xfId="0">
      <alignment horizontal="center" vertical="center"/>
    </xf>
    <xf applyAlignment="true" applyBorder="false" applyFill="false" applyFont="true" applyNumberFormat="true" applyProtection="false" borderId="55" fillId="0" fontId="4" numFmtId="177" xfId="0">
      <alignment horizontal="center" vertical="center"/>
    </xf>
    <xf applyAlignment="true" applyBorder="false" applyFill="false" applyFont="true" applyNumberFormat="false" applyProtection="false" borderId="56" fillId="0" fontId="4" numFmtId="0" xfId="0">
      <alignment horizontal="center" vertical="center"/>
    </xf>
    <xf applyAlignment="true" applyBorder="false" applyFill="false" applyFont="true" applyNumberFormat="false" applyProtection="false" borderId="57" fillId="0" fontId="4" numFmtId="0" xfId="0">
      <alignment horizontal="center" vertical="center" wrapText="true"/>
    </xf>
    <xf applyAlignment="true" applyBorder="false" applyFill="false" applyFont="true" applyNumberFormat="false" applyProtection="false" borderId="58" fillId="0" fontId="4" numFmtId="0" xfId="0">
      <alignment horizontal="center" vertical="center"/>
    </xf>
    <xf applyAlignment="true" applyBorder="false" applyFill="false" applyFont="true" applyNumberFormat="false" applyProtection="false" borderId="59" fillId="0" fontId="4" numFmtId="0" xfId="0">
      <alignment horizontal="center" vertical="center"/>
    </xf>
    <xf applyAlignment="true" applyBorder="false" applyFill="false" applyFont="true" applyNumberFormat="false" applyProtection="false" borderId="60" fillId="0" fontId="4" numFmtId="0" xfId="0">
      <alignment horizontal="center" vertical="center"/>
    </xf>
    <xf applyAlignment="true" applyBorder="false" applyFill="false" applyFont="true" applyNumberFormat="true" applyProtection="false" borderId="61" fillId="0" fontId="4" numFmtId="176" xfId="0">
      <alignment horizontal="center" vertical="center"/>
    </xf>
    <xf applyAlignment="true" applyBorder="false" applyFill="false" applyFont="true" applyNumberFormat="false" applyProtection="false" borderId="55" fillId="0" fontId="4" numFmtId="0" xfId="0">
      <alignment horizontal="center" vertical="center"/>
    </xf>
    <xf applyAlignment="true" applyBorder="false" applyFill="false" applyFont="true" applyNumberFormat="false" applyProtection="false" borderId="62" fillId="0" fontId="4" numFmtId="0" xfId="0">
      <alignment horizontal="center" vertical="center"/>
    </xf>
    <xf applyAlignment="true" applyBorder="false" applyFill="false" applyFont="true" applyNumberFormat="false" applyProtection="false" borderId="63" fillId="0" fontId="4" numFmtId="0" xfId="0">
      <alignment horizontal="center" vertical="center"/>
    </xf>
    <xf applyAlignment="true" applyBorder="false" applyFill="false" applyFont="true" applyNumberFormat="false" applyProtection="false" borderId="64" fillId="0" fontId="4" numFmtId="0" xfId="0">
      <alignment horizontal="center" vertical="center" wrapText="true"/>
    </xf>
    <xf applyAlignment="true" applyBorder="false" applyFill="false" applyFont="true" applyNumberFormat="false" applyProtection="false" borderId="64" fillId="0" fontId="4" numFmtId="0" xfId="0">
      <alignment horizontal="center" vertical="center"/>
    </xf>
    <xf applyAlignment="true" applyBorder="false" applyFill="false" applyFont="true" applyNumberFormat="true" applyProtection="false" borderId="60" fillId="0" fontId="4" numFmtId="178" xfId="0">
      <alignment horizontal="center" vertical="center"/>
    </xf>
    <xf applyAlignment="true" applyBorder="false" applyFill="true" applyFont="true" applyNumberFormat="false" applyProtection="false" borderId="65" fillId="17" fontId="7" numFmtId="0" xfId="0">
      <alignment horizontal="center" vertical="center"/>
    </xf>
    <xf applyAlignment="true" applyBorder="false" applyFill="true" applyFont="true" applyNumberFormat="false" applyProtection="false" borderId="62" fillId="17" fontId="6" numFmtId="0" xfId="0">
      <alignment horizontal="center" vertical="center"/>
    </xf>
    <xf applyAlignment="true" applyBorder="false" applyFill="false" applyFont="true" applyNumberFormat="false" applyProtection="false" borderId="63" fillId="0" fontId="4" numFmtId="0" xfId="0">
      <alignment horizontal="center" vertical="center"/>
    </xf>
    <xf applyAlignment="true" applyBorder="false" applyFill="false" applyFont="true" applyNumberFormat="true" applyProtection="false" borderId="66" fillId="0" fontId="4" numFmtId="179" xfId="0">
      <alignment horizontal="center" vertical="center"/>
    </xf>
    <xf applyAlignment="true" applyBorder="false" applyFill="true" applyFont="true" applyNumberFormat="true" applyProtection="false" borderId="67" fillId="18" fontId="4" numFmtId="177" xfId="0">
      <alignment horizontal="center" vertical="center"/>
    </xf>
    <xf applyAlignment="true" applyBorder="false" applyFill="true" applyFont="true" applyNumberFormat="false" applyProtection="false" borderId="67" fillId="18" fontId="6" numFmtId="0" xfId="0">
      <alignment horizontal="center" vertical="center"/>
    </xf>
    <xf applyAlignment="true" applyBorder="false" applyFill="true" applyFont="true" applyNumberFormat="true" applyProtection="false" borderId="68" fillId="18" fontId="6" numFmtId="176" xfId="0">
      <alignment horizontal="center" vertical="center"/>
    </xf>
    <xf applyAlignment="true" applyBorder="false" applyFill="true" applyFont="true" applyNumberFormat="false" applyProtection="false" borderId="69" fillId="18" fontId="6" numFmtId="0" xfId="0">
      <alignment horizontal="center" vertical="center"/>
    </xf>
    <xf applyAlignment="true" applyBorder="false" applyFill="true" applyFont="true" applyNumberFormat="false" applyProtection="false" borderId="70" fillId="18" fontId="6" numFmtId="0" xfId="0">
      <alignment horizontal="center" vertical="center"/>
    </xf>
    <xf applyAlignment="true" applyBorder="false" applyFill="true" applyFont="true" applyNumberFormat="false" applyProtection="false" borderId="71" fillId="17" fontId="7" numFmtId="0" xfId="0">
      <alignment horizontal="center" vertical="center"/>
    </xf>
    <xf applyAlignment="true" applyBorder="false" applyFill="false" applyFont="true" applyNumberFormat="false" applyProtection="false" borderId="57" fillId="0" fontId="4" numFmtId="0" xfId="0">
      <alignment horizontal="center" vertical="center" wrapText="true"/>
    </xf>
    <xf applyAlignment="true" applyBorder="false" applyFill="false" applyFont="true" applyNumberFormat="false" applyProtection="false" borderId="64" fillId="0" fontId="4" numFmtId="0" xfId="0">
      <alignment horizontal="center" vertical="center"/>
    </xf>
    <xf applyAlignment="true" applyBorder="false" applyFill="false" applyFont="true" applyNumberFormat="true" applyProtection="false" borderId="72" fillId="0" fontId="4" numFmtId="176" xfId="0">
      <alignment horizontal="center" vertical="center"/>
    </xf>
    <xf applyAlignment="true" applyBorder="false" applyFill="false" applyFont="true" applyNumberFormat="false" applyProtection="false" borderId="56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72" fillId="0" fontId="4" numFmtId="0" xfId="0">
      <alignment horizontal="center" vertical="center"/>
    </xf>
    <xf applyAlignment="true" applyBorder="false" applyFill="false" applyFont="true" applyNumberFormat="false" applyProtection="false" borderId="58" fillId="0" fontId="4" numFmtId="0" xfId="0">
      <alignment horizontal="center" vertical="center"/>
    </xf>
    <xf applyAlignment="true" applyBorder="false" applyFill="false" applyFont="true" applyNumberFormat="true" applyProtection="false" borderId="69" fillId="0" fontId="4" numFmtId="177" xfId="0">
      <alignment horizontal="center" vertical="center"/>
    </xf>
    <xf applyAlignment="true" applyBorder="false" applyFill="false" applyFont="true" applyNumberFormat="false" applyProtection="false" borderId="63" fillId="0" fontId="4" numFmtId="0" xfId="0">
      <alignment horizontal="center" vertical="center" wrapText="true"/>
    </xf>
    <xf applyAlignment="true" applyBorder="false" applyFill="false" applyFont="true" applyNumberFormat="false" applyProtection="false" borderId="67" fillId="0" fontId="4" numFmtId="0" xfId="0">
      <alignment horizontal="center" vertical="center"/>
    </xf>
    <xf applyAlignment="true" applyBorder="false" applyFill="false" applyFont="true" applyNumberFormat="true" applyProtection="false" borderId="67" fillId="0" fontId="4" numFmtId="178" xfId="0">
      <alignment horizontal="center" vertical="center"/>
    </xf>
    <xf applyAlignment="true" applyBorder="false" applyFill="false" applyFont="true" applyNumberFormat="true" applyProtection="false" borderId="68" fillId="0" fontId="4" numFmtId="176" xfId="0">
      <alignment horizontal="center" vertical="center"/>
    </xf>
    <xf applyAlignment="true" applyBorder="false" applyFill="true" applyFont="true" applyNumberFormat="false" applyProtection="false" borderId="73" fillId="17" fontId="6" numFmtId="0" xfId="0">
      <alignment horizontal="center" vertical="center"/>
    </xf>
    <xf applyAlignment="true" applyBorder="false" applyFill="false" applyFont="true" applyNumberFormat="true" applyProtection="false" borderId="56" fillId="0" fontId="4" numFmtId="177" xfId="0">
      <alignment horizontal="center" vertical="center"/>
    </xf>
    <xf applyAlignment="true" applyBorder="false" applyFill="false" applyFont="true" applyNumberFormat="false" applyProtection="false" borderId="56" fillId="0" fontId="4" numFmtId="0" xfId="0">
      <alignment horizontal="center" vertical="center"/>
    </xf>
    <xf applyAlignment="true" applyBorder="false" applyFill="false" applyFont="true" applyNumberFormat="false" applyProtection="false" borderId="56" fillId="0" fontId="4" numFmtId="0" xfId="0">
      <alignment horizontal="center" vertical="center" wrapText="true"/>
    </xf>
    <xf applyAlignment="true" applyBorder="false" applyFill="false" applyFont="true" applyNumberFormat="true" applyProtection="false" borderId="56" fillId="0" fontId="4" numFmtId="178" xfId="0">
      <alignment horizontal="center" vertical="center"/>
    </xf>
    <xf applyAlignment="true" applyBorder="false" applyFill="false" applyFont="true" applyNumberFormat="true" applyProtection="false" borderId="56" fillId="0" fontId="4" numFmtId="176" xfId="0">
      <alignment horizontal="center" vertical="center"/>
    </xf>
    <xf applyAlignment="true" applyBorder="false" applyFill="false" applyFont="true" applyNumberFormat="false" applyProtection="false" borderId="56" fillId="0" fontId="5" numFmtId="0" xfId="0">
      <alignment horizontal="center" vertical="center"/>
    </xf>
    <xf applyAlignment="true" applyBorder="false" applyFill="true" applyFont="true" applyNumberFormat="false" applyProtection="false" borderId="56" fillId="17" fontId="6" numFmtId="0" xfId="0">
      <alignment horizontal="center" vertical="center"/>
    </xf>
    <xf applyAlignment="true" applyBorder="false" applyFill="true" applyFont="true" applyNumberFormat="true" applyProtection="false" borderId="56" fillId="18" fontId="4" numFmtId="177" xfId="0">
      <alignment horizontal="center" vertical="center"/>
    </xf>
    <xf applyAlignment="true" applyBorder="false" applyFill="true" applyFont="true" applyNumberFormat="false" applyProtection="false" borderId="56" fillId="18" fontId="6" numFmtId="0" xfId="0">
      <alignment horizontal="center" vertical="center"/>
    </xf>
    <xf applyAlignment="true" applyBorder="false" applyFill="true" applyFont="true" applyNumberFormat="true" applyProtection="false" borderId="56" fillId="18" fontId="6" numFmtId="176" xfId="0">
      <alignment horizontal="center" vertical="center"/>
    </xf>
    <xf applyAlignment="true" applyBorder="false" applyFill="true" applyFont="true" applyNumberFormat="true" applyProtection="false" borderId="68" fillId="18" fontId="4" numFmtId="177" xfId="0">
      <alignment horizontal="center" vertical="center"/>
    </xf>
    <xf applyAlignment="true" applyBorder="false" applyFill="true" applyFont="true" applyNumberFormat="false" applyProtection="false" borderId="68" fillId="18" fontId="6" numFmtId="0" xfId="0">
      <alignment horizontal="center" vertical="center"/>
    </xf>
    <xf applyAlignment="true" applyBorder="false" applyFill="true" applyFont="true" applyNumberFormat="false" applyProtection="false" borderId="74" fillId="18" fontId="6" numFmtId="0" xfId="0">
      <alignment horizontal="center" vertical="center"/>
    </xf>
    <xf applyAlignment="true" applyBorder="false" applyFill="true" applyFont="true" applyNumberFormat="false" applyProtection="false" borderId="75" fillId="18" fontId="6" numFmtId="0" xfId="0">
      <alignment horizontal="center" vertical="center"/>
    </xf>
    <xf applyAlignment="true" applyBorder="false" applyFill="false" applyFont="true" applyNumberFormat="false" applyProtection="false" borderId="76" fillId="0" fontId="4" numFmtId="0" xfId="0">
      <alignment horizontal="center" vertical="center"/>
    </xf>
    <xf applyAlignment="true" applyBorder="false" applyFill="true" applyFont="true" applyNumberFormat="false" applyProtection="false" borderId="56" fillId="17" fontId="7" numFmtId="0" xfId="0">
      <alignment horizontal="center" vertical="center"/>
    </xf>
    <xf applyAlignment="true" applyBorder="false" applyFill="true" applyFont="true" applyNumberFormat="false" applyProtection="false" borderId="76" fillId="17" fontId="6" numFmtId="0" xfId="0">
      <alignment horizontal="center" vertical="center"/>
    </xf>
    <xf applyAlignment="true" applyBorder="false" applyFill="false" applyFont="true" applyNumberFormat="false" applyProtection="false" borderId="64" fillId="0" fontId="8" numFmtId="0" xfId="0">
      <alignment horizontal="center" vertical="center"/>
    </xf>
    <xf applyAlignment="true" applyBorder="false" applyFill="false" applyFont="true" applyNumberFormat="false" applyProtection="false" borderId="58" fillId="0" fontId="8" numFmtId="0" xfId="0">
      <alignment horizontal="center" vertical="center"/>
    </xf>
    <xf applyAlignment="true" applyBorder="false" applyFill="false" applyFont="true" applyNumberFormat="false" applyProtection="false" borderId="64" fillId="0" fontId="8" numFmtId="0" xfId="0">
      <alignment horizontal="center" vertical="center"/>
    </xf>
    <xf applyAlignment="true" applyBorder="false" applyFill="false" applyFont="true" applyNumberFormat="true" applyProtection="false" borderId="0" fillId="0" fontId="5" numFmtId="178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180" xfId="0">
      <alignment vertical="center"/>
    </xf>
    <xf applyAlignment="true" applyBorder="false" applyFill="true" applyFont="true" applyNumberFormat="true" applyProtection="false" borderId="67" fillId="18" fontId="6" numFmtId="180" xfId="0">
      <alignment horizontal="center" vertical="center"/>
    </xf>
    <xf applyAlignment="true" applyBorder="false" applyFill="true" applyFont="true" applyNumberFormat="true" applyProtection="false" borderId="0" fillId="19" fontId="11" numFmtId="178" xfId="0">
      <alignment vertical="center"/>
    </xf>
    <xf applyAlignment="true" applyBorder="false" applyFill="true" applyFont="true" applyNumberFormat="false" applyProtection="false" borderId="77" fillId="20" fontId="1" numFmtId="0" xfId="0">
      <alignment horizontal="center" vertical="center"/>
    </xf>
    <xf applyAlignment="true" applyBorder="false" applyFill="true" applyFont="true" applyNumberFormat="false" applyProtection="false" borderId="77" fillId="20" fontId="2" numFmtId="0" xfId="0">
      <alignment horizontal="center" vertical="center"/>
    </xf>
    <xf applyAlignment="true" applyBorder="false" applyFill="true" applyFont="true" applyNumberFormat="false" applyProtection="false" borderId="77" fillId="20" fontId="2" numFmtId="0" xfId="0">
      <alignment horizontal="center" vertical="center"/>
    </xf>
    <xf applyAlignment="true" applyBorder="false" applyFill="true" applyFont="true" applyNumberFormat="true" applyProtection="false" borderId="77" fillId="21" fontId="3" numFmtId="181" xfId="0">
      <alignment horizontal="center" vertical="center"/>
    </xf>
    <xf applyAlignment="true" applyBorder="false" applyFill="true" applyFont="true" applyNumberFormat="true" applyProtection="false" borderId="77" fillId="20" fontId="2" numFmtId="181" xfId="0">
      <alignment horizontal="center" vertical="center"/>
    </xf>
    <xf applyAlignment="true" applyBorder="false" applyFill="true" applyFont="true" applyNumberFormat="false" applyProtection="false" borderId="0" fillId="20" fontId="2" numFmtId="0" xfId="0">
      <alignment horizontal="center" vertical="center"/>
    </xf>
    <xf applyAlignment="true" applyBorder="false" applyFill="false" applyFont="true" applyNumberFormat="true" applyProtection="false" borderId="78" fillId="0" fontId="4" numFmtId="182" xfId="0">
      <alignment horizontal="center" vertical="center"/>
    </xf>
    <xf applyAlignment="true" applyBorder="false" applyFill="false" applyFont="true" applyNumberFormat="false" applyProtection="false" borderId="79" fillId="0" fontId="4" numFmtId="0" xfId="0">
      <alignment horizontal="center" vertical="center"/>
    </xf>
    <xf applyAlignment="true" applyBorder="false" applyFill="false" applyFont="true" applyNumberFormat="false" applyProtection="false" borderId="80" fillId="0" fontId="4" numFmtId="0" xfId="0">
      <alignment horizontal="center" vertical="center" wrapText="true"/>
    </xf>
    <xf applyAlignment="true" applyBorder="false" applyFill="false" applyFont="true" applyNumberFormat="false" applyProtection="false" borderId="78" fillId="0" fontId="4" numFmtId="0" xfId="0">
      <alignment horizontal="center" vertical="center"/>
    </xf>
    <xf applyAlignment="true" applyBorder="false" applyFill="false" applyFont="true" applyNumberFormat="false" applyProtection="false" borderId="81" fillId="0" fontId="4" numFmtId="0" xfId="0">
      <alignment horizontal="center" vertical="center"/>
    </xf>
    <xf applyAlignment="true" applyBorder="false" applyFill="false" applyFont="true" applyNumberFormat="false" applyProtection="false" borderId="80" fillId="0" fontId="4" numFmtId="0" xfId="0">
      <alignment horizontal="center" vertical="center"/>
    </xf>
    <xf applyAlignment="true" applyBorder="false" applyFill="false" applyFont="true" applyNumberFormat="false" applyProtection="false" borderId="82" fillId="0" fontId="4" numFmtId="0" xfId="0">
      <alignment horizontal="center" vertical="center"/>
    </xf>
    <xf applyAlignment="true" applyBorder="false" applyFill="false" applyFont="true" applyNumberFormat="true" applyProtection="false" borderId="82" fillId="0" fontId="4" numFmtId="183" xfId="0">
      <alignment horizontal="center" vertical="center"/>
    </xf>
    <xf applyAlignment="true" applyBorder="false" applyFill="false" applyFont="true" applyNumberFormat="true" applyProtection="false" borderId="83" fillId="0" fontId="4" numFmtId="181" xfId="0">
      <alignment horizontal="center" vertical="center"/>
    </xf>
    <xf applyAlignment="true" applyBorder="false" applyFill="false" applyFont="true" applyNumberFormat="false" applyProtection="false" borderId="78" fillId="0" fontId="4" numFmtId="0" xfId="0">
      <alignment horizontal="center" vertical="center"/>
    </xf>
    <xf applyAlignment="true" applyBorder="false" applyFill="false" applyFont="true" applyNumberFormat="true" applyProtection="false" borderId="82" fillId="0" fontId="4" numFmtId="182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82" fillId="0" fontId="4" numFmtId="0" xfId="0">
      <alignment horizontal="center" vertical="center" wrapText="true"/>
    </xf>
    <xf applyAlignment="true" applyBorder="false" applyFill="false" applyFont="true" applyNumberFormat="false" applyProtection="false" borderId="82" fillId="0" fontId="4" numFmtId="0" xfId="0">
      <alignment horizontal="center" vertical="center"/>
    </xf>
    <xf applyAlignment="true" applyBorder="false" applyFill="false" applyFont="true" applyNumberFormat="true" applyProtection="false" borderId="82" fillId="0" fontId="4" numFmtId="183" xfId="0">
      <alignment horizontal="center" vertical="center"/>
    </xf>
    <xf applyAlignment="true" applyBorder="false" applyFill="true" applyFont="true" applyNumberFormat="false" applyProtection="false" borderId="81" fillId="22" fontId="7" numFmtId="0" xfId="0">
      <alignment horizontal="center" vertical="center"/>
    </xf>
    <xf applyAlignment="true" applyBorder="false" applyFill="true" applyFont="true" applyNumberFormat="false" applyProtection="false" borderId="81" fillId="22" fontId="6" numFmtId="0" xfId="0">
      <alignment horizontal="center" vertical="center"/>
    </xf>
    <xf applyAlignment="true" applyBorder="false" applyFill="true" applyFont="true" applyNumberFormat="true" applyProtection="false" borderId="84" fillId="23" fontId="4" numFmtId="182" xfId="0">
      <alignment horizontal="center" vertical="center"/>
    </xf>
    <xf applyAlignment="true" applyBorder="false" applyFill="true" applyFont="true" applyNumberFormat="false" applyProtection="false" borderId="84" fillId="23" fontId="6" numFmtId="0" xfId="0">
      <alignment horizontal="center" vertical="center"/>
    </xf>
    <xf applyAlignment="true" applyBorder="false" applyFill="true" applyFont="true" applyNumberFormat="true" applyProtection="false" borderId="85" fillId="23" fontId="6" numFmtId="181" xfId="0">
      <alignment horizontal="center" vertical="center"/>
    </xf>
    <xf applyAlignment="true" applyBorder="false" applyFill="true" applyFont="true" applyNumberFormat="false" applyProtection="false" borderId="86" fillId="23" fontId="6" numFmtId="0" xfId="0">
      <alignment horizontal="center" vertical="center"/>
    </xf>
    <xf applyAlignment="true" applyBorder="false" applyFill="false" applyFont="true" applyNumberFormat="false" applyProtection="false" borderId="84" fillId="0" fontId="4" numFmtId="0" xfId="0">
      <alignment horizontal="center" vertical="center"/>
    </xf>
    <xf applyAlignment="true" applyBorder="false" applyFill="false" applyFont="true" applyNumberFormat="false" applyProtection="false" borderId="83" fillId="0" fontId="4" numFmtId="0" xfId="0">
      <alignment horizontal="center" vertical="center"/>
    </xf>
    <xf applyAlignment="true" applyBorder="false" applyFill="false" applyFont="true" applyNumberFormat="false" applyProtection="false" borderId="87" fillId="0" fontId="4" numFmtId="0" xfId="0">
      <alignment horizontal="center" vertical="center"/>
    </xf>
    <xf applyAlignment="true" applyBorder="false" applyFill="false" applyFont="true" applyNumberFormat="false" applyProtection="false" borderId="79" fillId="0" fontId="5" numFmtId="0" xfId="0">
      <alignment horizontal="center" vertical="center"/>
    </xf>
    <xf applyAlignment="true" applyBorder="false" applyFill="false" applyFont="true" applyNumberFormat="false" applyProtection="false" borderId="85" fillId="0" fontId="4" numFmtId="0" xfId="0">
      <alignment horizontal="center" vertical="center"/>
    </xf>
    <xf applyAlignment="true" applyBorder="false" applyFill="false" applyFont="true" applyNumberFormat="false" applyProtection="false" borderId="81" fillId="0" fontId="4" numFmtId="0" xfId="0">
      <alignment horizontal="center" vertical="center"/>
    </xf>
    <xf applyAlignment="true" applyBorder="false" applyFill="false" applyFont="true" applyNumberFormat="false" applyProtection="false" borderId="80" fillId="0" fontId="4" numFmtId="0" xfId="0">
      <alignment horizontal="center" vertical="center"/>
    </xf>
    <xf applyAlignment="true" applyBorder="false" applyFill="false" applyFont="true" applyNumberFormat="false" applyProtection="false" borderId="84" fillId="0" fontId="4" numFmtId="0" xfId="0">
      <alignment horizontal="center" vertical="center"/>
    </xf>
    <xf applyAlignment="true" applyBorder="false" applyFill="true" applyFont="true" applyNumberFormat="false" applyProtection="false" borderId="81" fillId="22" fontId="7" numFmtId="0" xfId="0">
      <alignment horizontal="center" vertical="center"/>
    </xf>
    <xf applyAlignment="true" applyBorder="false" applyFill="false" applyFont="true" applyNumberFormat="false" applyProtection="false" borderId="79" fillId="0" fontId="4" numFmtId="0" xfId="0">
      <alignment horizontal="center" vertical="center"/>
    </xf>
    <xf applyAlignment="true" applyBorder="false" applyFill="false" applyFont="true" applyNumberFormat="false" applyProtection="false" borderId="88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89" fillId="0" fontId="4" numFmtId="182" xfId="0">
      <alignment horizontal="center" vertical="center"/>
    </xf>
    <xf applyAlignment="true" applyBorder="false" applyFill="false" applyFont="true" applyNumberFormat="true" applyProtection="false" borderId="81" fillId="0" fontId="4" numFmtId="184" xfId="0">
      <alignment horizontal="center" vertical="center"/>
    </xf>
    <xf applyAlignment="true" applyBorder="false" applyFill="false" applyFont="true" applyNumberFormat="false" applyProtection="false" borderId="90" fillId="0" fontId="4" numFmtId="0" xfId="0">
      <alignment horizontal="center" vertical="center" wrapText="true"/>
    </xf>
    <xf applyAlignment="true" applyBorder="false" applyFill="false" applyFont="true" applyNumberFormat="false" applyProtection="false" borderId="89" fillId="0" fontId="4" numFmtId="0" xfId="0">
      <alignment horizontal="center" vertical="center"/>
    </xf>
    <xf applyAlignment="true" applyBorder="false" applyFill="false" applyFont="true" applyNumberFormat="false" applyProtection="false" borderId="90" fillId="0" fontId="4" numFmtId="0" xfId="0">
      <alignment horizontal="center" vertical="center"/>
    </xf>
    <xf applyAlignment="true" applyBorder="false" applyFill="false" applyFont="true" applyNumberFormat="false" applyProtection="false" borderId="91" fillId="0" fontId="4" numFmtId="0" xfId="0">
      <alignment horizontal="center" vertical="center"/>
    </xf>
    <xf applyAlignment="true" applyBorder="false" applyFill="false" applyFont="true" applyNumberFormat="true" applyProtection="false" borderId="91" fillId="0" fontId="4" numFmtId="183" xfId="0">
      <alignment horizontal="center" vertical="center"/>
    </xf>
    <xf applyAlignment="true" applyBorder="false" applyFill="false" applyFont="true" applyNumberFormat="true" applyProtection="false" borderId="92" fillId="0" fontId="4" numFmtId="181" xfId="0">
      <alignment horizontal="center" vertical="center"/>
    </xf>
    <xf applyAlignment="true" applyBorder="false" applyFill="false" applyFont="true" applyNumberFormat="false" applyProtection="false" borderId="93" fillId="0" fontId="4" numFmtId="0" xfId="0">
      <alignment horizontal="center" vertical="center"/>
    </xf>
    <xf applyAlignment="true" applyBorder="false" applyFill="true" applyFont="true" applyNumberFormat="false" applyProtection="false" borderId="0" fillId="24" fontId="4" numFmtId="0" xfId="0">
      <alignment horizontal="center" vertical="center"/>
    </xf>
    <xf applyAlignment="true" applyBorder="false" applyFill="true" applyFont="true" applyNumberFormat="false" applyProtection="false" borderId="94" fillId="22" fontId="7" numFmtId="0" xfId="0">
      <alignment horizontal="center" vertical="center"/>
    </xf>
    <xf applyAlignment="true" applyBorder="false" applyFill="true" applyFont="true" applyNumberFormat="false" applyProtection="false" borderId="93" fillId="22" fontId="6" numFmtId="0" xfId="0">
      <alignment horizontal="center" vertical="center"/>
    </xf>
    <xf applyAlignment="true" applyBorder="false" applyFill="true" applyFont="true" applyNumberFormat="false" applyProtection="false" borderId="0" fillId="24" fontId="6" numFmtId="0" xfId="0">
      <alignment horizontal="center" vertical="center"/>
    </xf>
    <xf applyAlignment="true" applyBorder="false" applyFill="false" applyFont="true" applyNumberFormat="false" applyProtection="false" borderId="91" fillId="0" fontId="4" numFmtId="0" xfId="0">
      <alignment horizontal="center" vertical="center" wrapText="true"/>
    </xf>
    <xf applyAlignment="true" applyBorder="false" applyFill="false" applyFont="true" applyNumberFormat="false" applyProtection="false" borderId="89" fillId="0" fontId="4" numFmtId="0" xfId="0">
      <alignment horizontal="center" vertical="center"/>
    </xf>
    <xf applyAlignment="true" applyBorder="false" applyFill="false" applyFont="true" applyNumberFormat="false" applyProtection="false" borderId="91" fillId="0" fontId="4" numFmtId="0" xfId="0">
      <alignment horizontal="center" vertical="center"/>
    </xf>
    <xf applyAlignment="true" applyBorder="false" applyFill="true" applyFont="true" applyNumberFormat="false" applyProtection="false" borderId="93" fillId="22" fontId="7" numFmtId="0" xfId="0">
      <alignment horizontal="center" vertical="center"/>
    </xf>
    <xf applyAlignment="true" applyBorder="false" applyFill="true" applyFont="true" applyNumberFormat="false" applyProtection="false" borderId="0" fillId="24" fontId="7" numFmtId="0" xfId="0">
      <alignment horizontal="center" vertical="center"/>
    </xf>
    <xf applyAlignment="true" applyBorder="false" applyFill="true" applyFont="true" applyNumberFormat="true" applyProtection="false" borderId="95" fillId="23" fontId="4" numFmtId="182" xfId="0">
      <alignment horizontal="center" vertical="center"/>
    </xf>
    <xf applyAlignment="true" applyBorder="false" applyFill="true" applyFont="true" applyNumberFormat="false" applyProtection="false" borderId="95" fillId="23" fontId="6" numFmtId="0" xfId="0">
      <alignment horizontal="center" vertical="center"/>
    </xf>
    <xf applyAlignment="true" applyBorder="false" applyFill="true" applyFont="true" applyNumberFormat="true" applyProtection="false" borderId="96" fillId="23" fontId="6" numFmtId="181" xfId="0">
      <alignment horizontal="center" vertical="center"/>
    </xf>
    <xf applyAlignment="true" applyBorder="false" applyFill="true" applyFont="true" applyNumberFormat="false" applyProtection="false" borderId="97" fillId="23" fontId="6" numFmtId="0" xfId="0">
      <alignment horizontal="center" vertical="center"/>
    </xf>
    <xf applyAlignment="true" applyBorder="false" applyFill="true" applyFont="true" applyNumberFormat="false" applyProtection="false" borderId="98" fillId="23" fontId="6" numFmtId="0" xfId="0">
      <alignment horizontal="center" vertical="center"/>
    </xf>
    <xf applyAlignment="true" applyBorder="false" applyFill="false" applyFont="true" applyNumberFormat="true" applyProtection="false" borderId="78" fillId="0" fontId="4" numFmtId="182" xfId="0">
      <alignment horizontal="center" vertical="center"/>
    </xf>
    <xf applyAlignment="true" applyBorder="false" applyFill="false" applyFont="true" applyNumberFormat="true" applyProtection="false" borderId="81" fillId="0" fontId="4" numFmtId="184" xfId="0">
      <alignment horizontal="center" vertical="center"/>
    </xf>
    <xf applyAlignment="true" applyBorder="false" applyFill="true" applyFont="true" applyNumberFormat="true" applyProtection="false" borderId="84" fillId="23" fontId="4" numFmtId="182" xfId="0">
      <alignment horizontal="center" vertical="center"/>
    </xf>
    <xf applyAlignment="true" applyBorder="false" applyFill="true" applyFont="true" applyNumberFormat="false" applyProtection="false" borderId="99" fillId="23" fontId="6" numFmtId="0" xfId="0">
      <alignment horizontal="center" vertical="center"/>
    </xf>
    <xf applyAlignment="true" applyBorder="false" applyFill="false" applyFont="true" applyNumberFormat="false" applyProtection="false" borderId="78" fillId="0" fontId="8" numFmtId="0" xfId="0">
      <alignment horizontal="center" vertical="center"/>
    </xf>
    <xf applyAlignment="true" applyBorder="false" applyFill="false" applyFont="true" applyNumberFormat="false" applyProtection="false" borderId="82" fillId="0" fontId="8" numFmtId="0" xfId="0">
      <alignment horizontal="center" vertical="center"/>
    </xf>
    <xf applyAlignment="true" applyBorder="false" applyFill="true" applyFont="true" applyNumberFormat="true" applyProtection="false" borderId="0" fillId="25" fontId="11" numFmtId="183" xfId="0">
      <alignment vertical="center"/>
    </xf>
    <xf applyAlignment="true" applyBorder="false" applyFill="true" applyFont="true" applyNumberFormat="false" applyProtection="false" borderId="0" fillId="25" fontId="11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100" fillId="26" fontId="1" numFmtId="0" xfId="0">
      <alignment horizontal="center" vertical="center"/>
    </xf>
    <xf applyAlignment="true" applyBorder="false" applyFill="true" applyFont="true" applyNumberFormat="false" applyProtection="false" borderId="100" fillId="26" fontId="2" numFmtId="0" xfId="0">
      <alignment horizontal="center" vertical="center"/>
    </xf>
    <xf applyAlignment="true" applyBorder="false" applyFill="true" applyFont="true" applyNumberFormat="false" applyProtection="false" borderId="100" fillId="26" fontId="2" numFmtId="0" xfId="0">
      <alignment horizontal="center" vertical="center"/>
    </xf>
    <xf applyAlignment="true" applyBorder="false" applyFill="true" applyFont="true" applyNumberFormat="true" applyProtection="false" borderId="100" fillId="27" fontId="3" numFmtId="185" xfId="0">
      <alignment horizontal="center" vertical="center"/>
    </xf>
    <xf applyAlignment="true" applyBorder="false" applyFill="true" applyFont="true" applyNumberFormat="true" applyProtection="false" borderId="100" fillId="26" fontId="2" numFmtId="185" xfId="0">
      <alignment horizontal="center" vertical="center"/>
    </xf>
    <xf applyAlignment="true" applyBorder="false" applyFill="true" applyFont="true" applyNumberFormat="false" applyProtection="false" borderId="0" fillId="26" fontId="2" numFmtId="0" xfId="0">
      <alignment horizontal="center" vertical="center"/>
    </xf>
    <xf applyAlignment="true" applyBorder="false" applyFill="true" applyFont="true" applyNumberFormat="false" applyProtection="false" borderId="0" fillId="26" fontId="2" numFmtId="0" xfId="0">
      <alignment horizontal="center" vertical="center"/>
    </xf>
    <xf applyAlignment="true" applyBorder="false" applyFill="false" applyFont="true" applyNumberFormat="true" applyProtection="false" borderId="101" fillId="0" fontId="4" numFmtId="186" xfId="0">
      <alignment horizontal="center" vertical="center"/>
    </xf>
    <xf applyAlignment="true" applyBorder="false" applyFill="false" applyFont="true" applyNumberFormat="true" applyProtection="false" borderId="102" fillId="0" fontId="4" numFmtId="187" xfId="0">
      <alignment horizontal="center" vertical="center"/>
    </xf>
    <xf applyAlignment="true" applyBorder="false" applyFill="false" applyFont="true" applyNumberFormat="false" applyProtection="false" borderId="103" fillId="0" fontId="4" numFmtId="0" xfId="0">
      <alignment horizontal="center" vertical="center" wrapText="true"/>
    </xf>
    <xf applyAlignment="true" applyBorder="false" applyFill="false" applyFont="true" applyNumberFormat="false" applyProtection="false" borderId="101" fillId="0" fontId="4" numFmtId="0" xfId="0">
      <alignment horizontal="center" vertical="center"/>
    </xf>
    <xf applyAlignment="true" applyBorder="false" applyFill="false" applyFont="true" applyNumberFormat="false" applyProtection="false" borderId="104" fillId="0" fontId="4" numFmtId="0" xfId="0">
      <alignment horizontal="center" vertical="center"/>
    </xf>
    <xf applyAlignment="true" applyBorder="false" applyFill="false" applyFont="true" applyNumberFormat="false" applyProtection="false" borderId="103" fillId="0" fontId="4" numFmtId="0" xfId="0">
      <alignment horizontal="center" vertical="center"/>
    </xf>
    <xf applyAlignment="true" applyBorder="false" applyFill="false" applyFont="true" applyNumberFormat="false" applyProtection="false" borderId="105" fillId="0" fontId="4" numFmtId="0" xfId="0">
      <alignment horizontal="center" vertical="center"/>
    </xf>
    <xf applyAlignment="true" applyBorder="false" applyFill="false" applyFont="true" applyNumberFormat="true" applyProtection="false" borderId="105" fillId="0" fontId="4" numFmtId="188" xfId="0">
      <alignment horizontal="center" vertical="center"/>
    </xf>
    <xf applyAlignment="true" applyBorder="false" applyFill="false" applyFont="true" applyNumberFormat="true" applyProtection="false" borderId="106" fillId="0" fontId="4" numFmtId="185" xfId="0">
      <alignment horizontal="center" vertical="center"/>
    </xf>
    <xf applyAlignment="true" applyBorder="false" applyFill="false" applyFont="true" applyNumberFormat="false" applyProtection="false" borderId="107" fillId="0" fontId="4" numFmtId="0" xfId="0">
      <alignment horizontal="center" vertical="center"/>
    </xf>
    <xf applyAlignment="true" applyBorder="false" applyFill="false" applyFont="true" applyNumberFormat="false" applyProtection="false" borderId="107" fillId="0" fontId="4" numFmtId="0" xfId="0">
      <alignment horizontal="center" vertical="center"/>
    </xf>
    <xf applyAlignment="true" applyBorder="false" applyFill="true" applyFont="true" applyNumberFormat="false" applyProtection="false" borderId="107" fillId="28" fontId="7" numFmtId="0" xfId="0">
      <alignment horizontal="center" vertical="center"/>
    </xf>
    <xf applyAlignment="true" applyBorder="false" applyFill="true" applyFont="true" applyNumberFormat="false" applyProtection="false" borderId="107" fillId="28" fontId="6" numFmtId="0" xfId="0">
      <alignment horizontal="center" vertical="center"/>
    </xf>
    <xf applyAlignment="true" applyBorder="false" applyFill="true" applyFont="true" applyNumberFormat="false" applyProtection="false" borderId="107" fillId="28" fontId="6" numFmtId="0" xfId="0">
      <alignment horizontal="center" vertical="center"/>
    </xf>
    <xf applyAlignment="true" applyBorder="false" applyFill="false" applyFont="true" applyNumberFormat="false" applyProtection="false" borderId="105" fillId="0" fontId="4" numFmtId="0" xfId="0">
      <alignment horizontal="center" vertical="center" wrapText="true"/>
    </xf>
    <xf applyAlignment="true" applyBorder="false" applyFill="false" applyFont="true" applyNumberFormat="false" applyProtection="false" borderId="101" fillId="0" fontId="4" numFmtId="0" xfId="0">
      <alignment horizontal="center" vertical="center"/>
    </xf>
    <xf applyAlignment="true" applyBorder="false" applyFill="false" applyFont="true" applyNumberFormat="false" applyProtection="false" borderId="105" fillId="0" fontId="4" numFmtId="0" xfId="0">
      <alignment horizontal="center" vertical="center"/>
    </xf>
    <xf applyAlignment="true" applyBorder="false" applyFill="true" applyFont="true" applyNumberFormat="false" applyProtection="false" borderId="107" fillId="28" fontId="7" numFmtId="0" xfId="0">
      <alignment horizontal="center" vertical="center"/>
    </xf>
    <xf applyAlignment="true" applyBorder="false" applyFill="true" applyFont="true" applyNumberFormat="true" applyProtection="false" borderId="108" fillId="29" fontId="4" numFmtId="186" xfId="0">
      <alignment horizontal="center" vertical="center"/>
    </xf>
    <xf applyAlignment="true" applyBorder="false" applyFill="true" applyFont="true" applyNumberFormat="false" applyProtection="false" borderId="108" fillId="29" fontId="6" numFmtId="0" xfId="0">
      <alignment horizontal="center" vertical="center"/>
    </xf>
    <xf applyAlignment="true" applyBorder="false" applyFill="true" applyFont="true" applyNumberFormat="true" applyProtection="false" borderId="109" fillId="29" fontId="6" numFmtId="185" xfId="0">
      <alignment horizontal="center" vertical="center"/>
    </xf>
    <xf applyAlignment="true" applyBorder="false" applyFill="true" applyFont="true" applyNumberFormat="false" applyProtection="false" borderId="110" fillId="29" fontId="6" numFmtId="0" xfId="0">
      <alignment horizontal="center" vertical="center"/>
    </xf>
    <xf applyAlignment="true" applyBorder="false" applyFill="true" applyFont="true" applyNumberFormat="false" applyProtection="false" borderId="110" fillId="29" fontId="6" numFmtId="0" xfId="0">
      <alignment horizontal="center" vertical="center"/>
    </xf>
    <xf applyAlignment="true" applyBorder="false" applyFill="false" applyFont="true" applyNumberFormat="true" applyProtection="false" borderId="105" fillId="0" fontId="4" numFmtId="186" xfId="0">
      <alignment horizontal="center" vertical="center"/>
    </xf>
    <xf applyAlignment="true" applyBorder="false" applyFill="false" applyFont="true" applyNumberFormat="false" applyProtection="false" borderId="105" fillId="0" fontId="4" numFmtId="0" xfId="0">
      <alignment horizontal="center" vertical="center" wrapText="true"/>
    </xf>
    <xf applyAlignment="true" applyBorder="false" applyFill="false" applyFont="true" applyNumberFormat="true" applyProtection="false" borderId="105" fillId="0" fontId="4" numFmtId="188" xfId="0">
      <alignment horizontal="center" vertical="center"/>
    </xf>
    <xf applyAlignment="true" applyBorder="false" applyFill="false" applyFont="true" applyNumberFormat="true" applyProtection="false" borderId="105" fillId="0" fontId="4" numFmtId="188" xfId="0">
      <alignment horizontal="center" vertical="center"/>
    </xf>
    <xf applyAlignment="true" applyBorder="false" applyFill="false" applyFont="true" applyNumberFormat="false" applyProtection="false" borderId="105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111" fillId="0" fontId="4" numFmtId="186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111" fillId="0" fontId="4" numFmtId="0" xfId="0">
      <alignment horizontal="center" vertical="center" wrapText="true"/>
    </xf>
    <xf applyAlignment="true" applyBorder="false" applyFill="false" applyFont="true" applyNumberFormat="false" applyProtection="false" borderId="112" fillId="0" fontId="4" numFmtId="0" xfId="0">
      <alignment horizontal="center" vertical="center"/>
    </xf>
    <xf applyAlignment="true" applyBorder="false" applyFill="false" applyFont="true" applyNumberFormat="false" applyProtection="false" borderId="102" fillId="0" fontId="4" numFmtId="0" xfId="0">
      <alignment horizontal="center" vertical="center"/>
    </xf>
    <xf applyAlignment="true" applyBorder="false" applyFill="false" applyFont="true" applyNumberFormat="false" applyProtection="false" borderId="113" fillId="0" fontId="4" numFmtId="0" xfId="0">
      <alignment horizontal="center" vertical="center"/>
    </xf>
    <xf applyAlignment="true" applyBorder="false" applyFill="false" applyFont="true" applyNumberFormat="false" applyProtection="false" borderId="111" fillId="0" fontId="4" numFmtId="0" xfId="0">
      <alignment horizontal="center" vertical="center"/>
    </xf>
    <xf applyAlignment="true" applyBorder="false" applyFill="false" applyFont="true" applyNumberFormat="true" applyProtection="false" borderId="111" fillId="0" fontId="4" numFmtId="188" xfId="0">
      <alignment horizontal="center" vertical="center"/>
    </xf>
    <xf applyAlignment="true" applyBorder="false" applyFill="false" applyFont="true" applyNumberFormat="true" applyProtection="false" borderId="114" fillId="0" fontId="4" numFmtId="185" xfId="0">
      <alignment horizontal="center" vertical="center"/>
    </xf>
    <xf applyAlignment="true" applyBorder="false" applyFill="false" applyFont="true" applyNumberFormat="false" applyProtection="false" borderId="112" fillId="0" fontId="4" numFmtId="0" xfId="0">
      <alignment horizontal="center" vertical="center"/>
    </xf>
    <xf applyAlignment="true" applyBorder="false" applyFill="false" applyFont="true" applyNumberFormat="false" applyProtection="false" borderId="102" fillId="0" fontId="4" numFmtId="0" xfId="0">
      <alignment horizontal="center" vertical="center"/>
    </xf>
    <xf applyAlignment="true" applyBorder="false" applyFill="false" applyFont="true" applyNumberFormat="false" applyProtection="false" borderId="111" fillId="0" fontId="4" numFmtId="0" xfId="0">
      <alignment horizontal="center" vertical="center"/>
    </xf>
    <xf applyAlignment="true" applyBorder="false" applyFill="true" applyFont="true" applyNumberFormat="false" applyProtection="false" borderId="102" fillId="28" fontId="7" numFmtId="0" xfId="0">
      <alignment horizontal="center" vertical="center"/>
    </xf>
    <xf applyAlignment="true" applyBorder="false" applyFill="true" applyFont="true" applyNumberFormat="false" applyProtection="false" borderId="102" fillId="28" fontId="6" numFmtId="0" xfId="0">
      <alignment horizontal="center" vertical="center"/>
    </xf>
    <xf applyAlignment="true" applyBorder="false" applyFill="true" applyFont="true" applyNumberFormat="false" applyProtection="false" borderId="102" fillId="28" fontId="6" numFmtId="0" xfId="0">
      <alignment horizontal="center" vertical="center"/>
    </xf>
    <xf applyAlignment="true" applyBorder="false" applyFill="true" applyFont="true" applyNumberFormat="false" applyProtection="false" borderId="102" fillId="28" fontId="7" numFmtId="0" xfId="0">
      <alignment horizontal="center" vertical="center"/>
    </xf>
    <xf applyAlignment="true" applyBorder="false" applyFill="true" applyFont="true" applyNumberFormat="true" applyProtection="false" borderId="115" fillId="29" fontId="4" numFmtId="186" xfId="0">
      <alignment horizontal="center" vertical="center"/>
    </xf>
    <xf applyAlignment="true" applyBorder="false" applyFill="true" applyFont="true" applyNumberFormat="false" applyProtection="false" borderId="115" fillId="29" fontId="6" numFmtId="0" xfId="0">
      <alignment horizontal="center" vertical="center"/>
    </xf>
    <xf applyAlignment="true" applyBorder="false" applyFill="true" applyFont="true" applyNumberFormat="true" applyProtection="false" borderId="116" fillId="29" fontId="6" numFmtId="185" xfId="0">
      <alignment horizontal="center" vertical="center"/>
    </xf>
    <xf applyAlignment="true" applyBorder="false" applyFill="true" applyFont="true" applyNumberFormat="false" applyProtection="false" borderId="117" fillId="29" fontId="6" numFmtId="0" xfId="0">
      <alignment horizontal="center" vertical="center"/>
    </xf>
    <xf applyAlignment="true" applyBorder="false" applyFill="true" applyFont="true" applyNumberFormat="false" applyProtection="false" borderId="117" fillId="29" fontId="6" numFmtId="0" xfId="0">
      <alignment horizontal="center" vertical="center"/>
    </xf>
    <xf applyAlignment="true" applyBorder="false" applyFill="false" applyFont="true" applyNumberFormat="true" applyProtection="false" borderId="112" fillId="0" fontId="4" numFmtId="186" xfId="0">
      <alignment horizontal="center" vertical="center"/>
    </xf>
    <xf applyAlignment="true" applyBorder="false" applyFill="false" applyFont="true" applyNumberFormat="false" applyProtection="false" borderId="104" fillId="0" fontId="5" numFmtId="0" xfId="0">
      <alignment horizontal="center" vertical="center"/>
    </xf>
    <xf applyAlignment="true" applyBorder="false" applyFill="false" applyFont="true" applyNumberFormat="false" applyProtection="false" borderId="113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111" fillId="0" fontId="4" numFmtId="188" xfId="0">
      <alignment horizontal="center" vertical="center"/>
    </xf>
    <xf applyAlignment="true" applyBorder="false" applyFill="false" applyFont="true" applyNumberFormat="false" applyProtection="false" borderId="111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189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true" applyProtection="false" borderId="0" fillId="30" fontId="11" numFmtId="188" xfId="0">
      <alignment vertical="center"/>
    </xf>
    <xf applyAlignment="true" applyBorder="false" applyFill="false" applyFont="true" applyNumberFormat="true" applyProtection="false" borderId="0" fillId="0" fontId="5" numFmtId="188" xfId="0">
      <alignment horizontal="center" vertical="center"/>
    </xf>
    <xf applyAlignment="true" applyBorder="false" applyFill="false" applyFont="true" applyNumberFormat="true" applyProtection="false" borderId="0" fillId="0" fontId="5" numFmtId="189" xfId="0">
      <alignment horizontal="center" vertical="center"/>
    </xf>
    <xf applyAlignment="true" applyBorder="false" applyFill="false" applyFont="true" applyNumberFormat="true" applyProtection="false" borderId="0" fillId="0" fontId="5" numFmtId="189" xfId="0">
      <alignment horizontal="center" vertical="center"/>
    </xf>
    <xf applyAlignment="true" applyBorder="false" applyFill="false" applyFont="true" applyNumberFormat="true" applyProtection="false" borderId="0" fillId="0" fontId="5" numFmtId="188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118" fillId="31" fontId="1" numFmtId="0" xfId="0">
      <alignment horizontal="center" vertical="center"/>
    </xf>
    <xf applyAlignment="true" applyBorder="false" applyFill="true" applyFont="true" applyNumberFormat="false" applyProtection="false" borderId="118" fillId="31" fontId="2" numFmtId="0" xfId="0">
      <alignment horizontal="center" vertical="center"/>
    </xf>
    <xf applyAlignment="true" applyBorder="false" applyFill="true" applyFont="true" applyNumberFormat="false" applyProtection="false" borderId="118" fillId="31" fontId="2" numFmtId="0" xfId="0">
      <alignment horizontal="center" vertical="center"/>
    </xf>
    <xf applyAlignment="true" applyBorder="false" applyFill="true" applyFont="true" applyNumberFormat="true" applyProtection="false" borderId="118" fillId="32" fontId="3" numFmtId="190" xfId="0">
      <alignment horizontal="center" vertical="center"/>
    </xf>
    <xf applyAlignment="true" applyBorder="false" applyFill="true" applyFont="true" applyNumberFormat="true" applyProtection="false" borderId="118" fillId="31" fontId="2" numFmtId="190" xfId="0">
      <alignment horizontal="center" vertical="center"/>
    </xf>
    <xf applyAlignment="true" applyBorder="false" applyFill="true" applyFont="true" applyNumberFormat="false" applyProtection="false" borderId="0" fillId="31" fontId="2" numFmtId="0" xfId="0">
      <alignment horizontal="center" vertical="center"/>
    </xf>
    <xf applyAlignment="true" applyBorder="false" applyFill="false" applyFont="true" applyNumberFormat="true" applyProtection="false" borderId="119" fillId="0" fontId="4" numFmtId="191" xfId="0">
      <alignment horizontal="center" vertical="center"/>
    </xf>
    <xf applyAlignment="true" applyBorder="false" applyFill="false" applyFont="true" applyNumberFormat="false" applyProtection="false" borderId="119" fillId="0" fontId="4" numFmtId="0" xfId="0">
      <alignment horizontal="center" vertical="center"/>
    </xf>
    <xf applyAlignment="true" applyBorder="false" applyFill="false" applyFont="true" applyNumberFormat="false" applyProtection="false" borderId="119" fillId="0" fontId="4" numFmtId="0" xfId="0">
      <alignment horizontal="center" vertical="center" wrapText="true"/>
    </xf>
    <xf applyAlignment="true" applyBorder="false" applyFill="false" applyFont="true" applyNumberFormat="false" applyProtection="false" borderId="120" fillId="0" fontId="4" numFmtId="0" xfId="0">
      <alignment horizontal="center" vertical="center"/>
    </xf>
    <xf applyAlignment="true" applyBorder="false" applyFill="false" applyFont="true" applyNumberFormat="false" applyProtection="false" borderId="121" fillId="0" fontId="4" numFmtId="0" xfId="0">
      <alignment horizontal="center" vertical="center"/>
    </xf>
    <xf applyAlignment="true" applyBorder="false" applyFill="false" applyFont="true" applyNumberFormat="false" applyProtection="false" borderId="122" fillId="0" fontId="4" numFmtId="0" xfId="0">
      <alignment horizontal="center" vertical="center"/>
    </xf>
    <xf applyAlignment="true" applyBorder="false" applyFill="false" applyFont="true" applyNumberFormat="true" applyProtection="false" borderId="119" fillId="0" fontId="4" numFmtId="192" xfId="0">
      <alignment horizontal="center" vertical="center"/>
    </xf>
    <xf applyAlignment="true" applyBorder="false" applyFill="false" applyFont="true" applyNumberFormat="true" applyProtection="false" borderId="123" fillId="0" fontId="4" numFmtId="190" xfId="0">
      <alignment horizontal="center" vertical="center"/>
    </xf>
    <xf applyAlignment="true" applyBorder="false" applyFill="false" applyFont="true" applyNumberFormat="false" applyProtection="false" borderId="119" fillId="0" fontId="4" numFmtId="0" xfId="0">
      <alignment horizontal="center" vertical="center"/>
    </xf>
    <xf applyAlignment="true" applyBorder="false" applyFill="false" applyFont="true" applyNumberFormat="false" applyProtection="false" borderId="124" fillId="0" fontId="4" numFmtId="0" xfId="0">
      <alignment horizontal="center" vertical="center"/>
    </xf>
    <xf applyAlignment="true" applyBorder="false" applyFill="false" applyFont="true" applyNumberFormat="true" applyProtection="false" borderId="119" fillId="0" fontId="4" numFmtId="192" xfId="0">
      <alignment horizontal="center" vertical="center"/>
    </xf>
    <xf applyAlignment="true" applyBorder="false" applyFill="true" applyFont="true" applyNumberFormat="false" applyProtection="false" borderId="124" fillId="33" fontId="7" numFmtId="0" xfId="0">
      <alignment horizontal="center" vertical="center"/>
    </xf>
    <xf applyAlignment="true" applyBorder="false" applyFill="true" applyFont="true" applyNumberFormat="false" applyProtection="false" borderId="124" fillId="33" fontId="6" numFmtId="0" xfId="0">
      <alignment horizontal="center" vertical="center"/>
    </xf>
    <xf applyAlignment="true" applyBorder="false" applyFill="false" applyFont="true" applyNumberFormat="false" applyProtection="false" borderId="120" fillId="0" fontId="4" numFmtId="0" xfId="0">
      <alignment horizontal="center" vertical="center"/>
    </xf>
    <xf applyAlignment="true" applyBorder="false" applyFill="true" applyFont="true" applyNumberFormat="true" applyProtection="false" borderId="125" fillId="34" fontId="4" numFmtId="191" xfId="0">
      <alignment horizontal="center" vertical="center"/>
    </xf>
    <xf applyAlignment="true" applyBorder="false" applyFill="true" applyFont="true" applyNumberFormat="false" applyProtection="false" borderId="125" fillId="34" fontId="6" numFmtId="0" xfId="0">
      <alignment horizontal="center" vertical="center"/>
    </xf>
    <xf applyAlignment="true" applyBorder="false" applyFill="true" applyFont="true" applyNumberFormat="true" applyProtection="false" borderId="126" fillId="34" fontId="6" numFmtId="190" xfId="0">
      <alignment horizontal="center" vertical="center"/>
    </xf>
    <xf applyAlignment="true" applyBorder="false" applyFill="true" applyFont="true" applyNumberFormat="false" applyProtection="false" borderId="127" fillId="34" fontId="6" numFmtId="0" xfId="0">
      <alignment horizontal="center" vertical="center"/>
    </xf>
    <xf applyAlignment="true" applyBorder="false" applyFill="false" applyFont="true" applyNumberFormat="false" applyProtection="false" borderId="119" fillId="0" fontId="4" numFmtId="0" xfId="0">
      <alignment horizontal="center" vertical="center" wrapText="true"/>
    </xf>
    <xf applyAlignment="true" applyBorder="false" applyFill="false" applyFont="true" applyNumberFormat="true" applyProtection="false" borderId="119" fillId="0" fontId="4" numFmtId="192" xfId="0">
      <alignment horizontal="center" vertical="center"/>
    </xf>
    <xf applyAlignment="true" applyBorder="false" applyFill="false" applyFont="true" applyNumberFormat="false" applyProtection="false" borderId="125" fillId="0" fontId="4" numFmtId="0" xfId="0">
      <alignment horizontal="center" vertical="center"/>
    </xf>
    <xf applyAlignment="true" applyBorder="false" applyFill="false" applyFont="true" applyNumberFormat="true" applyProtection="false" borderId="120" fillId="0" fontId="4" numFmtId="191" xfId="0">
      <alignment horizontal="center" vertical="center"/>
    </xf>
    <xf applyAlignment="true" applyBorder="false" applyFill="false" applyFont="true" applyNumberFormat="false" applyProtection="false" borderId="121" fillId="0" fontId="4" numFmtId="0" xfId="0">
      <alignment horizontal="center" vertical="center"/>
    </xf>
    <xf applyAlignment="true" applyBorder="false" applyFill="false" applyFont="true" applyNumberFormat="false" applyProtection="false" borderId="122" fillId="0" fontId="4" numFmtId="0" xfId="0">
      <alignment horizontal="center" vertical="center" wrapText="true"/>
    </xf>
    <xf applyAlignment="true" applyBorder="false" applyFill="false" applyFont="true" applyNumberFormat="false" applyProtection="false" borderId="123" fillId="0" fontId="4" numFmtId="0" xfId="0">
      <alignment horizontal="center" vertical="center"/>
    </xf>
    <xf applyAlignment="true" applyBorder="false" applyFill="false" applyFont="true" applyNumberFormat="true" applyProtection="false" borderId="128" fillId="0" fontId="4" numFmtId="193" xfId="0">
      <alignment horizontal="center" vertical="center"/>
    </xf>
    <xf applyAlignment="true" applyBorder="false" applyFill="false" applyFont="true" applyNumberFormat="true" applyProtection="false" borderId="128" fillId="0" fontId="4" numFmtId="193" xfId="0">
      <alignment horizontal="center" vertical="center"/>
    </xf>
    <xf applyAlignment="true" applyBorder="false" applyFill="false" applyFont="true" applyNumberFormat="false" applyProtection="false" borderId="129" fillId="0" fontId="4" numFmtId="0" xfId="0">
      <alignment horizontal="center" vertical="center"/>
    </xf>
    <xf applyAlignment="true" applyBorder="false" applyFill="false" applyFont="true" applyNumberFormat="false" applyProtection="false" borderId="120" fillId="0" fontId="8" numFmtId="0" xfId="0">
      <alignment horizontal="center" vertical="center"/>
    </xf>
    <xf applyAlignment="true" applyBorder="false" applyFill="false" applyFont="true" applyNumberFormat="false" applyProtection="false" borderId="119" fillId="0" fontId="8" numFmtId="0" xfId="0">
      <alignment horizontal="center" vertical="center"/>
    </xf>
    <xf applyAlignment="true" applyBorder="false" applyFill="true" applyFont="true" applyNumberFormat="true" applyProtection="false" borderId="0" fillId="35" fontId="11" numFmtId="192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194" xfId="0">
      <alignment vertical="center"/>
    </xf>
    <xf applyAlignment="true" applyBorder="false" applyFill="false" applyFont="true" applyNumberFormat="true" applyProtection="false" borderId="0" fillId="0" fontId="5" numFmtId="195" xfId="0">
      <alignment vertical="center"/>
    </xf>
    <xf applyAlignment="true" applyBorder="false" applyFill="true" applyFont="true" applyNumberFormat="false" applyProtection="false" borderId="130" fillId="36" fontId="1" numFmtId="0" xfId="0">
      <alignment horizontal="center" vertical="center"/>
    </xf>
    <xf applyAlignment="true" applyBorder="false" applyFill="true" applyFont="true" applyNumberFormat="false" applyProtection="false" borderId="130" fillId="36" fontId="2" numFmtId="0" xfId="0">
      <alignment horizontal="center" vertical="center"/>
    </xf>
    <xf applyAlignment="true" applyBorder="false" applyFill="true" applyFont="true" applyNumberFormat="false" applyProtection="false" borderId="130" fillId="36" fontId="2" numFmtId="0" xfId="0">
      <alignment horizontal="center" vertical="center"/>
    </xf>
    <xf applyAlignment="true" applyBorder="false" applyFill="true" applyFont="true" applyNumberFormat="true" applyProtection="false" borderId="130" fillId="37" fontId="3" numFmtId="196" xfId="0">
      <alignment horizontal="center" vertical="center"/>
    </xf>
    <xf applyAlignment="true" applyBorder="false" applyFill="true" applyFont="true" applyNumberFormat="true" applyProtection="false" borderId="130" fillId="36" fontId="2" numFmtId="196" xfId="0">
      <alignment horizontal="center" vertical="center"/>
    </xf>
    <xf applyAlignment="true" applyBorder="false" applyFill="true" applyFont="true" applyNumberFormat="false" applyProtection="false" borderId="0" fillId="36" fontId="2" numFmtId="0" xfId="0">
      <alignment horizontal="center" vertical="center"/>
    </xf>
    <xf applyAlignment="true" applyBorder="false" applyFill="false" applyFont="true" applyNumberFormat="true" applyProtection="false" borderId="131" fillId="0" fontId="4" numFmtId="197" xfId="0">
      <alignment horizontal="center" vertical="center"/>
    </xf>
    <xf applyAlignment="true" applyBorder="false" applyFill="false" applyFont="true" applyNumberFormat="false" applyProtection="false" borderId="131" fillId="0" fontId="4" numFmtId="0" xfId="0">
      <alignment horizontal="center" vertical="center"/>
    </xf>
    <xf applyAlignment="true" applyBorder="false" applyFill="false" applyFont="true" applyNumberFormat="false" applyProtection="false" borderId="131" fillId="0" fontId="4" numFmtId="0" xfId="0">
      <alignment horizontal="center" vertical="center" wrapText="true"/>
    </xf>
    <xf applyAlignment="true" applyBorder="false" applyFill="false" applyFont="true" applyNumberFormat="false" applyProtection="false" borderId="131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131" fillId="0" fontId="4" numFmtId="198" xfId="0">
      <alignment horizontal="center" vertical="center"/>
    </xf>
    <xf applyAlignment="true" applyBorder="false" applyFill="false" applyFont="true" applyNumberFormat="true" applyProtection="false" borderId="132" fillId="0" fontId="4" numFmtId="196" xfId="0">
      <alignment horizontal="center" vertical="center"/>
    </xf>
    <xf applyAlignment="true" applyBorder="false" applyFill="false" applyFont="true" applyNumberFormat="false" applyProtection="false" borderId="133" fillId="0" fontId="4" numFmtId="0" xfId="0">
      <alignment horizontal="center" vertical="center"/>
    </xf>
    <xf applyAlignment="true" applyBorder="false" applyFill="false" applyFont="true" applyNumberFormat="false" applyProtection="false" borderId="134" fillId="0" fontId="4" numFmtId="0" xfId="0">
      <alignment horizontal="center" vertical="center"/>
    </xf>
    <xf applyAlignment="true" applyBorder="false" applyFill="false" applyFont="true" applyNumberFormat="false" applyProtection="false" borderId="131" fillId="0" fontId="4" numFmtId="0" xfId="0">
      <alignment horizontal="center" vertical="center" wrapText="true"/>
    </xf>
    <xf applyAlignment="true" applyBorder="false" applyFill="false" applyFont="true" applyNumberFormat="true" applyProtection="false" borderId="131" fillId="0" fontId="4" numFmtId="198" xfId="0">
      <alignment horizontal="center" vertical="center"/>
    </xf>
    <xf applyAlignment="true" applyBorder="false" applyFill="true" applyFont="true" applyNumberFormat="false" applyProtection="false" borderId="134" fillId="38" fontId="7" numFmtId="0" xfId="0">
      <alignment horizontal="center" vertical="center"/>
    </xf>
    <xf applyAlignment="true" applyBorder="false" applyFill="true" applyFont="true" applyNumberFormat="false" applyProtection="false" borderId="134" fillId="38" fontId="6" numFmtId="0" xfId="0">
      <alignment horizontal="center" vertical="center"/>
    </xf>
    <xf applyAlignment="true" applyBorder="false" applyFill="false" applyFont="true" applyNumberFormat="false" applyProtection="false" borderId="133" fillId="0" fontId="4" numFmtId="0" xfId="0">
      <alignment horizontal="center" vertical="center"/>
    </xf>
    <xf applyAlignment="true" applyBorder="false" applyFill="false" applyFont="true" applyNumberFormat="false" applyProtection="false" borderId="135" fillId="0" fontId="4" numFmtId="0" xfId="0">
      <alignment horizontal="center" vertical="center"/>
    </xf>
    <xf applyAlignment="true" applyBorder="false" applyFill="false" applyFont="true" applyNumberFormat="false" applyProtection="false" borderId="136" fillId="0" fontId="4" numFmtId="0" xfId="0">
      <alignment horizontal="center" vertical="center"/>
    </xf>
    <xf applyAlignment="true" applyBorder="false" applyFill="true" applyFont="true" applyNumberFormat="true" applyProtection="false" borderId="137" fillId="39" fontId="4" numFmtId="197" xfId="0">
      <alignment horizontal="center" vertical="center"/>
    </xf>
    <xf applyAlignment="true" applyBorder="false" applyFill="true" applyFont="true" applyNumberFormat="false" applyProtection="false" borderId="137" fillId="39" fontId="6" numFmtId="0" xfId="0">
      <alignment horizontal="center" vertical="center"/>
    </xf>
    <xf applyAlignment="true" applyBorder="false" applyFill="true" applyFont="true" applyNumberFormat="true" applyProtection="false" borderId="138" fillId="39" fontId="6" numFmtId="196" xfId="0">
      <alignment horizontal="center" vertical="center"/>
    </xf>
    <xf applyAlignment="true" applyBorder="false" applyFill="true" applyFont="true" applyNumberFormat="false" applyProtection="false" borderId="139" fillId="39" fontId="6" numFmtId="0" xfId="0">
      <alignment horizontal="center" vertical="center"/>
    </xf>
    <xf applyAlignment="true" applyBorder="false" applyFill="false" applyFont="true" applyNumberFormat="false" applyProtection="false" borderId="135" fillId="0" fontId="4" numFmtId="0" xfId="0">
      <alignment horizontal="center" vertical="center"/>
    </xf>
    <xf applyAlignment="true" applyBorder="false" applyFill="false" applyFont="true" applyNumberFormat="false" applyProtection="false" borderId="136" fillId="0" fontId="4" numFmtId="0" xfId="0">
      <alignment horizontal="center" vertical="center"/>
    </xf>
    <xf applyAlignment="true" applyBorder="false" applyFill="false" applyFont="true" applyNumberFormat="true" applyProtection="false" borderId="131" fillId="0" fontId="4" numFmtId="198" xfId="0">
      <alignment horizontal="center" vertical="center"/>
    </xf>
    <xf applyAlignment="true" applyBorder="false" applyFill="false" applyFont="true" applyNumberFormat="false" applyProtection="false" borderId="14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137" fillId="0" fontId="4" numFmtId="0" xfId="0">
      <alignment horizontal="center" vertical="center"/>
    </xf>
    <xf applyAlignment="true" applyBorder="false" applyFill="false" applyFont="true" applyNumberFormat="true" applyProtection="false" borderId="133" fillId="0" fontId="4" numFmtId="197" xfId="0">
      <alignment horizontal="center" vertical="center"/>
    </xf>
    <xf applyAlignment="true" applyBorder="false" applyFill="false" applyFont="true" applyNumberFormat="false" applyProtection="false" borderId="135" fillId="0" fontId="5" numFmtId="0" xfId="0">
      <alignment horizontal="center" vertical="center"/>
    </xf>
    <xf applyAlignment="true" applyBorder="false" applyFill="false" applyFont="true" applyNumberFormat="false" applyProtection="false" borderId="136" fillId="0" fontId="4" numFmtId="0" xfId="0">
      <alignment horizontal="center" vertical="center" wrapText="true"/>
    </xf>
    <xf applyAlignment="true" applyBorder="false" applyFill="true" applyFont="true" applyNumberFormat="false" applyProtection="false" borderId="138" fillId="39" fontId="6" numFmtId="0" xfId="0">
      <alignment horizontal="center" vertical="center"/>
    </xf>
    <xf applyAlignment="true" applyBorder="false" applyFill="false" applyFont="true" applyNumberFormat="false" applyProtection="false" borderId="133" fillId="0" fontId="8" numFmtId="0" xfId="0">
      <alignment horizontal="center" vertical="center"/>
    </xf>
    <xf applyAlignment="true" applyBorder="false" applyFill="false" applyFont="true" applyNumberFormat="false" applyProtection="false" borderId="136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199" xfId="0">
      <alignment vertical="center"/>
    </xf>
    <xf applyAlignment="true" applyBorder="false" applyFill="true" applyFont="true" applyNumberFormat="true" applyProtection="false" borderId="0" fillId="40" fontId="11" numFmtId="198" xfId="0">
      <alignment vertical="center"/>
    </xf>
    <xf applyAlignment="true" applyBorder="false" applyFill="false" applyFont="true" applyNumberFormat="true" applyProtection="false" borderId="0" fillId="0" fontId="5" numFmtId="199" xfId="0">
      <alignment vertical="center"/>
    </xf>
    <xf applyAlignment="true" applyBorder="false" applyFill="false" applyFont="true" applyNumberFormat="true" applyProtection="false" borderId="0" fillId="0" fontId="5" numFmtId="198" xfId="0">
      <alignment vertical="center"/>
    </xf>
    <xf applyAlignment="true" applyBorder="false" applyFill="false" applyFont="true" applyNumberFormat="true" applyProtection="false" borderId="0" fillId="0" fontId="5" numFmtId="200" xfId="0">
      <alignment vertical="center"/>
    </xf>
    <xf applyAlignment="true" applyBorder="false" applyFill="true" applyFont="true" applyNumberFormat="false" applyProtection="false" borderId="141" fillId="41" fontId="1" numFmtId="0" xfId="0">
      <alignment horizontal="center" vertical="center"/>
    </xf>
    <xf applyAlignment="true" applyBorder="false" applyFill="true" applyFont="true" applyNumberFormat="false" applyProtection="false" borderId="141" fillId="41" fontId="2" numFmtId="0" xfId="0">
      <alignment horizontal="center" vertical="center"/>
    </xf>
    <xf applyAlignment="true" applyBorder="false" applyFill="true" applyFont="true" applyNumberFormat="false" applyProtection="false" borderId="141" fillId="41" fontId="2" numFmtId="0" xfId="0">
      <alignment horizontal="center" vertical="center"/>
    </xf>
    <xf applyAlignment="true" applyBorder="false" applyFill="true" applyFont="true" applyNumberFormat="true" applyProtection="false" borderId="141" fillId="42" fontId="3" numFmtId="201" xfId="0">
      <alignment horizontal="center" vertical="center"/>
    </xf>
    <xf applyAlignment="true" applyBorder="false" applyFill="true" applyFont="true" applyNumberFormat="true" applyProtection="false" borderId="141" fillId="41" fontId="2" numFmtId="201" xfId="0">
      <alignment horizontal="center" vertical="center"/>
    </xf>
    <xf applyAlignment="true" applyBorder="false" applyFill="true" applyFont="true" applyNumberFormat="false" applyProtection="false" borderId="0" fillId="41" fontId="2" numFmtId="0" xfId="0">
      <alignment horizontal="center" vertical="center"/>
    </xf>
    <xf applyAlignment="true" applyBorder="false" applyFill="false" applyFont="true" applyNumberFormat="true" applyProtection="false" borderId="142" fillId="0" fontId="4" numFmtId="202" xfId="0">
      <alignment horizontal="center" vertical="center"/>
    </xf>
    <xf applyAlignment="true" applyBorder="false" applyFill="false" applyFont="true" applyNumberFormat="false" applyProtection="false" borderId="142" fillId="0" fontId="4" numFmtId="0" xfId="0">
      <alignment horizontal="center" vertical="center"/>
    </xf>
    <xf applyAlignment="true" applyBorder="false" applyFill="false" applyFont="true" applyNumberFormat="false" applyProtection="false" borderId="142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142" fillId="0" fontId="4" numFmtId="203" xfId="0">
      <alignment horizontal="center" vertical="center"/>
    </xf>
    <xf applyAlignment="true" applyBorder="false" applyFill="false" applyFont="true" applyNumberFormat="true" applyProtection="false" borderId="143" fillId="0" fontId="4" numFmtId="201" xfId="0">
      <alignment horizontal="center" vertical="center"/>
    </xf>
    <xf applyAlignment="true" applyBorder="false" applyFill="false" applyFont="true" applyNumberFormat="false" applyProtection="false" borderId="144" fillId="0" fontId="4" numFmtId="0" xfId="0">
      <alignment horizontal="center" vertical="center"/>
    </xf>
    <xf applyAlignment="true" applyBorder="false" applyFill="false" applyFont="true" applyNumberFormat="false" applyProtection="false" borderId="141" fillId="0" fontId="5" numFmtId="0" xfId="0">
      <alignment horizontal="center" vertical="center"/>
    </xf>
    <xf applyAlignment="true" applyBorder="false" applyFill="true" applyFont="true" applyNumberFormat="false" applyProtection="false" borderId="141" fillId="43" fontId="7" numFmtId="0" xfId="0">
      <alignment horizontal="center" vertical="center"/>
    </xf>
    <xf applyAlignment="true" applyBorder="false" applyFill="true" applyFont="true" applyNumberFormat="false" applyProtection="false" borderId="141" fillId="43" fontId="6" numFmtId="0" xfId="0">
      <alignment horizontal="center" vertical="center"/>
    </xf>
    <xf applyAlignment="true" applyBorder="false" applyFill="true" applyFont="true" applyNumberFormat="true" applyProtection="false" borderId="145" fillId="44" fontId="4" numFmtId="202" xfId="0">
      <alignment horizontal="center" vertical="center"/>
    </xf>
    <xf applyAlignment="true" applyBorder="false" applyFill="true" applyFont="true" applyNumberFormat="false" applyProtection="false" borderId="145" fillId="44" fontId="6" numFmtId="0" xfId="0">
      <alignment horizontal="center" vertical="center"/>
    </xf>
    <xf applyAlignment="true" applyBorder="false" applyFill="true" applyFont="true" applyNumberFormat="true" applyProtection="false" borderId="146" fillId="44" fontId="6" numFmtId="201" xfId="0">
      <alignment horizontal="center" vertical="center"/>
    </xf>
    <xf applyAlignment="true" applyBorder="false" applyFill="true" applyFont="true" applyNumberFormat="false" applyProtection="false" borderId="147" fillId="44" fontId="6" numFmtId="0" xfId="0">
      <alignment horizontal="center" vertical="center"/>
    </xf>
    <xf applyAlignment="true" applyBorder="false" applyFill="false" applyFont="true" applyNumberFormat="true" applyProtection="false" borderId="142" fillId="0" fontId="4" numFmtId="203" xfId="0">
      <alignment horizontal="center" vertical="center"/>
    </xf>
    <xf applyAlignment="true" applyBorder="false" applyFill="false" applyFont="true" applyNumberFormat="false" applyProtection="false" borderId="142" fillId="0" fontId="4" numFmtId="0" xfId="0">
      <alignment horizontal="center" vertical="center"/>
    </xf>
    <xf applyAlignment="true" applyBorder="false" applyFill="false" applyFont="true" applyNumberFormat="false" applyProtection="false" borderId="142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142" fillId="0" fontId="4" numFmtId="203" xfId="0">
      <alignment horizontal="center" vertical="center"/>
    </xf>
    <xf applyAlignment="true" applyBorder="false" applyFill="false" applyFont="true" applyNumberFormat="false" applyProtection="false" borderId="144" fillId="0" fontId="4" numFmtId="0" xfId="0">
      <alignment horizontal="center" vertical="center"/>
    </xf>
    <xf applyAlignment="true" applyBorder="false" applyFill="false" applyFont="true" applyNumberFormat="false" applyProtection="false" borderId="148" fillId="0" fontId="4" numFmtId="0" xfId="0">
      <alignment horizontal="center" vertical="center"/>
    </xf>
    <xf applyAlignment="true" applyBorder="false" applyFill="false" applyFont="true" applyNumberFormat="true" applyProtection="false" borderId="142" fillId="0" fontId="4" numFmtId="202" xfId="0">
      <alignment horizontal="center" vertical="center"/>
    </xf>
    <xf applyAlignment="true" applyBorder="false" applyFill="false" applyFont="true" applyNumberFormat="true" applyProtection="false" borderId="142" fillId="0" fontId="4" numFmtId="203" xfId="0">
      <alignment horizontal="center" vertical="center"/>
    </xf>
    <xf applyAlignment="true" applyBorder="false" applyFill="true" applyFont="true" applyNumberFormat="false" applyProtection="false" borderId="148" fillId="45" fontId="7" numFmtId="0" xfId="0">
      <alignment horizontal="center" vertical="center"/>
    </xf>
    <xf applyAlignment="true" applyBorder="false" applyFill="true" applyFont="true" applyNumberFormat="false" applyProtection="false" borderId="148" fillId="45" fontId="6" numFmtId="0" xfId="0">
      <alignment horizontal="center" vertical="center"/>
    </xf>
    <xf applyAlignment="true" applyBorder="false" applyFill="true" applyFont="true" applyNumberFormat="true" applyProtection="false" borderId="145" fillId="44" fontId="4" numFmtId="202" xfId="0">
      <alignment horizontal="center" vertical="center"/>
    </xf>
    <xf applyAlignment="true" applyBorder="false" applyFill="false" applyFont="true" applyNumberFormat="false" applyProtection="false" borderId="142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203" xfId="0">
      <alignment vertical="center"/>
    </xf>
    <xf applyAlignment="true" applyBorder="false" applyFill="true" applyFont="true" applyNumberFormat="true" applyProtection="false" borderId="0" fillId="46" fontId="11" numFmtId="203" xfId="0">
      <alignment vertical="center"/>
    </xf>
    <xf applyAlignment="true" applyBorder="false" applyFill="false" applyFont="true" applyNumberFormat="true" applyProtection="false" borderId="0" fillId="0" fontId="5" numFmtId="204" xfId="0">
      <alignment vertical="center"/>
    </xf>
    <xf applyAlignment="true" applyBorder="false" applyFill="true" applyFont="true" applyNumberFormat="false" applyProtection="false" borderId="149" fillId="47" fontId="1" numFmtId="0" xfId="0">
      <alignment horizontal="center" vertical="center"/>
    </xf>
    <xf applyAlignment="true" applyBorder="false" applyFill="true" applyFont="true" applyNumberFormat="false" applyProtection="false" borderId="149" fillId="47" fontId="2" numFmtId="0" xfId="0">
      <alignment horizontal="center" vertical="center"/>
    </xf>
    <xf applyAlignment="true" applyBorder="false" applyFill="true" applyFont="true" applyNumberFormat="false" applyProtection="false" borderId="149" fillId="47" fontId="2" numFmtId="0" xfId="0">
      <alignment horizontal="center" vertical="center"/>
    </xf>
    <xf applyAlignment="true" applyBorder="false" applyFill="true" applyFont="true" applyNumberFormat="true" applyProtection="false" borderId="149" fillId="48" fontId="3" numFmtId="205" xfId="0">
      <alignment horizontal="center" vertical="center"/>
    </xf>
    <xf applyAlignment="true" applyBorder="false" applyFill="true" applyFont="true" applyNumberFormat="true" applyProtection="false" borderId="149" fillId="47" fontId="2" numFmtId="205" xfId="0">
      <alignment horizontal="center" vertical="center"/>
    </xf>
    <xf applyAlignment="true" applyBorder="false" applyFill="true" applyFont="true" applyNumberFormat="false" applyProtection="false" borderId="0" fillId="47" fontId="2" numFmtId="0" xfId="0">
      <alignment horizontal="center" vertical="center"/>
    </xf>
    <xf applyAlignment="true" applyBorder="false" applyFill="false" applyFont="true" applyNumberFormat="true" applyProtection="false" borderId="150" fillId="0" fontId="4" numFmtId="206" xfId="0">
      <alignment horizontal="center" vertical="center"/>
    </xf>
    <xf applyAlignment="true" applyBorder="false" applyFill="false" applyFont="true" applyNumberFormat="false" applyProtection="false" borderId="150" fillId="0" fontId="4" numFmtId="0" xfId="0">
      <alignment horizontal="center" vertical="center"/>
    </xf>
    <xf applyAlignment="true" applyBorder="false" applyFill="false" applyFont="true" applyNumberFormat="false" applyProtection="false" borderId="15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150" fillId="0" fontId="4" numFmtId="207" xfId="0">
      <alignment horizontal="center" vertical="center"/>
    </xf>
    <xf applyAlignment="true" applyBorder="false" applyFill="false" applyFont="true" applyNumberFormat="true" applyProtection="false" borderId="151" fillId="0" fontId="4" numFmtId="205" xfId="0">
      <alignment horizontal="center" vertical="center"/>
    </xf>
    <xf applyAlignment="true" applyBorder="false" applyFill="false" applyFont="true" applyNumberFormat="false" applyProtection="false" borderId="152" fillId="0" fontId="4" numFmtId="0" xfId="0">
      <alignment horizontal="center" vertical="center"/>
    </xf>
    <xf applyAlignment="true" applyBorder="false" applyFill="false" applyFont="true" applyNumberFormat="false" applyProtection="false" borderId="149" fillId="0" fontId="5" numFmtId="0" xfId="0">
      <alignment horizontal="center" vertical="center"/>
    </xf>
    <xf applyAlignment="true" applyBorder="false" applyFill="true" applyFont="true" applyNumberFormat="false" applyProtection="false" borderId="149" fillId="49" fontId="7" numFmtId="0" xfId="0">
      <alignment horizontal="center" vertical="center"/>
    </xf>
    <xf applyAlignment="true" applyBorder="false" applyFill="true" applyFont="true" applyNumberFormat="false" applyProtection="false" borderId="149" fillId="49" fontId="6" numFmtId="0" xfId="0">
      <alignment horizontal="center" vertical="center"/>
    </xf>
    <xf applyAlignment="true" applyBorder="false" applyFill="true" applyFont="true" applyNumberFormat="true" applyProtection="false" borderId="153" fillId="50" fontId="4" numFmtId="206" xfId="0">
      <alignment horizontal="center" vertical="center"/>
    </xf>
    <xf applyAlignment="true" applyBorder="false" applyFill="true" applyFont="true" applyNumberFormat="false" applyProtection="false" borderId="153" fillId="50" fontId="6" numFmtId="0" xfId="0">
      <alignment horizontal="center" vertical="center"/>
    </xf>
    <xf applyAlignment="true" applyBorder="false" applyFill="true" applyFont="true" applyNumberFormat="true" applyProtection="false" borderId="154" fillId="50" fontId="6" numFmtId="205" xfId="0">
      <alignment horizontal="center" vertical="center"/>
    </xf>
    <xf applyAlignment="true" applyBorder="false" applyFill="true" applyFont="true" applyNumberFormat="false" applyProtection="false" borderId="155" fillId="50" fontId="6" numFmtId="0" xfId="0">
      <alignment horizontal="center" vertical="center"/>
    </xf>
    <xf applyAlignment="true" applyBorder="false" applyFill="false" applyFont="true" applyNumberFormat="false" applyProtection="false" borderId="15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150" fillId="0" fontId="8" numFmtId="0" xfId="0">
      <alignment horizontal="center" vertical="center"/>
    </xf>
    <xf applyAlignment="true" applyBorder="false" applyFill="true" applyFont="true" applyNumberFormat="true" applyProtection="false" borderId="0" fillId="51" fontId="11" numFmtId="207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156" fillId="52" fontId="1" numFmtId="0" xfId="0">
      <alignment horizontal="center" vertical="center"/>
    </xf>
    <xf applyAlignment="true" applyBorder="false" applyFill="true" applyFont="true" applyNumberFormat="false" applyProtection="false" borderId="156" fillId="52" fontId="2" numFmtId="0" xfId="0">
      <alignment horizontal="center" vertical="center"/>
    </xf>
    <xf applyAlignment="true" applyBorder="false" applyFill="true" applyFont="true" applyNumberFormat="false" applyProtection="false" borderId="156" fillId="52" fontId="2" numFmtId="0" xfId="0">
      <alignment horizontal="center" vertical="center"/>
    </xf>
    <xf applyAlignment="true" applyBorder="false" applyFill="true" applyFont="true" applyNumberFormat="true" applyProtection="false" borderId="156" fillId="53" fontId="3" numFmtId="208" xfId="0">
      <alignment horizontal="center" vertical="center"/>
    </xf>
    <xf applyAlignment="true" applyBorder="false" applyFill="true" applyFont="true" applyNumberFormat="true" applyProtection="false" borderId="156" fillId="52" fontId="2" numFmtId="208" xfId="0">
      <alignment horizontal="center" vertical="center"/>
    </xf>
    <xf applyAlignment="true" applyBorder="false" applyFill="true" applyFont="true" applyNumberFormat="false" applyProtection="false" borderId="0" fillId="52" fontId="2" numFmtId="0" xfId="0">
      <alignment horizontal="center" vertical="center"/>
    </xf>
    <xf applyAlignment="true" applyBorder="false" applyFill="false" applyFont="true" applyNumberFormat="true" applyProtection="false" borderId="157" fillId="0" fontId="4" numFmtId="209" xfId="0">
      <alignment horizontal="center" vertical="center"/>
    </xf>
    <xf applyAlignment="true" applyBorder="false" applyFill="false" applyFont="true" applyNumberFormat="false" applyProtection="false" borderId="157" fillId="0" fontId="4" numFmtId="0" xfId="0">
      <alignment horizontal="center" vertical="center"/>
    </xf>
    <xf applyAlignment="true" applyBorder="false" applyFill="false" applyFont="true" applyNumberFormat="false" applyProtection="false" borderId="157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157" fillId="0" fontId="4" numFmtId="210" xfId="0">
      <alignment horizontal="center" vertical="center"/>
    </xf>
    <xf applyAlignment="true" applyBorder="false" applyFill="false" applyFont="true" applyNumberFormat="true" applyProtection="false" borderId="158" fillId="0" fontId="4" numFmtId="208" xfId="0">
      <alignment horizontal="center" vertical="center"/>
    </xf>
    <xf applyAlignment="true" applyBorder="false" applyFill="false" applyFont="true" applyNumberFormat="false" applyProtection="false" borderId="159" fillId="0" fontId="4" numFmtId="0" xfId="0">
      <alignment horizontal="center" vertical="center"/>
    </xf>
    <xf applyAlignment="true" applyBorder="false" applyFill="false" applyFont="true" applyNumberFormat="false" applyProtection="false" borderId="156" fillId="0" fontId="5" numFmtId="0" xfId="0">
      <alignment horizontal="center" vertical="center"/>
    </xf>
    <xf applyAlignment="true" applyBorder="false" applyFill="true" applyFont="true" applyNumberFormat="false" applyProtection="false" borderId="156" fillId="54" fontId="7" numFmtId="0" xfId="0">
      <alignment horizontal="center" vertical="center"/>
    </xf>
    <xf applyAlignment="true" applyBorder="false" applyFill="true" applyFont="true" applyNumberFormat="false" applyProtection="false" borderId="156" fillId="54" fontId="6" numFmtId="0" xfId="0">
      <alignment horizontal="center" vertical="center"/>
    </xf>
    <xf applyAlignment="true" applyBorder="false" applyFill="true" applyFont="true" applyNumberFormat="true" applyProtection="false" borderId="160" fillId="55" fontId="4" numFmtId="209" xfId="0">
      <alignment horizontal="center" vertical="center"/>
    </xf>
    <xf applyAlignment="true" applyBorder="false" applyFill="true" applyFont="true" applyNumberFormat="false" applyProtection="false" borderId="160" fillId="55" fontId="6" numFmtId="0" xfId="0">
      <alignment horizontal="center" vertical="center"/>
    </xf>
    <xf applyAlignment="true" applyBorder="false" applyFill="true" applyFont="true" applyNumberFormat="true" applyProtection="false" borderId="161" fillId="55" fontId="6" numFmtId="208" xfId="0">
      <alignment horizontal="center" vertical="center"/>
    </xf>
    <xf applyAlignment="true" applyBorder="false" applyFill="true" applyFont="true" applyNumberFormat="false" applyProtection="false" borderId="162" fillId="55" fontId="6" numFmtId="0" xfId="0">
      <alignment horizontal="center" vertical="center"/>
    </xf>
    <xf applyAlignment="true" applyBorder="false" applyFill="false" applyFont="true" applyNumberFormat="true" applyProtection="false" borderId="157" fillId="0" fontId="4" numFmtId="209" xfId="0">
      <alignment horizontal="center" vertical="center"/>
    </xf>
    <xf applyAlignment="true" applyBorder="false" applyFill="false" applyFont="true" applyNumberFormat="false" applyProtection="false" borderId="157" fillId="0" fontId="4" numFmtId="0" xfId="0">
      <alignment horizontal="center" vertical="center"/>
    </xf>
    <xf applyAlignment="true" applyBorder="false" applyFill="false" applyFont="true" applyNumberFormat="false" applyProtection="false" borderId="157" fillId="0" fontId="4" numFmtId="0" xfId="0">
      <alignment horizontal="center" vertical="center" wrapText="true"/>
    </xf>
    <xf applyAlignment="true" applyBorder="false" applyFill="false" applyFont="true" applyNumberFormat="true" applyProtection="false" borderId="157" fillId="0" fontId="4" numFmtId="210" xfId="0">
      <alignment horizontal="center" vertical="center"/>
    </xf>
    <xf applyAlignment="true" applyBorder="false" applyFill="false" applyFont="true" applyNumberFormat="false" applyProtection="false" borderId="159" fillId="0" fontId="4" numFmtId="0" xfId="0">
      <alignment horizontal="center" vertical="center"/>
    </xf>
    <xf applyAlignment="true" applyBorder="false" applyFill="false" applyFont="true" applyNumberFormat="false" applyProtection="false" borderId="163" fillId="0" fontId="4" numFmtId="0" xfId="0">
      <alignment horizontal="center" vertical="center"/>
    </xf>
    <xf applyAlignment="true" applyBorder="false" applyFill="true" applyFont="true" applyNumberFormat="false" applyProtection="false" borderId="163" fillId="56" fontId="7" numFmtId="0" xfId="0">
      <alignment horizontal="center" vertical="center"/>
    </xf>
    <xf applyAlignment="true" applyBorder="false" applyFill="true" applyFont="true" applyNumberFormat="false" applyProtection="false" borderId="163" fillId="56" fontId="6" numFmtId="0" xfId="0">
      <alignment horizontal="center" vertical="center"/>
    </xf>
    <xf applyAlignment="true" applyBorder="false" applyFill="true" applyFont="true" applyNumberFormat="true" applyProtection="false" borderId="160" fillId="55" fontId="4" numFmtId="209" xfId="0">
      <alignment horizontal="center" vertical="center"/>
    </xf>
    <xf applyAlignment="true" applyBorder="false" applyFill="false" applyFont="true" applyNumberFormat="true" applyProtection="false" borderId="164" fillId="0" fontId="4" numFmtId="208" xfId="0">
      <alignment horizontal="center" vertical="center"/>
    </xf>
    <xf applyAlignment="true" applyBorder="false" applyFill="false" applyFont="true" applyNumberFormat="false" applyProtection="false" borderId="156" fillId="0" fontId="5" numFmtId="0" xfId="0">
      <alignment vertical="center"/>
    </xf>
    <xf applyAlignment="true" applyBorder="false" applyFill="false" applyFont="true" applyNumberFormat="false" applyProtection="false" borderId="165" fillId="0" fontId="4" numFmtId="0" xfId="0">
      <alignment horizontal="center" vertical="center"/>
    </xf>
    <xf applyAlignment="true" applyBorder="false" applyFill="false" applyFont="true" applyNumberFormat="false" applyProtection="false" borderId="164" fillId="0" fontId="4" numFmtId="0" xfId="0">
      <alignment horizontal="center" vertical="center"/>
    </xf>
    <xf applyAlignment="true" applyBorder="false" applyFill="false" applyFont="true" applyNumberFormat="false" applyProtection="false" borderId="158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211" xfId="0">
      <alignment vertical="center"/>
    </xf>
    <xf applyAlignment="true" applyBorder="false" applyFill="false" applyFont="true" applyNumberFormat="true" applyProtection="false" borderId="0" fillId="0" fontId="5" numFmtId="210" xfId="0">
      <alignment vertical="center"/>
    </xf>
    <xf applyAlignment="true" applyBorder="false" applyFill="true" applyFont="true" applyNumberFormat="false" applyProtection="false" borderId="0" fillId="57" fontId="11" numFmtId="0" xfId="0">
      <alignment vertical="center"/>
    </xf>
    <xf applyAlignment="true" applyBorder="false" applyFill="true" applyFont="true" applyNumberFormat="true" applyProtection="false" borderId="0" fillId="57" fontId="11" numFmtId="21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0" fillId="57" fontId="11" numFmtId="0" xfId="0">
      <alignment vertical="center"/>
    </xf>
    <xf applyAlignment="true" applyBorder="false" applyFill="true" applyFont="true" applyNumberFormat="true" applyProtection="false" borderId="0" fillId="57" fontId="11" numFmtId="208" xfId="0">
      <alignment vertical="center"/>
    </xf>
    <xf applyAlignment="true" applyBorder="false" applyFill="false" applyFont="true" applyNumberFormat="true" applyProtection="false" borderId="0" fillId="0" fontId="4" numFmtId="210" xfId="0">
      <alignment vertical="center"/>
    </xf>
    <xf applyAlignment="true" applyBorder="false" applyFill="false" applyFont="true" applyNumberFormat="true" applyProtection="false" borderId="0" fillId="0" fontId="12" numFmtId="212" xfId="0">
      <alignment vertical="center"/>
    </xf>
    <xf applyAlignment="true" applyBorder="false" applyFill="true" applyFont="true" applyNumberFormat="true" applyProtection="false" borderId="0" fillId="57" fontId="11" numFmtId="21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66" fillId="58" fontId="13" numFmtId="0" xfId="0">
      <alignment vertical="center"/>
    </xf>
    <xf applyAlignment="true" applyBorder="false" applyFill="true" applyFont="true" applyNumberFormat="false" applyProtection="false" borderId="167" fillId="59" fontId="1" numFmtId="0" xfId="0">
      <alignment horizontal="center" vertical="center"/>
    </xf>
    <xf applyAlignment="true" applyBorder="false" applyFill="true" applyFont="true" applyNumberFormat="false" applyProtection="false" borderId="167" fillId="59" fontId="2" numFmtId="0" xfId="0">
      <alignment horizontal="center" vertical="center"/>
    </xf>
    <xf applyAlignment="true" applyBorder="false" applyFill="true" applyFont="true" applyNumberFormat="false" applyProtection="false" borderId="167" fillId="59" fontId="2" numFmtId="0" xfId="0">
      <alignment horizontal="center" vertical="center"/>
    </xf>
    <xf applyAlignment="true" applyBorder="false" applyFill="true" applyFont="true" applyNumberFormat="true" applyProtection="false" borderId="167" fillId="60" fontId="3" numFmtId="213" xfId="0">
      <alignment horizontal="center" vertical="center"/>
    </xf>
    <xf applyAlignment="true" applyBorder="false" applyFill="true" applyFont="true" applyNumberFormat="true" applyProtection="false" borderId="167" fillId="59" fontId="2" numFmtId="213" xfId="0">
      <alignment horizontal="center" vertical="center"/>
    </xf>
    <xf applyAlignment="true" applyBorder="false" applyFill="true" applyFont="true" applyNumberFormat="false" applyProtection="false" borderId="0" fillId="59" fontId="2" numFmtId="0" xfId="0">
      <alignment horizontal="center" vertical="center"/>
    </xf>
    <xf applyAlignment="true" applyBorder="false" applyFill="false" applyFont="true" applyNumberFormat="true" applyProtection="false" borderId="168" fillId="0" fontId="4" numFmtId="214" xfId="0">
      <alignment horizontal="center" vertical="center"/>
    </xf>
    <xf applyAlignment="true" applyBorder="false" applyFill="false" applyFont="true" applyNumberFormat="false" applyProtection="false" borderId="168" fillId="0" fontId="4" numFmtId="0" xfId="0">
      <alignment horizontal="center" vertical="center"/>
    </xf>
    <xf applyAlignment="true" applyBorder="false" applyFill="false" applyFont="true" applyNumberFormat="false" applyProtection="false" borderId="168" fillId="0" fontId="4" numFmtId="0" xfId="0">
      <alignment horizontal="center" vertical="center" wrapText="true"/>
    </xf>
    <xf applyAlignment="true" applyBorder="false" applyFill="false" applyFont="true" applyNumberFormat="true" applyProtection="false" borderId="168" fillId="0" fontId="4" numFmtId="215" xfId="0">
      <alignment horizontal="center" vertical="center"/>
    </xf>
    <xf applyAlignment="true" applyBorder="false" applyFill="false" applyFont="true" applyNumberFormat="true" applyProtection="false" borderId="169" fillId="0" fontId="4" numFmtId="213" xfId="0">
      <alignment horizontal="center" vertical="center"/>
    </xf>
    <xf applyAlignment="true" applyBorder="false" applyFill="false" applyFont="true" applyNumberFormat="false" applyProtection="false" borderId="170" fillId="0" fontId="4" numFmtId="0" xfId="0">
      <alignment horizontal="center" vertical="center"/>
    </xf>
    <xf applyAlignment="true" applyBorder="false" applyFill="false" applyFont="true" applyNumberFormat="false" applyProtection="false" borderId="167" fillId="0" fontId="5" numFmtId="0" xfId="0">
      <alignment horizontal="center" vertical="center"/>
    </xf>
    <xf applyAlignment="true" applyBorder="false" applyFill="true" applyFont="true" applyNumberFormat="false" applyProtection="false" borderId="167" fillId="61" fontId="7" numFmtId="0" xfId="0">
      <alignment horizontal="center" vertical="center"/>
    </xf>
    <xf applyAlignment="true" applyBorder="false" applyFill="true" applyFont="true" applyNumberFormat="false" applyProtection="false" borderId="167" fillId="61" fontId="6" numFmtId="0" xfId="0">
      <alignment horizontal="center" vertical="center"/>
    </xf>
    <xf applyAlignment="true" applyBorder="false" applyFill="true" applyFont="true" applyNumberFormat="false" applyProtection="false" borderId="167" fillId="61" fontId="6" numFmtId="0" xfId="0">
      <alignment horizontal="center" vertical="center"/>
    </xf>
    <xf applyAlignment="true" applyBorder="false" applyFill="true" applyFont="true" applyNumberFormat="true" applyProtection="false" borderId="171" fillId="62" fontId="4" numFmtId="214" xfId="0">
      <alignment horizontal="center" vertical="center"/>
    </xf>
    <xf applyAlignment="true" applyBorder="false" applyFill="true" applyFont="true" applyNumberFormat="false" applyProtection="false" borderId="171" fillId="62" fontId="6" numFmtId="0" xfId="0">
      <alignment horizontal="center" vertical="center"/>
    </xf>
    <xf applyAlignment="true" applyBorder="false" applyFill="true" applyFont="true" applyNumberFormat="true" applyProtection="false" borderId="172" fillId="62" fontId="6" numFmtId="213" xfId="0">
      <alignment horizontal="center" vertical="center"/>
    </xf>
    <xf applyAlignment="true" applyBorder="false" applyFill="true" applyFont="true" applyNumberFormat="false" applyProtection="false" borderId="173" fillId="62" fontId="6" numFmtId="0" xfId="0">
      <alignment horizontal="center" vertical="center"/>
    </xf>
    <xf applyAlignment="true" applyBorder="false" applyFill="false" applyFont="true" applyNumberFormat="false" applyProtection="false" borderId="168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216" xfId="0">
      <alignment vertical="center"/>
    </xf>
    <xf applyAlignment="true" applyBorder="false" applyFill="true" applyFont="true" applyNumberFormat="false" applyProtection="false" borderId="174" fillId="63" fontId="7" numFmtId="0" xfId="0">
      <alignment horizontal="center" vertical="center"/>
    </xf>
    <xf applyAlignment="true" applyBorder="false" applyFill="true" applyFont="true" applyNumberFormat="true" applyProtection="false" borderId="174" fillId="63" fontId="7" numFmtId="217" xfId="0">
      <alignment horizontal="center" vertical="center"/>
    </xf>
    <xf applyAlignment="true" applyBorder="false" applyFill="true" applyFont="true" applyNumberFormat="true" applyProtection="false" borderId="174" fillId="63" fontId="7" numFmtId="218" xfId="0">
      <alignment horizontal="center" vertical="center"/>
    </xf>
    <xf applyAlignment="true" applyBorder="false" applyFill="false" applyFont="true" applyNumberFormat="true" applyProtection="false" borderId="0" fillId="0" fontId="5" numFmtId="217" xfId="0">
      <alignment vertical="center"/>
    </xf>
    <xf applyAlignment="true" applyBorder="false" applyFill="true" applyFont="true" applyNumberFormat="true" applyProtection="false" borderId="174" fillId="63" fontId="7" numFmtId="218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true" applyProtection="false" borderId="174" fillId="63" fontId="7" numFmtId="216" xfId="0">
      <alignment horizontal="center" vertical="center"/>
    </xf>
    <xf applyAlignment="true" applyBorder="false" applyFill="false" applyFont="true" applyNumberFormat="true" applyProtection="false" borderId="0" fillId="0" fontId="12" numFmtId="219" xfId="0">
      <alignment vertical="center"/>
    </xf>
    <xf applyAlignment="true" applyBorder="false" applyFill="false" applyFont="true" applyNumberFormat="true" applyProtection="false" borderId="0" fillId="0" fontId="12" numFmtId="219" xfId="0">
      <alignment vertical="center"/>
    </xf>
    <xf applyAlignment="true" applyBorder="false" applyFill="true" applyFont="true" applyNumberFormat="false" applyProtection="false" borderId="175" fillId="64" fontId="1" numFmtId="0" xfId="0">
      <alignment horizontal="center" vertical="center"/>
    </xf>
    <xf applyAlignment="true" applyBorder="false" applyFill="true" applyFont="true" applyNumberFormat="false" applyProtection="false" borderId="175" fillId="64" fontId="2" numFmtId="0" xfId="0">
      <alignment horizontal="center" vertical="center"/>
    </xf>
    <xf applyAlignment="true" applyBorder="false" applyFill="true" applyFont="true" applyNumberFormat="false" applyProtection="false" borderId="175" fillId="64" fontId="2" numFmtId="0" xfId="0">
      <alignment horizontal="center" vertical="center"/>
    </xf>
    <xf applyAlignment="true" applyBorder="false" applyFill="true" applyFont="true" applyNumberFormat="true" applyProtection="false" borderId="175" fillId="65" fontId="3" numFmtId="220" xfId="0">
      <alignment horizontal="center" vertical="center"/>
    </xf>
    <xf applyAlignment="true" applyBorder="false" applyFill="true" applyFont="true" applyNumberFormat="true" applyProtection="false" borderId="175" fillId="64" fontId="2" numFmtId="220" xfId="0">
      <alignment horizontal="center" vertical="center"/>
    </xf>
    <xf applyAlignment="true" applyBorder="false" applyFill="true" applyFont="true" applyNumberFormat="false" applyProtection="false" borderId="0" fillId="64" fontId="2" numFmtId="0" xfId="0">
      <alignment horizontal="center" vertical="center"/>
    </xf>
    <xf applyAlignment="true" applyBorder="false" applyFill="false" applyFont="true" applyNumberFormat="true" applyProtection="false" borderId="176" fillId="0" fontId="4" numFmtId="221" xfId="0">
      <alignment horizontal="center" vertical="center"/>
    </xf>
    <xf applyAlignment="true" applyBorder="false" applyFill="false" applyFont="true" applyNumberFormat="false" applyProtection="false" borderId="176" fillId="0" fontId="4" numFmtId="0" xfId="0">
      <alignment horizontal="center" vertical="center"/>
    </xf>
    <xf applyAlignment="true" applyBorder="false" applyFill="false" applyFont="true" applyNumberFormat="false" applyProtection="false" borderId="176" fillId="0" fontId="4" numFmtId="0" xfId="0">
      <alignment horizontal="center" vertical="center" wrapText="true"/>
    </xf>
    <xf applyAlignment="true" applyBorder="false" applyFill="false" applyFont="true" applyNumberFormat="true" applyProtection="false" borderId="176" fillId="0" fontId="4" numFmtId="222" xfId="0">
      <alignment horizontal="center" vertical="center"/>
    </xf>
    <xf applyAlignment="true" applyBorder="false" applyFill="false" applyFont="true" applyNumberFormat="true" applyProtection="false" borderId="177" fillId="0" fontId="4" numFmtId="220" xfId="0">
      <alignment horizontal="center" vertical="center"/>
    </xf>
    <xf applyAlignment="true" applyBorder="false" applyFill="false" applyFont="true" applyNumberFormat="false" applyProtection="false" borderId="178" fillId="0" fontId="4" numFmtId="0" xfId="0">
      <alignment horizontal="center" vertical="center"/>
    </xf>
    <xf applyAlignment="true" applyBorder="false" applyFill="false" applyFont="true" applyNumberFormat="false" applyProtection="false" borderId="175" fillId="0" fontId="5" numFmtId="0" xfId="0">
      <alignment horizontal="center" vertical="center"/>
    </xf>
    <xf applyAlignment="true" applyBorder="false" applyFill="true" applyFont="true" applyNumberFormat="false" applyProtection="false" borderId="175" fillId="66" fontId="6" numFmtId="0" xfId="0">
      <alignment horizontal="center" vertical="center"/>
    </xf>
    <xf applyAlignment="true" applyBorder="false" applyFill="false" applyFont="true" applyNumberFormat="true" applyProtection="false" borderId="176" fillId="0" fontId="4" numFmtId="221" xfId="0">
      <alignment horizontal="center" vertical="center"/>
    </xf>
    <xf applyAlignment="true" applyBorder="false" applyFill="true" applyFont="true" applyNumberFormat="false" applyProtection="false" borderId="175" fillId="66" fontId="6" numFmtId="0" xfId="0">
      <alignment horizontal="center" vertical="center"/>
    </xf>
    <xf applyAlignment="true" applyBorder="false" applyFill="true" applyFont="true" applyNumberFormat="false" applyProtection="false" borderId="175" fillId="66" fontId="7" numFmtId="0" xfId="0">
      <alignment horizontal="center" vertical="center"/>
    </xf>
    <xf applyAlignment="true" applyBorder="false" applyFill="true" applyFont="true" applyNumberFormat="true" applyProtection="false" borderId="179" fillId="67" fontId="4" numFmtId="221" xfId="0">
      <alignment horizontal="center" vertical="center"/>
    </xf>
    <xf applyAlignment="true" applyBorder="false" applyFill="true" applyFont="true" applyNumberFormat="false" applyProtection="false" borderId="179" fillId="67" fontId="6" numFmtId="0" xfId="0">
      <alignment horizontal="center" vertical="center"/>
    </xf>
    <xf applyAlignment="true" applyBorder="false" applyFill="true" applyFont="true" applyNumberFormat="true" applyProtection="false" borderId="180" fillId="67" fontId="6" numFmtId="220" xfId="0">
      <alignment horizontal="center" vertical="center"/>
    </xf>
    <xf applyAlignment="true" applyBorder="false" applyFill="true" applyFont="true" applyNumberFormat="false" applyProtection="false" borderId="181" fillId="67" fontId="6" numFmtId="0" xfId="0">
      <alignment horizontal="center" vertical="center"/>
    </xf>
    <xf applyAlignment="true" applyBorder="false" applyFill="true" applyFont="true" applyNumberFormat="false" applyProtection="false" borderId="176" fillId="68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0" fillId="66" fontId="14" numFmtId="0" xfId="0">
      <alignment vertical="center"/>
    </xf>
    <xf applyAlignment="true" applyBorder="false" applyFill="true" applyFont="true" applyNumberFormat="true" applyProtection="false" borderId="0" fillId="69" fontId="11" numFmtId="222" xfId="0">
      <alignment vertical="center"/>
    </xf>
    <xf applyAlignment="true" applyBorder="false" applyFill="false" applyFont="true" applyNumberFormat="true" applyProtection="false" borderId="0" fillId="0" fontId="5" numFmtId="222" xfId="0">
      <alignment vertical="center"/>
    </xf>
    <xf applyAlignment="true" applyBorder="false" applyFill="true" applyFont="true" applyNumberFormat="false" applyProtection="false" borderId="175" fillId="66" fontId="1" numFmtId="0" xfId="0">
      <alignment horizontal="center" vertical="center"/>
    </xf>
    <xf applyAlignment="true" applyBorder="false" applyFill="true" applyFont="true" applyNumberFormat="false" applyProtection="false" borderId="175" fillId="66" fontId="2" numFmtId="0" xfId="0">
      <alignment horizontal="center" vertical="center"/>
    </xf>
    <xf applyAlignment="true" applyBorder="false" applyFill="true" applyFont="true" applyNumberFormat="true" applyProtection="false" borderId="175" fillId="66" fontId="2" numFmtId="220" xfId="0">
      <alignment horizontal="center" vertical="center"/>
    </xf>
    <xf applyAlignment="true" applyBorder="false" applyFill="true" applyFont="true" applyNumberFormat="false" applyProtection="false" borderId="175" fillId="66" fontId="2" numFmtId="0" xfId="0">
      <alignment horizontal="center" vertical="center"/>
    </xf>
    <xf applyAlignment="true" applyBorder="false" applyFill="true" applyFont="true" applyNumberFormat="true" applyProtection="false" borderId="175" fillId="66" fontId="3" numFmtId="220" xfId="0">
      <alignment horizontal="center" vertical="center"/>
    </xf>
    <xf applyAlignment="true" applyBorder="false" applyFill="true" applyFont="true" applyNumberFormat="false" applyProtection="false" borderId="182" fillId="70" fontId="1" numFmtId="0" xfId="0">
      <alignment horizontal="center" vertical="center"/>
    </xf>
    <xf applyAlignment="true" applyBorder="false" applyFill="true" applyFont="true" applyNumberFormat="false" applyProtection="false" borderId="182" fillId="70" fontId="2" numFmtId="0" xfId="0">
      <alignment horizontal="center" vertical="center"/>
    </xf>
    <xf applyAlignment="true" applyBorder="false" applyFill="true" applyFont="true" applyNumberFormat="false" applyProtection="false" borderId="182" fillId="70" fontId="2" numFmtId="0" xfId="0">
      <alignment horizontal="center" vertical="center"/>
    </xf>
    <xf applyAlignment="true" applyBorder="false" applyFill="true" applyFont="true" applyNumberFormat="true" applyProtection="false" borderId="182" fillId="71" fontId="3" numFmtId="223" xfId="0">
      <alignment horizontal="center" vertical="center"/>
    </xf>
    <xf applyAlignment="true" applyBorder="false" applyFill="true" applyFont="true" applyNumberFormat="true" applyProtection="false" borderId="182" fillId="70" fontId="2" numFmtId="223" xfId="0">
      <alignment horizontal="center" vertical="center"/>
    </xf>
    <xf applyAlignment="true" applyBorder="false" applyFill="true" applyFont="true" applyNumberFormat="false" applyProtection="false" borderId="0" fillId="70" fontId="2" numFmtId="0" xfId="0">
      <alignment horizontal="center" vertical="center"/>
    </xf>
    <xf applyAlignment="true" applyBorder="false" applyFill="false" applyFont="true" applyNumberFormat="true" applyProtection="false" borderId="183" fillId="0" fontId="4" numFmtId="224" xfId="0">
      <alignment horizontal="center" vertical="center"/>
    </xf>
    <xf applyAlignment="true" applyBorder="false" applyFill="false" applyFont="true" applyNumberFormat="false" applyProtection="false" borderId="183" fillId="0" fontId="4" numFmtId="0" xfId="0">
      <alignment horizontal="center" vertical="center"/>
    </xf>
    <xf applyAlignment="true" applyBorder="false" applyFill="false" applyFont="true" applyNumberFormat="false" applyProtection="false" borderId="183" fillId="0" fontId="4" numFmtId="0" xfId="0">
      <alignment horizontal="center" vertical="center" wrapText="true"/>
    </xf>
    <xf applyAlignment="true" applyBorder="false" applyFill="false" applyFont="true" applyNumberFormat="true" applyProtection="false" borderId="183" fillId="0" fontId="4" numFmtId="225" xfId="0">
      <alignment horizontal="center" vertical="center"/>
    </xf>
    <xf applyAlignment="true" applyBorder="false" applyFill="false" applyFont="true" applyNumberFormat="true" applyProtection="false" borderId="184" fillId="0" fontId="4" numFmtId="223" xfId="0">
      <alignment horizontal="center" vertical="center"/>
    </xf>
    <xf applyAlignment="true" applyBorder="false" applyFill="false" applyFont="true" applyNumberFormat="false" applyProtection="false" borderId="185" fillId="0" fontId="4" numFmtId="0" xfId="0">
      <alignment horizontal="center" vertical="center"/>
    </xf>
    <xf applyAlignment="true" applyBorder="false" applyFill="false" applyFont="true" applyNumberFormat="false" applyProtection="false" borderId="182" fillId="0" fontId="5" numFmtId="0" xfId="0">
      <alignment horizontal="center" vertical="center"/>
    </xf>
    <xf applyAlignment="true" applyBorder="false" applyFill="true" applyFont="true" applyNumberFormat="false" applyProtection="false" borderId="182" fillId="72" fontId="6" numFmtId="0" xfId="0">
      <alignment horizontal="center" vertical="center"/>
    </xf>
    <xf applyAlignment="true" applyBorder="false" applyFill="true" applyFont="true" applyNumberFormat="false" applyProtection="false" borderId="182" fillId="72" fontId="6" numFmtId="0" xfId="0">
      <alignment horizontal="center" vertical="center"/>
    </xf>
    <xf applyAlignment="true" applyBorder="false" applyFill="true" applyFont="true" applyNumberFormat="false" applyProtection="false" borderId="182" fillId="72" fontId="7" numFmtId="0" xfId="0">
      <alignment horizontal="center" vertical="center"/>
    </xf>
    <xf applyAlignment="true" applyBorder="false" applyFill="true" applyFont="true" applyNumberFormat="true" applyProtection="false" borderId="186" fillId="73" fontId="4" numFmtId="224" xfId="0">
      <alignment horizontal="center" vertical="center"/>
    </xf>
    <xf applyAlignment="true" applyBorder="false" applyFill="true" applyFont="true" applyNumberFormat="false" applyProtection="false" borderId="186" fillId="73" fontId="6" numFmtId="0" xfId="0">
      <alignment horizontal="center" vertical="center"/>
    </xf>
    <xf applyAlignment="true" applyBorder="false" applyFill="true" applyFont="true" applyNumberFormat="true" applyProtection="false" borderId="187" fillId="73" fontId="6" numFmtId="223" xfId="0">
      <alignment horizontal="center" vertical="center"/>
    </xf>
    <xf applyAlignment="true" applyBorder="false" applyFill="true" applyFont="true" applyNumberFormat="false" applyProtection="false" borderId="188" fillId="73" fontId="6" numFmtId="0" xfId="0">
      <alignment horizontal="center" vertical="center"/>
    </xf>
    <xf applyAlignment="true" applyBorder="false" applyFill="false" applyFont="true" applyNumberFormat="true" applyProtection="false" borderId="182" fillId="0" fontId="4" numFmtId="224" xfId="0">
      <alignment horizontal="center" vertical="center"/>
    </xf>
    <xf applyAlignment="true" applyBorder="false" applyFill="false" applyFont="true" applyNumberFormat="false" applyProtection="false" borderId="182" fillId="0" fontId="4" numFmtId="0" xfId="0">
      <alignment horizontal="center" vertical="center"/>
    </xf>
    <xf applyAlignment="true" applyBorder="false" applyFill="false" applyFont="true" applyNumberFormat="false" applyProtection="false" borderId="182" fillId="0" fontId="4" numFmtId="0" xfId="0">
      <alignment horizontal="center" vertical="center" wrapText="true"/>
    </xf>
    <xf applyAlignment="true" applyBorder="false" applyFill="false" applyFont="true" applyNumberFormat="true" applyProtection="false" borderId="182" fillId="0" fontId="4" numFmtId="225" xfId="0">
      <alignment horizontal="center" vertical="center"/>
    </xf>
    <xf applyAlignment="true" applyBorder="false" applyFill="false" applyFont="true" applyNumberFormat="true" applyProtection="false" borderId="182" fillId="0" fontId="4" numFmtId="223" xfId="0">
      <alignment horizontal="center" vertical="center"/>
    </xf>
    <xf applyAlignment="true" applyBorder="false" applyFill="false" applyFont="true" applyNumberFormat="false" applyProtection="false" borderId="189" fillId="0" fontId="4" numFmtId="0" xfId="0">
      <alignment horizontal="center" vertical="center"/>
    </xf>
    <xf applyAlignment="true" applyBorder="false" applyFill="true" applyFont="true" applyNumberFormat="false" applyProtection="false" borderId="190" fillId="72" fontId="6" numFmtId="0" xfId="0">
      <alignment horizontal="center" vertical="center"/>
    </xf>
    <xf applyAlignment="true" applyBorder="false" applyFill="true" applyFont="true" applyNumberFormat="true" applyProtection="false" borderId="182" fillId="73" fontId="4" numFmtId="224" xfId="0">
      <alignment horizontal="center" vertical="center"/>
    </xf>
    <xf applyAlignment="true" applyBorder="false" applyFill="true" applyFont="true" applyNumberFormat="false" applyProtection="false" borderId="182" fillId="73" fontId="6" numFmtId="0" xfId="0">
      <alignment horizontal="center" vertical="center"/>
    </xf>
    <xf applyAlignment="true" applyBorder="false" applyFill="true" applyFont="true" applyNumberFormat="true" applyProtection="false" borderId="182" fillId="73" fontId="6" numFmtId="223" xfId="0">
      <alignment horizontal="center" vertical="center"/>
    </xf>
    <xf applyAlignment="true" applyBorder="false" applyFill="true" applyFont="true" applyNumberFormat="false" applyProtection="false" borderId="191" fillId="73" fontId="6" numFmtId="0" xfId="0">
      <alignment horizontal="center" vertical="center"/>
    </xf>
    <xf applyAlignment="true" applyBorder="false" applyFill="true" applyFont="true" applyNumberFormat="false" applyProtection="false" borderId="186" fillId="73" fontId="6" numFmtId="0" xfId="0">
      <alignment horizontal="center" vertical="center"/>
    </xf>
    <xf applyAlignment="true" applyBorder="false" applyFill="false" applyFont="true" applyNumberFormat="true" applyProtection="false" borderId="183" fillId="0" fontId="4" numFmtId="224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74" fontId="11" numFmtId="0" xfId="0">
      <alignment vertical="center"/>
    </xf>
    <xf applyAlignment="true" applyBorder="false" applyFill="true" applyFont="true" applyNumberFormat="false" applyProtection="false" borderId="192" fillId="75" fontId="1" numFmtId="0" xfId="0">
      <alignment horizontal="center" vertical="center"/>
    </xf>
    <xf applyAlignment="true" applyBorder="false" applyFill="true" applyFont="true" applyNumberFormat="false" applyProtection="false" borderId="192" fillId="75" fontId="2" numFmtId="0" xfId="0">
      <alignment horizontal="center" vertical="center"/>
    </xf>
    <xf applyAlignment="true" applyBorder="false" applyFill="true" applyFont="true" applyNumberFormat="false" applyProtection="false" borderId="192" fillId="75" fontId="2" numFmtId="0" xfId="0">
      <alignment horizontal="center" vertical="center"/>
    </xf>
    <xf applyAlignment="true" applyBorder="false" applyFill="true" applyFont="true" applyNumberFormat="true" applyProtection="false" borderId="193" fillId="76" fontId="3" numFmtId="226" xfId="0">
      <alignment horizontal="center" vertical="center"/>
    </xf>
    <xf applyAlignment="true" applyBorder="false" applyFill="true" applyFont="true" applyNumberFormat="true" applyProtection="false" borderId="192" fillId="75" fontId="2" numFmtId="226" xfId="0">
      <alignment horizontal="center" vertical="center"/>
    </xf>
    <xf applyAlignment="true" applyBorder="false" applyFill="true" applyFont="true" applyNumberFormat="false" applyProtection="false" borderId="0" fillId="75" fontId="2" numFmtId="0" xfId="0">
      <alignment horizontal="center" vertical="center"/>
    </xf>
    <xf applyAlignment="true" applyBorder="false" applyFill="false" applyFont="true" applyNumberFormat="true" applyProtection="false" borderId="193" fillId="0" fontId="4" numFmtId="227" xfId="0">
      <alignment horizontal="center" vertical="center"/>
    </xf>
    <xf applyAlignment="true" applyBorder="false" applyFill="false" applyFont="true" applyNumberFormat="false" applyProtection="false" borderId="193" fillId="0" fontId="4" numFmtId="0" xfId="0">
      <alignment horizontal="center" vertical="center"/>
    </xf>
    <xf applyAlignment="true" applyBorder="false" applyFill="false" applyFont="true" applyNumberFormat="false" applyProtection="false" borderId="193" fillId="0" fontId="4" numFmtId="0" xfId="0">
      <alignment horizontal="center" vertical="center" wrapText="true"/>
    </xf>
    <xf applyAlignment="true" applyBorder="false" applyFill="false" applyFont="true" applyNumberFormat="true" applyProtection="false" borderId="193" fillId="0" fontId="4" numFmtId="228" xfId="0">
      <alignment horizontal="center" vertical="center"/>
    </xf>
    <xf applyAlignment="true" applyBorder="false" applyFill="false" applyFont="true" applyNumberFormat="true" applyProtection="false" borderId="194" fillId="0" fontId="4" numFmtId="226" xfId="0">
      <alignment horizontal="center" vertical="center"/>
    </xf>
    <xf applyAlignment="true" applyBorder="false" applyFill="false" applyFont="true" applyNumberFormat="false" applyProtection="false" borderId="195" fillId="0" fontId="4" numFmtId="0" xfId="0">
      <alignment horizontal="center" vertical="center"/>
    </xf>
    <xf applyAlignment="true" applyBorder="false" applyFill="false" applyFont="true" applyNumberFormat="false" applyProtection="false" borderId="196" fillId="0" fontId="5" numFmtId="0" xfId="0">
      <alignment vertical="center"/>
    </xf>
    <xf applyAlignment="true" applyBorder="false" applyFill="false" applyFont="true" applyNumberFormat="true" applyProtection="false" borderId="193" fillId="0" fontId="4" numFmtId="228" xfId="0">
      <alignment horizontal="center" vertical="center"/>
    </xf>
    <xf applyAlignment="true" applyBorder="false" applyFill="true" applyFont="true" applyNumberFormat="false" applyProtection="false" borderId="196" fillId="77" fontId="6" numFmtId="0" xfId="0">
      <alignment horizontal="center" vertical="center"/>
    </xf>
    <xf applyAlignment="true" applyBorder="false" applyFill="false" applyFont="true" applyNumberFormat="false" applyProtection="false" borderId="195" fillId="0" fontId="4" numFmtId="0" xfId="0">
      <alignment horizontal="center" vertical="center"/>
    </xf>
    <xf applyAlignment="true" applyBorder="false" applyFill="false" applyFont="true" applyNumberFormat="false" applyProtection="false" borderId="193" fillId="0" fontId="4" numFmtId="0" xfId="0">
      <alignment horizontal="center" vertical="center"/>
    </xf>
    <xf applyAlignment="true" applyBorder="false" applyFill="true" applyFont="true" applyNumberFormat="true" applyProtection="false" borderId="197" fillId="78" fontId="4" numFmtId="227" xfId="0">
      <alignment horizontal="center" vertical="center"/>
    </xf>
    <xf applyAlignment="true" applyBorder="false" applyFill="true" applyFont="true" applyNumberFormat="false" applyProtection="false" borderId="197" fillId="78" fontId="6" numFmtId="0" xfId="0">
      <alignment horizontal="center" vertical="center"/>
    </xf>
    <xf applyAlignment="true" applyBorder="false" applyFill="true" applyFont="true" applyNumberFormat="true" applyProtection="false" borderId="198" fillId="78" fontId="6" numFmtId="226" xfId="0">
      <alignment horizontal="center" vertical="center"/>
    </xf>
    <xf applyAlignment="true" applyBorder="false" applyFill="true" applyFont="true" applyNumberFormat="false" applyProtection="false" borderId="199" fillId="78" fontId="6" numFmtId="0" xfId="0">
      <alignment horizontal="center" vertical="center"/>
    </xf>
    <xf applyAlignment="true" applyBorder="false" applyFill="false" applyFont="true" applyNumberFormat="false" applyProtection="false" borderId="196" fillId="0" fontId="5" numFmtId="0" xfId="0">
      <alignment horizontal="center" vertical="center"/>
    </xf>
    <xf applyAlignment="true" applyBorder="false" applyFill="true" applyFont="true" applyNumberFormat="false" applyProtection="false" borderId="196" fillId="77" fontId="7" numFmtId="0" xfId="0">
      <alignment horizontal="center" vertical="center"/>
    </xf>
    <xf applyAlignment="true" applyBorder="false" applyFill="false" applyFont="true" applyNumberFormat="true" applyProtection="false" borderId="193" fillId="0" fontId="4" numFmtId="227" xfId="0">
      <alignment horizontal="center" vertical="center"/>
    </xf>
    <xf applyAlignment="true" applyBorder="false" applyFill="true" applyFont="true" applyNumberFormat="false" applyProtection="false" borderId="196" fillId="77" fontId="6" numFmtId="0" xfId="0">
      <alignment horizontal="center" vertical="center"/>
    </xf>
    <xf applyAlignment="true" applyBorder="false" applyFill="true" applyFont="true" applyNumberFormat="true" applyProtection="false" borderId="193" fillId="79" fontId="12" numFmtId="227" xfId="0">
      <alignment horizontal="center" vertical="center"/>
    </xf>
    <xf applyAlignment="true" applyBorder="false" applyFill="true" applyFont="true" applyNumberFormat="false" applyProtection="false" borderId="193" fillId="79" fontId="12" numFmtId="0" xfId="0">
      <alignment horizontal="center" vertical="center"/>
    </xf>
    <xf applyAlignment="true" applyBorder="false" applyFill="true" applyFont="true" applyNumberFormat="false" applyProtection="false" borderId="193" fillId="79" fontId="12" numFmtId="0" xfId="0">
      <alignment horizontal="center" vertical="center" wrapText="true"/>
    </xf>
    <xf applyAlignment="true" applyBorder="false" applyFill="true" applyFont="true" applyNumberFormat="true" applyProtection="false" borderId="193" fillId="79" fontId="12" numFmtId="228" xfId="0">
      <alignment horizontal="center" vertical="center"/>
    </xf>
    <xf applyAlignment="true" applyBorder="false" applyFill="true" applyFont="true" applyNumberFormat="true" applyProtection="false" borderId="194" fillId="79" fontId="12" numFmtId="226" xfId="0">
      <alignment horizontal="center" vertical="center"/>
    </xf>
    <xf applyAlignment="true" applyBorder="false" applyFill="true" applyFont="true" applyNumberFormat="false" applyProtection="false" borderId="195" fillId="79" fontId="12" numFmtId="0" xfId="0">
      <alignment horizontal="center" vertical="center"/>
    </xf>
    <xf applyAlignment="true" applyBorder="false" applyFill="true" applyFont="true" applyNumberFormat="false" applyProtection="false" borderId="196" fillId="79" fontId="12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200" fillId="80" fontId="1" numFmtId="0" xfId="0">
      <alignment horizontal="center" vertical="center"/>
    </xf>
    <xf applyAlignment="true" applyBorder="false" applyFill="true" applyFont="true" applyNumberFormat="false" applyProtection="false" borderId="200" fillId="80" fontId="2" numFmtId="0" xfId="0">
      <alignment horizontal="center" vertical="center"/>
    </xf>
    <xf applyAlignment="true" applyBorder="false" applyFill="true" applyFont="true" applyNumberFormat="false" applyProtection="false" borderId="200" fillId="80" fontId="2" numFmtId="0" xfId="0">
      <alignment horizontal="center" vertical="center"/>
    </xf>
    <xf applyAlignment="true" applyBorder="false" applyFill="true" applyFont="true" applyNumberFormat="true" applyProtection="false" borderId="201" fillId="81" fontId="3" numFmtId="229" xfId="0">
      <alignment horizontal="center" vertical="center"/>
    </xf>
    <xf applyAlignment="true" applyBorder="false" applyFill="true" applyFont="true" applyNumberFormat="true" applyProtection="false" borderId="200" fillId="80" fontId="2" numFmtId="229" xfId="0">
      <alignment horizontal="center" vertical="center"/>
    </xf>
    <xf applyAlignment="true" applyBorder="false" applyFill="true" applyFont="true" applyNumberFormat="false" applyProtection="false" borderId="0" fillId="80" fontId="2" numFmtId="0" xfId="0">
      <alignment horizontal="center" vertical="center"/>
    </xf>
    <xf applyAlignment="true" applyBorder="false" applyFill="false" applyFont="true" applyNumberFormat="true" applyProtection="false" borderId="201" fillId="0" fontId="4" numFmtId="230" xfId="0">
      <alignment horizontal="center" vertical="center"/>
    </xf>
    <xf applyAlignment="true" applyBorder="false" applyFill="false" applyFont="true" applyNumberFormat="false" applyProtection="false" borderId="201" fillId="0" fontId="4" numFmtId="0" xfId="0">
      <alignment horizontal="center" vertical="center"/>
    </xf>
    <xf applyAlignment="true" applyBorder="false" applyFill="false" applyFont="true" applyNumberFormat="false" applyProtection="false" borderId="201" fillId="0" fontId="4" numFmtId="0" xfId="0">
      <alignment horizontal="center" vertical="center" wrapText="true"/>
    </xf>
    <xf applyAlignment="true" applyBorder="false" applyFill="false" applyFont="true" applyNumberFormat="true" applyProtection="false" borderId="201" fillId="0" fontId="4" numFmtId="231" xfId="0">
      <alignment horizontal="center" vertical="center"/>
    </xf>
    <xf applyAlignment="true" applyBorder="false" applyFill="false" applyFont="true" applyNumberFormat="true" applyProtection="false" borderId="202" fillId="0" fontId="4" numFmtId="229" xfId="0">
      <alignment horizontal="center" vertical="center"/>
    </xf>
    <xf applyAlignment="true" applyBorder="false" applyFill="false" applyFont="true" applyNumberFormat="false" applyProtection="false" borderId="203" fillId="0" fontId="4" numFmtId="0" xfId="0">
      <alignment horizontal="center" vertical="center"/>
    </xf>
    <xf applyAlignment="true" applyBorder="false" applyFill="false" applyFont="true" applyNumberFormat="false" applyProtection="false" borderId="201" fillId="0" fontId="4" numFmtId="0" xfId="0">
      <alignment horizontal="center" vertical="center"/>
    </xf>
    <xf applyAlignment="true" applyBorder="false" applyFill="false" applyFont="true" applyNumberFormat="false" applyProtection="false" borderId="203" fillId="0" fontId="4" numFmtId="0" xfId="0">
      <alignment horizontal="center" vertical="center"/>
    </xf>
    <xf applyAlignment="true" applyBorder="false" applyFill="false" applyFont="true" applyNumberFormat="false" applyProtection="false" borderId="201" fillId="0" fontId="4" numFmtId="0" xfId="0">
      <alignment horizontal="center" vertical="center" wrapText="true"/>
    </xf>
    <xf applyAlignment="true" applyBorder="false" applyFill="false" applyFont="true" applyNumberFormat="true" applyProtection="false" borderId="201" fillId="0" fontId="4" numFmtId="231" xfId="0">
      <alignment horizontal="center" vertical="center"/>
    </xf>
    <xf applyAlignment="true" applyBorder="false" applyFill="true" applyFont="true" applyNumberFormat="true" applyProtection="false" borderId="201" fillId="82" fontId="4" numFmtId="230" xfId="0">
      <alignment horizontal="center" vertical="center"/>
    </xf>
    <xf applyAlignment="true" applyBorder="false" applyFill="true" applyFont="true" applyNumberFormat="false" applyProtection="false" borderId="204" fillId="82" fontId="6" numFmtId="0" xfId="0">
      <alignment horizontal="center" vertical="center"/>
    </xf>
    <xf applyAlignment="true" applyBorder="false" applyFill="true" applyFont="true" applyNumberFormat="false" applyProtection="false" borderId="204" fillId="82" fontId="6" numFmtId="0" xfId="0">
      <alignment horizontal="center" vertical="center"/>
    </xf>
    <xf applyAlignment="true" applyBorder="false" applyFill="true" applyFont="true" applyNumberFormat="true" applyProtection="false" borderId="202" fillId="82" fontId="6" numFmtId="229" xfId="0">
      <alignment horizontal="center" vertical="center"/>
    </xf>
    <xf applyAlignment="true" applyBorder="false" applyFill="true" applyFont="true" applyNumberFormat="false" applyProtection="false" borderId="203" fillId="82" fontId="6" numFmtId="0" xfId="0">
      <alignment horizontal="center" vertical="center"/>
    </xf>
    <xf applyAlignment="true" applyBorder="false" applyFill="true" applyFont="true" applyNumberFormat="true" applyProtection="false" borderId="204" fillId="82" fontId="4" numFmtId="230" xfId="0">
      <alignment horizontal="center" vertical="center"/>
    </xf>
    <xf applyAlignment="true" applyBorder="false" applyFill="true" applyFont="true" applyNumberFormat="true" applyProtection="false" borderId="205" fillId="82" fontId="6" numFmtId="229" xfId="0">
      <alignment horizontal="center" vertical="center"/>
    </xf>
    <xf applyAlignment="true" applyBorder="false" applyFill="false" applyFont="true" applyNumberFormat="true" applyProtection="false" borderId="201" fillId="0" fontId="4" numFmtId="231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83" fontId="5" numFmtId="0" xfId="0">
      <alignment vertical="center"/>
    </xf>
    <xf applyAlignment="true" applyBorder="false" applyFill="true" applyFont="true" applyNumberFormat="false" applyProtection="false" borderId="206" fillId="82" fontId="6" numFmtId="0" xfId="0">
      <alignment horizontal="center" vertical="center"/>
    </xf>
    <xf applyAlignment="true" applyBorder="false" applyFill="false" applyFont="true" applyNumberFormat="false" applyProtection="false" borderId="207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207" fillId="83" fontId="6" numFmtId="0" xfId="0">
      <alignment horizontal="center" vertical="center"/>
    </xf>
    <xf applyAlignment="true" applyBorder="false" applyFill="true" applyFont="true" applyNumberFormat="true" applyProtection="false" borderId="204" fillId="83" fontId="4" numFmtId="230" xfId="0">
      <alignment horizontal="center" vertical="center"/>
    </xf>
    <xf applyAlignment="true" applyBorder="false" applyFill="true" applyFont="true" applyNumberFormat="false" applyProtection="false" borderId="204" fillId="83" fontId="6" numFmtId="0" xfId="0">
      <alignment horizontal="center" vertical="center"/>
    </xf>
    <xf applyAlignment="true" applyBorder="false" applyFill="true" applyFont="true" applyNumberFormat="true" applyProtection="false" borderId="207" fillId="83" fontId="6" numFmtId="229" xfId="0">
      <alignment horizontal="center" vertical="center"/>
    </xf>
    <xf applyAlignment="true" applyBorder="false" applyFill="true" applyFont="true" applyNumberFormat="false" applyProtection="false" borderId="208" fillId="83" fontId="6" numFmtId="0" xfId="0">
      <alignment horizontal="center" vertical="center"/>
    </xf>
    <xf applyAlignment="true" applyBorder="false" applyFill="true" applyFont="true" applyNumberFormat="false" applyProtection="false" borderId="203" fillId="83" fontId="6" numFmtId="0" xfId="0">
      <alignment horizontal="center" vertical="center"/>
    </xf>
    <xf applyAlignment="true" applyBorder="false" applyFill="false" applyFont="true" applyNumberFormat="true" applyProtection="false" borderId="209" fillId="0" fontId="4" numFmtId="229" xfId="0">
      <alignment horizontal="center" vertical="center"/>
    </xf>
    <xf applyAlignment="true" applyBorder="false" applyFill="true" applyFont="true" applyNumberFormat="false" applyProtection="false" borderId="204" fillId="83" fontId="6" numFmtId="0" xfId="0">
      <alignment horizontal="center" vertical="center"/>
    </xf>
    <xf applyAlignment="true" applyBorder="false" applyFill="true" applyFont="true" applyNumberFormat="false" applyProtection="false" borderId="204" fillId="83" fontId="7" numFmtId="0" xfId="0">
      <alignment horizontal="center" vertical="center"/>
    </xf>
    <xf applyAlignment="true" applyBorder="false" applyFill="true" applyFont="true" applyNumberFormat="true" applyProtection="false" borderId="204" fillId="83" fontId="6" numFmtId="232" xfId="0">
      <alignment horizontal="center" vertical="center"/>
    </xf>
    <xf applyAlignment="true" applyBorder="false" applyFill="true" applyFont="true" applyNumberFormat="false" applyProtection="false" borderId="204" fillId="84" fontId="6" numFmtId="0" xfId="0">
      <alignment horizontal="center" vertical="center"/>
    </xf>
    <xf applyAlignment="true" applyBorder="false" applyFill="true" applyFont="true" applyNumberFormat="false" applyProtection="false" borderId="204" fillId="84" fontId="7" numFmtId="0" xfId="0">
      <alignment horizontal="center" vertical="center"/>
    </xf>
    <xf applyAlignment="true" applyBorder="false" applyFill="true" applyFont="true" applyNumberFormat="false" applyProtection="false" borderId="210" fillId="85" fontId="1" numFmtId="0" xfId="0">
      <alignment horizontal="center" vertical="center"/>
    </xf>
    <xf applyAlignment="true" applyBorder="false" applyFill="true" applyFont="true" applyNumberFormat="false" applyProtection="false" borderId="210" fillId="85" fontId="2" numFmtId="0" xfId="0">
      <alignment horizontal="center" vertical="center"/>
    </xf>
    <xf applyAlignment="true" applyBorder="false" applyFill="true" applyFont="true" applyNumberFormat="true" applyProtection="false" borderId="211" fillId="86" fontId="3" numFmtId="233" xfId="0">
      <alignment horizontal="center" vertical="center"/>
    </xf>
    <xf applyAlignment="true" applyBorder="false" applyFill="true" applyFont="true" applyNumberFormat="true" applyProtection="false" borderId="210" fillId="85" fontId="2" numFmtId="233" xfId="0">
      <alignment horizontal="center" vertical="center"/>
    </xf>
    <xf applyAlignment="true" applyBorder="false" applyFill="true" applyFont="true" applyNumberFormat="false" applyProtection="false" borderId="0" fillId="85" fontId="2" numFmtId="0" xfId="0">
      <alignment horizontal="center" vertical="center"/>
    </xf>
    <xf applyAlignment="true" applyBorder="false" applyFill="false" applyFont="true" applyNumberFormat="true" applyProtection="false" borderId="210" fillId="0" fontId="5" numFmtId="234" xfId="0">
      <alignment horizontal="center" vertical="center"/>
    </xf>
    <xf applyAlignment="true" applyBorder="false" applyFill="false" applyFont="true" applyNumberFormat="false" applyProtection="false" borderId="210" fillId="0" fontId="5" numFmtId="0" xfId="0">
      <alignment horizontal="center" vertical="center"/>
    </xf>
    <xf applyAlignment="true" applyBorder="false" applyFill="false" applyFont="true" applyNumberFormat="false" applyProtection="false" borderId="210" fillId="0" fontId="5" numFmtId="0" xfId="0">
      <alignment horizontal="center" vertical="center" wrapText="true"/>
    </xf>
    <xf applyAlignment="true" applyBorder="false" applyFill="false" applyFont="true" applyNumberFormat="false" applyProtection="false" borderId="211" fillId="0" fontId="4" numFmtId="0" xfId="0">
      <alignment horizontal="center" vertical="center"/>
    </xf>
    <xf applyAlignment="true" applyBorder="false" applyFill="false" applyFont="true" applyNumberFormat="true" applyProtection="false" borderId="211" fillId="0" fontId="4" numFmtId="235" xfId="0">
      <alignment horizontal="center" vertical="center"/>
    </xf>
    <xf applyAlignment="true" applyBorder="false" applyFill="false" applyFont="true" applyNumberFormat="true" applyProtection="false" borderId="212" fillId="0" fontId="5" numFmtId="233" xfId="0">
      <alignment horizontal="center" vertical="center"/>
    </xf>
    <xf applyAlignment="true" applyBorder="false" applyFill="false" applyFont="true" applyNumberFormat="true" applyProtection="false" borderId="213" fillId="0" fontId="4" numFmtId="233" xfId="0">
      <alignment horizontal="center" vertical="center"/>
    </xf>
    <xf applyAlignment="true" applyBorder="false" applyFill="false" applyFont="true" applyNumberFormat="false" applyProtection="false" borderId="214" fillId="0" fontId="5" numFmtId="0" xfId="0">
      <alignment horizontal="center" vertical="center"/>
    </xf>
    <xf applyAlignment="true" applyBorder="false" applyFill="false" applyFont="true" applyNumberFormat="true" applyProtection="false" borderId="211" fillId="0" fontId="4" numFmtId="234" xfId="0">
      <alignment horizontal="center" vertical="center"/>
    </xf>
    <xf applyAlignment="true" applyBorder="false" applyFill="false" applyFont="true" applyNumberFormat="true" applyProtection="false" borderId="0" fillId="0" fontId="4" numFmtId="236" xfId="0">
      <alignment horizontal="center" vertical="center"/>
    </xf>
    <xf applyAlignment="true" applyBorder="false" applyFill="false" applyFont="true" applyNumberFormat="true" applyProtection="false" borderId="211" fillId="0" fontId="4" numFmtId="235" xfId="0">
      <alignment horizontal="center" vertical="center"/>
    </xf>
    <xf applyAlignment="true" applyBorder="false" applyFill="true" applyFont="true" applyNumberFormat="true" applyProtection="false" borderId="210" fillId="87" fontId="5" numFmtId="234" xfId="0">
      <alignment horizontal="center" vertical="center"/>
    </xf>
    <xf applyAlignment="true" applyBorder="false" applyFill="true" applyFont="true" applyNumberFormat="false" applyProtection="false" borderId="215" fillId="88" fontId="6" numFmtId="0" xfId="0">
      <alignment horizontal="center" vertical="center"/>
    </xf>
    <xf applyAlignment="true" applyBorder="false" applyFill="true" applyFont="true" applyNumberFormat="false" applyProtection="false" borderId="215" fillId="88" fontId="6" numFmtId="0" xfId="0">
      <alignment horizontal="center" vertical="center"/>
    </xf>
    <xf applyAlignment="true" applyBorder="false" applyFill="true" applyFont="true" applyNumberFormat="true" applyProtection="false" borderId="213" fillId="88" fontId="6" numFmtId="233" xfId="0">
      <alignment horizontal="center" vertical="center"/>
    </xf>
    <xf applyAlignment="true" applyBorder="false" applyFill="true" applyFont="true" applyNumberFormat="true" applyProtection="false" borderId="212" fillId="87" fontId="6" numFmtId="233" xfId="0">
      <alignment horizontal="center" vertical="center"/>
    </xf>
    <xf applyAlignment="true" applyBorder="false" applyFill="true" applyFont="true" applyNumberFormat="false" applyProtection="false" borderId="216" fillId="88" fontId="6" numFmtId="0" xfId="0">
      <alignment horizontal="center" vertical="center"/>
    </xf>
    <xf applyAlignment="true" applyBorder="false" applyFill="false" applyFont="true" applyNumberFormat="true" applyProtection="false" borderId="211" fillId="0" fontId="4" numFmtId="234" xfId="0">
      <alignment horizontal="center" vertical="center"/>
    </xf>
    <xf applyAlignment="true" applyBorder="false" applyFill="false" applyFont="true" applyNumberFormat="false" applyProtection="false" borderId="211" fillId="0" fontId="4" numFmtId="0" xfId="0">
      <alignment horizontal="center" vertical="center"/>
    </xf>
    <xf applyAlignment="true" applyBorder="false" applyFill="false" applyFont="true" applyNumberFormat="false" applyProtection="false" borderId="211" fillId="0" fontId="4" numFmtId="0" xfId="0">
      <alignment horizontal="center" vertical="center" wrapText="true"/>
    </xf>
    <xf applyAlignment="true" applyBorder="false" applyFill="false" applyFont="true" applyNumberFormat="true" applyProtection="false" borderId="211" fillId="0" fontId="4" numFmtId="235" xfId="0">
      <alignment horizontal="center" vertical="center"/>
    </xf>
    <xf applyAlignment="true" applyBorder="false" applyFill="false" applyFont="true" applyNumberFormat="false" applyProtection="false" borderId="216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211" fillId="0" fontId="4" numFmtId="0" xfId="0">
      <alignment horizontal="center" vertical="center" wrapText="true"/>
    </xf>
    <xf applyAlignment="true" applyBorder="false" applyFill="true" applyFont="true" applyNumberFormat="true" applyProtection="false" borderId="211" fillId="88" fontId="4" numFmtId="234" xfId="0">
      <alignment horizontal="center" vertical="center"/>
    </xf>
    <xf applyAlignment="true" applyBorder="false" applyFill="false" applyFont="true" applyNumberFormat="false" applyProtection="false" borderId="216" fillId="0" fontId="4" numFmtId="0" xfId="0">
      <alignment horizontal="center" vertical="center"/>
    </xf>
    <xf applyAlignment="true" applyBorder="false" applyFill="true" applyFont="true" applyNumberFormat="true" applyProtection="false" borderId="211" fillId="88" fontId="4" numFmtId="234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211" fillId="0" fontId="12" numFmtId="0" xfId="0">
      <alignment horizontal="center" vertical="center"/>
    </xf>
    <xf applyAlignment="true" applyBorder="false" applyFill="false" applyFont="true" applyNumberFormat="true" applyProtection="false" borderId="0" fillId="0" fontId="5" numFmtId="237" xfId="0">
      <alignment horizontal="center" vertical="center"/>
    </xf>
    <xf applyAlignment="true" applyBorder="false" applyFill="false" applyFont="true" applyNumberFormat="true" applyProtection="false" borderId="0" fillId="0" fontId="5" numFmtId="238" xfId="0">
      <alignment vertical="center"/>
    </xf>
    <xf applyAlignment="true" applyBorder="false" applyFill="false" applyFont="true" applyNumberFormat="true" applyProtection="false" borderId="0" fillId="0" fontId="5" numFmtId="235" xfId="0">
      <alignment vertical="center"/>
    </xf>
    <xf applyAlignment="true" applyBorder="false" applyFill="true" applyFont="true" applyNumberFormat="false" applyProtection="false" borderId="0" fillId="89" fontId="11" numFmtId="0" xfId="0">
      <alignment vertical="center"/>
    </xf>
    <xf applyAlignment="true" applyBorder="false" applyFill="true" applyFont="true" applyNumberFormat="true" applyProtection="false" borderId="0" fillId="89" fontId="11" numFmtId="235" xfId="0">
      <alignment vertical="center"/>
    </xf>
    <xf applyAlignment="true" applyBorder="false" applyFill="true" applyFont="true" applyNumberFormat="false" applyProtection="false" borderId="217" fillId="90" fontId="1" numFmtId="0" xfId="0">
      <alignment horizontal="center" vertical="center"/>
    </xf>
    <xf applyAlignment="true" applyBorder="false" applyFill="true" applyFont="true" applyNumberFormat="false" applyProtection="false" borderId="217" fillId="90" fontId="2" numFmtId="0" xfId="0">
      <alignment horizontal="center" vertical="center"/>
    </xf>
    <xf applyAlignment="true" applyBorder="false" applyFill="true" applyFont="true" applyNumberFormat="true" applyProtection="false" borderId="218" fillId="91" fontId="3" numFmtId="239" xfId="0">
      <alignment horizontal="center" vertical="center"/>
    </xf>
    <xf applyAlignment="true" applyBorder="false" applyFill="true" applyFont="true" applyNumberFormat="true" applyProtection="false" borderId="217" fillId="90" fontId="2" numFmtId="239" xfId="0">
      <alignment horizontal="center" vertical="center"/>
    </xf>
    <xf applyAlignment="true" applyBorder="false" applyFill="true" applyFont="true" applyNumberFormat="false" applyProtection="false" borderId="0" fillId="90" fontId="2" numFmtId="0" xfId="0">
      <alignment horizontal="center" vertical="center"/>
    </xf>
    <xf applyAlignment="true" applyBorder="false" applyFill="false" applyFont="true" applyNumberFormat="true" applyProtection="false" borderId="217" fillId="0" fontId="5" numFmtId="240" xfId="0">
      <alignment horizontal="center" vertical="center"/>
    </xf>
    <xf applyAlignment="true" applyBorder="false" applyFill="false" applyFont="true" applyNumberFormat="false" applyProtection="false" borderId="217" fillId="0" fontId="5" numFmtId="0" xfId="0">
      <alignment horizontal="center" vertical="center"/>
    </xf>
    <xf applyAlignment="true" applyBorder="false" applyFill="false" applyFont="true" applyNumberFormat="false" applyProtection="false" borderId="217" fillId="0" fontId="5" numFmtId="0" xfId="0">
      <alignment horizontal="center" vertical="center" wrapText="true"/>
    </xf>
    <xf applyAlignment="true" applyBorder="false" applyFill="false" applyFont="true" applyNumberFormat="false" applyProtection="false" borderId="218" fillId="0" fontId="4" numFmtId="0" xfId="0">
      <alignment horizontal="center" vertical="center"/>
    </xf>
    <xf applyAlignment="true" applyBorder="false" applyFill="false" applyFont="true" applyNumberFormat="true" applyProtection="false" borderId="218" fillId="0" fontId="4" numFmtId="241" xfId="0">
      <alignment horizontal="center" vertical="center"/>
    </xf>
    <xf applyAlignment="true" applyBorder="false" applyFill="false" applyFont="true" applyNumberFormat="true" applyProtection="false" borderId="219" fillId="0" fontId="5" numFmtId="239" xfId="0">
      <alignment horizontal="center" vertical="center"/>
    </xf>
    <xf applyAlignment="true" applyBorder="false" applyFill="false" applyFont="true" applyNumberFormat="true" applyProtection="false" borderId="220" fillId="0" fontId="4" numFmtId="239" xfId="0">
      <alignment horizontal="center" vertical="center"/>
    </xf>
    <xf applyAlignment="true" applyBorder="false" applyFill="false" applyFont="true" applyNumberFormat="false" applyProtection="false" borderId="221" fillId="0" fontId="5" numFmtId="0" xfId="0">
      <alignment horizontal="center" vertical="center"/>
    </xf>
    <xf applyAlignment="true" applyBorder="false" applyFill="false" applyFont="true" applyNumberFormat="false" applyProtection="false" borderId="222" fillId="0" fontId="4" numFmtId="0" xfId="0">
      <alignment horizontal="center" vertical="center"/>
    </xf>
    <xf applyAlignment="true" applyBorder="false" applyFill="false" applyFont="true" applyNumberFormat="true" applyProtection="false" borderId="218" fillId="0" fontId="4" numFmtId="241" xfId="0">
      <alignment horizontal="center" vertical="center"/>
    </xf>
    <xf applyAlignment="true" applyBorder="false" applyFill="false" applyFont="true" applyNumberFormat="true" applyProtection="false" borderId="218" fillId="0" fontId="4" numFmtId="241" xfId="0">
      <alignment horizontal="center" vertical="center"/>
    </xf>
    <xf applyAlignment="true" applyBorder="false" applyFill="true" applyFont="true" applyNumberFormat="true" applyProtection="false" borderId="217" fillId="92" fontId="5" numFmtId="240" xfId="0">
      <alignment horizontal="center" vertical="center"/>
    </xf>
    <xf applyAlignment="true" applyBorder="false" applyFill="true" applyFont="true" applyNumberFormat="false" applyProtection="false" borderId="223" fillId="93" fontId="6" numFmtId="0" xfId="0">
      <alignment horizontal="center" vertical="center"/>
    </xf>
    <xf applyAlignment="true" applyBorder="false" applyFill="true" applyFont="true" applyNumberFormat="false" applyProtection="false" borderId="223" fillId="93" fontId="6" numFmtId="0" xfId="0">
      <alignment horizontal="center" vertical="center"/>
    </xf>
    <xf applyAlignment="true" applyBorder="false" applyFill="true" applyFont="true" applyNumberFormat="true" applyProtection="false" borderId="220" fillId="93" fontId="6" numFmtId="239" xfId="0">
      <alignment horizontal="center" vertical="center"/>
    </xf>
    <xf applyAlignment="true" applyBorder="false" applyFill="true" applyFont="true" applyNumberFormat="true" applyProtection="false" borderId="219" fillId="92" fontId="6" numFmtId="239" xfId="0">
      <alignment horizontal="center" vertical="center"/>
    </xf>
    <xf applyAlignment="true" applyBorder="false" applyFill="true" applyFont="true" applyNumberFormat="false" applyProtection="false" borderId="224" fillId="93" fontId="6" numFmtId="0" xfId="0">
      <alignment horizontal="center" vertical="center"/>
    </xf>
    <xf applyAlignment="true" applyBorder="false" applyFill="false" applyFont="true" applyNumberFormat="false" applyProtection="false" borderId="218" fillId="0" fontId="4" numFmtId="0" xfId="0">
      <alignment horizontal="center" vertical="center"/>
    </xf>
    <xf applyAlignment="true" applyBorder="false" applyFill="false" applyFont="true" applyNumberFormat="false" applyProtection="false" borderId="225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218" fillId="0" fontId="12" numFmtId="0" xfId="0">
      <alignment horizontal="center" vertical="center"/>
    </xf>
    <xf applyAlignment="true" applyBorder="false" applyFill="false" applyFont="true" applyNumberFormat="true" applyProtection="false" borderId="0" fillId="0" fontId="4" numFmtId="242" xfId="0">
      <alignment horizontal="center" vertical="center"/>
    </xf>
    <xf applyAlignment="true" applyBorder="false" applyFill="true" applyFont="true" applyNumberFormat="false" applyProtection="false" borderId="226" fillId="94" fontId="1" numFmtId="0" xfId="0">
      <alignment horizontal="center" vertical="center"/>
    </xf>
    <xf applyAlignment="true" applyBorder="false" applyFill="true" applyFont="true" applyNumberFormat="false" applyProtection="false" borderId="226" fillId="94" fontId="2" numFmtId="0" xfId="0">
      <alignment horizontal="center" vertical="center"/>
    </xf>
    <xf applyAlignment="true" applyBorder="false" applyFill="true" applyFont="true" applyNumberFormat="true" applyProtection="false" borderId="227" fillId="95" fontId="3" numFmtId="243" xfId="0">
      <alignment horizontal="center" vertical="center"/>
    </xf>
    <xf applyAlignment="true" applyBorder="false" applyFill="true" applyFont="true" applyNumberFormat="true" applyProtection="false" borderId="226" fillId="94" fontId="2" numFmtId="243" xfId="0">
      <alignment horizontal="center" vertical="center"/>
    </xf>
    <xf applyAlignment="true" applyBorder="false" applyFill="true" applyFont="true" applyNumberFormat="false" applyProtection="false" borderId="0" fillId="94" fontId="2" numFmtId="0" xfId="0">
      <alignment horizontal="center" vertical="center"/>
    </xf>
    <xf applyAlignment="true" applyBorder="false" applyFill="false" applyFont="true" applyNumberFormat="true" applyProtection="false" borderId="226" fillId="0" fontId="5" numFmtId="244" xfId="0">
      <alignment horizontal="center" vertical="center"/>
    </xf>
    <xf applyAlignment="true" applyBorder="false" applyFill="false" applyFont="true" applyNumberFormat="false" applyProtection="false" borderId="226" fillId="0" fontId="5" numFmtId="0" xfId="0">
      <alignment horizontal="center" vertical="center"/>
    </xf>
    <xf applyAlignment="true" applyBorder="false" applyFill="false" applyFont="true" applyNumberFormat="false" applyProtection="false" borderId="228" fillId="0" fontId="5" numFmtId="0" xfId="0">
      <alignment horizontal="center" vertical="center" wrapText="true"/>
    </xf>
    <xf applyAlignment="true" applyBorder="false" applyFill="false" applyFont="true" applyNumberFormat="false" applyProtection="false" borderId="228" fillId="0" fontId="5" numFmtId="0" xfId="0">
      <alignment horizontal="center" vertical="center"/>
    </xf>
    <xf applyAlignment="true" applyBorder="false" applyFill="false" applyFont="true" applyNumberFormat="true" applyProtection="false" borderId="228" fillId="0" fontId="5" numFmtId="245" xfId="0">
      <alignment horizontal="center" vertical="center"/>
    </xf>
    <xf applyAlignment="true" applyBorder="false" applyFill="false" applyFont="true" applyNumberFormat="true" applyProtection="false" borderId="228" fillId="0" fontId="5" numFmtId="243" xfId="0">
      <alignment horizontal="center" vertical="center"/>
    </xf>
    <xf applyAlignment="true" applyBorder="false" applyFill="false" applyFont="true" applyNumberFormat="true" applyProtection="false" borderId="229" fillId="0" fontId="4" numFmtId="243" xfId="0">
      <alignment horizontal="center" vertical="center"/>
    </xf>
    <xf applyAlignment="true" applyBorder="false" applyFill="false" applyFont="true" applyNumberFormat="false" applyProtection="false" borderId="230" fillId="0" fontId="5" numFmtId="0" xfId="0">
      <alignment horizontal="center" vertical="center"/>
    </xf>
    <xf applyAlignment="true" applyBorder="false" applyFill="false" applyFont="true" applyNumberFormat="false" applyProtection="false" borderId="231" fillId="0" fontId="5" numFmtId="0" xfId="0">
      <alignment horizontal="center" vertical="center"/>
    </xf>
    <xf applyAlignment="true" applyBorder="false" applyFill="false" applyFont="true" applyNumberFormat="false" applyProtection="false" borderId="226" fillId="0" fontId="5" numFmtId="0" xfId="0">
      <alignment horizontal="center" vertical="center" wrapText="true"/>
    </xf>
    <xf applyAlignment="true" applyBorder="false" applyFill="false" applyFont="true" applyNumberFormat="true" applyProtection="false" borderId="226" fillId="0" fontId="5" numFmtId="245" xfId="0">
      <alignment horizontal="center" vertical="center"/>
    </xf>
    <xf applyAlignment="true" applyBorder="false" applyFill="false" applyFont="true" applyNumberFormat="false" applyProtection="false" borderId="232" fillId="0" fontId="5" numFmtId="0" xfId="0">
      <alignment horizontal="center" vertical="center"/>
    </xf>
    <xf applyAlignment="true" applyBorder="false" applyFill="false" applyFont="true" applyNumberFormat="false" applyProtection="false" borderId="233" fillId="0" fontId="5" numFmtId="0" xfId="0">
      <alignment horizontal="center" vertical="center"/>
    </xf>
    <xf applyAlignment="true" applyBorder="false" applyFill="true" applyFont="true" applyNumberFormat="true" applyProtection="false" borderId="226" fillId="96" fontId="5" numFmtId="244" xfId="0">
      <alignment horizontal="center" vertical="center"/>
    </xf>
    <xf applyAlignment="true" applyBorder="false" applyFill="true" applyFont="true" applyNumberFormat="false" applyProtection="false" borderId="234" fillId="96" fontId="6" numFmtId="0" xfId="0">
      <alignment horizontal="center" vertical="center"/>
    </xf>
    <xf applyAlignment="true" applyBorder="false" applyFill="true" applyFont="true" applyNumberFormat="false" applyProtection="false" borderId="234" fillId="96" fontId="6" numFmtId="0" xfId="0">
      <alignment horizontal="center" vertical="center"/>
    </xf>
    <xf applyAlignment="true" applyBorder="false" applyFill="true" applyFont="true" applyNumberFormat="true" applyProtection="false" borderId="228" fillId="96" fontId="6" numFmtId="243" xfId="0">
      <alignment horizontal="center" vertical="center"/>
    </xf>
    <xf applyAlignment="true" applyBorder="false" applyFill="true" applyFont="true" applyNumberFormat="false" applyProtection="false" borderId="233" fillId="96" fontId="6" numFmtId="0" xfId="0">
      <alignment horizontal="center" vertical="center"/>
    </xf>
    <xf applyAlignment="true" applyBorder="false" applyFill="false" applyFont="true" applyNumberFormat="false" applyProtection="false" borderId="23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235" fillId="96" fontId="6" numFmtId="0" xfId="0">
      <alignment horizontal="center" vertical="center"/>
    </xf>
    <xf applyAlignment="true" applyBorder="false" applyFill="false" applyFont="true" applyNumberFormat="false" applyProtection="false" borderId="236" fillId="0" fontId="5" numFmtId="0" xfId="0">
      <alignment horizontal="center" vertical="center"/>
    </xf>
    <xf applyAlignment="true" applyBorder="false" applyFill="false" applyFont="true" applyNumberFormat="true" applyProtection="false" borderId="227" fillId="0" fontId="4" numFmtId="244" xfId="0">
      <alignment horizontal="center" vertical="center"/>
    </xf>
    <xf applyAlignment="true" applyBorder="false" applyFill="false" applyFont="true" applyNumberFormat="false" applyProtection="false" borderId="227" fillId="0" fontId="4" numFmtId="0" xfId="0">
      <alignment horizontal="center" vertical="center"/>
    </xf>
    <xf applyAlignment="true" applyBorder="false" applyFill="false" applyFont="true" applyNumberFormat="false" applyProtection="false" borderId="229" fillId="0" fontId="4" numFmtId="0" xfId="0">
      <alignment horizontal="center" vertical="center" wrapText="true"/>
    </xf>
    <xf applyAlignment="true" applyBorder="false" applyFill="false" applyFont="true" applyNumberFormat="false" applyProtection="false" borderId="229" fillId="0" fontId="4" numFmtId="0" xfId="0">
      <alignment horizontal="center" vertical="center"/>
    </xf>
    <xf applyAlignment="true" applyBorder="false" applyFill="false" applyFont="true" applyNumberFormat="false" applyProtection="false" borderId="229" fillId="0" fontId="4" numFmtId="0" xfId="0">
      <alignment horizontal="center" vertical="center"/>
    </xf>
    <xf applyAlignment="true" applyBorder="false" applyFill="false" applyFont="true" applyNumberFormat="true" applyProtection="false" borderId="229" fillId="0" fontId="4" numFmtId="245" xfId="0">
      <alignment horizontal="center" vertical="center"/>
    </xf>
    <xf applyAlignment="true" applyBorder="false" applyFill="false" applyFont="true" applyNumberFormat="false" applyProtection="false" borderId="237" fillId="0" fontId="4" numFmtId="0" xfId="0">
      <alignment horizontal="center" vertical="center"/>
    </xf>
    <xf applyAlignment="true" applyBorder="false" applyFill="false" applyFont="true" applyNumberFormat="false" applyProtection="false" borderId="238" fillId="0" fontId="4" numFmtId="0" xfId="0">
      <alignment horizontal="center" vertical="center"/>
    </xf>
    <xf applyAlignment="true" applyBorder="false" applyFill="false" applyFont="true" applyNumberFormat="false" applyProtection="false" borderId="237" fillId="0" fontId="4" numFmtId="0" xfId="0">
      <alignment horizontal="center" vertical="center"/>
    </xf>
    <xf applyAlignment="true" applyBorder="false" applyFill="false" applyFont="true" applyNumberFormat="false" applyProtection="false" borderId="227" fillId="0" fontId="4" numFmtId="0" xfId="0">
      <alignment horizontal="center" vertical="center" wrapText="true"/>
    </xf>
    <xf applyAlignment="true" applyBorder="false" applyFill="false" applyFont="true" applyNumberFormat="false" applyProtection="false" borderId="227" fillId="0" fontId="4" numFmtId="0" xfId="0">
      <alignment horizontal="center" vertical="center"/>
    </xf>
    <xf applyAlignment="true" applyBorder="false" applyFill="false" applyFont="true" applyNumberFormat="true" applyProtection="false" borderId="227" fillId="0" fontId="4" numFmtId="245" xfId="0">
      <alignment horizontal="center" vertical="center"/>
    </xf>
    <xf applyAlignment="true" applyBorder="false" applyFill="false" applyFont="true" applyNumberFormat="false" applyProtection="false" borderId="239" fillId="0" fontId="4" numFmtId="0" xfId="0">
      <alignment horizontal="center" vertical="center"/>
    </xf>
    <xf applyAlignment="true" applyBorder="false" applyFill="true" applyFont="true" applyNumberFormat="true" applyProtection="false" borderId="227" fillId="97" fontId="4" numFmtId="244" xfId="0">
      <alignment horizontal="center" vertical="center"/>
    </xf>
    <xf applyAlignment="true" applyBorder="false" applyFill="true" applyFont="true" applyNumberFormat="false" applyProtection="false" borderId="240" fillId="97" fontId="6" numFmtId="0" xfId="0">
      <alignment horizontal="center" vertical="center"/>
    </xf>
    <xf applyAlignment="true" applyBorder="false" applyFill="true" applyFont="true" applyNumberFormat="true" applyProtection="false" borderId="229" fillId="97" fontId="6" numFmtId="243" xfId="0">
      <alignment horizontal="center" vertical="center"/>
    </xf>
    <xf applyAlignment="true" applyBorder="false" applyFill="true" applyFont="true" applyNumberFormat="false" applyProtection="false" borderId="239" fillId="97" fontId="6" numFmtId="0" xfId="0">
      <alignment horizontal="center" vertical="center"/>
    </xf>
    <xf applyAlignment="true" applyBorder="false" applyFill="false" applyFont="true" applyNumberFormat="false" applyProtection="false" borderId="226" fillId="0" fontId="5" numFmtId="0" xfId="0">
      <alignment horizontal="center" vertical="center"/>
    </xf>
    <xf applyAlignment="true" applyBorder="false" applyFill="true" applyFont="true" applyNumberFormat="false" applyProtection="false" borderId="240" fillId="97" fontId="6" numFmtId="0" xfId="0">
      <alignment horizontal="center" vertical="center"/>
    </xf>
    <xf applyAlignment="true" applyBorder="false" applyFill="false" applyFont="true" applyNumberFormat="true" applyProtection="false" borderId="227" fillId="0" fontId="4" numFmtId="245" xfId="0">
      <alignment horizontal="center" vertical="center"/>
    </xf>
    <xf applyAlignment="true" applyBorder="false" applyFill="true" applyFont="true" applyNumberFormat="true" applyProtection="false" borderId="0" fillId="98" fontId="11" numFmtId="245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227" fillId="0" fontId="4" numFmtId="245" xfId="0">
      <alignment horizontal="center" vertical="center"/>
    </xf>
    <xf applyAlignment="true" applyBorder="false" applyFill="false" applyFont="true" applyNumberFormat="false" applyProtection="false" borderId="241" fillId="0" fontId="4" numFmtId="0" xfId="0">
      <alignment horizontal="center" vertical="center"/>
    </xf>
    <xf applyAlignment="true" applyBorder="false" applyFill="false" applyFont="true" applyNumberFormat="false" applyProtection="false" borderId="227" fillId="0" fontId="12" numFmtId="0" xfId="0">
      <alignment horizontal="center" vertical="center"/>
    </xf>
    <xf applyAlignment="true" applyBorder="false" applyFill="false" applyFont="true" applyNumberFormat="true" applyProtection="false" borderId="0" fillId="0" fontId="5" numFmtId="246" xfId="0">
      <alignment vertical="center"/>
    </xf>
    <xf applyAlignment="true" applyBorder="false" applyFill="true" applyFont="true" applyNumberFormat="false" applyProtection="false" borderId="242" fillId="99" fontId="2" numFmtId="0" xfId="0">
      <alignment horizontal="center" vertical="center"/>
    </xf>
    <xf applyAlignment="true" applyBorder="false" applyFill="true" applyFont="true" applyNumberFormat="true" applyProtection="false" borderId="242" fillId="99" fontId="2" numFmtId="247" xfId="0">
      <alignment horizontal="center" vertical="center"/>
    </xf>
    <xf applyAlignment="true" applyBorder="false" applyFill="true" applyFont="true" applyNumberFormat="false" applyProtection="false" borderId="0" fillId="99" fontId="2" numFmtId="0" xfId="0">
      <alignment horizontal="center" vertical="center"/>
    </xf>
    <xf applyAlignment="true" applyBorder="false" applyFill="false" applyFont="true" applyNumberFormat="true" applyProtection="false" borderId="242" fillId="0" fontId="5" numFmtId="248" xfId="0">
      <alignment horizontal="center" vertical="center"/>
    </xf>
    <xf applyAlignment="true" applyBorder="false" applyFill="false" applyFont="true" applyNumberFormat="false" applyProtection="false" borderId="242" fillId="0" fontId="5" numFmtId="0" xfId="0">
      <alignment horizontal="center" vertical="center"/>
    </xf>
    <xf applyAlignment="true" applyBorder="false" applyFill="false" applyFont="true" applyNumberFormat="false" applyProtection="false" borderId="242" fillId="0" fontId="5" numFmtId="0" xfId="0">
      <alignment horizontal="center" vertical="center" wrapText="true"/>
    </xf>
    <xf applyAlignment="true" applyBorder="false" applyFill="false" applyFont="true" applyNumberFormat="false" applyProtection="false" borderId="242" fillId="0" fontId="5" numFmtId="0" xfId="0">
      <alignment horizontal="center" vertical="center"/>
    </xf>
    <xf applyAlignment="true" applyBorder="false" applyFill="false" applyFont="true" applyNumberFormat="true" applyProtection="false" borderId="242" fillId="0" fontId="5" numFmtId="249" xfId="0">
      <alignment horizontal="center" vertical="center"/>
    </xf>
    <xf applyAlignment="true" applyBorder="false" applyFill="false" applyFont="true" applyNumberFormat="true" applyProtection="false" borderId="243" fillId="0" fontId="5" numFmtId="247" xfId="0">
      <alignment horizontal="center" vertical="center"/>
    </xf>
    <xf applyAlignment="true" applyBorder="false" applyFill="false" applyFont="true" applyNumberFormat="false" applyProtection="false" borderId="244" fillId="0" fontId="5" numFmtId="0" xfId="0">
      <alignment horizontal="center" vertical="center"/>
    </xf>
    <xf applyAlignment="true" applyBorder="false" applyFill="false" applyFont="true" applyNumberFormat="true" applyProtection="false" borderId="242" fillId="0" fontId="5" numFmtId="250" xfId="0">
      <alignment horizontal="right" vertical="center"/>
    </xf>
    <xf applyAlignment="true" applyBorder="false" applyFill="false" applyFont="true" applyNumberFormat="true" applyProtection="false" borderId="244" fillId="0" fontId="5" numFmtId="250" xfId="0">
      <alignment horizontal="right" vertical="center"/>
    </xf>
    <xf applyAlignment="true" applyBorder="false" applyFill="false" applyFont="true" applyNumberFormat="false" applyProtection="false" borderId="244" fillId="0" fontId="5" numFmtId="0" xfId="0">
      <alignment horizontal="center" vertical="center"/>
    </xf>
    <xf applyAlignment="true" applyBorder="false" applyFill="false" applyFont="true" applyNumberFormat="false" applyProtection="false" borderId="242" fillId="0" fontId="5" numFmtId="0" xfId="0">
      <alignment vertical="center"/>
    </xf>
    <xf applyAlignment="true" applyBorder="false" applyFill="false" applyFont="true" applyNumberFormat="true" applyProtection="false" borderId="242" fillId="0" fontId="5" numFmtId="249" xfId="0">
      <alignment horizontal="center" vertical="center"/>
    </xf>
    <xf applyAlignment="true" applyBorder="false" applyFill="true" applyFont="true" applyNumberFormat="true" applyProtection="false" borderId="242" fillId="100" fontId="5" numFmtId="248" xfId="0">
      <alignment horizontal="center" vertical="center"/>
    </xf>
    <xf applyAlignment="true" applyBorder="false" applyFill="true" applyFont="true" applyNumberFormat="false" applyProtection="false" borderId="245" fillId="100" fontId="6" numFmtId="0" xfId="0">
      <alignment horizontal="center" vertical="center"/>
    </xf>
    <xf applyAlignment="true" applyBorder="false" applyFill="true" applyFont="true" applyNumberFormat="false" applyProtection="false" borderId="245" fillId="100" fontId="6" numFmtId="0" xfId="0">
      <alignment horizontal="center" vertical="center"/>
    </xf>
    <xf applyAlignment="true" applyBorder="false" applyFill="true" applyFont="true" applyNumberFormat="true" applyProtection="false" borderId="243" fillId="100" fontId="6" numFmtId="247" xfId="0">
      <alignment horizontal="center" vertical="center"/>
    </xf>
    <xf applyAlignment="true" applyBorder="false" applyFill="true" applyFont="true" applyNumberFormat="false" applyProtection="false" borderId="244" fillId="100" fontId="6" numFmtId="0" xfId="0">
      <alignment horizontal="center" vertical="center"/>
    </xf>
    <xf applyAlignment="true" applyBorder="false" applyFill="true" applyFont="true" applyNumberFormat="true" applyProtection="false" borderId="245" fillId="100" fontId="6" numFmtId="249" xfId="0">
      <alignment horizontal="center" vertical="center"/>
    </xf>
    <xf applyAlignment="true" applyBorder="false" applyFill="true" applyFont="true" applyNumberFormat="false" applyProtection="false" borderId="242" fillId="100" fontId="6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246" fillId="0" fontId="4" numFmtId="248" xfId="0">
      <alignment horizontal="center" vertical="center"/>
    </xf>
    <xf applyAlignment="true" applyBorder="false" applyFill="true" applyFont="true" applyNumberFormat="true" applyProtection="false" borderId="247" fillId="100" fontId="6" numFmtId="247" xfId="0">
      <alignment horizontal="center" vertical="center"/>
    </xf>
    <xf applyAlignment="true" applyBorder="false" applyFill="true" applyFont="true" applyNumberFormat="false" applyProtection="false" borderId="248" fillId="100" fontId="6" numFmtId="0" xfId="0">
      <alignment horizontal="center" vertical="center"/>
    </xf>
    <xf applyAlignment="true" applyBorder="false" applyFill="false" applyFont="true" applyNumberFormat="false" applyProtection="false" borderId="249" fillId="0" fontId="5" numFmtId="0" xfId="0">
      <alignment horizontal="center" vertical="center"/>
    </xf>
    <xf applyAlignment="true" applyBorder="false" applyFill="false" applyFont="true" applyNumberFormat="false" applyProtection="false" borderId="249" fillId="0" fontId="5" numFmtId="0" xfId="0">
      <alignment vertical="center"/>
    </xf>
    <xf applyAlignment="true" applyBorder="false" applyFill="false" applyFont="true" applyNumberFormat="false" applyProtection="false" borderId="243" fillId="0" fontId="5" numFmtId="0" xfId="0">
      <alignment horizontal="center" vertical="center" wrapText="true"/>
    </xf>
    <xf applyAlignment="true" applyBorder="false" applyFill="false" applyFont="true" applyNumberFormat="false" applyProtection="false" borderId="243" fillId="0" fontId="5" numFmtId="0" xfId="0">
      <alignment horizontal="center" vertical="center"/>
    </xf>
    <xf applyAlignment="true" applyBorder="false" applyFill="false" applyFont="true" applyNumberFormat="true" applyProtection="false" borderId="243" fillId="0" fontId="5" numFmtId="249" xfId="0">
      <alignment horizontal="center" vertical="center"/>
    </xf>
    <xf applyAlignment="true" applyBorder="false" applyFill="false" applyFont="true" applyNumberFormat="false" applyProtection="false" borderId="250" fillId="0" fontId="5" numFmtId="0" xfId="0">
      <alignment horizontal="center" vertical="center"/>
    </xf>
    <xf applyAlignment="true" applyBorder="false" applyFill="false" applyFont="true" applyNumberFormat="false" applyProtection="false" borderId="242" fillId="0" fontId="12" numFmtId="0" xfId="0">
      <alignment horizontal="center" vertical="center"/>
    </xf>
    <xf applyAlignment="true" applyBorder="false" applyFill="false" applyFont="true" applyNumberFormat="true" applyProtection="false" borderId="246" fillId="0" fontId="4" numFmtId="250" xfId="0">
      <alignment horizontal="center" vertical="center"/>
    </xf>
    <xf applyAlignment="true" applyBorder="false" applyFill="false" applyFont="true" applyNumberFormat="true" applyProtection="false" borderId="246" fillId="0" fontId="4" numFmtId="250" xfId="0">
      <alignment horizontal="center" vertical="center"/>
    </xf>
    <xf applyAlignment="true" applyBorder="false" applyFill="false" applyFont="true" applyNumberFormat="false" applyProtection="false" borderId="251" fillId="0" fontId="5" numFmtId="0" xfId="0">
      <alignment horizontal="center" vertical="center"/>
    </xf>
    <xf applyAlignment="true" applyBorder="false" applyFill="false" applyFont="true" applyNumberFormat="true" applyProtection="false" borderId="250" fillId="0" fontId="5" numFmtId="247" xfId="0">
      <alignment horizontal="center" vertical="center"/>
    </xf>
    <xf applyAlignment="true" applyBorder="false" applyFill="false" applyFont="true" applyNumberFormat="false" applyProtection="false" borderId="252" fillId="0" fontId="5" numFmtId="0" xfId="0">
      <alignment horizontal="center" vertical="center"/>
    </xf>
    <xf applyAlignment="true" applyBorder="false" applyFill="true" applyFont="true" applyNumberFormat="false" applyProtection="false" borderId="253" fillId="101" fontId="2" numFmtId="0" xfId="0">
      <alignment horizontal="center" vertical="center"/>
    </xf>
    <xf applyAlignment="true" applyBorder="false" applyFill="true" applyFont="true" applyNumberFormat="true" applyProtection="false" borderId="253" fillId="101" fontId="2" numFmtId="251" xfId="0">
      <alignment horizontal="center" vertical="center"/>
    </xf>
    <xf applyAlignment="true" applyBorder="false" applyFill="true" applyFont="true" applyNumberFormat="false" applyProtection="false" borderId="0" fillId="101" fontId="2" numFmtId="0" xfId="0">
      <alignment horizontal="center" vertical="center"/>
    </xf>
    <xf applyAlignment="true" applyBorder="false" applyFill="false" applyFont="true" applyNumberFormat="true" applyProtection="false" borderId="253" fillId="0" fontId="5" numFmtId="252" xfId="0">
      <alignment horizontal="center" vertical="center"/>
    </xf>
    <xf applyAlignment="true" applyBorder="false" applyFill="false" applyFont="true" applyNumberFormat="false" applyProtection="false" borderId="253" fillId="0" fontId="5" numFmtId="0" xfId="0">
      <alignment horizontal="center" vertical="center"/>
    </xf>
    <xf applyAlignment="true" applyBorder="false" applyFill="false" applyFont="true" applyNumberFormat="false" applyProtection="false" borderId="253" fillId="0" fontId="5" numFmtId="0" xfId="0">
      <alignment horizontal="center" vertical="center" wrapText="true"/>
    </xf>
    <xf applyAlignment="true" applyBorder="false" applyFill="false" applyFont="true" applyNumberFormat="true" applyProtection="false" borderId="253" fillId="0" fontId="5" numFmtId="253" xfId="0">
      <alignment horizontal="center" vertical="center"/>
    </xf>
    <xf applyAlignment="true" applyBorder="false" applyFill="false" applyFont="true" applyNumberFormat="true" applyProtection="false" borderId="254" fillId="0" fontId="5" numFmtId="251" xfId="0">
      <alignment horizontal="center" vertical="center"/>
    </xf>
    <xf applyAlignment="true" applyBorder="false" applyFill="false" applyFont="true" applyNumberFormat="false" applyProtection="false" borderId="255" fillId="0" fontId="5" numFmtId="0" xfId="0">
      <alignment horizontal="center" vertical="center"/>
    </xf>
    <xf applyAlignment="true" applyBorder="false" applyFill="false" applyFont="true" applyNumberFormat="true" applyProtection="false" borderId="253" fillId="0" fontId="5" numFmtId="254" xfId="0">
      <alignment horizontal="right" vertical="center"/>
    </xf>
    <xf applyAlignment="true" applyBorder="false" applyFill="false" applyFont="true" applyNumberFormat="true" applyProtection="false" borderId="255" fillId="0" fontId="5" numFmtId="254" xfId="0">
      <alignment horizontal="right" vertical="center"/>
    </xf>
    <xf applyAlignment="true" applyBorder="false" applyFill="false" applyFont="true" applyNumberFormat="true" applyProtection="false" borderId="0" fillId="0" fontId="5" numFmtId="254" xfId="0">
      <alignment vertical="center"/>
    </xf>
    <xf applyAlignment="true" applyBorder="false" applyFill="false" applyFont="true" applyNumberFormat="false" applyProtection="false" borderId="255" fillId="0" fontId="5" numFmtId="0" xfId="0">
      <alignment horizontal="center" vertical="center"/>
    </xf>
    <xf applyAlignment="true" applyBorder="false" applyFill="false" applyFont="true" applyNumberFormat="false" applyProtection="false" borderId="253" fillId="0" fontId="5" numFmtId="0" xfId="0">
      <alignment vertical="center"/>
    </xf>
    <xf applyAlignment="true" applyBorder="false" applyFill="true" applyFont="true" applyNumberFormat="true" applyProtection="false" borderId="253" fillId="102" fontId="5" numFmtId="252" xfId="0">
      <alignment horizontal="center" vertical="center"/>
    </xf>
    <xf applyAlignment="true" applyBorder="false" applyFill="true" applyFont="true" applyNumberFormat="false" applyProtection="false" borderId="256" fillId="102" fontId="6" numFmtId="0" xfId="0">
      <alignment horizontal="center" vertical="center"/>
    </xf>
    <xf applyAlignment="true" applyBorder="false" applyFill="true" applyFont="true" applyNumberFormat="true" applyProtection="false" borderId="256" fillId="102" fontId="6" numFmtId="253" xfId="0">
      <alignment horizontal="center" vertical="center"/>
    </xf>
    <xf applyAlignment="true" applyBorder="false" applyFill="true" applyFont="true" applyNumberFormat="true" applyProtection="false" borderId="254" fillId="102" fontId="6" numFmtId="251" xfId="0">
      <alignment horizontal="center" vertical="center"/>
    </xf>
    <xf applyAlignment="true" applyBorder="false" applyFill="true" applyFont="true" applyNumberFormat="false" applyProtection="false" borderId="255" fillId="102" fontId="6" numFmtId="0" xfId="0">
      <alignment horizontal="center" vertical="center"/>
    </xf>
    <xf applyAlignment="true" applyBorder="false" applyFill="true" applyFont="true" applyNumberFormat="false" applyProtection="false" borderId="253" fillId="102" fontId="6" numFmtId="0" xfId="0">
      <alignment horizontal="center" vertical="center"/>
    </xf>
    <xf applyAlignment="true" applyBorder="false" applyFill="false" applyFont="true" applyNumberFormat="false" applyProtection="false" borderId="255" fillId="0" fontId="5" numFmtId="0" xfId="0">
      <alignment vertical="center"/>
    </xf>
    <xf applyAlignment="true" applyBorder="false" applyFill="false" applyFont="true" applyNumberFormat="false" applyProtection="false" borderId="257" fillId="0" fontId="3" numFmtId="0" xfId="0">
      <alignment horizontal="center" vertical="center"/>
    </xf>
    <xf applyAlignment="true" applyBorder="false" applyFill="false" applyFont="true" applyNumberFormat="true" applyProtection="false" borderId="257" fillId="0" fontId="3" numFmtId="253" xfId="0">
      <alignment horizontal="center" vertical="center"/>
    </xf>
    <xf applyAlignment="true" applyBorder="false" applyFill="false" applyFont="true" applyNumberFormat="true" applyProtection="false" borderId="253" fillId="0" fontId="5" numFmtId="254" xfId="0">
      <alignment horizontal="right" vertical="center"/>
    </xf>
    <xf applyAlignment="true" applyBorder="false" applyFill="false" applyFont="true" applyNumberFormat="false" applyProtection="false" borderId="253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</cellXfs>
  <cellStyles count="1">
    <cellStyle builtinId="0" name="Normal" xfId="0"/>
  </cellStyles>
  <dxfs count="5">
    <dxf>
      <fill>
        <patternFill patternType="solid">
          <fgColor rgb="FF8CDDFA"/>
          <bgColor/>
        </patternFill>
      </fill>
    </dxf>
    <dxf>
      <fill>
        <patternFill patternType="solid">
          <fgColor rgb="FF8CDDFA"/>
          <bgColor/>
        </patternFill>
      </fill>
    </dxf>
    <dxf>
      <fill>
        <patternFill patternType="solid">
          <fgColor rgb="FF8CDDFA"/>
          <bgColor/>
        </patternFill>
      </fill>
    </dxf>
    <dxf>
      <fill>
        <patternFill patternType="solid">
          <fgColor rgb="FF8CDDFA"/>
          <bgColor/>
        </patternFill>
      </fill>
    </dxf>
    <dxf>
      <fill>
        <patternFill patternType="solid">
          <fgColor rgb="FF8CDDFA"/>
          <bgColor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/xl/pivotCache/pivotCacheDefinition1.xml" Type="http://schemas.openxmlformats.org/officeDocument/2006/relationships/pivotCacheDefinition"></Relationship><Relationship Id="rId9" Target="/xl/pivotCache/pivotCacheDefinition2.xml" Type="http://schemas.openxmlformats.org/officeDocument/2006/relationships/pivotCacheDefinition"></Relationship><Relationship Id="rId10" Target="worksheets/sheet5.xml" Type="http://schemas.openxmlformats.org/officeDocument/2006/relationships/worksheet"></Relationship><Relationship Id="rId11" Target="/xl/pivotCache/pivotCacheDefinition3.xml" Type="http://schemas.openxmlformats.org/officeDocument/2006/relationships/pivotCacheDefinition"></Relationship><Relationship Id="rId12" Target="worksheets/sheet6.xml" Type="http://schemas.openxmlformats.org/officeDocument/2006/relationships/worksheet"></Relationship><Relationship Id="rId13" Target="/xl/pivotCache/pivotCacheDefinition4.xml" Type="http://schemas.openxmlformats.org/officeDocument/2006/relationships/pivotCacheDefinition"></Relationship><Relationship Id="rId14" Target="worksheets/sheet7.xml" Type="http://schemas.openxmlformats.org/officeDocument/2006/relationships/worksheet"></Relationship><Relationship Id="rId15" Target="/xl/pivotCache/pivotCacheDefinition5.xml" Type="http://schemas.openxmlformats.org/officeDocument/2006/relationships/pivotCacheDefinition"></Relationship><Relationship Id="rId16" Target="worksheets/sheet8.xml" Type="http://schemas.openxmlformats.org/officeDocument/2006/relationships/worksheet"></Relationship><Relationship Id="rId17" Target="/xl/pivotCache/pivotCacheDefinition6.xml" Type="http://schemas.openxmlformats.org/officeDocument/2006/relationships/pivotCacheDefinition"></Relationship><Relationship Id="rId18" Target="worksheets/sheet9.xml" Type="http://schemas.openxmlformats.org/officeDocument/2006/relationships/worksheet"></Relationship><Relationship Id="rId19" Target="/xl/pivotCache/pivotCacheDefinition7.xml" Type="http://schemas.openxmlformats.org/officeDocument/2006/relationships/pivotCacheDefinition"></Relationship><Relationship Id="rId20" Target="worksheets/sheet10.xml" Type="http://schemas.openxmlformats.org/officeDocument/2006/relationships/worksheet"></Relationship><Relationship Id="rId21" Target="/xl/pivotCache/pivotCacheDefinition8.xml" Type="http://schemas.openxmlformats.org/officeDocument/2006/relationships/pivotCacheDefinition"></Relationship><Relationship Id="rId22" Target="worksheets/sheet11.xml" Type="http://schemas.openxmlformats.org/officeDocument/2006/relationships/worksheet"></Relationship><Relationship Id="rId23" Target="/xl/pivotCache/pivotCacheDefinition9.xml" Type="http://schemas.openxmlformats.org/officeDocument/2006/relationships/pivotCacheDefinition"></Relationship><Relationship Id="rId24" Target="worksheets/sheet12.xml" Type="http://schemas.openxmlformats.org/officeDocument/2006/relationships/worksheet"></Relationship><Relationship Id="rId25" Target="/xl/pivotCache/pivotCacheDefinition10.xml" Type="http://schemas.openxmlformats.org/officeDocument/2006/relationships/pivotCacheDefinition"></Relationship><Relationship Id="rId26" Target="worksheets/sheet13.xml" Type="http://schemas.openxmlformats.org/officeDocument/2006/relationships/worksheet"></Relationship><Relationship Id="rId27" Target="/xl/pivotCache/pivotCacheDefinition11.xml" Type="http://schemas.openxmlformats.org/officeDocument/2006/relationships/pivotCacheDefinition"></Relationship><Relationship Id="rId28" Target="worksheets/sheet14.xml" Type="http://schemas.openxmlformats.org/officeDocument/2006/relationships/worksheet"></Relationship><Relationship Id="rId29" Target="/xl/pivotCache/pivotCacheDefinition12.xml" Type="http://schemas.openxmlformats.org/officeDocument/2006/relationships/pivotCacheDefinition"></Relationship><Relationship Id="rId30" Target="worksheets/sheet15.xml" Type="http://schemas.openxmlformats.org/officeDocument/2006/relationships/worksheet"></Relationship><Relationship Id="rId31" Target="worksheets/sheet16.xml" Type="http://schemas.openxmlformats.org/officeDocument/2006/relationships/worksheet"></Relationship><Relationship Id="rId32" Target="worksheets/sheet17.xml" Type="http://schemas.openxmlformats.org/officeDocument/2006/relationships/worksheet"></Relationship><Relationship Id="rId33" Target="worksheets/sheet18.xml" Type="http://schemas.openxmlformats.org/officeDocument/2006/relationships/worksheet"></Relationship><Relationship Id="rId34" Target="worksheets/sheet19.xml" Type="http://schemas.openxmlformats.org/officeDocument/2006/relationships/worksheet"></Relationship><Relationship Id="rId35" Target="worksheets/sheet20.xml" Type="http://schemas.openxmlformats.org/officeDocument/2006/relationships/worksheet"></Relationship><Relationship Id="rId36" Target="worksheets/sheet21.xml" Type="http://schemas.openxmlformats.org/officeDocument/2006/relationships/worksheet"></Relationship><Relationship Id="rId37" Target="worksheets/sheet22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E$182:$H$195" sheet="2026年9月"/>
  </cacheSource>
  <cacheFields count="4">
    <cacheField name="E列" numFmtId="0">
      <sharedItems count="7">
        <s v="菅心茹"/>
        <s v="卢美玲"/>
        <s v="聂凡"/>
        <s v="孙紫欣"/>
        <s v="王佳惠"/>
        <s v="尹小雨"/>
        <s v="武慧聪"/>
      </sharedItems>
    </cacheField>
    <cacheField name="求和项:直播时长" numFmtId="0">
      <sharedItems containsString="false" containsBlank="true" containsNumber="true" containsInteger="true" minValue="39" maxValue="129" count="8">
        <m/>
        <n v="94"/>
        <n v="39"/>
        <n v="87"/>
        <n v="104"/>
        <n v="64"/>
        <n v="129"/>
        <n v="83"/>
      </sharedItems>
    </cacheField>
    <cacheField name="求和项:年化保费" numFmtId="0">
      <sharedItems containsSemiMixedTypes="false" containsString="false" containsNumber="true" minValue="1414.8000000000002" maxValue="1.0140434800000001e+06" count="13">
        <n v="8502.8"/>
        <n v="1414.8000000000002"/>
        <n v="12585.6"/>
        <n v="5592"/>
        <n v="16181.4"/>
        <n v="27475.2"/>
        <n v="642751.6"/>
        <n v="197099.88000000003"/>
        <n v="443639.5999999999"/>
        <n v="631570.2000000001"/>
        <n v="321619.77999999997"/>
        <n v="1.0140434800000001e+06"/>
        <n v="547311.6000000001"/>
      </sharedItems>
    </cacheField>
    <cacheField name="求和项:投流消耗" numFmtId="0">
      <sharedItems containsSemiMixedTypes="false" containsString="false" containsNumber="true" minValue="1324.076" maxValue="535603.76" count="13">
        <n v="6328.118"/>
        <n v="4531.225"/>
        <n v="17228.82"/>
        <n v="1324.076"/>
        <n v="10139.995"/>
        <n v="21283.546"/>
        <n v="355116.57"/>
        <n v="122916.42"/>
        <n v="243896.41000000003"/>
        <n v="351878.24999999994"/>
        <n v="188502.38"/>
        <n v="535603.76"/>
        <n v="289441.11000000004"/>
      </sharedItems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63" sheet="2026年9月"/>
  </cacheSource>
  <cacheFields count="16">
    <cacheField name="日期" numFmtId="0">
      <sharedItems containsSemiMixedTypes="false" containsNonDate="false" containsDate="true" containsString="false" minDate="2026-09-01T00:00:00.000Z" maxDate="2026-09-30T00:00:00.000Z" count="0"/>
    </cacheField>
    <cacheField name="主播" numFmtId="0">
      <sharedItems containsBlank="true" count="8">
        <s v="孙紫欣"/>
        <s v="菅心茹"/>
        <s v="武慧聪"/>
        <s v="聂凡"/>
        <m/>
        <s v="王佳惠"/>
        <s v="尹小雨"/>
        <s v="卢美玲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10">
        <n v="5"/>
        <n v="20"/>
        <n v="4"/>
        <n v="2"/>
        <n v="3"/>
        <n v="4.75"/>
        <n v="19.75"/>
        <n v="4.25"/>
        <n v="4.2"/>
        <n v="18.2"/>
      </sharedItems>
    </cacheField>
    <cacheField name="总订单" numFmtId="0">
      <sharedItems containsSemiMixedTypes="false" containsString="false" containsNumber="true" containsInteger="true" minValue="7" maxValue="227" count="0"/>
    </cacheField>
    <cacheField name="保单数量" numFmtId="0">
      <sharedItems containsSemiMixedTypes="false" containsString="false" containsNumber="true" containsInteger="true" minValue="4" maxValue="166" count="0"/>
    </cacheField>
    <cacheField name="保险支付数" numFmtId="0">
      <sharedItems containsSemiMixedTypes="false" containsString="false" containsNumber="true" containsInteger="true" minValue="2" maxValue="123" count="0"/>
    </cacheField>
    <cacheField name="一号保单数" numFmtId="0">
      <sharedItems containsSemiMixedTypes="false" containsString="false" containsNumber="true" containsInteger="true" minValue="2" maxValue="111" count="0"/>
    </cacheField>
    <cacheField name="家庭单数量" numFmtId="0">
      <sharedItems containsSemiMixedTypes="false" containsString="false" containsNumber="true" containsInteger="true" minValue="0" maxValue="18" count="0"/>
    </cacheField>
    <cacheField name="年化保费" numFmtId="0">
      <sharedItems containsSemiMixedTypes="false" containsString="false" containsNumber="true" minValue="4352.000000000004" maxValue="185050.90000000002" count="162">
        <n v="24878.5"/>
        <n v="21647.599999999995"/>
        <n v="28414.399999999994"/>
        <n v="30480.000000000007"/>
        <n v="105420.5"/>
        <n v="54117.7"/>
        <n v="47477.20000000001"/>
        <n v="40501.4"/>
        <n v="30691.59999999999"/>
        <n v="172787.90000000002"/>
        <n v="44801.200000000004"/>
        <n v="35290.3"/>
        <n v="29562.199999999997"/>
        <n v="43240.6"/>
        <n v="152894.3"/>
        <n v="38366.20000000001"/>
        <n v="47680.100000000006"/>
        <n v="36220.8"/>
        <n v="22353.79999999998"/>
        <n v="144620.9"/>
        <n v="28734.000000000007"/>
        <n v="11577.599999999997"/>
        <n v="26664.199999999997"/>
        <n v="51542.8"/>
        <n v="118518.6"/>
        <n v="73975.4"/>
        <n v="49648.800000000025"/>
        <n v="29281.199999999983"/>
        <n v="32145.500000000015"/>
        <n v="185050.90000000002"/>
        <n v="59217.399999999994"/>
        <n v="35671.6"/>
        <n v="20763.6"/>
        <n v="52202.20000000001"/>
        <n v="167854.80000000002"/>
        <n v="49583.399999999994"/>
        <n v="54941.00000000001"/>
        <n v="11224.599999999999"/>
        <n v="27914.59999999999"/>
        <n v="143663.59999999998"/>
        <n v="31096.600000000006"/>
        <n v="46675.799999999996"/>
        <n v="23154"/>
        <n v="22694.6"/>
        <n v="123621"/>
        <n v="44743.2"/>
        <n v="40155.40000000001"/>
        <n v="22127"/>
        <n v="31554.699999999983"/>
        <n v="138580.3"/>
        <n v="35916.40000000001"/>
        <n v="20952.500000000004"/>
        <n v="24903.800000000003"/>
        <n v="12324"/>
        <n v="37982.100000000006"/>
        <n v="132078.80000000002"/>
        <n v="26967"/>
        <n v="20688.800000000003"/>
        <n v="15730.999999999996"/>
        <n v="4442.399999999998"/>
        <n v="33427.400000000016"/>
        <n v="101256.6"/>
        <n v="46772"/>
        <n v="24337.8"/>
        <n v="35466.6"/>
        <n v="17553.6"/>
        <n v="60614.800000000025"/>
        <n v="184744.80000000002"/>
        <n v="42371.00000000001"/>
        <n v="41806.00000000001"/>
        <n v="15203.999999999993"/>
        <n v="15340.80000000001"/>
        <n v="47475.2"/>
        <n v="162197"/>
        <n v="17070"/>
        <n v="30347.399999999998"/>
        <n v="21905.28"/>
        <n v="8034.000000000007"/>
        <n v="30362.800000000003"/>
        <n v="107719.48"/>
        <n v="33464.40000000001"/>
        <n v="11138.599999999999"/>
        <n v="15465.600000000002"/>
        <n v="22304.88"/>
        <n v="26370.700000000004"/>
        <n v="108744.18000000002"/>
        <n v="44595.00000000001"/>
        <n v="19421.999999999996"/>
        <n v="23279.800000000003"/>
        <n v="6195.5999999999985"/>
        <n v="46582.99999999999"/>
        <n v="140075.4"/>
        <n v="36631.2"/>
        <n v="13100.2"/>
        <n v="16257.200000000004"/>
        <n v="55555.3"/>
        <n v="121543.90000000001"/>
        <n v="35845.8"/>
        <n v="22312.600000000006"/>
        <n v="10963.800000000001"/>
        <n v="15259.599999999999"/>
        <n v="18862.800000000003"/>
        <n v="103244.60000000002"/>
        <n v="22524.04"/>
        <n v="16231.000000000002"/>
        <n v="25899.799999999996"/>
        <n v="52182.8"/>
        <n v="116837.64"/>
        <n v="45023.700000000004"/>
        <n v="18236.4"/>
        <n v="17459.2"/>
        <n v="21579.200000000004"/>
        <n v="102298.5"/>
        <n v="54965.30000000001"/>
        <n v="15649.199999999997"/>
        <n v="10995.80000000001"/>
        <n v="12960.799999999996"/>
        <n v="94571.1"/>
        <n v="26743.9"/>
        <n v="11145.999999999996"/>
        <n v="4352.000000000004"/>
        <n v="16012.199999999997"/>
        <n v="35078.600000000006"/>
        <n v="93332.7"/>
        <n v="46183.44"/>
        <n v="16129.600000000002"/>
        <n v="9526"/>
        <n v="10922.400000000001"/>
        <n v="21106.200000000004"/>
        <n v="103867.64000000001"/>
        <n v="57706.8"/>
        <n v="21669.199999999997"/>
        <n v="27856.799999999996"/>
        <n v="23792.200000000004"/>
        <n v="27412.19999999999"/>
        <n v="158437.19999999998"/>
        <n v="28399"/>
        <n v="8398.800000000001"/>
        <n v="12631.200000000004"/>
        <n v="37618"/>
        <n v="87047"/>
        <n v="29211.600000000006"/>
        <n v="11522"/>
        <n v="11373"/>
        <n v="9405.599999999999"/>
        <n v="15069.199999999997"/>
        <n v="76581.4"/>
        <n v="40727.4"/>
        <n v="24158.8"/>
        <n v="24386.6"/>
        <n v="32013.600000000006"/>
        <n v="121286.4"/>
        <n v="29092.400000000005"/>
        <n v="22688.199999999997"/>
        <n v="22433.800000000003"/>
        <n v="27423.999999999993"/>
        <n v="101638.4"/>
        <n v="27387.200000000004"/>
        <n v="41911.6"/>
        <n v="30602"/>
        <n v="27619.8"/>
        <n v="127520.6"/>
      </sharedItems>
    </cacheField>
    <cacheField name="投流消耗" numFmtId="0">
      <sharedItems containsSemiMixedTypes="false" containsString="false" containsNumber="true" minValue="5434.129999999999" maxValue="99009.56999999999" count="162">
        <n v="18512.699999999997"/>
        <n v="12900.28"/>
        <n v="15603.67"/>
        <n v="17082.44"/>
        <n v="64099.09"/>
        <n v="24990.98"/>
        <n v="27306"/>
        <n v="19624.55"/>
        <n v="17213.73"/>
        <n v="89135.26"/>
        <n v="25506.86"/>
        <n v="21138.71"/>
        <n v="13467.049999999997"/>
        <n v="16751.54"/>
        <n v="76864.16"/>
        <n v="27547.659999999996"/>
        <n v="20244.54"/>
        <n v="15307.529999999999"/>
        <n v="17646.699999999997"/>
        <n v="80746.43"/>
        <n v="14687.98"/>
        <n v="12354.13"/>
        <n v="9495.02"/>
        <n v="13521.33"/>
        <n v="50058.46000000001"/>
        <n v="22470.84"/>
        <n v="15578.15"/>
        <n v="15970.27"/>
        <n v="15368.57"/>
        <n v="69387.82999999999"/>
        <n v="23556.800000000003"/>
        <n v="33156.060000000005"/>
        <n v="17426.94"/>
        <n v="20495.059999999998"/>
        <n v="94634.86"/>
        <n v="24005.53"/>
        <n v="27434.14"/>
        <n v="17635.88"/>
        <n v="15472.140000000001"/>
        <n v="84547.69"/>
        <n v="23375.41"/>
        <n v="19486.170000000002"/>
        <n v="14336.51"/>
        <n v="12674.43"/>
        <n v="69872.52"/>
        <n v="19409.5"/>
        <n v="20168.18"/>
        <n v="10015.55"/>
        <n v="15435.36"/>
        <n v="65028.59"/>
        <n v="15197.310000000001"/>
        <n v="9005.820000000002"/>
        <n v="9373.23"/>
        <n v="7985.33"/>
        <n v="22719.83"/>
        <n v="64281.520000000004"/>
        <n v="19645.56"/>
        <n v="14860.94"/>
        <n v="15312.399999999998"/>
        <n v="5442.33"/>
        <n v="16505.06"/>
        <n v="71766.29"/>
        <n v="25849.79"/>
        <n v="14860.61"/>
        <n v="16253.130000000001"/>
        <n v="9156.9"/>
        <n v="32889.14"/>
        <n v="99009.56999999999"/>
        <n v="22986.07"/>
        <n v="24060.430000000004"/>
        <n v="13287.839999999998"/>
        <n v="8791.960000000001"/>
        <n v="20584.37"/>
        <n v="89710.67"/>
        <n v="20853.7"/>
        <n v="13983.349999999999"/>
        <n v="13854.779999999999"/>
        <n v="6858.86"/>
        <n v="15368.060000000001"/>
        <n v="70918.75"/>
        <n v="20526.82"/>
        <n v="9646.119999999999"/>
        <n v="7369.959999999999"/>
        <n v="7901.609999999999"/>
        <n v="14481.930000000002"/>
        <n v="59926.439999999995"/>
        <n v="25799.27"/>
        <n v="12632.880000000001"/>
        <n v="10889.81"/>
        <n v="5445.79"/>
        <n v="15833.4"/>
        <n v="70601.15"/>
        <n v="17453.37"/>
        <n v="14860.710000000001"/>
        <n v="11590.039999999999"/>
        <n v="27665.319999999996"/>
        <n v="71569.44"/>
        <n v="18238.89"/>
        <n v="14532.69"/>
        <n v="7092.860000000001"/>
        <n v="8003.97"/>
        <n v="9203.5"/>
        <n v="57071.91"/>
        <n v="16946.34"/>
        <n v="13114.21"/>
        <n v="15142.86"/>
        <n v="21499.79"/>
        <n v="66703.20000000001"/>
        <n v="17899.809999999998"/>
        <n v="12409.990000000002"/>
        <n v="8345.19"/>
        <n v="13645.550000000001"/>
        <n v="52300.54"/>
        <n v="29602.12"/>
        <n v="10930.31"/>
        <n v="7490.039999999999"/>
        <n v="12580.63"/>
        <n v="60603.1"/>
        <n v="16194.82"/>
        <n v="9352.36"/>
        <n v="5641.56"/>
        <n v="7893.7"/>
        <n v="13168.24"/>
        <n v="52250.68"/>
        <n v="24811.94"/>
        <n v="14549.25"/>
        <n v="7688.39"/>
        <n v="8820.810000000001"/>
        <n v="8416.36"/>
        <n v="64286.75"/>
        <n v="29560.6"/>
        <n v="13399.029999999999"/>
        <n v="12780.6"/>
        <n v="14658.22"/>
        <n v="13834.790000000003"/>
        <n v="84233.24"/>
        <n v="17089.84"/>
        <n v="8261.36"/>
        <n v="7296.09"/>
        <n v="13585.25"/>
        <n v="46232.54"/>
        <n v="17183.25"/>
        <n v="12619.2"/>
        <n v="6754.290000000001"/>
        <n v="5434.129999999999"/>
        <n v="8392.66"/>
        <n v="50383.53"/>
        <n v="24257.92"/>
        <n v="13248.72"/>
        <n v="12351.75"/>
        <n v="19226.48"/>
        <n v="69084.87"/>
        <n v="18860.690000000002"/>
        <n v="18740.670000000002"/>
        <n v="17197.050000000003"/>
        <n v="15251.09"/>
        <n v="70049.5"/>
        <n v="16151.01"/>
        <n v="17661.01"/>
        <n v="18261.73"/>
        <n v="19922.57"/>
        <n v="71996.32"/>
      </sharedItems>
    </cacheField>
    <cacheField name="ROI" numFmtId="0">
      <sharedItems containsSemiMixedTypes="false" containsString="false" containsNumber="true" minValue="0.6364638452972008" maxValue="3.8119622847752406" count="0"/>
    </cacheField>
    <cacheField name="单均" numFmtId="0">
      <sharedItems containsSemiMixedTypes="false" containsString="false" containsNumber="true" minValue="733.1636363636364" maxValue="1613.176470588235" count="0"/>
    </cacheField>
    <cacheField name="保单成本" numFmtId="0">
      <sharedItems containsSemiMixedTypes="false" containsString="false" containsNumber="true" minValue="346.70076923076925" maxValue="1603.2618181818182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9" maxValue="20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53" sheet="2026年8月"/>
  </cacheSource>
  <cacheFields count="16">
    <cacheField name="日期" numFmtId="0">
      <sharedItems containsSemiMixedTypes="false" containsNonDate="false" containsDate="true" containsString="false" minDate="2026-08-01T00:00:00.000Z" maxDate="2026-08-31T00:00:00.000Z" count="0"/>
    </cacheField>
    <cacheField name="主播" numFmtId="0">
      <sharedItems containsBlank="true" count="6">
        <s v="孙紫欣"/>
        <s v="菅心茹"/>
        <s v="聂凡"/>
        <s v="王佳惠"/>
        <m/>
        <s v="武慧聪"/>
      </sharedItems>
    </cacheField>
    <cacheField name="直播时段" numFmtId="0">
      <sharedItems containsBlank="true" count="8">
        <s v="06:00-11:00"/>
        <s v="11:00-16:00"/>
        <s v="16:00-21:00"/>
        <s v="21:00-02:00"/>
        <m/>
        <s v="07:00-11:00"/>
        <s v="16:00-17:00"/>
        <s v="17:30-21:00"/>
      </sharedItems>
    </cacheField>
    <cacheField name="直播时长" numFmtId="0">
      <sharedItems containsSemiMixedTypes="false" containsString="false" containsNumber="true" minValue="1" maxValue="20" count="12">
        <n v="5"/>
        <n v="20"/>
        <n v="4"/>
        <n v="19"/>
        <n v="1"/>
        <n v="10"/>
        <n v="3.5"/>
        <n v="8.5"/>
        <n v="4.75"/>
        <n v="19.75"/>
        <n v="4.5"/>
        <n v="18.25"/>
      </sharedItems>
    </cacheField>
    <cacheField name="总订单" numFmtId="0">
      <sharedItems containsSemiMixedTypes="false" containsString="false" containsNumber="true" containsInteger="true" minValue="0" maxValue="218" count="0"/>
    </cacheField>
    <cacheField name="保单数量" numFmtId="0">
      <sharedItems containsSemiMixedTypes="false" containsString="false" containsNumber="true" containsInteger="true" minValue="0" maxValue="164" count="0"/>
    </cacheField>
    <cacheField name="保险支付数" numFmtId="0">
      <sharedItems containsSemiMixedTypes="false" containsString="false" containsNumber="true" containsInteger="true" minValue="0" maxValue="112" count="0"/>
    </cacheField>
    <cacheField name="一号保单数" numFmtId="0">
      <sharedItems containsSemiMixedTypes="false" containsString="false" containsNumber="true" containsInteger="true" minValue="0" maxValue="100" count="0"/>
    </cacheField>
    <cacheField name="家庭单数量" numFmtId="0">
      <sharedItems containsSemiMixedTypes="false" containsString="false" containsNumber="true" containsInteger="true" minValue="0" maxValue="19" count="0"/>
    </cacheField>
    <cacheField name="年化保费" numFmtId="0">
      <sharedItems containsSemiMixedTypes="false" containsString="false" containsNumber="true" minValue="0" maxValue="165463.30000000002" count="0"/>
    </cacheField>
    <cacheField name="投流消耗" numFmtId="0">
      <sharedItems containsSemiMixedTypes="false" containsString="false" containsNumber="true" minValue="1835.63" maxValue="101870.17000000001" count="0"/>
    </cacheField>
    <cacheField name="ROI" numFmtId="0">
      <sharedItems containsSemiMixedTypes="false" containsString="false" containsNumber="true" minValue="0" maxValue="4.934458098465092" count="0"/>
    </cacheField>
    <cacheField name="单均" numFmtId="0">
      <sharedItems containsMixedTypes="true" containsNumber="true" minValue="634.2545454545457" maxValue="1470.1764705882358" count="0"/>
    </cacheField>
    <cacheField name="保单成本" numFmtId="0">
      <sharedItems containsMixedTypes="true" containsNumber="true" minValue="284.6355555555556" maxValue="1327.838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20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37" sheet="2026年7月"/>
  </cacheSource>
  <cacheFields count="16">
    <cacheField name="日期" numFmtId="0">
      <sharedItems containsSemiMixedTypes="false" containsNonDate="false" containsDate="true" containsString="false" minDate="2026-07-01T00:00:00.000Z" maxDate="2026-07-31T00:00:00.000Z" count="0"/>
    </cacheField>
    <cacheField name="主播" numFmtId="0">
      <sharedItems containsBlank="true" count="7">
        <s v="孙紫欣"/>
        <s v="武慧聪"/>
        <s v="菅心茹"/>
        <s v="尹小雨"/>
        <m/>
        <s v="王佳惠"/>
        <s v="聂凡"/>
      </sharedItems>
    </cacheField>
    <cacheField name="直播时段" numFmtId="0">
      <sharedItems containsBlank="true" count="16">
        <s v="06:00-11:00"/>
        <s v="11:00-16:00"/>
        <s v="16:00-21:00"/>
        <s v="21:00-02:00"/>
        <m/>
        <s v="11:00-15:00"/>
        <s v="15:00-18:00"/>
        <s v="18:00-22:00"/>
        <s v="22:00-02:00"/>
        <s v="06:00-10:00"/>
        <s v="10:00-14:00"/>
        <s v="14:00-17:00"/>
        <s v="17:00-21:00"/>
        <s v="17:00-22:00"/>
        <s v="11:00-12:30"/>
        <s v="14:00-18:00"/>
      </sharedItems>
    </cacheField>
    <cacheField name="直播时长" numFmtId="0">
      <sharedItems containsSemiMixedTypes="false" containsString="false" containsNumber="true" minValue="1.5" maxValue="20" count="11">
        <n v="5"/>
        <n v="20"/>
        <n v="4"/>
        <n v="3"/>
        <n v="15"/>
        <n v="1.5"/>
        <n v="6.5"/>
        <n v="12"/>
        <n v="4.75"/>
        <n v="4.5"/>
        <n v="19.25"/>
      </sharedItems>
    </cacheField>
    <cacheField name="总订单" numFmtId="0">
      <sharedItems containsSemiMixedTypes="false" containsString="false" containsNumber="true" containsInteger="true" minValue="10" maxValue="368" count="0"/>
    </cacheField>
    <cacheField name="保单数量" numFmtId="0">
      <sharedItems containsSemiMixedTypes="false" containsString="false" containsNumber="true" containsInteger="true" minValue="4" maxValue="296" count="0"/>
    </cacheField>
    <cacheField name="保险支付数" numFmtId="0">
      <sharedItems containsSemiMixedTypes="false" containsString="false" containsNumber="true" containsInteger="true" minValue="3" maxValue="232" count="0"/>
    </cacheField>
    <cacheField name="一号保单数" numFmtId="0">
      <sharedItems containsSemiMixedTypes="false" containsString="false" containsNumber="true" containsInteger="true" minValue="2" maxValue="189" count="0"/>
    </cacheField>
    <cacheField name="家庭单数量" numFmtId="0">
      <sharedItems containsSemiMixedTypes="false" containsString="false" containsNumber="true" containsInteger="true" minValue="0" maxValue="28" count="0"/>
    </cacheField>
    <cacheField name="年化保费" numFmtId="0">
      <sharedItems containsSemiMixedTypes="false" containsString="false" containsNumber="true" minValue="4609.2" maxValue="301449.2" count="0"/>
    </cacheField>
    <cacheField name="投流消耗" numFmtId="0">
      <sharedItems containsSemiMixedTypes="false" containsString="false" containsNumber="true" minValue="3047.05" maxValue="161117.19" count="136">
        <n v="49726.16"/>
        <n v="42324.22"/>
        <n v="34444.6"/>
        <n v="32524.77"/>
        <n v="159019.75"/>
        <n v="45179.32000000001"/>
        <n v="38830.93"/>
        <n v="39952.96"/>
        <n v="37153.98"/>
        <n v="161117.19"/>
        <n v="49932.76"/>
        <n v="33192.06"/>
        <n v="20074.87"/>
        <n v="29699.71"/>
        <n v="132899.4"/>
        <n v="48493.72"/>
        <n v="36269.729999999996"/>
        <n v="38589.85"/>
        <n v="34193.09"/>
        <n v="157546.38999999998"/>
        <n v="49868.840000000004"/>
        <n v="34876.149999999994"/>
        <n v="18359.89"/>
        <n v="30233.689999999995"/>
        <n v="133338.56999999998"/>
        <n v="29040.33"/>
        <n v="29384.35"/>
        <n v="23415.36"/>
        <n v="26914.46"/>
        <n v="108754.5"/>
        <n v="25686.12"/>
        <n v="17873.42"/>
        <n v="16996.26"/>
        <n v="22817.16"/>
        <n v="83372.95999999999"/>
        <n v="18371.57"/>
        <n v="20135.989999999998"/>
        <n v="16321.219999999998"/>
        <n v="21998.91"/>
        <n v="76827.69"/>
        <n v="27723.64"/>
        <n v="24594.86"/>
        <n v="25383.43"/>
        <n v="29710.71"/>
        <n v="107412.63999999998"/>
        <n v="20774.609999999997"/>
        <n v="24971.75"/>
        <n v="17781.01"/>
        <n v="26663.04"/>
        <n v="90190.41"/>
        <n v="38489.74"/>
        <n v="22740.510000000002"/>
        <n v="12392.130000000001"/>
        <n v="16327.66"/>
        <n v="19034.43"/>
        <n v="108984.47"/>
        <n v="30240.07"/>
        <n v="22597.62"/>
        <n v="14469.32"/>
        <n v="15955.68"/>
        <n v="17549.2"/>
        <n v="100811.89"/>
        <n v="22130.56"/>
        <n v="21141.31"/>
        <n v="11279.66"/>
        <n v="11603.289999999999"/>
        <n v="11712.740000000002"/>
        <n v="77867.56"/>
        <n v="12755.44"/>
        <n v="15892.77"/>
        <n v="9382.25"/>
        <n v="21139.29"/>
        <n v="34356.58"/>
        <n v="93526.33"/>
        <n v="13423.420000000002"/>
        <n v="9283.17"/>
        <n v="7696.99"/>
        <n v="13390.07"/>
        <n v="22570.84"/>
        <n v="66364.49"/>
        <n v="26141.31"/>
        <n v="22140.33"/>
        <n v="11282.37"/>
        <n v="12492.17"/>
        <n v="10298.880000000001"/>
        <n v="82355.06000000001"/>
        <n v="23471.31"/>
        <n v="20670.800000000003"/>
        <n v="10185.880000000001"/>
        <n v="11596.71"/>
        <n v="18769.78"/>
        <n v="84694.48000000001"/>
        <n v="22846.14"/>
        <n v="13285.18"/>
        <n v="9376.59"/>
        <n v="13776.050000000003"/>
        <n v="10619.32"/>
        <n v="69903.28"/>
        <n v="20227.059999999998"/>
        <n v="13981.990000000002"/>
        <n v="11555.01"/>
        <n v="18180.28"/>
        <n v="15018.41"/>
        <n v="78962.75"/>
        <n v="10962.19"/>
        <n v="12727.02"/>
        <n v="6896.16"/>
        <n v="18033.19"/>
        <n v="12974.970000000001"/>
        <n v="61593.53"/>
        <n v="24913.93"/>
        <n v="23686.370000000003"/>
        <n v="16405.07"/>
        <n v="17576.52"/>
        <n v="82581.89"/>
        <n v="15942.49"/>
        <n v="13848.47"/>
        <n v="17920.61"/>
        <n v="47711.57"/>
        <n v="18657.81"/>
        <n v="3047.05"/>
        <n v="21704.86"/>
        <n v="6736.700000000001"/>
        <n v="6684.099999999999"/>
        <n v="8637.2"/>
        <n v="22058"/>
        <n v="9441.69"/>
        <n v="8302.050000000001"/>
        <n v="7588.54"/>
        <n v="12085.33"/>
        <n v="37417.61"/>
        <n v="8767.349999999999"/>
        <n v="6345.61"/>
        <n v="5137.65"/>
        <n v="8089.91"/>
        <n v="28340.52"/>
      </sharedItems>
    </cacheField>
    <cacheField name="ROI" numFmtId="0">
      <sharedItems containsSemiMixedTypes="false" containsString="false" containsNumber="true" minValue="0.7064280024836461" maxValue="4.39333224681828" count="0"/>
    </cacheField>
    <cacheField name="单均" numFmtId="0">
      <sharedItems containsSemiMixedTypes="false" containsString="false" containsNumber="true" minValue="598.9529411764704" maxValue="1855.4000000000003" count="0"/>
    </cacheField>
    <cacheField name="保单成本" numFmtId="0">
      <sharedItems containsSemiMixedTypes="false" containsString="false" containsNumber="true" minValue="282.8465853658536" maxValue="1594.43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0.5" maxValue="20" count="0"/>
    </cacheField>
  </cacheFields>
</pivotCacheDefinition>
</file>

<file path=xl/pivotCache/pivotCacheDefinition5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62" sheet="2026年6月"/>
  </cacheSource>
  <cacheFields count="16">
    <cacheField name="日期" numFmtId="0">
      <sharedItems containsSemiMixedTypes="false" containsNonDate="false" containsDate="true" containsString="false" minDate="2026-06-01T00:00:00.000Z" maxDate="2026-06-30T00:00:00.000Z" count="0"/>
    </cacheField>
    <cacheField name="主播" numFmtId="0">
      <sharedItems containsBlank="true" count="0"/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0"/>
    </cacheField>
    <cacheField name="总订单" numFmtId="0">
      <sharedItems containsSemiMixedTypes="false" containsString="false" containsNumber="true" containsInteger="true" minValue="7" maxValue="531" count="0"/>
    </cacheField>
    <cacheField name="保单数量" numFmtId="0">
      <sharedItems containsSemiMixedTypes="false" containsString="false" containsNumber="true" containsInteger="true" minValue="6" maxValue="418" count="0"/>
    </cacheField>
    <cacheField name="保险支付数" numFmtId="0">
      <sharedItems containsSemiMixedTypes="false" containsString="false" containsNumber="true" containsInteger="true" minValue="8" maxValue="314" count="0"/>
    </cacheField>
    <cacheField name="一号保单数" numFmtId="0">
      <sharedItems containsSemiMixedTypes="false" containsString="false" containsNumber="true" containsInteger="true" minValue="3" maxValue="291" count="0"/>
    </cacheField>
    <cacheField name="家庭单数量" numFmtId="0">
      <sharedItems containsSemiMixedTypes="false" containsString="false" containsNumber="true" containsInteger="true" minValue="0" maxValue="36" count="0"/>
    </cacheField>
    <cacheField name="年化保费" numFmtId="0">
      <sharedItems containsSemiMixedTypes="false" containsString="false" containsNumber="true" minValue="4147.200000000003" maxValue="410952.80000000005" count="0"/>
    </cacheField>
    <cacheField name="投流消耗" numFmtId="0">
      <sharedItems containsSemiMixedTypes="false" containsString="false" containsNumber="true" minValue="5839.0599999999995" maxValue="203006.07" count="0"/>
    </cacheField>
    <cacheField name="ROI" numFmtId="0">
      <sharedItems containsSemiMixedTypes="false" containsString="false" containsNumber="true" minValue="0.6108363355711424" maxValue="3.3018531704489726" count="0"/>
    </cacheField>
    <cacheField name="单均" numFmtId="0">
      <sharedItems containsSemiMixedTypes="false" containsString="false" containsNumber="true" minValue="655.5099999999999" maxValue="1505.0799999999997" count="0"/>
    </cacheField>
    <cacheField name="保单成本" numFmtId="0">
      <sharedItems containsSemiMixedTypes="false" containsString="false" containsNumber="true" minValue="293.6386111111111" maxValue="1184.863" count="0"/>
    </cacheField>
    <cacheField name="助播1" numFmtId="0">
      <sharedItems containsBlank="true" count="8">
        <s v="张怡棣早"/>
        <m/>
        <s v="王学伟晚"/>
        <s v="李哲早"/>
        <s v="张怡棣晚"/>
        <s v="王学伟早"/>
        <s v="张滋怡晚"/>
        <s v="魏迪晚"/>
      </sharedItems>
    </cacheField>
    <cacheField name="助播时长" numFmtId="0">
      <sharedItems containsString="false" containsBlank="true" containsNumber="true" containsInteger="true" minValue="10" maxValue="20" count="3">
        <n v="10"/>
        <m/>
        <n v="20"/>
      </sharedItems>
    </cacheField>
  </cacheFields>
</pivotCacheDefinition>
</file>

<file path=xl/pivotCache/pivotCacheDefinition6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82" sheet="2026年5月"/>
  </cacheSource>
  <cacheFields count="16">
    <cacheField name="日期" numFmtId="0">
      <sharedItems containsSemiMixedTypes="false" containsNonDate="false" containsDate="true" containsString="false" minDate="2026-05-01T00:00:00.000Z" maxDate="2026-05-31T00:00:00.000Z" count="0"/>
    </cacheField>
    <cacheField name="主播" numFmtId="0">
      <sharedItems containsBlank="true" count="9">
        <s v="卢林琰"/>
        <s v="李雅琪"/>
        <s v="侯思蕊"/>
        <s v="孙紫欣"/>
        <s v="尹小雨"/>
        <m/>
        <s v="武慧聪"/>
        <s v="菅心茹"/>
        <s v="尹怡诺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20" count="13">
        <n v="5"/>
        <n v="3"/>
        <n v="2"/>
        <n v="20"/>
        <n v="4"/>
        <n v="19"/>
        <n v="1"/>
        <n v="3.5"/>
        <n v="19.5"/>
        <n v="5.5"/>
        <n v="4.5"/>
        <n v="6"/>
        <n v="18.5"/>
      </sharedItems>
    </cacheField>
    <cacheField name="总订单" numFmtId="0">
      <sharedItems containsSemiMixedTypes="false" containsString="false" containsNumber="true" containsInteger="true" minValue="1" maxValue="314" count="0"/>
    </cacheField>
    <cacheField name="保单数量" numFmtId="0">
      <sharedItems containsSemiMixedTypes="false" containsString="false" containsNumber="true" containsInteger="true" minValue="0" maxValue="253" count="89">
        <n v="29"/>
        <n v="19"/>
        <n v="10"/>
        <n v="30"/>
        <n v="118"/>
        <n v="39"/>
        <n v="35"/>
        <n v="134"/>
        <n v="34"/>
        <n v="16"/>
        <n v="27"/>
        <n v="107"/>
        <n v="28"/>
        <n v="51"/>
        <n v="157"/>
        <n v="37"/>
        <n v="58"/>
        <n v="50"/>
        <n v="48"/>
        <n v="209"/>
        <n v="77"/>
        <n v="61"/>
        <n v="62"/>
        <n v="25"/>
        <n v="253"/>
        <n v="23"/>
        <n v="13"/>
        <n v="15"/>
        <n v="149"/>
        <n v="36"/>
        <n v="65"/>
        <n v="173"/>
        <n v="64"/>
        <n v="32"/>
        <n v="213"/>
        <n v="11"/>
        <n v="70"/>
        <n v="40"/>
        <n v="179"/>
        <n v="46"/>
        <n v="43"/>
        <n v="139"/>
        <n v="41"/>
        <n v="7"/>
        <n v="18"/>
        <n v="151"/>
        <n v="21"/>
        <n v="159"/>
        <n v="14"/>
        <n v="20"/>
        <n v="133"/>
        <n v="26"/>
        <n v="49"/>
        <n v="143"/>
        <n v="12"/>
        <n v="57"/>
        <n v="158"/>
        <n v="72"/>
        <n v="6"/>
        <n v="174"/>
        <n v="44"/>
        <n v="33"/>
        <n v="67"/>
        <n v="230"/>
        <n v="55"/>
        <n v="145"/>
        <n v="167"/>
        <n v="47"/>
        <n v="31"/>
        <n v="8"/>
        <n v="45"/>
        <n v="1"/>
        <n v="95"/>
        <n v="59"/>
        <n v="222"/>
        <n v="110"/>
        <n v="78"/>
        <n v="38"/>
        <n v="212"/>
        <n v="153"/>
        <n v="17"/>
        <n v="165"/>
        <n v="60"/>
        <n v="148"/>
        <n v="4"/>
        <n v="9"/>
        <n v="105"/>
        <n v="0"/>
        <n v="98"/>
      </sharedItems>
    </cacheField>
    <cacheField name="保险支付数" numFmtId="0">
      <sharedItems containsSemiMixedTypes="false" containsString="false" containsNumber="true" containsInteger="true" minValue="0" maxValue="194" count="0"/>
    </cacheField>
    <cacheField name="一号保单数" numFmtId="0">
      <sharedItems containsSemiMixedTypes="false" containsString="false" containsNumber="true" containsInteger="true" minValue="0" maxValue="161" count="0"/>
    </cacheField>
    <cacheField name="家庭单数量" numFmtId="0">
      <sharedItems containsSemiMixedTypes="false" containsString="false" containsNumber="true" containsInteger="true" minValue="0" maxValue="28" count="0"/>
    </cacheField>
    <cacheField name="年化保费" numFmtId="0">
      <sharedItems containsSemiMixedTypes="false" containsString="false" containsNumber="true" minValue="0" maxValue="236134.90000000005" count="181">
        <n v="26436.199999999997"/>
        <n v="20904.999999999996"/>
        <n v="8596.800000000003"/>
        <n v="27733.6"/>
        <n v="29271.79999999998"/>
        <n v="112943.4"/>
        <n v="41230.600000000006"/>
        <n v="19821.399999999998"/>
        <n v="31858.5"/>
        <n v="30952.4"/>
        <n v="123862.9"/>
        <n v="26966.6"/>
        <n v="36776.2"/>
        <n v="13778.2"/>
        <n v="23035.4"/>
        <n v="100556.4"/>
        <n v="34432.399999999994"/>
        <n v="36517"/>
        <n v="28197.599999999995"/>
        <n v="57272.799999999996"/>
        <n v="156419.8"/>
        <n v="31949.200000000004"/>
        <n v="54292.399999999994"/>
        <n v="15841.200000000004"/>
        <n v="48022.9"/>
        <n v="47553.999999999985"/>
        <n v="197659.7"/>
        <n v="63785.60000000002"/>
        <n v="59275.700000000004"/>
        <n v="31907.800000000003"/>
        <n v="60624.40000000002"/>
        <n v="20541.399999999994"/>
        <n v="236134.90000000005"/>
        <n v="29021.799999999996"/>
        <n v="18506.8"/>
        <n v="24363.600000000002"/>
        <n v="10228.400000000001"/>
        <n v="10878"/>
        <n v="23407.999999999985"/>
        <n v="116406.59999999999"/>
        <n v="35294.5"/>
        <n v="19757.199999999997"/>
        <n v="6021.200000000004"/>
        <n v="50384.20000000001"/>
        <n v="35349.4"/>
        <n v="146806.5"/>
        <n v="29491"/>
        <n v="54195.4"/>
        <n v="17045"/>
        <n v="55597.90000000003"/>
        <n v="29426.800000000003"/>
        <n v="185756.10000000003"/>
        <n v="52925.90000000001"/>
        <n v="9232.800000000003"/>
        <n v="9423.199999999993"/>
        <n v="60234.50000000002"/>
        <n v="34147.70000000001"/>
        <n v="165964.10000000003"/>
        <n v="19239.799999999996"/>
        <n v="44746.2"/>
        <n v="14086.800000000007"/>
        <n v="47407.90000000001"/>
        <n v="10236.399999999994"/>
        <n v="135717.1"/>
        <n v="21987.799999999996"/>
        <n v="53167.2"/>
        <n v="34768.20000000002"/>
        <n v="7966.800000000003"/>
        <n v="12026.399999999994"/>
        <n v="129916.40000000001"/>
        <n v="54975.60000000001"/>
        <n v="21369"/>
        <n v="27703.200000000004"/>
        <n v="12927.599999999991"/>
        <n v="23355.200000000004"/>
        <n v="140330.6"/>
        <n v="36550.799999999996"/>
        <n v="29065.999999999993"/>
        <n v="31645.00000000001"/>
        <n v="10615.200000000004"/>
        <n v="16557.59999999999"/>
        <n v="124434.59999999999"/>
        <n v="32516.000000000007"/>
        <n v="18290.200000000004"/>
        <n v="19495.799999999996"/>
        <n v="6858.000000000004"/>
        <n v="47732.799999999996"/>
        <n v="124892.79999999999"/>
        <n v="43020.6"/>
        <n v="33470.2"/>
        <n v="13531.599999999999"/>
        <n v="10405.599999999999"/>
        <n v="46194.59999999999"/>
        <n v="146622.59999999998"/>
        <n v="62176.36000000001"/>
        <n v="30207.599999999995"/>
        <n v="4614"/>
        <n v="20568.199999999997"/>
        <n v="40531.2"/>
        <n v="158097.36"/>
        <n v="45909.8"/>
        <n v="41744.400000000016"/>
        <n v="25419.6"/>
        <n v="20688"/>
        <n v="52405.84000000002"/>
        <n v="186167.64000000004"/>
        <n v="18485.6"/>
        <n v="13562.599999999999"/>
        <n v="22259.99999999999"/>
        <n v="17521.200000000004"/>
        <n v="41703.76"/>
        <n v="113533.16"/>
        <n v="43895.80000000002"/>
        <n v="43946.1"/>
        <n v="14442.599999999999"/>
        <n v="15749.400000000001"/>
        <n v="55309.39999999998"/>
        <n v="173343.3"/>
        <n v="47189"/>
        <n v="30074.840000000004"/>
        <n v="14646"/>
        <n v="7380"/>
        <n v="34237.2"/>
        <n v="133527.03999999998"/>
        <n v="7270.8"/>
        <n v="24250.64"/>
        <n v="513.5999999999985"/>
        <n v="10230.199999999999"/>
        <n v="57474.49999999998"/>
        <n v="99739.73999999998"/>
        <n v="55546.100000000006"/>
        <n v="36283"/>
        <n v="46467.700000000004"/>
        <n v="45667.000000000015"/>
        <n v="183963.80000000005"/>
        <n v="42650"/>
        <n v="11134.999999999998"/>
        <n v="8197.400000000005"/>
        <n v="7678.100000000002"/>
        <n v="34252.59999999999"/>
        <n v="103913.1"/>
        <n v="30382.800000000003"/>
        <n v="71140.50000000003"/>
        <n v="32709.40000000001"/>
        <n v="37277.8"/>
        <n v="32606.800000000003"/>
        <n v="204117.30000000005"/>
        <n v="40976.4"/>
        <n v="32897.200000000004"/>
        <n v="43494"/>
        <n v="29707.199999999997"/>
        <n v="147074.8"/>
        <n v="40921.8"/>
        <n v="50819.4"/>
        <n v="10329.599999999999"/>
        <n v="12562.399999999994"/>
        <n v="39671.799999999996"/>
        <n v="154305"/>
        <n v="44071.2"/>
        <n v="56352.20000000001"/>
        <n v="15309.800000000003"/>
        <n v="14533.199999999997"/>
        <n v="130266.40000000001"/>
        <n v="31513.59999999999"/>
        <n v="40831.2"/>
        <n v="3742.7999999999956"/>
        <n v="7512.360000000001"/>
        <n v="13780.799999999996"/>
        <n v="97380.75999999998"/>
        <n v="30333.200000000004"/>
        <n v="27094.799999999996"/>
        <n v="16429.600000000002"/>
        <n v="0"/>
        <n v="15438.39999999999"/>
        <n v="89296"/>
        <n v="41967.899999999994"/>
        <n v="35334"/>
        <n v="3621.600000000002"/>
        <n v="5264.600000000002"/>
        <n v="11599.199999999997"/>
        <n v="97787.3"/>
      </sharedItems>
    </cacheField>
    <cacheField name="投流消耗" numFmtId="0">
      <sharedItems containsSemiMixedTypes="false" containsString="false" containsNumber="true" minValue="2125.58" maxValue="136259.69" count="181">
        <n v="18516.92"/>
        <n v="12262.8"/>
        <n v="8791.05"/>
        <n v="17334.34"/>
        <n v="23483.33"/>
        <n v="80388.44"/>
        <n v="17146.48"/>
        <n v="15394.23"/>
        <n v="14621.45"/>
        <n v="18927.45"/>
        <n v="66089.61"/>
        <n v="19350.79"/>
        <n v="14885.220000000001"/>
        <n v="11155.619999999999"/>
        <n v="14757.73"/>
        <n v="60149.36"/>
        <n v="21090.17"/>
        <n v="25369.719999999998"/>
        <n v="17837.42"/>
        <n v="17650.32"/>
        <n v="81947.63"/>
        <n v="18220.71"/>
        <n v="31626.12"/>
        <n v="10671.869999999999"/>
        <n v="19936.57"/>
        <n v="25564.510000000002"/>
        <n v="106019.78"/>
        <n v="38819.509999999995"/>
        <n v="39661.64"/>
        <n v="11685.95"/>
        <n v="26771.75"/>
        <n v="19320.84"/>
        <n v="136259.69"/>
        <n v="20695.79"/>
        <n v="11372.02"/>
        <n v="15651.32"/>
        <n v="8002.24"/>
        <n v="14608.710000000001"/>
        <n v="20290.390000000003"/>
        <n v="90620.47"/>
        <n v="15592.079999999998"/>
        <n v="7873.99"/>
        <n v="8036.26"/>
        <n v="25446.57"/>
        <n v="24350.89"/>
        <n v="81299.79000000001"/>
        <n v="21077.27"/>
        <n v="37337.83"/>
        <n v="6815.370000000001"/>
        <n v="30629.65"/>
        <n v="21377.58"/>
        <n v="117237.70000000001"/>
        <n v="19951.230000000003"/>
        <n v="11387.310000000001"/>
        <n v="4266.76"/>
        <n v="23963.260000000002"/>
        <n v="20982.46"/>
        <n v="80551.02"/>
        <n v="10223.86"/>
        <n v="21860.35"/>
        <n v="8875.09"/>
        <n v="21230.43"/>
        <n v="13842.1"/>
        <n v="76031.83"/>
        <n v="13038.800000000001"/>
        <n v="25924.47"/>
        <n v="18998.77"/>
        <n v="9267.55"/>
        <n v="12041.15"/>
        <n v="79270.74"/>
        <n v="30244.079999999998"/>
        <n v="16440.2"/>
        <n v="15546.67"/>
        <n v="11075.23"/>
        <n v="16819.55"/>
        <n v="90125.73"/>
        <n v="17629.059999999998"/>
        <n v="16031.699999999999"/>
        <n v="18902.33"/>
        <n v="8960.92"/>
        <n v="14470.2"/>
        <n v="75994.20999999999"/>
        <n v="16668.29"/>
        <n v="14917.09"/>
        <n v="9737.66"/>
        <n v="5781.01"/>
        <n v="19723.489999999998"/>
        <n v="66827.54000000001"/>
        <n v="22564.66"/>
        <n v="15924.029999999999"/>
        <n v="9458.23"/>
        <n v="4299.54"/>
        <n v="20006.89"/>
        <n v="72253.35"/>
        <n v="33938.75"/>
        <n v="18759.239999999998"/>
        <n v="4546.639999999999"/>
        <n v="8790.27"/>
        <n v="20124.09"/>
        <n v="86158.98999999999"/>
        <n v="21567.88"/>
        <n v="28777.11"/>
        <n v="20158.5"/>
        <n v="20883.670000000002"/>
        <n v="29717.61"/>
        <n v="121104.77"/>
        <n v="20108.23"/>
        <n v="9285.66"/>
        <n v="14347.439999999999"/>
        <n v="6884.34"/>
        <n v="19044.200000000004"/>
        <n v="69669.87"/>
        <n v="24496.61"/>
        <n v="19883.880000000005"/>
        <n v="12400.04"/>
        <n v="6008.57"/>
        <n v="19249.82"/>
        <n v="82038.92000000001"/>
        <n v="25870.660000000003"/>
        <n v="12808.84"/>
        <n v="10079.37"/>
        <n v="4611.76"/>
        <n v="16201.16"/>
        <n v="69571.79000000001"/>
        <n v="13097.37"/>
        <n v="16324.18"/>
        <n v="2125.58"/>
        <n v="9903.77"/>
        <n v="13620.98"/>
        <n v="55071.880000000005"/>
        <n v="31890.65"/>
        <n v="26631.39"/>
        <n v="30403.649999999998"/>
        <n v="28587.029999999995"/>
        <n v="117512.72"/>
        <n v="24212.32"/>
        <n v="9545.46"/>
        <n v="10065.76"/>
        <n v="3332.49"/>
        <n v="16519.15"/>
        <n v="63675.18"/>
        <n v="19564.34"/>
        <n v="38998.170000000006"/>
        <n v="23456.87"/>
        <n v="10871.15"/>
        <n v="22017.629999999997"/>
        <n v="114908.16"/>
        <n v="24309.63"/>
        <n v="19573.32"/>
        <n v="14437.87"/>
        <n v="16992.690000000002"/>
        <n v="75313.51000000001"/>
        <n v="27683.73"/>
        <n v="21653.2"/>
        <n v="10804.35"/>
        <n v="8717.27"/>
        <n v="17686.31"/>
        <n v="86544.86"/>
        <n v="20516.489999999998"/>
        <n v="25115.34"/>
        <n v="19482.44"/>
        <n v="12331.36"/>
        <n v="77445.63"/>
        <n v="19749.7"/>
        <n v="19525.63"/>
        <n v="6714.16"/>
        <n v="7811.23"/>
        <n v="11034.779999999999"/>
        <n v="64835.5"/>
        <n v="17686.449999999997"/>
        <n v="14037.990000000002"/>
        <n v="12259.77"/>
        <n v="2156.75"/>
        <n v="11731.830000000002"/>
        <n v="57872.79"/>
        <n v="24785.7"/>
        <n v="15338.25"/>
        <n v="9099.67"/>
        <n v="3924.38"/>
        <n v="13306.739999999998"/>
        <n v="66454.73999999999"/>
      </sharedItems>
    </cacheField>
    <cacheField name="ROI" numFmtId="0">
      <sharedItems containsSemiMixedTypes="false" containsString="false" containsNumber="true" minValue="0" maxValue="4.219556889445545" count="0"/>
    </cacheField>
    <cacheField name="单均" numFmtId="0">
      <sharedItems containsMixedTypes="true" containsNumber="true" minValue="513.5999999999985" maxValue="1306.2386363636358" count="0"/>
    </cacheField>
    <cacheField name="保单成本" numFmtId="0">
      <sharedItems containsMixedTypes="true" containsNumber="true" minValue="328.1334090909091" maxValue="2661.3479999999995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9" maxValue="20" count="0"/>
    </cacheField>
  </cacheFields>
</pivotCacheDefinition>
</file>

<file path=xl/pivotCache/pivotCacheDefinition7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51" sheet="2026年4月"/>
  </cacheSource>
  <cacheFields count="16">
    <cacheField name="日期" numFmtId="0">
      <sharedItems containsSemiMixedTypes="false" containsNonDate="false" containsDate="true" containsString="false" minDate="2026-04-01T00:00:00.000Z" maxDate="2026-04-30T00:00:00.000Z" count="0"/>
    </cacheField>
    <cacheField name="主播" numFmtId="0">
      <sharedItems containsBlank="true" count="7">
        <s v="卢林琰"/>
        <s v="尹小雨"/>
        <s v="武慧聪"/>
        <s v="冯雅雯"/>
        <s v="李雅琪"/>
        <m/>
        <s v="孙紫欣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10">
        <n v="5"/>
        <n v="2"/>
        <n v="3"/>
        <n v="20"/>
        <n v="4"/>
        <n v="15"/>
        <n v="14"/>
        <n v="13"/>
        <n v="3.5"/>
        <n v="17.5"/>
      </sharedItems>
    </cacheField>
    <cacheField name="总订单" numFmtId="0">
      <sharedItems containsSemiMixedTypes="false" containsString="false" containsNumber="true" containsInteger="true" minValue="5" maxValue="361" count="0"/>
    </cacheField>
    <cacheField name="保单数量" numFmtId="0">
      <sharedItems containsSemiMixedTypes="false" containsString="false" containsNumber="true" containsInteger="true" minValue="2" maxValue="285" count="87">
        <n v="42"/>
        <n v="21"/>
        <n v="125"/>
        <n v="35"/>
        <n v="43"/>
        <n v="266"/>
        <n v="46"/>
        <n v="52"/>
        <n v="16"/>
        <n v="38"/>
        <n v="51"/>
        <n v="203"/>
        <n v="40"/>
        <n v="8"/>
        <n v="26"/>
        <n v="55"/>
        <n v="180"/>
        <n v="50"/>
        <n v="28"/>
        <n v="19"/>
        <n v="12"/>
        <n v="137"/>
        <n v="57"/>
        <n v="2"/>
        <n v="134"/>
        <n v="59"/>
        <n v="13"/>
        <n v="45"/>
        <n v="91"/>
        <n v="251"/>
        <n v="86"/>
        <n v="44"/>
        <n v="242"/>
        <n v="65"/>
        <n v="33"/>
        <n v="285"/>
        <n v="48"/>
        <n v="56"/>
        <n v="27"/>
        <n v="41"/>
        <n v="61"/>
        <n v="233"/>
        <n v="39"/>
        <n v="47"/>
        <n v="189"/>
        <n v="93"/>
        <n v="32"/>
        <n v="11"/>
        <n v="218"/>
        <n v="95"/>
        <n v="76"/>
        <n v="265"/>
        <n v="23"/>
        <n v="209"/>
        <n v="121"/>
        <n v="124"/>
        <n v="58"/>
        <n v="34"/>
        <n v="118"/>
        <n v="29"/>
        <n v="68"/>
        <n v="165"/>
        <n v="20"/>
        <n v="104"/>
        <n v="30"/>
        <n v="24"/>
        <n v="151"/>
        <n v="62"/>
        <n v="64"/>
        <n v="237"/>
        <n v="49"/>
        <n v="202"/>
        <n v="63"/>
        <n v="89"/>
        <n v="244"/>
        <n v="67"/>
        <n v="148"/>
        <n v="15"/>
        <n v="113"/>
        <n v="60"/>
        <n v="37"/>
        <n v="128"/>
        <n v="213"/>
        <n v="211"/>
        <n v="90"/>
        <n v="231"/>
        <n v="70"/>
      </sharedItems>
    </cacheField>
    <cacheField name="保险支付数" numFmtId="0">
      <sharedItems containsSemiMixedTypes="false" containsString="false" containsNumber="true" containsInteger="true" minValue="4" maxValue="222" count="0"/>
    </cacheField>
    <cacheField name="一号保单数" numFmtId="0">
      <sharedItems containsSemiMixedTypes="false" containsString="false" containsNumber="true" containsInteger="true" minValue="0" maxValue="186" count="0"/>
    </cacheField>
    <cacheField name="家庭单数量" numFmtId="0">
      <sharedItems containsSemiMixedTypes="false" containsString="false" containsNumber="true" containsInteger="true" minValue="0" maxValue="32" count="0"/>
    </cacheField>
    <cacheField name="年化保费" numFmtId="0">
      <sharedItems containsSemiMixedTypes="false" containsString="false" containsNumber="true" minValue="2395.199999999997" maxValue="284640" count="150">
        <n v="39520.2"/>
        <n v="21935.6"/>
        <n v="109743.8"/>
        <n v="39825"/>
        <n v="46465.00000000003"/>
        <n v="257489.60000000003"/>
        <n v="37839.20000000001"/>
        <n v="45407.60000000001"/>
        <n v="9754.799999999992"/>
        <n v="29820.499999999993"/>
        <n v="42197.8"/>
        <n v="165019.90000000002"/>
        <n v="38052.8"/>
        <n v="40561.500000000015"/>
        <n v="5709.5999999999985"/>
        <n v="17089.799999999996"/>
        <n v="52714.200000000004"/>
        <n v="154127.90000000002"/>
        <n v="43588.3"/>
        <n v="32188"/>
        <n v="20539.4"/>
        <n v="12094.799999999996"/>
        <n v="23830.79999999998"/>
        <n v="132241.3"/>
        <n v="49003.8"/>
        <n v="23047.200000000004"/>
        <n v="2395.199999999997"/>
        <n v="17444.799999999996"/>
        <n v="27421.000000000007"/>
        <n v="119312"/>
        <n v="41388.40000000001"/>
        <n v="56996.100000000006"/>
        <n v="13032"/>
        <n v="39147"/>
        <n v="73920.00000000003"/>
        <n v="224483.50000000003"/>
        <n v="53802.50000000001"/>
        <n v="90691.6"/>
        <n v="19640.600000000006"/>
        <n v="40430.600000000006"/>
        <n v="38466.40000000002"/>
        <n v="243031.70000000004"/>
        <n v="59740.60000000001"/>
        <n v="94238.20000000003"/>
        <n v="24901.600000000006"/>
        <n v="62726.600000000006"/>
        <n v="43032.999999999956"/>
        <n v="284640"/>
        <n v="43284.19999999999"/>
        <n v="50033.4"/>
        <n v="21567.600000000006"/>
        <n v="35793.399999999994"/>
        <n v="73512.80000000002"/>
        <n v="224191.4"/>
        <n v="28133.199999999997"/>
        <n v="45487.399999999994"/>
        <n v="36769.799999999996"/>
        <n v="46045.40000000001"/>
        <n v="29017.199999999997"/>
        <n v="185453"/>
        <n v="94759.60000000003"/>
        <n v="29148.70000000001"/>
        <n v="42689.00000000001"/>
        <n v="8320"/>
        <n v="32630.79999999999"/>
        <n v="207548.10000000003"/>
        <n v="91906.10000000003"/>
        <n v="35007.399999999994"/>
        <n v="70619.60000000002"/>
        <n v="44936"/>
        <n v="242469.10000000003"/>
        <n v="76231.80000000003"/>
        <n v="102989.00000000003"/>
        <n v="22991.800000000003"/>
        <n v="202212.60000000003"/>
        <n v="44535.70000000001"/>
        <n v="39092.600000000006"/>
        <n v="30547.799999999996"/>
        <n v="114176.1"/>
        <n v="39436.20000000001"/>
        <n v="52916.200000000004"/>
        <n v="26306.399999999994"/>
        <n v="118658.80000000002"/>
        <n v="51836.600000000006"/>
        <n v="26251.4"/>
        <n v="29242.6"/>
        <n v="107330.6"/>
        <n v="25827.9"/>
        <n v="66647.40000000001"/>
        <n v="35403.600000000006"/>
        <n v="22894.599999999984"/>
        <n v="150773.5"/>
        <n v="54527.8"/>
        <n v="31682.999999999993"/>
        <n v="22151.600000000006"/>
        <n v="108362.4"/>
        <n v="32546"/>
        <n v="29132"/>
        <n v="29735.999999999996"/>
        <n v="45573.000000000015"/>
        <n v="136987"/>
        <n v="54116.59999999999"/>
        <n v="51359.50000000001"/>
        <n v="47296.5"/>
        <n v="44514.60000000002"/>
        <n v="197287.2"/>
        <n v="53838.000000000015"/>
        <n v="49796.1"/>
        <n v="35533.4"/>
        <n v="46515.99999999999"/>
        <n v="185683.5"/>
        <n v="37686.899999999994"/>
        <n v="53191.60000000001"/>
        <n v="61056.2"/>
        <n v="72020.00000000003"/>
        <n v="223954.70000000004"/>
        <n v="44798.6"/>
        <n v="56576.40000000003"/>
        <n v="26204.4"/>
        <n v="127579.40000000002"/>
        <n v="18583.6"/>
        <n v="29415.199999999997"/>
        <n v="11888.400000000001"/>
        <n v="34651.5"/>
        <n v="94538.7"/>
        <n v="50235.600000000006"/>
        <n v="32604.999999999996"/>
        <n v="12083.199999999997"/>
        <n v="16312.400000000001"/>
        <n v="111236.20000000001"/>
        <n v="46664.600000000006"/>
        <n v="62282.20000000001"/>
        <n v="29748.000000000007"/>
        <n v="49888.84"/>
        <n v="188583.64"/>
        <n v="43162.4"/>
        <n v="40505.000000000015"/>
        <n v="48726.8"/>
        <n v="61221.30000000002"/>
        <n v="193615.50000000003"/>
        <n v="22542.2"/>
        <n v="50353.000000000015"/>
        <n v="87091.80000000003"/>
        <n v="43402.8"/>
        <n v="203389.80000000005"/>
        <n v="53211.000000000015"/>
        <n v="88459.00000000001"/>
        <n v="39740.6"/>
        <n v="42774.2"/>
        <n v="224184.80000000005"/>
      </sharedItems>
    </cacheField>
    <cacheField name="投流消耗" numFmtId="0">
      <sharedItems containsSemiMixedTypes="false" containsString="false" containsNumber="true" minValue="6176.1900000000005" maxValue="160168.79" count="150">
        <n v="36193.94"/>
        <n v="10939.28"/>
        <n v="47701.53"/>
        <n v="27436.869999999995"/>
        <n v="28531.89"/>
        <n v="150803.51"/>
        <n v="23379.84"/>
        <n v="27520.69"/>
        <n v="10661.220000000001"/>
        <n v="18613.589999999997"/>
        <n v="30155.340000000004"/>
        <n v="110330.68"/>
        <n v="23935.78"/>
        <n v="22208.309999999998"/>
        <n v="9622.93"/>
        <n v="15313.619999999999"/>
        <n v="26441.050000000003"/>
        <n v="97521.69"/>
        <n v="28390.26"/>
        <n v="17986.27"/>
        <n v="6250.8"/>
        <n v="9728.380000000001"/>
        <n v="16184.5"/>
        <n v="78540.21"/>
        <n v="28822.54"/>
        <n v="17074.120000000003"/>
        <n v="6176.1900000000005"/>
        <n v="9445.67"/>
        <n v="17929.26"/>
        <n v="79447.78"/>
        <n v="26803.8"/>
        <n v="26775.57"/>
        <n v="12388.490000000002"/>
        <n v="19014.25"/>
        <n v="38084.36"/>
        <n v="123066.47"/>
        <n v="26736.85"/>
        <n v="28929.320000000003"/>
        <n v="13652.26"/>
        <n v="18400.77"/>
        <n v="32894.91"/>
        <n v="120614.11"/>
        <n v="36382.17"/>
        <n v="44901.840000000004"/>
        <n v="22212.73"/>
        <n v="30598.469999999998"/>
        <n v="20170.45"/>
        <n v="154265.66"/>
        <n v="23567.91"/>
        <n v="27089.050000000003"/>
        <n v="14416.53"/>
        <n v="22544.38"/>
        <n v="27578.6"/>
        <n v="115196.47"/>
        <n v="18250.96"/>
        <n v="18887.489999999998"/>
        <n v="21762.09"/>
        <n v="23474.18"/>
        <n v="17424.94"/>
        <n v="99799.66"/>
        <n v="42018.53999999999"/>
        <n v="22174.12"/>
        <n v="21969.800000000003"/>
        <n v="10096.380000000001"/>
        <n v="22803.97"/>
        <n v="119062.81"/>
        <n v="46518.57"/>
        <n v="37291.84"/>
        <n v="40155"/>
        <n v="36203.380000000005"/>
        <n v="160168.79"/>
        <n v="39287.58"/>
        <n v="50364.74"/>
        <n v="24114.26"/>
        <n v="113766.58"/>
        <n v="33441.21"/>
        <n v="21429.769999999997"/>
        <n v="16922.72"/>
        <n v="71793.7"/>
        <n v="28862.390000000003"/>
        <n v="23838.050000000003"/>
        <n v="16481.67"/>
        <n v="69182.11"/>
        <n v="34063.29"/>
        <n v="14949.37"/>
        <n v="15381.64"/>
        <n v="64394.3"/>
        <n v="29183.510000000002"/>
        <n v="27720.550000000003"/>
        <n v="24381.01"/>
        <n v="16052.779999999999"/>
        <n v="97337.85"/>
        <n v="51564.14000000001"/>
        <n v="20851.66"/>
        <n v="10323.98"/>
        <n v="82739.78"/>
        <n v="19608.09"/>
        <n v="13280.580000000002"/>
        <n v="15516.89"/>
        <n v="27055.45"/>
        <n v="75461.01"/>
        <n v="37342.33"/>
        <n v="34629.68"/>
        <n v="33807.23"/>
        <n v="28357.48"/>
        <n v="134136.72000000003"/>
        <n v="33321.03999999999"/>
        <n v="23991.149999999998"/>
        <n v="19092.910000000003"/>
        <n v="19843.8"/>
        <n v="96248.9"/>
        <n v="27379.36"/>
        <n v="26714.179999999997"/>
        <n v="29705.2"/>
        <n v="36189.78"/>
        <n v="119988.51999999999"/>
        <n v="26264.47"/>
        <n v="35657.92"/>
        <n v="24832.33"/>
        <n v="86754.72"/>
        <n v="24393.49"/>
        <n v="11514.54"/>
        <n v="12118.82"/>
        <n v="17864.45"/>
        <n v="65891.3"/>
        <n v="28166.51"/>
        <n v="17893.510000000002"/>
        <n v="13426.98"/>
        <n v="12407.130000000001"/>
        <n v="71894.13"/>
        <n v="25491.4"/>
        <n v="27223.51"/>
        <n v="22878.72"/>
        <n v="27431.81"/>
        <n v="103025.44"/>
        <n v="26667.43"/>
        <n v="16669.92"/>
        <n v="26658.72"/>
        <n v="31228.899999999998"/>
        <n v="101224.97"/>
        <n v="19158.620000000003"/>
        <n v="33668.39"/>
        <n v="43744.17999999999"/>
        <n v="35379.54000000001"/>
        <n v="131950.73"/>
        <n v="37019.4"/>
        <n v="47698.6"/>
        <n v="24026.93"/>
        <n v="26103.15"/>
        <n v="134848.08"/>
      </sharedItems>
    </cacheField>
    <cacheField name="ROI" numFmtId="0">
      <sharedItems containsSemiMixedTypes="false" containsString="false" containsNumber="true" minValue="0.3878119034550422" maxValue="3.285883406923914" count="0"/>
    </cacheField>
    <cacheField name="单均" numFmtId="0">
      <sharedItems containsSemiMixedTypes="false" containsString="false" containsNumber="true" minValue="609.6749999999995" maxValue="1218.5769230769229" count="0"/>
    </cacheField>
    <cacheField name="保单成本" numFmtId="0">
      <sharedItems containsSemiMixedTypes="false" containsString="false" containsNumber="true" minValue="328.9894736842105" maxValue="3088.0950000000003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1" maxValue="20" count="0"/>
    </cacheField>
  </cacheFields>
</pivotCacheDefinition>
</file>

<file path=xl/pivotCache/pivotCacheDefinition8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52" sheet="2026年3月"/>
  </cacheSource>
  <cacheFields count="16">
    <cacheField name="日期" numFmtId="0">
      <sharedItems containsSemiMixedTypes="false" containsNonDate="false" containsDate="true" containsString="false" minDate="2026-03-01T00:00:00.000Z" maxDate="2026-03-31T00:00:00.000Z" count="0"/>
    </cacheField>
    <cacheField name="主播" numFmtId="0">
      <sharedItems containsBlank="true" count="7">
        <s v="卢林琰"/>
        <s v="尹小雨"/>
        <s v="安宁"/>
        <s v="李雅琪"/>
        <m/>
        <s v="武慧聪"/>
        <s v="冯雅雯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20" count="9">
        <n v="5"/>
        <n v="20"/>
        <n v="4"/>
        <n v="6"/>
        <n v="1"/>
        <n v="16"/>
        <n v="15"/>
        <n v="4.5"/>
        <n v="18"/>
      </sharedItems>
    </cacheField>
    <cacheField name="总订单" numFmtId="0">
      <sharedItems containsSemiMixedTypes="false" containsString="false" containsNumber="true" containsInteger="true" minValue="8" maxValue="414" count="0"/>
    </cacheField>
    <cacheField name="保单数量" numFmtId="0">
      <sharedItems containsSemiMixedTypes="false" containsString="false" containsNumber="true" containsInteger="true" minValue="8" maxValue="315" count="88">
        <n v="80"/>
        <n v="79"/>
        <n v="60"/>
        <n v="96"/>
        <n v="315"/>
        <n v="112"/>
        <n v="62"/>
        <n v="51"/>
        <n v="276"/>
        <n v="49"/>
        <n v="57"/>
        <n v="38"/>
        <n v="195"/>
        <n v="54"/>
        <n v="69"/>
        <n v="33"/>
        <n v="50"/>
        <n v="206"/>
        <n v="28"/>
        <n v="43"/>
        <n v="18"/>
        <n v="30"/>
        <n v="119"/>
        <n v="44"/>
        <n v="29"/>
        <n v="139"/>
        <n v="95"/>
        <n v="65"/>
        <n v="45"/>
        <n v="42"/>
        <n v="247"/>
        <n v="46"/>
        <n v="26"/>
        <n v="145"/>
        <n v="47"/>
        <n v="40"/>
        <n v="34"/>
        <n v="159"/>
        <n v="23"/>
        <n v="64"/>
        <n v="27"/>
        <n v="37"/>
        <n v="151"/>
        <n v="58"/>
        <n v="55"/>
        <n v="36"/>
        <n v="32"/>
        <n v="53"/>
        <n v="166"/>
        <n v="142"/>
        <n v="24"/>
        <n v="150"/>
        <n v="59"/>
        <n v="19"/>
        <n v="39"/>
        <n v="161"/>
        <n v="75"/>
        <n v="8"/>
        <n v="221"/>
        <n v="68"/>
        <n v="48"/>
        <n v="189"/>
        <n v="175"/>
        <n v="147"/>
        <n v="71"/>
        <n v="52"/>
        <n v="188"/>
        <n v="35"/>
        <n v="201"/>
        <n v="16"/>
        <n v="20"/>
        <n v="100"/>
        <n v="131"/>
        <n v="66"/>
        <n v="41"/>
        <n v="99"/>
        <n v="87"/>
        <n v="273"/>
        <n v="76"/>
        <n v="217"/>
        <n v="140"/>
        <n v="231"/>
        <n v="56"/>
        <n v="207"/>
        <n v="84"/>
        <n v="74"/>
        <n v="88"/>
        <n v="275"/>
      </sharedItems>
    </cacheField>
    <cacheField name="保险支付数" numFmtId="0">
      <sharedItems containsSemiMixedTypes="false" containsString="false" containsNumber="true" containsInteger="true" minValue="10" maxValue="249" count="0"/>
    </cacheField>
    <cacheField name="一号保单数" numFmtId="0">
      <sharedItems containsSemiMixedTypes="false" containsString="false" containsNumber="true" containsInteger="true" minValue="6" maxValue="215" count="0"/>
    </cacheField>
    <cacheField name="家庭单数量" numFmtId="0">
      <sharedItems containsSemiMixedTypes="false" containsString="false" containsNumber="true" containsInteger="true" minValue="0" maxValue="34" count="0"/>
    </cacheField>
    <cacheField name="年化保费" numFmtId="0">
      <sharedItems containsSemiMixedTypes="false" containsString="false" containsNumber="true" minValue="8148" maxValue="286818.30000000005" count="151">
        <n v="75115.90000000002"/>
        <n v="71701.20000000003"/>
        <n v="55900.600000000006"/>
        <n v="84100.60000000003"/>
        <n v="286818.30000000005"/>
        <n v="113695.7"/>
        <n v="54967.59999999999"/>
        <n v="46107.6000000001"/>
        <n v="40850.399999999994"/>
        <n v="255621.30000000008"/>
        <n v="52782.20000000001"/>
        <n v="46044"/>
        <n v="50171.8"/>
        <n v="29674"/>
        <n v="178672"/>
        <n v="49167.60000000001"/>
        <n v="60074.600000000006"/>
        <n v="29684.600000000006"/>
        <n v="42671.4"/>
        <n v="181598.2"/>
        <n v="26367.199999999997"/>
        <n v="33695.899999999994"/>
        <n v="17497.199999999997"/>
        <n v="24687.000000000007"/>
        <n v="102247.29999999999"/>
        <n v="32499.2"/>
        <n v="40305.6"/>
        <n v="22423.399999999998"/>
        <n v="30051.200000000004"/>
        <n v="125279.4"/>
        <n v="95080.10000000003"/>
        <n v="53256.70000000001"/>
        <n v="43338.600000000006"/>
        <n v="36484"/>
        <n v="228159.40000000005"/>
        <n v="39176.00000000001"/>
        <n v="44812"/>
        <n v="19580.760000000002"/>
        <n v="33143.99999999999"/>
        <n v="136712.76"/>
        <n v="39586"/>
        <n v="36127"/>
        <n v="29886.200000000004"/>
        <n v="26005.600000000006"/>
        <n v="131604.80000000002"/>
        <n v="17433.6"/>
        <n v="58910.40000000001"/>
        <n v="24342.6"/>
        <n v="33058.40000000001"/>
        <n v="133745"/>
        <n v="53742.400000000016"/>
        <n v="50366.799999999996"/>
        <n v="33107"/>
        <n v="53912.80000000002"/>
        <n v="191129.00000000003"/>
        <n v="21162.4"/>
        <n v="30239.599999999995"/>
        <n v="59156.80000000002"/>
        <n v="55160.1"/>
        <n v="165718.90000000002"/>
        <n v="28024.6"/>
        <n v="38580.8"/>
        <n v="28476.199999999997"/>
        <n v="33703.6"/>
        <n v="128785.19999999998"/>
        <n v="51564.70000000001"/>
        <n v="41959.20000000001"/>
        <n v="22239.9"/>
        <n v="19674.399999999994"/>
        <n v="135438.2"/>
        <n v="53481.70000000001"/>
        <n v="57368.4"/>
        <n v="16891.4"/>
        <n v="40304.19999999999"/>
        <n v="168045.69999999998"/>
        <n v="66812.6"/>
        <n v="88347.20000000003"/>
        <n v="47679.3"/>
        <n v="8148"/>
        <n v="210987.10000000003"/>
        <n v="63673.60000000001"/>
        <n v="38807.8"/>
        <n v="27435.4"/>
        <n v="50228.7"/>
        <n v="180145.5"/>
        <n v="50508.80000000002"/>
        <n v="38883.600000000006"/>
        <n v="22648.799999999996"/>
        <n v="40215.600000000006"/>
        <n v="152256.80000000002"/>
        <n v="33966.40000000001"/>
        <n v="54182.2"/>
        <n v="21798.899999999994"/>
        <n v="27200.600000000006"/>
        <n v="137148.1"/>
        <n v="61656.30000000002"/>
        <n v="30024.4"/>
        <n v="30375.200000000004"/>
        <n v="44661.2"/>
        <n v="166717.10000000003"/>
        <n v="37321.1"/>
        <n v="50548.20000000001"/>
        <n v="54313.2"/>
        <n v="81376.40000000002"/>
        <n v="223558.90000000002"/>
        <n v="50766.45"/>
        <n v="19979.200000000004"/>
        <n v="20297.999999999993"/>
        <n v="91043.65"/>
        <n v="51853.5"/>
        <n v="46998.6"/>
        <n v="29799.999999999993"/>
        <n v="128652.1"/>
        <n v="41888.200000000004"/>
        <n v="42163"/>
        <n v="28925.20000000001"/>
        <n v="112976.40000000002"/>
        <n v="59403.60000000001"/>
        <n v="30509.4"/>
        <n v="30817.199999999997"/>
        <n v="120730.20000000001"/>
        <n v="102583.60000000003"/>
        <n v="66977.6"/>
        <n v="34009.40000000002"/>
        <n v="38439.79999999999"/>
        <n v="242010.40000000005"/>
        <n v="35752.40000000001"/>
        <n v="34798.600000000006"/>
        <n v="72728.80000000003"/>
        <n v="53270.60000000002"/>
        <n v="196550.40000000008"/>
        <n v="39806.8"/>
        <n v="28414.000000000004"/>
        <n v="20244.300000000003"/>
        <n v="43880.000000000015"/>
        <n v="132345.10000000003"/>
        <n v="52781.2"/>
        <n v="48335.4"/>
        <n v="56980.200000000004"/>
        <n v="49518.3"/>
        <n v="207615.10000000003"/>
        <n v="52223.40000000001"/>
        <n v="63967.200000000026"/>
        <n v="36461"/>
        <n v="31137.600000000006"/>
        <n v="183789.20000000004"/>
        <n v="73139.2"/>
        <n v="58333.80000000002"/>
        <n v="28625.199999999997"/>
        <n v="72772.59999999999"/>
        <n v="232870.8"/>
      </sharedItems>
    </cacheField>
    <cacheField name="投流消耗" numFmtId="0">
      <sharedItems containsSemiMixedTypes="false" containsString="false" containsNumber="true" minValue="5525.34" maxValue="159535.72999999998" count="151">
        <n v="43717.25"/>
        <n v="36072.92"/>
        <n v="31061.05"/>
        <n v="48684.509999999995"/>
        <n v="159535.72999999998"/>
        <n v="52674.3"/>
        <n v="36469.8"/>
        <n v="27401.750000000007"/>
        <n v="30578.02"/>
        <n v="147123.87"/>
        <n v="29325.98"/>
        <n v="19906.72"/>
        <n v="21670.43"/>
        <n v="25595.98"/>
        <n v="96499.11"/>
        <n v="25267.43"/>
        <n v="37972.43"/>
        <n v="24780.02"/>
        <n v="23526.93"/>
        <n v="111546.81"/>
        <n v="19909.39"/>
        <n v="15893.64"/>
        <n v="13580.51"/>
        <n v="17751.38"/>
        <n v="67134.92"/>
        <n v="19971.07"/>
        <n v="24807.23"/>
        <n v="12463.92"/>
        <n v="12964.34"/>
        <n v="70206.56"/>
        <n v="42005.84"/>
        <n v="37311.92999999999"/>
        <n v="27504.809999999998"/>
        <n v="21201.26"/>
        <n v="128023.83999999998"/>
        <n v="26974.4"/>
        <n v="22452.410000000003"/>
        <n v="17506.79"/>
        <n v="18118.33"/>
        <n v="85051.93000000001"/>
        <n v="21250.339999999997"/>
        <n v="21175.35"/>
        <n v="21805.59"/>
        <n v="16105.279999999999"/>
        <n v="80336.56"/>
        <n v="12179.97"/>
        <n v="24472.01"/>
        <n v="20111.110000000004"/>
        <n v="18553.68"/>
        <n v="75316.76999999999"/>
        <n v="33882.479999999996"/>
        <n v="27871.11"/>
        <n v="24507.809999999998"/>
        <n v="28219.640000000003"/>
        <n v="114481.04"/>
        <n v="20930.68"/>
        <n v="19932.18"/>
        <n v="33909.92"/>
        <n v="34270.44"/>
        <n v="109043.22"/>
        <n v="22467.06"/>
        <n v="20201.61"/>
        <n v="19777.309999999998"/>
        <n v="22094.86"/>
        <n v="84540.84"/>
        <n v="28600.3"/>
        <n v="25629.710000000006"/>
        <n v="17818.61"/>
        <n v="14441.82"/>
        <n v="86490.44"/>
        <n v="23816.910000000003"/>
        <n v="22245.460000000003"/>
        <n v="14527.05"/>
        <n v="22591.87"/>
        <n v="83181.29000000001"/>
        <n v="33804.11"/>
        <n v="36940.7"/>
        <n v="36481.32"/>
        <n v="5525.34"/>
        <n v="112751.47"/>
        <n v="33803.69"/>
        <n v="27858.88"/>
        <n v="16255.2"/>
        <n v="23089.72"/>
        <n v="101007.49"/>
        <n v="30839.04"/>
        <n v="21900.31"/>
        <n v="14161.300000000001"/>
        <n v="22814.16"/>
        <n v="89714.81000000001"/>
        <n v="24885.89"/>
        <n v="18079.010000000002"/>
        <n v="15410.779999999999"/>
        <n v="17292.36"/>
        <n v="75668.04000000001"/>
        <n v="34397.14"/>
        <n v="15743.169999999998"/>
        <n v="20198.87"/>
        <n v="26179.89"/>
        <n v="96519.06999999999"/>
        <n v="18214.47"/>
        <n v="20844.97"/>
        <n v="31989.67"/>
        <n v="30156.359999999997"/>
        <n v="101205.47"/>
        <n v="27809.54"/>
        <n v="10927.14"/>
        <n v="9111.6"/>
        <n v="47848.28"/>
        <n v="28072.98"/>
        <n v="24582.97"/>
        <n v="15863.8"/>
        <n v="68519.75"/>
        <n v="23608.68"/>
        <n v="23458.47"/>
        <n v="22021.7"/>
        <n v="69088.85"/>
        <n v="34273.87"/>
        <n v="24865.53"/>
        <n v="25753.64"/>
        <n v="84893.04000000001"/>
        <n v="46444.94"/>
        <n v="53224.130000000005"/>
        <n v="23964.100000000002"/>
        <n v="24055.61"/>
        <n v="147688.78000000003"/>
        <n v="30218.7"/>
        <n v="18901.83"/>
        <n v="32017.41"/>
        <n v="35440.579999999994"/>
        <n v="116578.51999999999"/>
        <n v="22348.43"/>
        <n v="18611.22"/>
        <n v="13268.43"/>
        <n v="19613.449999999997"/>
        <n v="73841.53"/>
        <n v="21779.07"/>
        <n v="23956.89"/>
        <n v="28835.440000000002"/>
        <n v="29522.54"/>
        <n v="104093.94"/>
        <n v="23336.199999999997"/>
        <n v="31758.01"/>
        <n v="28747.04"/>
        <n v="18661.19"/>
        <n v="102502.44"/>
        <n v="43308.909999999996"/>
        <n v="41400.15"/>
        <n v="20637.51"/>
        <n v="29388.11"/>
        <n v="134734.68"/>
      </sharedItems>
    </cacheField>
    <cacheField name="ROI" numFmtId="0">
      <sharedItems containsSemiMixedTypes="false" containsString="false" containsNumber="true" minValue="1.0110708299969233" maxValue="2.9969672011907726" count="0"/>
    </cacheField>
    <cacheField name="单均" numFmtId="0">
      <sharedItems containsSemiMixedTypes="false" containsString="false" containsNumber="true" minValue="744.1317073170732" maxValue="1303.8272727272727" count="0"/>
    </cacheField>
    <cacheField name="保单成本" numFmtId="0">
      <sharedItems containsSemiMixedTypes="false" containsString="false" containsNumber="true" minValue="341.11339622641515" maxValue="1370.8176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5" maxValue="20" count="0"/>
    </cacheField>
  </cacheFields>
</pivotCacheDefinition>
</file>

<file path=xl/pivotCache/pivotCacheDefinition9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122" sheet="2026年2月"/>
  </cacheSource>
  <cacheFields count="17">
    <cacheField name="日期" numFmtId="0">
      <sharedItems containsSemiMixedTypes="false" containsNonDate="false" containsDate="true" containsString="false" minDate="2026-02-01T00:00:00.000Z" maxDate="2026-02-28T00:00:00.000Z" count="0"/>
    </cacheField>
    <cacheField name="主播" numFmtId="0">
      <sharedItems containsBlank="true" count="7">
        <s v="卢林琰"/>
        <s v="李雅琪"/>
        <s v="尹小雨"/>
        <s v="武慧聪"/>
        <m/>
        <s v="杨智勇"/>
        <s v="安宁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3" maxValue="20" count="10">
        <n v="5"/>
        <n v="20"/>
        <n v="15"/>
        <n v="4"/>
        <n v="17"/>
        <n v="14"/>
        <n v="3"/>
        <n v="10"/>
        <n v="4.5"/>
        <n v="19.5"/>
      </sharedItems>
    </cacheField>
    <cacheField name="总订单" numFmtId="0">
      <sharedItems containsSemiMixedTypes="false" containsString="false" containsNumber="true" containsInteger="true" minValue="32" maxValue="385" count="0"/>
    </cacheField>
    <cacheField name="保单数量" numFmtId="0">
      <sharedItems containsSemiMixedTypes="false" containsString="false" containsNumber="true" containsInteger="true" minValue="20" maxValue="294" count="75">
        <n v="55"/>
        <n v="36"/>
        <n v="65"/>
        <n v="61"/>
        <n v="217"/>
        <n v="32"/>
        <n v="38"/>
        <n v="35"/>
        <n v="40"/>
        <n v="145"/>
        <n v="71"/>
        <n v="63"/>
        <n v="43"/>
        <n v="70"/>
        <n v="247"/>
        <n v="47"/>
        <n v="29"/>
        <n v="20"/>
        <n v="134"/>
        <n v="34"/>
        <n v="30"/>
        <n v="26"/>
        <n v="90"/>
        <n v="41"/>
        <n v="37"/>
        <n v="44"/>
        <n v="74"/>
        <n v="196"/>
        <n v="58"/>
        <n v="46"/>
        <n v="165"/>
        <n v="86"/>
        <n v="51"/>
        <n v="39"/>
        <n v="72"/>
        <n v="248"/>
        <n v="49"/>
        <n v="48"/>
        <n v="33"/>
        <n v="23"/>
        <n v="153"/>
        <n v="28"/>
        <n v="182"/>
        <n v="84"/>
        <n v="199"/>
        <n v="57"/>
        <n v="69"/>
        <n v="210"/>
        <n v="111"/>
        <n v="50"/>
        <n v="256"/>
        <n v="25"/>
        <n v="181"/>
        <n v="138"/>
        <n v="236"/>
        <n v="150"/>
        <n v="108"/>
        <n v="163"/>
        <n v="97"/>
        <n v="56"/>
        <n v="83"/>
        <n v="294"/>
        <n v="66"/>
        <n v="53"/>
        <n v="52"/>
        <n v="207"/>
        <n v="59"/>
        <n v="73"/>
        <n v="211"/>
        <n v="189"/>
        <n v="67"/>
        <n v="31"/>
        <n v="214"/>
        <n v="42"/>
        <n v="237"/>
      </sharedItems>
    </cacheField>
    <cacheField name="保险支付数" numFmtId="0">
      <sharedItems containsSemiMixedTypes="false" containsString="false" containsNumber="true" containsInteger="true" minValue="13" maxValue="223" count="0"/>
    </cacheField>
    <cacheField name="一号保单数" numFmtId="0">
      <sharedItems containsSemiMixedTypes="false" containsString="false" containsNumber="true" containsInteger="true" minValue="9" maxValue="192" count="0"/>
    </cacheField>
    <cacheField name="家庭单数量" numFmtId="0">
      <sharedItems containsSemiMixedTypes="false" containsString="false" containsNumber="true" containsInteger="true" minValue="0" maxValue="33" count="0"/>
    </cacheField>
    <cacheField name="年化保费" numFmtId="0">
      <sharedItems containsSemiMixedTypes="false" containsString="false" containsNumber="true" minValue="20118.2" maxValue="301342.10000000003" count="116">
        <n v="62495.6"/>
        <n v="28417.800000000003"/>
        <n v="59676.60000000001"/>
        <n v="65322.399999999994"/>
        <n v="215912.4"/>
        <n v="25676.599999999995"/>
        <n v="44229.8"/>
        <n v="34052.8"/>
        <n v="39225.799999999996"/>
        <n v="143185"/>
        <n v="70698.9"/>
        <n v="57413.80000000001"/>
        <n v="36434.79999999999"/>
        <n v="59600.000000000015"/>
        <n v="224147.5"/>
        <n v="58296.00000000001"/>
        <n v="29794"/>
        <n v="20646.000000000007"/>
        <n v="38446.19999999999"/>
        <n v="147182.19999999998"/>
        <n v="30029.199999999997"/>
        <n v="29394.399999999994"/>
        <n v="23185.4"/>
        <n v="82609"/>
        <n v="40993.200000000004"/>
        <n v="38827.8"/>
        <n v="48175.40000000001"/>
        <n v="65554.60000000003"/>
        <n v="193551.00000000006"/>
        <n v="56421.40000000001"/>
        <n v="35176.2"/>
        <n v="44869.90000000001"/>
        <n v="24694.4"/>
        <n v="161161.9"/>
        <n v="83886.20000000004"/>
        <n v="51157.200000000004"/>
        <n v="35258.99999999999"/>
        <n v="78094.70000000003"/>
        <n v="248397.1000000001"/>
        <n v="45628.4"/>
        <n v="50718.4"/>
        <n v="38421.399999999994"/>
        <n v="21244.59999999999"/>
        <n v="156012.8"/>
        <n v="44042.80000000001"/>
        <n v="26704.899999999998"/>
        <n v="37209.399999999994"/>
        <n v="70609.40000000001"/>
        <n v="178566.5"/>
        <n v="37896.600000000006"/>
        <n v="30460.8"/>
        <n v="43278.8"/>
        <n v="78652.60000000002"/>
        <n v="190288.80000000005"/>
        <n v="20118.2"/>
        <n v="52428.80000000002"/>
        <n v="50215.99999999999"/>
        <n v="67375.40000000001"/>
        <n v="190138.40000000002"/>
        <n v="114952.29999999999"/>
        <n v="46677.299999999996"/>
        <n v="42923.00000000001"/>
        <n v="51822.000000000015"/>
        <n v="256374.59999999998"/>
        <n v="66072.20000000001"/>
        <n v="23697.799999999996"/>
        <n v="30582.8"/>
        <n v="53858.600000000006"/>
        <n v="174211.40000000002"/>
        <n v="145239.90000000002"/>
        <n v="52640.600000000006"/>
        <n v="42526.5"/>
        <n v="240407.00000000003"/>
        <n v="50163.200000000004"/>
        <n v="60564.50000000001"/>
        <n v="156686.89999999994"/>
        <n v="29514.4"/>
        <n v="84434.40000000002"/>
        <n v="58288.600000000006"/>
        <n v="114338.4"/>
        <n v="172627"/>
        <n v="109136.6"/>
        <n v="55788.400000000016"/>
        <n v="54708.8"/>
        <n v="81708.3"/>
        <n v="301342.10000000003"/>
        <n v="68758.80000000002"/>
        <n v="57539.600000000006"/>
        <n v="30104.600000000013"/>
        <n v="56813.399999999994"/>
        <n v="213216.40000000002"/>
        <n v="39963.600000000006"/>
        <n v="35860.2"/>
        <n v="65437.799999999996"/>
        <n v="64007.40000000003"/>
        <n v="205269.00000000003"/>
        <n v="45658.00000000001"/>
        <n v="30804.4"/>
        <n v="41238.5"/>
        <n v="51318.000000000015"/>
        <n v="169018.90000000002"/>
        <n v="74120.80000000002"/>
        <n v="55753.400000000016"/>
        <n v="29545.799999999996"/>
        <n v="42361.000000000015"/>
        <n v="201781.00000000006"/>
        <n v="41209"/>
        <n v="48284.399999999994"/>
        <n v="38352.8"/>
        <n v="49567.00000000001"/>
        <n v="177413.2"/>
        <n v="74750.20000000003"/>
        <n v="56952.90000000001"/>
        <n v="35991.6"/>
        <n v="53904.7"/>
        <n v="221599.40000000002"/>
      </sharedItems>
    </cacheField>
    <cacheField name="投流消耗" numFmtId="0">
      <sharedItems containsSemiMixedTypes="false" containsString="false" containsNumber="true" minValue="11324.729999999998" maxValue="152479.32" count="116">
        <n v="25837.92"/>
        <n v="24672.93"/>
        <n v="27283.09"/>
        <n v="32903.45"/>
        <n v="110697.39"/>
        <n v="22752.32"/>
        <n v="17852.67"/>
        <n v="17787.78"/>
        <n v="22717.03"/>
        <n v="81109.79999999999"/>
        <n v="32651.71"/>
        <n v="33028.64"/>
        <n v="26066.71"/>
        <n v="31720.089999999997"/>
        <n v="123467.15"/>
        <n v="29159.449999999997"/>
        <n v="19035.1"/>
        <n v="11324.729999999998"/>
        <n v="22278.809999999998"/>
        <n v="81798.09"/>
        <n v="26198.409999999996"/>
        <n v="14908.81"/>
        <n v="18069.29"/>
        <n v="59176.509999999995"/>
        <n v="23663.28"/>
        <n v="19412.02"/>
        <n v="17900.48"/>
        <n v="32503.32"/>
        <n v="93479.1"/>
        <n v="37700.64"/>
        <n v="19921.829999999998"/>
        <n v="19723.589999999997"/>
        <n v="24885.619999999995"/>
        <n v="102231.68"/>
        <n v="48575.159999999996"/>
        <n v="27501.880000000005"/>
        <n v="19579.66"/>
        <n v="30792.440000000002"/>
        <n v="126449.14000000001"/>
        <n v="28178.96"/>
        <n v="24897.460000000003"/>
        <n v="15929.540000000003"/>
        <n v="17099.760000000002"/>
        <n v="86105.72"/>
        <n v="28094.99"/>
        <n v="17599.62"/>
        <n v="20440.97"/>
        <n v="30634.610000000004"/>
        <n v="96770.19"/>
        <n v="29195.09"/>
        <n v="16402.940000000002"/>
        <n v="19821"/>
        <n v="34032.59"/>
        <n v="99451.62"/>
        <n v="24391.440000000002"/>
        <n v="28815.57"/>
        <n v="32050.19"/>
        <n v="39945.15"/>
        <n v="125202.35"/>
        <n v="58330.08000000001"/>
        <n v="28466.060000000005"/>
        <n v="27784.089999999997"/>
        <n v="30281.839999999997"/>
        <n v="144862.07"/>
        <n v="33556.990000000005"/>
        <n v="18708"/>
        <n v="21313.96"/>
        <n v="23839.859999999997"/>
        <n v="97418.81000000001"/>
        <n v="76923.19"/>
        <n v="31918.920000000002"/>
        <n v="24756.72"/>
        <n v="133598.83000000002"/>
        <n v="27139.45"/>
        <n v="31559.220000000005"/>
        <n v="75488.41999999998"/>
        <n v="26021.93"/>
        <n v="34437.97"/>
        <n v="31591.459999999995"/>
        <n v="44208.509999999995"/>
        <n v="75799.96999999999"/>
        <n v="61185.05"/>
        <n v="28538.769999999997"/>
        <n v="30958.54"/>
        <n v="31796.96"/>
        <n v="152479.32"/>
        <n v="45544.020000000004"/>
        <n v="26276.829999999998"/>
        <n v="19805.949999999997"/>
        <n v="23063.600000000002"/>
        <n v="114690.40000000001"/>
        <n v="25880.63"/>
        <n v="24931.6"/>
        <n v="24069.21"/>
        <n v="35128.93"/>
        <n v="110010.37"/>
        <n v="30861.47"/>
        <n v="17493.739999999998"/>
        <n v="16910.18"/>
        <n v="26075.91"/>
        <n v="91341.3"/>
        <n v="34135.36"/>
        <n v="30428.55"/>
        <n v="17763.63"/>
        <n v="21335.61"/>
        <n v="103663.15000000001"/>
        <n v="30850.409999999996"/>
        <n v="21421.18"/>
        <n v="22616.17"/>
        <n v="23303.86"/>
        <n v="98191.62"/>
        <n v="34937.06"/>
        <n v="29380.34"/>
        <n v="23604.840000000004"/>
        <n v="30794.920000000002"/>
        <n v="118717.15999999999"/>
      </sharedItems>
    </cacheField>
    <cacheField name="ROI" numFmtId="0">
      <sharedItems containsSemiMixedTypes="false" containsString="false" containsNumber="true" minValue="0.8248057515259452" maxValue="2.7187348483809815" count="0"/>
    </cacheField>
    <cacheField name="单均" numFmtId="0">
      <sharedItems containsSemiMixedTypes="false" containsString="false" containsNumber="true" minValue="693.7310344827587" maxValue="1538.817142857143" count="0"/>
    </cacheField>
    <cacheField name="保单成本" numFmtId="0">
      <sharedItems containsSemiMixedTypes="false" containsString="false" containsNumber="true" minValue="319.06" maxValue="858.1248275862067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0.8" maxValue="20" count="0"/>
    </cacheField>
    <cacheField name="Q列" numFmtId="0">
      <sharedItems containsBlank="true" count="0"/>
    </cacheField>
  </cacheFields>
</pivotCacheDefinition>
</file>

<file path=xl/pivotCache/pivotCacheDefinition10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42" sheet="2026年1月"/>
  </cacheSource>
  <cacheFields count="16">
    <cacheField name="日期" numFmtId="0">
      <sharedItems containsSemiMixedTypes="false" containsNonDate="false" containsDate="true" containsString="false" minDate="2026-01-01T00:00:00.000Z" maxDate="2026-01-31T00:00:00.000Z" count="0"/>
    </cacheField>
    <cacheField name="主播" numFmtId="0">
      <sharedItems containsBlank="true" count="7">
        <s v="杨智勇"/>
        <s v="李雅琪"/>
        <s v="卢林琰"/>
        <s v="尹小雨"/>
        <m/>
        <s v="武慧聪"/>
        <s v="胡天韵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12">
        <n v="6"/>
        <n v="4"/>
        <n v="5"/>
        <n v="20"/>
        <n v="3"/>
        <n v="2"/>
        <n v="17"/>
        <n v="4.5"/>
        <n v="9.5"/>
        <n v="9"/>
        <n v="19"/>
        <n v="10"/>
      </sharedItems>
    </cacheField>
    <cacheField name="总订单" numFmtId="0">
      <sharedItems containsSemiMixedTypes="false" containsString="false" containsNumber="true" containsInteger="true" minValue="16" maxValue="396" count="0"/>
    </cacheField>
    <cacheField name="保单数量" numFmtId="0">
      <sharedItems containsSemiMixedTypes="false" containsString="false" containsNumber="true" containsInteger="true" minValue="12" maxValue="304" count="85">
        <n v="63"/>
        <n v="51"/>
        <n v="58"/>
        <n v="78"/>
        <n v="250"/>
        <n v="72"/>
        <n v="88"/>
        <n v="86"/>
        <n v="304"/>
        <n v="87"/>
        <n v="57"/>
        <n v="41"/>
        <n v="25"/>
        <n v="210"/>
        <n v="32"/>
        <n v="79"/>
        <n v="55"/>
        <n v="60"/>
        <n v="226"/>
        <n v="67"/>
        <n v="66"/>
        <n v="68"/>
        <n v="94"/>
        <n v="295"/>
        <n v="73"/>
        <n v="21"/>
        <n v="33"/>
        <n v="71"/>
        <n v="249"/>
        <n v="44"/>
        <n v="38"/>
        <n v="12"/>
        <n v="99"/>
        <n v="237"/>
        <n v="40"/>
        <n v="95"/>
        <n v="46"/>
        <n v="134"/>
        <n v="34"/>
        <n v="56"/>
        <n v="190"/>
        <n v="35"/>
        <n v="52"/>
        <n v="195"/>
        <n v="43"/>
        <n v="54"/>
        <n v="64"/>
        <n v="204"/>
        <n v="50"/>
        <n v="36"/>
        <n v="192"/>
        <n v="24"/>
        <n v="124"/>
        <n v="42"/>
        <n v="47"/>
        <n v="234"/>
        <n v="45"/>
        <n v="223"/>
        <n v="37"/>
        <n v="184"/>
        <n v="163"/>
        <n v="30"/>
        <n v="31"/>
        <n v="53"/>
        <n v="168"/>
        <n v="76"/>
        <n v="209"/>
        <n v="161"/>
        <n v="49"/>
        <n v="26"/>
        <n v="28"/>
        <n v="154"/>
        <n v="18"/>
        <n v="113"/>
        <n v="27"/>
        <n v="22"/>
        <n v="125"/>
        <n v="62"/>
        <n v="183"/>
        <n v="61"/>
        <n v="139"/>
        <n v="29"/>
        <n v="127"/>
        <n v="39"/>
        <n v="143"/>
      </sharedItems>
    </cacheField>
    <cacheField name="保险支付数" numFmtId="0">
      <sharedItems containsSemiMixedTypes="false" containsString="false" containsNumber="true" containsInteger="true" minValue="9" maxValue="241" count="0"/>
    </cacheField>
    <cacheField name="一号保单数" numFmtId="0">
      <sharedItems containsSemiMixedTypes="false" containsString="false" containsNumber="true" containsInteger="true" minValue="9" maxValue="208" count="0"/>
    </cacheField>
    <cacheField name="家庭单数量" numFmtId="0">
      <sharedItems containsSemiMixedTypes="false" containsString="false" containsNumber="true" containsInteger="true" minValue="0" maxValue="41" count="0"/>
    </cacheField>
    <cacheField name="年化保费" numFmtId="0">
      <sharedItems containsSemiMixedTypes="false" containsString="false" containsNumber="true" minValue="8611.2" maxValue="292077.69999999995" count="141">
        <n v="62788.2"/>
        <n v="47871.8"/>
        <n v="54388"/>
        <n v="79078.2"/>
        <n v="244126.2"/>
        <n v="69827.2"/>
        <n v="91083.29999999999"/>
        <n v="54854"/>
        <n v="62671.2"/>
        <n v="278435.7"/>
        <n v="87839.90000000001"/>
        <n v="57851.399999999994"/>
        <n v="33108.4"/>
        <n v="27107.300000000003"/>
        <n v="205907"/>
        <n v="30644.899999999998"/>
        <n v="60181.399999999994"/>
        <n v="59720.399999999994"/>
        <n v="67929.6"/>
        <n v="218476.3"/>
        <n v="66174.40000000001"/>
        <n v="69556.9"/>
        <n v="64366.39999999999"/>
        <n v="91980"/>
        <n v="292077.69999999995"/>
        <n v="86160.3"/>
        <n v="54652.2"/>
        <n v="16410.199999999997"/>
        <n v="25548.399999999998"/>
        <n v="66132"/>
        <n v="248903.1"/>
        <n v="35392.700000000004"/>
        <n v="36404.100000000006"/>
        <n v="8611.2"/>
        <n v="41152.7"/>
        <n v="94230.90000000001"/>
        <n v="215791.60000000003"/>
        <n v="47577.2"/>
        <n v="31833.8"/>
        <n v="79411"/>
        <n v="51671.2"/>
        <n v="81178.90000000001"/>
        <n v="132850.1"/>
        <n v="40028.399999999994"/>
        <n v="30352.999999999993"/>
        <n v="54701.80000000001"/>
        <n v="54178.000000000015"/>
        <n v="179261.2"/>
        <n v="42402.20000000001"/>
        <n v="40529.100000000006"/>
        <n v="57414.500000000015"/>
        <n v="58135.600000000006"/>
        <n v="198481.40000000005"/>
        <n v="43923.8"/>
        <n v="63716.8"/>
        <n v="51798.2"/>
        <n v="64233.40000000002"/>
        <n v="223672.2"/>
        <n v="64291.60000000002"/>
        <n v="49523.7"/>
        <n v="41344.2"/>
        <n v="36659.80000000002"/>
        <n v="191819.30000000002"/>
        <n v="53007.600000000006"/>
        <n v="22215.8"/>
        <n v="16156.199999999997"/>
        <n v="15586.400000000009"/>
        <n v="106966.00000000001"/>
        <n v="78407.40000000004"/>
        <n v="58718.1"/>
        <n v="38914.6"/>
        <n v="52071.19999999998"/>
        <n v="228111.30000000002"/>
        <n v="82148.40000000002"/>
        <n v="41223.2"/>
        <n v="37802.399999999994"/>
        <n v="47355.59999999999"/>
        <n v="208529.59999999998"/>
        <n v="60085"/>
        <n v="47233.799999999996"/>
        <n v="33397.600000000006"/>
        <n v="40314.40000000001"/>
        <n v="181030.8"/>
        <n v="34109.4"/>
        <n v="29469.4"/>
        <n v="25288.100000000002"/>
        <n v="54633.00000000001"/>
        <n v="143499.90000000002"/>
        <n v="31627.199999999997"/>
        <n v="29084.399999999998"/>
        <n v="50051.40000000001"/>
        <n v="49853.400000000016"/>
        <n v="160616.40000000002"/>
        <n v="74633.6"/>
        <n v="28400"/>
        <n v="61555.5"/>
        <n v="38414"/>
        <n v="203003.1"/>
        <n v="31232"/>
        <n v="41680.8"/>
        <n v="31273.6"/>
        <n v="44167.00000000001"/>
        <n v="148353.4"/>
        <n v="51064.8"/>
        <n v="46937.2"/>
        <n v="26858.200000000004"/>
        <n v="20729.600000000006"/>
        <n v="145589.80000000002"/>
        <n v="26319.6"/>
        <n v="17763.199999999997"/>
        <n v="30641"/>
        <n v="35974.00000000001"/>
        <n v="110697.79999999999"/>
        <n v="43990"/>
        <n v="31602"/>
        <n v="24801.09999999999"/>
        <n v="21045.600000000006"/>
        <n v="121438.7"/>
        <n v="38445.40000000001"/>
        <n v="26374.4"/>
        <n v="63956.000000000015"/>
        <n v="42358.8"/>
        <n v="171134.60000000003"/>
        <n v="24902.4"/>
        <n v="33388"/>
        <n v="58290.4"/>
        <n v="28126.799999999996"/>
        <n v="27823.3"/>
        <n v="46136.2"/>
        <n v="33981.40000000001"/>
        <n v="136067.7"/>
        <n v="49197.3"/>
        <n v="31858.6"/>
        <n v="28117.799999999996"/>
        <n v="31254.199999999997"/>
        <n v="140427.89999999997"/>
        <n v="27730.999999999996"/>
        <n v="17814.9"/>
        <n v="46089.8"/>
        <n v="53409.9"/>
        <n v="145045.6"/>
      </sharedItems>
    </cacheField>
    <cacheField name="投流消耗" numFmtId="0">
      <sharedItems containsSemiMixedTypes="false" containsString="false" containsNumber="true" minValue="8772.419999999998" maxValue="164591.6" count="141">
        <n v="39994.75"/>
        <n v="25940.760000000002"/>
        <n v="27835.58"/>
        <n v="35687.17"/>
        <n v="129458.26000000001"/>
        <n v="42661.42"/>
        <n v="43873.28"/>
        <n v="32359.49"/>
        <n v="37895.06"/>
        <n v="156789.25"/>
        <n v="49595.61"/>
        <n v="35168.09"/>
        <n v="23207.35"/>
        <n v="12899.509999999998"/>
        <n v="120870.55999999998"/>
        <n v="21092.589999999997"/>
        <n v="44728.04000000001"/>
        <n v="33898.299999999996"/>
        <n v="29141.680000000004"/>
        <n v="128860.61"/>
        <n v="41748.14"/>
        <n v="39053.100000000006"/>
        <n v="35192.25"/>
        <n v="48598.11000000001"/>
        <n v="164591.6"/>
        <n v="48195.47"/>
        <n v="40026.74"/>
        <n v="17210.96"/>
        <n v="12163.45"/>
        <n v="40028.57000000001"/>
        <n v="157625.19"/>
        <n v="28344.019999999997"/>
        <n v="24303.800000000003"/>
        <n v="8772.419999999998"/>
        <n v="19450.58"/>
        <n v="40447.13"/>
        <n v="121317.95000000001"/>
        <n v="29222.36"/>
        <n v="27415.770000000004"/>
        <n v="56638.130000000005"/>
        <n v="21871.809999999998"/>
        <n v="37867.52"/>
        <n v="59739.329999999994"/>
        <n v="26805.05"/>
        <n v="20537.11"/>
        <n v="31320.370000000003"/>
        <n v="32043.85"/>
        <n v="110706.38"/>
        <n v="22640.839999999997"/>
        <n v="21713.2"/>
        <n v="28970.989999999998"/>
        <n v="32757.07"/>
        <n v="106082.1"/>
        <n v="25247.7"/>
        <n v="24805.32"/>
        <n v="23376.79"/>
        <n v="30009.18"/>
        <n v="103438.98999999999"/>
        <n v="34078.86"/>
        <n v="31142.41"/>
        <n v="25960.260000000002"/>
        <n v="29180.579999999998"/>
        <n v="120362.11"/>
        <n v="24231.34"/>
        <n v="20928.76"/>
        <n v="17393.96"/>
        <n v="14738.550000000003"/>
        <n v="77292.61"/>
        <n v="43157.98"/>
        <n v="31382.14"/>
        <n v="20839.89"/>
        <n v="25555.480000000003"/>
        <n v="120935.48999999999"/>
        <n v="41857.219999999994"/>
        <n v="27286.410000000003"/>
        <n v="28819.619999999995"/>
        <n v="23739.87"/>
        <n v="121703.12"/>
        <n v="28576.729999999996"/>
        <n v="26073.98"/>
        <n v="22318.979999999996"/>
        <n v="25712.47"/>
        <n v="102682.15999999999"/>
        <n v="20225.62"/>
        <n v="19294.660000000003"/>
        <n v="17635.17"/>
        <n v="22265.769999999997"/>
        <n v="79421.22"/>
        <n v="24632.17"/>
        <n v="19051.14"/>
        <n v="20953.32"/>
        <n v="33775.130000000005"/>
        <n v="98411.76000000001"/>
        <n v="43277.55"/>
        <n v="24894.78"/>
        <n v="26828.03"/>
        <n v="25700.86"/>
        <n v="120701.22"/>
        <n v="22307.239999999998"/>
        <n v="22632.390000000003"/>
        <n v="23183.43"/>
        <n v="25986.690000000002"/>
        <n v="94109.75"/>
        <n v="29753.57"/>
        <n v="26464.050000000003"/>
        <n v="19433.030000000002"/>
        <n v="15628.01"/>
        <n v="91278.66"/>
        <n v="21994.600000000002"/>
        <n v="10111.92"/>
        <n v="14932.64"/>
        <n v="23662.88"/>
        <n v="70702.04000000001"/>
        <n v="21474.66"/>
        <n v="21663.85"/>
        <n v="18659.39"/>
        <n v="21952.25"/>
        <n v="83750.15"/>
        <n v="23001.6"/>
        <n v="18799.18"/>
        <n v="28084.42"/>
        <n v="32680.320000000003"/>
        <n v="102565.52"/>
        <n v="16569.65"/>
        <n v="14564.570000000002"/>
        <n v="31134.22"/>
        <n v="20279.39"/>
        <n v="16160.359999999999"/>
        <n v="26872.26"/>
        <n v="21580.25"/>
        <n v="84892.26"/>
        <n v="25226.129999999997"/>
        <n v="17790.89"/>
        <n v="14715.79"/>
        <n v="14774.53"/>
        <n v="72507.34"/>
        <n v="19537.85"/>
        <n v="13675.880000000001"/>
        <n v="15086.510000000002"/>
        <n v="24300.99"/>
        <n v="72601.23"/>
      </sharedItems>
    </cacheField>
    <cacheField name="ROI" numFmtId="0">
      <sharedItems containsSemiMixedTypes="false" containsString="false" containsNumber="true" minValue="0.9288396661829738" maxValue="3.05503393428964" count="0"/>
    </cacheField>
    <cacheField name="单均" numFmtId="0">
      <sharedItems containsSemiMixedTypes="false" containsString="false" containsNumber="true" minValue="646.2479999999999" maxValue="1260.4999999999998" count="0"/>
    </cacheField>
    <cacheField name="保单成本" numFmtId="0">
      <sharedItems containsSemiMixedTypes="false" containsString="false" containsNumber="true" minValue="353.42492063492057" maxValue="997.8295454545455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20" count="0"/>
    </cacheField>
  </cacheFields>
</pivotCacheDefinition>
</file>

<file path=xl/pivotCache/pivotCacheDefinition1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59" sheet="2025年12月"/>
  </cacheSource>
  <cacheFields count="16">
    <cacheField name="日期" numFmtId="0">
      <sharedItems containsSemiMixedTypes="false" containsNonDate="false" containsDate="true" containsString="false" minDate="2025-12-01T00:00:00.000Z" maxDate="2025-12-31T00:00:00.000Z" count="0"/>
    </cacheField>
    <cacheField name="主播" numFmtId="0">
      <sharedItems containsBlank="true" count="7">
        <s v="卢林琰"/>
        <s v="杨智勇"/>
        <s v="武慧聪"/>
        <s v="尹小雨"/>
        <m/>
        <s v="李雅琪"/>
        <s v="何钰梦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9">
        <n v="5"/>
        <n v="20"/>
        <n v="2"/>
        <n v="3"/>
        <n v="6"/>
        <n v="18"/>
        <n v="4"/>
        <n v="19"/>
        <n v="4.5"/>
      </sharedItems>
    </cacheField>
    <cacheField name="总订单" numFmtId="0">
      <sharedItems containsSemiMixedTypes="false" containsString="false" containsNumber="true" containsInteger="true" minValue="8" maxValue="373" count="0"/>
    </cacheField>
    <cacheField name="保单数量" numFmtId="0">
      <sharedItems containsSemiMixedTypes="false" containsString="false" containsNumber="true" containsInteger="true" minValue="5" maxValue="294" count="85">
        <n v="43"/>
        <n v="57"/>
        <n v="60"/>
        <n v="52"/>
        <n v="212"/>
        <n v="32"/>
        <n v="36"/>
        <n v="25"/>
        <n v="26"/>
        <n v="119"/>
        <n v="28"/>
        <n v="40"/>
        <n v="24"/>
        <n v="116"/>
        <n v="30"/>
        <n v="39"/>
        <n v="151"/>
        <n v="27"/>
        <n v="139"/>
        <n v="33"/>
        <n v="14"/>
        <n v="37"/>
        <n v="121"/>
        <n v="10"/>
        <n v="44"/>
        <n v="145"/>
        <n v="51"/>
        <n v="54"/>
        <n v="159"/>
        <n v="62"/>
        <n v="56"/>
        <n v="158"/>
        <n v="38"/>
        <n v="53"/>
        <n v="35"/>
        <n v="140"/>
        <n v="49"/>
        <n v="9"/>
        <n v="22"/>
        <n v="118"/>
        <n v="50"/>
        <n v="41"/>
        <n v="202"/>
        <n v="7"/>
        <n v="107"/>
        <n v="48"/>
        <n v="46"/>
        <n v="143"/>
        <n v="31"/>
        <n v="16"/>
        <n v="18"/>
        <n v="47"/>
        <n v="112"/>
        <n v="55"/>
        <n v="92"/>
        <n v="255"/>
        <n v="29"/>
        <n v="167"/>
        <n v="138"/>
        <n v="196"/>
        <n v="23"/>
        <n v="142"/>
        <n v="59"/>
        <n v="11"/>
        <n v="169"/>
        <n v="15"/>
        <n v="13"/>
        <n v="144"/>
        <n v="34"/>
        <n v="5"/>
        <n v="115"/>
        <n v="42"/>
        <n v="149"/>
        <n v="19"/>
        <n v="6"/>
        <n v="141"/>
        <n v="177"/>
        <n v="185"/>
        <n v="63"/>
        <n v="104"/>
        <n v="71"/>
        <n v="294"/>
        <n v="69"/>
        <n v="77"/>
        <n v="235"/>
      </sharedItems>
    </cacheField>
    <cacheField name="保险支付数" numFmtId="0">
      <sharedItems containsSemiMixedTypes="false" containsString="false" containsNumber="true" containsInteger="true" minValue="2" maxValue="227" count="0"/>
    </cacheField>
    <cacheField name="一号保单数" numFmtId="0">
      <sharedItems containsSemiMixedTypes="false" containsString="false" containsNumber="true" containsInteger="true" minValue="4" maxValue="193" count="0"/>
    </cacheField>
    <cacheField name="家庭单数量" numFmtId="0">
      <sharedItems containsSemiMixedTypes="false" containsString="false" containsNumber="true" containsInteger="true" minValue="0" maxValue="30" count="0"/>
    </cacheField>
    <cacheField name="年化保费" numFmtId="0">
      <sharedItems containsSemiMixedTypes="false" containsString="false" containsNumber="true" minValue="3154.7999999999997" maxValue="290373.1" count="158">
        <n v="44045.4"/>
        <n v="52469.60000000004"/>
        <n v="70606.80000000002"/>
        <n v="71938.8"/>
        <n v="239060.60000000003"/>
        <n v="30292.199999999997"/>
        <n v="46012.799999999996"/>
        <n v="33838.600000000006"/>
        <n v="29456.4"/>
        <n v="139600"/>
        <n v="32442.199999999997"/>
        <n v="43976.6"/>
        <n v="35252.4"/>
        <n v="26487"/>
        <n v="138158.19999999998"/>
        <n v="86884.2"/>
        <n v="31348.399999999998"/>
        <n v="34018.2"/>
        <n v="33331"/>
        <n v="185581.8"/>
        <n v="43654.6"/>
        <n v="34622"/>
        <n v="29928.200000000004"/>
        <n v="27061.600000000002"/>
        <n v="135266.40000000002"/>
        <n v="34622.799999999996"/>
        <n v="15083.8"/>
        <n v="28324.6"/>
        <n v="33477.799999999996"/>
        <n v="111508.99999999997"/>
        <n v="26354.199999999997"/>
        <n v="48157.4"/>
        <n v="14553.199999999997"/>
        <n v="23255.8"/>
        <n v="50418.2"/>
        <n v="162738.8"/>
        <n v="47347.4"/>
        <n v="72383.6"/>
        <n v="49976.439999999995"/>
        <n v="169707.44"/>
        <n v="39314.40000000001"/>
        <n v="70344.4"/>
        <n v="78257.6"/>
        <n v="187916.40000000002"/>
        <n v="79516.8"/>
        <n v="28066.6"/>
        <n v="41122.8"/>
        <n v="148706.2"/>
        <n v="41049.8"/>
        <n v="44790.8"/>
        <n v="26341.600000000002"/>
        <n v="36123.2"/>
        <n v="148305.40000000002"/>
        <n v="53997"/>
        <n v="8572.8"/>
        <n v="22757.6"/>
        <n v="47309.799999999996"/>
        <n v="132637.19999999998"/>
        <n v="52889.6"/>
        <n v="80294.00000000001"/>
        <n v="58494"/>
        <n v="45993.19999999999"/>
        <n v="237670.8"/>
        <n v="42787.8"/>
        <n v="28771.999999999993"/>
        <n v="12849.6"/>
        <n v="31618.6"/>
        <n v="116028"/>
        <n v="28516.399999999998"/>
        <n v="57194.399999999994"/>
        <n v="27038.199999999997"/>
        <n v="63780.40000000001"/>
        <n v="176529.4"/>
        <n v="36906.2"/>
        <n v="17611.6"/>
        <n v="29248.4"/>
        <n v="54511.8"/>
        <n v="138278"/>
        <n v="50294.8"/>
        <n v="58761.2"/>
        <n v="93264.8"/>
        <n v="68036.40000000001"/>
        <n v="270357.2"/>
        <n v="25295.399999999998"/>
        <n v="51125.6"/>
        <n v="62699.59999999999"/>
        <n v="37714.2"/>
        <n v="176834.8"/>
        <n v="48342"/>
        <n v="36531.399999999994"/>
        <n v="33224"/>
        <n v="43440.4"/>
        <n v="161537.8"/>
        <n v="57695.4"/>
        <n v="72021.4"/>
        <n v="63424.99999999999"/>
        <n v="35812.4"/>
        <n v="228954.19999999998"/>
        <n v="55040.2"/>
        <n v="24058.199999999997"/>
        <n v="69120.79999999999"/>
        <n v="39783.4"/>
        <n v="188002.59999999998"/>
        <n v="35331.6"/>
        <n v="10369.2"/>
        <n v="36708.200000000004"/>
        <n v="68254"/>
        <n v="150663"/>
        <n v="66508.59999999999"/>
        <n v="50664.8"/>
        <n v="33911.399999999994"/>
        <n v="28452.199999999997"/>
        <n v="35966.2"/>
        <n v="215503.2"/>
        <n v="37207.600000000006"/>
        <n v="27170.4"/>
        <n v="14137.999999999998"/>
        <n v="10603.2"/>
        <n v="71398.4"/>
        <n v="160517.59999999998"/>
        <n v="29641.4"/>
        <n v="18306.2"/>
        <n v="29764.800000000003"/>
        <n v="4027.4000000000005"/>
        <n v="35458"/>
        <n v="117197.8"/>
        <n v="32041"/>
        <n v="40535"/>
        <n v="51243.8"/>
        <n v="35971"/>
        <n v="159790.8"/>
        <n v="28672.199999999997"/>
        <n v="41265.4"/>
        <n v="19103.799999999996"/>
        <n v="3154.7999999999997"/>
        <n v="56261.4"/>
        <n v="148457.6"/>
        <n v="53782"/>
        <n v="40829.799999999996"/>
        <n v="55853.8"/>
        <n v="15284.8"/>
        <n v="52229.8"/>
        <n v="217980.19999999995"/>
        <n v="78367"/>
        <n v="63348"/>
        <n v="36453.6"/>
        <n v="60158.40000000001"/>
        <n v="238327"/>
        <n v="59555.600000000006"/>
        <n v="58626.49999999999"/>
        <n v="102810"/>
        <n v="69381"/>
        <n v="290373.1"/>
        <n v="33747"/>
        <n v="59823"/>
        <n v="54281.899999999994"/>
        <n v="80933.69999999998"/>
        <n v="228785.59999999998"/>
      </sharedItems>
    </cacheField>
    <cacheField name="投流消耗" numFmtId="0">
      <sharedItems containsSemiMixedTypes="false" containsString="false" containsNumber="true" minValue="4817.65" maxValue="157094.27000000002" count="158">
        <n v="29455.409999999996"/>
        <n v="25874.58"/>
        <n v="27294.54"/>
        <n v="24680.880000000005"/>
        <n v="107305.41"/>
        <n v="26422.33"/>
        <n v="24051.510000000002"/>
        <n v="16022.84"/>
        <n v="18541.08"/>
        <n v="85037.76000000001"/>
        <n v="21973.96"/>
        <n v="21129.559999999998"/>
        <n v="19389.25"/>
        <n v="15591.890000000001"/>
        <n v="78084.66"/>
        <n v="24012.98"/>
        <n v="21137.39"/>
        <n v="16838.77"/>
        <n v="18639.58"/>
        <n v="80628.72"/>
        <n v="26968.350000000002"/>
        <n v="21999.769999999997"/>
        <n v="17922.89"/>
        <n v="18883.910000000003"/>
        <n v="85774.92"/>
        <n v="22793.210000000003"/>
        <n v="16186.419999999998"/>
        <n v="18596.179999999997"/>
        <n v="17475.58"/>
        <n v="75051.39"/>
        <n v="20319.85"/>
        <n v="19630.670000000002"/>
        <n v="4817.65"/>
        <n v="12982.08"/>
        <n v="24055.38"/>
        <n v="81805.63"/>
        <n v="31359.82"/>
        <n v="30726.1"/>
        <n v="23424.049999999996"/>
        <n v="85509.97"/>
        <n v="28849.22"/>
        <n v="31501.46"/>
        <n v="28435.139999999996"/>
        <n v="88785.81999999999"/>
        <n v="35403.28"/>
        <n v="21707.5"/>
        <n v="22679.72"/>
        <n v="79790.5"/>
        <n v="21623.34"/>
        <n v="23818.41"/>
        <n v="16629.059999999998"/>
        <n v="18177.42"/>
        <n v="80248.23"/>
        <n v="27529.25"/>
        <n v="17349.4"/>
        <n v="11536.65"/>
        <n v="17392.29"/>
        <n v="73807.59"/>
        <n v="31397.73"/>
        <n v="23974.59"/>
        <n v="29551.53"/>
        <n v="28118.28"/>
        <n v="113042.13"/>
        <n v="25293.47"/>
        <n v="22181.67"/>
        <n v="9696.81"/>
        <n v="13078.58"/>
        <n v="70250.53"/>
        <n v="17224.829999999998"/>
        <n v="25588.969999999998"/>
        <n v="15505.15"/>
        <n v="22375.25"/>
        <n v="80694.2"/>
        <n v="21893.68"/>
        <n v="17424.399999999998"/>
        <n v="13487.53"/>
        <n v="16533.43"/>
        <n v="69339.04000000001"/>
        <n v="26073.39"/>
        <n v="29479.24"/>
        <n v="46732.130000000005"/>
        <n v="35006.49"/>
        <n v="137291.25"/>
        <n v="24611.63"/>
        <n v="22084.239999999998"/>
        <n v="28676.25"/>
        <n v="28557.850000000002"/>
        <n v="103929.97"/>
        <n v="24302.61"/>
        <n v="20999.070000000003"/>
        <n v="20894.09"/>
        <n v="21295.09"/>
        <n v="87490.86"/>
        <n v="33311.54"/>
        <n v="31189.35"/>
        <n v="25654.299999999996"/>
        <n v="29300.659999999996"/>
        <n v="119455.85"/>
        <n v="24161.690000000002"/>
        <n v="18840.27"/>
        <n v="19267.5"/>
        <n v="23894.800000000003"/>
        <n v="86164.26000000001"/>
        <n v="16238.220000000001"/>
        <n v="11686.86"/>
        <n v="15595.86"/>
        <n v="21691.43"/>
        <n v="65212.37"/>
        <n v="31085.519999999997"/>
        <n v="17444.239999999998"/>
        <n v="16272.74"/>
        <n v="8439.81"/>
        <n v="16965.01"/>
        <n v="90207.31999999999"/>
        <n v="22484.04"/>
        <n v="17637.25"/>
        <n v="12219.55"/>
        <n v="7475.15"/>
        <n v="19863.379999999997"/>
        <n v="79679.37"/>
        <n v="19520.67"/>
        <n v="17924.370000000003"/>
        <n v="14634.26"/>
        <n v="6026.700000000001"/>
        <n v="16230.639999999998"/>
        <n v="74336.64"/>
        <n v="18790.300000000003"/>
        <n v="25068.590000000004"/>
        <n v="18947.33"/>
        <n v="20793.379999999997"/>
        <n v="83599.6"/>
        <n v="20331.12"/>
        <n v="18663.57"/>
        <n v="13295.439999999999"/>
        <n v="5634.610000000001"/>
        <n v="19220.420000000002"/>
        <n v="77145.16"/>
        <n v="28872.449999999997"/>
        <n v="21079.909999999996"/>
        <n v="15859.649999999998"/>
        <n v="8532.96"/>
        <n v="21388.82"/>
        <n v="95733.79000000001"/>
        <n v="26072.56"/>
        <n v="29209.9"/>
        <n v="21794.510000000002"/>
        <n v="22141.530000000002"/>
        <n v="99218.5"/>
        <n v="28310.640000000003"/>
        <n v="33938.66"/>
        <n v="49523.170000000006"/>
        <n v="45321.8"/>
        <n v="157094.27000000002"/>
        <n v="31454.08"/>
        <n v="30283.159999999996"/>
        <n v="25057.95"/>
        <n v="34248.76"/>
        <n v="121043.95000000001"/>
      </sharedItems>
    </cacheField>
    <cacheField name="ROI" numFmtId="0">
      <sharedItems containsSemiMixedTypes="false" containsString="false" containsNumber="true" minValue="0.49412659803797243" maxValue="3.6182181470188204" count="0"/>
    </cacheField>
    <cacheField name="单均" numFmtId="0">
      <sharedItems containsSemiMixedTypes="false" containsString="false" containsNumber="true" minValue="525.8" maxValue="2586.5636363636363" count="0"/>
    </cacheField>
    <cacheField name="保单成本" numFmtId="0">
      <sharedItems containsSemiMixedTypes="false" containsString="false" containsNumber="true" minValue="351.7751063829787" maxValue="1927.7111111111112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2" maxValue="20" count="0"/>
    </cacheField>
  </cacheFields>
</pivotCacheDefinition>
</file>

<file path=xl/pivotCache/pivotCacheDefinition1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38" sheet="2025年11月"/>
  </cacheSource>
  <cacheFields count="16">
    <cacheField name="日期" numFmtId="0">
      <sharedItems containsSemiMixedTypes="false" containsNonDate="false" containsDate="true" containsString="false" minDate="2025-11-01T00:00:00.000Z" maxDate="2025-11-30T00:00:00.000Z" count="0"/>
    </cacheField>
    <cacheField name="主播" numFmtId="0">
      <sharedItems containsBlank="true" count="6">
        <s v="卢林琰"/>
        <s v="武慧聪"/>
        <s v="尹小雨"/>
        <s v="杨智勇"/>
        <m/>
        <s v="李雅琪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20" count="9">
        <n v="5"/>
        <n v="20"/>
        <n v="3"/>
        <n v="6"/>
        <n v="4"/>
        <n v="1"/>
        <n v="19"/>
        <n v="4.5"/>
        <n v="18.5"/>
      </sharedItems>
    </cacheField>
    <cacheField name="总订单" numFmtId="0">
      <sharedItems containsSemiMixedTypes="false" containsString="false" containsNumber="true" containsInteger="true" minValue="10" maxValue="349" count="0"/>
    </cacheField>
    <cacheField name="保单数量" numFmtId="0">
      <sharedItems containsSemiMixedTypes="false" containsString="false" containsNumber="true" containsInteger="true" minValue="6" maxValue="256" count="0"/>
    </cacheField>
    <cacheField name="保险支付数" numFmtId="0">
      <sharedItems containsSemiMixedTypes="false" containsString="false" containsNumber="true" containsInteger="true" minValue="5" maxValue="180" count="0"/>
    </cacheField>
    <cacheField name="一号保单数" numFmtId="0">
      <sharedItems containsSemiMixedTypes="false" containsString="false" containsNumber="true" containsInteger="true" minValue="5" maxValue="191" count="0"/>
    </cacheField>
    <cacheField name="家庭单数量" numFmtId="0">
      <sharedItems containsSemiMixedTypes="false" containsString="false" containsNumber="true" containsInteger="true" minValue="1" maxValue="35" count="0"/>
    </cacheField>
    <cacheField name="年化保费" numFmtId="0">
      <sharedItems containsSemiMixedTypes="false" containsString="false" containsNumber="true" minValue="4904.4" maxValue="299067.6" count="136">
        <n v="28421.999999999996"/>
        <n v="78523.79999999999"/>
        <n v="62182"/>
        <n v="41684.8"/>
        <n v="210812.59999999998"/>
        <n v="32690.6"/>
        <n v="62885.2"/>
        <n v="49944.399999999994"/>
        <n v="52267.2"/>
        <n v="197787.39999999997"/>
        <n v="44022"/>
        <n v="87457.2"/>
        <n v="46419"/>
        <n v="76468.4"/>
        <n v="254366.6"/>
        <n v="51924.600000000006"/>
        <n v="47223.8"/>
        <n v="46972.2"/>
        <n v="46764.4"/>
        <n v="192885"/>
        <n v="24567.6"/>
        <n v="31729.000000000004"/>
        <n v="49471.8"/>
        <n v="70434.20000000001"/>
        <n v="176202.60000000003"/>
        <n v="30086.8"/>
        <n v="32744"/>
        <n v="8605"/>
        <n v="35744.8"/>
        <n v="107180.6"/>
        <n v="40654.2"/>
        <n v="32539.000000000004"/>
        <n v="21944"/>
        <n v="32137.399999999994"/>
        <n v="127274.59999999999"/>
        <n v="28013.399999999998"/>
        <n v="32985.2"/>
        <n v="24210.4"/>
        <n v="51913.200000000004"/>
        <n v="137122.2"/>
        <n v="73835.4"/>
        <n v="69296.20000000001"/>
        <n v="62549.59999999999"/>
        <n v="52490.8"/>
        <n v="258172"/>
        <n v="49172.2"/>
        <n v="62667.6"/>
        <n v="59729.8"/>
        <n v="86895.2"/>
        <n v="258464.8"/>
        <n v="73953.2"/>
        <n v="89967.20000000001"/>
        <n v="57525.8"/>
        <n v="77621.4"/>
        <n v="299067.6"/>
        <n v="58706.6"/>
        <n v="40416.2"/>
        <n v="40790.399999999994"/>
        <n v="34002"/>
        <n v="173915.19999999998"/>
        <n v="52904.8"/>
        <n v="32808.2"/>
        <n v="29973.199999999997"/>
        <n v="30744.2"/>
        <n v="146430.4"/>
        <n v="41999.600000000006"/>
        <n v="49677"/>
        <n v="60463.399999999994"/>
        <n v="63632.399999999994"/>
        <n v="215772.4"/>
        <n v="21477.8"/>
        <n v="55100.79999999999"/>
        <n v="43525.2"/>
        <n v="32309.199999999997"/>
        <n v="152413"/>
        <n v="32294.6"/>
        <n v="36606.2"/>
        <n v="20329.2"/>
        <n v="33020.8"/>
        <n v="122250.79999999999"/>
        <n v="39111.600000000006"/>
        <n v="37883.4"/>
        <n v="30447.999999999996"/>
        <n v="27412"/>
        <n v="134855"/>
        <n v="40104.4"/>
        <n v="23688.6"/>
        <n v="30056.399999999998"/>
        <n v="54693.2"/>
        <n v="148542.59999999998"/>
        <n v="19521.4"/>
        <n v="34091.2"/>
        <n v="48972"/>
        <n v="36314.2"/>
        <n v="138898.8"/>
        <n v="45337.2"/>
        <n v="45379.8"/>
        <n v="25127.6"/>
        <n v="24219.600000000002"/>
        <n v="140064.2"/>
        <n v="27257.4"/>
        <n v="44910.200000000004"/>
        <n v="34531.8"/>
        <n v="27326.6"/>
        <n v="134026"/>
        <n v="32178.8"/>
        <n v="43424.600000000006"/>
        <n v="40227.6"/>
        <n v="42613.399999999994"/>
        <n v="158444.4"/>
        <n v="56349"/>
        <n v="20386.399999999998"/>
        <n v="21103.8"/>
        <n v="23213.799999999996"/>
        <n v="121053"/>
        <n v="18360.4"/>
        <n v="37278.99999999999"/>
        <n v="23679.199999999997"/>
        <n v="52477.399999999994"/>
        <n v="131796"/>
        <n v="4904.4"/>
        <n v="44097.8"/>
        <n v="30260.199999999997"/>
        <n v="25500.4"/>
        <n v="43630.399999999994"/>
        <n v="143488.8"/>
        <n v="58308.799999999996"/>
        <n v="31151.999999999996"/>
        <n v="35040.8"/>
        <n v="55566.79999999999"/>
        <n v="180068.39999999997"/>
        <n v="23000.199999999997"/>
        <n v="11746.400000000003"/>
        <n v="27116.800000000003"/>
        <n v="26181.600000000002"/>
        <n v="88045"/>
      </sharedItems>
    </cacheField>
    <cacheField name="投流消耗" numFmtId="0">
      <sharedItems containsSemiMixedTypes="false" containsString="false" containsNumber="true" minValue="10414.66" maxValue="131789.38" count="136">
        <n v="20775.460000000003"/>
        <n v="27084.72"/>
        <n v="28754.699999999997"/>
        <n v="30188.309999999998"/>
        <n v="106803.19"/>
        <n v="19034.25"/>
        <n v="22614.39"/>
        <n v="25131.78"/>
        <n v="22023.84"/>
        <n v="88804.26"/>
        <n v="18652.45"/>
        <n v="32646.41"/>
        <n v="32574.380000000005"/>
        <n v="30375.399999999998"/>
        <n v="114248.64"/>
        <n v="22270.57"/>
        <n v="19703.469999999998"/>
        <n v="18716.06"/>
        <n v="26061.39"/>
        <n v="86751.48999999999"/>
        <n v="10547.14"/>
        <n v="25075.52"/>
        <n v="27910.75"/>
        <n v="41533.25"/>
        <n v="105066.66"/>
        <n v="19181.41"/>
        <n v="17881.550000000003"/>
        <n v="15507.970000000001"/>
        <n v="15520.94"/>
        <n v="68091.87000000001"/>
        <n v="22483.85"/>
        <n v="19677.61"/>
        <n v="14796.779999999999"/>
        <n v="13177.52"/>
        <n v="70135.76"/>
        <n v="16141.3"/>
        <n v="15528.369999999999"/>
        <n v="15063.099999999999"/>
        <n v="19107.4"/>
        <n v="65840.17"/>
        <n v="32040.340000000004"/>
        <n v="37643.64"/>
        <n v="30523.43"/>
        <n v="31581.97"/>
        <n v="131789.38"/>
        <n v="15885.130000000001"/>
        <n v="23875.160000000003"/>
        <n v="27463.92"/>
        <n v="40522.93000000001"/>
        <n v="107747.14000000001"/>
        <n v="29769.1"/>
        <n v="31528.370000000003"/>
        <n v="31401.190000000002"/>
        <n v="35833.270000000004"/>
        <n v="128531.93000000001"/>
        <n v="28012.300000000003"/>
        <n v="26172.05"/>
        <n v="24443"/>
        <n v="22132.57"/>
        <n v="100759.92000000001"/>
        <n v="24736.92"/>
        <n v="20477.5"/>
        <n v="15740.95"/>
        <n v="17765.54"/>
        <n v="78720.91"/>
        <n v="20199.82"/>
        <n v="21078.139999999996"/>
        <n v="24669.609999999997"/>
        <n v="34910.939999999995"/>
        <n v="100858.50999999998"/>
        <n v="19085.510000000002"/>
        <n v="19418.800000000003"/>
        <n v="17522.149999999998"/>
        <n v="17579.88"/>
        <n v="73606.34000000001"/>
        <n v="19315.43"/>
        <n v="20054.469999999998"/>
        <n v="16210.71"/>
        <n v="16068.73"/>
        <n v="71649.34"/>
        <n v="21946.05"/>
        <n v="21646.58"/>
        <n v="23181.340000000004"/>
        <n v="22107.36"/>
        <n v="88881.33"/>
        <n v="22473.85"/>
        <n v="17924.6"/>
        <n v="17791.28"/>
        <n v="22332.029999999995"/>
        <n v="80521.76"/>
        <n v="16481.47"/>
        <n v="12450.25"/>
        <n v="20080.079999999998"/>
        <n v="19081.909999999996"/>
        <n v="68093.70999999999"/>
        <n v="21408.45"/>
        <n v="21231.92"/>
        <n v="21203.71"/>
        <n v="22648.980000000003"/>
        <n v="86493.06"/>
        <n v="20105.08"/>
        <n v="20420.21"/>
        <n v="20023.92"/>
        <n v="18563.72"/>
        <n v="79112.93"/>
        <n v="20393.699999999997"/>
        <n v="16037.489999999998"/>
        <n v="14454.869999999999"/>
        <n v="19526.74"/>
        <n v="70412.8"/>
        <n v="32299.83"/>
        <n v="15154.14"/>
        <n v="19151.620000000003"/>
        <n v="18170.59"/>
        <n v="84776.18"/>
        <n v="16216.61"/>
        <n v="16401.989999999998"/>
        <n v="20142.13"/>
        <n v="22688.86"/>
        <n v="75449.59"/>
        <n v="10414.66"/>
        <n v="20988.510000000002"/>
        <n v="20399.04"/>
        <n v="16152.380000000001"/>
        <n v="25935.050000000003"/>
        <n v="83474.98000000001"/>
        <n v="26640.65"/>
        <n v="23231"/>
        <n v="23115.100000000002"/>
        <n v="27007.56"/>
        <n v="99994.31"/>
        <n v="21931.84"/>
        <n v="14064.480000000003"/>
        <n v="13133.65"/>
        <n v="14658.81"/>
        <n v="63788.780000000006"/>
      </sharedItems>
    </cacheField>
    <cacheField name="ROI" numFmtId="0">
      <sharedItems containsSemiMixedTypes="false" containsString="false" containsNumber="true" minValue="0.4709131167028016" maxValue="3.0954861559206623" count="0"/>
    </cacheField>
    <cacheField name="单均" numFmtId="0">
      <sharedItems containsSemiMixedTypes="false" containsString="false" containsNumber="true" minValue="661.9230769230769" maxValue="1754.8285714285714" count="0"/>
    </cacheField>
    <cacheField name="保单成本" numFmtId="0">
      <sharedItems containsSemiMixedTypes="false" containsString="false" containsNumber="true" minValue="389.9179166666667" maxValue="1735.7766666666666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1" maxValue="20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_rels/pivotTable5.xml.rels><?xml version="1.0" encoding="UTF-8" standalone="yes"?>
<Relationships xmlns="http://schemas.openxmlformats.org/package/2006/relationships"><Relationship Id="rId1" Target="../pivotCache/pivotCacheDefinition5.xml" Type="http://schemas.openxmlformats.org/officeDocument/2006/relationships/pivotCacheDefinition"></Relationship></Relationships>
</file>

<file path=xl/pivotTables/_rels/pivotTable6.xml.rels><?xml version="1.0" encoding="UTF-8" standalone="yes"?>
<Relationships xmlns="http://schemas.openxmlformats.org/package/2006/relationships"><Relationship Id="rId1" Target="../pivotCache/pivotCacheDefinition6.xml" Type="http://schemas.openxmlformats.org/officeDocument/2006/relationships/pivotCacheDefinition"></Relationship></Relationships>
</file>

<file path=xl/pivotTables/_rels/pivotTable7.xml.rels><?xml version="1.0" encoding="UTF-8" standalone="yes"?>
<Relationships xmlns="http://schemas.openxmlformats.org/package/2006/relationships"><Relationship Id="rId1" Target="../pivotCache/pivotCacheDefinition7.xml" Type="http://schemas.openxmlformats.org/officeDocument/2006/relationships/pivotCacheDefinition"></Relationship></Relationships>
</file>

<file path=xl/pivotTables/_rels/pivotTable8.xml.rels><?xml version="1.0" encoding="UTF-8" standalone="yes"?>
<Relationships xmlns="http://schemas.openxmlformats.org/package/2006/relationships"><Relationship Id="rId1" Target="../pivotCache/pivotCacheDefinition8.xml" Type="http://schemas.openxmlformats.org/officeDocument/2006/relationships/pivotCacheDefinition"></Relationship></Relationships>
</file>

<file path=xl/pivotTables/_rels/pivotTable9.xml.rels><?xml version="1.0" encoding="UTF-8" standalone="yes"?>
<Relationships xmlns="http://schemas.openxmlformats.org/package/2006/relationships"><Relationship Id="rId1" Target="../pivotCache/pivotCacheDefinition9.xml" Type="http://schemas.openxmlformats.org/officeDocument/2006/relationships/pivotCacheDefinition"></Relationship></Relationships>
</file>

<file path=xl/pivotTables/_rels/pivotTable10.xml.rels><?xml version="1.0" encoding="UTF-8" standalone="yes"?>
<Relationships xmlns="http://schemas.openxmlformats.org/package/2006/relationships"><Relationship Id="rId1" Target="../pivotCache/pivotCacheDefinition10.xml" Type="http://schemas.openxmlformats.org/officeDocument/2006/relationships/pivotCacheDefinition"></Relationship></Relationships>
</file>

<file path=xl/pivotTables/_rels/pivotTable11.xml.rels><?xml version="1.0" encoding="UTF-8" standalone="yes"?>
<Relationships xmlns="http://schemas.openxmlformats.org/package/2006/relationships"><Relationship Id="rId1" Target="../pivotCache/pivotCacheDefinition11.xml" Type="http://schemas.openxmlformats.org/officeDocument/2006/relationships/pivotCacheDefinition"></Relationship></Relationships>
</file>

<file path=xl/pivotTables/_rels/pivotTable12.xml.rels><?xml version="1.0" encoding="UTF-8" standalone="yes"?>
<Relationships xmlns="http://schemas.openxmlformats.org/package/2006/relationships"><Relationship Id="rId1" Target="../pivotCache/pivotCacheDefinition12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K$183:$N$191" firstHeaderRow="1" firstDataRow="1" firstDataCol="1"/>
  <pivotFields count="4">
    <pivotField axis="axisRow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0"/>
  </rowFields>
  <colFields count="1">
    <field x="-2"/>
  </colFields>
  <dataFields count="3">
    <dataField name="求和项:求和项:直播时长" fld="1" subtotal="sum"/>
    <dataField name="求和项:求和项:年化保费" fld="2" subtotal="sum"/>
    <dataField name="求和项:求和项:投流消耗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E$168:$H$176" firstHeaderRow="1" firstDataRow="1" firstDataCol="1"/>
  <pivotFields count="16">
    <pivotField compact="false" outline="false" showAll="false"/>
    <pivotField axis="axisRow" compact="false" outline="false" showAll="false">
      <items count="9">
        <item x="0"/>
        <item x="1"/>
        <item x="2"/>
        <item x="3"/>
        <item h="true"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dataField="true" compact="false" outline="false" showAll="false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F$161:$G$167" firstHeaderRow="1" firstDataRow="1" firstDataCol="1" rowPageCount="1" colPageCount="2"/>
  <pivotFields count="16">
    <pivotField compact="false" outline="false" showAll="false"/>
    <pivotField axis="axisRow" compact="false" outline="false" showAll="false">
      <items count="7">
        <item x="0"/>
        <item x="1"/>
        <item x="2"/>
        <item x="3"/>
        <item h="true" x="4"/>
        <item x="5"/>
        <item t="default"/>
      </items>
    </pivotField>
    <pivotField axis="axisPag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pageFields count="1">
    <pageField fld="2"/>
  </page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C$144:$E$151" firstHeaderRow="1" firstDataRow="1" firstDataCol="1" rowPageCount="1" colPageCount="2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false" outline="false" showAll="false">
      <items count="17">
        <item x="0"/>
        <item h="true" x="1"/>
        <item h="true" x="2"/>
        <item x="3"/>
        <item h="true" x="4"/>
        <item h="true" x="5"/>
        <item h="true" x="6"/>
        <item h="true" x="7"/>
        <item x="8"/>
        <item x="9"/>
        <item h="true" x="10"/>
        <item h="true" x="11"/>
        <item h="true" x="12"/>
        <item h="true" x="13"/>
        <item h="true" x="14"/>
        <item h="true" x="15"/>
        <item t="default"/>
      </items>
    </pivotField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pageFields count="1">
    <pageField fld="2"/>
  </pageFields>
  <dataFields count="2">
    <dataField name="计数项:直播时长" fld="3" subtotal="count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 Table5" cacheId="5" dataCaption="值" updatedVersion="3" minRefreshableVersion="3" useAutoFormatting="true" createdVersion="3" compact="false" compactData="false">
  <location ref="$C$165:$D$173" firstHeaderRow="1" firstDataRow="1" firstDataCol="1"/>
  <pivotFields count="16"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axis="axisRow" compact="false" outline="false" showAll="false">
      <items count="9">
        <item x="0"/>
        <item h="true"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4">
        <item x="0"/>
        <item x="1"/>
        <item x="2"/>
        <item t="default"/>
      </items>
    </pivotField>
  </pivotFields>
  <rowFields count="1">
    <field x="14"/>
  </rowFields>
  <dataFields count="1">
    <dataField name="计数项:助播时长" fld="15" subtotal="count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 Table6" cacheId="6" dataCaption="值" updatedVersion="3" minRefreshableVersion="3" useAutoFormatting="true" createdVersion="3" compact="false" compactData="false">
  <location ref="$E$188:$I$197" firstHeaderRow="1" firstDataRow="1" firstDataCol="1"/>
  <pivotFields count="16">
    <pivotField compact="false" outline="false" showAll="false"/>
    <pivotField axis="axisRow" compact="false" outline="false" showAll="false">
      <items count="10">
        <item x="0"/>
        <item x="1"/>
        <item x="2"/>
        <item x="3"/>
        <item x="4"/>
        <item h="true"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false" outline="false" showAll="false"/>
    <pivotField dataField="true" compact="false" outline="false" showAll="false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dataField="true" compact="false" outline="false" showAll="false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保单数量" fld="5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 Table7" cacheId="7" dataCaption="值" updatedVersion="3" minRefreshableVersion="3" useAutoFormatting="true" createdVersion="3" compact="false" compactData="false">
  <location ref="$E$155:$I$163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dataField="true" compact="false" outline="false" showAll="false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dataField="true" compact="false" outline="false" showAll="false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保单数量" fld="5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 Table8" cacheId="8" dataCaption="值" updatedVersion="3" minRefreshableVersion="3" useAutoFormatting="true" createdVersion="3" compact="false" compactData="false">
  <location ref="$F$156:$J$163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dataField="true" compact="false" outline="false" showAll="false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保单数量" fld="5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 Table9" cacheId="9" dataCaption="值" updatedVersion="3" minRefreshableVersion="3" useAutoFormatting="true" createdVersion="3" compact="false" compactData="false">
  <location ref="$E$144:$I$152" firstHeaderRow="1" firstDataRow="1" firstDataCol="1"/>
  <pivotFields count="17">
    <pivotField compact="false" outline="false" showAll="false"/>
    <pivotField axis="axisRow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dataField="true" compact="false" outline="false" showAll="false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dataField="true" compact="false" outline="false" showAll="false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保单数量" fld="5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 Table10" cacheId="10" dataCaption="值" updatedVersion="3" minRefreshableVersion="3" useAutoFormatting="true" createdVersion="3" compact="false" compactData="false">
  <location ref="$B$154:$F$161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false" outline="false" showAll="false"/>
    <pivotField dataField="true" compact="false" outline="false" showAll="false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dataField="true" compact="false" outline="false" showAll="false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保单数量" fld="5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 Table11" cacheId="11" dataCaption="值" updatedVersion="3" minRefreshableVersion="3" useAutoFormatting="true" createdVersion="3" compact="false" compactData="false">
  <location ref="$B$220:$F$227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dataField="true" compact="false" outline="false" showAll="false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保单数量" fld="5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 Table12" cacheId="12" dataCaption="值" updatedVersion="3" minRefreshableVersion="3" useAutoFormatting="true" createdVersion="3" compact="false" compactData="false">
  <location ref="$C$153:$F$159" firstHeaderRow="1" firstDataRow="1" firstDataCol="1"/>
  <pivotFields count="16">
    <pivotField compact="false" outline="false" showAll="false"/>
    <pivotField axis="axisRow" compact="false" outline="false" showAll="false">
      <items count="7">
        <item x="0"/>
        <item x="1"/>
        <item x="2"/>
        <item x="3"/>
        <item h="true" x="4"/>
        <item x="5"/>
        <item t="default"/>
      </items>
    </pivotField>
    <pivotField compact="false" outline="false" showAll="false"/>
    <pivotField dataField="true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dataField="true" compact="false" outline="false" showAll="false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Relationship Id="rId2" Target="../pivotTables/pivotTable2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_rels/sheet7.xml.rels><?xml version="1.0" encoding="UTF-8" standalone="yes"?>
<Relationships xmlns="http://schemas.openxmlformats.org/package/2006/relationships"><Relationship Id="rId1" Target="../pivotTables/pivotTable5.xml" Type="http://schemas.openxmlformats.org/officeDocument/2006/relationships/pivotTable"></Relationship></Relationships>
</file>

<file path=xl/worksheets/_rels/sheet8.xml.rels><?xml version="1.0" encoding="UTF-8" standalone="yes"?>
<Relationships xmlns="http://schemas.openxmlformats.org/package/2006/relationships"><Relationship Id="rId1" Target="../pivotTables/pivotTable6.xml" Type="http://schemas.openxmlformats.org/officeDocument/2006/relationships/pivotTable"></Relationship></Relationships>
</file>

<file path=xl/worksheets/_rels/sheet9.xml.rels><?xml version="1.0" encoding="UTF-8" standalone="yes"?>
<Relationships xmlns="http://schemas.openxmlformats.org/package/2006/relationships"><Relationship Id="rId1" Target="../pivotTables/pivotTable7.xml" Type="http://schemas.openxmlformats.org/officeDocument/2006/relationships/pivotTable"></Relationship></Relationships>
</file>

<file path=xl/worksheets/_rels/sheet10.xml.rels><?xml version="1.0" encoding="UTF-8" standalone="yes"?>
<Relationships xmlns="http://schemas.openxmlformats.org/package/2006/relationships"><Relationship Id="rId1" Target="../pivotTables/pivotTable8.xml" Type="http://schemas.openxmlformats.org/officeDocument/2006/relationships/pivotTable"></Relationship></Relationships>
</file>

<file path=xl/worksheets/_rels/sheet11.xml.rels><?xml version="1.0" encoding="UTF-8" standalone="yes"?>
<Relationships xmlns="http://schemas.openxmlformats.org/package/2006/relationships"><Relationship Id="rId1" Target="../pivotTables/pivotTable9.xml" Type="http://schemas.openxmlformats.org/officeDocument/2006/relationships/pivotTable"></Relationship></Relationships>
</file>

<file path=xl/worksheets/_rels/sheet12.xml.rels><?xml version="1.0" encoding="UTF-8" standalone="yes"?>
<Relationships xmlns="http://schemas.openxmlformats.org/package/2006/relationships"><Relationship Id="rId1" Target="../pivotTables/pivotTable10.xml" Type="http://schemas.openxmlformats.org/officeDocument/2006/relationships/pivotTable"></Relationship></Relationships>
</file>

<file path=xl/worksheets/_rels/sheet13.xml.rels><?xml version="1.0" encoding="UTF-8" standalone="yes"?>
<Relationships xmlns="http://schemas.openxmlformats.org/package/2006/relationships"><Relationship Id="rId1" Target="../pivotTables/pivotTable11.xml" Type="http://schemas.openxmlformats.org/officeDocument/2006/relationships/pivotTable"></Relationship></Relationships>
</file>

<file path=xl/worksheets/_rels/sheet14.xml.rels><?xml version="1.0" encoding="UTF-8" standalone="yes"?>
<Relationships xmlns="http://schemas.openxmlformats.org/package/2006/relationships"><Relationship Id="rId1" Target="../pivotTables/pivotTable12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4" min="4" style="0" width="11.211267605633802"/>
    <col collapsed="false" customWidth="true" hidden="false" max="7" min="7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8" min="18" style="0" width="11.211267605633802"/>
    <col collapsed="false" customWidth="true" hidden="false" max="2" min="2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7" min="17" style="0" width="11.211267605633802"/>
    <col collapsed="false" customWidth="true" hidden="false" max="1" min="1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3" min="13" style="0" width="11.211267605633802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4" t="s">
        <v>8</v>
      </c>
      <c r="I1" s="2" t="s">
        <v>9</v>
      </c>
      <c r="J1" s="2" t="s">
        <v>10</v>
      </c>
      <c r="K1" s="2" t="s">
        <v>11</v>
      </c>
      <c r="L1" s="5" t="s">
        <v>12</v>
      </c>
      <c r="M1" s="5" t="s">
        <v>13</v>
      </c>
      <c r="N1" s="5" t="s">
        <v>14</v>
      </c>
      <c r="O1" s="6" t="s">
        <v>15</v>
      </c>
    </row>
    <row r="2">
      <c r="A2" s="7">
        <v>45992</v>
      </c>
      <c r="B2" s="8" t="s">
        <v>16</v>
      </c>
      <c r="C2" s="9" t="s">
        <v>17</v>
      </c>
      <c r="D2" s="8">
        <v>5</v>
      </c>
      <c r="E2" s="8">
        <v>54</v>
      </c>
      <c r="F2" s="8">
        <v>43</v>
      </c>
      <c r="G2" s="8">
        <v>31</v>
      </c>
      <c r="H2" s="8">
        <v>33</v>
      </c>
      <c r="I2" s="8">
        <v>8</v>
      </c>
      <c r="J2" s="10">
        <v>44045.4</v>
      </c>
      <c r="K2" s="10">
        <v>29455.409999999996</v>
      </c>
      <c r="L2" s="11">
        <f t="shared" ref="L2:L371" si="0">J2/K2</f>
      </c>
      <c r="M2" s="11">
        <f t="shared" ref="M2:M367" si="90">J2/F2</f>
      </c>
      <c r="N2" s="11">
        <f t="shared" ref="N2:N367" si="2">K2/F2</f>
      </c>
      <c r="O2" s="12"/>
    </row>
    <row r="3">
      <c r="A3" s="7">
        <v>45992</v>
      </c>
      <c r="B3" s="8" t="s">
        <v>18</v>
      </c>
      <c r="C3" s="9" t="s">
        <v>19</v>
      </c>
      <c r="D3" s="8">
        <v>5</v>
      </c>
      <c r="E3" s="8">
        <v>72</v>
      </c>
      <c r="F3" s="8">
        <v>57</v>
      </c>
      <c r="G3" s="8">
        <v>40</v>
      </c>
      <c r="H3" s="8">
        <v>49</v>
      </c>
      <c r="I3" s="8">
        <v>10</v>
      </c>
      <c r="J3" s="10">
        <v>52469.60000000004</v>
      </c>
      <c r="K3" s="10">
        <v>25874.58</v>
      </c>
      <c r="L3" s="11">
        <f t="shared" si="0"/>
      </c>
      <c r="M3" s="11">
        <f t="shared" si="90"/>
      </c>
      <c r="N3" s="11">
        <f t="shared" si="2"/>
      </c>
      <c r="O3" s="13"/>
    </row>
    <row r="4">
      <c r="A4" s="7">
        <v>45992</v>
      </c>
      <c r="B4" s="8" t="s">
        <v>20</v>
      </c>
      <c r="C4" s="9" t="s">
        <v>21</v>
      </c>
      <c r="D4" s="8">
        <v>5</v>
      </c>
      <c r="E4" s="8">
        <v>67</v>
      </c>
      <c r="F4" s="8">
        <v>60</v>
      </c>
      <c r="G4" s="8">
        <v>36</v>
      </c>
      <c r="H4" s="8">
        <v>49</v>
      </c>
      <c r="I4" s="8">
        <v>7</v>
      </c>
      <c r="J4" s="10">
        <v>70606.80000000002</v>
      </c>
      <c r="K4" s="10">
        <v>27294.54</v>
      </c>
      <c r="L4" s="11">
        <f t="shared" si="0"/>
      </c>
      <c r="M4" s="11">
        <f t="shared" si="90"/>
      </c>
      <c r="N4" s="11">
        <f t="shared" si="2"/>
      </c>
      <c r="O4" s="14"/>
    </row>
    <row r="5">
      <c r="A5" s="7">
        <v>45992</v>
      </c>
      <c r="B5" s="8" t="s">
        <v>22</v>
      </c>
      <c r="C5" s="9" t="s">
        <v>23</v>
      </c>
      <c r="D5" s="8">
        <v>5</v>
      </c>
      <c r="E5" s="8">
        <v>61</v>
      </c>
      <c r="F5" s="8">
        <v>52</v>
      </c>
      <c r="G5" s="8">
        <v>30</v>
      </c>
      <c r="H5" s="8">
        <v>39</v>
      </c>
      <c r="I5" s="8">
        <v>5</v>
      </c>
      <c r="J5" s="10">
        <v>71938.8</v>
      </c>
      <c r="K5" s="10">
        <v>24680.880000000005</v>
      </c>
      <c r="L5" s="11">
        <f t="shared" si="0"/>
      </c>
      <c r="M5" s="11">
        <f t="shared" si="90"/>
      </c>
      <c r="N5" s="11">
        <f t="shared" si="2"/>
      </c>
      <c r="O5" s="15"/>
    </row>
    <row r="6">
      <c r="A6" s="16">
        <v>45992</v>
      </c>
      <c r="B6" s="17"/>
      <c r="C6" s="17"/>
      <c r="D6" s="17">
        <f>SUM(D2:D5)</f>
      </c>
      <c r="E6" s="17">
        <f>SUM(E2:E5)</f>
      </c>
      <c r="F6" s="17">
        <f>SUM(F2:F5)</f>
      </c>
      <c r="G6" s="17">
        <f>SUM(G2:G5)</f>
      </c>
      <c r="H6" s="17">
        <f>SUM(H2:H5)</f>
      </c>
      <c r="I6" s="17">
        <f>SUM(I2:I5)</f>
      </c>
      <c r="J6" s="17">
        <f>SUM(J2:J5)</f>
      </c>
      <c r="K6" s="17">
        <f>SUM(K2:K5)</f>
      </c>
      <c r="L6" s="18">
        <f t="shared" si="0"/>
      </c>
      <c r="M6" s="18">
        <f t="shared" si="90"/>
      </c>
      <c r="N6" s="18">
        <f t="shared" si="2"/>
      </c>
      <c r="O6" s="19"/>
    </row>
    <row r="7">
      <c r="A7" s="7">
        <v>45993</v>
      </c>
      <c r="B7" s="8" t="s">
        <v>16</v>
      </c>
      <c r="C7" s="9" t="s">
        <v>17</v>
      </c>
      <c r="D7" s="8">
        <v>5</v>
      </c>
      <c r="E7" s="8">
        <v>44</v>
      </c>
      <c r="F7" s="8">
        <v>32</v>
      </c>
      <c r="G7" s="8">
        <v>26</v>
      </c>
      <c r="H7" s="8">
        <v>28</v>
      </c>
      <c r="I7" s="8">
        <v>3</v>
      </c>
      <c r="J7" s="10">
        <v>30292.199999999997</v>
      </c>
      <c r="K7" s="10">
        <v>26422.33</v>
      </c>
      <c r="L7" s="11">
        <f t="shared" si="0"/>
      </c>
      <c r="M7" s="11">
        <f t="shared" si="90"/>
      </c>
      <c r="N7" s="11">
        <f t="shared" si="2"/>
      </c>
      <c r="O7" s="12"/>
    </row>
    <row r="8">
      <c r="A8" s="7">
        <v>45993</v>
      </c>
      <c r="B8" s="8" t="s">
        <v>18</v>
      </c>
      <c r="C8" s="9" t="s">
        <v>19</v>
      </c>
      <c r="D8" s="8">
        <v>5</v>
      </c>
      <c r="E8" s="8">
        <v>51</v>
      </c>
      <c r="F8" s="8">
        <v>36</v>
      </c>
      <c r="G8" s="8">
        <v>32</v>
      </c>
      <c r="H8" s="8">
        <v>28</v>
      </c>
      <c r="I8" s="8">
        <v>3</v>
      </c>
      <c r="J8" s="10">
        <v>46012.799999999996</v>
      </c>
      <c r="K8" s="10">
        <v>24051.510000000002</v>
      </c>
      <c r="L8" s="11">
        <f t="shared" si="0"/>
      </c>
      <c r="M8" s="11">
        <f t="shared" si="90"/>
      </c>
      <c r="N8" s="11">
        <f t="shared" si="2"/>
      </c>
      <c r="O8" s="13"/>
    </row>
    <row r="9">
      <c r="A9" s="7">
        <v>45993</v>
      </c>
      <c r="B9" s="8" t="s">
        <v>24</v>
      </c>
      <c r="C9" s="9" t="s">
        <v>21</v>
      </c>
      <c r="D9" s="8">
        <v>5</v>
      </c>
      <c r="E9" s="8">
        <v>30</v>
      </c>
      <c r="F9" s="8">
        <v>25</v>
      </c>
      <c r="G9" s="8">
        <v>20</v>
      </c>
      <c r="H9" s="8">
        <v>16</v>
      </c>
      <c r="I9" s="8">
        <v>3</v>
      </c>
      <c r="J9" s="10">
        <v>33838.600000000006</v>
      </c>
      <c r="K9" s="10">
        <v>16022.84</v>
      </c>
      <c r="L9" s="11">
        <f t="shared" si="0"/>
      </c>
      <c r="M9" s="11">
        <f t="shared" si="90"/>
      </c>
      <c r="N9" s="11">
        <f t="shared" si="2"/>
      </c>
      <c r="O9" s="14"/>
    </row>
    <row r="10">
      <c r="A10" s="7">
        <v>45993</v>
      </c>
      <c r="B10" s="8" t="s">
        <v>22</v>
      </c>
      <c r="C10" s="9" t="s">
        <v>23</v>
      </c>
      <c r="D10" s="8">
        <v>5</v>
      </c>
      <c r="E10" s="8">
        <v>36</v>
      </c>
      <c r="F10" s="8">
        <v>26</v>
      </c>
      <c r="G10" s="8">
        <v>21</v>
      </c>
      <c r="H10" s="8">
        <v>20</v>
      </c>
      <c r="I10" s="8">
        <v>4</v>
      </c>
      <c r="J10" s="10">
        <v>29456.4</v>
      </c>
      <c r="K10" s="10">
        <v>18541.08</v>
      </c>
      <c r="L10" s="11">
        <f t="shared" si="0"/>
      </c>
      <c r="M10" s="11">
        <f t="shared" si="90"/>
      </c>
      <c r="N10" s="11">
        <f t="shared" si="2"/>
      </c>
      <c r="O10" s="15"/>
    </row>
    <row r="11">
      <c r="A11" s="16">
        <v>45993</v>
      </c>
      <c r="B11" s="17"/>
      <c r="C11" s="17"/>
      <c r="D11" s="17">
        <f>SUM(D7:D10)</f>
      </c>
      <c r="E11" s="17">
        <f>SUM(E7:E10)</f>
      </c>
      <c r="F11" s="17">
        <f>SUM(F7:F10)</f>
      </c>
      <c r="G11" s="17">
        <f>SUM(G7:G10)</f>
      </c>
      <c r="H11" s="17">
        <f>SUM(H7:H10)</f>
      </c>
      <c r="I11" s="17">
        <f>SUM(I7:I10)</f>
      </c>
      <c r="J11" s="17">
        <f>SUM(J7:J10)</f>
      </c>
      <c r="K11" s="17">
        <f>SUM(K7:K10)</f>
      </c>
      <c r="L11" s="18">
        <f t="shared" si="0"/>
      </c>
      <c r="M11" s="18">
        <f t="shared" si="90"/>
      </c>
      <c r="N11" s="18">
        <f t="shared" si="2"/>
      </c>
      <c r="O11" s="19"/>
    </row>
    <row r="12">
      <c r="A12" s="7">
        <v>45994</v>
      </c>
      <c r="B12" s="8" t="s">
        <v>20</v>
      </c>
      <c r="C12" s="9" t="s">
        <v>17</v>
      </c>
      <c r="D12" s="8">
        <v>5</v>
      </c>
      <c r="E12" s="8">
        <v>40</v>
      </c>
      <c r="F12" s="8">
        <v>28</v>
      </c>
      <c r="G12" s="8">
        <v>25</v>
      </c>
      <c r="H12" s="8">
        <v>22</v>
      </c>
      <c r="I12" s="8">
        <v>1</v>
      </c>
      <c r="J12" s="10">
        <v>32442.199999999997</v>
      </c>
      <c r="K12" s="10">
        <v>21973.96</v>
      </c>
      <c r="L12" s="11">
        <f t="shared" si="0"/>
      </c>
      <c r="M12" s="11">
        <f t="shared" si="90"/>
      </c>
      <c r="N12" s="11">
        <f t="shared" si="2"/>
      </c>
      <c r="O12" s="12"/>
    </row>
    <row r="13">
      <c r="A13" s="7">
        <v>45994</v>
      </c>
      <c r="B13" s="8" t="s">
        <v>16</v>
      </c>
      <c r="C13" s="9" t="s">
        <v>19</v>
      </c>
      <c r="D13" s="8">
        <v>5</v>
      </c>
      <c r="E13" s="8">
        <v>54</v>
      </c>
      <c r="F13" s="8">
        <v>40</v>
      </c>
      <c r="G13" s="8">
        <v>29</v>
      </c>
      <c r="H13" s="8">
        <v>29</v>
      </c>
      <c r="I13" s="8">
        <v>4</v>
      </c>
      <c r="J13" s="10">
        <v>43976.6</v>
      </c>
      <c r="K13" s="10">
        <v>21129.559999999998</v>
      </c>
      <c r="L13" s="11">
        <f t="shared" si="0"/>
      </c>
      <c r="M13" s="11">
        <f t="shared" si="90"/>
      </c>
      <c r="N13" s="11">
        <f t="shared" si="2"/>
      </c>
      <c r="O13" s="13"/>
    </row>
    <row r="14">
      <c r="A14" s="7">
        <v>45994</v>
      </c>
      <c r="B14" s="8" t="s">
        <v>24</v>
      </c>
      <c r="C14" s="9" t="s">
        <v>21</v>
      </c>
      <c r="D14" s="8">
        <v>5</v>
      </c>
      <c r="E14" s="8">
        <v>32</v>
      </c>
      <c r="F14" s="8">
        <v>24</v>
      </c>
      <c r="G14" s="8">
        <v>18</v>
      </c>
      <c r="H14" s="8">
        <v>17</v>
      </c>
      <c r="I14" s="8">
        <v>1</v>
      </c>
      <c r="J14" s="10">
        <v>35252.4</v>
      </c>
      <c r="K14" s="10">
        <v>19389.25</v>
      </c>
      <c r="L14" s="11">
        <f t="shared" si="0"/>
      </c>
      <c r="M14" s="11">
        <f t="shared" si="90"/>
      </c>
      <c r="N14" s="11">
        <f t="shared" si="2"/>
      </c>
      <c r="O14" s="14"/>
    </row>
    <row r="15">
      <c r="A15" s="7">
        <v>45994</v>
      </c>
      <c r="B15" s="8" t="s">
        <v>18</v>
      </c>
      <c r="C15" s="9" t="s">
        <v>23</v>
      </c>
      <c r="D15" s="8">
        <v>5</v>
      </c>
      <c r="E15" s="8">
        <v>35</v>
      </c>
      <c r="F15" s="8">
        <v>24</v>
      </c>
      <c r="G15" s="8">
        <v>17</v>
      </c>
      <c r="H15" s="8">
        <v>15</v>
      </c>
      <c r="I15" s="8">
        <v>3</v>
      </c>
      <c r="J15" s="10">
        <v>26487</v>
      </c>
      <c r="K15" s="10">
        <v>15591.890000000001</v>
      </c>
      <c r="L15" s="11">
        <f t="shared" si="0"/>
      </c>
      <c r="M15" s="11">
        <f t="shared" si="90"/>
      </c>
      <c r="N15" s="11">
        <f t="shared" si="2"/>
      </c>
      <c r="O15" s="15"/>
    </row>
    <row r="16">
      <c r="A16" s="16">
        <v>45994</v>
      </c>
      <c r="B16" s="17"/>
      <c r="C16" s="17"/>
      <c r="D16" s="17">
        <f>SUM(D12:D15)</f>
      </c>
      <c r="E16" s="17">
        <f>SUM(E12:E15)</f>
      </c>
      <c r="F16" s="17">
        <f>SUM(F12:F15)</f>
      </c>
      <c r="G16" s="17">
        <f>SUM(G12:G15)</f>
      </c>
      <c r="H16" s="17">
        <f>SUM(H12:H15)</f>
      </c>
      <c r="I16" s="17">
        <f>SUM(I12:I15)</f>
      </c>
      <c r="J16" s="17">
        <f>SUM(J12:J15)</f>
      </c>
      <c r="K16" s="17">
        <f>SUM(K12:K15)</f>
      </c>
      <c r="L16" s="18">
        <f t="shared" si="0"/>
      </c>
      <c r="M16" s="18">
        <f t="shared" si="90"/>
      </c>
      <c r="N16" s="18">
        <f t="shared" si="2"/>
      </c>
      <c r="O16" s="19"/>
    </row>
    <row r="17">
      <c r="A17" s="7">
        <v>45995</v>
      </c>
      <c r="B17" s="8" t="s">
        <v>20</v>
      </c>
      <c r="C17" s="9" t="s">
        <v>17</v>
      </c>
      <c r="D17" s="8">
        <v>5</v>
      </c>
      <c r="E17" s="8">
        <v>67</v>
      </c>
      <c r="F17" s="8">
        <v>52</v>
      </c>
      <c r="G17" s="8">
        <v>30</v>
      </c>
      <c r="H17" s="8">
        <v>33</v>
      </c>
      <c r="I17" s="8">
        <v>7</v>
      </c>
      <c r="J17" s="10">
        <v>86884.2</v>
      </c>
      <c r="K17" s="10">
        <v>24012.98</v>
      </c>
      <c r="L17" s="11">
        <f t="shared" si="0"/>
      </c>
      <c r="M17" s="11">
        <f t="shared" si="90"/>
      </c>
      <c r="N17" s="11">
        <f t="shared" si="2"/>
      </c>
      <c r="O17" s="12"/>
    </row>
    <row r="18">
      <c r="A18" s="7">
        <v>45995</v>
      </c>
      <c r="B18" s="8" t="s">
        <v>16</v>
      </c>
      <c r="C18" s="9" t="s">
        <v>19</v>
      </c>
      <c r="D18" s="8">
        <v>5</v>
      </c>
      <c r="E18" s="8">
        <v>41</v>
      </c>
      <c r="F18" s="8">
        <v>30</v>
      </c>
      <c r="G18" s="8">
        <v>23</v>
      </c>
      <c r="H18" s="8">
        <v>24</v>
      </c>
      <c r="I18" s="8">
        <v>4</v>
      </c>
      <c r="J18" s="10">
        <v>31348.399999999998</v>
      </c>
      <c r="K18" s="10">
        <v>21137.39</v>
      </c>
      <c r="L18" s="11">
        <f t="shared" si="0"/>
      </c>
      <c r="M18" s="11">
        <f t="shared" si="90"/>
      </c>
      <c r="N18" s="11">
        <f t="shared" si="2"/>
      </c>
      <c r="O18" s="13"/>
    </row>
    <row r="19">
      <c r="A19" s="7">
        <v>45995</v>
      </c>
      <c r="B19" s="8" t="s">
        <v>18</v>
      </c>
      <c r="C19" s="9" t="s">
        <v>21</v>
      </c>
      <c r="D19" s="8">
        <v>5</v>
      </c>
      <c r="E19" s="8">
        <v>46</v>
      </c>
      <c r="F19" s="8">
        <v>39</v>
      </c>
      <c r="G19" s="8">
        <v>23</v>
      </c>
      <c r="H19" s="8">
        <v>33</v>
      </c>
      <c r="I19" s="8">
        <v>5</v>
      </c>
      <c r="J19" s="10">
        <v>34018.2</v>
      </c>
      <c r="K19" s="10">
        <v>16838.77</v>
      </c>
      <c r="L19" s="11">
        <f t="shared" si="0"/>
      </c>
      <c r="M19" s="11">
        <f t="shared" si="90"/>
      </c>
      <c r="N19" s="11">
        <f t="shared" si="2"/>
      </c>
      <c r="O19" s="14"/>
    </row>
    <row r="20">
      <c r="A20" s="7">
        <v>45995</v>
      </c>
      <c r="B20" s="8" t="s">
        <v>22</v>
      </c>
      <c r="C20" s="9" t="s">
        <v>23</v>
      </c>
      <c r="D20" s="8">
        <v>5</v>
      </c>
      <c r="E20" s="8">
        <v>38</v>
      </c>
      <c r="F20" s="8">
        <v>30</v>
      </c>
      <c r="G20" s="8">
        <v>23</v>
      </c>
      <c r="H20" s="8">
        <v>24</v>
      </c>
      <c r="I20" s="8">
        <v>3</v>
      </c>
      <c r="J20" s="10">
        <v>33331</v>
      </c>
      <c r="K20" s="10">
        <v>18639.58</v>
      </c>
      <c r="L20" s="11">
        <f t="shared" si="0"/>
      </c>
      <c r="M20" s="11">
        <f t="shared" si="90"/>
      </c>
      <c r="N20" s="11">
        <f t="shared" si="2"/>
      </c>
      <c r="O20" s="15"/>
    </row>
    <row r="21">
      <c r="A21" s="16">
        <v>45995</v>
      </c>
      <c r="B21" s="17"/>
      <c r="C21" s="17"/>
      <c r="D21" s="17">
        <f>SUM(D17:D20)</f>
      </c>
      <c r="E21" s="17">
        <f>SUM(E17:E20)</f>
      </c>
      <c r="F21" s="17">
        <f>SUM(F17:F20)</f>
      </c>
      <c r="G21" s="17">
        <f>SUM(G17:G20)</f>
      </c>
      <c r="H21" s="17">
        <f>SUM(H17:H20)</f>
      </c>
      <c r="I21" s="17">
        <f>SUM(I17:I20)</f>
      </c>
      <c r="J21" s="17">
        <f>SUM(J17:J20)</f>
      </c>
      <c r="K21" s="17">
        <f>SUM(K17:K20)</f>
      </c>
      <c r="L21" s="18">
        <f t="shared" si="0"/>
      </c>
      <c r="M21" s="18">
        <f t="shared" si="90"/>
      </c>
      <c r="N21" s="18">
        <f t="shared" si="2"/>
      </c>
      <c r="O21" s="19"/>
    </row>
    <row r="22">
      <c r="A22" s="7">
        <v>45996</v>
      </c>
      <c r="B22" s="8" t="s">
        <v>16</v>
      </c>
      <c r="C22" s="9" t="s">
        <v>17</v>
      </c>
      <c r="D22" s="8">
        <v>5</v>
      </c>
      <c r="E22" s="8">
        <v>68</v>
      </c>
      <c r="F22" s="8">
        <v>52</v>
      </c>
      <c r="G22" s="8">
        <v>36</v>
      </c>
      <c r="H22" s="8">
        <v>45</v>
      </c>
      <c r="I22" s="8">
        <v>8</v>
      </c>
      <c r="J22" s="10">
        <v>43654.6</v>
      </c>
      <c r="K22" s="10">
        <v>26968.350000000002</v>
      </c>
      <c r="L22" s="11">
        <f t="shared" si="0"/>
      </c>
      <c r="M22" s="11">
        <f t="shared" si="90"/>
      </c>
      <c r="N22" s="11">
        <f t="shared" si="2"/>
      </c>
      <c r="O22" s="12"/>
    </row>
    <row r="23">
      <c r="A23" s="7">
        <v>45996</v>
      </c>
      <c r="B23" s="8" t="s">
        <v>20</v>
      </c>
      <c r="C23" s="9" t="s">
        <v>19</v>
      </c>
      <c r="D23" s="8">
        <v>5</v>
      </c>
      <c r="E23" s="8">
        <v>46</v>
      </c>
      <c r="F23" s="8">
        <v>30</v>
      </c>
      <c r="G23" s="8">
        <v>21</v>
      </c>
      <c r="H23" s="8">
        <v>19</v>
      </c>
      <c r="I23" s="8">
        <v>4</v>
      </c>
      <c r="J23" s="10">
        <v>34622</v>
      </c>
      <c r="K23" s="10">
        <v>21999.769999999997</v>
      </c>
      <c r="L23" s="11">
        <f t="shared" si="0"/>
      </c>
      <c r="M23" s="11">
        <f t="shared" si="90"/>
      </c>
      <c r="N23" s="11">
        <f t="shared" si="2"/>
      </c>
      <c r="O23" s="13"/>
    </row>
    <row r="24">
      <c r="A24" s="7">
        <v>45996</v>
      </c>
      <c r="B24" s="8" t="s">
        <v>22</v>
      </c>
      <c r="C24" s="9" t="s">
        <v>21</v>
      </c>
      <c r="D24" s="8">
        <v>5</v>
      </c>
      <c r="E24" s="8">
        <v>38</v>
      </c>
      <c r="F24" s="8">
        <v>27</v>
      </c>
      <c r="G24" s="8">
        <v>22</v>
      </c>
      <c r="H24" s="8">
        <v>18</v>
      </c>
      <c r="I24" s="8">
        <v>3</v>
      </c>
      <c r="J24" s="10">
        <v>29928.200000000004</v>
      </c>
      <c r="K24" s="10">
        <v>17922.89</v>
      </c>
      <c r="L24" s="11">
        <f t="shared" si="0"/>
      </c>
      <c r="M24" s="11">
        <f t="shared" si="90"/>
      </c>
      <c r="N24" s="11">
        <f t="shared" si="2"/>
      </c>
      <c r="O24" s="14"/>
    </row>
    <row r="25">
      <c r="A25" s="7">
        <v>45996</v>
      </c>
      <c r="B25" s="8" t="s">
        <v>18</v>
      </c>
      <c r="C25" s="9" t="s">
        <v>23</v>
      </c>
      <c r="D25" s="8">
        <v>5</v>
      </c>
      <c r="E25" s="8">
        <v>43</v>
      </c>
      <c r="F25" s="8">
        <v>30</v>
      </c>
      <c r="G25" s="8">
        <v>26</v>
      </c>
      <c r="H25" s="8">
        <v>27</v>
      </c>
      <c r="I25" s="8">
        <v>4</v>
      </c>
      <c r="J25" s="10">
        <v>27061.600000000002</v>
      </c>
      <c r="K25" s="10">
        <v>18883.910000000003</v>
      </c>
      <c r="L25" s="11">
        <f t="shared" si="0"/>
      </c>
      <c r="M25" s="11">
        <f t="shared" si="90"/>
      </c>
      <c r="N25" s="11">
        <f t="shared" si="2"/>
      </c>
      <c r="O25" s="15"/>
    </row>
    <row r="26">
      <c r="A26" s="16">
        <v>45996</v>
      </c>
      <c r="B26" s="17"/>
      <c r="C26" s="17"/>
      <c r="D26" s="17">
        <f>SUM(D22:D25)</f>
      </c>
      <c r="E26" s="17">
        <f>SUM(E22:E25)</f>
      </c>
      <c r="F26" s="17">
        <f>SUM(F22:F25)</f>
      </c>
      <c r="G26" s="17">
        <f>SUM(G22:G25)</f>
      </c>
      <c r="H26" s="17">
        <f>SUM(H22:H25)</f>
      </c>
      <c r="I26" s="17">
        <f>SUM(I22:I25)</f>
      </c>
      <c r="J26" s="17">
        <f>SUM(J22:J25)</f>
      </c>
      <c r="K26" s="17">
        <f>SUM(K22:K25)</f>
      </c>
      <c r="L26" s="18">
        <f t="shared" si="0"/>
      </c>
      <c r="M26" s="18">
        <f t="shared" si="90"/>
      </c>
      <c r="N26" s="18">
        <f t="shared" si="2"/>
      </c>
      <c r="O26" s="19"/>
    </row>
    <row r="27">
      <c r="A27" s="7">
        <v>45997</v>
      </c>
      <c r="B27" s="8" t="s">
        <v>16</v>
      </c>
      <c r="C27" s="9" t="s">
        <v>17</v>
      </c>
      <c r="D27" s="8">
        <v>5</v>
      </c>
      <c r="E27" s="8">
        <v>65</v>
      </c>
      <c r="F27" s="8">
        <v>33</v>
      </c>
      <c r="G27" s="8">
        <v>23</v>
      </c>
      <c r="H27" s="8">
        <v>23</v>
      </c>
      <c r="I27" s="8">
        <v>6</v>
      </c>
      <c r="J27" s="10">
        <v>34622.799999999996</v>
      </c>
      <c r="K27" s="10">
        <v>22793.210000000003</v>
      </c>
      <c r="L27" s="11">
        <f t="shared" si="0"/>
      </c>
      <c r="M27" s="11">
        <f t="shared" si="90"/>
      </c>
      <c r="N27" s="11">
        <f t="shared" si="2"/>
      </c>
      <c r="O27" s="12"/>
    </row>
    <row r="28">
      <c r="A28" s="7">
        <v>45997</v>
      </c>
      <c r="B28" s="8" t="s">
        <v>22</v>
      </c>
      <c r="C28" s="9" t="s">
        <v>19</v>
      </c>
      <c r="D28" s="8">
        <v>5</v>
      </c>
      <c r="E28" s="8">
        <v>25</v>
      </c>
      <c r="F28" s="8">
        <v>14</v>
      </c>
      <c r="G28" s="8">
        <v>13</v>
      </c>
      <c r="H28" s="8">
        <v>10</v>
      </c>
      <c r="I28" s="8">
        <v>1</v>
      </c>
      <c r="J28" s="10">
        <v>15083.8</v>
      </c>
      <c r="K28" s="10">
        <v>16186.419999999998</v>
      </c>
      <c r="L28" s="11">
        <f t="shared" si="0"/>
      </c>
      <c r="M28" s="11">
        <f t="shared" si="90"/>
      </c>
      <c r="N28" s="11">
        <f t="shared" si="2"/>
      </c>
      <c r="O28" s="13"/>
    </row>
    <row r="29">
      <c r="A29" s="7">
        <v>45997</v>
      </c>
      <c r="B29" s="8" t="s">
        <v>20</v>
      </c>
      <c r="C29" s="9" t="s">
        <v>21</v>
      </c>
      <c r="D29" s="8">
        <v>5</v>
      </c>
      <c r="E29" s="8">
        <v>48</v>
      </c>
      <c r="F29" s="8">
        <v>37</v>
      </c>
      <c r="G29" s="8">
        <v>27</v>
      </c>
      <c r="H29" s="8">
        <v>33</v>
      </c>
      <c r="I29" s="8">
        <v>4</v>
      </c>
      <c r="J29" s="10">
        <v>28324.6</v>
      </c>
      <c r="K29" s="10">
        <v>18596.179999999997</v>
      </c>
      <c r="L29" s="11">
        <f t="shared" si="0"/>
      </c>
      <c r="M29" s="11">
        <f t="shared" si="90"/>
      </c>
      <c r="N29" s="11">
        <f t="shared" si="2"/>
      </c>
      <c r="O29" s="14"/>
    </row>
    <row r="30">
      <c r="A30" s="7">
        <v>45997</v>
      </c>
      <c r="B30" s="8" t="s">
        <v>24</v>
      </c>
      <c r="C30" s="9" t="s">
        <v>23</v>
      </c>
      <c r="D30" s="8">
        <v>5</v>
      </c>
      <c r="E30" s="8">
        <v>46</v>
      </c>
      <c r="F30" s="8">
        <v>37</v>
      </c>
      <c r="G30" s="8">
        <v>27</v>
      </c>
      <c r="H30" s="8">
        <v>32</v>
      </c>
      <c r="I30" s="8">
        <v>4</v>
      </c>
      <c r="J30" s="10">
        <v>33477.799999999996</v>
      </c>
      <c r="K30" s="10">
        <v>17475.58</v>
      </c>
      <c r="L30" s="11">
        <f t="shared" si="0"/>
      </c>
      <c r="M30" s="11">
        <f t="shared" si="90"/>
      </c>
      <c r="N30" s="11">
        <f t="shared" si="2"/>
      </c>
      <c r="O30" s="15"/>
    </row>
    <row r="31">
      <c r="A31" s="16">
        <v>45997</v>
      </c>
      <c r="B31" s="17"/>
      <c r="C31" s="17"/>
      <c r="D31" s="17">
        <f>SUM(D27:D30)</f>
      </c>
      <c r="E31" s="17">
        <f>SUM(E27:E30)</f>
      </c>
      <c r="F31" s="17">
        <f>SUM(F27:F30)</f>
      </c>
      <c r="G31" s="17">
        <f>SUM(G27:G30)</f>
      </c>
      <c r="H31" s="17">
        <f>SUM(H27:H30)</f>
      </c>
      <c r="I31" s="17">
        <f>SUM(I27:I30)</f>
      </c>
      <c r="J31" s="17">
        <f>SUM(J27:J30)</f>
      </c>
      <c r="K31" s="17">
        <f>SUM(K27:K30)</f>
      </c>
      <c r="L31" s="18">
        <f t="shared" si="0"/>
      </c>
      <c r="M31" s="18">
        <f t="shared" si="90"/>
      </c>
      <c r="N31" s="18">
        <f t="shared" si="2"/>
      </c>
      <c r="O31" s="19"/>
    </row>
    <row r="32">
      <c r="A32" s="7">
        <v>45998</v>
      </c>
      <c r="B32" s="8" t="s">
        <v>22</v>
      </c>
      <c r="C32" s="9" t="s">
        <v>17</v>
      </c>
      <c r="D32" s="8">
        <v>5</v>
      </c>
      <c r="E32" s="8">
        <v>45</v>
      </c>
      <c r="F32" s="8">
        <v>28</v>
      </c>
      <c r="G32" s="8">
        <v>18</v>
      </c>
      <c r="H32" s="8">
        <v>23</v>
      </c>
      <c r="I32" s="8">
        <v>5</v>
      </c>
      <c r="J32" s="10">
        <v>26354.199999999997</v>
      </c>
      <c r="K32" s="10">
        <v>20319.85</v>
      </c>
      <c r="L32" s="11">
        <f t="shared" si="0"/>
      </c>
      <c r="M32" s="11">
        <f t="shared" si="90"/>
      </c>
      <c r="N32" s="11">
        <f t="shared" si="2"/>
      </c>
      <c r="O32" s="12"/>
    </row>
    <row r="33">
      <c r="A33" s="7">
        <v>45998</v>
      </c>
      <c r="B33" s="8" t="s">
        <v>18</v>
      </c>
      <c r="C33" s="9" t="s">
        <v>19</v>
      </c>
      <c r="D33" s="8">
        <v>5</v>
      </c>
      <c r="E33" s="8">
        <v>53</v>
      </c>
      <c r="F33" s="8">
        <v>33</v>
      </c>
      <c r="G33" s="8">
        <v>27</v>
      </c>
      <c r="H33" s="8">
        <v>25</v>
      </c>
      <c r="I33" s="8">
        <v>3</v>
      </c>
      <c r="J33" s="10">
        <v>48157.4</v>
      </c>
      <c r="K33" s="10">
        <v>19630.670000000002</v>
      </c>
      <c r="L33" s="11">
        <f t="shared" si="0"/>
      </c>
      <c r="M33" s="11">
        <f t="shared" si="90"/>
      </c>
      <c r="N33" s="11">
        <f t="shared" si="2"/>
      </c>
      <c r="O33" s="13"/>
    </row>
    <row r="34">
      <c r="A34" s="7">
        <v>45998</v>
      </c>
      <c r="B34" s="8" t="s">
        <v>24</v>
      </c>
      <c r="C34" s="9" t="s">
        <v>25</v>
      </c>
      <c r="D34" s="8">
        <v>2</v>
      </c>
      <c r="E34" s="8">
        <v>14</v>
      </c>
      <c r="F34" s="8">
        <v>10</v>
      </c>
      <c r="G34" s="8">
        <v>6</v>
      </c>
      <c r="H34" s="8">
        <v>6</v>
      </c>
      <c r="I34" s="8">
        <v>1</v>
      </c>
      <c r="J34" s="10">
        <v>14553.199999999997</v>
      </c>
      <c r="K34" s="10">
        <v>4817.65</v>
      </c>
      <c r="L34" s="11">
        <f t="shared" si="0"/>
      </c>
      <c r="M34" s="11">
        <f t="shared" si="90"/>
      </c>
      <c r="N34" s="11">
        <f t="shared" si="2"/>
      </c>
      <c r="O34" s="14"/>
    </row>
    <row r="35">
      <c r="A35" s="7">
        <v>45998</v>
      </c>
      <c r="B35" s="8" t="s">
        <v>16</v>
      </c>
      <c r="C35" s="9" t="s">
        <v>26</v>
      </c>
      <c r="D35" s="8">
        <v>3</v>
      </c>
      <c r="E35" s="8">
        <v>37</v>
      </c>
      <c r="F35" s="8">
        <v>30</v>
      </c>
      <c r="G35" s="8">
        <v>23</v>
      </c>
      <c r="H35" s="8">
        <v>26</v>
      </c>
      <c r="I35" s="8">
        <v>4</v>
      </c>
      <c r="J35" s="10">
        <v>23255.8</v>
      </c>
      <c r="K35" s="10">
        <v>12982.08</v>
      </c>
      <c r="L35" s="11">
        <f t="shared" si="0"/>
      </c>
      <c r="M35" s="11">
        <f t="shared" si="90"/>
      </c>
      <c r="N35" s="11">
        <f t="shared" si="2"/>
      </c>
      <c r="O35" s="14"/>
    </row>
    <row r="36">
      <c r="A36" s="7">
        <v>45998</v>
      </c>
      <c r="B36" s="8" t="s">
        <v>20</v>
      </c>
      <c r="C36" s="9" t="s">
        <v>23</v>
      </c>
      <c r="D36" s="8">
        <v>5</v>
      </c>
      <c r="E36" s="8">
        <v>66</v>
      </c>
      <c r="F36" s="8">
        <v>44</v>
      </c>
      <c r="G36" s="8">
        <v>35</v>
      </c>
      <c r="H36" s="8">
        <v>32</v>
      </c>
      <c r="I36" s="8">
        <v>4</v>
      </c>
      <c r="J36" s="10">
        <v>50418.2</v>
      </c>
      <c r="K36" s="10">
        <v>24055.38</v>
      </c>
      <c r="L36" s="11">
        <f t="shared" si="0"/>
      </c>
      <c r="M36" s="11">
        <f t="shared" si="90"/>
      </c>
      <c r="N36" s="11">
        <f t="shared" si="2"/>
      </c>
      <c r="O36" s="15"/>
    </row>
    <row r="37">
      <c r="A37" s="16">
        <v>45998</v>
      </c>
      <c r="B37" s="17"/>
      <c r="C37" s="17"/>
      <c r="D37" s="17">
        <f>SUM(D32:D36)</f>
      </c>
      <c r="E37" s="17">
        <f>SUM(E32:E36)</f>
      </c>
      <c r="F37" s="17">
        <f>SUM(F32:F36)</f>
      </c>
      <c r="G37" s="17">
        <f>SUM(G32:G36)</f>
      </c>
      <c r="H37" s="17">
        <f>SUM(H32:H36)</f>
      </c>
      <c r="I37" s="17">
        <f>SUM(I32:I36)</f>
      </c>
      <c r="J37" s="17">
        <f>SUM(J32:J36)</f>
      </c>
      <c r="K37" s="17">
        <f>SUM(K32:K36)</f>
      </c>
      <c r="L37" s="18">
        <f t="shared" si="0"/>
      </c>
      <c r="M37" s="18">
        <f t="shared" si="90"/>
      </c>
      <c r="N37" s="18">
        <f t="shared" si="2"/>
      </c>
      <c r="O37" s="19"/>
    </row>
    <row r="38">
      <c r="A38" s="7">
        <v>45999</v>
      </c>
      <c r="B38" s="8" t="s">
        <v>22</v>
      </c>
      <c r="C38" s="9" t="s">
        <v>27</v>
      </c>
      <c r="D38" s="8">
        <v>6</v>
      </c>
      <c r="E38" s="8">
        <v>67</v>
      </c>
      <c r="F38" s="8">
        <v>51</v>
      </c>
      <c r="G38" s="8">
        <v>39</v>
      </c>
      <c r="H38" s="8">
        <v>41</v>
      </c>
      <c r="I38" s="8">
        <v>7</v>
      </c>
      <c r="J38" s="10">
        <v>47347.4</v>
      </c>
      <c r="K38" s="10">
        <v>31359.82</v>
      </c>
      <c r="L38" s="11">
        <f t="shared" si="0"/>
      </c>
      <c r="M38" s="11">
        <f t="shared" si="90"/>
      </c>
      <c r="N38" s="11">
        <f t="shared" si="2"/>
      </c>
      <c r="O38" s="12"/>
    </row>
    <row r="39">
      <c r="A39" s="7">
        <v>45999</v>
      </c>
      <c r="B39" s="8" t="s">
        <v>16</v>
      </c>
      <c r="C39" s="9" t="s">
        <v>28</v>
      </c>
      <c r="D39" s="8">
        <v>6</v>
      </c>
      <c r="E39" s="8">
        <v>72</v>
      </c>
      <c r="F39" s="8">
        <v>54</v>
      </c>
      <c r="G39" s="8">
        <v>38</v>
      </c>
      <c r="H39" s="8">
        <v>38</v>
      </c>
      <c r="I39" s="8">
        <v>5</v>
      </c>
      <c r="J39" s="10">
        <v>72383.6</v>
      </c>
      <c r="K39" s="10">
        <v>30726.1</v>
      </c>
      <c r="L39" s="11">
        <f t="shared" si="0"/>
      </c>
      <c r="M39" s="11">
        <f t="shared" si="90"/>
      </c>
      <c r="N39" s="11">
        <f t="shared" si="2"/>
      </c>
      <c r="O39" s="13"/>
    </row>
    <row r="40">
      <c r="A40" s="7">
        <v>45999</v>
      </c>
      <c r="B40" s="8" t="s">
        <v>20</v>
      </c>
      <c r="C40" s="9" t="s">
        <v>29</v>
      </c>
      <c r="D40" s="8">
        <v>6</v>
      </c>
      <c r="E40" s="8">
        <v>70</v>
      </c>
      <c r="F40" s="8">
        <v>54</v>
      </c>
      <c r="G40" s="8">
        <v>37</v>
      </c>
      <c r="H40" s="8">
        <v>45</v>
      </c>
      <c r="I40" s="8">
        <v>6</v>
      </c>
      <c r="J40" s="10">
        <v>49976.439999999995</v>
      </c>
      <c r="K40" s="10">
        <v>23424.049999999996</v>
      </c>
      <c r="L40" s="11">
        <f t="shared" si="0"/>
      </c>
      <c r="M40" s="11">
        <f t="shared" si="90"/>
      </c>
      <c r="N40" s="11">
        <f t="shared" si="2"/>
      </c>
      <c r="O40" s="14"/>
    </row>
    <row r="41">
      <c r="A41" s="16">
        <v>45999</v>
      </c>
      <c r="B41" s="17"/>
      <c r="C41" s="17"/>
      <c r="D41" s="17">
        <f>SUM(D38:D40)</f>
      </c>
      <c r="E41" s="17">
        <f>SUM(E38:E40)</f>
      </c>
      <c r="F41" s="17">
        <f>SUM(F38:F40)</f>
      </c>
      <c r="G41" s="17">
        <f>SUM(G38:G40)</f>
      </c>
      <c r="H41" s="17">
        <f>SUM(H38:H40)</f>
      </c>
      <c r="I41" s="17">
        <f>SUM(I38:I40)</f>
      </c>
      <c r="J41" s="17">
        <f>SUM(J38:J40)</f>
      </c>
      <c r="K41" s="17">
        <f>SUM(K38:K40)</f>
      </c>
      <c r="L41" s="18">
        <f t="shared" si="0"/>
      </c>
      <c r="M41" s="18">
        <f t="shared" si="90"/>
      </c>
      <c r="N41" s="18">
        <f t="shared" si="2"/>
      </c>
      <c r="O41" s="19"/>
    </row>
    <row r="42">
      <c r="A42" s="7">
        <v>46000</v>
      </c>
      <c r="B42" s="8" t="s">
        <v>16</v>
      </c>
      <c r="C42" s="9" t="s">
        <v>27</v>
      </c>
      <c r="D42" s="8">
        <v>6</v>
      </c>
      <c r="E42" s="8">
        <v>59</v>
      </c>
      <c r="F42" s="8">
        <v>40</v>
      </c>
      <c r="G42" s="8">
        <v>32</v>
      </c>
      <c r="H42" s="8">
        <v>32</v>
      </c>
      <c r="I42" s="8">
        <v>3</v>
      </c>
      <c r="J42" s="10">
        <v>39314.40000000001</v>
      </c>
      <c r="K42" s="10">
        <v>28849.22</v>
      </c>
      <c r="L42" s="11">
        <f t="shared" si="0"/>
      </c>
      <c r="M42" s="11">
        <f t="shared" si="90"/>
      </c>
      <c r="N42" s="11">
        <f t="shared" si="2"/>
      </c>
      <c r="O42" s="12"/>
    </row>
    <row r="43">
      <c r="A43" s="7">
        <v>46000</v>
      </c>
      <c r="B43" s="8" t="s">
        <v>20</v>
      </c>
      <c r="C43" s="9" t="s">
        <v>28</v>
      </c>
      <c r="D43" s="8">
        <v>6</v>
      </c>
      <c r="E43" s="8">
        <v>85</v>
      </c>
      <c r="F43" s="8">
        <v>62</v>
      </c>
      <c r="G43" s="8">
        <v>45</v>
      </c>
      <c r="H43" s="8">
        <v>43</v>
      </c>
      <c r="I43" s="8">
        <v>8</v>
      </c>
      <c r="J43" s="10">
        <v>70344.4</v>
      </c>
      <c r="K43" s="10">
        <v>31501.46</v>
      </c>
      <c r="L43" s="11">
        <f t="shared" si="0"/>
      </c>
      <c r="M43" s="11">
        <f t="shared" si="90"/>
      </c>
      <c r="N43" s="11">
        <f t="shared" si="2"/>
      </c>
      <c r="O43" s="13"/>
    </row>
    <row r="44">
      <c r="A44" s="7">
        <v>46000</v>
      </c>
      <c r="B44" s="8" t="s">
        <v>22</v>
      </c>
      <c r="C44" s="9" t="s">
        <v>29</v>
      </c>
      <c r="D44" s="8">
        <v>6</v>
      </c>
      <c r="E44" s="8">
        <v>79</v>
      </c>
      <c r="F44" s="8">
        <v>56</v>
      </c>
      <c r="G44" s="8">
        <v>41</v>
      </c>
      <c r="H44" s="8">
        <v>41</v>
      </c>
      <c r="I44" s="8">
        <v>8</v>
      </c>
      <c r="J44" s="10">
        <v>78257.6</v>
      </c>
      <c r="K44" s="10">
        <v>28435.139999999996</v>
      </c>
      <c r="L44" s="11">
        <f t="shared" si="0"/>
      </c>
      <c r="M44" s="11">
        <f t="shared" si="90"/>
      </c>
      <c r="N44" s="11">
        <f t="shared" si="2"/>
      </c>
      <c r="O44" s="14"/>
    </row>
    <row r="45">
      <c r="A45" s="16">
        <v>46000</v>
      </c>
      <c r="B45" s="17"/>
      <c r="C45" s="17"/>
      <c r="D45" s="17">
        <f>SUM(D42:D44)</f>
      </c>
      <c r="E45" s="17">
        <f>SUM(E42:E44)</f>
      </c>
      <c r="F45" s="17">
        <f>SUM(F42:F44)</f>
      </c>
      <c r="G45" s="17">
        <f>SUM(G42:G44)</f>
      </c>
      <c r="H45" s="17">
        <f>SUM(H42:H44)</f>
      </c>
      <c r="I45" s="17">
        <f>SUM(I42:I44)</f>
      </c>
      <c r="J45" s="17">
        <f>SUM(J42:J44)</f>
      </c>
      <c r="K45" s="17">
        <f>SUM(K42:K44)</f>
      </c>
      <c r="L45" s="18">
        <f t="shared" si="0"/>
      </c>
      <c r="M45" s="18">
        <f t="shared" si="90"/>
      </c>
      <c r="N45" s="18">
        <f t="shared" si="2"/>
      </c>
      <c r="O45" s="19"/>
    </row>
    <row r="46">
      <c r="A46" s="7">
        <v>46001</v>
      </c>
      <c r="B46" s="8" t="s">
        <v>20</v>
      </c>
      <c r="C46" s="9" t="s">
        <v>27</v>
      </c>
      <c r="D46" s="8">
        <v>6</v>
      </c>
      <c r="E46" s="8">
        <v>82</v>
      </c>
      <c r="F46" s="8">
        <v>60</v>
      </c>
      <c r="G46" s="8">
        <v>43</v>
      </c>
      <c r="H46" s="8">
        <v>45</v>
      </c>
      <c r="I46" s="8">
        <v>11</v>
      </c>
      <c r="J46" s="10">
        <v>79516.8</v>
      </c>
      <c r="K46" s="10">
        <v>35403.28</v>
      </c>
      <c r="L46" s="11">
        <f t="shared" si="0"/>
      </c>
      <c r="M46" s="11">
        <f t="shared" si="90"/>
      </c>
      <c r="N46" s="11">
        <f t="shared" si="2"/>
      </c>
      <c r="O46" s="12"/>
    </row>
    <row r="47">
      <c r="A47" s="7">
        <v>46001</v>
      </c>
      <c r="B47" s="8" t="s">
        <v>22</v>
      </c>
      <c r="C47" s="9" t="s">
        <v>28</v>
      </c>
      <c r="D47" s="8">
        <v>6</v>
      </c>
      <c r="E47" s="8">
        <v>51</v>
      </c>
      <c r="F47" s="8">
        <v>38</v>
      </c>
      <c r="G47" s="8">
        <v>27</v>
      </c>
      <c r="H47" s="8">
        <v>33</v>
      </c>
      <c r="I47" s="8">
        <v>6</v>
      </c>
      <c r="J47" s="10">
        <v>28066.6</v>
      </c>
      <c r="K47" s="10">
        <v>21707.5</v>
      </c>
      <c r="L47" s="11">
        <f t="shared" si="0"/>
      </c>
      <c r="M47" s="11">
        <f t="shared" si="90"/>
      </c>
      <c r="N47" s="11">
        <f t="shared" si="2"/>
      </c>
      <c r="O47" s="13"/>
    </row>
    <row r="48">
      <c r="A48" s="7">
        <v>46001</v>
      </c>
      <c r="B48" s="8" t="s">
        <v>16</v>
      </c>
      <c r="C48" s="9" t="s">
        <v>29</v>
      </c>
      <c r="D48" s="8">
        <v>6</v>
      </c>
      <c r="E48" s="8">
        <v>71</v>
      </c>
      <c r="F48" s="8">
        <v>53</v>
      </c>
      <c r="G48" s="8">
        <v>31</v>
      </c>
      <c r="H48" s="8">
        <v>46</v>
      </c>
      <c r="I48" s="8">
        <v>7</v>
      </c>
      <c r="J48" s="10">
        <v>41122.8</v>
      </c>
      <c r="K48" s="10">
        <v>22679.72</v>
      </c>
      <c r="L48" s="11">
        <f t="shared" si="0"/>
      </c>
      <c r="M48" s="11">
        <f t="shared" si="90"/>
      </c>
      <c r="N48" s="11">
        <f t="shared" si="2"/>
      </c>
      <c r="O48" s="14"/>
    </row>
    <row r="49">
      <c r="A49" s="16">
        <v>46001</v>
      </c>
      <c r="B49" s="17"/>
      <c r="C49" s="17"/>
      <c r="D49" s="17">
        <f>SUM(D46:D48)</f>
      </c>
      <c r="E49" s="17">
        <f>SUM(E46:E48)</f>
      </c>
      <c r="F49" s="17">
        <f>SUM(F46:F48)</f>
      </c>
      <c r="G49" s="17">
        <f>SUM(G46:G48)</f>
      </c>
      <c r="H49" s="17">
        <f>SUM(H46:H48)</f>
      </c>
      <c r="I49" s="17">
        <f>SUM(I46:I48)</f>
      </c>
      <c r="J49" s="17">
        <f>SUM(J46:J48)</f>
      </c>
      <c r="K49" s="17">
        <f>SUM(K46:K48)</f>
      </c>
      <c r="L49" s="18">
        <f t="shared" si="0"/>
      </c>
      <c r="M49" s="18">
        <f t="shared" si="90"/>
      </c>
      <c r="N49" s="18">
        <f t="shared" si="2"/>
      </c>
      <c r="O49" s="19"/>
    </row>
    <row r="50">
      <c r="A50" s="7">
        <v>46002</v>
      </c>
      <c r="B50" s="8" t="s">
        <v>20</v>
      </c>
      <c r="C50" s="9" t="s">
        <v>17</v>
      </c>
      <c r="D50" s="8">
        <v>5</v>
      </c>
      <c r="E50" s="8">
        <v>47</v>
      </c>
      <c r="F50" s="8">
        <v>35</v>
      </c>
      <c r="G50" s="8">
        <v>22</v>
      </c>
      <c r="H50" s="8">
        <v>26</v>
      </c>
      <c r="I50" s="8">
        <v>7</v>
      </c>
      <c r="J50" s="10">
        <v>41049.8</v>
      </c>
      <c r="K50" s="10">
        <v>21623.34</v>
      </c>
      <c r="L50" s="11">
        <f t="shared" si="0"/>
      </c>
      <c r="M50" s="11">
        <f t="shared" si="90"/>
      </c>
      <c r="N50" s="11">
        <f t="shared" si="2"/>
      </c>
      <c r="O50" s="12"/>
    </row>
    <row r="51">
      <c r="A51" s="7">
        <v>46002</v>
      </c>
      <c r="B51" s="8" t="s">
        <v>16</v>
      </c>
      <c r="C51" s="9" t="s">
        <v>19</v>
      </c>
      <c r="D51" s="8">
        <v>5</v>
      </c>
      <c r="E51" s="8">
        <v>47</v>
      </c>
      <c r="F51" s="8">
        <v>39</v>
      </c>
      <c r="G51" s="8">
        <v>31</v>
      </c>
      <c r="H51" s="8">
        <v>26</v>
      </c>
      <c r="I51" s="8">
        <v>7</v>
      </c>
      <c r="J51" s="10">
        <v>44790.8</v>
      </c>
      <c r="K51" s="10">
        <v>23818.41</v>
      </c>
      <c r="L51" s="11">
        <f t="shared" si="0"/>
      </c>
      <c r="M51" s="11">
        <f t="shared" si="90"/>
      </c>
      <c r="N51" s="11">
        <f t="shared" si="2"/>
      </c>
      <c r="O51" s="13"/>
    </row>
    <row r="52">
      <c r="A52" s="7">
        <v>46002</v>
      </c>
      <c r="B52" s="8" t="s">
        <v>24</v>
      </c>
      <c r="C52" s="9" t="s">
        <v>21</v>
      </c>
      <c r="D52" s="8">
        <v>5</v>
      </c>
      <c r="E52" s="8">
        <v>46</v>
      </c>
      <c r="F52" s="8">
        <v>30</v>
      </c>
      <c r="G52" s="8">
        <v>19</v>
      </c>
      <c r="H52" s="8">
        <v>23</v>
      </c>
      <c r="I52" s="8">
        <v>3</v>
      </c>
      <c r="J52" s="10">
        <v>26341.600000000002</v>
      </c>
      <c r="K52" s="10">
        <v>16629.059999999998</v>
      </c>
      <c r="L52" s="11">
        <f t="shared" si="0"/>
      </c>
      <c r="M52" s="11">
        <f t="shared" si="90"/>
      </c>
      <c r="N52" s="11">
        <f t="shared" si="2"/>
      </c>
      <c r="O52" s="14"/>
    </row>
    <row r="53">
      <c r="A53" s="7">
        <v>46002</v>
      </c>
      <c r="B53" s="8" t="s">
        <v>22</v>
      </c>
      <c r="C53" s="9" t="s">
        <v>23</v>
      </c>
      <c r="D53" s="8">
        <v>5</v>
      </c>
      <c r="E53" s="8">
        <v>62</v>
      </c>
      <c r="F53" s="8">
        <v>36</v>
      </c>
      <c r="G53" s="8">
        <v>30</v>
      </c>
      <c r="H53" s="8">
        <v>28</v>
      </c>
      <c r="I53" s="8">
        <v>4</v>
      </c>
      <c r="J53" s="10">
        <v>36123.2</v>
      </c>
      <c r="K53" s="10">
        <v>18177.42</v>
      </c>
      <c r="L53" s="11">
        <f t="shared" si="0"/>
      </c>
      <c r="M53" s="11">
        <f t="shared" si="90"/>
      </c>
      <c r="N53" s="11">
        <f t="shared" si="2"/>
      </c>
      <c r="O53" s="15"/>
    </row>
    <row r="54">
      <c r="A54" s="16">
        <v>46002</v>
      </c>
      <c r="B54" s="17"/>
      <c r="C54" s="17"/>
      <c r="D54" s="17">
        <f>SUM(D50:D53)</f>
      </c>
      <c r="E54" s="17">
        <f>SUM(E50:E53)</f>
      </c>
      <c r="F54" s="17">
        <f>SUM(F50:F53)</f>
      </c>
      <c r="G54" s="17">
        <f>SUM(G50:G53)</f>
      </c>
      <c r="H54" s="17">
        <f>SUM(H50:H53)</f>
      </c>
      <c r="I54" s="17">
        <f>SUM(I50:I53)</f>
      </c>
      <c r="J54" s="17">
        <f>SUM(J50:J53)</f>
      </c>
      <c r="K54" s="17">
        <f>SUM(K50:K53)</f>
      </c>
      <c r="L54" s="18">
        <f t="shared" si="0"/>
      </c>
      <c r="M54" s="18">
        <f t="shared" si="90"/>
      </c>
      <c r="N54" s="18">
        <f t="shared" si="2"/>
      </c>
      <c r="O54" s="19"/>
    </row>
    <row r="55">
      <c r="A55" s="7">
        <v>46003</v>
      </c>
      <c r="B55" s="8" t="s">
        <v>16</v>
      </c>
      <c r="C55" s="9" t="s">
        <v>17</v>
      </c>
      <c r="D55" s="8">
        <v>5</v>
      </c>
      <c r="E55" s="8">
        <v>66</v>
      </c>
      <c r="F55" s="8">
        <v>49</v>
      </c>
      <c r="G55" s="8">
        <v>39</v>
      </c>
      <c r="H55" s="8">
        <v>40</v>
      </c>
      <c r="I55" s="8">
        <v>4</v>
      </c>
      <c r="J55" s="10">
        <v>53997</v>
      </c>
      <c r="K55" s="10">
        <v>27529.25</v>
      </c>
      <c r="L55" s="11">
        <f t="shared" si="0"/>
      </c>
      <c r="M55" s="11">
        <f t="shared" si="90"/>
      </c>
      <c r="N55" s="11">
        <f t="shared" si="2"/>
      </c>
      <c r="O55" s="12"/>
    </row>
    <row r="56">
      <c r="A56" s="7">
        <v>46003</v>
      </c>
      <c r="B56" s="8" t="s">
        <v>18</v>
      </c>
      <c r="C56" s="9" t="s">
        <v>19</v>
      </c>
      <c r="D56" s="8">
        <v>5</v>
      </c>
      <c r="E56" s="8">
        <v>19</v>
      </c>
      <c r="F56" s="8">
        <v>9</v>
      </c>
      <c r="G56" s="8">
        <v>7</v>
      </c>
      <c r="H56" s="8">
        <v>6</v>
      </c>
      <c r="I56" s="8">
        <v>0</v>
      </c>
      <c r="J56" s="10">
        <v>8572.8</v>
      </c>
      <c r="K56" s="10">
        <v>17349.4</v>
      </c>
      <c r="L56" s="11">
        <f t="shared" si="0"/>
      </c>
      <c r="M56" s="11">
        <f t="shared" si="90"/>
      </c>
      <c r="N56" s="11">
        <f t="shared" si="2"/>
      </c>
      <c r="O56" s="13"/>
    </row>
    <row r="57">
      <c r="A57" s="7">
        <v>46003</v>
      </c>
      <c r="B57" s="8" t="s">
        <v>20</v>
      </c>
      <c r="C57" s="9" t="s">
        <v>21</v>
      </c>
      <c r="D57" s="8">
        <v>5</v>
      </c>
      <c r="E57" s="8">
        <v>33</v>
      </c>
      <c r="F57" s="8">
        <v>22</v>
      </c>
      <c r="G57" s="8">
        <v>15</v>
      </c>
      <c r="H57" s="8">
        <v>17</v>
      </c>
      <c r="I57" s="8">
        <v>1</v>
      </c>
      <c r="J57" s="10">
        <v>22757.6</v>
      </c>
      <c r="K57" s="10">
        <v>11536.65</v>
      </c>
      <c r="L57" s="11">
        <f t="shared" si="0"/>
      </c>
      <c r="M57" s="11">
        <f t="shared" si="90"/>
      </c>
      <c r="N57" s="11">
        <f t="shared" si="2"/>
      </c>
      <c r="O57" s="14"/>
    </row>
    <row r="58">
      <c r="A58" s="7">
        <v>46003</v>
      </c>
      <c r="B58" s="8" t="s">
        <v>22</v>
      </c>
      <c r="C58" s="9" t="s">
        <v>23</v>
      </c>
      <c r="D58" s="8">
        <v>5</v>
      </c>
      <c r="E58" s="8">
        <v>54</v>
      </c>
      <c r="F58" s="8">
        <v>38</v>
      </c>
      <c r="G58" s="8">
        <v>30</v>
      </c>
      <c r="H58" s="8">
        <v>29</v>
      </c>
      <c r="I58" s="8">
        <v>5</v>
      </c>
      <c r="J58" s="10">
        <v>47309.799999999996</v>
      </c>
      <c r="K58" s="10">
        <v>17392.29</v>
      </c>
      <c r="L58" s="11">
        <f t="shared" si="0"/>
      </c>
      <c r="M58" s="11">
        <f t="shared" si="90"/>
      </c>
      <c r="N58" s="11">
        <f t="shared" si="2"/>
      </c>
      <c r="O58" s="15"/>
    </row>
    <row r="59">
      <c r="A59" s="16">
        <v>46003</v>
      </c>
      <c r="B59" s="17"/>
      <c r="C59" s="17"/>
      <c r="D59" s="17">
        <f>SUM(D55:D58)</f>
      </c>
      <c r="E59" s="17">
        <f>SUM(E55:E58)</f>
      </c>
      <c r="F59" s="17">
        <f>SUM(F55:F58)</f>
      </c>
      <c r="G59" s="17">
        <f>SUM(G55:G58)</f>
      </c>
      <c r="H59" s="17">
        <f>SUM(H55:H58)</f>
      </c>
      <c r="I59" s="17">
        <f>SUM(I55:I58)</f>
      </c>
      <c r="J59" s="17">
        <f>SUM(J55:J58)</f>
      </c>
      <c r="K59" s="17">
        <f>SUM(K55:K58)</f>
      </c>
      <c r="L59" s="18">
        <f t="shared" si="0"/>
      </c>
      <c r="M59" s="18">
        <f t="shared" si="90"/>
      </c>
      <c r="N59" s="18">
        <f t="shared" si="2"/>
      </c>
      <c r="O59" s="19"/>
    </row>
    <row r="60">
      <c r="A60" s="7">
        <v>46004</v>
      </c>
      <c r="B60" s="8" t="s">
        <v>18</v>
      </c>
      <c r="C60" s="9" t="s">
        <v>17</v>
      </c>
      <c r="D60" s="8">
        <v>5</v>
      </c>
      <c r="E60" s="8">
        <v>69</v>
      </c>
      <c r="F60" s="8">
        <v>54</v>
      </c>
      <c r="G60" s="8">
        <v>42</v>
      </c>
      <c r="H60" s="8">
        <v>45</v>
      </c>
      <c r="I60" s="8">
        <v>7</v>
      </c>
      <c r="J60" s="10">
        <v>52889.6</v>
      </c>
      <c r="K60" s="10">
        <v>31397.73</v>
      </c>
      <c r="L60" s="11">
        <f t="shared" si="0"/>
      </c>
      <c r="M60" s="11">
        <f t="shared" si="90"/>
      </c>
      <c r="N60" s="11">
        <f t="shared" si="2"/>
      </c>
      <c r="O60" s="12"/>
    </row>
    <row r="61">
      <c r="A61" s="7">
        <v>46004</v>
      </c>
      <c r="B61" s="8" t="s">
        <v>20</v>
      </c>
      <c r="C61" s="9" t="s">
        <v>19</v>
      </c>
      <c r="D61" s="8">
        <v>5</v>
      </c>
      <c r="E61" s="8">
        <v>70</v>
      </c>
      <c r="F61" s="8">
        <v>57</v>
      </c>
      <c r="G61" s="8">
        <v>42</v>
      </c>
      <c r="H61" s="8">
        <v>38</v>
      </c>
      <c r="I61" s="8">
        <v>9</v>
      </c>
      <c r="J61" s="10">
        <v>80294.00000000001</v>
      </c>
      <c r="K61" s="10">
        <v>23974.59</v>
      </c>
      <c r="L61" s="11">
        <f t="shared" si="0"/>
      </c>
      <c r="M61" s="11">
        <f t="shared" si="90"/>
      </c>
      <c r="N61" s="11">
        <f t="shared" si="2"/>
      </c>
      <c r="O61" s="13"/>
    </row>
    <row r="62">
      <c r="A62" s="7">
        <v>46004</v>
      </c>
      <c r="B62" s="8" t="s">
        <v>22</v>
      </c>
      <c r="C62" s="9" t="s">
        <v>21</v>
      </c>
      <c r="D62" s="8">
        <v>5</v>
      </c>
      <c r="E62" s="8">
        <v>67</v>
      </c>
      <c r="F62" s="8">
        <v>50</v>
      </c>
      <c r="G62" s="8">
        <v>34</v>
      </c>
      <c r="H62" s="8">
        <v>33</v>
      </c>
      <c r="I62" s="8">
        <v>6</v>
      </c>
      <c r="J62" s="10">
        <v>58494</v>
      </c>
      <c r="K62" s="10">
        <v>29551.53</v>
      </c>
      <c r="L62" s="11">
        <f t="shared" si="0"/>
      </c>
      <c r="M62" s="11">
        <f t="shared" si="90"/>
      </c>
      <c r="N62" s="11">
        <f t="shared" si="2"/>
      </c>
      <c r="O62" s="14"/>
    </row>
    <row r="63">
      <c r="A63" s="7">
        <v>46004</v>
      </c>
      <c r="B63" s="8" t="s">
        <v>24</v>
      </c>
      <c r="C63" s="9" t="s">
        <v>23</v>
      </c>
      <c r="D63" s="8">
        <v>5</v>
      </c>
      <c r="E63" s="8">
        <v>65</v>
      </c>
      <c r="F63" s="8">
        <v>41</v>
      </c>
      <c r="G63" s="8">
        <v>36</v>
      </c>
      <c r="H63" s="8">
        <v>32</v>
      </c>
      <c r="I63" s="8">
        <v>2</v>
      </c>
      <c r="J63" s="10">
        <v>45993.19999999999</v>
      </c>
      <c r="K63" s="10">
        <v>28118.28</v>
      </c>
      <c r="L63" s="11">
        <f t="shared" si="0"/>
      </c>
      <c r="M63" s="11">
        <f t="shared" si="90"/>
      </c>
      <c r="N63" s="11">
        <f t="shared" si="2"/>
      </c>
      <c r="O63" s="15"/>
    </row>
    <row r="64">
      <c r="A64" s="16">
        <v>46004</v>
      </c>
      <c r="B64" s="17"/>
      <c r="C64" s="17"/>
      <c r="D64" s="17">
        <f>SUM(D60:D63)</f>
      </c>
      <c r="E64" s="17">
        <f>SUM(E60:E63)</f>
      </c>
      <c r="F64" s="17">
        <f>SUM(F60:F63)</f>
      </c>
      <c r="G64" s="17">
        <f>SUM(G60:G63)</f>
      </c>
      <c r="H64" s="17">
        <f>SUM(H60:H63)</f>
      </c>
      <c r="I64" s="17">
        <f>SUM(I60:I63)</f>
      </c>
      <c r="J64" s="17">
        <f>SUM(J60:J63)</f>
      </c>
      <c r="K64" s="17">
        <f>SUM(K60:K63)</f>
      </c>
      <c r="L64" s="18">
        <f t="shared" si="0"/>
      </c>
      <c r="M64" s="18">
        <f t="shared" si="90"/>
      </c>
      <c r="N64" s="18">
        <f t="shared" si="2"/>
      </c>
      <c r="O64" s="19"/>
    </row>
    <row r="65">
      <c r="A65" s="7">
        <v>46005</v>
      </c>
      <c r="B65" s="8" t="s">
        <v>16</v>
      </c>
      <c r="C65" s="9" t="s">
        <v>17</v>
      </c>
      <c r="D65" s="8">
        <v>5</v>
      </c>
      <c r="E65" s="8">
        <v>54</v>
      </c>
      <c r="F65" s="8">
        <v>40</v>
      </c>
      <c r="G65" s="8">
        <v>31</v>
      </c>
      <c r="H65" s="8">
        <v>31</v>
      </c>
      <c r="I65" s="8">
        <v>4</v>
      </c>
      <c r="J65" s="10">
        <v>42787.8</v>
      </c>
      <c r="K65" s="10">
        <v>25293.47</v>
      </c>
      <c r="L65" s="11">
        <f t="shared" si="0"/>
      </c>
      <c r="M65" s="11">
        <f t="shared" si="90"/>
      </c>
      <c r="N65" s="11">
        <f t="shared" si="2"/>
      </c>
      <c r="O65" s="12"/>
    </row>
    <row r="66">
      <c r="A66" s="7">
        <v>46005</v>
      </c>
      <c r="B66" s="8" t="s">
        <v>20</v>
      </c>
      <c r="C66" s="9" t="s">
        <v>19</v>
      </c>
      <c r="D66" s="8">
        <v>5</v>
      </c>
      <c r="E66" s="8">
        <v>44</v>
      </c>
      <c r="F66" s="8">
        <v>32</v>
      </c>
      <c r="G66" s="8">
        <v>25</v>
      </c>
      <c r="H66" s="8">
        <v>28</v>
      </c>
      <c r="I66" s="8">
        <v>2</v>
      </c>
      <c r="J66" s="10">
        <v>28771.999999999993</v>
      </c>
      <c r="K66" s="10">
        <v>22181.67</v>
      </c>
      <c r="L66" s="11">
        <f t="shared" si="0"/>
      </c>
      <c r="M66" s="11">
        <f t="shared" si="90"/>
      </c>
      <c r="N66" s="11">
        <f t="shared" si="2"/>
      </c>
      <c r="O66" s="13"/>
    </row>
    <row r="67">
      <c r="A67" s="7">
        <v>46005</v>
      </c>
      <c r="B67" s="8" t="s">
        <v>22</v>
      </c>
      <c r="C67" s="9" t="s">
        <v>21</v>
      </c>
      <c r="D67" s="8">
        <v>4</v>
      </c>
      <c r="E67" s="8">
        <v>11</v>
      </c>
      <c r="F67" s="8">
        <v>7</v>
      </c>
      <c r="G67" s="8">
        <v>11</v>
      </c>
      <c r="H67" s="8">
        <v>4</v>
      </c>
      <c r="I67" s="8">
        <v>0</v>
      </c>
      <c r="J67" s="10">
        <v>12849.6</v>
      </c>
      <c r="K67" s="10">
        <v>9696.81</v>
      </c>
      <c r="L67" s="11">
        <f t="shared" si="0"/>
      </c>
      <c r="M67" s="11">
        <f t="shared" si="90"/>
      </c>
      <c r="N67" s="11">
        <f t="shared" si="2"/>
      </c>
      <c r="O67" s="14"/>
    </row>
    <row r="68">
      <c r="A68" s="7">
        <v>46005</v>
      </c>
      <c r="B68" s="8" t="s">
        <v>24</v>
      </c>
      <c r="C68" s="9" t="s">
        <v>23</v>
      </c>
      <c r="D68" s="8">
        <v>5</v>
      </c>
      <c r="E68" s="8">
        <v>35</v>
      </c>
      <c r="F68" s="8">
        <v>28</v>
      </c>
      <c r="G68" s="8">
        <v>19</v>
      </c>
      <c r="H68" s="8">
        <v>24</v>
      </c>
      <c r="I68" s="8">
        <v>2</v>
      </c>
      <c r="J68" s="10">
        <v>31618.6</v>
      </c>
      <c r="K68" s="10">
        <v>13078.58</v>
      </c>
      <c r="L68" s="11">
        <f t="shared" si="0"/>
      </c>
      <c r="M68" s="11">
        <f t="shared" si="90"/>
      </c>
      <c r="N68" s="11">
        <f t="shared" si="2"/>
      </c>
      <c r="O68" s="15"/>
    </row>
    <row r="69">
      <c r="A69" s="16">
        <v>46005</v>
      </c>
      <c r="B69" s="17"/>
      <c r="C69" s="17"/>
      <c r="D69" s="17">
        <f>SUM(D65:D68)</f>
      </c>
      <c r="E69" s="17">
        <f>SUM(E65:E68)</f>
      </c>
      <c r="F69" s="17">
        <f>SUM(F65:F68)</f>
      </c>
      <c r="G69" s="17">
        <f>SUM(G65:G68)</f>
      </c>
      <c r="H69" s="17">
        <f>SUM(H65:H68)</f>
      </c>
      <c r="I69" s="17">
        <f>SUM(I65:I68)</f>
      </c>
      <c r="J69" s="17">
        <f>SUM(J65:J68)</f>
      </c>
      <c r="K69" s="17">
        <f>SUM(K65:K68)</f>
      </c>
      <c r="L69" s="18">
        <f t="shared" si="0"/>
      </c>
      <c r="M69" s="18">
        <f t="shared" si="90"/>
      </c>
      <c r="N69" s="18">
        <f t="shared" si="2"/>
      </c>
      <c r="O69" s="19"/>
    </row>
    <row r="70">
      <c r="A70" s="7">
        <v>46006</v>
      </c>
      <c r="B70" s="8" t="s">
        <v>18</v>
      </c>
      <c r="C70" s="9" t="s">
        <v>17</v>
      </c>
      <c r="D70" s="8">
        <v>5</v>
      </c>
      <c r="E70" s="8">
        <v>34</v>
      </c>
      <c r="F70" s="8">
        <v>27</v>
      </c>
      <c r="G70" s="8">
        <v>23</v>
      </c>
      <c r="H70" s="8">
        <v>21</v>
      </c>
      <c r="I70" s="8">
        <v>3</v>
      </c>
      <c r="J70" s="10">
        <v>28516.399999999998</v>
      </c>
      <c r="K70" s="10">
        <v>17224.829999999998</v>
      </c>
      <c r="L70" s="11">
        <f t="shared" si="0"/>
      </c>
      <c r="M70" s="11">
        <f t="shared" si="90"/>
      </c>
      <c r="N70" s="11">
        <f t="shared" si="2"/>
      </c>
      <c r="O70" s="12"/>
    </row>
    <row r="71">
      <c r="A71" s="7">
        <v>46006</v>
      </c>
      <c r="B71" s="8" t="s">
        <v>16</v>
      </c>
      <c r="C71" s="9" t="s">
        <v>19</v>
      </c>
      <c r="D71" s="8">
        <v>5</v>
      </c>
      <c r="E71" s="8">
        <v>60</v>
      </c>
      <c r="F71" s="8">
        <v>48</v>
      </c>
      <c r="G71" s="8">
        <v>36</v>
      </c>
      <c r="H71" s="8">
        <v>38</v>
      </c>
      <c r="I71" s="8">
        <v>5</v>
      </c>
      <c r="J71" s="10">
        <v>57194.399999999994</v>
      </c>
      <c r="K71" s="10">
        <v>25588.969999999998</v>
      </c>
      <c r="L71" s="11">
        <f t="shared" si="0"/>
      </c>
      <c r="M71" s="11">
        <f t="shared" si="90"/>
      </c>
      <c r="N71" s="11">
        <f t="shared" si="2"/>
      </c>
      <c r="O71" s="13"/>
    </row>
    <row r="72">
      <c r="A72" s="7">
        <v>46006</v>
      </c>
      <c r="B72" s="8" t="s">
        <v>24</v>
      </c>
      <c r="C72" s="9" t="s">
        <v>21</v>
      </c>
      <c r="D72" s="8">
        <v>5</v>
      </c>
      <c r="E72" s="8">
        <v>30</v>
      </c>
      <c r="F72" s="8">
        <v>22</v>
      </c>
      <c r="G72" s="8">
        <v>11</v>
      </c>
      <c r="H72" s="8">
        <v>16</v>
      </c>
      <c r="I72" s="8">
        <v>3</v>
      </c>
      <c r="J72" s="10">
        <v>27038.199999999997</v>
      </c>
      <c r="K72" s="10">
        <v>15505.15</v>
      </c>
      <c r="L72" s="11">
        <f t="shared" si="0"/>
      </c>
      <c r="M72" s="11">
        <f t="shared" si="90"/>
      </c>
      <c r="N72" s="11">
        <f t="shared" si="2"/>
      </c>
      <c r="O72" s="14"/>
    </row>
    <row r="73">
      <c r="A73" s="7">
        <v>46006</v>
      </c>
      <c r="B73" s="8" t="s">
        <v>20</v>
      </c>
      <c r="C73" s="9" t="s">
        <v>23</v>
      </c>
      <c r="D73" s="8">
        <v>5</v>
      </c>
      <c r="E73" s="8">
        <v>70</v>
      </c>
      <c r="F73" s="8">
        <v>46</v>
      </c>
      <c r="G73" s="8">
        <v>36</v>
      </c>
      <c r="H73" s="8">
        <v>33</v>
      </c>
      <c r="I73" s="8">
        <v>7</v>
      </c>
      <c r="J73" s="10">
        <v>63780.40000000001</v>
      </c>
      <c r="K73" s="10">
        <v>22375.25</v>
      </c>
      <c r="L73" s="11">
        <f t="shared" si="0"/>
      </c>
      <c r="M73" s="11">
        <f t="shared" si="90"/>
      </c>
      <c r="N73" s="11">
        <f t="shared" si="2"/>
      </c>
      <c r="O73" s="15"/>
    </row>
    <row r="74">
      <c r="A74" s="16">
        <v>46006</v>
      </c>
      <c r="B74" s="17"/>
      <c r="C74" s="17"/>
      <c r="D74" s="17">
        <f>SUM(D70:D73)</f>
      </c>
      <c r="E74" s="17">
        <f>SUM(E70:E73)</f>
      </c>
      <c r="F74" s="17">
        <f>SUM(F70:F73)</f>
      </c>
      <c r="G74" s="17">
        <f>SUM(G70:G73)</f>
      </c>
      <c r="H74" s="17">
        <f>SUM(H70:H73)</f>
      </c>
      <c r="I74" s="17">
        <f>SUM(I70:I73)</f>
      </c>
      <c r="J74" s="17">
        <f>SUM(J70:J73)</f>
      </c>
      <c r="K74" s="17">
        <f>SUM(K70:K73)</f>
      </c>
      <c r="L74" s="18">
        <f t="shared" si="0"/>
      </c>
      <c r="M74" s="18">
        <f t="shared" si="90"/>
      </c>
      <c r="N74" s="18">
        <f t="shared" si="2"/>
      </c>
      <c r="O74" s="19"/>
    </row>
    <row r="75">
      <c r="A75" s="7">
        <v>46007</v>
      </c>
      <c r="B75" s="8" t="s">
        <v>16</v>
      </c>
      <c r="C75" s="9" t="s">
        <v>17</v>
      </c>
      <c r="D75" s="8">
        <v>5</v>
      </c>
      <c r="E75" s="8">
        <v>48</v>
      </c>
      <c r="F75" s="8">
        <v>31</v>
      </c>
      <c r="G75" s="8">
        <v>23</v>
      </c>
      <c r="H75" s="8">
        <v>25</v>
      </c>
      <c r="I75" s="8">
        <v>5</v>
      </c>
      <c r="J75" s="10">
        <v>36906.2</v>
      </c>
      <c r="K75" s="10">
        <v>21893.68</v>
      </c>
      <c r="L75" s="11">
        <f t="shared" si="0"/>
      </c>
      <c r="M75" s="11">
        <f t="shared" si="90"/>
      </c>
      <c r="N75" s="11">
        <f t="shared" si="2"/>
      </c>
      <c r="O75" s="12"/>
    </row>
    <row r="76">
      <c r="A76" s="7">
        <v>46007</v>
      </c>
      <c r="B76" s="8" t="s">
        <v>18</v>
      </c>
      <c r="C76" s="9" t="s">
        <v>19</v>
      </c>
      <c r="D76" s="8">
        <v>5</v>
      </c>
      <c r="E76" s="8">
        <v>25</v>
      </c>
      <c r="F76" s="8">
        <v>16</v>
      </c>
      <c r="G76" s="8">
        <v>11</v>
      </c>
      <c r="H76" s="8">
        <v>13</v>
      </c>
      <c r="I76" s="8">
        <v>2</v>
      </c>
      <c r="J76" s="10">
        <v>17611.6</v>
      </c>
      <c r="K76" s="10">
        <v>17424.399999999998</v>
      </c>
      <c r="L76" s="11">
        <f t="shared" si="0"/>
      </c>
      <c r="M76" s="11">
        <f t="shared" si="90"/>
      </c>
      <c r="N76" s="11">
        <f t="shared" si="2"/>
      </c>
      <c r="O76" s="13"/>
    </row>
    <row r="77">
      <c r="A77" s="7">
        <v>46007</v>
      </c>
      <c r="B77" s="8" t="s">
        <v>22</v>
      </c>
      <c r="C77" s="9" t="s">
        <v>21</v>
      </c>
      <c r="D77" s="8">
        <v>5</v>
      </c>
      <c r="E77" s="8">
        <v>28</v>
      </c>
      <c r="F77" s="8">
        <v>18</v>
      </c>
      <c r="G77" s="8">
        <v>9</v>
      </c>
      <c r="H77" s="8">
        <v>13</v>
      </c>
      <c r="I77" s="8">
        <v>3</v>
      </c>
      <c r="J77" s="10">
        <v>29248.4</v>
      </c>
      <c r="K77" s="10">
        <v>13487.53</v>
      </c>
      <c r="L77" s="11">
        <f t="shared" si="0"/>
      </c>
      <c r="M77" s="11">
        <f t="shared" si="90"/>
      </c>
      <c r="N77" s="11">
        <f t="shared" si="2"/>
      </c>
      <c r="O77" s="14"/>
    </row>
    <row r="78">
      <c r="A78" s="7">
        <v>46007</v>
      </c>
      <c r="B78" s="8" t="s">
        <v>20</v>
      </c>
      <c r="C78" s="9" t="s">
        <v>23</v>
      </c>
      <c r="D78" s="8">
        <v>5</v>
      </c>
      <c r="E78" s="8">
        <v>63</v>
      </c>
      <c r="F78" s="8">
        <v>47</v>
      </c>
      <c r="G78" s="8">
        <v>35</v>
      </c>
      <c r="H78" s="8">
        <v>41</v>
      </c>
      <c r="I78" s="8">
        <v>7</v>
      </c>
      <c r="J78" s="10">
        <v>54511.8</v>
      </c>
      <c r="K78" s="10">
        <v>16533.43</v>
      </c>
      <c r="L78" s="11">
        <f t="shared" si="0"/>
      </c>
      <c r="M78" s="11">
        <f t="shared" si="90"/>
      </c>
      <c r="N78" s="11">
        <f t="shared" si="2"/>
      </c>
      <c r="O78" s="15"/>
    </row>
    <row r="79">
      <c r="A79" s="16">
        <v>46007</v>
      </c>
      <c r="B79" s="17"/>
      <c r="C79" s="17"/>
      <c r="D79" s="17">
        <f>SUM(D75:D78)</f>
      </c>
      <c r="E79" s="17">
        <f>SUM(E75:E78)</f>
      </c>
      <c r="F79" s="17">
        <f>SUM(F75:F78)</f>
      </c>
      <c r="G79" s="17">
        <f>SUM(G75:G78)</f>
      </c>
      <c r="H79" s="17">
        <f>SUM(H75:H78)</f>
      </c>
      <c r="I79" s="17">
        <f>SUM(I75:I78)</f>
      </c>
      <c r="J79" s="17">
        <f>SUM(J75:J78)</f>
      </c>
      <c r="K79" s="17">
        <f>SUM(K75:K78)</f>
      </c>
      <c r="L79" s="18">
        <f t="shared" si="0"/>
      </c>
      <c r="M79" s="18">
        <f t="shared" si="90"/>
      </c>
      <c r="N79" s="18">
        <f t="shared" si="2"/>
      </c>
      <c r="O79" s="19"/>
    </row>
    <row r="80">
      <c r="A80" s="7">
        <v>46008</v>
      </c>
      <c r="B80" s="8" t="s">
        <v>18</v>
      </c>
      <c r="C80" s="9" t="s">
        <v>17</v>
      </c>
      <c r="D80" s="8">
        <v>5</v>
      </c>
      <c r="E80" s="8">
        <v>59</v>
      </c>
      <c r="F80" s="8">
        <v>46</v>
      </c>
      <c r="G80" s="8">
        <v>29</v>
      </c>
      <c r="H80" s="8">
        <v>35</v>
      </c>
      <c r="I80" s="8">
        <v>6</v>
      </c>
      <c r="J80" s="10">
        <v>50294.8</v>
      </c>
      <c r="K80" s="10">
        <v>26073.39</v>
      </c>
      <c r="L80" s="11">
        <f t="shared" si="0"/>
      </c>
      <c r="M80" s="11">
        <f t="shared" si="90"/>
      </c>
      <c r="N80" s="11">
        <f t="shared" si="2"/>
      </c>
      <c r="O80" s="12"/>
    </row>
    <row r="81">
      <c r="A81" s="7">
        <v>46008</v>
      </c>
      <c r="B81" s="8" t="s">
        <v>24</v>
      </c>
      <c r="C81" s="9" t="s">
        <v>19</v>
      </c>
      <c r="D81" s="8">
        <v>5</v>
      </c>
      <c r="E81" s="8">
        <v>72</v>
      </c>
      <c r="F81" s="8">
        <v>55</v>
      </c>
      <c r="G81" s="8">
        <v>47</v>
      </c>
      <c r="H81" s="8">
        <v>43</v>
      </c>
      <c r="I81" s="8">
        <v>5</v>
      </c>
      <c r="J81" s="10">
        <v>58761.2</v>
      </c>
      <c r="K81" s="10">
        <v>29479.24</v>
      </c>
      <c r="L81" s="11">
        <f t="shared" si="0"/>
      </c>
      <c r="M81" s="11">
        <f t="shared" si="90"/>
      </c>
      <c r="N81" s="11">
        <f t="shared" si="2"/>
      </c>
      <c r="O81" s="13"/>
    </row>
    <row r="82">
      <c r="A82" s="7">
        <v>46008</v>
      </c>
      <c r="B82" s="8" t="s">
        <v>20</v>
      </c>
      <c r="C82" s="9" t="s">
        <v>21</v>
      </c>
      <c r="D82" s="8">
        <v>5</v>
      </c>
      <c r="E82" s="8">
        <v>125</v>
      </c>
      <c r="F82" s="8">
        <v>92</v>
      </c>
      <c r="G82" s="8">
        <v>65</v>
      </c>
      <c r="H82" s="8">
        <v>72</v>
      </c>
      <c r="I82" s="8">
        <v>13</v>
      </c>
      <c r="J82" s="10">
        <v>93264.8</v>
      </c>
      <c r="K82" s="10">
        <v>46732.130000000005</v>
      </c>
      <c r="L82" s="11">
        <f t="shared" si="0"/>
      </c>
      <c r="M82" s="11">
        <f t="shared" si="90"/>
      </c>
      <c r="N82" s="11">
        <f t="shared" si="2"/>
      </c>
      <c r="O82" s="14"/>
    </row>
    <row r="83">
      <c r="A83" s="7">
        <v>46008</v>
      </c>
      <c r="B83" s="8" t="s">
        <v>22</v>
      </c>
      <c r="C83" s="9" t="s">
        <v>23</v>
      </c>
      <c r="D83" s="8">
        <v>5</v>
      </c>
      <c r="E83" s="8">
        <v>75</v>
      </c>
      <c r="F83" s="8">
        <v>62</v>
      </c>
      <c r="G83" s="8">
        <v>43</v>
      </c>
      <c r="H83" s="8">
        <v>43</v>
      </c>
      <c r="I83" s="8">
        <v>6</v>
      </c>
      <c r="J83" s="10">
        <v>68036.40000000001</v>
      </c>
      <c r="K83" s="10">
        <v>35006.49</v>
      </c>
      <c r="L83" s="11">
        <f t="shared" si="0"/>
      </c>
      <c r="M83" s="11">
        <f t="shared" si="90"/>
      </c>
      <c r="N83" s="11">
        <f t="shared" si="2"/>
      </c>
      <c r="O83" s="15"/>
    </row>
    <row r="84">
      <c r="A84" s="16">
        <v>46008</v>
      </c>
      <c r="B84" s="17"/>
      <c r="C84" s="17"/>
      <c r="D84" s="17">
        <f>SUM(D80:D83)</f>
      </c>
      <c r="E84" s="17">
        <f>SUM(E80:E83)</f>
      </c>
      <c r="F84" s="17">
        <f>SUM(F80:F83)</f>
      </c>
      <c r="G84" s="17">
        <f>SUM(G80:G83)</f>
      </c>
      <c r="H84" s="17">
        <f>SUM(H80:H83)</f>
      </c>
      <c r="I84" s="17">
        <f>SUM(I80:I83)</f>
      </c>
      <c r="J84" s="17">
        <f>SUM(J80:J83)</f>
      </c>
      <c r="K84" s="17">
        <f>SUM(K80:K83)</f>
      </c>
      <c r="L84" s="18">
        <f t="shared" si="0"/>
      </c>
      <c r="M84" s="18">
        <f t="shared" si="90"/>
      </c>
      <c r="N84" s="18">
        <f t="shared" si="2"/>
      </c>
      <c r="O84" s="19"/>
    </row>
    <row r="85">
      <c r="A85" s="7">
        <v>46009</v>
      </c>
      <c r="B85" s="8" t="s">
        <v>24</v>
      </c>
      <c r="C85" s="9" t="s">
        <v>17</v>
      </c>
      <c r="D85" s="8">
        <v>5</v>
      </c>
      <c r="E85" s="8">
        <v>47</v>
      </c>
      <c r="F85" s="8">
        <v>29</v>
      </c>
      <c r="G85" s="8">
        <v>24</v>
      </c>
      <c r="H85" s="8">
        <v>25</v>
      </c>
      <c r="I85" s="8">
        <v>2</v>
      </c>
      <c r="J85" s="10">
        <v>25295.399999999998</v>
      </c>
      <c r="K85" s="10">
        <v>24611.63</v>
      </c>
      <c r="L85" s="11">
        <f t="shared" si="0"/>
      </c>
      <c r="M85" s="11">
        <f t="shared" si="90"/>
      </c>
      <c r="N85" s="11">
        <f t="shared" si="2"/>
      </c>
      <c r="O85" s="12"/>
    </row>
    <row r="86">
      <c r="A86" s="7">
        <v>46009</v>
      </c>
      <c r="B86" s="8" t="s">
        <v>20</v>
      </c>
      <c r="C86" s="9" t="s">
        <v>19</v>
      </c>
      <c r="D86" s="8">
        <v>5</v>
      </c>
      <c r="E86" s="8">
        <v>61</v>
      </c>
      <c r="F86" s="8">
        <v>41</v>
      </c>
      <c r="G86" s="8">
        <v>34</v>
      </c>
      <c r="H86" s="8">
        <v>26</v>
      </c>
      <c r="I86" s="8">
        <v>3</v>
      </c>
      <c r="J86" s="10">
        <v>51125.6</v>
      </c>
      <c r="K86" s="10">
        <v>22084.239999999998</v>
      </c>
      <c r="L86" s="11">
        <f t="shared" si="0"/>
      </c>
      <c r="M86" s="11">
        <f t="shared" si="90"/>
      </c>
      <c r="N86" s="11">
        <f t="shared" si="2"/>
      </c>
      <c r="O86" s="13"/>
    </row>
    <row r="87">
      <c r="A87" s="7">
        <v>46009</v>
      </c>
      <c r="B87" s="8" t="s">
        <v>16</v>
      </c>
      <c r="C87" s="9" t="s">
        <v>21</v>
      </c>
      <c r="D87" s="8">
        <v>5</v>
      </c>
      <c r="E87" s="8">
        <v>72</v>
      </c>
      <c r="F87" s="8">
        <v>56</v>
      </c>
      <c r="G87" s="8">
        <v>37</v>
      </c>
      <c r="H87" s="8">
        <v>35</v>
      </c>
      <c r="I87" s="8">
        <v>7</v>
      </c>
      <c r="J87" s="10">
        <v>62699.59999999999</v>
      </c>
      <c r="K87" s="10">
        <v>28676.25</v>
      </c>
      <c r="L87" s="11">
        <f t="shared" si="0"/>
      </c>
      <c r="M87" s="11">
        <f t="shared" si="90"/>
      </c>
      <c r="N87" s="11">
        <f t="shared" si="2"/>
      </c>
      <c r="O87" s="14"/>
    </row>
    <row r="88">
      <c r="A88" s="7">
        <v>46009</v>
      </c>
      <c r="B88" s="8" t="s">
        <v>22</v>
      </c>
      <c r="C88" s="9" t="s">
        <v>23</v>
      </c>
      <c r="D88" s="8">
        <v>5</v>
      </c>
      <c r="E88" s="8">
        <v>54</v>
      </c>
      <c r="F88" s="8">
        <v>41</v>
      </c>
      <c r="G88" s="8">
        <v>37</v>
      </c>
      <c r="H88" s="8">
        <v>32</v>
      </c>
      <c r="I88" s="8">
        <v>2</v>
      </c>
      <c r="J88" s="10">
        <v>37714.2</v>
      </c>
      <c r="K88" s="10">
        <v>28557.850000000002</v>
      </c>
      <c r="L88" s="11">
        <f t="shared" si="0"/>
      </c>
      <c r="M88" s="11">
        <f t="shared" si="90"/>
      </c>
      <c r="N88" s="11">
        <f t="shared" si="2"/>
      </c>
      <c r="O88" s="15"/>
    </row>
    <row r="89">
      <c r="A89" s="16">
        <v>46009</v>
      </c>
      <c r="B89" s="17"/>
      <c r="C89" s="17"/>
      <c r="D89" s="17">
        <f>SUM(D85:D88)</f>
      </c>
      <c r="E89" s="17">
        <f>SUM(E85:E88)</f>
      </c>
      <c r="F89" s="17">
        <f>SUM(F85:F88)</f>
      </c>
      <c r="G89" s="17">
        <f>SUM(G85:G88)</f>
      </c>
      <c r="H89" s="17">
        <f>SUM(H85:H88)</f>
      </c>
      <c r="I89" s="17">
        <f>SUM(I85:I88)</f>
      </c>
      <c r="J89" s="17">
        <f>SUM(J85:J88)</f>
      </c>
      <c r="K89" s="17">
        <f>SUM(K85:K88)</f>
      </c>
      <c r="L89" s="18">
        <f t="shared" si="0"/>
      </c>
      <c r="M89" s="18">
        <f t="shared" si="90"/>
      </c>
      <c r="N89" s="18">
        <f t="shared" si="2"/>
      </c>
      <c r="O89" s="19"/>
    </row>
    <row r="90">
      <c r="A90" s="7">
        <v>46010</v>
      </c>
      <c r="B90" s="8" t="s">
        <v>16</v>
      </c>
      <c r="C90" s="9" t="s">
        <v>17</v>
      </c>
      <c r="D90" s="8">
        <v>5</v>
      </c>
      <c r="E90" s="8">
        <v>57</v>
      </c>
      <c r="F90" s="8">
        <v>35</v>
      </c>
      <c r="G90" s="8">
        <v>26</v>
      </c>
      <c r="H90" s="8">
        <v>26</v>
      </c>
      <c r="I90" s="8">
        <v>2</v>
      </c>
      <c r="J90" s="10">
        <v>48342</v>
      </c>
      <c r="K90" s="10">
        <v>24302.61</v>
      </c>
      <c r="L90" s="11">
        <f t="shared" si="0"/>
      </c>
      <c r="M90" s="11">
        <f t="shared" si="90"/>
      </c>
      <c r="N90" s="11">
        <f t="shared" si="2"/>
      </c>
      <c r="O90" s="12"/>
    </row>
    <row r="91">
      <c r="A91" s="7">
        <v>46010</v>
      </c>
      <c r="B91" s="8" t="s">
        <v>18</v>
      </c>
      <c r="C91" s="9" t="s">
        <v>19</v>
      </c>
      <c r="D91" s="8">
        <v>5</v>
      </c>
      <c r="E91" s="8">
        <v>43</v>
      </c>
      <c r="F91" s="8">
        <v>32</v>
      </c>
      <c r="G91" s="8">
        <v>28</v>
      </c>
      <c r="H91" s="8">
        <v>20</v>
      </c>
      <c r="I91" s="8">
        <v>3</v>
      </c>
      <c r="J91" s="10">
        <v>36531.399999999994</v>
      </c>
      <c r="K91" s="10">
        <v>20999.070000000003</v>
      </c>
      <c r="L91" s="11">
        <f t="shared" si="0"/>
      </c>
      <c r="M91" s="11">
        <f t="shared" si="90"/>
      </c>
      <c r="N91" s="11">
        <f t="shared" si="2"/>
      </c>
      <c r="O91" s="13"/>
    </row>
    <row r="92">
      <c r="A92" s="7">
        <v>46010</v>
      </c>
      <c r="B92" s="8" t="s">
        <v>24</v>
      </c>
      <c r="C92" s="9" t="s">
        <v>21</v>
      </c>
      <c r="D92" s="8">
        <v>5</v>
      </c>
      <c r="E92" s="8">
        <v>50</v>
      </c>
      <c r="F92" s="8">
        <v>35</v>
      </c>
      <c r="G92" s="8">
        <v>32</v>
      </c>
      <c r="H92" s="8">
        <v>26</v>
      </c>
      <c r="I92" s="8">
        <v>2</v>
      </c>
      <c r="J92" s="10">
        <v>33224</v>
      </c>
      <c r="K92" s="10">
        <v>20894.09</v>
      </c>
      <c r="L92" s="11">
        <f t="shared" si="0"/>
      </c>
      <c r="M92" s="11">
        <f t="shared" si="90"/>
      </c>
      <c r="N92" s="11">
        <f t="shared" si="2"/>
      </c>
      <c r="O92" s="14"/>
    </row>
    <row r="93">
      <c r="A93" s="7">
        <v>46010</v>
      </c>
      <c r="B93" s="8" t="s">
        <v>22</v>
      </c>
      <c r="C93" s="9" t="s">
        <v>23</v>
      </c>
      <c r="D93" s="8">
        <v>5</v>
      </c>
      <c r="E93" s="8">
        <v>52</v>
      </c>
      <c r="F93" s="8">
        <v>36</v>
      </c>
      <c r="G93" s="8">
        <v>25</v>
      </c>
      <c r="H93" s="8">
        <v>25</v>
      </c>
      <c r="I93" s="8">
        <v>6</v>
      </c>
      <c r="J93" s="10">
        <v>43440.4</v>
      </c>
      <c r="K93" s="10">
        <v>21295.09</v>
      </c>
      <c r="L93" s="11">
        <f t="shared" si="0"/>
      </c>
      <c r="M93" s="11">
        <f t="shared" si="90"/>
      </c>
      <c r="N93" s="11">
        <f t="shared" si="2"/>
      </c>
      <c r="O93" s="15"/>
    </row>
    <row r="94">
      <c r="A94" s="16">
        <v>46010</v>
      </c>
      <c r="B94" s="17"/>
      <c r="C94" s="17"/>
      <c r="D94" s="17">
        <f>SUM(D90:D93)</f>
      </c>
      <c r="E94" s="17">
        <f>SUM(E90:E93)</f>
      </c>
      <c r="F94" s="17">
        <f>SUM(F90:F93)</f>
      </c>
      <c r="G94" s="17">
        <f>SUM(G90:G93)</f>
      </c>
      <c r="H94" s="17">
        <f>SUM(H90:H93)</f>
      </c>
      <c r="I94" s="17">
        <f>SUM(I90:I93)</f>
      </c>
      <c r="J94" s="17">
        <f>SUM(J90:J93)</f>
      </c>
      <c r="K94" s="17">
        <f>SUM(K90:K93)</f>
      </c>
      <c r="L94" s="18">
        <f t="shared" si="0"/>
      </c>
      <c r="M94" s="18">
        <f t="shared" si="90"/>
      </c>
      <c r="N94" s="18">
        <f t="shared" si="2"/>
      </c>
      <c r="O94" s="19"/>
    </row>
    <row r="95">
      <c r="A95" s="7">
        <v>46011</v>
      </c>
      <c r="B95" s="8" t="s">
        <v>16</v>
      </c>
      <c r="C95" s="9" t="s">
        <v>17</v>
      </c>
      <c r="D95" s="8">
        <v>5</v>
      </c>
      <c r="E95" s="8">
        <v>71</v>
      </c>
      <c r="F95" s="8">
        <v>60</v>
      </c>
      <c r="G95" s="8">
        <v>39</v>
      </c>
      <c r="H95" s="8">
        <v>48</v>
      </c>
      <c r="I95" s="8">
        <v>9</v>
      </c>
      <c r="J95" s="10">
        <v>57695.4</v>
      </c>
      <c r="K95" s="10">
        <v>33311.54</v>
      </c>
      <c r="L95" s="11">
        <f t="shared" si="0"/>
      </c>
      <c r="M95" s="11">
        <f t="shared" si="90"/>
      </c>
      <c r="N95" s="11">
        <f t="shared" si="2"/>
      </c>
      <c r="O95" s="12"/>
    </row>
    <row r="96">
      <c r="A96" s="7">
        <v>46011</v>
      </c>
      <c r="B96" s="8" t="s">
        <v>18</v>
      </c>
      <c r="C96" s="9" t="s">
        <v>19</v>
      </c>
      <c r="D96" s="8">
        <v>5</v>
      </c>
      <c r="E96" s="8">
        <v>69</v>
      </c>
      <c r="F96" s="8">
        <v>56</v>
      </c>
      <c r="G96" s="8">
        <v>45</v>
      </c>
      <c r="H96" s="8">
        <v>44</v>
      </c>
      <c r="I96" s="8">
        <v>5</v>
      </c>
      <c r="J96" s="10">
        <v>72021.4</v>
      </c>
      <c r="K96" s="10">
        <v>31189.35</v>
      </c>
      <c r="L96" s="11">
        <f t="shared" si="0"/>
      </c>
      <c r="M96" s="11">
        <f t="shared" si="90"/>
      </c>
      <c r="N96" s="11">
        <f t="shared" si="2"/>
      </c>
      <c r="O96" s="13"/>
    </row>
    <row r="97">
      <c r="A97" s="7">
        <v>46011</v>
      </c>
      <c r="B97" s="8" t="s">
        <v>20</v>
      </c>
      <c r="C97" s="9" t="s">
        <v>21</v>
      </c>
      <c r="D97" s="8">
        <v>5</v>
      </c>
      <c r="E97" s="8">
        <v>58</v>
      </c>
      <c r="F97" s="8">
        <v>43</v>
      </c>
      <c r="G97" s="8">
        <v>30</v>
      </c>
      <c r="H97" s="8">
        <v>32</v>
      </c>
      <c r="I97" s="8">
        <v>5</v>
      </c>
      <c r="J97" s="10">
        <v>63424.99999999999</v>
      </c>
      <c r="K97" s="10">
        <v>25654.299999999996</v>
      </c>
      <c r="L97" s="11">
        <f t="shared" si="0"/>
      </c>
      <c r="M97" s="11">
        <f t="shared" si="90"/>
      </c>
      <c r="N97" s="11">
        <f t="shared" si="2"/>
      </c>
      <c r="O97" s="14"/>
    </row>
    <row r="98">
      <c r="A98" s="7">
        <v>46011</v>
      </c>
      <c r="B98" s="8" t="s">
        <v>22</v>
      </c>
      <c r="C98" s="9" t="s">
        <v>23</v>
      </c>
      <c r="D98" s="8">
        <v>5</v>
      </c>
      <c r="E98" s="8">
        <v>51</v>
      </c>
      <c r="F98" s="8">
        <v>37</v>
      </c>
      <c r="G98" s="8">
        <v>32</v>
      </c>
      <c r="H98" s="8">
        <v>28</v>
      </c>
      <c r="I98" s="8">
        <v>3</v>
      </c>
      <c r="J98" s="10">
        <v>35812.4</v>
      </c>
      <c r="K98" s="10">
        <v>29300.659999999996</v>
      </c>
      <c r="L98" s="11">
        <f t="shared" si="0"/>
      </c>
      <c r="M98" s="11">
        <f t="shared" si="90"/>
      </c>
      <c r="N98" s="11">
        <f t="shared" si="2"/>
      </c>
      <c r="O98" s="15"/>
    </row>
    <row r="99">
      <c r="A99" s="16">
        <v>46011</v>
      </c>
      <c r="B99" s="17"/>
      <c r="C99" s="17"/>
      <c r="D99" s="17">
        <f>SUM(D95:D98)</f>
      </c>
      <c r="E99" s="17">
        <f>SUM(E95:E98)</f>
      </c>
      <c r="F99" s="17">
        <f>SUM(F95:F98)</f>
      </c>
      <c r="G99" s="17">
        <f>SUM(G95:G98)</f>
      </c>
      <c r="H99" s="17">
        <f>SUM(H95:H98)</f>
      </c>
      <c r="I99" s="17">
        <f>SUM(I95:I98)</f>
      </c>
      <c r="J99" s="17">
        <f>SUM(J95:J98)</f>
      </c>
      <c r="K99" s="17">
        <f>SUM(K95:K98)</f>
      </c>
      <c r="L99" s="18">
        <f t="shared" si="0"/>
      </c>
      <c r="M99" s="18">
        <f t="shared" si="90"/>
      </c>
      <c r="N99" s="18">
        <f t="shared" si="2"/>
      </c>
      <c r="O99" s="19"/>
    </row>
    <row r="100">
      <c r="A100" s="7">
        <v>46012</v>
      </c>
      <c r="B100" s="8" t="s">
        <v>18</v>
      </c>
      <c r="C100" s="9" t="s">
        <v>17</v>
      </c>
      <c r="D100" s="8">
        <v>5</v>
      </c>
      <c r="E100" s="8">
        <v>49</v>
      </c>
      <c r="F100" s="8">
        <v>35</v>
      </c>
      <c r="G100" s="8">
        <v>23</v>
      </c>
      <c r="H100" s="8">
        <v>23</v>
      </c>
      <c r="I100" s="8">
        <v>3</v>
      </c>
      <c r="J100" s="10">
        <v>55040.2</v>
      </c>
      <c r="K100" s="10">
        <v>24161.690000000002</v>
      </c>
      <c r="L100" s="11">
        <f t="shared" si="0"/>
      </c>
      <c r="M100" s="11">
        <f t="shared" si="90"/>
      </c>
      <c r="N100" s="11">
        <f t="shared" si="2"/>
      </c>
      <c r="O100" s="12"/>
    </row>
    <row r="101">
      <c r="A101" s="7">
        <v>46012</v>
      </c>
      <c r="B101" s="8" t="s">
        <v>24</v>
      </c>
      <c r="C101" s="9" t="s">
        <v>19</v>
      </c>
      <c r="D101" s="8">
        <v>5</v>
      </c>
      <c r="E101" s="8">
        <v>31</v>
      </c>
      <c r="F101" s="8">
        <v>23</v>
      </c>
      <c r="G101" s="8">
        <v>21</v>
      </c>
      <c r="H101" s="8">
        <v>17</v>
      </c>
      <c r="I101" s="8">
        <v>3</v>
      </c>
      <c r="J101" s="10">
        <v>24058.199999999997</v>
      </c>
      <c r="K101" s="10">
        <v>18840.27</v>
      </c>
      <c r="L101" s="11">
        <f t="shared" si="0"/>
      </c>
      <c r="M101" s="11">
        <f t="shared" si="90"/>
      </c>
      <c r="N101" s="11">
        <f t="shared" si="2"/>
      </c>
      <c r="O101" s="13"/>
    </row>
    <row r="102">
      <c r="A102" s="7">
        <v>46012</v>
      </c>
      <c r="B102" s="8" t="s">
        <v>20</v>
      </c>
      <c r="C102" s="9" t="s">
        <v>21</v>
      </c>
      <c r="D102" s="8">
        <v>5</v>
      </c>
      <c r="E102" s="8">
        <v>62</v>
      </c>
      <c r="F102" s="8">
        <v>43</v>
      </c>
      <c r="G102" s="8">
        <v>30</v>
      </c>
      <c r="H102" s="8">
        <v>27</v>
      </c>
      <c r="I102" s="8">
        <v>5</v>
      </c>
      <c r="J102" s="10">
        <v>69120.79999999999</v>
      </c>
      <c r="K102" s="10">
        <v>19267.5</v>
      </c>
      <c r="L102" s="11">
        <f t="shared" si="0"/>
      </c>
      <c r="M102" s="11">
        <f t="shared" si="90"/>
      </c>
      <c r="N102" s="11">
        <f t="shared" si="2"/>
      </c>
      <c r="O102" s="14"/>
    </row>
    <row r="103">
      <c r="A103" s="7">
        <v>46012</v>
      </c>
      <c r="B103" s="8" t="s">
        <v>22</v>
      </c>
      <c r="C103" s="9" t="s">
        <v>23</v>
      </c>
      <c r="D103" s="8">
        <v>5</v>
      </c>
      <c r="E103" s="8">
        <v>53</v>
      </c>
      <c r="F103" s="8">
        <v>41</v>
      </c>
      <c r="G103" s="8">
        <v>28</v>
      </c>
      <c r="H103" s="8">
        <v>33</v>
      </c>
      <c r="I103" s="8">
        <v>4</v>
      </c>
      <c r="J103" s="10">
        <v>39783.4</v>
      </c>
      <c r="K103" s="10">
        <v>23894.800000000003</v>
      </c>
      <c r="L103" s="11">
        <f t="shared" si="0"/>
      </c>
      <c r="M103" s="11">
        <f t="shared" si="90"/>
      </c>
      <c r="N103" s="11">
        <f t="shared" si="2"/>
      </c>
      <c r="O103" s="15"/>
    </row>
    <row r="104">
      <c r="A104" s="16">
        <v>46012</v>
      </c>
      <c r="B104" s="17"/>
      <c r="C104" s="17"/>
      <c r="D104" s="17">
        <f>SUM(D100:D103)</f>
      </c>
      <c r="E104" s="17">
        <f>SUM(E100:E103)</f>
      </c>
      <c r="F104" s="17">
        <f>SUM(F100:F103)</f>
      </c>
      <c r="G104" s="17">
        <f>SUM(G100:G103)</f>
      </c>
      <c r="H104" s="17">
        <f>SUM(H100:H103)</f>
      </c>
      <c r="I104" s="17">
        <f>SUM(I100:I103)</f>
      </c>
      <c r="J104" s="17">
        <f>SUM(J100:J103)</f>
      </c>
      <c r="K104" s="17">
        <f>SUM(K100:K103)</f>
      </c>
      <c r="L104" s="18">
        <f t="shared" si="0"/>
      </c>
      <c r="M104" s="18">
        <f t="shared" si="90"/>
      </c>
      <c r="N104" s="18">
        <f t="shared" si="2"/>
      </c>
      <c r="O104" s="19"/>
    </row>
    <row r="105">
      <c r="A105" s="7">
        <v>46013</v>
      </c>
      <c r="B105" s="8" t="s">
        <v>16</v>
      </c>
      <c r="C105" s="9" t="s">
        <v>17</v>
      </c>
      <c r="D105" s="8">
        <v>5</v>
      </c>
      <c r="E105" s="8">
        <v>35</v>
      </c>
      <c r="F105" s="8">
        <v>26</v>
      </c>
      <c r="G105" s="8">
        <v>15</v>
      </c>
      <c r="H105" s="8">
        <v>20</v>
      </c>
      <c r="I105" s="8">
        <v>7</v>
      </c>
      <c r="J105" s="10">
        <v>35331.6</v>
      </c>
      <c r="K105" s="10">
        <v>16238.220000000001</v>
      </c>
      <c r="L105" s="11">
        <f t="shared" si="0"/>
      </c>
      <c r="M105" s="11">
        <f t="shared" si="90"/>
      </c>
      <c r="N105" s="11">
        <f t="shared" si="2"/>
      </c>
      <c r="O105" s="12"/>
    </row>
    <row r="106">
      <c r="A106" s="7">
        <v>46013</v>
      </c>
      <c r="B106" s="8" t="s">
        <v>22</v>
      </c>
      <c r="C106" s="9" t="s">
        <v>19</v>
      </c>
      <c r="D106" s="8">
        <v>5</v>
      </c>
      <c r="E106" s="8">
        <v>16</v>
      </c>
      <c r="F106" s="8">
        <v>9</v>
      </c>
      <c r="G106" s="8">
        <v>8</v>
      </c>
      <c r="H106" s="8">
        <v>5</v>
      </c>
      <c r="I106" s="8">
        <v>0</v>
      </c>
      <c r="J106" s="10">
        <v>10369.2</v>
      </c>
      <c r="K106" s="10">
        <v>11686.86</v>
      </c>
      <c r="L106" s="11">
        <f t="shared" si="0"/>
      </c>
      <c r="M106" s="11">
        <f t="shared" si="90"/>
      </c>
      <c r="N106" s="11">
        <f t="shared" si="2"/>
      </c>
      <c r="O106" s="13"/>
    </row>
    <row r="107">
      <c r="A107" s="7">
        <v>46013</v>
      </c>
      <c r="B107" s="8" t="s">
        <v>24</v>
      </c>
      <c r="C107" s="9" t="s">
        <v>21</v>
      </c>
      <c r="D107" s="8">
        <v>5</v>
      </c>
      <c r="E107" s="8">
        <v>38</v>
      </c>
      <c r="F107" s="8">
        <v>30</v>
      </c>
      <c r="G107" s="8">
        <v>19</v>
      </c>
      <c r="H107" s="8">
        <v>24</v>
      </c>
      <c r="I107" s="8">
        <v>7</v>
      </c>
      <c r="J107" s="10">
        <v>36708.200000000004</v>
      </c>
      <c r="K107" s="10">
        <v>15595.86</v>
      </c>
      <c r="L107" s="11">
        <f t="shared" si="0"/>
      </c>
      <c r="M107" s="11">
        <f t="shared" si="90"/>
      </c>
      <c r="N107" s="11">
        <f t="shared" si="2"/>
      </c>
      <c r="O107" s="14"/>
    </row>
    <row r="108">
      <c r="A108" s="7">
        <v>46013</v>
      </c>
      <c r="B108" s="8" t="s">
        <v>20</v>
      </c>
      <c r="C108" s="9" t="s">
        <v>23</v>
      </c>
      <c r="D108" s="8">
        <v>5</v>
      </c>
      <c r="E108" s="8">
        <v>74</v>
      </c>
      <c r="F108" s="8">
        <v>53</v>
      </c>
      <c r="G108" s="8">
        <v>43</v>
      </c>
      <c r="H108" s="8">
        <v>35</v>
      </c>
      <c r="I108" s="8">
        <v>6</v>
      </c>
      <c r="J108" s="10">
        <v>68254</v>
      </c>
      <c r="K108" s="10">
        <v>21691.43</v>
      </c>
      <c r="L108" s="11">
        <f t="shared" si="0"/>
      </c>
      <c r="M108" s="11">
        <f t="shared" si="90"/>
      </c>
      <c r="N108" s="11">
        <f t="shared" si="2"/>
      </c>
      <c r="O108" s="15"/>
    </row>
    <row r="109">
      <c r="A109" s="16">
        <v>46013</v>
      </c>
      <c r="B109" s="17"/>
      <c r="C109" s="17"/>
      <c r="D109" s="17">
        <f>SUM(D105:D108)</f>
      </c>
      <c r="E109" s="17">
        <f>SUM(E105:E108)</f>
      </c>
      <c r="F109" s="17">
        <f>SUM(F105:F108)</f>
      </c>
      <c r="G109" s="17">
        <f>SUM(G105:G108)</f>
      </c>
      <c r="H109" s="17">
        <f>SUM(H105:H108)</f>
      </c>
      <c r="I109" s="17">
        <f>SUM(I105:I108)</f>
      </c>
      <c r="J109" s="17">
        <f>SUM(J105:J108)</f>
      </c>
      <c r="K109" s="17">
        <f>SUM(K105:K108)</f>
      </c>
      <c r="L109" s="18">
        <f t="shared" si="0"/>
      </c>
      <c r="M109" s="18">
        <f t="shared" si="90"/>
      </c>
      <c r="N109" s="18">
        <f t="shared" si="2"/>
      </c>
      <c r="O109" s="19"/>
    </row>
    <row r="110">
      <c r="A110" s="7">
        <v>46014</v>
      </c>
      <c r="B110" s="8" t="s">
        <v>16</v>
      </c>
      <c r="C110" s="9" t="s">
        <v>17</v>
      </c>
      <c r="D110" s="8">
        <v>5</v>
      </c>
      <c r="E110" s="8">
        <v>74</v>
      </c>
      <c r="F110" s="8">
        <v>59</v>
      </c>
      <c r="G110" s="8">
        <v>39</v>
      </c>
      <c r="H110" s="8">
        <v>49</v>
      </c>
      <c r="I110" s="8">
        <v>11</v>
      </c>
      <c r="J110" s="10">
        <v>66508.59999999999</v>
      </c>
      <c r="K110" s="10">
        <v>31085.519999999997</v>
      </c>
      <c r="L110" s="11">
        <f t="shared" si="0"/>
      </c>
      <c r="M110" s="11">
        <f t="shared" si="90"/>
      </c>
      <c r="N110" s="11">
        <f t="shared" si="2"/>
      </c>
      <c r="O110" s="12"/>
    </row>
    <row r="111">
      <c r="A111" s="7">
        <v>46014</v>
      </c>
      <c r="B111" s="8" t="s">
        <v>18</v>
      </c>
      <c r="C111" s="9" t="s">
        <v>30</v>
      </c>
      <c r="D111" s="8">
        <v>4</v>
      </c>
      <c r="E111" s="8">
        <v>41</v>
      </c>
      <c r="F111" s="8">
        <v>31</v>
      </c>
      <c r="G111" s="8">
        <v>21</v>
      </c>
      <c r="H111" s="8">
        <v>23</v>
      </c>
      <c r="I111" s="8">
        <v>4</v>
      </c>
      <c r="J111" s="10">
        <v>50664.8</v>
      </c>
      <c r="K111" s="10">
        <v>17444.239999999998</v>
      </c>
      <c r="L111" s="11">
        <f t="shared" si="0"/>
      </c>
      <c r="M111" s="11">
        <f t="shared" si="90"/>
      </c>
      <c r="N111" s="11">
        <f t="shared" si="2"/>
      </c>
      <c r="O111" s="13"/>
    </row>
    <row r="112">
      <c r="A112" s="7">
        <v>46014</v>
      </c>
      <c r="B112" s="8" t="s">
        <v>24</v>
      </c>
      <c r="C112" s="9" t="s">
        <v>31</v>
      </c>
      <c r="D112" s="8">
        <v>4</v>
      </c>
      <c r="E112" s="8">
        <v>39</v>
      </c>
      <c r="F112" s="8">
        <v>32</v>
      </c>
      <c r="G112" s="8">
        <v>22</v>
      </c>
      <c r="H112" s="8">
        <v>25</v>
      </c>
      <c r="I112" s="8">
        <v>5</v>
      </c>
      <c r="J112" s="10">
        <v>33911.399999999994</v>
      </c>
      <c r="K112" s="10">
        <v>16272.74</v>
      </c>
      <c r="L112" s="11">
        <f t="shared" si="0"/>
      </c>
      <c r="M112" s="11">
        <f t="shared" si="90"/>
      </c>
      <c r="N112" s="11">
        <f t="shared" si="2"/>
      </c>
      <c r="O112" s="13"/>
    </row>
    <row r="113">
      <c r="A113" s="7">
        <v>46014</v>
      </c>
      <c r="B113" s="8" t="s">
        <v>32</v>
      </c>
      <c r="C113" s="9" t="s">
        <v>33</v>
      </c>
      <c r="D113" s="8">
        <v>2</v>
      </c>
      <c r="E113" s="8">
        <v>18</v>
      </c>
      <c r="F113" s="8">
        <v>11</v>
      </c>
      <c r="G113" s="8">
        <v>8</v>
      </c>
      <c r="H113" s="8">
        <v>4</v>
      </c>
      <c r="I113" s="8">
        <v>1</v>
      </c>
      <c r="J113" s="10">
        <v>28452.199999999997</v>
      </c>
      <c r="K113" s="10">
        <v>8439.81</v>
      </c>
      <c r="L113" s="11">
        <f t="shared" si="0"/>
      </c>
      <c r="M113" s="11">
        <f t="shared" si="90"/>
      </c>
      <c r="N113" s="11">
        <f t="shared" si="2"/>
      </c>
      <c r="O113" s="14"/>
    </row>
    <row r="114">
      <c r="A114" s="7">
        <v>46014</v>
      </c>
      <c r="B114" s="8" t="s">
        <v>20</v>
      </c>
      <c r="C114" s="9" t="s">
        <v>23</v>
      </c>
      <c r="D114" s="8">
        <v>5</v>
      </c>
      <c r="E114" s="8">
        <v>54</v>
      </c>
      <c r="F114" s="8">
        <v>36</v>
      </c>
      <c r="G114" s="8">
        <v>25</v>
      </c>
      <c r="H114" s="8">
        <v>30</v>
      </c>
      <c r="I114" s="8">
        <v>4</v>
      </c>
      <c r="J114" s="10">
        <v>35966.2</v>
      </c>
      <c r="K114" s="10">
        <v>16965.01</v>
      </c>
      <c r="L114" s="11">
        <f t="shared" si="0"/>
      </c>
      <c r="M114" s="11">
        <f t="shared" si="90"/>
      </c>
      <c r="N114" s="11">
        <f t="shared" si="2"/>
      </c>
      <c r="O114" s="15"/>
    </row>
    <row r="115">
      <c r="A115" s="16">
        <v>46014</v>
      </c>
      <c r="B115" s="17"/>
      <c r="C115" s="17"/>
      <c r="D115" s="17">
        <f>SUM(D110:D114)</f>
      </c>
      <c r="E115" s="17">
        <f>SUM(E110:E114)</f>
      </c>
      <c r="F115" s="17">
        <f>SUM(F110:F114)</f>
      </c>
      <c r="G115" s="17">
        <f>SUM(G110:G114)</f>
      </c>
      <c r="H115" s="17">
        <f>SUM(H110:H114)</f>
      </c>
      <c r="I115" s="17">
        <f>SUM(I110:I114)</f>
      </c>
      <c r="J115" s="17">
        <f>SUM(J110:J114)</f>
      </c>
      <c r="K115" s="17">
        <f>SUM(K110:K114)</f>
      </c>
      <c r="L115" s="18">
        <f t="shared" si="0"/>
      </c>
      <c r="M115" s="18">
        <f t="shared" si="90"/>
      </c>
      <c r="N115" s="18">
        <f t="shared" si="2"/>
      </c>
      <c r="O115" s="19"/>
    </row>
    <row r="116">
      <c r="A116" s="7">
        <v>46015</v>
      </c>
      <c r="B116" s="8" t="s">
        <v>18</v>
      </c>
      <c r="C116" s="9" t="s">
        <v>17</v>
      </c>
      <c r="D116" s="8">
        <v>5</v>
      </c>
      <c r="E116" s="8">
        <v>44</v>
      </c>
      <c r="F116" s="8">
        <v>30</v>
      </c>
      <c r="G116" s="8">
        <v>24</v>
      </c>
      <c r="H116" s="8">
        <v>21</v>
      </c>
      <c r="I116" s="8">
        <v>3</v>
      </c>
      <c r="J116" s="10">
        <v>37207.600000000006</v>
      </c>
      <c r="K116" s="10">
        <v>22484.04</v>
      </c>
      <c r="L116" s="11">
        <f t="shared" si="0"/>
      </c>
      <c r="M116" s="11">
        <f t="shared" si="90"/>
      </c>
      <c r="N116" s="11">
        <f t="shared" si="2"/>
      </c>
      <c r="O116" s="12"/>
    </row>
    <row r="117">
      <c r="A117" s="7">
        <v>46015</v>
      </c>
      <c r="B117" s="8" t="s">
        <v>16</v>
      </c>
      <c r="C117" s="9" t="s">
        <v>30</v>
      </c>
      <c r="D117" s="8">
        <v>4</v>
      </c>
      <c r="E117" s="8">
        <v>41</v>
      </c>
      <c r="F117" s="8">
        <v>31</v>
      </c>
      <c r="G117" s="8">
        <v>26</v>
      </c>
      <c r="H117" s="8">
        <v>26</v>
      </c>
      <c r="I117" s="8">
        <v>2</v>
      </c>
      <c r="J117" s="10">
        <v>27170.4</v>
      </c>
      <c r="K117" s="10">
        <v>17637.25</v>
      </c>
      <c r="L117" s="11">
        <f t="shared" si="0"/>
      </c>
      <c r="M117" s="11">
        <f t="shared" si="90"/>
      </c>
      <c r="N117" s="11">
        <f t="shared" si="2"/>
      </c>
      <c r="O117" s="13"/>
    </row>
    <row r="118">
      <c r="A118" s="7">
        <v>46015</v>
      </c>
      <c r="B118" s="8" t="s">
        <v>22</v>
      </c>
      <c r="C118" s="9" t="s">
        <v>31</v>
      </c>
      <c r="D118" s="8">
        <v>4</v>
      </c>
      <c r="E118" s="8">
        <v>26</v>
      </c>
      <c r="F118" s="8">
        <v>15</v>
      </c>
      <c r="G118" s="8">
        <v>14</v>
      </c>
      <c r="H118" s="8">
        <v>11</v>
      </c>
      <c r="I118" s="8">
        <v>1</v>
      </c>
      <c r="J118" s="10">
        <v>14137.999999999998</v>
      </c>
      <c r="K118" s="10">
        <v>12219.55</v>
      </c>
      <c r="L118" s="11">
        <f t="shared" si="0"/>
      </c>
      <c r="M118" s="11">
        <f t="shared" si="90"/>
      </c>
      <c r="N118" s="11">
        <f t="shared" si="2"/>
      </c>
      <c r="O118" s="13"/>
    </row>
    <row r="119">
      <c r="A119" s="7">
        <v>46015</v>
      </c>
      <c r="B119" s="8" t="s">
        <v>32</v>
      </c>
      <c r="C119" s="9" t="s">
        <v>33</v>
      </c>
      <c r="D119" s="8">
        <v>2</v>
      </c>
      <c r="E119" s="8">
        <v>17</v>
      </c>
      <c r="F119" s="8">
        <v>13</v>
      </c>
      <c r="G119" s="8">
        <v>8</v>
      </c>
      <c r="H119" s="8">
        <v>12</v>
      </c>
      <c r="I119" s="8">
        <v>2</v>
      </c>
      <c r="J119" s="10">
        <v>10603.2</v>
      </c>
      <c r="K119" s="10">
        <v>7475.15</v>
      </c>
      <c r="L119" s="11">
        <f t="shared" si="0"/>
      </c>
      <c r="M119" s="11">
        <f t="shared" si="90"/>
      </c>
      <c r="N119" s="11">
        <f t="shared" si="2"/>
      </c>
      <c r="O119" s="14"/>
    </row>
    <row r="120">
      <c r="A120" s="7">
        <v>46015</v>
      </c>
      <c r="B120" s="8" t="s">
        <v>20</v>
      </c>
      <c r="C120" s="9" t="s">
        <v>23</v>
      </c>
      <c r="D120" s="8">
        <v>5</v>
      </c>
      <c r="E120" s="8">
        <v>68</v>
      </c>
      <c r="F120" s="8">
        <v>55</v>
      </c>
      <c r="G120" s="8">
        <v>37</v>
      </c>
      <c r="H120" s="8">
        <v>38</v>
      </c>
      <c r="I120" s="8">
        <v>9</v>
      </c>
      <c r="J120" s="10">
        <v>71398.4</v>
      </c>
      <c r="K120" s="10">
        <v>19863.379999999997</v>
      </c>
      <c r="L120" s="11">
        <f t="shared" si="0"/>
      </c>
      <c r="M120" s="11">
        <f t="shared" si="90"/>
      </c>
      <c r="N120" s="11">
        <f t="shared" si="2"/>
      </c>
      <c r="O120" s="15"/>
    </row>
    <row r="121">
      <c r="A121" s="16">
        <v>46015</v>
      </c>
      <c r="B121" s="17"/>
      <c r="C121" s="17"/>
      <c r="D121" s="17">
        <f>SUM(D116:D120)</f>
      </c>
      <c r="E121" s="17">
        <f>SUM(E116:E120)</f>
      </c>
      <c r="F121" s="17">
        <f>SUM(F116:F120)</f>
      </c>
      <c r="G121" s="17">
        <f>SUM(G116:G120)</f>
      </c>
      <c r="H121" s="17">
        <f>SUM(H116:H120)</f>
      </c>
      <c r="I121" s="17">
        <f>SUM(I116:I120)</f>
      </c>
      <c r="J121" s="17">
        <f>SUM(J116:J120)</f>
      </c>
      <c r="K121" s="17">
        <f>SUM(K116:K120)</f>
      </c>
      <c r="L121" s="18">
        <f t="shared" si="0"/>
      </c>
      <c r="M121" s="18">
        <f t="shared" si="90"/>
      </c>
      <c r="N121" s="18">
        <f t="shared" si="2"/>
      </c>
      <c r="O121" s="19"/>
    </row>
    <row r="122">
      <c r="A122" s="7">
        <v>46016</v>
      </c>
      <c r="B122" s="8" t="s">
        <v>16</v>
      </c>
      <c r="C122" s="9" t="s">
        <v>17</v>
      </c>
      <c r="D122" s="8">
        <v>5</v>
      </c>
      <c r="E122" s="8">
        <v>43</v>
      </c>
      <c r="F122" s="8">
        <v>34</v>
      </c>
      <c r="G122" s="8">
        <v>19</v>
      </c>
      <c r="H122" s="8">
        <v>28</v>
      </c>
      <c r="I122" s="8">
        <v>7</v>
      </c>
      <c r="J122" s="10">
        <v>29641.4</v>
      </c>
      <c r="K122" s="10">
        <v>19520.67</v>
      </c>
      <c r="L122" s="11">
        <f t="shared" si="0"/>
      </c>
      <c r="M122" s="11">
        <f t="shared" si="90"/>
      </c>
      <c r="N122" s="11">
        <f t="shared" si="2"/>
      </c>
      <c r="O122" s="12"/>
    </row>
    <row r="123">
      <c r="A123" s="7">
        <v>46016</v>
      </c>
      <c r="B123" s="8" t="s">
        <v>24</v>
      </c>
      <c r="C123" s="9" t="s">
        <v>30</v>
      </c>
      <c r="D123" s="8">
        <v>4</v>
      </c>
      <c r="E123" s="8">
        <v>28</v>
      </c>
      <c r="F123" s="8">
        <v>22</v>
      </c>
      <c r="G123" s="8">
        <v>19</v>
      </c>
      <c r="H123" s="8">
        <v>18</v>
      </c>
      <c r="I123" s="8">
        <v>1</v>
      </c>
      <c r="J123" s="10">
        <v>18306.2</v>
      </c>
      <c r="K123" s="10">
        <v>17924.370000000003</v>
      </c>
      <c r="L123" s="11">
        <f t="shared" si="0"/>
      </c>
      <c r="M123" s="11">
        <f t="shared" si="90"/>
      </c>
      <c r="N123" s="11">
        <f t="shared" si="2"/>
      </c>
      <c r="O123" s="13"/>
    </row>
    <row r="124">
      <c r="A124" s="7">
        <v>46016</v>
      </c>
      <c r="B124" s="8" t="s">
        <v>20</v>
      </c>
      <c r="C124" s="9" t="s">
        <v>31</v>
      </c>
      <c r="D124" s="8">
        <v>4</v>
      </c>
      <c r="E124" s="8">
        <v>31</v>
      </c>
      <c r="F124" s="8">
        <v>25</v>
      </c>
      <c r="G124" s="8">
        <v>19</v>
      </c>
      <c r="H124" s="8">
        <v>20</v>
      </c>
      <c r="I124" s="8">
        <v>3</v>
      </c>
      <c r="J124" s="10">
        <v>29764.800000000003</v>
      </c>
      <c r="K124" s="10">
        <v>14634.26</v>
      </c>
      <c r="L124" s="11">
        <f t="shared" si="0"/>
      </c>
      <c r="M124" s="11">
        <f t="shared" si="90"/>
      </c>
      <c r="N124" s="11">
        <f t="shared" si="2"/>
      </c>
      <c r="O124" s="13"/>
    </row>
    <row r="125">
      <c r="A125" s="7">
        <v>46016</v>
      </c>
      <c r="B125" s="8" t="s">
        <v>32</v>
      </c>
      <c r="C125" s="9" t="s">
        <v>33</v>
      </c>
      <c r="D125" s="8">
        <v>2</v>
      </c>
      <c r="E125" s="8">
        <v>14</v>
      </c>
      <c r="F125" s="8">
        <v>5</v>
      </c>
      <c r="G125" s="8">
        <v>4</v>
      </c>
      <c r="H125" s="8">
        <v>5</v>
      </c>
      <c r="I125" s="8">
        <v>0</v>
      </c>
      <c r="J125" s="10">
        <v>4027.4000000000005</v>
      </c>
      <c r="K125" s="10">
        <v>6026.700000000001</v>
      </c>
      <c r="L125" s="11">
        <f t="shared" si="0"/>
      </c>
      <c r="M125" s="11">
        <f t="shared" si="90"/>
      </c>
      <c r="N125" s="11">
        <f t="shared" si="2"/>
      </c>
      <c r="O125" s="14"/>
    </row>
    <row r="126">
      <c r="A126" s="7">
        <v>46016</v>
      </c>
      <c r="B126" s="8" t="s">
        <v>22</v>
      </c>
      <c r="C126" s="9" t="s">
        <v>23</v>
      </c>
      <c r="D126" s="8">
        <v>5</v>
      </c>
      <c r="E126" s="8">
        <v>37</v>
      </c>
      <c r="F126" s="8">
        <v>29</v>
      </c>
      <c r="G126" s="8">
        <v>25</v>
      </c>
      <c r="H126" s="8">
        <v>20</v>
      </c>
      <c r="I126" s="8">
        <v>3</v>
      </c>
      <c r="J126" s="10">
        <v>35458</v>
      </c>
      <c r="K126" s="10">
        <v>16230.639999999998</v>
      </c>
      <c r="L126" s="11">
        <f t="shared" si="0"/>
      </c>
      <c r="M126" s="11">
        <f t="shared" si="90"/>
      </c>
      <c r="N126" s="11">
        <f t="shared" si="2"/>
      </c>
      <c r="O126" s="15"/>
    </row>
    <row r="127">
      <c r="A127" s="16">
        <v>46016</v>
      </c>
      <c r="B127" s="17"/>
      <c r="C127" s="17"/>
      <c r="D127" s="17">
        <f>SUM(D122:D126)</f>
      </c>
      <c r="E127" s="17">
        <f>SUM(E122:E126)</f>
      </c>
      <c r="F127" s="17">
        <f>SUM(F122:F126)</f>
      </c>
      <c r="G127" s="17">
        <f>SUM(G122:G126)</f>
      </c>
      <c r="H127" s="17">
        <f>SUM(H122:H126)</f>
      </c>
      <c r="I127" s="17">
        <f>SUM(I122:I126)</f>
      </c>
      <c r="J127" s="17">
        <f>SUM(J122:J126)</f>
      </c>
      <c r="K127" s="17">
        <f>SUM(K122:K126)</f>
      </c>
      <c r="L127" s="18">
        <f t="shared" si="0"/>
      </c>
      <c r="M127" s="18">
        <f t="shared" si="90"/>
      </c>
      <c r="N127" s="18">
        <f t="shared" si="2"/>
      </c>
      <c r="O127" s="19"/>
    </row>
    <row r="128">
      <c r="A128" s="7">
        <v>46017</v>
      </c>
      <c r="B128" s="8" t="s">
        <v>18</v>
      </c>
      <c r="C128" s="9" t="s">
        <v>17</v>
      </c>
      <c r="D128" s="8">
        <v>5</v>
      </c>
      <c r="E128" s="8">
        <v>35</v>
      </c>
      <c r="F128" s="8">
        <v>27</v>
      </c>
      <c r="G128" s="8">
        <v>20</v>
      </c>
      <c r="H128" s="8">
        <v>21</v>
      </c>
      <c r="I128" s="8">
        <v>4</v>
      </c>
      <c r="J128" s="10">
        <v>32041</v>
      </c>
      <c r="K128" s="10">
        <v>18790.300000000003</v>
      </c>
      <c r="L128" s="11">
        <f t="shared" si="0"/>
      </c>
      <c r="M128" s="11">
        <f t="shared" si="90"/>
      </c>
      <c r="N128" s="11">
        <f t="shared" si="2"/>
      </c>
      <c r="O128" s="12"/>
    </row>
    <row r="129">
      <c r="A129" s="7">
        <v>46017</v>
      </c>
      <c r="B129" s="8" t="s">
        <v>22</v>
      </c>
      <c r="C129" s="9" t="s">
        <v>19</v>
      </c>
      <c r="D129" s="8">
        <v>5</v>
      </c>
      <c r="E129" s="8">
        <v>56</v>
      </c>
      <c r="F129" s="8">
        <v>42</v>
      </c>
      <c r="G129" s="8">
        <v>34</v>
      </c>
      <c r="H129" s="8">
        <v>30</v>
      </c>
      <c r="I129" s="8">
        <v>3</v>
      </c>
      <c r="J129" s="10">
        <v>40535</v>
      </c>
      <c r="K129" s="10">
        <v>25068.590000000004</v>
      </c>
      <c r="L129" s="11">
        <f t="shared" si="0"/>
      </c>
      <c r="M129" s="11">
        <f t="shared" si="90"/>
      </c>
      <c r="N129" s="11">
        <f t="shared" si="2"/>
      </c>
      <c r="O129" s="13"/>
    </row>
    <row r="130">
      <c r="A130" s="7">
        <v>46017</v>
      </c>
      <c r="B130" s="8" t="s">
        <v>20</v>
      </c>
      <c r="C130" s="9" t="s">
        <v>21</v>
      </c>
      <c r="D130" s="8">
        <v>5</v>
      </c>
      <c r="E130" s="8">
        <v>51</v>
      </c>
      <c r="F130" s="8">
        <v>43</v>
      </c>
      <c r="G130" s="8">
        <v>33</v>
      </c>
      <c r="H130" s="8">
        <v>29</v>
      </c>
      <c r="I130" s="8">
        <v>4</v>
      </c>
      <c r="J130" s="10">
        <v>51243.8</v>
      </c>
      <c r="K130" s="10">
        <v>18947.33</v>
      </c>
      <c r="L130" s="11">
        <f t="shared" si="0"/>
      </c>
      <c r="M130" s="11">
        <f t="shared" si="90"/>
      </c>
      <c r="N130" s="11">
        <f t="shared" si="2"/>
      </c>
      <c r="O130" s="14"/>
    </row>
    <row r="131">
      <c r="A131" s="7">
        <v>46017</v>
      </c>
      <c r="B131" s="8" t="s">
        <v>24</v>
      </c>
      <c r="C131" s="9" t="s">
        <v>23</v>
      </c>
      <c r="D131" s="8">
        <v>5</v>
      </c>
      <c r="E131" s="8">
        <v>48</v>
      </c>
      <c r="F131" s="8">
        <v>37</v>
      </c>
      <c r="G131" s="8">
        <v>29</v>
      </c>
      <c r="H131" s="8">
        <v>31</v>
      </c>
      <c r="I131" s="8">
        <v>5</v>
      </c>
      <c r="J131" s="10">
        <v>35971</v>
      </c>
      <c r="K131" s="10">
        <v>20793.379999999997</v>
      </c>
      <c r="L131" s="11">
        <f t="shared" si="0"/>
      </c>
      <c r="M131" s="11">
        <f t="shared" si="90"/>
      </c>
      <c r="N131" s="11">
        <f t="shared" si="2"/>
      </c>
      <c r="O131" s="15"/>
    </row>
    <row r="132">
      <c r="A132" s="16">
        <v>46017</v>
      </c>
      <c r="B132" s="17"/>
      <c r="C132" s="17"/>
      <c r="D132" s="17">
        <f>SUM(D128:D131)</f>
      </c>
      <c r="E132" s="17">
        <f>SUM(E128:E131)</f>
      </c>
      <c r="F132" s="17">
        <f>SUM(F128:F131)</f>
      </c>
      <c r="G132" s="17">
        <f>SUM(G128:G131)</f>
      </c>
      <c r="H132" s="17">
        <f>SUM(H128:H131)</f>
      </c>
      <c r="I132" s="17">
        <f>SUM(I128:I131)</f>
      </c>
      <c r="J132" s="17">
        <f>SUM(J128:J131)</f>
      </c>
      <c r="K132" s="17">
        <f>SUM(K128:K131)</f>
      </c>
      <c r="L132" s="18">
        <f t="shared" si="0"/>
      </c>
      <c r="M132" s="18">
        <f t="shared" si="90"/>
      </c>
      <c r="N132" s="18">
        <f t="shared" si="2"/>
      </c>
      <c r="O132" s="19"/>
    </row>
    <row r="133">
      <c r="A133" s="7">
        <v>46018</v>
      </c>
      <c r="B133" s="8" t="s">
        <v>22</v>
      </c>
      <c r="C133" s="9" t="s">
        <v>34</v>
      </c>
      <c r="D133" s="8">
        <v>4</v>
      </c>
      <c r="E133" s="8">
        <v>43</v>
      </c>
      <c r="F133" s="8">
        <v>33</v>
      </c>
      <c r="G133" s="8">
        <v>21</v>
      </c>
      <c r="H133" s="8">
        <v>16</v>
      </c>
      <c r="I133" s="8">
        <v>4</v>
      </c>
      <c r="J133" s="10">
        <v>28672.199999999997</v>
      </c>
      <c r="K133" s="10">
        <v>20331.12</v>
      </c>
      <c r="L133" s="11">
        <f t="shared" si="0"/>
      </c>
      <c r="M133" s="11">
        <f t="shared" si="90"/>
      </c>
      <c r="N133" s="11">
        <f t="shared" si="2"/>
      </c>
      <c r="O133" s="12"/>
    </row>
    <row r="134">
      <c r="A134" s="7">
        <v>46018</v>
      </c>
      <c r="B134" s="8" t="s">
        <v>20</v>
      </c>
      <c r="C134" s="9" t="s">
        <v>35</v>
      </c>
      <c r="D134" s="8">
        <v>5</v>
      </c>
      <c r="E134" s="8">
        <v>41</v>
      </c>
      <c r="F134" s="8">
        <v>36</v>
      </c>
      <c r="G134" s="8">
        <v>33</v>
      </c>
      <c r="H134" s="8">
        <v>26</v>
      </c>
      <c r="I134" s="8">
        <v>2</v>
      </c>
      <c r="J134" s="10">
        <v>41265.4</v>
      </c>
      <c r="K134" s="10">
        <v>18663.57</v>
      </c>
      <c r="L134" s="11">
        <f t="shared" si="0"/>
      </c>
      <c r="M134" s="11">
        <f t="shared" si="90"/>
      </c>
      <c r="N134" s="11">
        <f t="shared" si="2"/>
      </c>
      <c r="O134" s="13"/>
    </row>
    <row r="135">
      <c r="A135" s="7">
        <v>46018</v>
      </c>
      <c r="B135" s="8" t="s">
        <v>18</v>
      </c>
      <c r="C135" s="9" t="s">
        <v>31</v>
      </c>
      <c r="D135" s="8">
        <v>4</v>
      </c>
      <c r="E135" s="8">
        <v>31</v>
      </c>
      <c r="F135" s="8">
        <v>19</v>
      </c>
      <c r="G135" s="8">
        <v>16</v>
      </c>
      <c r="H135" s="8">
        <v>13</v>
      </c>
      <c r="I135" s="8">
        <v>1</v>
      </c>
      <c r="J135" s="10">
        <v>19103.799999999996</v>
      </c>
      <c r="K135" s="10">
        <v>13295.439999999999</v>
      </c>
      <c r="L135" s="11">
        <f t="shared" si="0"/>
      </c>
      <c r="M135" s="11">
        <f t="shared" si="90"/>
      </c>
      <c r="N135" s="11">
        <f t="shared" si="2"/>
      </c>
      <c r="O135" s="13"/>
    </row>
    <row r="136">
      <c r="A136" s="7">
        <v>46018</v>
      </c>
      <c r="B136" s="8" t="s">
        <v>32</v>
      </c>
      <c r="C136" s="9" t="s">
        <v>33</v>
      </c>
      <c r="D136" s="8">
        <v>2</v>
      </c>
      <c r="E136" s="8">
        <v>8</v>
      </c>
      <c r="F136" s="8">
        <v>6</v>
      </c>
      <c r="G136" s="8">
        <v>2</v>
      </c>
      <c r="H136" s="8">
        <v>6</v>
      </c>
      <c r="I136" s="8">
        <v>2</v>
      </c>
      <c r="J136" s="10">
        <v>3154.7999999999997</v>
      </c>
      <c r="K136" s="10">
        <v>5634.610000000001</v>
      </c>
      <c r="L136" s="11">
        <f t="shared" si="0"/>
      </c>
      <c r="M136" s="11">
        <f t="shared" si="90"/>
      </c>
      <c r="N136" s="11">
        <f t="shared" si="2"/>
      </c>
      <c r="O136" s="14"/>
    </row>
    <row r="137">
      <c r="A137" s="7">
        <v>46018</v>
      </c>
      <c r="B137" s="8" t="s">
        <v>24</v>
      </c>
      <c r="C137" s="9" t="s">
        <v>23</v>
      </c>
      <c r="D137" s="8">
        <v>5</v>
      </c>
      <c r="E137" s="8">
        <v>56</v>
      </c>
      <c r="F137" s="8">
        <v>47</v>
      </c>
      <c r="G137" s="8">
        <v>32</v>
      </c>
      <c r="H137" s="8">
        <v>32</v>
      </c>
      <c r="I137" s="8">
        <v>5</v>
      </c>
      <c r="J137" s="10">
        <v>56261.4</v>
      </c>
      <c r="K137" s="10">
        <v>19220.420000000002</v>
      </c>
      <c r="L137" s="11">
        <f t="shared" si="0"/>
      </c>
      <c r="M137" s="11">
        <f t="shared" si="90"/>
      </c>
      <c r="N137" s="11">
        <f t="shared" si="2"/>
      </c>
      <c r="O137" s="15"/>
    </row>
    <row r="138">
      <c r="A138" s="16">
        <v>46018</v>
      </c>
      <c r="B138" s="17"/>
      <c r="C138" s="17"/>
      <c r="D138" s="17">
        <f>SUM(D133:D137)</f>
      </c>
      <c r="E138" s="17">
        <f>SUM(E133:E137)</f>
      </c>
      <c r="F138" s="17">
        <f>SUM(F133:F137)</f>
      </c>
      <c r="G138" s="17">
        <f>SUM(G133:G137)</f>
      </c>
      <c r="H138" s="17">
        <f>SUM(H133:H137)</f>
      </c>
      <c r="I138" s="17">
        <f>SUM(I133:I137)</f>
      </c>
      <c r="J138" s="17">
        <f>SUM(J133:J137)</f>
      </c>
      <c r="K138" s="17">
        <f>SUM(K133:K137)</f>
      </c>
      <c r="L138" s="18">
        <f t="shared" si="0"/>
      </c>
      <c r="M138" s="18">
        <f t="shared" si="90"/>
      </c>
      <c r="N138" s="18">
        <f t="shared" si="2"/>
      </c>
      <c r="O138" s="19"/>
    </row>
    <row r="139">
      <c r="A139" s="7">
        <v>46019</v>
      </c>
      <c r="B139" s="8" t="s">
        <v>20</v>
      </c>
      <c r="C139" s="9" t="s">
        <v>17</v>
      </c>
      <c r="D139" s="8">
        <v>5</v>
      </c>
      <c r="E139" s="8">
        <v>54</v>
      </c>
      <c r="F139" s="8">
        <v>42</v>
      </c>
      <c r="G139" s="8">
        <v>29</v>
      </c>
      <c r="H139" s="8">
        <v>25</v>
      </c>
      <c r="I139" s="8">
        <v>4</v>
      </c>
      <c r="J139" s="10">
        <v>53782</v>
      </c>
      <c r="K139" s="10">
        <v>28872.449999999997</v>
      </c>
      <c r="L139" s="11">
        <f t="shared" si="0"/>
      </c>
      <c r="M139" s="11">
        <f t="shared" si="90"/>
      </c>
      <c r="N139" s="11">
        <f t="shared" si="2"/>
      </c>
      <c r="O139" s="12"/>
    </row>
    <row r="140">
      <c r="A140" s="7">
        <v>46019</v>
      </c>
      <c r="B140" s="8" t="s">
        <v>18</v>
      </c>
      <c r="C140" s="9" t="s">
        <v>30</v>
      </c>
      <c r="D140" s="8">
        <v>4</v>
      </c>
      <c r="E140" s="8">
        <v>43</v>
      </c>
      <c r="F140" s="8">
        <v>31</v>
      </c>
      <c r="G140" s="8">
        <v>29</v>
      </c>
      <c r="H140" s="8">
        <v>18</v>
      </c>
      <c r="I140" s="8">
        <v>2</v>
      </c>
      <c r="J140" s="10">
        <v>40829.799999999996</v>
      </c>
      <c r="K140" s="10">
        <v>21079.909999999996</v>
      </c>
      <c r="L140" s="11">
        <f t="shared" si="0"/>
      </c>
      <c r="M140" s="11">
        <f t="shared" si="90"/>
      </c>
      <c r="N140" s="11">
        <f t="shared" si="2"/>
      </c>
      <c r="O140" s="13"/>
    </row>
    <row r="141">
      <c r="A141" s="7">
        <v>46019</v>
      </c>
      <c r="B141" s="8" t="s">
        <v>24</v>
      </c>
      <c r="C141" s="9" t="s">
        <v>31</v>
      </c>
      <c r="D141" s="8">
        <v>4</v>
      </c>
      <c r="E141" s="8">
        <v>53</v>
      </c>
      <c r="F141" s="8">
        <v>39</v>
      </c>
      <c r="G141" s="8">
        <v>28</v>
      </c>
      <c r="H141" s="8">
        <v>28</v>
      </c>
      <c r="I141" s="8">
        <v>5</v>
      </c>
      <c r="J141" s="10">
        <v>55853.8</v>
      </c>
      <c r="K141" s="10">
        <v>15859.649999999998</v>
      </c>
      <c r="L141" s="11">
        <f t="shared" si="0"/>
      </c>
      <c r="M141" s="11">
        <f t="shared" si="90"/>
      </c>
      <c r="N141" s="11">
        <f t="shared" si="2"/>
      </c>
      <c r="O141" s="13"/>
    </row>
    <row r="142">
      <c r="A142" s="7">
        <v>46019</v>
      </c>
      <c r="B142" s="8" t="s">
        <v>32</v>
      </c>
      <c r="C142" s="9" t="s">
        <v>33</v>
      </c>
      <c r="D142" s="8">
        <v>2</v>
      </c>
      <c r="E142" s="8">
        <v>29</v>
      </c>
      <c r="F142" s="8">
        <v>23</v>
      </c>
      <c r="G142" s="8">
        <v>11</v>
      </c>
      <c r="H142" s="8">
        <v>22</v>
      </c>
      <c r="I142" s="8">
        <v>6</v>
      </c>
      <c r="J142" s="10">
        <v>15284.8</v>
      </c>
      <c r="K142" s="10">
        <v>8532.96</v>
      </c>
      <c r="L142" s="11">
        <f t="shared" si="0"/>
      </c>
      <c r="M142" s="11">
        <f t="shared" si="90"/>
      </c>
      <c r="N142" s="11">
        <f t="shared" si="2"/>
      </c>
      <c r="O142" s="14"/>
    </row>
    <row r="143">
      <c r="A143" s="7">
        <v>46019</v>
      </c>
      <c r="B143" s="8" t="s">
        <v>22</v>
      </c>
      <c r="C143" s="9" t="s">
        <v>23</v>
      </c>
      <c r="D143" s="8">
        <v>5</v>
      </c>
      <c r="E143" s="8">
        <v>58</v>
      </c>
      <c r="F143" s="8">
        <v>42</v>
      </c>
      <c r="G143" s="8">
        <v>29</v>
      </c>
      <c r="H143" s="8">
        <v>33</v>
      </c>
      <c r="I143" s="8">
        <v>8</v>
      </c>
      <c r="J143" s="10">
        <v>52229.8</v>
      </c>
      <c r="K143" s="10">
        <v>21388.82</v>
      </c>
      <c r="L143" s="11">
        <f t="shared" si="0"/>
      </c>
      <c r="M143" s="11">
        <f t="shared" si="90"/>
      </c>
      <c r="N143" s="11">
        <f t="shared" si="2"/>
      </c>
      <c r="O143" s="15"/>
    </row>
    <row r="144">
      <c r="A144" s="16">
        <v>46019</v>
      </c>
      <c r="B144" s="17"/>
      <c r="C144" s="17"/>
      <c r="D144" s="17">
        <f>SUM(D139:D143)</f>
      </c>
      <c r="E144" s="17">
        <f>SUM(E139:E143)</f>
      </c>
      <c r="F144" s="17">
        <f>SUM(F139:F143)</f>
      </c>
      <c r="G144" s="17">
        <f>SUM(G139:G143)</f>
      </c>
      <c r="H144" s="17">
        <f>SUM(H139:H143)</f>
      </c>
      <c r="I144" s="17">
        <f>SUM(I139:I143)</f>
      </c>
      <c r="J144" s="17">
        <f>SUM(J139:J143)</f>
      </c>
      <c r="K144" s="17">
        <f>SUM(K139:K143)</f>
      </c>
      <c r="L144" s="18">
        <f t="shared" si="0"/>
      </c>
      <c r="M144" s="18">
        <f t="shared" si="90"/>
      </c>
      <c r="N144" s="18">
        <f t="shared" si="2"/>
      </c>
      <c r="O144" s="19"/>
    </row>
    <row r="145">
      <c r="A145" s="7">
        <v>46020</v>
      </c>
      <c r="B145" s="8" t="s">
        <v>20</v>
      </c>
      <c r="C145" s="9" t="s">
        <v>17</v>
      </c>
      <c r="D145" s="8">
        <v>5</v>
      </c>
      <c r="E145" s="8">
        <v>73</v>
      </c>
      <c r="F145" s="8">
        <v>57</v>
      </c>
      <c r="G145" s="8">
        <v>35</v>
      </c>
      <c r="H145" s="8">
        <v>43</v>
      </c>
      <c r="I145" s="8">
        <v>10</v>
      </c>
      <c r="J145" s="10">
        <v>78367</v>
      </c>
      <c r="K145" s="10">
        <v>26072.56</v>
      </c>
      <c r="L145" s="11">
        <f t="shared" si="0"/>
      </c>
      <c r="M145" s="11">
        <f t="shared" si="90"/>
      </c>
      <c r="N145" s="11">
        <f t="shared" si="2"/>
      </c>
      <c r="O145" s="12"/>
    </row>
    <row r="146">
      <c r="A146" s="7">
        <v>46020</v>
      </c>
      <c r="B146" s="8" t="s">
        <v>18</v>
      </c>
      <c r="C146" s="9" t="s">
        <v>19</v>
      </c>
      <c r="D146" s="8">
        <v>5</v>
      </c>
      <c r="E146" s="8">
        <v>70</v>
      </c>
      <c r="F146" s="8">
        <v>56</v>
      </c>
      <c r="G146" s="8">
        <v>41</v>
      </c>
      <c r="H146" s="8">
        <v>38</v>
      </c>
      <c r="I146" s="8">
        <v>5</v>
      </c>
      <c r="J146" s="10">
        <v>63348</v>
      </c>
      <c r="K146" s="10">
        <v>29209.9</v>
      </c>
      <c r="L146" s="11">
        <f t="shared" si="0"/>
      </c>
      <c r="M146" s="11">
        <f t="shared" si="90"/>
      </c>
      <c r="N146" s="11">
        <f t="shared" si="2"/>
      </c>
      <c r="O146" s="13"/>
    </row>
    <row r="147">
      <c r="A147" s="7">
        <v>46020</v>
      </c>
      <c r="B147" s="8" t="s">
        <v>24</v>
      </c>
      <c r="C147" s="9" t="s">
        <v>21</v>
      </c>
      <c r="D147" s="8">
        <v>5</v>
      </c>
      <c r="E147" s="8">
        <v>38</v>
      </c>
      <c r="F147" s="8">
        <v>29</v>
      </c>
      <c r="G147" s="8">
        <v>19</v>
      </c>
      <c r="H147" s="8">
        <v>22</v>
      </c>
      <c r="I147" s="8">
        <v>4</v>
      </c>
      <c r="J147" s="10">
        <v>36453.6</v>
      </c>
      <c r="K147" s="10">
        <v>21794.510000000002</v>
      </c>
      <c r="L147" s="11">
        <f t="shared" si="0"/>
      </c>
      <c r="M147" s="11">
        <f t="shared" si="90"/>
      </c>
      <c r="N147" s="11">
        <f t="shared" si="2"/>
      </c>
      <c r="O147" s="13"/>
    </row>
    <row r="148">
      <c r="A148" s="7">
        <v>46020</v>
      </c>
      <c r="B148" s="8" t="s">
        <v>22</v>
      </c>
      <c r="C148" s="9" t="s">
        <v>23</v>
      </c>
      <c r="D148" s="8">
        <v>5</v>
      </c>
      <c r="E148" s="8">
        <v>63</v>
      </c>
      <c r="F148" s="8">
        <v>43</v>
      </c>
      <c r="G148" s="8">
        <v>28</v>
      </c>
      <c r="H148" s="8">
        <v>29</v>
      </c>
      <c r="I148" s="8">
        <v>8</v>
      </c>
      <c r="J148" s="10">
        <v>60158.40000000001</v>
      </c>
      <c r="K148" s="10">
        <v>22141.530000000002</v>
      </c>
      <c r="L148" s="11">
        <f t="shared" si="0"/>
      </c>
      <c r="M148" s="11">
        <f t="shared" si="90"/>
      </c>
      <c r="N148" s="11">
        <f t="shared" si="2"/>
      </c>
      <c r="O148" s="15"/>
    </row>
    <row r="149">
      <c r="A149" s="16">
        <v>46020</v>
      </c>
      <c r="B149" s="17"/>
      <c r="C149" s="17"/>
      <c r="D149" s="17">
        <f>SUM(D145:D148)</f>
      </c>
      <c r="E149" s="17">
        <f>SUM(E145:E148)</f>
      </c>
      <c r="F149" s="17">
        <f>SUM(F145:F148)</f>
      </c>
      <c r="G149" s="17">
        <f>SUM(G145:G148)</f>
      </c>
      <c r="H149" s="17">
        <f>SUM(H145:H148)</f>
      </c>
      <c r="I149" s="17">
        <f>SUM(I145:I148)</f>
      </c>
      <c r="J149" s="17">
        <f>SUM(J145:J148)</f>
      </c>
      <c r="K149" s="17">
        <f>SUM(K145:K148)</f>
      </c>
      <c r="L149" s="18">
        <f t="shared" si="0"/>
      </c>
      <c r="M149" s="18">
        <f t="shared" si="90"/>
      </c>
      <c r="N149" s="18">
        <f t="shared" si="2"/>
      </c>
      <c r="O149" s="19"/>
    </row>
    <row r="150">
      <c r="A150" s="7">
        <v>46021</v>
      </c>
      <c r="B150" s="8" t="s">
        <v>20</v>
      </c>
      <c r="C150" s="9" t="s">
        <v>17</v>
      </c>
      <c r="D150" s="8">
        <v>5</v>
      </c>
      <c r="E150" s="8">
        <v>65</v>
      </c>
      <c r="F150" s="8">
        <v>56</v>
      </c>
      <c r="G150" s="8">
        <v>39</v>
      </c>
      <c r="H150" s="8">
        <v>42</v>
      </c>
      <c r="I150" s="8">
        <v>3</v>
      </c>
      <c r="J150" s="10">
        <v>59555.600000000006</v>
      </c>
      <c r="K150" s="10">
        <v>28310.640000000003</v>
      </c>
      <c r="L150" s="11">
        <f t="shared" si="0"/>
      </c>
      <c r="M150" s="11">
        <f t="shared" si="90"/>
      </c>
      <c r="N150" s="11">
        <f t="shared" si="2"/>
      </c>
      <c r="O150" s="12"/>
    </row>
    <row r="151">
      <c r="A151" s="7">
        <v>46021</v>
      </c>
      <c r="B151" s="8" t="s">
        <v>18</v>
      </c>
      <c r="C151" s="9" t="s">
        <v>19</v>
      </c>
      <c r="D151" s="8">
        <v>5</v>
      </c>
      <c r="E151" s="8">
        <v>81</v>
      </c>
      <c r="F151" s="8">
        <v>63</v>
      </c>
      <c r="G151" s="8">
        <v>55</v>
      </c>
      <c r="H151" s="8">
        <v>36</v>
      </c>
      <c r="I151" s="8">
        <v>2</v>
      </c>
      <c r="J151" s="10">
        <v>58626.49999999999</v>
      </c>
      <c r="K151" s="10">
        <v>33938.66</v>
      </c>
      <c r="L151" s="11">
        <f t="shared" si="0"/>
      </c>
      <c r="M151" s="11">
        <f t="shared" si="90"/>
      </c>
      <c r="N151" s="11">
        <f t="shared" si="2"/>
      </c>
      <c r="O151" s="13"/>
    </row>
    <row r="152">
      <c r="A152" s="7">
        <v>46021</v>
      </c>
      <c r="B152" s="8" t="s">
        <v>24</v>
      </c>
      <c r="C152" s="9" t="s">
        <v>21</v>
      </c>
      <c r="D152" s="8">
        <v>5</v>
      </c>
      <c r="E152" s="8">
        <v>140</v>
      </c>
      <c r="F152" s="8">
        <v>104</v>
      </c>
      <c r="G152" s="8">
        <v>77</v>
      </c>
      <c r="H152" s="8">
        <v>65</v>
      </c>
      <c r="I152" s="8">
        <v>10</v>
      </c>
      <c r="J152" s="10">
        <v>102810</v>
      </c>
      <c r="K152" s="10">
        <v>49523.170000000006</v>
      </c>
      <c r="L152" s="11">
        <f t="shared" si="0"/>
      </c>
      <c r="M152" s="11">
        <f t="shared" si="90"/>
      </c>
      <c r="N152" s="11">
        <f t="shared" si="2"/>
      </c>
      <c r="O152" s="13"/>
    </row>
    <row r="153">
      <c r="A153" s="7">
        <v>46021</v>
      </c>
      <c r="B153" s="8" t="s">
        <v>22</v>
      </c>
      <c r="C153" s="9" t="s">
        <v>23</v>
      </c>
      <c r="D153" s="8">
        <v>5</v>
      </c>
      <c r="E153" s="8">
        <v>87</v>
      </c>
      <c r="F153" s="8">
        <v>71</v>
      </c>
      <c r="G153" s="8">
        <v>56</v>
      </c>
      <c r="H153" s="8">
        <v>44</v>
      </c>
      <c r="I153" s="8">
        <v>10</v>
      </c>
      <c r="J153" s="10">
        <v>69381</v>
      </c>
      <c r="K153" s="10">
        <v>45321.8</v>
      </c>
      <c r="L153" s="11">
        <f t="shared" si="0"/>
      </c>
      <c r="M153" s="11">
        <f t="shared" si="90"/>
      </c>
      <c r="N153" s="11">
        <f t="shared" si="2"/>
      </c>
      <c r="O153" s="15"/>
    </row>
    <row r="154">
      <c r="A154" s="16">
        <v>46021</v>
      </c>
      <c r="B154" s="17"/>
      <c r="C154" s="17"/>
      <c r="D154" s="17">
        <f>SUM(D150:D153)</f>
      </c>
      <c r="E154" s="17">
        <f>SUM(E150:E153)</f>
      </c>
      <c r="F154" s="17">
        <f>SUM(F150:F153)</f>
      </c>
      <c r="G154" s="17">
        <f>SUM(G150:G153)</f>
      </c>
      <c r="H154" s="17">
        <f>SUM(H150:H153)</f>
      </c>
      <c r="I154" s="17">
        <f>SUM(I150:I153)</f>
      </c>
      <c r="J154" s="17">
        <f>SUM(J150:J153)</f>
      </c>
      <c r="K154" s="17">
        <f>SUM(K150:K153)</f>
      </c>
      <c r="L154" s="18">
        <f t="shared" si="0"/>
      </c>
      <c r="M154" s="18">
        <f t="shared" si="90"/>
      </c>
      <c r="N154" s="18">
        <f t="shared" si="2"/>
      </c>
      <c r="O154" s="19"/>
    </row>
    <row r="155">
      <c r="A155" s="7">
        <v>46022</v>
      </c>
      <c r="B155" s="8" t="s">
        <v>18</v>
      </c>
      <c r="C155" s="9" t="s">
        <v>17</v>
      </c>
      <c r="D155" s="20">
        <v>4.5</v>
      </c>
      <c r="E155" s="8">
        <v>53</v>
      </c>
      <c r="F155" s="8">
        <v>37</v>
      </c>
      <c r="G155" s="8">
        <v>30</v>
      </c>
      <c r="H155" s="8">
        <v>30</v>
      </c>
      <c r="I155" s="8">
        <v>3</v>
      </c>
      <c r="J155" s="10">
        <v>33747</v>
      </c>
      <c r="K155" s="10">
        <v>31454.08</v>
      </c>
      <c r="L155" s="11">
        <f t="shared" si="0"/>
      </c>
      <c r="M155" s="11">
        <f t="shared" si="90"/>
      </c>
      <c r="N155" s="11">
        <f t="shared" si="2"/>
      </c>
      <c r="O155" s="12"/>
    </row>
    <row r="156">
      <c r="A156" s="7">
        <v>46022</v>
      </c>
      <c r="B156" s="8" t="s">
        <v>22</v>
      </c>
      <c r="C156" s="9" t="s">
        <v>19</v>
      </c>
      <c r="D156" s="20">
        <v>4.5</v>
      </c>
      <c r="E156" s="8">
        <v>83</v>
      </c>
      <c r="F156" s="8">
        <v>69</v>
      </c>
      <c r="G156" s="8">
        <v>47</v>
      </c>
      <c r="H156" s="8">
        <v>49</v>
      </c>
      <c r="I156" s="8">
        <v>10</v>
      </c>
      <c r="J156" s="10">
        <v>59823</v>
      </c>
      <c r="K156" s="10">
        <v>30283.159999999996</v>
      </c>
      <c r="L156" s="11">
        <f t="shared" si="0"/>
      </c>
      <c r="M156" s="11">
        <f t="shared" si="90"/>
      </c>
      <c r="N156" s="11">
        <f t="shared" si="2"/>
      </c>
      <c r="O156" s="13"/>
    </row>
    <row r="157">
      <c r="A157" s="7">
        <v>46022</v>
      </c>
      <c r="B157" s="8" t="s">
        <v>16</v>
      </c>
      <c r="C157" s="9" t="s">
        <v>21</v>
      </c>
      <c r="D157" s="8">
        <v>5</v>
      </c>
      <c r="E157" s="8">
        <v>78</v>
      </c>
      <c r="F157" s="8">
        <v>52</v>
      </c>
      <c r="G157" s="8">
        <v>38</v>
      </c>
      <c r="H157" s="8">
        <v>31</v>
      </c>
      <c r="I157" s="8">
        <v>7</v>
      </c>
      <c r="J157" s="10">
        <v>54281.899999999994</v>
      </c>
      <c r="K157" s="10">
        <v>25057.95</v>
      </c>
      <c r="L157" s="11">
        <f t="shared" si="0"/>
      </c>
      <c r="M157" s="11">
        <f t="shared" si="90"/>
      </c>
      <c r="N157" s="11">
        <f t="shared" si="2"/>
      </c>
      <c r="O157" s="13"/>
    </row>
    <row r="158">
      <c r="A158" s="7">
        <v>46022</v>
      </c>
      <c r="B158" s="8" t="s">
        <v>24</v>
      </c>
      <c r="C158" s="9" t="s">
        <v>23</v>
      </c>
      <c r="D158" s="8">
        <v>5</v>
      </c>
      <c r="E158" s="8">
        <v>112</v>
      </c>
      <c r="F158" s="8">
        <v>77</v>
      </c>
      <c r="G158" s="8">
        <v>58</v>
      </c>
      <c r="H158" s="8">
        <v>42</v>
      </c>
      <c r="I158" s="8">
        <v>9</v>
      </c>
      <c r="J158" s="10">
        <v>80933.69999999998</v>
      </c>
      <c r="K158" s="10">
        <v>34248.76</v>
      </c>
      <c r="L158" s="11">
        <f t="shared" si="0"/>
      </c>
      <c r="M158" s="11">
        <f t="shared" si="90"/>
      </c>
      <c r="N158" s="11">
        <f t="shared" si="2"/>
      </c>
      <c r="O158" s="15"/>
    </row>
    <row r="159">
      <c r="A159" s="16">
        <v>46022</v>
      </c>
      <c r="B159" s="17"/>
      <c r="C159" s="17"/>
      <c r="D159" s="17">
        <f>SUM(D155:D158)</f>
      </c>
      <c r="E159" s="17">
        <f>SUM(E155:E158)</f>
      </c>
      <c r="F159" s="17">
        <f>SUM(F155:F158)</f>
      </c>
      <c r="G159" s="17">
        <f>SUM(G155:G158)</f>
      </c>
      <c r="H159" s="17">
        <f>SUM(H155:H158)</f>
      </c>
      <c r="I159" s="17">
        <f>SUM(I155:I158)</f>
      </c>
      <c r="J159" s="17">
        <f>SUM(J155:J158)</f>
      </c>
      <c r="K159" s="17">
        <f>SUM(K155:K158)</f>
      </c>
      <c r="L159" s="18">
        <f t="shared" si="0"/>
      </c>
      <c r="M159" s="18">
        <f t="shared" si="90"/>
      </c>
      <c r="N159" s="18">
        <f t="shared" si="2"/>
      </c>
      <c r="O159" s="19"/>
    </row>
    <row r="160">
      <c r="A160" s="7">
        <v>46023</v>
      </c>
      <c r="B160" s="8" t="s">
        <v>18</v>
      </c>
      <c r="C160" s="9" t="s">
        <v>27</v>
      </c>
      <c r="D160" s="8">
        <v>6</v>
      </c>
      <c r="E160" s="21">
        <v>82</v>
      </c>
      <c r="F160" s="8">
        <v>63</v>
      </c>
      <c r="G160" s="8">
        <v>49</v>
      </c>
      <c r="H160" s="8">
        <v>42</v>
      </c>
      <c r="I160" s="8">
        <v>8</v>
      </c>
      <c r="J160" s="10">
        <v>62788.2</v>
      </c>
      <c r="K160" s="8">
        <v>39994.75</v>
      </c>
      <c r="L160" s="11">
        <f t="shared" si="0"/>
      </c>
      <c r="M160" s="11">
        <f t="shared" si="90"/>
      </c>
      <c r="N160" s="11">
        <f t="shared" si="2"/>
      </c>
    </row>
    <row r="161">
      <c r="A161" s="7">
        <v>46023</v>
      </c>
      <c r="B161" s="8" t="s">
        <v>24</v>
      </c>
      <c r="C161" s="9" t="s">
        <v>36</v>
      </c>
      <c r="D161" s="8">
        <v>4</v>
      </c>
      <c r="E161" s="8">
        <v>71</v>
      </c>
      <c r="F161" s="8">
        <v>51</v>
      </c>
      <c r="G161" s="8">
        <v>36</v>
      </c>
      <c r="H161" s="8">
        <v>32</v>
      </c>
      <c r="I161" s="8">
        <v>6</v>
      </c>
      <c r="J161" s="10">
        <v>47871.8</v>
      </c>
      <c r="K161" s="10">
        <v>25940.760000000002</v>
      </c>
      <c r="L161" s="11">
        <f t="shared" si="0"/>
      </c>
      <c r="M161" s="11">
        <f t="shared" si="90"/>
      </c>
      <c r="N161" s="11">
        <f t="shared" si="2"/>
      </c>
    </row>
    <row r="162">
      <c r="A162" s="7">
        <v>46023</v>
      </c>
      <c r="B162" s="8" t="s">
        <v>16</v>
      </c>
      <c r="C162" s="9" t="s">
        <v>21</v>
      </c>
      <c r="D162" s="8">
        <v>5</v>
      </c>
      <c r="E162" s="8">
        <v>71</v>
      </c>
      <c r="F162" s="8">
        <v>58</v>
      </c>
      <c r="G162" s="8">
        <v>36</v>
      </c>
      <c r="H162" s="8">
        <v>34</v>
      </c>
      <c r="I162" s="8">
        <v>9</v>
      </c>
      <c r="J162" s="10">
        <v>54388</v>
      </c>
      <c r="K162" s="10">
        <v>27835.58</v>
      </c>
      <c r="L162" s="11">
        <f t="shared" si="0"/>
      </c>
      <c r="M162" s="11">
        <f t="shared" si="90"/>
      </c>
      <c r="N162" s="11">
        <f t="shared" si="2"/>
      </c>
    </row>
    <row r="163">
      <c r="A163" s="7">
        <v>46023</v>
      </c>
      <c r="B163" s="8" t="s">
        <v>22</v>
      </c>
      <c r="C163" s="9" t="s">
        <v>23</v>
      </c>
      <c r="D163" s="8">
        <v>5</v>
      </c>
      <c r="E163" s="8">
        <v>100</v>
      </c>
      <c r="F163" s="8">
        <v>78</v>
      </c>
      <c r="G163" s="8">
        <v>62</v>
      </c>
      <c r="H163" s="8">
        <v>45</v>
      </c>
      <c r="I163" s="8">
        <v>8</v>
      </c>
      <c r="J163" s="10">
        <v>79078.2</v>
      </c>
      <c r="K163" s="10">
        <v>35687.17</v>
      </c>
      <c r="L163" s="11">
        <f t="shared" si="0"/>
      </c>
      <c r="M163" s="11">
        <f t="shared" si="90"/>
      </c>
      <c r="N163" s="11">
        <f t="shared" si="2"/>
      </c>
    </row>
    <row r="164">
      <c r="A164" s="16">
        <v>46023</v>
      </c>
      <c r="B164" s="17"/>
      <c r="C164" s="17"/>
      <c r="D164" s="17">
        <f>SUM(D160:D163)</f>
      </c>
      <c r="E164" s="17">
        <f>SUM(E160:E163)</f>
      </c>
      <c r="F164" s="17">
        <f>SUM(F160:F163)</f>
      </c>
      <c r="G164" s="17">
        <f>SUM(G160:G163)</f>
      </c>
      <c r="H164" s="17">
        <f>SUM(H160:H163)</f>
      </c>
      <c r="I164" s="17">
        <f>SUM(I160:I163)</f>
      </c>
      <c r="J164" s="17">
        <f>SUM(J160:J163)</f>
      </c>
      <c r="K164" s="17">
        <f>SUM(K160:K163)</f>
      </c>
      <c r="L164" s="18">
        <f t="shared" si="0"/>
      </c>
      <c r="M164" s="18">
        <f t="shared" si="90"/>
      </c>
      <c r="N164" s="18">
        <f t="shared" si="2"/>
      </c>
    </row>
    <row r="165">
      <c r="A165" s="7">
        <v>46024</v>
      </c>
      <c r="B165" s="8" t="s">
        <v>18</v>
      </c>
      <c r="C165" s="9" t="s">
        <v>17</v>
      </c>
      <c r="D165" s="8">
        <v>5</v>
      </c>
      <c r="E165" s="8">
        <v>91</v>
      </c>
      <c r="F165" s="8">
        <v>72</v>
      </c>
      <c r="G165" s="8">
        <v>52</v>
      </c>
      <c r="H165" s="8">
        <v>47</v>
      </c>
      <c r="I165" s="8">
        <v>8</v>
      </c>
      <c r="J165" s="10">
        <v>69827.2</v>
      </c>
      <c r="K165" s="10">
        <v>42661.42</v>
      </c>
      <c r="L165" s="11">
        <f t="shared" si="0"/>
      </c>
      <c r="M165" s="11">
        <f t="shared" si="90"/>
      </c>
      <c r="N165" s="11">
        <f t="shared" si="2"/>
      </c>
    </row>
    <row r="166">
      <c r="A166" s="7">
        <v>46024</v>
      </c>
      <c r="B166" s="8" t="s">
        <v>16</v>
      </c>
      <c r="C166" s="9" t="s">
        <v>19</v>
      </c>
      <c r="D166" s="8">
        <v>5</v>
      </c>
      <c r="E166" s="8">
        <v>118</v>
      </c>
      <c r="F166" s="8">
        <v>88</v>
      </c>
      <c r="G166" s="8">
        <v>70</v>
      </c>
      <c r="H166" s="8">
        <v>55</v>
      </c>
      <c r="I166" s="8">
        <v>9</v>
      </c>
      <c r="J166" s="10">
        <v>91083.29999999999</v>
      </c>
      <c r="K166" s="10">
        <v>43873.28</v>
      </c>
      <c r="L166" s="11">
        <f t="shared" si="0"/>
      </c>
      <c r="M166" s="11">
        <f t="shared" si="90"/>
      </c>
      <c r="N166" s="11">
        <f t="shared" si="2"/>
      </c>
    </row>
    <row r="167">
      <c r="A167" s="7">
        <v>46024</v>
      </c>
      <c r="B167" s="8" t="s">
        <v>24</v>
      </c>
      <c r="C167" s="9" t="s">
        <v>21</v>
      </c>
      <c r="D167" s="8">
        <v>5</v>
      </c>
      <c r="E167" s="8">
        <v>76</v>
      </c>
      <c r="F167" s="8">
        <v>58</v>
      </c>
      <c r="G167" s="8">
        <v>44</v>
      </c>
      <c r="H167" s="8">
        <v>44</v>
      </c>
      <c r="I167" s="8">
        <v>11</v>
      </c>
      <c r="J167" s="10">
        <v>54854</v>
      </c>
      <c r="K167" s="10">
        <v>32359.49</v>
      </c>
      <c r="L167" s="11">
        <f t="shared" si="0"/>
      </c>
      <c r="M167" s="11">
        <f t="shared" si="90"/>
      </c>
      <c r="N167" s="11">
        <f t="shared" si="2"/>
      </c>
    </row>
    <row r="168">
      <c r="A168" s="7">
        <v>46024</v>
      </c>
      <c r="B168" s="8" t="s">
        <v>22</v>
      </c>
      <c r="C168" s="9" t="s">
        <v>23</v>
      </c>
      <c r="D168" s="8">
        <v>5</v>
      </c>
      <c r="E168" s="8">
        <v>107</v>
      </c>
      <c r="F168" s="8">
        <v>86</v>
      </c>
      <c r="G168" s="8">
        <v>59</v>
      </c>
      <c r="H168" s="8">
        <v>62</v>
      </c>
      <c r="I168" s="8">
        <v>13</v>
      </c>
      <c r="J168" s="10">
        <v>62671.2</v>
      </c>
      <c r="K168" s="10">
        <v>37895.06</v>
      </c>
      <c r="L168" s="11">
        <f t="shared" si="0"/>
      </c>
      <c r="M168" s="11">
        <f t="shared" si="90"/>
      </c>
      <c r="N168" s="11">
        <f t="shared" si="2"/>
      </c>
    </row>
    <row r="169">
      <c r="A169" s="16">
        <v>46024</v>
      </c>
      <c r="B169" s="17"/>
      <c r="C169" s="17"/>
      <c r="D169" s="17">
        <f>SUM(D165:D168)</f>
      </c>
      <c r="E169" s="17">
        <f>SUM(E165:E168)</f>
      </c>
      <c r="F169" s="17">
        <f>SUM(F165:F168)</f>
      </c>
      <c r="G169" s="17">
        <f>SUM(G165:G168)</f>
      </c>
      <c r="H169" s="17">
        <f>SUM(H165:H168)</f>
      </c>
      <c r="I169" s="17">
        <f>SUM(I165:I168)</f>
      </c>
      <c r="J169" s="17">
        <f>SUM(J165:J168)</f>
      </c>
      <c r="K169" s="17">
        <f>SUM(K165:K168)</f>
      </c>
      <c r="L169" s="18">
        <f t="shared" si="0"/>
      </c>
      <c r="M169" s="18">
        <f t="shared" si="90"/>
      </c>
      <c r="N169" s="18">
        <f t="shared" si="2"/>
      </c>
    </row>
    <row r="170">
      <c r="A170" s="7">
        <v>46025</v>
      </c>
      <c r="B170" s="8" t="s">
        <v>16</v>
      </c>
      <c r="C170" s="9" t="s">
        <v>27</v>
      </c>
      <c r="D170" s="8">
        <v>6</v>
      </c>
      <c r="E170" s="8">
        <v>109</v>
      </c>
      <c r="F170" s="8">
        <v>87</v>
      </c>
      <c r="G170" s="8">
        <v>57</v>
      </c>
      <c r="H170" s="8">
        <v>56</v>
      </c>
      <c r="I170" s="8">
        <v>11</v>
      </c>
      <c r="J170" s="10">
        <v>87839.90000000001</v>
      </c>
      <c r="K170" s="10">
        <v>49595.61</v>
      </c>
      <c r="L170" s="11">
        <f t="shared" si="0"/>
      </c>
      <c r="M170" s="11">
        <f t="shared" si="90"/>
      </c>
      <c r="N170" s="11">
        <f t="shared" si="2"/>
      </c>
    </row>
    <row r="171">
      <c r="A171" s="7">
        <v>46025</v>
      </c>
      <c r="B171" s="8" t="s">
        <v>18</v>
      </c>
      <c r="C171" s="9" t="s">
        <v>28</v>
      </c>
      <c r="D171" s="8">
        <v>6</v>
      </c>
      <c r="E171" s="8">
        <v>75</v>
      </c>
      <c r="F171" s="8">
        <v>57</v>
      </c>
      <c r="G171" s="8">
        <v>46</v>
      </c>
      <c r="H171" s="8">
        <v>32</v>
      </c>
      <c r="I171" s="8">
        <v>5</v>
      </c>
      <c r="J171" s="10">
        <v>57851.399999999994</v>
      </c>
      <c r="K171" s="10">
        <v>35168.09</v>
      </c>
      <c r="L171" s="11">
        <f t="shared" si="0"/>
      </c>
      <c r="M171" s="11">
        <f t="shared" si="90"/>
      </c>
      <c r="N171" s="11">
        <f t="shared" si="2"/>
      </c>
    </row>
    <row r="172">
      <c r="A172" s="7">
        <v>46025</v>
      </c>
      <c r="B172" s="8" t="s">
        <v>22</v>
      </c>
      <c r="C172" s="9" t="s">
        <v>26</v>
      </c>
      <c r="D172" s="8">
        <v>3</v>
      </c>
      <c r="E172" s="8">
        <v>57</v>
      </c>
      <c r="F172" s="8">
        <v>41</v>
      </c>
      <c r="G172" s="8">
        <v>34</v>
      </c>
      <c r="H172" s="8">
        <v>28</v>
      </c>
      <c r="I172" s="8">
        <v>2</v>
      </c>
      <c r="J172" s="10">
        <v>33108.4</v>
      </c>
      <c r="K172" s="10">
        <v>23207.35</v>
      </c>
      <c r="L172" s="11">
        <f t="shared" si="0"/>
      </c>
      <c r="M172" s="11">
        <f t="shared" si="90"/>
      </c>
      <c r="N172" s="11">
        <f t="shared" si="2"/>
      </c>
    </row>
    <row r="173">
      <c r="A173" s="7">
        <v>46025</v>
      </c>
      <c r="B173" s="8" t="s">
        <v>24</v>
      </c>
      <c r="C173" s="9" t="s">
        <v>37</v>
      </c>
      <c r="D173" s="8">
        <v>2</v>
      </c>
      <c r="E173" s="8">
        <v>28</v>
      </c>
      <c r="F173" s="8">
        <v>25</v>
      </c>
      <c r="G173" s="8">
        <v>21</v>
      </c>
      <c r="H173" s="8">
        <v>11</v>
      </c>
      <c r="I173" s="8">
        <v>4</v>
      </c>
      <c r="J173" s="10">
        <v>27107.300000000003</v>
      </c>
      <c r="K173" s="10">
        <v>12899.509999999998</v>
      </c>
      <c r="L173" s="11">
        <f t="shared" si="0"/>
      </c>
      <c r="M173" s="11">
        <f t="shared" si="90"/>
      </c>
      <c r="N173" s="11">
        <f t="shared" si="2"/>
      </c>
    </row>
    <row r="174">
      <c r="A174" s="16">
        <v>46025</v>
      </c>
      <c r="B174" s="17"/>
      <c r="C174" s="17"/>
      <c r="D174" s="17">
        <f>SUM(D170:D173)</f>
      </c>
      <c r="E174" s="17">
        <f>SUM(E170:E173)</f>
      </c>
      <c r="F174" s="17">
        <f>SUM(F170:F173)</f>
      </c>
      <c r="G174" s="17">
        <f>SUM(G170:G173)</f>
      </c>
      <c r="H174" s="17">
        <f>SUM(H170:H173)</f>
      </c>
      <c r="I174" s="17">
        <f>SUM(I170:I173)</f>
      </c>
      <c r="J174" s="17">
        <f>SUM(J170:J173)</f>
      </c>
      <c r="K174" s="17">
        <f>SUM(K170:K173)</f>
      </c>
      <c r="L174" s="18">
        <f t="shared" si="0"/>
      </c>
      <c r="M174" s="18">
        <f t="shared" si="90"/>
      </c>
      <c r="N174" s="18">
        <f t="shared" si="2"/>
      </c>
      <c r="O174" s="12"/>
    </row>
    <row r="175">
      <c r="A175" s="7">
        <v>46026</v>
      </c>
      <c r="B175" s="8" t="s">
        <v>22</v>
      </c>
      <c r="C175" s="9" t="s">
        <v>38</v>
      </c>
      <c r="D175" s="8">
        <v>3</v>
      </c>
      <c r="E175" s="8">
        <v>38</v>
      </c>
      <c r="F175" s="8">
        <v>32</v>
      </c>
      <c r="G175" s="8">
        <v>18</v>
      </c>
      <c r="H175" s="8">
        <v>21</v>
      </c>
      <c r="I175" s="8">
        <v>6</v>
      </c>
      <c r="J175" s="10">
        <v>30644.899999999998</v>
      </c>
      <c r="K175" s="10">
        <v>21092.589999999997</v>
      </c>
      <c r="L175" s="11">
        <f t="shared" si="0"/>
      </c>
      <c r="M175" s="11">
        <f t="shared" si="90"/>
      </c>
      <c r="N175" s="11">
        <f t="shared" si="2"/>
      </c>
      <c r="O175" s="12"/>
    </row>
    <row r="176">
      <c r="A176" s="7">
        <v>46026</v>
      </c>
      <c r="B176" s="8" t="s">
        <v>20</v>
      </c>
      <c r="C176" s="9" t="s">
        <v>39</v>
      </c>
      <c r="D176" s="8">
        <v>6</v>
      </c>
      <c r="E176" s="8">
        <v>109</v>
      </c>
      <c r="F176" s="8">
        <v>79</v>
      </c>
      <c r="G176" s="8">
        <v>61</v>
      </c>
      <c r="H176" s="8">
        <v>59</v>
      </c>
      <c r="I176" s="8">
        <v>7</v>
      </c>
      <c r="J176" s="10">
        <v>60181.399999999994</v>
      </c>
      <c r="K176" s="10">
        <v>44728.04000000001</v>
      </c>
      <c r="L176" s="11">
        <f t="shared" si="0"/>
      </c>
      <c r="M176" s="11">
        <f t="shared" si="90"/>
      </c>
      <c r="N176" s="11">
        <f t="shared" si="2"/>
      </c>
      <c r="O176" s="13"/>
    </row>
    <row r="177">
      <c r="A177" s="7">
        <v>46026</v>
      </c>
      <c r="B177" s="8" t="s">
        <v>18</v>
      </c>
      <c r="C177" s="9" t="s">
        <v>40</v>
      </c>
      <c r="D177" s="8">
        <v>6</v>
      </c>
      <c r="E177" s="8">
        <v>75</v>
      </c>
      <c r="F177" s="8">
        <v>55</v>
      </c>
      <c r="G177" s="8">
        <v>43</v>
      </c>
      <c r="H177" s="8">
        <v>34</v>
      </c>
      <c r="I177" s="8">
        <v>6</v>
      </c>
      <c r="J177" s="10">
        <v>59720.399999999994</v>
      </c>
      <c r="K177" s="10">
        <v>33898.299999999996</v>
      </c>
      <c r="L177" s="11">
        <f t="shared" si="0"/>
      </c>
      <c r="M177" s="11">
        <f t="shared" si="90"/>
      </c>
      <c r="N177" s="11">
        <f t="shared" si="2"/>
      </c>
      <c r="O177" s="13"/>
    </row>
    <row r="178">
      <c r="A178" s="7">
        <v>46026</v>
      </c>
      <c r="B178" s="8" t="s">
        <v>24</v>
      </c>
      <c r="C178" s="9" t="s">
        <v>23</v>
      </c>
      <c r="D178" s="8">
        <v>5</v>
      </c>
      <c r="E178" s="8">
        <v>75</v>
      </c>
      <c r="F178" s="8">
        <v>60</v>
      </c>
      <c r="G178" s="8">
        <v>39</v>
      </c>
      <c r="H178" s="8">
        <v>34</v>
      </c>
      <c r="I178" s="8">
        <v>4</v>
      </c>
      <c r="J178" s="10">
        <v>67929.6</v>
      </c>
      <c r="K178" s="10">
        <v>29141.680000000004</v>
      </c>
      <c r="L178" s="11">
        <f t="shared" si="0"/>
      </c>
      <c r="M178" s="11">
        <f t="shared" si="90"/>
      </c>
      <c r="N178" s="11">
        <f t="shared" si="2"/>
      </c>
    </row>
    <row r="179">
      <c r="A179" s="16">
        <v>46026</v>
      </c>
      <c r="B179" s="17"/>
      <c r="C179" s="17"/>
      <c r="D179" s="17">
        <f>SUM(D175:D178)</f>
      </c>
      <c r="E179" s="17">
        <f>SUM(E175:E178)</f>
      </c>
      <c r="F179" s="17">
        <f>SUM(F175:F178)</f>
      </c>
      <c r="G179" s="17">
        <f>SUM(G175:G178)</f>
      </c>
      <c r="H179" s="17">
        <f>SUM(H175:H178)</f>
      </c>
      <c r="I179" s="17">
        <f>SUM(I175:I178)</f>
      </c>
      <c r="J179" s="17">
        <f>SUM(J175:J178)</f>
      </c>
      <c r="K179" s="17">
        <f>SUM(K175:K178)</f>
      </c>
      <c r="L179" s="18">
        <f t="shared" si="0"/>
      </c>
      <c r="M179" s="18">
        <f t="shared" si="90"/>
      </c>
      <c r="N179" s="18">
        <f t="shared" si="2"/>
      </c>
    </row>
    <row r="180">
      <c r="A180" s="7">
        <v>46027</v>
      </c>
      <c r="B180" s="8" t="s">
        <v>18</v>
      </c>
      <c r="C180" s="9" t="s">
        <v>17</v>
      </c>
      <c r="D180" s="8">
        <v>5</v>
      </c>
      <c r="E180" s="8">
        <v>90</v>
      </c>
      <c r="F180" s="8">
        <v>67</v>
      </c>
      <c r="G180" s="8">
        <v>58</v>
      </c>
      <c r="H180" s="8">
        <v>48</v>
      </c>
      <c r="I180" s="8">
        <v>5</v>
      </c>
      <c r="J180" s="10">
        <v>66174.40000000001</v>
      </c>
      <c r="K180" s="10">
        <v>41748.14</v>
      </c>
      <c r="L180" s="11">
        <f t="shared" si="0"/>
      </c>
      <c r="M180" s="11">
        <f t="shared" si="90"/>
      </c>
      <c r="N180" s="11">
        <f t="shared" si="2"/>
      </c>
    </row>
    <row r="181">
      <c r="A181" s="7">
        <v>46027</v>
      </c>
      <c r="B181" s="8" t="s">
        <v>16</v>
      </c>
      <c r="C181" s="9" t="s">
        <v>19</v>
      </c>
      <c r="D181" s="8">
        <v>5</v>
      </c>
      <c r="E181" s="8">
        <v>88</v>
      </c>
      <c r="F181" s="8">
        <v>66</v>
      </c>
      <c r="G181" s="8">
        <v>53</v>
      </c>
      <c r="H181" s="8">
        <v>35</v>
      </c>
      <c r="I181" s="8">
        <v>6</v>
      </c>
      <c r="J181" s="10">
        <v>69556.9</v>
      </c>
      <c r="K181" s="10">
        <v>39053.100000000006</v>
      </c>
      <c r="L181" s="11">
        <f t="shared" si="0"/>
      </c>
      <c r="M181" s="11">
        <f t="shared" si="90"/>
      </c>
      <c r="N181" s="11">
        <f t="shared" si="2"/>
      </c>
    </row>
    <row r="182">
      <c r="A182" s="7">
        <v>46027</v>
      </c>
      <c r="B182" s="8" t="s">
        <v>20</v>
      </c>
      <c r="C182" s="9" t="s">
        <v>21</v>
      </c>
      <c r="D182" s="8">
        <v>5</v>
      </c>
      <c r="E182" s="8">
        <v>94</v>
      </c>
      <c r="F182" s="8">
        <v>68</v>
      </c>
      <c r="G182" s="8">
        <v>50</v>
      </c>
      <c r="H182" s="8">
        <v>38</v>
      </c>
      <c r="I182" s="8">
        <v>8</v>
      </c>
      <c r="J182" s="10">
        <v>64366.39999999999</v>
      </c>
      <c r="K182" s="10">
        <v>35192.25</v>
      </c>
      <c r="L182" s="11">
        <f t="shared" si="0"/>
      </c>
      <c r="M182" s="11">
        <f t="shared" si="90"/>
      </c>
      <c r="N182" s="11">
        <f t="shared" si="2"/>
      </c>
    </row>
    <row r="183">
      <c r="A183" s="7">
        <v>46027</v>
      </c>
      <c r="B183" s="8" t="s">
        <v>22</v>
      </c>
      <c r="C183" s="9" t="s">
        <v>23</v>
      </c>
      <c r="D183" s="8">
        <v>5</v>
      </c>
      <c r="E183" s="8">
        <v>124</v>
      </c>
      <c r="F183" s="8">
        <v>94</v>
      </c>
      <c r="G183" s="8">
        <v>80</v>
      </c>
      <c r="H183" s="8">
        <v>68</v>
      </c>
      <c r="I183" s="8">
        <v>5</v>
      </c>
      <c r="J183" s="10">
        <v>91980</v>
      </c>
      <c r="K183" s="10">
        <v>48598.11000000001</v>
      </c>
      <c r="L183" s="11">
        <f t="shared" si="0"/>
      </c>
      <c r="M183" s="11">
        <f t="shared" si="90"/>
      </c>
      <c r="N183" s="11">
        <f t="shared" si="2"/>
      </c>
    </row>
    <row r="184">
      <c r="A184" s="16">
        <v>46027</v>
      </c>
      <c r="B184" s="17"/>
      <c r="C184" s="17"/>
      <c r="D184" s="17">
        <f>SUM(D180:D183)</f>
      </c>
      <c r="E184" s="17">
        <f>SUM(E180:E183)</f>
      </c>
      <c r="F184" s="17">
        <f>SUM(F180:F183)</f>
      </c>
      <c r="G184" s="17">
        <f>SUM(G180:G183)</f>
      </c>
      <c r="H184" s="17">
        <f>SUM(H180:H183)</f>
      </c>
      <c r="I184" s="17">
        <f>SUM(I180:I183)</f>
      </c>
      <c r="J184" s="17">
        <f>SUM(J180:J183)</f>
      </c>
      <c r="K184" s="17">
        <f>SUM(K180:K183)</f>
      </c>
      <c r="L184" s="18">
        <f t="shared" si="0"/>
      </c>
      <c r="M184" s="18">
        <f t="shared" si="90"/>
      </c>
      <c r="N184" s="18">
        <f t="shared" si="2"/>
      </c>
    </row>
    <row r="185">
      <c r="A185" s="7">
        <v>46028</v>
      </c>
      <c r="B185" s="8" t="s">
        <v>20</v>
      </c>
      <c r="C185" s="9" t="s">
        <v>17</v>
      </c>
      <c r="D185" s="8">
        <v>5</v>
      </c>
      <c r="E185" s="8">
        <v>91</v>
      </c>
      <c r="F185" s="8">
        <v>73</v>
      </c>
      <c r="G185" s="8">
        <v>57</v>
      </c>
      <c r="H185" s="8">
        <v>39</v>
      </c>
      <c r="I185" s="8">
        <v>6</v>
      </c>
      <c r="J185" s="10">
        <v>86160.3</v>
      </c>
      <c r="K185" s="10">
        <v>48195.47</v>
      </c>
      <c r="L185" s="11">
        <f t="shared" si="0"/>
      </c>
      <c r="M185" s="11">
        <f t="shared" si="90"/>
      </c>
      <c r="N185" s="11">
        <f t="shared" si="2"/>
      </c>
    </row>
    <row r="186">
      <c r="A186" s="7">
        <v>46028</v>
      </c>
      <c r="B186" s="8" t="s">
        <v>18</v>
      </c>
      <c r="C186" s="9" t="s">
        <v>19</v>
      </c>
      <c r="D186" s="8">
        <v>5</v>
      </c>
      <c r="E186" s="8">
        <v>73</v>
      </c>
      <c r="F186" s="8">
        <v>51</v>
      </c>
      <c r="G186" s="8">
        <v>44</v>
      </c>
      <c r="H186" s="8">
        <v>31</v>
      </c>
      <c r="I186" s="8">
        <v>4</v>
      </c>
      <c r="J186" s="10">
        <v>54652.2</v>
      </c>
      <c r="K186" s="10">
        <v>40026.74</v>
      </c>
      <c r="L186" s="11">
        <f t="shared" si="0"/>
      </c>
      <c r="M186" s="11">
        <f t="shared" si="90"/>
      </c>
      <c r="N186" s="11">
        <f t="shared" si="2"/>
      </c>
    </row>
    <row r="187">
      <c r="A187" s="7">
        <v>46028</v>
      </c>
      <c r="B187" s="8" t="s">
        <v>41</v>
      </c>
      <c r="C187" s="9" t="s">
        <v>42</v>
      </c>
      <c r="D187" s="8">
        <v>3</v>
      </c>
      <c r="E187" s="8">
        <v>29</v>
      </c>
      <c r="F187" s="8">
        <v>21</v>
      </c>
      <c r="G187" s="8">
        <v>21</v>
      </c>
      <c r="H187" s="8">
        <v>15</v>
      </c>
      <c r="I187" s="8">
        <v>1</v>
      </c>
      <c r="J187" s="10">
        <v>16410.199999999997</v>
      </c>
      <c r="K187" s="10">
        <v>17210.96</v>
      </c>
      <c r="L187" s="11">
        <f t="shared" si="0"/>
      </c>
      <c r="M187" s="11">
        <f t="shared" si="90"/>
      </c>
      <c r="N187" s="11">
        <f t="shared" si="2"/>
      </c>
    </row>
    <row r="188">
      <c r="A188" s="7">
        <v>46028</v>
      </c>
      <c r="B188" s="8" t="s">
        <v>24</v>
      </c>
      <c r="C188" s="9" t="s">
        <v>33</v>
      </c>
      <c r="D188" s="8">
        <v>2</v>
      </c>
      <c r="E188" s="8">
        <v>41</v>
      </c>
      <c r="F188" s="8">
        <v>33</v>
      </c>
      <c r="G188" s="8">
        <v>19</v>
      </c>
      <c r="H188" s="8">
        <v>21</v>
      </c>
      <c r="I188" s="8">
        <v>3</v>
      </c>
      <c r="J188" s="10">
        <v>25548.399999999998</v>
      </c>
      <c r="K188" s="10">
        <v>12163.45</v>
      </c>
      <c r="L188" s="11">
        <f t="shared" si="0"/>
      </c>
      <c r="M188" s="11">
        <f t="shared" si="90"/>
      </c>
      <c r="N188" s="11">
        <f t="shared" si="2"/>
      </c>
    </row>
    <row r="189">
      <c r="A189" s="7">
        <v>46028</v>
      </c>
      <c r="B189" s="8" t="s">
        <v>22</v>
      </c>
      <c r="C189" s="9" t="s">
        <v>23</v>
      </c>
      <c r="D189" s="8">
        <v>5</v>
      </c>
      <c r="E189" s="8">
        <v>103</v>
      </c>
      <c r="F189" s="8">
        <v>71</v>
      </c>
      <c r="G189" s="8">
        <v>59</v>
      </c>
      <c r="H189" s="8">
        <v>42</v>
      </c>
      <c r="I189" s="8">
        <v>8</v>
      </c>
      <c r="J189" s="10">
        <v>66132</v>
      </c>
      <c r="K189" s="10">
        <v>40028.57000000001</v>
      </c>
      <c r="L189" s="11">
        <f t="shared" si="0"/>
      </c>
      <c r="M189" s="11">
        <f t="shared" si="90"/>
      </c>
      <c r="N189" s="11">
        <f t="shared" si="2"/>
      </c>
    </row>
    <row r="190">
      <c r="A190" s="16">
        <v>46028</v>
      </c>
      <c r="B190" s="17"/>
      <c r="C190" s="17"/>
      <c r="D190" s="17">
        <f>SUM(D185:D189)</f>
      </c>
      <c r="E190" s="17">
        <f>SUM(E185:E189)</f>
      </c>
      <c r="F190" s="17">
        <f>SUM(F185:F189)</f>
      </c>
      <c r="G190" s="17">
        <f>SUM(G185:G189)</f>
      </c>
      <c r="H190" s="17">
        <f>SUM(H185:H189)</f>
      </c>
      <c r="I190" s="17">
        <f>SUM(I185:I189)</f>
      </c>
      <c r="J190" s="17">
        <f>SUM(J185:J189)</f>
      </c>
      <c r="K190" s="17">
        <f>SUM(K185:K189)</f>
      </c>
      <c r="L190" s="18">
        <f t="shared" si="0"/>
      </c>
      <c r="M190" s="18">
        <f t="shared" si="90"/>
      </c>
      <c r="N190" s="18">
        <f t="shared" si="2"/>
      </c>
      <c r="O190" s="15"/>
    </row>
    <row r="191">
      <c r="A191" s="7">
        <v>46029</v>
      </c>
      <c r="B191" s="8" t="s">
        <v>20</v>
      </c>
      <c r="C191" s="9" t="s">
        <v>17</v>
      </c>
      <c r="D191" s="8">
        <v>5</v>
      </c>
      <c r="E191" s="8">
        <v>58</v>
      </c>
      <c r="F191" s="8">
        <v>44</v>
      </c>
      <c r="G191" s="8">
        <v>34</v>
      </c>
      <c r="H191" s="8">
        <v>26</v>
      </c>
      <c r="I191" s="8">
        <v>5</v>
      </c>
      <c r="J191" s="10">
        <v>35392.700000000004</v>
      </c>
      <c r="K191" s="10">
        <v>28344.019999999997</v>
      </c>
      <c r="L191" s="11">
        <f t="shared" si="0"/>
      </c>
      <c r="M191" s="11">
        <f t="shared" si="90"/>
      </c>
      <c r="N191" s="11">
        <f t="shared" si="2"/>
      </c>
      <c r="O191" s="12"/>
    </row>
    <row r="192">
      <c r="A192" s="7">
        <v>46029</v>
      </c>
      <c r="B192" s="8" t="s">
        <v>18</v>
      </c>
      <c r="C192" s="9" t="s">
        <v>19</v>
      </c>
      <c r="D192" s="8">
        <v>5</v>
      </c>
      <c r="E192" s="8">
        <v>48</v>
      </c>
      <c r="F192" s="8">
        <v>38</v>
      </c>
      <c r="G192" s="8">
        <v>28</v>
      </c>
      <c r="H192" s="8">
        <v>28</v>
      </c>
      <c r="I192" s="8">
        <v>2</v>
      </c>
      <c r="J192" s="10">
        <v>36404.100000000006</v>
      </c>
      <c r="K192" s="10">
        <v>24303.800000000003</v>
      </c>
      <c r="L192" s="11">
        <f t="shared" si="0"/>
      </c>
      <c r="M192" s="11">
        <f t="shared" si="90"/>
      </c>
      <c r="N192" s="11">
        <f t="shared" si="2"/>
      </c>
      <c r="O192" s="13"/>
    </row>
    <row r="193">
      <c r="A193" s="7">
        <v>46029</v>
      </c>
      <c r="B193" s="8" t="s">
        <v>41</v>
      </c>
      <c r="C193" s="9" t="s">
        <v>25</v>
      </c>
      <c r="D193" s="8">
        <v>2</v>
      </c>
      <c r="E193" s="8">
        <v>16</v>
      </c>
      <c r="F193" s="8">
        <v>12</v>
      </c>
      <c r="G193" s="8">
        <v>9</v>
      </c>
      <c r="H193" s="8">
        <v>12</v>
      </c>
      <c r="I193" s="8">
        <v>0</v>
      </c>
      <c r="J193" s="10">
        <v>8611.2</v>
      </c>
      <c r="K193" s="10">
        <v>8772.419999999998</v>
      </c>
      <c r="L193" s="11">
        <f t="shared" si="0"/>
      </c>
      <c r="M193" s="11">
        <f t="shared" si="90"/>
      </c>
      <c r="N193" s="11">
        <f t="shared" si="2"/>
      </c>
      <c r="O193" s="13"/>
    </row>
    <row r="194">
      <c r="A194" s="7">
        <v>46029</v>
      </c>
      <c r="B194" s="8" t="s">
        <v>24</v>
      </c>
      <c r="C194" s="9" t="s">
        <v>26</v>
      </c>
      <c r="D194" s="8">
        <v>3</v>
      </c>
      <c r="E194" s="8">
        <v>55</v>
      </c>
      <c r="F194" s="8">
        <v>44</v>
      </c>
      <c r="G194" s="8">
        <v>27</v>
      </c>
      <c r="H194" s="8">
        <v>18</v>
      </c>
      <c r="I194" s="8">
        <v>6</v>
      </c>
      <c r="J194" s="10">
        <v>41152.7</v>
      </c>
      <c r="K194" s="10">
        <v>19450.58</v>
      </c>
      <c r="L194" s="11">
        <f t="shared" si="0"/>
      </c>
      <c r="M194" s="11">
        <f t="shared" si="90"/>
      </c>
      <c r="N194" s="11">
        <f t="shared" si="2"/>
      </c>
      <c r="O194" s="13"/>
    </row>
    <row r="195">
      <c r="A195" s="7">
        <v>46029</v>
      </c>
      <c r="B195" s="8" t="s">
        <v>22</v>
      </c>
      <c r="C195" s="9" t="s">
        <v>23</v>
      </c>
      <c r="D195" s="8">
        <v>5</v>
      </c>
      <c r="E195" s="8">
        <v>120</v>
      </c>
      <c r="F195" s="8">
        <v>99</v>
      </c>
      <c r="G195" s="8">
        <v>76</v>
      </c>
      <c r="H195" s="8">
        <v>64</v>
      </c>
      <c r="I195" s="8">
        <v>15</v>
      </c>
      <c r="J195" s="10">
        <v>94230.90000000001</v>
      </c>
      <c r="K195" s="10">
        <v>40447.13</v>
      </c>
      <c r="L195" s="11">
        <f t="shared" si="0"/>
      </c>
      <c r="M195" s="11">
        <f t="shared" si="90"/>
      </c>
      <c r="N195" s="11">
        <f t="shared" si="2"/>
      </c>
      <c r="O195" s="12"/>
    </row>
    <row r="196">
      <c r="A196" s="16">
        <v>46029</v>
      </c>
      <c r="B196" s="17"/>
      <c r="C196" s="17"/>
      <c r="D196" s="17">
        <f>SUM(D191:D195)</f>
      </c>
      <c r="E196" s="17">
        <f>SUM(E191:E195)</f>
      </c>
      <c r="F196" s="17">
        <f>SUM(F191:F195)</f>
      </c>
      <c r="G196" s="17">
        <f>SUM(G191:G195)</f>
      </c>
      <c r="H196" s="17">
        <f>SUM(H191:H195)</f>
      </c>
      <c r="I196" s="17">
        <f>SUM(I191:I195)</f>
      </c>
      <c r="J196" s="17">
        <f>SUM(J191:J195)</f>
      </c>
      <c r="K196" s="17">
        <f>SUM(K191:K195)</f>
      </c>
      <c r="L196" s="18">
        <f t="shared" si="0"/>
      </c>
      <c r="M196" s="18">
        <f t="shared" si="90"/>
      </c>
      <c r="N196" s="18">
        <f t="shared" si="2"/>
      </c>
      <c r="O196" s="12"/>
    </row>
    <row r="197">
      <c r="A197" s="22">
        <v>46030</v>
      </c>
      <c r="B197" s="23" t="s">
        <v>18</v>
      </c>
      <c r="C197" s="24" t="s">
        <v>17</v>
      </c>
      <c r="D197" s="23">
        <v>5</v>
      </c>
      <c r="E197" s="23">
        <v>65</v>
      </c>
      <c r="F197" s="23">
        <v>55</v>
      </c>
      <c r="G197" s="23">
        <v>44</v>
      </c>
      <c r="H197" s="23">
        <v>35</v>
      </c>
      <c r="I197" s="23">
        <v>3</v>
      </c>
      <c r="J197" s="25">
        <v>47577.2</v>
      </c>
      <c r="K197" s="25">
        <v>29222.36</v>
      </c>
      <c r="L197" s="11">
        <f t="shared" si="0"/>
      </c>
      <c r="M197" s="11">
        <f t="shared" si="90"/>
      </c>
      <c r="N197" s="11">
        <f t="shared" si="2"/>
      </c>
      <c r="O197" s="13"/>
    </row>
    <row r="198">
      <c r="A198" s="22">
        <v>46030</v>
      </c>
      <c r="B198" s="23" t="s">
        <v>20</v>
      </c>
      <c r="C198" s="9" t="s">
        <v>43</v>
      </c>
      <c r="D198" s="8">
        <v>4.5</v>
      </c>
      <c r="E198" s="23">
        <v>57</v>
      </c>
      <c r="F198" s="23">
        <v>40</v>
      </c>
      <c r="G198" s="23">
        <v>33</v>
      </c>
      <c r="H198" s="23">
        <v>26</v>
      </c>
      <c r="I198" s="23">
        <v>3</v>
      </c>
      <c r="J198" s="25">
        <v>31833.8</v>
      </c>
      <c r="K198" s="25">
        <v>27415.770000000004</v>
      </c>
      <c r="L198" s="11">
        <f t="shared" si="0"/>
      </c>
      <c r="M198" s="11">
        <f t="shared" si="90"/>
      </c>
      <c r="N198" s="11">
        <f t="shared" si="2"/>
      </c>
      <c r="O198" s="13"/>
    </row>
    <row r="199">
      <c r="A199" s="26">
        <v>46030</v>
      </c>
      <c r="B199" s="17"/>
      <c r="C199" s="17"/>
      <c r="D199" s="17">
        <f>SUM(D197:D198)</f>
      </c>
      <c r="E199" s="17">
        <f>SUM(E197:E198)</f>
      </c>
      <c r="F199" s="17">
        <f>SUM(F197:F198)</f>
      </c>
      <c r="G199" s="17">
        <f>SUM(G197:G198)</f>
      </c>
      <c r="H199" s="17">
        <f>SUM(H197:H198)</f>
      </c>
      <c r="I199" s="17">
        <f>SUM(I197:I198)</f>
      </c>
      <c r="J199" s="17">
        <f>SUM(J197:J198)</f>
      </c>
      <c r="K199" s="17">
        <f>SUM(K197:K198)</f>
      </c>
      <c r="L199" s="18">
        <f t="shared" si="0"/>
      </c>
      <c r="M199" s="18">
        <f t="shared" si="90"/>
      </c>
      <c r="N199" s="18">
        <f t="shared" si="2"/>
      </c>
      <c r="O199" s="12"/>
    </row>
    <row r="200">
      <c r="A200" s="7">
        <v>46033</v>
      </c>
      <c r="B200" s="8" t="s">
        <v>22</v>
      </c>
      <c r="C200" s="9" t="s">
        <v>44</v>
      </c>
      <c r="D200" s="8">
        <v>4</v>
      </c>
      <c r="E200" s="23">
        <v>58</v>
      </c>
      <c r="F200" s="23">
        <v>46</v>
      </c>
      <c r="G200" s="23">
        <v>32</v>
      </c>
      <c r="H200" s="23">
        <v>29</v>
      </c>
      <c r="I200" s="23">
        <v>7</v>
      </c>
      <c r="J200" s="25">
        <v>51671.2</v>
      </c>
      <c r="K200" s="25">
        <v>21871.809999999998</v>
      </c>
      <c r="L200" s="11">
        <f t="shared" si="0"/>
      </c>
      <c r="M200" s="11">
        <f t="shared" si="90"/>
      </c>
      <c r="N200" s="27">
        <f t="shared" si="2"/>
      </c>
      <c r="O200" s="13"/>
    </row>
    <row r="201">
      <c r="A201" s="7">
        <v>46033</v>
      </c>
      <c r="B201" s="8" t="s">
        <v>18</v>
      </c>
      <c r="C201" s="9" t="s">
        <v>23</v>
      </c>
      <c r="D201" s="23">
        <v>5</v>
      </c>
      <c r="E201" s="23">
        <v>149</v>
      </c>
      <c r="F201" s="23">
        <v>88</v>
      </c>
      <c r="G201" s="23">
        <v>59</v>
      </c>
      <c r="H201" s="23">
        <v>66</v>
      </c>
      <c r="I201" s="23">
        <v>11</v>
      </c>
      <c r="J201" s="25">
        <v>81178.90000000001</v>
      </c>
      <c r="K201" s="25">
        <v>37867.52</v>
      </c>
      <c r="L201" s="11">
        <f t="shared" si="0"/>
      </c>
      <c r="M201" s="11">
        <f t="shared" si="90"/>
      </c>
      <c r="N201" s="11">
        <f t="shared" si="2"/>
      </c>
    </row>
    <row r="202">
      <c r="A202" s="16">
        <v>46033</v>
      </c>
      <c r="B202" s="17"/>
      <c r="C202" s="17"/>
      <c r="D202" s="17">
        <f>SUM(D200:D201)</f>
      </c>
      <c r="E202" s="17">
        <f>SUM(E200:E201)</f>
      </c>
      <c r="F202" s="17">
        <f>SUM(F200:F201)</f>
      </c>
      <c r="G202" s="17">
        <f>SUM(G200:G201)</f>
      </c>
      <c r="H202" s="17">
        <f>SUM(H200:H201)</f>
      </c>
      <c r="I202" s="17">
        <f>SUM(I200:I201)</f>
      </c>
      <c r="J202" s="17">
        <f>SUM(J200:J201)</f>
      </c>
      <c r="K202" s="17">
        <f>SUM(K200:K201)</f>
      </c>
      <c r="L202" s="18">
        <f t="shared" si="0"/>
      </c>
      <c r="M202" s="18">
        <f t="shared" si="90"/>
      </c>
      <c r="N202" s="18">
        <f t="shared" si="2"/>
      </c>
    </row>
    <row r="203">
      <c r="A203" s="22">
        <v>46034</v>
      </c>
      <c r="B203" s="8" t="s">
        <v>16</v>
      </c>
      <c r="C203" s="9" t="s">
        <v>17</v>
      </c>
      <c r="D203" s="8">
        <v>5</v>
      </c>
      <c r="E203" s="28">
        <v>45</v>
      </c>
      <c r="F203" s="8">
        <v>34</v>
      </c>
      <c r="G203" s="8">
        <v>26</v>
      </c>
      <c r="H203" s="8">
        <v>17</v>
      </c>
      <c r="I203" s="8">
        <v>2</v>
      </c>
      <c r="J203" s="10">
        <v>40028.399999999994</v>
      </c>
      <c r="K203" s="8">
        <v>26805.05</v>
      </c>
      <c r="L203" s="11">
        <f t="shared" si="0"/>
      </c>
      <c r="M203" s="11">
        <f t="shared" si="90"/>
      </c>
      <c r="N203" s="11">
        <f t="shared" si="2"/>
      </c>
    </row>
    <row r="204">
      <c r="A204" s="22">
        <v>46034</v>
      </c>
      <c r="B204" s="8" t="s">
        <v>22</v>
      </c>
      <c r="C204" s="9" t="s">
        <v>19</v>
      </c>
      <c r="D204" s="8">
        <v>5</v>
      </c>
      <c r="E204" s="8">
        <v>49</v>
      </c>
      <c r="F204" s="8">
        <v>34</v>
      </c>
      <c r="G204" s="8">
        <v>27</v>
      </c>
      <c r="H204" s="8">
        <v>19</v>
      </c>
      <c r="I204" s="8">
        <v>4</v>
      </c>
      <c r="J204" s="10">
        <v>30352.999999999993</v>
      </c>
      <c r="K204" s="10">
        <v>20537.11</v>
      </c>
      <c r="L204" s="11">
        <f t="shared" si="0"/>
      </c>
      <c r="M204" s="11">
        <f t="shared" si="90"/>
      </c>
      <c r="N204" s="11">
        <f t="shared" si="2"/>
      </c>
    </row>
    <row r="205">
      <c r="A205" s="22">
        <v>46034</v>
      </c>
      <c r="B205" s="8" t="s">
        <v>18</v>
      </c>
      <c r="C205" s="9" t="s">
        <v>21</v>
      </c>
      <c r="D205" s="8">
        <v>5</v>
      </c>
      <c r="E205" s="8">
        <v>68</v>
      </c>
      <c r="F205" s="8">
        <v>56</v>
      </c>
      <c r="G205" s="8">
        <v>37</v>
      </c>
      <c r="H205" s="8">
        <v>32</v>
      </c>
      <c r="I205" s="8">
        <v>7</v>
      </c>
      <c r="J205" s="10">
        <v>54701.80000000001</v>
      </c>
      <c r="K205" s="10">
        <v>31320.370000000003</v>
      </c>
      <c r="L205" s="11">
        <f t="shared" si="0"/>
      </c>
      <c r="M205" s="11">
        <f t="shared" si="90"/>
      </c>
      <c r="N205" s="11">
        <f t="shared" si="2"/>
      </c>
    </row>
    <row r="206">
      <c r="A206" s="22">
        <v>46034</v>
      </c>
      <c r="B206" s="8" t="s">
        <v>20</v>
      </c>
      <c r="C206" s="9" t="s">
        <v>23</v>
      </c>
      <c r="D206" s="8">
        <v>5</v>
      </c>
      <c r="E206" s="8">
        <v>81</v>
      </c>
      <c r="F206" s="8">
        <v>66</v>
      </c>
      <c r="G206" s="8">
        <v>47</v>
      </c>
      <c r="H206" s="8">
        <v>39</v>
      </c>
      <c r="I206" s="8">
        <v>7</v>
      </c>
      <c r="J206" s="10">
        <v>54178.000000000015</v>
      </c>
      <c r="K206" s="10">
        <v>32043.85</v>
      </c>
      <c r="L206" s="11">
        <f t="shared" si="0"/>
      </c>
      <c r="M206" s="11">
        <f t="shared" si="90"/>
      </c>
      <c r="N206" s="11">
        <f t="shared" si="2"/>
      </c>
    </row>
    <row r="207">
      <c r="A207" s="16">
        <v>46034</v>
      </c>
      <c r="B207" s="17"/>
      <c r="C207" s="17"/>
      <c r="D207" s="17">
        <f>SUM(D203:D206)</f>
      </c>
      <c r="E207" s="17">
        <f>SUM(E203:E206)</f>
      </c>
      <c r="F207" s="17">
        <f>SUM(F203:F206)</f>
      </c>
      <c r="G207" s="17">
        <f>SUM(G203:G206)</f>
      </c>
      <c r="H207" s="17">
        <f>SUM(H203:H206)</f>
      </c>
      <c r="I207" s="17">
        <f>SUM(I203:I206)</f>
      </c>
      <c r="J207" s="17">
        <f>SUM(J203:J206)</f>
      </c>
      <c r="K207" s="17">
        <f>SUM(K203:K206)</f>
      </c>
      <c r="L207" s="18">
        <f t="shared" si="0"/>
      </c>
      <c r="M207" s="18">
        <f t="shared" si="90"/>
      </c>
      <c r="N207" s="18">
        <f t="shared" si="2"/>
      </c>
    </row>
    <row r="208">
      <c r="A208" s="7">
        <v>46035</v>
      </c>
      <c r="B208" s="8" t="s">
        <v>16</v>
      </c>
      <c r="C208" s="9" t="s">
        <v>17</v>
      </c>
      <c r="D208" s="8">
        <v>5</v>
      </c>
      <c r="E208" s="28">
        <v>51</v>
      </c>
      <c r="F208" s="8">
        <v>41</v>
      </c>
      <c r="G208" s="8">
        <v>28</v>
      </c>
      <c r="H208" s="8">
        <v>22</v>
      </c>
      <c r="I208" s="8">
        <v>5</v>
      </c>
      <c r="J208" s="10">
        <v>42402.20000000001</v>
      </c>
      <c r="K208" s="8">
        <v>22640.839999999997</v>
      </c>
      <c r="L208" s="11">
        <f t="shared" si="0"/>
      </c>
      <c r="M208" s="11">
        <f t="shared" si="90"/>
      </c>
      <c r="N208" s="11">
        <f t="shared" si="2"/>
      </c>
    </row>
    <row r="209">
      <c r="A209" s="7">
        <v>46035</v>
      </c>
      <c r="B209" s="8" t="s">
        <v>18</v>
      </c>
      <c r="C209" s="9" t="s">
        <v>19</v>
      </c>
      <c r="D209" s="8">
        <v>5</v>
      </c>
      <c r="E209" s="8">
        <v>46</v>
      </c>
      <c r="F209" s="8">
        <v>35</v>
      </c>
      <c r="G209" s="8">
        <v>29</v>
      </c>
      <c r="H209" s="8">
        <v>19</v>
      </c>
      <c r="I209" s="8">
        <v>2</v>
      </c>
      <c r="J209" s="10">
        <v>40529.100000000006</v>
      </c>
      <c r="K209" s="10">
        <v>21713.2</v>
      </c>
      <c r="L209" s="11">
        <f t="shared" si="0"/>
      </c>
      <c r="M209" s="11">
        <f t="shared" si="90"/>
      </c>
      <c r="N209" s="11">
        <f t="shared" si="2"/>
      </c>
    </row>
    <row r="210">
      <c r="A210" s="7">
        <v>46035</v>
      </c>
      <c r="B210" s="8" t="s">
        <v>20</v>
      </c>
      <c r="C210" s="9" t="s">
        <v>21</v>
      </c>
      <c r="D210" s="8">
        <v>5</v>
      </c>
      <c r="E210" s="8">
        <v>71</v>
      </c>
      <c r="F210" s="8">
        <v>52</v>
      </c>
      <c r="G210" s="8">
        <v>39</v>
      </c>
      <c r="H210" s="8">
        <v>31</v>
      </c>
      <c r="I210" s="8">
        <v>7</v>
      </c>
      <c r="J210" s="10">
        <v>57414.500000000015</v>
      </c>
      <c r="K210" s="10">
        <v>28970.989999999998</v>
      </c>
      <c r="L210" s="11">
        <f t="shared" si="0"/>
      </c>
      <c r="M210" s="11">
        <f t="shared" si="90"/>
      </c>
      <c r="N210" s="11">
        <f t="shared" si="2"/>
      </c>
    </row>
    <row r="211">
      <c r="A211" s="7">
        <v>46035</v>
      </c>
      <c r="B211" s="8" t="s">
        <v>22</v>
      </c>
      <c r="C211" s="9" t="s">
        <v>23</v>
      </c>
      <c r="D211" s="8">
        <v>5</v>
      </c>
      <c r="E211" s="8">
        <v>95</v>
      </c>
      <c r="F211" s="8">
        <v>67</v>
      </c>
      <c r="G211" s="8">
        <v>49</v>
      </c>
      <c r="H211" s="8">
        <v>44</v>
      </c>
      <c r="I211" s="8">
        <v>7</v>
      </c>
      <c r="J211" s="10">
        <v>58135.600000000006</v>
      </c>
      <c r="K211" s="10">
        <v>32757.07</v>
      </c>
      <c r="L211" s="11">
        <f t="shared" si="0"/>
      </c>
      <c r="M211" s="11">
        <f t="shared" si="90"/>
      </c>
      <c r="N211" s="11">
        <f t="shared" si="2"/>
      </c>
    </row>
    <row r="212">
      <c r="A212" s="16">
        <v>46035</v>
      </c>
      <c r="B212" s="17"/>
      <c r="C212" s="17"/>
      <c r="D212" s="17">
        <f>SUM(D208:D211)</f>
      </c>
      <c r="E212" s="17">
        <f>SUM(E208:E211)</f>
      </c>
      <c r="F212" s="17">
        <f>SUM(F208:F211)</f>
      </c>
      <c r="G212" s="17">
        <f>SUM(G208:G211)</f>
      </c>
      <c r="H212" s="17">
        <f>SUM(H208:H211)</f>
      </c>
      <c r="I212" s="17">
        <f>SUM(I208:I211)</f>
      </c>
      <c r="J212" s="17">
        <f>SUM(J208:J211)</f>
      </c>
      <c r="K212" s="17">
        <f>SUM(K208:K211)</f>
      </c>
      <c r="L212" s="18">
        <f t="shared" si="0"/>
      </c>
      <c r="M212" s="18">
        <f t="shared" si="90"/>
      </c>
      <c r="N212" s="18">
        <f t="shared" si="2"/>
      </c>
    </row>
    <row r="213">
      <c r="A213" s="7">
        <v>46036</v>
      </c>
      <c r="B213" s="8" t="s">
        <v>16</v>
      </c>
      <c r="C213" s="9" t="s">
        <v>17</v>
      </c>
      <c r="D213" s="8">
        <v>5</v>
      </c>
      <c r="E213" s="28">
        <v>60</v>
      </c>
      <c r="F213" s="8">
        <v>43</v>
      </c>
      <c r="G213" s="8">
        <v>26</v>
      </c>
      <c r="H213" s="8">
        <v>25</v>
      </c>
      <c r="I213" s="8">
        <v>5</v>
      </c>
      <c r="J213" s="10">
        <v>43923.8</v>
      </c>
      <c r="K213" s="8">
        <v>25247.7</v>
      </c>
      <c r="L213" s="11">
        <f t="shared" si="0"/>
      </c>
      <c r="M213" s="11">
        <f t="shared" si="90"/>
      </c>
      <c r="N213" s="11">
        <f t="shared" si="2"/>
      </c>
    </row>
    <row r="214">
      <c r="A214" s="7">
        <v>46036</v>
      </c>
      <c r="B214" s="8" t="s">
        <v>20</v>
      </c>
      <c r="C214" s="9" t="s">
        <v>19</v>
      </c>
      <c r="D214" s="8">
        <v>5</v>
      </c>
      <c r="E214" s="8">
        <v>73</v>
      </c>
      <c r="F214" s="8">
        <v>54</v>
      </c>
      <c r="G214" s="8">
        <v>37</v>
      </c>
      <c r="H214" s="8">
        <v>31</v>
      </c>
      <c r="I214" s="8">
        <v>5</v>
      </c>
      <c r="J214" s="10">
        <v>63716.8</v>
      </c>
      <c r="K214" s="10">
        <v>24805.32</v>
      </c>
      <c r="L214" s="11">
        <f t="shared" si="0"/>
      </c>
      <c r="M214" s="11">
        <f t="shared" si="90"/>
      </c>
      <c r="N214" s="11">
        <f t="shared" si="2"/>
      </c>
    </row>
    <row r="215">
      <c r="A215" s="7">
        <v>46036</v>
      </c>
      <c r="B215" s="8" t="s">
        <v>24</v>
      </c>
      <c r="C215" s="9" t="s">
        <v>21</v>
      </c>
      <c r="D215" s="8">
        <v>5</v>
      </c>
      <c r="E215" s="8">
        <v>60</v>
      </c>
      <c r="F215" s="8">
        <v>43</v>
      </c>
      <c r="G215" s="8">
        <v>34</v>
      </c>
      <c r="H215" s="8">
        <v>21</v>
      </c>
      <c r="I215" s="8">
        <v>5</v>
      </c>
      <c r="J215" s="10">
        <v>51798.2</v>
      </c>
      <c r="K215" s="10">
        <v>23376.79</v>
      </c>
      <c r="L215" s="11">
        <f t="shared" si="0"/>
      </c>
      <c r="M215" s="11">
        <f t="shared" si="90"/>
      </c>
      <c r="N215" s="11">
        <f t="shared" si="2"/>
      </c>
    </row>
    <row r="216">
      <c r="A216" s="7">
        <v>46036</v>
      </c>
      <c r="B216" s="8" t="s">
        <v>22</v>
      </c>
      <c r="C216" s="9" t="s">
        <v>23</v>
      </c>
      <c r="D216" s="8">
        <v>5</v>
      </c>
      <c r="E216" s="8">
        <v>86</v>
      </c>
      <c r="F216" s="8">
        <v>64</v>
      </c>
      <c r="G216" s="8">
        <v>45</v>
      </c>
      <c r="H216" s="8">
        <v>37</v>
      </c>
      <c r="I216" s="8">
        <v>6</v>
      </c>
      <c r="J216" s="10">
        <v>64233.40000000002</v>
      </c>
      <c r="K216" s="10">
        <v>30009.18</v>
      </c>
      <c r="L216" s="11">
        <f t="shared" si="0"/>
      </c>
      <c r="M216" s="11">
        <f t="shared" si="90"/>
      </c>
      <c r="N216" s="11">
        <f t="shared" si="2"/>
      </c>
    </row>
    <row r="217">
      <c r="A217" s="16">
        <v>46036</v>
      </c>
      <c r="B217" s="17"/>
      <c r="C217" s="17"/>
      <c r="D217" s="17">
        <f>SUM(D213:D216)</f>
      </c>
      <c r="E217" s="17">
        <f>SUM(E213:E216)</f>
      </c>
      <c r="F217" s="17">
        <f>SUM(F213:F216)</f>
      </c>
      <c r="G217" s="17">
        <f>SUM(G213:G216)</f>
      </c>
      <c r="H217" s="17">
        <f>SUM(H213:H216)</f>
      </c>
      <c r="I217" s="17">
        <f>SUM(I213:I216)</f>
      </c>
      <c r="J217" s="17">
        <f>SUM(J213:J216)</f>
      </c>
      <c r="K217" s="17">
        <f>SUM(K213:K216)</f>
      </c>
      <c r="L217" s="18">
        <f t="shared" si="0"/>
      </c>
      <c r="M217" s="18">
        <f t="shared" si="90"/>
      </c>
      <c r="N217" s="18">
        <f t="shared" si="2"/>
      </c>
    </row>
    <row r="218">
      <c r="A218" s="7">
        <v>46037</v>
      </c>
      <c r="B218" s="8" t="s">
        <v>20</v>
      </c>
      <c r="C218" s="9" t="s">
        <v>17</v>
      </c>
      <c r="D218" s="8">
        <v>5</v>
      </c>
      <c r="E218" s="28">
        <v>96</v>
      </c>
      <c r="F218" s="8">
        <v>68</v>
      </c>
      <c r="G218" s="8">
        <v>50</v>
      </c>
      <c r="H218" s="8">
        <v>41</v>
      </c>
      <c r="I218" s="8">
        <v>8</v>
      </c>
      <c r="J218" s="10">
        <v>64291.60000000002</v>
      </c>
      <c r="K218" s="8">
        <v>34078.86</v>
      </c>
      <c r="L218" s="11">
        <f t="shared" si="0"/>
      </c>
      <c r="M218" s="11">
        <f t="shared" si="90"/>
      </c>
      <c r="N218" s="11">
        <f t="shared" si="2"/>
      </c>
    </row>
    <row r="219">
      <c r="A219" s="7">
        <v>46037</v>
      </c>
      <c r="B219" s="8" t="s">
        <v>18</v>
      </c>
      <c r="C219" s="9" t="s">
        <v>19</v>
      </c>
      <c r="D219" s="8">
        <v>5</v>
      </c>
      <c r="E219" s="8">
        <v>68</v>
      </c>
      <c r="F219" s="8">
        <v>50</v>
      </c>
      <c r="G219" s="8">
        <v>39</v>
      </c>
      <c r="H219" s="8">
        <v>32</v>
      </c>
      <c r="I219" s="8">
        <v>6</v>
      </c>
      <c r="J219" s="10">
        <v>49523.7</v>
      </c>
      <c r="K219" s="10">
        <v>31142.41</v>
      </c>
      <c r="L219" s="11">
        <f t="shared" si="0"/>
      </c>
      <c r="M219" s="11">
        <f t="shared" si="90"/>
      </c>
      <c r="N219" s="11">
        <f t="shared" si="2"/>
      </c>
    </row>
    <row r="220">
      <c r="A220" s="7">
        <v>46037</v>
      </c>
      <c r="B220" s="8" t="s">
        <v>22</v>
      </c>
      <c r="C220" s="9" t="s">
        <v>21</v>
      </c>
      <c r="D220" s="8">
        <v>5</v>
      </c>
      <c r="E220" s="8">
        <v>52</v>
      </c>
      <c r="F220" s="8">
        <v>36</v>
      </c>
      <c r="G220" s="8">
        <v>33</v>
      </c>
      <c r="H220" s="8">
        <v>24</v>
      </c>
      <c r="I220" s="8">
        <v>0</v>
      </c>
      <c r="J220" s="10">
        <v>41344.2</v>
      </c>
      <c r="K220" s="10">
        <v>25960.260000000002</v>
      </c>
      <c r="L220" s="11">
        <f t="shared" si="0"/>
      </c>
      <c r="M220" s="11">
        <f t="shared" si="90"/>
      </c>
      <c r="N220" s="11">
        <f t="shared" si="2"/>
      </c>
    </row>
    <row r="221">
      <c r="A221" s="7">
        <v>46037</v>
      </c>
      <c r="B221" s="8" t="s">
        <v>24</v>
      </c>
      <c r="C221" s="9" t="s">
        <v>23</v>
      </c>
      <c r="D221" s="8">
        <v>5</v>
      </c>
      <c r="E221" s="8">
        <v>45</v>
      </c>
      <c r="F221" s="8">
        <v>38</v>
      </c>
      <c r="G221" s="8">
        <v>33</v>
      </c>
      <c r="H221" s="8">
        <v>18</v>
      </c>
      <c r="I221" s="8">
        <v>3</v>
      </c>
      <c r="J221" s="10">
        <v>36659.80000000002</v>
      </c>
      <c r="K221" s="10">
        <v>29180.579999999998</v>
      </c>
      <c r="L221" s="11">
        <f t="shared" si="0"/>
      </c>
      <c r="M221" s="11">
        <f t="shared" si="90"/>
      </c>
      <c r="N221" s="11">
        <f t="shared" si="2"/>
      </c>
    </row>
    <row r="222">
      <c r="A222" s="16">
        <v>46037</v>
      </c>
      <c r="B222" s="17"/>
      <c r="C222" s="17"/>
      <c r="D222" s="17">
        <f>SUM(D218:D221)</f>
      </c>
      <c r="E222" s="17">
        <f>SUM(E218:E221)</f>
      </c>
      <c r="F222" s="17">
        <f>SUM(F218:F221)</f>
      </c>
      <c r="G222" s="17">
        <f>SUM(G218:G221)</f>
      </c>
      <c r="H222" s="17">
        <f>SUM(H218:H221)</f>
      </c>
      <c r="I222" s="17">
        <f>SUM(I218:I221)</f>
      </c>
      <c r="J222" s="17">
        <f>SUM(J218:J221)</f>
      </c>
      <c r="K222" s="17">
        <f>SUM(K218:K221)</f>
      </c>
      <c r="L222" s="18">
        <f t="shared" si="0"/>
      </c>
      <c r="M222" s="18">
        <f t="shared" si="90"/>
      </c>
      <c r="N222" s="18">
        <f t="shared" si="2"/>
      </c>
    </row>
    <row r="223">
      <c r="A223" s="7">
        <v>46038</v>
      </c>
      <c r="B223" s="8" t="s">
        <v>20</v>
      </c>
      <c r="C223" s="9" t="s">
        <v>17</v>
      </c>
      <c r="D223" s="8">
        <v>5</v>
      </c>
      <c r="E223" s="28">
        <v>68</v>
      </c>
      <c r="F223" s="8">
        <v>51</v>
      </c>
      <c r="G223" s="8">
        <v>37</v>
      </c>
      <c r="H223" s="8">
        <v>31</v>
      </c>
      <c r="I223" s="8">
        <v>5</v>
      </c>
      <c r="J223" s="10">
        <v>53007.600000000006</v>
      </c>
      <c r="K223" s="8">
        <v>24231.34</v>
      </c>
      <c r="L223" s="11">
        <f t="shared" si="0"/>
      </c>
      <c r="M223" s="11">
        <f t="shared" si="90"/>
      </c>
      <c r="N223" s="11">
        <f t="shared" si="2"/>
      </c>
    </row>
    <row r="224">
      <c r="A224" s="7">
        <v>46038</v>
      </c>
      <c r="B224" s="8" t="s">
        <v>16</v>
      </c>
      <c r="C224" s="9" t="s">
        <v>19</v>
      </c>
      <c r="D224" s="8">
        <v>5</v>
      </c>
      <c r="E224" s="8">
        <v>44</v>
      </c>
      <c r="F224" s="8">
        <v>24</v>
      </c>
      <c r="G224" s="8">
        <v>17</v>
      </c>
      <c r="H224" s="8">
        <v>14</v>
      </c>
      <c r="I224" s="8">
        <v>2</v>
      </c>
      <c r="J224" s="10">
        <v>22215.8</v>
      </c>
      <c r="K224" s="10">
        <v>20928.76</v>
      </c>
      <c r="L224" s="11">
        <f t="shared" si="0"/>
      </c>
      <c r="M224" s="11">
        <f t="shared" si="90"/>
      </c>
      <c r="N224" s="11">
        <f t="shared" si="2"/>
      </c>
    </row>
    <row r="225">
      <c r="A225" s="22">
        <v>46038</v>
      </c>
      <c r="B225" s="8" t="s">
        <v>18</v>
      </c>
      <c r="C225" s="9" t="s">
        <v>21</v>
      </c>
      <c r="D225" s="8">
        <v>5</v>
      </c>
      <c r="E225" s="8">
        <v>36</v>
      </c>
      <c r="F225" s="8">
        <v>25</v>
      </c>
      <c r="G225" s="8">
        <v>24</v>
      </c>
      <c r="H225" s="8">
        <v>14</v>
      </c>
      <c r="I225" s="8">
        <v>2</v>
      </c>
      <c r="J225" s="10">
        <v>16156.199999999997</v>
      </c>
      <c r="K225" s="10">
        <v>17393.96</v>
      </c>
      <c r="L225" s="11">
        <f t="shared" si="0"/>
      </c>
      <c r="M225" s="11">
        <f t="shared" si="90"/>
      </c>
      <c r="N225" s="11">
        <f t="shared" si="2"/>
      </c>
    </row>
    <row r="226">
      <c r="A226" s="22">
        <v>46038</v>
      </c>
      <c r="B226" s="8" t="s">
        <v>22</v>
      </c>
      <c r="C226" s="9" t="s">
        <v>23</v>
      </c>
      <c r="D226" s="8">
        <v>5</v>
      </c>
      <c r="E226" s="8">
        <v>36</v>
      </c>
      <c r="F226" s="8">
        <v>24</v>
      </c>
      <c r="G226" s="8">
        <v>15</v>
      </c>
      <c r="H226" s="8">
        <v>14</v>
      </c>
      <c r="I226" s="8">
        <v>4</v>
      </c>
      <c r="J226" s="10">
        <v>15586.400000000009</v>
      </c>
      <c r="K226" s="10">
        <v>14738.550000000003</v>
      </c>
      <c r="L226" s="11">
        <f t="shared" si="0"/>
      </c>
      <c r="M226" s="11">
        <f t="shared" si="90"/>
      </c>
      <c r="N226" s="11">
        <f t="shared" si="2"/>
      </c>
    </row>
    <row r="227">
      <c r="A227" s="16">
        <v>46038</v>
      </c>
      <c r="B227" s="17"/>
      <c r="C227" s="17"/>
      <c r="D227" s="17">
        <f>SUM(D223:D226)</f>
      </c>
      <c r="E227" s="17">
        <f>SUM(E223:E226)</f>
      </c>
      <c r="F227" s="17">
        <f>SUM(F223:F226)</f>
      </c>
      <c r="G227" s="17">
        <f>SUM(G223:G226)</f>
      </c>
      <c r="H227" s="17">
        <f>SUM(H223:H226)</f>
      </c>
      <c r="I227" s="17">
        <f>SUM(I223:I226)</f>
      </c>
      <c r="J227" s="17">
        <f>SUM(J223:J226)</f>
      </c>
      <c r="K227" s="17">
        <f>SUM(K223:K226)</f>
      </c>
      <c r="L227" s="18">
        <f t="shared" si="0"/>
      </c>
      <c r="M227" s="18">
        <f t="shared" si="90"/>
      </c>
      <c r="N227" s="18">
        <f t="shared" si="2"/>
      </c>
    </row>
    <row r="228">
      <c r="A228" s="7">
        <v>46039</v>
      </c>
      <c r="B228" s="8" t="s">
        <v>20</v>
      </c>
      <c r="C228" s="9" t="s">
        <v>17</v>
      </c>
      <c r="D228" s="8">
        <v>5</v>
      </c>
      <c r="E228" s="28">
        <v>110</v>
      </c>
      <c r="F228" s="8">
        <v>88</v>
      </c>
      <c r="G228" s="8">
        <v>72</v>
      </c>
      <c r="H228" s="8">
        <v>61</v>
      </c>
      <c r="I228" s="8">
        <v>6</v>
      </c>
      <c r="J228" s="10">
        <v>78407.40000000004</v>
      </c>
      <c r="K228" s="8">
        <v>43157.98</v>
      </c>
      <c r="L228" s="11">
        <f t="shared" si="0"/>
      </c>
      <c r="M228" s="11">
        <f t="shared" si="90"/>
      </c>
      <c r="N228" s="11">
        <f t="shared" si="2"/>
      </c>
    </row>
    <row r="229">
      <c r="A229" s="7">
        <v>46039</v>
      </c>
      <c r="B229" s="8" t="s">
        <v>16</v>
      </c>
      <c r="C229" s="9" t="s">
        <v>19</v>
      </c>
      <c r="D229" s="8">
        <v>5</v>
      </c>
      <c r="E229" s="8">
        <v>68</v>
      </c>
      <c r="F229" s="8">
        <v>57</v>
      </c>
      <c r="G229" s="8">
        <v>36</v>
      </c>
      <c r="H229" s="8">
        <v>34</v>
      </c>
      <c r="I229" s="8">
        <v>12</v>
      </c>
      <c r="J229" s="10">
        <v>58718.1</v>
      </c>
      <c r="K229" s="10">
        <v>31382.14</v>
      </c>
      <c r="L229" s="11">
        <f t="shared" si="0"/>
      </c>
      <c r="M229" s="11">
        <f t="shared" si="90"/>
      </c>
      <c r="N229" s="11">
        <f t="shared" si="2"/>
      </c>
    </row>
    <row r="230">
      <c r="A230" s="7">
        <v>46039</v>
      </c>
      <c r="B230" s="8" t="s">
        <v>18</v>
      </c>
      <c r="C230" s="9" t="s">
        <v>21</v>
      </c>
      <c r="D230" s="8">
        <v>5</v>
      </c>
      <c r="E230" s="8">
        <v>59</v>
      </c>
      <c r="F230" s="8">
        <v>42</v>
      </c>
      <c r="G230" s="8">
        <v>28</v>
      </c>
      <c r="H230" s="8">
        <v>25</v>
      </c>
      <c r="I230" s="8">
        <v>6</v>
      </c>
      <c r="J230" s="10">
        <v>38914.6</v>
      </c>
      <c r="K230" s="10">
        <v>20839.89</v>
      </c>
      <c r="L230" s="11">
        <f t="shared" si="0"/>
      </c>
      <c r="M230" s="11">
        <f t="shared" si="90"/>
      </c>
      <c r="N230" s="11">
        <f t="shared" si="2"/>
      </c>
    </row>
    <row r="231">
      <c r="A231" s="7">
        <v>46039</v>
      </c>
      <c r="B231" s="8" t="s">
        <v>24</v>
      </c>
      <c r="C231" s="9" t="s">
        <v>23</v>
      </c>
      <c r="D231" s="8">
        <v>5</v>
      </c>
      <c r="E231" s="8">
        <v>67</v>
      </c>
      <c r="F231" s="8">
        <v>47</v>
      </c>
      <c r="G231" s="8">
        <v>40</v>
      </c>
      <c r="H231" s="8">
        <v>21</v>
      </c>
      <c r="I231" s="8">
        <v>5</v>
      </c>
      <c r="J231" s="10">
        <v>52071.19999999998</v>
      </c>
      <c r="K231" s="10">
        <v>25555.480000000003</v>
      </c>
      <c r="L231" s="11">
        <f t="shared" si="0"/>
      </c>
      <c r="M231" s="11">
        <f t="shared" si="90"/>
      </c>
      <c r="N231" s="11">
        <f t="shared" si="2"/>
      </c>
    </row>
    <row r="232">
      <c r="A232" s="16">
        <v>46039</v>
      </c>
      <c r="B232" s="17"/>
      <c r="C232" s="17"/>
      <c r="D232" s="17">
        <f>SUM(D228:D231)</f>
      </c>
      <c r="E232" s="17">
        <f>SUM(E228:E231)</f>
      </c>
      <c r="F232" s="17">
        <f>SUM(F228:F231)</f>
      </c>
      <c r="G232" s="17">
        <f>SUM(G228:G231)</f>
      </c>
      <c r="H232" s="17">
        <f>SUM(H228:H231)</f>
      </c>
      <c r="I232" s="17">
        <f>SUM(I228:I231)</f>
      </c>
      <c r="J232" s="17">
        <f>SUM(J228:J231)</f>
      </c>
      <c r="K232" s="17">
        <f>SUM(K228:K231)</f>
      </c>
      <c r="L232" s="18">
        <f t="shared" si="0"/>
      </c>
      <c r="M232" s="18">
        <f t="shared" si="90"/>
      </c>
      <c r="N232" s="18">
        <f t="shared" si="2"/>
      </c>
    </row>
    <row r="233">
      <c r="A233" s="7">
        <v>46040</v>
      </c>
      <c r="B233" s="8" t="s">
        <v>20</v>
      </c>
      <c r="C233" s="9" t="s">
        <v>17</v>
      </c>
      <c r="D233" s="8">
        <v>5</v>
      </c>
      <c r="E233" s="28">
        <v>107</v>
      </c>
      <c r="F233" s="8">
        <v>88</v>
      </c>
      <c r="G233" s="8">
        <v>65</v>
      </c>
      <c r="H233" s="8">
        <v>50</v>
      </c>
      <c r="I233" s="8">
        <v>9</v>
      </c>
      <c r="J233" s="10">
        <v>82148.40000000002</v>
      </c>
      <c r="K233" s="8">
        <v>41857.219999999994</v>
      </c>
      <c r="L233" s="11">
        <f t="shared" si="0"/>
      </c>
      <c r="M233" s="11">
        <f t="shared" si="90"/>
      </c>
      <c r="N233" s="11">
        <f t="shared" si="2"/>
      </c>
    </row>
    <row r="234">
      <c r="A234" s="7">
        <v>46040</v>
      </c>
      <c r="B234" s="8" t="s">
        <v>16</v>
      </c>
      <c r="C234" s="9" t="s">
        <v>19</v>
      </c>
      <c r="D234" s="8">
        <v>5</v>
      </c>
      <c r="E234" s="8">
        <v>66</v>
      </c>
      <c r="F234" s="8">
        <v>44</v>
      </c>
      <c r="G234" s="8">
        <v>33</v>
      </c>
      <c r="H234" s="8">
        <v>27</v>
      </c>
      <c r="I234" s="8">
        <v>2</v>
      </c>
      <c r="J234" s="10">
        <v>41223.2</v>
      </c>
      <c r="K234" s="10">
        <v>27286.410000000003</v>
      </c>
      <c r="L234" s="11">
        <f t="shared" si="0"/>
      </c>
      <c r="M234" s="11">
        <f t="shared" si="90"/>
      </c>
      <c r="N234" s="11">
        <f t="shared" si="2"/>
      </c>
    </row>
    <row r="235">
      <c r="A235" s="7">
        <v>46040</v>
      </c>
      <c r="B235" s="8" t="s">
        <v>18</v>
      </c>
      <c r="C235" s="9" t="s">
        <v>21</v>
      </c>
      <c r="D235" s="8">
        <v>5</v>
      </c>
      <c r="E235" s="8">
        <v>58</v>
      </c>
      <c r="F235" s="8">
        <v>45</v>
      </c>
      <c r="G235" s="8">
        <v>32</v>
      </c>
      <c r="H235" s="8">
        <v>32</v>
      </c>
      <c r="I235" s="8">
        <v>2</v>
      </c>
      <c r="J235" s="10">
        <v>37802.399999999994</v>
      </c>
      <c r="K235" s="10">
        <v>28819.619999999995</v>
      </c>
      <c r="L235" s="11">
        <f t="shared" si="0"/>
      </c>
      <c r="M235" s="11">
        <f t="shared" si="90"/>
      </c>
      <c r="N235" s="11">
        <f t="shared" si="2"/>
      </c>
    </row>
    <row r="236">
      <c r="A236" s="7">
        <v>46040</v>
      </c>
      <c r="B236" s="8" t="s">
        <v>22</v>
      </c>
      <c r="C236" s="9" t="s">
        <v>23</v>
      </c>
      <c r="D236" s="8">
        <v>5</v>
      </c>
      <c r="E236" s="8">
        <v>59</v>
      </c>
      <c r="F236" s="8">
        <v>46</v>
      </c>
      <c r="G236" s="8">
        <v>35</v>
      </c>
      <c r="H236" s="8">
        <v>31</v>
      </c>
      <c r="I236" s="8">
        <v>5</v>
      </c>
      <c r="J236" s="10">
        <v>47355.59999999999</v>
      </c>
      <c r="K236" s="10">
        <v>23739.87</v>
      </c>
      <c r="L236" s="11">
        <f t="shared" si="0"/>
      </c>
      <c r="M236" s="11">
        <f t="shared" si="90"/>
      </c>
      <c r="N236" s="11">
        <f t="shared" si="2"/>
      </c>
    </row>
    <row r="237">
      <c r="A237" s="16">
        <v>46040</v>
      </c>
      <c r="B237" s="17"/>
      <c r="C237" s="17"/>
      <c r="D237" s="17">
        <f>SUM(D233:D236)</f>
      </c>
      <c r="E237" s="17">
        <f>SUM(E233:E236)</f>
      </c>
      <c r="F237" s="17">
        <f>SUM(F233:F236)</f>
      </c>
      <c r="G237" s="17">
        <f>SUM(G233:G236)</f>
      </c>
      <c r="H237" s="17">
        <f>SUM(H233:H236)</f>
      </c>
      <c r="I237" s="17">
        <f>SUM(I233:I236)</f>
      </c>
      <c r="J237" s="17">
        <f>SUM(J233:J236)</f>
      </c>
      <c r="K237" s="17">
        <f>SUM(K233:K236)</f>
      </c>
      <c r="L237" s="18">
        <f t="shared" si="0"/>
      </c>
      <c r="M237" s="18">
        <f t="shared" si="90"/>
      </c>
      <c r="N237" s="18">
        <f t="shared" si="2"/>
      </c>
    </row>
    <row r="238">
      <c r="A238" s="22">
        <v>46041</v>
      </c>
      <c r="B238" s="8" t="s">
        <v>20</v>
      </c>
      <c r="C238" s="9" t="s">
        <v>17</v>
      </c>
      <c r="D238" s="8">
        <v>5</v>
      </c>
      <c r="E238" s="28">
        <v>78</v>
      </c>
      <c r="F238" s="8">
        <v>60</v>
      </c>
      <c r="G238" s="8">
        <v>34</v>
      </c>
      <c r="H238" s="8">
        <v>44</v>
      </c>
      <c r="I238" s="8">
        <v>7</v>
      </c>
      <c r="J238" s="10">
        <v>60085</v>
      </c>
      <c r="K238" s="8">
        <v>28576.729999999996</v>
      </c>
      <c r="L238" s="11">
        <f t="shared" si="0"/>
      </c>
      <c r="M238" s="11">
        <f t="shared" si="90"/>
      </c>
      <c r="N238" s="11">
        <f t="shared" si="2"/>
      </c>
    </row>
    <row r="239">
      <c r="A239" s="22">
        <v>46041</v>
      </c>
      <c r="B239" s="8" t="s">
        <v>16</v>
      </c>
      <c r="C239" s="9" t="s">
        <v>19</v>
      </c>
      <c r="D239" s="8">
        <v>5</v>
      </c>
      <c r="E239" s="8">
        <v>73</v>
      </c>
      <c r="F239" s="8">
        <v>55</v>
      </c>
      <c r="G239" s="8">
        <v>36</v>
      </c>
      <c r="H239" s="8">
        <v>33</v>
      </c>
      <c r="I239" s="8">
        <v>8</v>
      </c>
      <c r="J239" s="10">
        <v>47233.799999999996</v>
      </c>
      <c r="K239" s="10">
        <v>26073.98</v>
      </c>
      <c r="L239" s="11">
        <f t="shared" si="0"/>
      </c>
      <c r="M239" s="11">
        <f t="shared" si="90"/>
      </c>
      <c r="N239" s="11">
        <f t="shared" si="2"/>
      </c>
    </row>
    <row r="240">
      <c r="A240" s="22">
        <v>46041</v>
      </c>
      <c r="B240" s="8" t="s">
        <v>22</v>
      </c>
      <c r="C240" s="9" t="s">
        <v>21</v>
      </c>
      <c r="D240" s="8">
        <v>5</v>
      </c>
      <c r="E240" s="8">
        <v>40</v>
      </c>
      <c r="F240" s="8">
        <v>32</v>
      </c>
      <c r="G240" s="8">
        <v>28</v>
      </c>
      <c r="H240" s="8">
        <v>22</v>
      </c>
      <c r="I240" s="8">
        <v>2</v>
      </c>
      <c r="J240" s="10">
        <v>33397.600000000006</v>
      </c>
      <c r="K240" s="10">
        <v>22318.979999999996</v>
      </c>
      <c r="L240" s="11">
        <f t="shared" si="0"/>
      </c>
      <c r="M240" s="11">
        <f t="shared" si="90"/>
      </c>
      <c r="N240" s="11">
        <f t="shared" si="2"/>
      </c>
    </row>
    <row r="241">
      <c r="A241" s="22">
        <v>46041</v>
      </c>
      <c r="B241" s="8" t="s">
        <v>18</v>
      </c>
      <c r="C241" s="9" t="s">
        <v>23</v>
      </c>
      <c r="D241" s="8">
        <v>5</v>
      </c>
      <c r="E241" s="8">
        <v>67</v>
      </c>
      <c r="F241" s="8">
        <v>37</v>
      </c>
      <c r="G241" s="8">
        <v>33</v>
      </c>
      <c r="H241" s="8">
        <v>22</v>
      </c>
      <c r="I241" s="8">
        <v>4</v>
      </c>
      <c r="J241" s="10">
        <v>40314.40000000001</v>
      </c>
      <c r="K241" s="10">
        <v>25712.47</v>
      </c>
      <c r="L241" s="11">
        <f t="shared" si="0"/>
      </c>
      <c r="M241" s="11">
        <f t="shared" si="90"/>
      </c>
      <c r="N241" s="11">
        <f t="shared" si="2"/>
      </c>
    </row>
    <row r="242">
      <c r="A242" s="16">
        <v>46041</v>
      </c>
      <c r="B242" s="17"/>
      <c r="C242" s="17"/>
      <c r="D242" s="17">
        <f>SUM(D238:D241)</f>
      </c>
      <c r="E242" s="17">
        <f>SUM(E238:E241)</f>
      </c>
      <c r="F242" s="17">
        <f>SUM(F238:F241)</f>
      </c>
      <c r="G242" s="17">
        <f>SUM(G238:G241)</f>
      </c>
      <c r="H242" s="17">
        <f>SUM(H238:H241)</f>
      </c>
      <c r="I242" s="17">
        <f>SUM(I238:I241)</f>
      </c>
      <c r="J242" s="17">
        <f>SUM(J238:J241)</f>
      </c>
      <c r="K242" s="17">
        <f>SUM(K238:K241)</f>
      </c>
      <c r="L242" s="18">
        <f t="shared" si="0"/>
      </c>
      <c r="M242" s="18">
        <f t="shared" si="90"/>
      </c>
      <c r="N242" s="18">
        <f t="shared" si="2"/>
      </c>
    </row>
    <row r="243">
      <c r="A243" s="7">
        <v>46042</v>
      </c>
      <c r="B243" s="8" t="s">
        <v>16</v>
      </c>
      <c r="C243" s="9" t="s">
        <v>17</v>
      </c>
      <c r="D243" s="8">
        <v>5</v>
      </c>
      <c r="E243" s="28">
        <v>49</v>
      </c>
      <c r="F243" s="8">
        <v>41</v>
      </c>
      <c r="G243" s="8">
        <v>24</v>
      </c>
      <c r="H243" s="8">
        <v>33</v>
      </c>
      <c r="I243" s="8">
        <v>3</v>
      </c>
      <c r="J243" s="10">
        <v>34109.4</v>
      </c>
      <c r="K243" s="8">
        <v>20225.62</v>
      </c>
      <c r="L243" s="11">
        <f t="shared" si="0"/>
      </c>
      <c r="M243" s="11">
        <f t="shared" si="90"/>
      </c>
      <c r="N243" s="11">
        <f t="shared" si="2"/>
      </c>
    </row>
    <row r="244">
      <c r="A244" s="7">
        <v>46042</v>
      </c>
      <c r="B244" s="8" t="s">
        <v>22</v>
      </c>
      <c r="C244" s="9" t="s">
        <v>19</v>
      </c>
      <c r="D244" s="8">
        <v>5</v>
      </c>
      <c r="E244" s="8">
        <v>46</v>
      </c>
      <c r="F244" s="8">
        <v>34</v>
      </c>
      <c r="G244" s="8">
        <v>29</v>
      </c>
      <c r="H244" s="8">
        <v>27</v>
      </c>
      <c r="I244" s="8">
        <v>2</v>
      </c>
      <c r="J244" s="10">
        <v>29469.4</v>
      </c>
      <c r="K244" s="10">
        <v>19294.660000000003</v>
      </c>
      <c r="L244" s="11">
        <f t="shared" si="0"/>
      </c>
      <c r="M244" s="11">
        <f t="shared" si="90"/>
      </c>
      <c r="N244" s="11">
        <f t="shared" si="2"/>
      </c>
    </row>
    <row r="245">
      <c r="A245" s="7">
        <v>46042</v>
      </c>
      <c r="B245" s="8" t="s">
        <v>18</v>
      </c>
      <c r="C245" s="9" t="s">
        <v>21</v>
      </c>
      <c r="D245" s="8">
        <v>5</v>
      </c>
      <c r="E245" s="8">
        <v>39</v>
      </c>
      <c r="F245" s="8">
        <v>25</v>
      </c>
      <c r="G245" s="8">
        <v>18</v>
      </c>
      <c r="H245" s="8">
        <v>16</v>
      </c>
      <c r="I245" s="8">
        <v>2</v>
      </c>
      <c r="J245" s="10">
        <v>25288.100000000002</v>
      </c>
      <c r="K245" s="10">
        <v>17635.17</v>
      </c>
      <c r="L245" s="11">
        <f t="shared" si="0"/>
      </c>
      <c r="M245" s="11">
        <f t="shared" si="90"/>
      </c>
      <c r="N245" s="11">
        <f t="shared" si="2"/>
      </c>
    </row>
    <row r="246">
      <c r="A246" s="7">
        <v>46042</v>
      </c>
      <c r="B246" s="8" t="s">
        <v>20</v>
      </c>
      <c r="C246" s="9" t="s">
        <v>23</v>
      </c>
      <c r="D246" s="8">
        <v>5</v>
      </c>
      <c r="E246" s="8">
        <v>77</v>
      </c>
      <c r="F246" s="8">
        <v>63</v>
      </c>
      <c r="G246" s="8">
        <v>51</v>
      </c>
      <c r="H246" s="8">
        <v>43</v>
      </c>
      <c r="I246" s="8">
        <v>5</v>
      </c>
      <c r="J246" s="10">
        <v>54633.00000000001</v>
      </c>
      <c r="K246" s="10">
        <v>22265.769999999997</v>
      </c>
      <c r="L246" s="11">
        <f t="shared" si="0"/>
      </c>
      <c r="M246" s="11">
        <f t="shared" si="90"/>
      </c>
      <c r="N246" s="11">
        <f t="shared" si="2"/>
      </c>
    </row>
    <row r="247">
      <c r="A247" s="16">
        <v>46042</v>
      </c>
      <c r="B247" s="17"/>
      <c r="C247" s="17"/>
      <c r="D247" s="17">
        <f>SUM(D243:D246)</f>
      </c>
      <c r="E247" s="17">
        <f>SUM(E243:E246)</f>
      </c>
      <c r="F247" s="17">
        <f>SUM(F243:F246)</f>
      </c>
      <c r="G247" s="17">
        <f>SUM(G243:G246)</f>
      </c>
      <c r="H247" s="17">
        <f>SUM(H243:H246)</f>
      </c>
      <c r="I247" s="17">
        <f>SUM(I243:I246)</f>
      </c>
      <c r="J247" s="17">
        <f>SUM(J243:J246)</f>
      </c>
      <c r="K247" s="17">
        <f>SUM(K243:K246)</f>
      </c>
      <c r="L247" s="18">
        <f t="shared" si="0"/>
      </c>
      <c r="M247" s="18">
        <f t="shared" si="90"/>
      </c>
      <c r="N247" s="18">
        <f t="shared" si="2"/>
      </c>
    </row>
    <row r="248">
      <c r="A248" s="7">
        <v>46043</v>
      </c>
      <c r="B248" s="8" t="s">
        <v>16</v>
      </c>
      <c r="C248" s="9" t="s">
        <v>17</v>
      </c>
      <c r="D248" s="8">
        <v>5</v>
      </c>
      <c r="E248" s="28">
        <v>41</v>
      </c>
      <c r="F248" s="8">
        <v>30</v>
      </c>
      <c r="G248" s="8">
        <v>22</v>
      </c>
      <c r="H248" s="8">
        <v>19</v>
      </c>
      <c r="I248" s="8">
        <v>4</v>
      </c>
      <c r="J248" s="10">
        <v>31627.199999999997</v>
      </c>
      <c r="K248" s="8">
        <v>24632.17</v>
      </c>
      <c r="L248" s="11">
        <f t="shared" si="0"/>
      </c>
      <c r="M248" s="11">
        <f t="shared" si="90"/>
      </c>
      <c r="N248" s="11">
        <f t="shared" si="2"/>
      </c>
    </row>
    <row r="249">
      <c r="A249" s="7">
        <v>46043</v>
      </c>
      <c r="B249" s="8" t="s">
        <v>18</v>
      </c>
      <c r="C249" s="9" t="s">
        <v>19</v>
      </c>
      <c r="D249" s="8">
        <v>5</v>
      </c>
      <c r="E249" s="8">
        <v>36</v>
      </c>
      <c r="F249" s="8">
        <v>31</v>
      </c>
      <c r="G249" s="8">
        <v>26</v>
      </c>
      <c r="H249" s="8">
        <v>17</v>
      </c>
      <c r="I249" s="8">
        <v>2</v>
      </c>
      <c r="J249" s="10">
        <v>29084.399999999998</v>
      </c>
      <c r="K249" s="10">
        <v>19051.14</v>
      </c>
      <c r="L249" s="11">
        <f t="shared" si="0"/>
      </c>
      <c r="M249" s="11">
        <f t="shared" si="90"/>
      </c>
      <c r="N249" s="11">
        <f t="shared" si="2"/>
      </c>
    </row>
    <row r="250">
      <c r="A250" s="7">
        <v>46043</v>
      </c>
      <c r="B250" s="8" t="s">
        <v>20</v>
      </c>
      <c r="C250" s="9" t="s">
        <v>45</v>
      </c>
      <c r="D250" s="8">
        <v>4</v>
      </c>
      <c r="E250" s="8">
        <v>64</v>
      </c>
      <c r="F250" s="8">
        <v>54</v>
      </c>
      <c r="G250" s="8">
        <v>41</v>
      </c>
      <c r="H250" s="8">
        <v>36</v>
      </c>
      <c r="I250" s="8">
        <v>7</v>
      </c>
      <c r="J250" s="10">
        <v>50051.40000000001</v>
      </c>
      <c r="K250" s="10">
        <v>20953.32</v>
      </c>
      <c r="L250" s="11">
        <f t="shared" si="0"/>
      </c>
      <c r="M250" s="11">
        <f t="shared" si="90"/>
      </c>
      <c r="N250" s="11">
        <f t="shared" si="2"/>
      </c>
    </row>
    <row r="251">
      <c r="A251" s="7">
        <v>46043</v>
      </c>
      <c r="B251" s="8" t="s">
        <v>24</v>
      </c>
      <c r="C251" s="9" t="s">
        <v>46</v>
      </c>
      <c r="D251" s="8">
        <v>5</v>
      </c>
      <c r="E251" s="8">
        <v>66</v>
      </c>
      <c r="F251" s="8">
        <v>53</v>
      </c>
      <c r="G251" s="8">
        <v>36</v>
      </c>
      <c r="H251" s="8">
        <v>31</v>
      </c>
      <c r="I251" s="8">
        <v>9</v>
      </c>
      <c r="J251" s="10">
        <v>49853.400000000016</v>
      </c>
      <c r="K251" s="10">
        <v>33775.130000000005</v>
      </c>
      <c r="L251" s="11">
        <f t="shared" si="0"/>
      </c>
      <c r="M251" s="11">
        <f t="shared" si="90"/>
      </c>
      <c r="N251" s="11">
        <f t="shared" si="2"/>
      </c>
    </row>
    <row r="252">
      <c r="A252" s="16">
        <v>46043</v>
      </c>
      <c r="B252" s="17"/>
      <c r="C252" s="17"/>
      <c r="D252" s="17">
        <f>SUM(D248:D251)</f>
      </c>
      <c r="E252" s="17">
        <f>SUM(E248:E251)</f>
      </c>
      <c r="F252" s="17">
        <f>SUM(F248:F251)</f>
      </c>
      <c r="G252" s="17">
        <f>SUM(G248:G251)</f>
      </c>
      <c r="H252" s="17">
        <f>SUM(H248:H251)</f>
      </c>
      <c r="I252" s="17">
        <f>SUM(I248:I251)</f>
      </c>
      <c r="J252" s="17">
        <f>SUM(J248:J251)</f>
      </c>
      <c r="K252" s="17">
        <f>SUM(K248:K251)</f>
      </c>
      <c r="L252" s="18">
        <f t="shared" si="0"/>
      </c>
      <c r="M252" s="18">
        <f t="shared" si="90"/>
      </c>
      <c r="N252" s="18">
        <f t="shared" si="2"/>
      </c>
    </row>
    <row r="253">
      <c r="A253" s="7">
        <v>46044</v>
      </c>
      <c r="B253" s="8" t="s">
        <v>18</v>
      </c>
      <c r="C253" s="9" t="s">
        <v>17</v>
      </c>
      <c r="D253" s="8">
        <v>5</v>
      </c>
      <c r="E253" s="28">
        <v>95</v>
      </c>
      <c r="F253" s="8">
        <v>76</v>
      </c>
      <c r="G253" s="8">
        <v>64</v>
      </c>
      <c r="H253" s="8">
        <v>44</v>
      </c>
      <c r="I253" s="8">
        <v>7</v>
      </c>
      <c r="J253" s="10">
        <v>74633.6</v>
      </c>
      <c r="K253" s="8">
        <v>43277.55</v>
      </c>
      <c r="L253" s="11">
        <f t="shared" si="0"/>
      </c>
      <c r="M253" s="11">
        <f t="shared" si="90"/>
      </c>
      <c r="N253" s="11">
        <f t="shared" si="2"/>
      </c>
    </row>
    <row r="254">
      <c r="A254" s="7">
        <v>46044</v>
      </c>
      <c r="B254" s="8" t="s">
        <v>24</v>
      </c>
      <c r="C254" s="9" t="s">
        <v>19</v>
      </c>
      <c r="D254" s="8">
        <v>5</v>
      </c>
      <c r="E254" s="8">
        <v>46</v>
      </c>
      <c r="F254" s="8">
        <v>33</v>
      </c>
      <c r="G254" s="8">
        <v>27</v>
      </c>
      <c r="H254" s="8">
        <v>16</v>
      </c>
      <c r="I254" s="8">
        <v>3</v>
      </c>
      <c r="J254" s="10">
        <v>28400</v>
      </c>
      <c r="K254" s="10">
        <v>24894.78</v>
      </c>
      <c r="L254" s="11">
        <f t="shared" si="0"/>
      </c>
      <c r="M254" s="11">
        <f t="shared" si="90"/>
      </c>
      <c r="N254" s="11">
        <f t="shared" si="2"/>
      </c>
    </row>
    <row r="255">
      <c r="A255" s="7">
        <v>46044</v>
      </c>
      <c r="B255" s="8" t="s">
        <v>20</v>
      </c>
      <c r="C255" s="9" t="s">
        <v>21</v>
      </c>
      <c r="D255" s="8">
        <v>5</v>
      </c>
      <c r="E255" s="8">
        <v>82</v>
      </c>
      <c r="F255" s="8">
        <v>63</v>
      </c>
      <c r="G255" s="8">
        <v>38</v>
      </c>
      <c r="H255" s="8">
        <v>36</v>
      </c>
      <c r="I255" s="8">
        <v>6</v>
      </c>
      <c r="J255" s="10">
        <v>61555.5</v>
      </c>
      <c r="K255" s="10">
        <v>26828.03</v>
      </c>
      <c r="L255" s="11">
        <f t="shared" si="0"/>
      </c>
      <c r="M255" s="11">
        <f t="shared" si="90"/>
      </c>
      <c r="N255" s="11">
        <f t="shared" si="2"/>
      </c>
    </row>
    <row r="256">
      <c r="A256" s="7">
        <v>46044</v>
      </c>
      <c r="B256" s="8" t="s">
        <v>22</v>
      </c>
      <c r="C256" s="9" t="s">
        <v>23</v>
      </c>
      <c r="D256" s="8">
        <v>5</v>
      </c>
      <c r="E256" s="8">
        <v>52</v>
      </c>
      <c r="F256" s="8">
        <v>37</v>
      </c>
      <c r="G256" s="8">
        <v>29</v>
      </c>
      <c r="H256" s="8">
        <v>21</v>
      </c>
      <c r="I256" s="8">
        <v>6</v>
      </c>
      <c r="J256" s="10">
        <v>38414</v>
      </c>
      <c r="K256" s="10">
        <v>25700.86</v>
      </c>
      <c r="L256" s="11">
        <f t="shared" si="0"/>
      </c>
      <c r="M256" s="11">
        <f t="shared" si="90"/>
      </c>
      <c r="N256" s="11">
        <f t="shared" si="2"/>
      </c>
    </row>
    <row r="257">
      <c r="A257" s="16">
        <v>46044</v>
      </c>
      <c r="B257" s="17"/>
      <c r="C257" s="17"/>
      <c r="D257" s="17">
        <f>SUM(D253:D256)</f>
      </c>
      <c r="E257" s="17">
        <f>SUM(E253:E256)</f>
      </c>
      <c r="F257" s="17">
        <f>SUM(F253:F256)</f>
      </c>
      <c r="G257" s="17">
        <f>SUM(G253:G256)</f>
      </c>
      <c r="H257" s="17">
        <f>SUM(H253:H256)</f>
      </c>
      <c r="I257" s="17">
        <f>SUM(I253:I256)</f>
      </c>
      <c r="J257" s="17">
        <f>SUM(J253:J256)</f>
      </c>
      <c r="K257" s="17">
        <f>SUM(K253:K256)</f>
      </c>
      <c r="L257" s="18">
        <f t="shared" si="0"/>
      </c>
      <c r="M257" s="18">
        <f t="shared" si="90"/>
      </c>
      <c r="N257" s="18">
        <f t="shared" si="2"/>
      </c>
    </row>
    <row r="258">
      <c r="A258" s="7">
        <v>46045</v>
      </c>
      <c r="B258" s="8" t="s">
        <v>16</v>
      </c>
      <c r="C258" s="9" t="s">
        <v>17</v>
      </c>
      <c r="D258" s="8">
        <v>5</v>
      </c>
      <c r="E258" s="28">
        <v>42</v>
      </c>
      <c r="F258" s="8">
        <v>30</v>
      </c>
      <c r="G258" s="8">
        <v>26</v>
      </c>
      <c r="H258" s="8">
        <v>17</v>
      </c>
      <c r="I258" s="8">
        <v>3</v>
      </c>
      <c r="J258" s="10">
        <v>31232</v>
      </c>
      <c r="K258" s="8">
        <v>22307.239999999998</v>
      </c>
      <c r="L258" s="11">
        <f t="shared" si="0"/>
      </c>
      <c r="M258" s="11">
        <f t="shared" si="90"/>
      </c>
      <c r="N258" s="11">
        <f t="shared" si="2"/>
      </c>
    </row>
    <row r="259">
      <c r="A259" s="7">
        <v>46045</v>
      </c>
      <c r="B259" s="8" t="s">
        <v>20</v>
      </c>
      <c r="C259" s="9" t="s">
        <v>19</v>
      </c>
      <c r="D259" s="8">
        <v>5</v>
      </c>
      <c r="E259" s="8">
        <v>62</v>
      </c>
      <c r="F259" s="8">
        <v>47</v>
      </c>
      <c r="G259" s="8">
        <v>35</v>
      </c>
      <c r="H259" s="8">
        <v>29</v>
      </c>
      <c r="I259" s="8">
        <v>7</v>
      </c>
      <c r="J259" s="10">
        <v>41680.8</v>
      </c>
      <c r="K259" s="10">
        <v>22632.390000000003</v>
      </c>
      <c r="L259" s="11">
        <f t="shared" si="0"/>
      </c>
      <c r="M259" s="11">
        <f t="shared" si="90"/>
      </c>
      <c r="N259" s="11">
        <f t="shared" si="2"/>
      </c>
    </row>
    <row r="260">
      <c r="A260" s="7">
        <v>46045</v>
      </c>
      <c r="B260" s="8" t="s">
        <v>24</v>
      </c>
      <c r="C260" s="9" t="s">
        <v>21</v>
      </c>
      <c r="D260" s="8">
        <v>5</v>
      </c>
      <c r="E260" s="8">
        <v>43</v>
      </c>
      <c r="F260" s="8">
        <v>34</v>
      </c>
      <c r="G260" s="8">
        <v>28</v>
      </c>
      <c r="H260" s="8">
        <v>19</v>
      </c>
      <c r="I260" s="8">
        <v>3</v>
      </c>
      <c r="J260" s="10">
        <v>31273.6</v>
      </c>
      <c r="K260" s="10">
        <v>23183.43</v>
      </c>
      <c r="L260" s="11">
        <f t="shared" si="0"/>
      </c>
      <c r="M260" s="11">
        <f t="shared" si="90"/>
      </c>
      <c r="N260" s="11">
        <f t="shared" si="2"/>
      </c>
    </row>
    <row r="261">
      <c r="A261" s="7">
        <v>46045</v>
      </c>
      <c r="B261" s="8" t="s">
        <v>22</v>
      </c>
      <c r="C261" s="9" t="s">
        <v>23</v>
      </c>
      <c r="D261" s="8">
        <v>5</v>
      </c>
      <c r="E261" s="8">
        <v>72</v>
      </c>
      <c r="F261" s="8">
        <v>50</v>
      </c>
      <c r="G261" s="8">
        <v>34</v>
      </c>
      <c r="H261" s="8">
        <v>35</v>
      </c>
      <c r="I261" s="8">
        <v>6</v>
      </c>
      <c r="J261" s="10">
        <v>44167.00000000001</v>
      </c>
      <c r="K261" s="10">
        <v>25986.690000000002</v>
      </c>
      <c r="L261" s="11">
        <f t="shared" si="0"/>
      </c>
      <c r="M261" s="11">
        <f t="shared" si="90"/>
      </c>
      <c r="N261" s="11">
        <f t="shared" si="2"/>
      </c>
    </row>
    <row r="262">
      <c r="A262" s="16">
        <v>46045</v>
      </c>
      <c r="B262" s="17"/>
      <c r="C262" s="17"/>
      <c r="D262" s="17">
        <f>SUM(D258:D261)</f>
      </c>
      <c r="E262" s="17">
        <f>SUM(E258:E261)</f>
      </c>
      <c r="F262" s="17">
        <f>SUM(F258:F261)</f>
      </c>
      <c r="G262" s="17">
        <f>SUM(G258:G261)</f>
      </c>
      <c r="H262" s="17">
        <f>SUM(H258:H261)</f>
      </c>
      <c r="I262" s="17">
        <f>SUM(I258:I261)</f>
      </c>
      <c r="J262" s="17">
        <f>SUM(J258:J261)</f>
      </c>
      <c r="K262" s="17">
        <f>SUM(K258:K261)</f>
      </c>
      <c r="L262" s="18">
        <f t="shared" si="0"/>
      </c>
      <c r="M262" s="18">
        <f t="shared" si="90"/>
      </c>
      <c r="N262" s="18">
        <f t="shared" si="2"/>
      </c>
    </row>
    <row r="263">
      <c r="A263" s="7">
        <v>46046</v>
      </c>
      <c r="B263" s="8" t="s">
        <v>18</v>
      </c>
      <c r="C263" s="9" t="s">
        <v>17</v>
      </c>
      <c r="D263" s="8">
        <v>5</v>
      </c>
      <c r="E263" s="28">
        <v>63</v>
      </c>
      <c r="F263" s="8">
        <v>51</v>
      </c>
      <c r="G263" s="8">
        <v>35</v>
      </c>
      <c r="H263" s="8">
        <v>31</v>
      </c>
      <c r="I263" s="8">
        <v>7</v>
      </c>
      <c r="J263" s="10">
        <v>51064.8</v>
      </c>
      <c r="K263" s="8">
        <v>29753.57</v>
      </c>
      <c r="L263" s="11">
        <f t="shared" si="0"/>
      </c>
      <c r="M263" s="11">
        <f t="shared" si="90"/>
      </c>
      <c r="N263" s="11">
        <f t="shared" si="2"/>
      </c>
    </row>
    <row r="264">
      <c r="A264" s="7">
        <v>46046</v>
      </c>
      <c r="B264" s="8" t="s">
        <v>20</v>
      </c>
      <c r="C264" s="9" t="s">
        <v>19</v>
      </c>
      <c r="D264" s="8">
        <v>5</v>
      </c>
      <c r="E264" s="8">
        <v>59</v>
      </c>
      <c r="F264" s="8">
        <v>49</v>
      </c>
      <c r="G264" s="8">
        <v>39</v>
      </c>
      <c r="H264" s="8">
        <v>27</v>
      </c>
      <c r="I264" s="8">
        <v>5</v>
      </c>
      <c r="J264" s="10">
        <v>46937.2</v>
      </c>
      <c r="K264" s="10">
        <v>26464.050000000003</v>
      </c>
      <c r="L264" s="11">
        <f t="shared" si="0"/>
      </c>
      <c r="M264" s="11">
        <f t="shared" si="90"/>
      </c>
      <c r="N264" s="11">
        <f t="shared" si="2"/>
      </c>
    </row>
    <row r="265">
      <c r="A265" s="7">
        <v>46046</v>
      </c>
      <c r="B265" s="8" t="s">
        <v>24</v>
      </c>
      <c r="C265" s="9" t="s">
        <v>21</v>
      </c>
      <c r="D265" s="8">
        <v>5</v>
      </c>
      <c r="E265" s="8">
        <v>34</v>
      </c>
      <c r="F265" s="8">
        <v>26</v>
      </c>
      <c r="G265" s="8">
        <v>19</v>
      </c>
      <c r="H265" s="8">
        <v>14</v>
      </c>
      <c r="I265" s="8">
        <v>0</v>
      </c>
      <c r="J265" s="10">
        <v>26858.200000000004</v>
      </c>
      <c r="K265" s="10">
        <v>19433.030000000002</v>
      </c>
      <c r="L265" s="11">
        <f t="shared" si="0"/>
      </c>
      <c r="M265" s="11">
        <f t="shared" si="90"/>
      </c>
      <c r="N265" s="11">
        <f t="shared" si="2"/>
      </c>
    </row>
    <row r="266">
      <c r="A266" s="7">
        <v>46046</v>
      </c>
      <c r="B266" s="8" t="s">
        <v>22</v>
      </c>
      <c r="C266" s="9" t="s">
        <v>23</v>
      </c>
      <c r="D266" s="8">
        <v>5</v>
      </c>
      <c r="E266" s="8">
        <v>37</v>
      </c>
      <c r="F266" s="8">
        <v>28</v>
      </c>
      <c r="G266" s="8">
        <v>22</v>
      </c>
      <c r="H266" s="8">
        <v>19</v>
      </c>
      <c r="I266" s="8">
        <v>2</v>
      </c>
      <c r="J266" s="10">
        <v>20729.600000000006</v>
      </c>
      <c r="K266" s="10">
        <v>15628.01</v>
      </c>
      <c r="L266" s="11">
        <f t="shared" si="0"/>
      </c>
      <c r="M266" s="11">
        <f t="shared" si="90"/>
      </c>
      <c r="N266" s="11">
        <f t="shared" si="2"/>
      </c>
    </row>
    <row r="267">
      <c r="A267" s="16">
        <v>46046</v>
      </c>
      <c r="B267" s="17"/>
      <c r="C267" s="17"/>
      <c r="D267" s="17">
        <f>SUM(D263:D266)</f>
      </c>
      <c r="E267" s="17">
        <f>SUM(E263:E266)</f>
      </c>
      <c r="F267" s="17">
        <f>SUM(F263:F266)</f>
      </c>
      <c r="G267" s="17">
        <f>SUM(G263:G266)</f>
      </c>
      <c r="H267" s="17">
        <f>SUM(H263:H266)</f>
      </c>
      <c r="I267" s="17">
        <f>SUM(I263:I266)</f>
      </c>
      <c r="J267" s="17">
        <f>SUM(J263:J266)</f>
      </c>
      <c r="K267" s="17">
        <f>SUM(K263:K266)</f>
      </c>
      <c r="L267" s="18">
        <f t="shared" si="0"/>
      </c>
      <c r="M267" s="18">
        <f t="shared" si="90"/>
      </c>
      <c r="N267" s="18">
        <f t="shared" si="2"/>
      </c>
    </row>
    <row r="268">
      <c r="A268" s="7">
        <v>46047</v>
      </c>
      <c r="B268" s="8" t="s">
        <v>18</v>
      </c>
      <c r="C268" s="9" t="s">
        <v>17</v>
      </c>
      <c r="D268" s="8">
        <v>5</v>
      </c>
      <c r="E268" s="28">
        <v>32</v>
      </c>
      <c r="F268" s="8">
        <v>26</v>
      </c>
      <c r="G268" s="8">
        <v>18</v>
      </c>
      <c r="H268" s="8">
        <v>10</v>
      </c>
      <c r="I268" s="8">
        <v>2</v>
      </c>
      <c r="J268" s="10">
        <v>26319.6</v>
      </c>
      <c r="K268" s="8">
        <v>21994.600000000002</v>
      </c>
      <c r="L268" s="11">
        <f t="shared" si="0"/>
      </c>
      <c r="M268" s="11">
        <f t="shared" si="90"/>
      </c>
      <c r="N268" s="11">
        <f t="shared" si="2"/>
      </c>
    </row>
    <row r="269">
      <c r="A269" s="7">
        <v>46047</v>
      </c>
      <c r="B269" s="8" t="s">
        <v>20</v>
      </c>
      <c r="C269" s="9" t="s">
        <v>19</v>
      </c>
      <c r="D269" s="8">
        <v>5</v>
      </c>
      <c r="E269" s="8">
        <v>22</v>
      </c>
      <c r="F269" s="8">
        <v>18</v>
      </c>
      <c r="G269" s="8">
        <v>16</v>
      </c>
      <c r="H269" s="8">
        <v>13</v>
      </c>
      <c r="I269" s="8">
        <v>1</v>
      </c>
      <c r="J269" s="10">
        <v>17763.199999999997</v>
      </c>
      <c r="K269" s="10">
        <v>10111.92</v>
      </c>
      <c r="L269" s="11">
        <f t="shared" si="0"/>
      </c>
      <c r="M269" s="11">
        <f t="shared" si="90"/>
      </c>
      <c r="N269" s="11">
        <f t="shared" si="2"/>
      </c>
    </row>
    <row r="270">
      <c r="A270" s="7">
        <v>46047</v>
      </c>
      <c r="B270" s="8" t="s">
        <v>16</v>
      </c>
      <c r="C270" s="9" t="s">
        <v>21</v>
      </c>
      <c r="D270" s="8">
        <v>5</v>
      </c>
      <c r="E270" s="8">
        <v>32</v>
      </c>
      <c r="F270" s="8">
        <v>28</v>
      </c>
      <c r="G270" s="8">
        <v>22</v>
      </c>
      <c r="H270" s="8">
        <v>18</v>
      </c>
      <c r="I270" s="8">
        <v>3</v>
      </c>
      <c r="J270" s="10">
        <v>30641</v>
      </c>
      <c r="K270" s="10">
        <v>14932.64</v>
      </c>
      <c r="L270" s="11">
        <f t="shared" si="0"/>
      </c>
      <c r="M270" s="11">
        <f t="shared" si="90"/>
      </c>
      <c r="N270" s="11">
        <f t="shared" si="2"/>
      </c>
    </row>
    <row r="271">
      <c r="A271" s="7">
        <v>46047</v>
      </c>
      <c r="B271" s="8" t="s">
        <v>22</v>
      </c>
      <c r="C271" s="9" t="s">
        <v>23</v>
      </c>
      <c r="D271" s="8">
        <v>5</v>
      </c>
      <c r="E271" s="8">
        <v>51</v>
      </c>
      <c r="F271" s="8">
        <v>41</v>
      </c>
      <c r="G271" s="8">
        <v>36</v>
      </c>
      <c r="H271" s="8">
        <v>25</v>
      </c>
      <c r="I271" s="8">
        <v>3</v>
      </c>
      <c r="J271" s="10">
        <v>35974.00000000001</v>
      </c>
      <c r="K271" s="10">
        <v>23662.88</v>
      </c>
      <c r="L271" s="11">
        <f t="shared" si="0"/>
      </c>
      <c r="M271" s="11">
        <f t="shared" si="90"/>
      </c>
      <c r="N271" s="11">
        <f t="shared" si="2"/>
      </c>
    </row>
    <row r="272">
      <c r="A272" s="16">
        <v>46047</v>
      </c>
      <c r="B272" s="17"/>
      <c r="C272" s="17"/>
      <c r="D272" s="17">
        <f>SUM(D268:D271)</f>
      </c>
      <c r="E272" s="17">
        <f>SUM(E268:E271)</f>
      </c>
      <c r="F272" s="17">
        <f>SUM(F268:F271)</f>
      </c>
      <c r="G272" s="17">
        <f>SUM(G268:G271)</f>
      </c>
      <c r="H272" s="17">
        <f>SUM(H268:H271)</f>
      </c>
      <c r="I272" s="17">
        <f>SUM(I268:I271)</f>
      </c>
      <c r="J272" s="17">
        <f>SUM(J268:J271)</f>
      </c>
      <c r="K272" s="17">
        <f>SUM(K268:K271)</f>
      </c>
      <c r="L272" s="18">
        <f t="shared" si="0"/>
      </c>
      <c r="M272" s="18">
        <f t="shared" si="90"/>
      </c>
      <c r="N272" s="18">
        <f t="shared" si="2"/>
      </c>
    </row>
    <row r="273">
      <c r="A273" s="7">
        <v>46048</v>
      </c>
      <c r="B273" s="8" t="s">
        <v>20</v>
      </c>
      <c r="C273" s="9" t="s">
        <v>17</v>
      </c>
      <c r="D273" s="8">
        <v>5</v>
      </c>
      <c r="E273" s="28">
        <v>50</v>
      </c>
      <c r="F273" s="8">
        <v>42</v>
      </c>
      <c r="G273" s="8">
        <v>32</v>
      </c>
      <c r="H273" s="8">
        <v>26</v>
      </c>
      <c r="I273" s="8">
        <v>3</v>
      </c>
      <c r="J273" s="10">
        <v>43990</v>
      </c>
      <c r="K273" s="8">
        <v>21474.66</v>
      </c>
      <c r="L273" s="11">
        <f t="shared" si="0"/>
      </c>
      <c r="M273" s="11">
        <f t="shared" si="90"/>
      </c>
      <c r="N273" s="11">
        <f t="shared" si="2"/>
      </c>
    </row>
    <row r="274">
      <c r="A274" s="7">
        <v>46048</v>
      </c>
      <c r="B274" s="8" t="s">
        <v>16</v>
      </c>
      <c r="C274" s="9" t="s">
        <v>19</v>
      </c>
      <c r="D274" s="8">
        <v>5</v>
      </c>
      <c r="E274" s="8">
        <v>43</v>
      </c>
      <c r="F274" s="8">
        <v>34</v>
      </c>
      <c r="G274" s="8">
        <v>25</v>
      </c>
      <c r="H274" s="8">
        <v>25</v>
      </c>
      <c r="I274" s="8">
        <v>7</v>
      </c>
      <c r="J274" s="10">
        <v>31602</v>
      </c>
      <c r="K274" s="10">
        <v>21663.85</v>
      </c>
      <c r="L274" s="11">
        <f t="shared" si="0"/>
      </c>
      <c r="M274" s="11">
        <f t="shared" si="90"/>
      </c>
      <c r="N274" s="11">
        <f t="shared" si="2"/>
      </c>
    </row>
    <row r="275">
      <c r="A275" s="7">
        <v>46048</v>
      </c>
      <c r="B275" s="8" t="s">
        <v>22</v>
      </c>
      <c r="C275" s="9" t="s">
        <v>21</v>
      </c>
      <c r="D275" s="8">
        <v>5</v>
      </c>
      <c r="E275" s="8">
        <v>40</v>
      </c>
      <c r="F275" s="8">
        <v>27</v>
      </c>
      <c r="G275" s="8">
        <v>18</v>
      </c>
      <c r="H275" s="8">
        <v>18</v>
      </c>
      <c r="I275" s="8">
        <v>3</v>
      </c>
      <c r="J275" s="10">
        <v>24801.09999999999</v>
      </c>
      <c r="K275" s="10">
        <v>18659.39</v>
      </c>
      <c r="L275" s="11">
        <f t="shared" si="0"/>
      </c>
      <c r="M275" s="11">
        <f t="shared" si="90"/>
      </c>
      <c r="N275" s="11">
        <f t="shared" si="2"/>
      </c>
    </row>
    <row r="276">
      <c r="A276" s="7">
        <v>46048</v>
      </c>
      <c r="B276" s="8" t="s">
        <v>24</v>
      </c>
      <c r="C276" s="9" t="s">
        <v>23</v>
      </c>
      <c r="D276" s="8">
        <v>5</v>
      </c>
      <c r="E276" s="8">
        <v>45</v>
      </c>
      <c r="F276" s="8">
        <v>22</v>
      </c>
      <c r="G276" s="8">
        <v>23</v>
      </c>
      <c r="H276" s="8">
        <v>16</v>
      </c>
      <c r="I276" s="8">
        <v>0</v>
      </c>
      <c r="J276" s="10">
        <v>21045.600000000006</v>
      </c>
      <c r="K276" s="10">
        <v>21952.25</v>
      </c>
      <c r="L276" s="11">
        <f t="shared" si="0"/>
      </c>
      <c r="M276" s="11">
        <f t="shared" si="90"/>
      </c>
      <c r="N276" s="11">
        <f t="shared" si="2"/>
      </c>
    </row>
    <row r="277">
      <c r="A277" s="16">
        <v>46048</v>
      </c>
      <c r="B277" s="17"/>
      <c r="C277" s="17"/>
      <c r="D277" s="17">
        <f>SUM(D273:D276)</f>
      </c>
      <c r="E277" s="17">
        <f>SUM(E273:E276)</f>
      </c>
      <c r="F277" s="17">
        <f>SUM(F273:F276)</f>
      </c>
      <c r="G277" s="17">
        <f>SUM(G273:G276)</f>
      </c>
      <c r="H277" s="17">
        <f>SUM(H273:H276)</f>
      </c>
      <c r="I277" s="17">
        <f>SUM(I273:I276)</f>
      </c>
      <c r="J277" s="17">
        <f>SUM(J273:J276)</f>
      </c>
      <c r="K277" s="17">
        <f>SUM(K273:K276)</f>
      </c>
      <c r="L277" s="18">
        <f t="shared" si="0"/>
      </c>
      <c r="M277" s="18">
        <f t="shared" si="90"/>
      </c>
      <c r="N277" s="18">
        <f t="shared" si="2"/>
      </c>
    </row>
    <row r="278">
      <c r="A278" s="7">
        <v>46049</v>
      </c>
      <c r="B278" s="8" t="s">
        <v>20</v>
      </c>
      <c r="C278" s="9" t="s">
        <v>17</v>
      </c>
      <c r="D278" s="8">
        <v>5</v>
      </c>
      <c r="E278" s="28">
        <v>47</v>
      </c>
      <c r="F278" s="8">
        <v>43</v>
      </c>
      <c r="G278" s="8">
        <v>34</v>
      </c>
      <c r="H278" s="8">
        <v>25</v>
      </c>
      <c r="I278" s="8">
        <v>4</v>
      </c>
      <c r="J278" s="10">
        <v>38445.40000000001</v>
      </c>
      <c r="K278" s="8">
        <v>23001.6</v>
      </c>
      <c r="L278" s="11">
        <f t="shared" si="0"/>
      </c>
      <c r="M278" s="11">
        <f t="shared" si="90"/>
      </c>
      <c r="N278" s="11">
        <f t="shared" si="2"/>
      </c>
    </row>
    <row r="279">
      <c r="A279" s="7">
        <v>46049</v>
      </c>
      <c r="B279" s="8" t="s">
        <v>24</v>
      </c>
      <c r="C279" s="9" t="s">
        <v>19</v>
      </c>
      <c r="D279" s="8">
        <v>5</v>
      </c>
      <c r="E279" s="8">
        <v>49</v>
      </c>
      <c r="F279" s="8">
        <v>35</v>
      </c>
      <c r="G279" s="8">
        <v>26</v>
      </c>
      <c r="H279" s="8">
        <v>24</v>
      </c>
      <c r="I279" s="8">
        <v>2</v>
      </c>
      <c r="J279" s="10">
        <v>26374.4</v>
      </c>
      <c r="K279" s="10">
        <v>18799.18</v>
      </c>
      <c r="L279" s="11">
        <f t="shared" si="0"/>
      </c>
      <c r="M279" s="11">
        <f t="shared" si="90"/>
      </c>
      <c r="N279" s="11">
        <f t="shared" si="2"/>
      </c>
    </row>
    <row r="280">
      <c r="A280" s="7">
        <v>46049</v>
      </c>
      <c r="B280" s="8" t="s">
        <v>16</v>
      </c>
      <c r="C280" s="9" t="s">
        <v>21</v>
      </c>
      <c r="D280" s="8">
        <v>5</v>
      </c>
      <c r="E280" s="8">
        <v>71</v>
      </c>
      <c r="F280" s="8">
        <v>62</v>
      </c>
      <c r="G280" s="8">
        <v>42</v>
      </c>
      <c r="H280" s="8">
        <v>38</v>
      </c>
      <c r="I280" s="8">
        <v>10</v>
      </c>
      <c r="J280" s="10">
        <v>63956.000000000015</v>
      </c>
      <c r="K280" s="10">
        <v>28084.42</v>
      </c>
      <c r="L280" s="11">
        <f t="shared" si="0"/>
      </c>
      <c r="M280" s="11">
        <f t="shared" si="90"/>
      </c>
      <c r="N280" s="11">
        <f t="shared" si="2"/>
      </c>
    </row>
    <row r="281">
      <c r="A281" s="7">
        <v>46049</v>
      </c>
      <c r="B281" s="8" t="s">
        <v>18</v>
      </c>
      <c r="C281" s="9" t="s">
        <v>23</v>
      </c>
      <c r="D281" s="8">
        <v>5</v>
      </c>
      <c r="E281" s="8">
        <v>74</v>
      </c>
      <c r="F281" s="8">
        <v>43</v>
      </c>
      <c r="G281" s="8">
        <v>37</v>
      </c>
      <c r="H281" s="8">
        <v>20</v>
      </c>
      <c r="I281" s="8">
        <v>4</v>
      </c>
      <c r="J281" s="10">
        <v>42358.8</v>
      </c>
      <c r="K281" s="10">
        <v>32680.320000000003</v>
      </c>
      <c r="L281" s="11">
        <f t="shared" si="0"/>
      </c>
      <c r="M281" s="11">
        <f t="shared" si="90"/>
      </c>
      <c r="N281" s="11">
        <f t="shared" si="2"/>
      </c>
    </row>
    <row r="282">
      <c r="A282" s="16">
        <v>46049</v>
      </c>
      <c r="B282" s="17"/>
      <c r="C282" s="17"/>
      <c r="D282" s="17">
        <f>SUM(D278:D281)</f>
      </c>
      <c r="E282" s="17">
        <f>SUM(E278:E281)</f>
      </c>
      <c r="F282" s="17">
        <f>SUM(F278:F281)</f>
      </c>
      <c r="G282" s="17">
        <f>SUM(G278:G281)</f>
      </c>
      <c r="H282" s="17">
        <f>SUM(H278:H281)</f>
      </c>
      <c r="I282" s="17">
        <f>SUM(I278:I281)</f>
      </c>
      <c r="J282" s="17">
        <f>SUM(J278:J281)</f>
      </c>
      <c r="K282" s="17">
        <f>SUM(K278:K281)</f>
      </c>
      <c r="L282" s="18">
        <f t="shared" si="0"/>
      </c>
      <c r="M282" s="18">
        <f t="shared" si="90"/>
      </c>
      <c r="N282" s="18">
        <f t="shared" si="2"/>
      </c>
    </row>
    <row r="283">
      <c r="A283" s="7">
        <v>46050</v>
      </c>
      <c r="B283" s="8" t="s">
        <v>16</v>
      </c>
      <c r="C283" s="9" t="s">
        <v>17</v>
      </c>
      <c r="D283" s="8">
        <v>5</v>
      </c>
      <c r="E283" s="28">
        <v>38</v>
      </c>
      <c r="F283" s="8">
        <v>30</v>
      </c>
      <c r="G283" s="8">
        <v>16</v>
      </c>
      <c r="H283" s="8">
        <v>21</v>
      </c>
      <c r="I283" s="8">
        <v>5</v>
      </c>
      <c r="J283" s="10">
        <v>24902.4</v>
      </c>
      <c r="K283" s="8">
        <v>16569.65</v>
      </c>
      <c r="L283" s="11">
        <f t="shared" si="0"/>
      </c>
      <c r="M283" s="11">
        <f t="shared" si="90"/>
      </c>
      <c r="N283" s="11">
        <f t="shared" si="2"/>
      </c>
    </row>
    <row r="284">
      <c r="A284" s="7">
        <v>46050</v>
      </c>
      <c r="B284" s="8" t="s">
        <v>20</v>
      </c>
      <c r="C284" s="9" t="s">
        <v>19</v>
      </c>
      <c r="D284" s="8">
        <v>5</v>
      </c>
      <c r="E284" s="8">
        <v>41</v>
      </c>
      <c r="F284" s="8">
        <v>31</v>
      </c>
      <c r="G284" s="8">
        <v>25</v>
      </c>
      <c r="H284" s="8">
        <v>21</v>
      </c>
      <c r="I284" s="8">
        <v>3</v>
      </c>
      <c r="J284" s="10">
        <v>33388</v>
      </c>
      <c r="K284" s="10">
        <v>14564.570000000002</v>
      </c>
      <c r="L284" s="11">
        <f t="shared" si="0"/>
      </c>
      <c r="M284" s="11">
        <f t="shared" si="90"/>
      </c>
      <c r="N284" s="11">
        <f t="shared" si="2"/>
      </c>
    </row>
    <row r="285">
      <c r="A285" s="16">
        <v>46050</v>
      </c>
      <c r="B285" s="17"/>
      <c r="C285" s="17"/>
      <c r="D285" s="17">
        <f>SUM(D283:D284)</f>
      </c>
      <c r="E285" s="17">
        <f>SUM(E283:E284)</f>
      </c>
      <c r="F285" s="17">
        <f>SUM(F283:F284)</f>
      </c>
      <c r="G285" s="17">
        <f>SUM(G283:G284)</f>
      </c>
      <c r="H285" s="17">
        <f>SUM(H283:H284)</f>
      </c>
      <c r="I285" s="17">
        <f>SUM(I283:I284)</f>
      </c>
      <c r="J285" s="17">
        <f>SUM(J283:J284)</f>
      </c>
      <c r="K285" s="17">
        <f>SUM(K283:K284)</f>
      </c>
      <c r="L285" s="18">
        <f t="shared" si="0"/>
      </c>
      <c r="M285" s="18">
        <f t="shared" si="90"/>
      </c>
      <c r="N285" s="18">
        <f t="shared" si="2"/>
      </c>
    </row>
    <row r="286">
      <c r="A286" s="7">
        <v>46051</v>
      </c>
      <c r="B286" s="8" t="s">
        <v>20</v>
      </c>
      <c r="C286" s="9" t="s">
        <v>17</v>
      </c>
      <c r="D286" s="8">
        <v>5</v>
      </c>
      <c r="E286" s="28">
        <v>42</v>
      </c>
      <c r="F286" s="8">
        <v>33</v>
      </c>
      <c r="G286" s="8">
        <v>26</v>
      </c>
      <c r="H286" s="8">
        <v>25</v>
      </c>
      <c r="I286" s="8">
        <v>4</v>
      </c>
      <c r="J286" s="10">
        <v>28126.799999999996</v>
      </c>
      <c r="K286" s="8">
        <v>20279.39</v>
      </c>
      <c r="L286" s="11">
        <f t="shared" si="0"/>
      </c>
      <c r="M286" s="11">
        <f t="shared" si="90"/>
      </c>
      <c r="N286" s="11">
        <f t="shared" si="2"/>
      </c>
    </row>
    <row r="287">
      <c r="A287" s="7">
        <v>46051</v>
      </c>
      <c r="B287" s="8" t="s">
        <v>24</v>
      </c>
      <c r="C287" s="9" t="s">
        <v>19</v>
      </c>
      <c r="D287" s="8">
        <v>5</v>
      </c>
      <c r="E287" s="8">
        <v>34</v>
      </c>
      <c r="F287" s="8">
        <v>26</v>
      </c>
      <c r="G287" s="8">
        <v>18</v>
      </c>
      <c r="H287" s="8">
        <v>19</v>
      </c>
      <c r="I287" s="8">
        <v>3</v>
      </c>
      <c r="J287" s="10">
        <v>27823.3</v>
      </c>
      <c r="K287" s="10">
        <v>16160.359999999999</v>
      </c>
      <c r="L287" s="11">
        <f t="shared" si="0"/>
      </c>
      <c r="M287" s="11">
        <f t="shared" si="90"/>
      </c>
      <c r="N287" s="11">
        <f t="shared" si="2"/>
      </c>
    </row>
    <row r="288">
      <c r="A288" s="7">
        <v>46051</v>
      </c>
      <c r="B288" s="8" t="s">
        <v>18</v>
      </c>
      <c r="C288" s="9" t="s">
        <v>21</v>
      </c>
      <c r="D288" s="8">
        <v>5</v>
      </c>
      <c r="E288" s="8">
        <v>59</v>
      </c>
      <c r="F288" s="8">
        <v>46</v>
      </c>
      <c r="G288" s="8">
        <v>36</v>
      </c>
      <c r="H288" s="8">
        <v>28</v>
      </c>
      <c r="I288" s="8">
        <v>6</v>
      </c>
      <c r="J288" s="10">
        <v>46136.2</v>
      </c>
      <c r="K288" s="10">
        <v>26872.26</v>
      </c>
      <c r="L288" s="11">
        <f t="shared" si="0"/>
      </c>
      <c r="M288" s="11">
        <f t="shared" si="90"/>
      </c>
      <c r="N288" s="11">
        <f t="shared" si="2"/>
      </c>
    </row>
    <row r="289">
      <c r="A289" s="7">
        <v>46051</v>
      </c>
      <c r="B289" s="8" t="s">
        <v>22</v>
      </c>
      <c r="C289" s="9" t="s">
        <v>23</v>
      </c>
      <c r="D289" s="8">
        <v>5</v>
      </c>
      <c r="E289" s="8">
        <v>46</v>
      </c>
      <c r="F289" s="8">
        <v>34</v>
      </c>
      <c r="G289" s="8">
        <v>29</v>
      </c>
      <c r="H289" s="8">
        <v>16</v>
      </c>
      <c r="I289" s="8">
        <v>3</v>
      </c>
      <c r="J289" s="10">
        <v>33981.40000000001</v>
      </c>
      <c r="K289" s="10">
        <v>21580.25</v>
      </c>
      <c r="L289" s="11">
        <f t="shared" si="0"/>
      </c>
      <c r="M289" s="11">
        <f t="shared" si="90"/>
      </c>
      <c r="N289" s="11">
        <f t="shared" si="2"/>
      </c>
    </row>
    <row r="290">
      <c r="A290" s="16">
        <v>46051</v>
      </c>
      <c r="B290" s="17"/>
      <c r="C290" s="17"/>
      <c r="D290" s="17">
        <f>SUM(D286:D289)</f>
      </c>
      <c r="E290" s="17">
        <f>SUM(E286:E289)</f>
      </c>
      <c r="F290" s="17">
        <f>SUM(F286:F289)</f>
      </c>
      <c r="G290" s="17">
        <f>SUM(G286:G289)</f>
      </c>
      <c r="H290" s="17">
        <f>SUM(H286:H289)</f>
      </c>
      <c r="I290" s="17">
        <f>SUM(I286:I289)</f>
      </c>
      <c r="J290" s="17">
        <f>SUM(J286:J289)</f>
      </c>
      <c r="K290" s="17">
        <f>SUM(K286:K289)</f>
      </c>
      <c r="L290" s="18">
        <f t="shared" si="0"/>
      </c>
      <c r="M290" s="18">
        <f t="shared" si="90"/>
      </c>
      <c r="N290" s="18">
        <f t="shared" si="2"/>
      </c>
    </row>
    <row r="291">
      <c r="A291" s="7">
        <v>46052</v>
      </c>
      <c r="B291" s="8" t="s">
        <v>20</v>
      </c>
      <c r="C291" s="9" t="s">
        <v>17</v>
      </c>
      <c r="D291" s="8">
        <v>5</v>
      </c>
      <c r="E291" s="28">
        <v>62</v>
      </c>
      <c r="F291" s="8">
        <v>45</v>
      </c>
      <c r="G291" s="8">
        <v>32</v>
      </c>
      <c r="H291" s="8">
        <v>30</v>
      </c>
      <c r="I291" s="8">
        <v>5</v>
      </c>
      <c r="J291" s="10">
        <v>49197.3</v>
      </c>
      <c r="K291" s="8">
        <v>25226.129999999997</v>
      </c>
      <c r="L291" s="11">
        <f t="shared" si="0"/>
      </c>
      <c r="M291" s="11">
        <f t="shared" si="90"/>
      </c>
      <c r="N291" s="11">
        <f t="shared" si="2"/>
      </c>
    </row>
    <row r="292">
      <c r="A292" s="7">
        <v>46052</v>
      </c>
      <c r="B292" s="8" t="s">
        <v>18</v>
      </c>
      <c r="C292" s="9" t="s">
        <v>19</v>
      </c>
      <c r="D292" s="8">
        <v>5</v>
      </c>
      <c r="E292" s="8">
        <v>35</v>
      </c>
      <c r="F292" s="8">
        <v>28</v>
      </c>
      <c r="G292" s="8">
        <v>20</v>
      </c>
      <c r="H292" s="8">
        <v>16</v>
      </c>
      <c r="I292" s="8">
        <v>1</v>
      </c>
      <c r="J292" s="10">
        <v>31858.6</v>
      </c>
      <c r="K292" s="10">
        <v>17790.89</v>
      </c>
      <c r="L292" s="11">
        <f t="shared" si="0"/>
      </c>
      <c r="M292" s="11">
        <f t="shared" si="90"/>
      </c>
      <c r="N292" s="11">
        <f t="shared" si="2"/>
      </c>
    </row>
    <row r="293">
      <c r="A293" s="7">
        <v>46052</v>
      </c>
      <c r="B293" s="8" t="s">
        <v>24</v>
      </c>
      <c r="C293" s="9" t="s">
        <v>21</v>
      </c>
      <c r="D293" s="8">
        <v>5</v>
      </c>
      <c r="E293" s="8">
        <v>31</v>
      </c>
      <c r="F293" s="8">
        <v>25</v>
      </c>
      <c r="G293" s="8">
        <v>23</v>
      </c>
      <c r="H293" s="8">
        <v>14</v>
      </c>
      <c r="I293" s="8">
        <v>1</v>
      </c>
      <c r="J293" s="10">
        <v>28117.799999999996</v>
      </c>
      <c r="K293" s="10">
        <v>14715.79</v>
      </c>
      <c r="L293" s="11">
        <f t="shared" si="0"/>
      </c>
      <c r="M293" s="11">
        <f t="shared" si="90"/>
      </c>
      <c r="N293" s="11">
        <f t="shared" si="2"/>
      </c>
    </row>
    <row r="294">
      <c r="A294" s="7">
        <v>46052</v>
      </c>
      <c r="B294" s="8" t="s">
        <v>22</v>
      </c>
      <c r="C294" s="9" t="s">
        <v>23</v>
      </c>
      <c r="D294" s="8">
        <v>5</v>
      </c>
      <c r="E294" s="8">
        <v>43</v>
      </c>
      <c r="F294" s="8">
        <v>29</v>
      </c>
      <c r="G294" s="8">
        <v>18</v>
      </c>
      <c r="H294" s="8">
        <v>16</v>
      </c>
      <c r="I294" s="8">
        <v>5</v>
      </c>
      <c r="J294" s="10">
        <v>31254.199999999997</v>
      </c>
      <c r="K294" s="10">
        <v>14774.53</v>
      </c>
      <c r="L294" s="11">
        <f t="shared" si="0"/>
      </c>
      <c r="M294" s="11">
        <f t="shared" si="90"/>
      </c>
      <c r="N294" s="11">
        <f t="shared" si="2"/>
      </c>
    </row>
    <row r="295">
      <c r="A295" s="16">
        <v>46052</v>
      </c>
      <c r="B295" s="17"/>
      <c r="C295" s="17"/>
      <c r="D295" s="17">
        <f>SUM(D291:D294)</f>
      </c>
      <c r="E295" s="17">
        <f>SUM(E291:E294)</f>
      </c>
      <c r="F295" s="17">
        <f>SUM(F291:F294)</f>
      </c>
      <c r="G295" s="17">
        <f>SUM(G291:G294)</f>
      </c>
      <c r="H295" s="17">
        <f>SUM(H291:H294)</f>
      </c>
      <c r="I295" s="17">
        <f>SUM(I291:I294)</f>
      </c>
      <c r="J295" s="17">
        <f>SUM(J291:J294)</f>
      </c>
      <c r="K295" s="17">
        <f>SUM(K291:K294)</f>
      </c>
      <c r="L295" s="18">
        <f t="shared" si="0"/>
      </c>
      <c r="M295" s="18">
        <f t="shared" si="90"/>
      </c>
      <c r="N295" s="18">
        <f t="shared" si="2"/>
      </c>
    </row>
    <row r="296">
      <c r="A296" s="7">
        <v>46053</v>
      </c>
      <c r="B296" s="8" t="s">
        <v>18</v>
      </c>
      <c r="C296" s="9" t="s">
        <v>17</v>
      </c>
      <c r="D296" s="8">
        <v>5</v>
      </c>
      <c r="E296" s="28">
        <v>30</v>
      </c>
      <c r="F296" s="8">
        <v>22</v>
      </c>
      <c r="G296" s="8">
        <v>16</v>
      </c>
      <c r="H296" s="8">
        <v>9</v>
      </c>
      <c r="I296" s="8">
        <v>2</v>
      </c>
      <c r="J296" s="10">
        <v>27730.999999999996</v>
      </c>
      <c r="K296" s="8">
        <v>19537.85</v>
      </c>
      <c r="L296" s="11">
        <f t="shared" si="0"/>
      </c>
      <c r="M296" s="11">
        <f t="shared" si="90"/>
      </c>
      <c r="N296" s="11">
        <f t="shared" si="2"/>
      </c>
    </row>
    <row r="297">
      <c r="A297" s="7">
        <v>46053</v>
      </c>
      <c r="B297" s="8" t="s">
        <v>24</v>
      </c>
      <c r="C297" s="9" t="s">
        <v>19</v>
      </c>
      <c r="D297" s="8">
        <v>5</v>
      </c>
      <c r="E297" s="8">
        <v>33</v>
      </c>
      <c r="F297" s="8">
        <v>25</v>
      </c>
      <c r="G297" s="8">
        <v>19</v>
      </c>
      <c r="H297" s="8">
        <v>14</v>
      </c>
      <c r="I297" s="8">
        <v>3</v>
      </c>
      <c r="J297" s="10">
        <v>17814.9</v>
      </c>
      <c r="K297" s="10">
        <v>13675.880000000001</v>
      </c>
      <c r="L297" s="11">
        <f t="shared" si="0"/>
      </c>
      <c r="M297" s="11">
        <f t="shared" si="90"/>
      </c>
      <c r="N297" s="11">
        <f t="shared" si="2"/>
      </c>
    </row>
    <row r="298">
      <c r="A298" s="7">
        <v>46053</v>
      </c>
      <c r="B298" s="8" t="s">
        <v>20</v>
      </c>
      <c r="C298" s="9" t="s">
        <v>21</v>
      </c>
      <c r="D298" s="8">
        <v>5</v>
      </c>
      <c r="E298" s="8">
        <v>50</v>
      </c>
      <c r="F298" s="8">
        <v>39</v>
      </c>
      <c r="G298" s="8">
        <v>23</v>
      </c>
      <c r="H298" s="8">
        <v>22</v>
      </c>
      <c r="I298" s="8">
        <v>6</v>
      </c>
      <c r="J298" s="10">
        <v>46089.8</v>
      </c>
      <c r="K298" s="10">
        <v>15086.510000000002</v>
      </c>
      <c r="L298" s="11">
        <f t="shared" si="0"/>
      </c>
      <c r="M298" s="11">
        <f t="shared" si="90"/>
      </c>
      <c r="N298" s="11">
        <f t="shared" si="2"/>
      </c>
    </row>
    <row r="299">
      <c r="A299" s="7">
        <v>46053</v>
      </c>
      <c r="B299" s="8" t="s">
        <v>22</v>
      </c>
      <c r="C299" s="9" t="s">
        <v>23</v>
      </c>
      <c r="D299" s="8">
        <v>5</v>
      </c>
      <c r="E299" s="8">
        <v>75</v>
      </c>
      <c r="F299" s="8">
        <v>57</v>
      </c>
      <c r="G299" s="8">
        <v>41</v>
      </c>
      <c r="H299" s="8">
        <v>41</v>
      </c>
      <c r="I299" s="8">
        <v>10</v>
      </c>
      <c r="J299" s="10">
        <v>53409.9</v>
      </c>
      <c r="K299" s="10">
        <v>24300.99</v>
      </c>
      <c r="L299" s="11">
        <f t="shared" si="0"/>
      </c>
      <c r="M299" s="11">
        <f t="shared" si="90"/>
      </c>
      <c r="N299" s="11">
        <f t="shared" si="2"/>
      </c>
    </row>
    <row r="300">
      <c r="A300" s="16">
        <v>46053</v>
      </c>
      <c r="B300" s="17"/>
      <c r="C300" s="17"/>
      <c r="D300" s="17">
        <f>SUM(D296:D299)</f>
      </c>
      <c r="E300" s="17">
        <f>SUM(E296:E299)</f>
      </c>
      <c r="F300" s="17">
        <f>SUM(F296:F299)</f>
      </c>
      <c r="G300" s="17">
        <f>SUM(G296:G299)</f>
      </c>
      <c r="H300" s="17">
        <f>SUM(H296:H299)</f>
      </c>
      <c r="I300" s="17">
        <f>SUM(I296:I299)</f>
      </c>
      <c r="J300" s="17">
        <f>SUM(J296:J299)</f>
      </c>
      <c r="K300" s="17">
        <f>SUM(K296:K299)</f>
      </c>
      <c r="L300" s="18">
        <f t="shared" si="0"/>
      </c>
      <c r="M300" s="18">
        <f t="shared" si="90"/>
      </c>
      <c r="N300" s="18">
        <f t="shared" si="2"/>
      </c>
    </row>
    <row r="301">
      <c r="A301" s="7">
        <v>46054</v>
      </c>
      <c r="B301" s="8" t="s">
        <v>16</v>
      </c>
      <c r="C301" s="9" t="s">
        <v>17</v>
      </c>
      <c r="D301" s="8">
        <v>5</v>
      </c>
      <c r="E301" s="28">
        <v>68</v>
      </c>
      <c r="F301" s="8">
        <v>55</v>
      </c>
      <c r="G301" s="8">
        <v>32</v>
      </c>
      <c r="H301" s="8">
        <v>32</v>
      </c>
      <c r="I301" s="8">
        <v>10</v>
      </c>
      <c r="J301" s="10">
        <v>62495.6</v>
      </c>
      <c r="K301" s="8">
        <v>25837.92</v>
      </c>
      <c r="L301" s="11">
        <f t="shared" si="0"/>
      </c>
      <c r="M301" s="11">
        <f t="shared" si="90"/>
      </c>
      <c r="N301" s="11">
        <f t="shared" si="2"/>
      </c>
    </row>
    <row r="302">
      <c r="A302" s="7">
        <v>46054</v>
      </c>
      <c r="B302" s="8" t="s">
        <v>24</v>
      </c>
      <c r="C302" s="9" t="s">
        <v>19</v>
      </c>
      <c r="D302" s="8">
        <v>5</v>
      </c>
      <c r="E302" s="8">
        <v>46</v>
      </c>
      <c r="F302" s="8">
        <v>36</v>
      </c>
      <c r="G302" s="8">
        <v>31</v>
      </c>
      <c r="H302" s="8">
        <v>25</v>
      </c>
      <c r="I302" s="8">
        <v>0</v>
      </c>
      <c r="J302" s="10">
        <v>28417.800000000003</v>
      </c>
      <c r="K302" s="10">
        <v>24672.93</v>
      </c>
      <c r="L302" s="11">
        <f t="shared" si="0"/>
      </c>
      <c r="M302" s="11">
        <f t="shared" si="90"/>
      </c>
      <c r="N302" s="11">
        <f t="shared" si="2"/>
      </c>
    </row>
    <row r="303">
      <c r="A303" s="7">
        <v>46054</v>
      </c>
      <c r="B303" s="8" t="s">
        <v>22</v>
      </c>
      <c r="C303" s="9" t="s">
        <v>21</v>
      </c>
      <c r="D303" s="8">
        <v>5</v>
      </c>
      <c r="E303" s="8">
        <v>75</v>
      </c>
      <c r="F303" s="8">
        <v>65</v>
      </c>
      <c r="G303" s="8">
        <v>46</v>
      </c>
      <c r="H303" s="8">
        <v>49</v>
      </c>
      <c r="I303" s="8">
        <v>5</v>
      </c>
      <c r="J303" s="10">
        <v>59676.60000000001</v>
      </c>
      <c r="K303" s="10">
        <v>27283.09</v>
      </c>
      <c r="L303" s="11">
        <f t="shared" si="0"/>
      </c>
      <c r="M303" s="11">
        <f t="shared" si="90"/>
      </c>
      <c r="N303" s="11">
        <f t="shared" si="2"/>
      </c>
    </row>
    <row r="304">
      <c r="A304" s="7">
        <v>46054</v>
      </c>
      <c r="B304" s="8" t="s">
        <v>20</v>
      </c>
      <c r="C304" s="9" t="s">
        <v>23</v>
      </c>
      <c r="D304" s="8">
        <v>5</v>
      </c>
      <c r="E304" s="8">
        <v>84</v>
      </c>
      <c r="F304" s="8">
        <v>61</v>
      </c>
      <c r="G304" s="8">
        <v>43</v>
      </c>
      <c r="H304" s="8">
        <v>33</v>
      </c>
      <c r="I304" s="8">
        <v>9</v>
      </c>
      <c r="J304" s="10">
        <v>65322.399999999994</v>
      </c>
      <c r="K304" s="10">
        <v>32903.45</v>
      </c>
      <c r="L304" s="11">
        <f t="shared" si="0"/>
      </c>
      <c r="M304" s="11">
        <f t="shared" si="90"/>
      </c>
      <c r="N304" s="11">
        <f t="shared" si="2"/>
      </c>
    </row>
    <row r="305">
      <c r="A305" s="16">
        <v>46054</v>
      </c>
      <c r="B305" s="17"/>
      <c r="C305" s="17"/>
      <c r="D305" s="17">
        <f>SUM(D301:D304)</f>
      </c>
      <c r="E305" s="17">
        <f>SUM(E301:E304)</f>
      </c>
      <c r="F305" s="17">
        <f>SUM(F301:F304)</f>
      </c>
      <c r="G305" s="17">
        <f>SUM(G301:G304)</f>
      </c>
      <c r="H305" s="17">
        <f>SUM(H301:H304)</f>
      </c>
      <c r="I305" s="17">
        <f>SUM(I301:I304)</f>
      </c>
      <c r="J305" s="17">
        <f>SUM(J301:J304)</f>
      </c>
      <c r="K305" s="17">
        <f>SUM(K301:K304)</f>
      </c>
      <c r="L305" s="18">
        <f t="shared" si="0"/>
      </c>
      <c r="M305" s="18">
        <f t="shared" si="90"/>
      </c>
      <c r="N305" s="18">
        <f t="shared" si="2"/>
      </c>
    </row>
    <row r="306">
      <c r="A306" s="7">
        <v>46055</v>
      </c>
      <c r="B306" s="8" t="s">
        <v>16</v>
      </c>
      <c r="C306" s="9" t="s">
        <v>17</v>
      </c>
      <c r="D306" s="8">
        <v>5</v>
      </c>
      <c r="E306" s="28">
        <v>43</v>
      </c>
      <c r="F306" s="8">
        <v>32</v>
      </c>
      <c r="G306" s="8">
        <v>24</v>
      </c>
      <c r="H306" s="8">
        <v>21</v>
      </c>
      <c r="I306" s="8">
        <v>3</v>
      </c>
      <c r="J306" s="10">
        <v>25676.599999999995</v>
      </c>
      <c r="K306" s="8">
        <v>22752.32</v>
      </c>
      <c r="L306" s="11">
        <f t="shared" si="0"/>
      </c>
      <c r="M306" s="11">
        <f t="shared" si="90"/>
      </c>
      <c r="N306" s="11">
        <f t="shared" si="2"/>
      </c>
    </row>
    <row r="307">
      <c r="A307" s="7">
        <v>46055</v>
      </c>
      <c r="B307" s="23" t="s">
        <v>22</v>
      </c>
      <c r="C307" s="9" t="s">
        <v>19</v>
      </c>
      <c r="D307" s="8">
        <v>5</v>
      </c>
      <c r="E307" s="8">
        <v>49</v>
      </c>
      <c r="F307" s="8">
        <v>38</v>
      </c>
      <c r="G307" s="8">
        <v>27</v>
      </c>
      <c r="H307" s="8">
        <v>18</v>
      </c>
      <c r="I307" s="8">
        <v>4</v>
      </c>
      <c r="J307" s="10">
        <v>44229.8</v>
      </c>
      <c r="K307" s="10">
        <v>17852.67</v>
      </c>
      <c r="L307" s="11">
        <f t="shared" si="0"/>
      </c>
      <c r="M307" s="11">
        <f t="shared" si="90"/>
      </c>
      <c r="N307" s="11">
        <f t="shared" si="2"/>
      </c>
    </row>
    <row r="308">
      <c r="A308" s="7">
        <v>46055</v>
      </c>
      <c r="B308" s="8" t="s">
        <v>18</v>
      </c>
      <c r="C308" s="9" t="s">
        <v>21</v>
      </c>
      <c r="D308" s="8">
        <v>5</v>
      </c>
      <c r="E308" s="8">
        <v>42</v>
      </c>
      <c r="F308" s="8">
        <v>35</v>
      </c>
      <c r="G308" s="8">
        <v>21</v>
      </c>
      <c r="H308" s="8">
        <v>23</v>
      </c>
      <c r="I308" s="8">
        <v>3</v>
      </c>
      <c r="J308" s="10">
        <v>34052.8</v>
      </c>
      <c r="K308" s="10">
        <v>17787.78</v>
      </c>
      <c r="L308" s="11">
        <f t="shared" si="0"/>
      </c>
      <c r="M308" s="11">
        <f t="shared" si="90"/>
      </c>
      <c r="N308" s="11">
        <f t="shared" si="2"/>
      </c>
    </row>
    <row r="309">
      <c r="A309" s="7">
        <v>46055</v>
      </c>
      <c r="B309" s="8" t="s">
        <v>20</v>
      </c>
      <c r="C309" s="9" t="s">
        <v>23</v>
      </c>
      <c r="D309" s="8">
        <v>5</v>
      </c>
      <c r="E309" s="8">
        <v>55</v>
      </c>
      <c r="F309" s="8">
        <v>40</v>
      </c>
      <c r="G309" s="8">
        <v>32</v>
      </c>
      <c r="H309" s="8">
        <v>29</v>
      </c>
      <c r="I309" s="8">
        <v>4</v>
      </c>
      <c r="J309" s="10">
        <v>39225.799999999996</v>
      </c>
      <c r="K309" s="10">
        <v>22717.03</v>
      </c>
      <c r="L309" s="11">
        <f t="shared" si="0"/>
      </c>
      <c r="M309" s="11">
        <f t="shared" si="90"/>
      </c>
      <c r="N309" s="11">
        <f t="shared" si="2"/>
      </c>
    </row>
    <row r="310">
      <c r="A310" s="16">
        <v>46055</v>
      </c>
      <c r="B310" s="17"/>
      <c r="C310" s="17"/>
      <c r="D310" s="17">
        <f>SUM(D306:D309)</f>
      </c>
      <c r="E310" s="17">
        <f>SUM(E306:E309)</f>
      </c>
      <c r="F310" s="17">
        <f>SUM(F306:F309)</f>
      </c>
      <c r="G310" s="17">
        <f>SUM(G306:G309)</f>
      </c>
      <c r="H310" s="17">
        <f>SUM(H306:H309)</f>
      </c>
      <c r="I310" s="17">
        <f>SUM(I306:I309)</f>
      </c>
      <c r="J310" s="17">
        <f>SUM(J306:J309)</f>
      </c>
      <c r="K310" s="17">
        <f>SUM(K306:K309)</f>
      </c>
      <c r="L310" s="18">
        <f t="shared" si="0"/>
      </c>
      <c r="M310" s="18">
        <f t="shared" si="90"/>
      </c>
      <c r="N310" s="18">
        <f t="shared" si="2"/>
      </c>
    </row>
    <row r="311">
      <c r="A311" s="7">
        <v>46056</v>
      </c>
      <c r="B311" s="8" t="s">
        <v>16</v>
      </c>
      <c r="C311" s="9" t="s">
        <v>17</v>
      </c>
      <c r="D311" s="8">
        <v>5</v>
      </c>
      <c r="E311" s="28">
        <v>88</v>
      </c>
      <c r="F311" s="8">
        <v>71</v>
      </c>
      <c r="G311" s="8">
        <v>51</v>
      </c>
      <c r="H311" s="8">
        <v>42</v>
      </c>
      <c r="I311" s="8">
        <v>8</v>
      </c>
      <c r="J311" s="10">
        <v>70698.9</v>
      </c>
      <c r="K311" s="8">
        <v>32651.71</v>
      </c>
      <c r="L311" s="11">
        <f t="shared" si="0"/>
      </c>
      <c r="M311" s="11">
        <f t="shared" si="90"/>
      </c>
      <c r="N311" s="11">
        <f t="shared" si="2"/>
      </c>
    </row>
    <row r="312">
      <c r="A312" s="7">
        <v>46056</v>
      </c>
      <c r="B312" s="8" t="s">
        <v>20</v>
      </c>
      <c r="C312" s="9" t="s">
        <v>19</v>
      </c>
      <c r="D312" s="8">
        <v>5</v>
      </c>
      <c r="E312" s="8">
        <v>81</v>
      </c>
      <c r="F312" s="8">
        <v>63</v>
      </c>
      <c r="G312" s="8">
        <v>46</v>
      </c>
      <c r="H312" s="8">
        <v>37</v>
      </c>
      <c r="I312" s="8">
        <v>9</v>
      </c>
      <c r="J312" s="10">
        <v>57413.80000000001</v>
      </c>
      <c r="K312" s="10">
        <v>33028.64</v>
      </c>
      <c r="L312" s="11">
        <f t="shared" si="0"/>
      </c>
      <c r="M312" s="11">
        <f t="shared" si="90"/>
      </c>
      <c r="N312" s="11">
        <f t="shared" si="2"/>
      </c>
    </row>
    <row r="313">
      <c r="A313" s="7">
        <v>46056</v>
      </c>
      <c r="B313" s="8" t="s">
        <v>18</v>
      </c>
      <c r="C313" s="9" t="s">
        <v>21</v>
      </c>
      <c r="D313" s="8">
        <v>5</v>
      </c>
      <c r="E313" s="8">
        <v>60</v>
      </c>
      <c r="F313" s="8">
        <v>43</v>
      </c>
      <c r="G313" s="8">
        <v>36</v>
      </c>
      <c r="H313" s="8">
        <v>29</v>
      </c>
      <c r="I313" s="8">
        <v>3</v>
      </c>
      <c r="J313" s="10">
        <v>36434.79999999999</v>
      </c>
      <c r="K313" s="10">
        <v>26066.71</v>
      </c>
      <c r="L313" s="11">
        <f t="shared" si="0"/>
      </c>
      <c r="M313" s="11">
        <f t="shared" si="90"/>
      </c>
      <c r="N313" s="11">
        <f t="shared" si="2"/>
      </c>
    </row>
    <row r="314">
      <c r="A314" s="7">
        <v>46056</v>
      </c>
      <c r="B314" s="8" t="s">
        <v>22</v>
      </c>
      <c r="C314" s="9" t="s">
        <v>23</v>
      </c>
      <c r="D314" s="8">
        <v>5</v>
      </c>
      <c r="E314" s="8">
        <v>95</v>
      </c>
      <c r="F314" s="8">
        <v>70</v>
      </c>
      <c r="G314" s="8">
        <v>53</v>
      </c>
      <c r="H314" s="8">
        <v>50</v>
      </c>
      <c r="I314" s="8">
        <v>8</v>
      </c>
      <c r="J314" s="10">
        <v>59600.000000000015</v>
      </c>
      <c r="K314" s="10">
        <v>31720.089999999997</v>
      </c>
      <c r="L314" s="11">
        <f t="shared" si="0"/>
      </c>
      <c r="M314" s="11">
        <f t="shared" si="90"/>
      </c>
      <c r="N314" s="11">
        <f t="shared" si="2"/>
      </c>
    </row>
    <row r="315">
      <c r="A315" s="16">
        <v>46056</v>
      </c>
      <c r="B315" s="17"/>
      <c r="C315" s="17"/>
      <c r="D315" s="17">
        <f>SUM(D311:D314)</f>
      </c>
      <c r="E315" s="17">
        <f>SUM(E311:E314)</f>
      </c>
      <c r="F315" s="17">
        <f>SUM(F311:F314)</f>
      </c>
      <c r="G315" s="17">
        <f>SUM(G311:G314)</f>
      </c>
      <c r="H315" s="17">
        <f>SUM(H311:H314)</f>
      </c>
      <c r="I315" s="17">
        <f>SUM(I311:I314)</f>
      </c>
      <c r="J315" s="17">
        <f>SUM(J311:J314)</f>
      </c>
      <c r="K315" s="17">
        <f>SUM(K311:K314)</f>
      </c>
      <c r="L315" s="18">
        <f t="shared" si="0"/>
      </c>
      <c r="M315" s="18">
        <f t="shared" si="90"/>
      </c>
      <c r="N315" s="18">
        <f t="shared" si="2"/>
      </c>
    </row>
    <row r="316">
      <c r="A316" s="7">
        <v>46057</v>
      </c>
      <c r="B316" s="8" t="s">
        <v>20</v>
      </c>
      <c r="C316" s="9" t="s">
        <v>17</v>
      </c>
      <c r="D316" s="8">
        <v>5</v>
      </c>
      <c r="E316" s="28">
        <v>63</v>
      </c>
      <c r="F316" s="8">
        <v>47</v>
      </c>
      <c r="G316" s="8">
        <v>39</v>
      </c>
      <c r="H316" s="8">
        <v>29</v>
      </c>
      <c r="I316" s="8">
        <v>4</v>
      </c>
      <c r="J316" s="10">
        <v>58296.00000000001</v>
      </c>
      <c r="K316" s="8">
        <v>29159.449999999997</v>
      </c>
      <c r="L316" s="11">
        <f t="shared" si="0"/>
      </c>
      <c r="M316" s="11">
        <f t="shared" si="90"/>
      </c>
      <c r="N316" s="11">
        <f t="shared" si="2"/>
      </c>
    </row>
    <row r="317">
      <c r="A317" s="7">
        <v>46057</v>
      </c>
      <c r="B317" s="8" t="s">
        <v>16</v>
      </c>
      <c r="C317" s="9" t="s">
        <v>19</v>
      </c>
      <c r="D317" s="8">
        <v>5</v>
      </c>
      <c r="E317" s="8">
        <v>47</v>
      </c>
      <c r="F317" s="8">
        <v>29</v>
      </c>
      <c r="G317" s="8">
        <v>20</v>
      </c>
      <c r="H317" s="8">
        <v>13</v>
      </c>
      <c r="I317" s="8">
        <v>3</v>
      </c>
      <c r="J317" s="10">
        <v>29794</v>
      </c>
      <c r="K317" s="10">
        <v>19035.1</v>
      </c>
      <c r="L317" s="11">
        <f t="shared" si="0"/>
      </c>
      <c r="M317" s="11">
        <f t="shared" si="90"/>
      </c>
      <c r="N317" s="11">
        <f t="shared" si="2"/>
      </c>
    </row>
    <row r="318">
      <c r="A318" s="7">
        <v>46057</v>
      </c>
      <c r="B318" s="8" t="s">
        <v>24</v>
      </c>
      <c r="C318" s="9" t="s">
        <v>21</v>
      </c>
      <c r="D318" s="8">
        <v>5</v>
      </c>
      <c r="E318" s="8">
        <v>32</v>
      </c>
      <c r="F318" s="8">
        <v>20</v>
      </c>
      <c r="G318" s="8">
        <v>13</v>
      </c>
      <c r="H318" s="8">
        <v>9</v>
      </c>
      <c r="I318" s="8">
        <v>3</v>
      </c>
      <c r="J318" s="10">
        <v>20646.000000000007</v>
      </c>
      <c r="K318" s="10">
        <v>11324.729999999998</v>
      </c>
      <c r="L318" s="11">
        <f t="shared" si="0"/>
      </c>
      <c r="M318" s="11">
        <f t="shared" si="90"/>
      </c>
      <c r="N318" s="11">
        <f t="shared" si="2"/>
      </c>
    </row>
    <row r="319">
      <c r="A319" s="7">
        <v>46057</v>
      </c>
      <c r="B319" s="8" t="s">
        <v>18</v>
      </c>
      <c r="C319" s="9" t="s">
        <v>23</v>
      </c>
      <c r="D319" s="8">
        <v>5</v>
      </c>
      <c r="E319" s="8">
        <v>52</v>
      </c>
      <c r="F319" s="8">
        <v>38</v>
      </c>
      <c r="G319" s="8">
        <v>31</v>
      </c>
      <c r="H319" s="8">
        <v>18</v>
      </c>
      <c r="I319" s="8">
        <v>3</v>
      </c>
      <c r="J319" s="10">
        <v>38446.19999999999</v>
      </c>
      <c r="K319" s="10">
        <v>22278.809999999998</v>
      </c>
      <c r="L319" s="11">
        <f t="shared" si="0"/>
      </c>
      <c r="M319" s="11">
        <f t="shared" si="90"/>
      </c>
      <c r="N319" s="11">
        <f t="shared" si="2"/>
      </c>
    </row>
    <row r="320">
      <c r="A320" s="16">
        <v>46057</v>
      </c>
      <c r="B320" s="17"/>
      <c r="C320" s="17"/>
      <c r="D320" s="17">
        <f>SUM(D316:D319)</f>
      </c>
      <c r="E320" s="17">
        <f>SUM(E316:E319)</f>
      </c>
      <c r="F320" s="17">
        <f>SUM(F316:F319)</f>
      </c>
      <c r="G320" s="17">
        <f>SUM(G316:G319)</f>
      </c>
      <c r="H320" s="17">
        <f>SUM(H316:H319)</f>
      </c>
      <c r="I320" s="17">
        <f>SUM(I316:I319)</f>
      </c>
      <c r="J320" s="17">
        <f>SUM(J316:J319)</f>
      </c>
      <c r="K320" s="17">
        <f>SUM(K316:K319)</f>
      </c>
      <c r="L320" s="18">
        <f t="shared" si="0"/>
      </c>
      <c r="M320" s="18">
        <f t="shared" si="90"/>
      </c>
      <c r="N320" s="18">
        <f t="shared" si="2"/>
      </c>
    </row>
    <row r="321">
      <c r="A321" s="7">
        <v>46058</v>
      </c>
      <c r="B321" s="8" t="s">
        <v>16</v>
      </c>
      <c r="C321" s="9" t="s">
        <v>17</v>
      </c>
      <c r="D321" s="8">
        <v>5</v>
      </c>
      <c r="E321" s="28">
        <v>45</v>
      </c>
      <c r="F321" s="8">
        <v>34</v>
      </c>
      <c r="G321" s="8">
        <v>30</v>
      </c>
      <c r="H321" s="8">
        <v>25</v>
      </c>
      <c r="I321" s="8">
        <v>2</v>
      </c>
      <c r="J321" s="10">
        <v>30029.199999999997</v>
      </c>
      <c r="K321" s="8">
        <v>26198.409999999996</v>
      </c>
      <c r="L321" s="11">
        <f t="shared" si="0"/>
      </c>
      <c r="M321" s="11">
        <f t="shared" si="90"/>
      </c>
      <c r="N321" s="11">
        <f t="shared" si="2"/>
      </c>
    </row>
    <row r="322">
      <c r="A322" s="7">
        <v>46058</v>
      </c>
      <c r="B322" s="8" t="s">
        <v>22</v>
      </c>
      <c r="C322" s="9" t="s">
        <v>19</v>
      </c>
      <c r="D322" s="8">
        <v>5</v>
      </c>
      <c r="E322" s="8">
        <v>38</v>
      </c>
      <c r="F322" s="8">
        <v>30</v>
      </c>
      <c r="G322" s="8">
        <v>23</v>
      </c>
      <c r="H322" s="8">
        <v>17</v>
      </c>
      <c r="I322" s="8">
        <v>3</v>
      </c>
      <c r="J322" s="10">
        <v>29394.399999999994</v>
      </c>
      <c r="K322" s="10">
        <v>14908.81</v>
      </c>
      <c r="L322" s="11">
        <f t="shared" si="0"/>
      </c>
      <c r="M322" s="11">
        <f t="shared" si="90"/>
      </c>
      <c r="N322" s="11">
        <f t="shared" si="2"/>
      </c>
    </row>
    <row r="323">
      <c r="A323" s="7">
        <v>46058</v>
      </c>
      <c r="B323" s="8" t="s">
        <v>18</v>
      </c>
      <c r="C323" s="9" t="s">
        <v>47</v>
      </c>
      <c r="D323" s="8">
        <v>5</v>
      </c>
      <c r="E323" s="8">
        <v>41</v>
      </c>
      <c r="F323" s="8">
        <v>26</v>
      </c>
      <c r="G323" s="8">
        <v>21</v>
      </c>
      <c r="H323" s="8">
        <v>20</v>
      </c>
      <c r="I323" s="8">
        <v>0</v>
      </c>
      <c r="J323" s="10">
        <v>23185.4</v>
      </c>
      <c r="K323" s="10">
        <v>18069.29</v>
      </c>
      <c r="L323" s="11">
        <f t="shared" si="0"/>
      </c>
      <c r="M323" s="11">
        <f t="shared" si="90"/>
      </c>
      <c r="N323" s="11">
        <f t="shared" si="2"/>
      </c>
    </row>
    <row r="324">
      <c r="A324" s="16">
        <v>46058</v>
      </c>
      <c r="B324" s="17"/>
      <c r="C324" s="17"/>
      <c r="D324" s="17">
        <f>SUM(D321:D323)</f>
      </c>
      <c r="E324" s="17">
        <f>SUM(E321:E323)</f>
      </c>
      <c r="F324" s="17">
        <f>SUM(F321:F323)</f>
      </c>
      <c r="G324" s="17">
        <f>SUM(G321:G323)</f>
      </c>
      <c r="H324" s="17">
        <f>SUM(H321:H323)</f>
      </c>
      <c r="I324" s="17">
        <f>SUM(I321:I323)</f>
      </c>
      <c r="J324" s="17">
        <f>SUM(J321:J323)</f>
      </c>
      <c r="K324" s="17">
        <f>SUM(K321:K323)</f>
      </c>
      <c r="L324" s="18">
        <f t="shared" si="0"/>
      </c>
      <c r="M324" s="18">
        <f t="shared" si="90"/>
      </c>
      <c r="N324" s="18">
        <f t="shared" si="2"/>
      </c>
    </row>
    <row r="325">
      <c r="A325" s="7">
        <v>46059</v>
      </c>
      <c r="B325" s="8" t="s">
        <v>16</v>
      </c>
      <c r="C325" s="9" t="s">
        <v>17</v>
      </c>
      <c r="D325" s="8">
        <v>5</v>
      </c>
      <c r="E325" s="28">
        <v>47</v>
      </c>
      <c r="F325" s="8">
        <v>41</v>
      </c>
      <c r="G325" s="8">
        <v>34</v>
      </c>
      <c r="H325" s="8">
        <v>28</v>
      </c>
      <c r="I325" s="8">
        <v>3</v>
      </c>
      <c r="J325" s="10">
        <v>40993.200000000004</v>
      </c>
      <c r="K325" s="8">
        <v>23663.28</v>
      </c>
      <c r="L325" s="11">
        <f t="shared" si="0"/>
      </c>
      <c r="M325" s="11">
        <f t="shared" si="90"/>
      </c>
      <c r="N325" s="11">
        <f t="shared" si="2"/>
      </c>
    </row>
    <row r="326">
      <c r="A326" s="7">
        <v>46059</v>
      </c>
      <c r="B326" s="8" t="s">
        <v>18</v>
      </c>
      <c r="C326" s="9" t="s">
        <v>19</v>
      </c>
      <c r="D326" s="8">
        <v>5</v>
      </c>
      <c r="E326" s="8">
        <v>52</v>
      </c>
      <c r="F326" s="8">
        <v>37</v>
      </c>
      <c r="G326" s="8">
        <v>30</v>
      </c>
      <c r="H326" s="8">
        <v>16</v>
      </c>
      <c r="I326" s="8">
        <v>3</v>
      </c>
      <c r="J326" s="10">
        <v>38827.8</v>
      </c>
      <c r="K326" s="10">
        <v>19412.02</v>
      </c>
      <c r="L326" s="11">
        <f t="shared" si="0"/>
      </c>
      <c r="M326" s="11">
        <f t="shared" si="90"/>
      </c>
      <c r="N326" s="11">
        <f t="shared" si="2"/>
      </c>
    </row>
    <row r="327">
      <c r="A327" s="7">
        <v>46059</v>
      </c>
      <c r="B327" s="8" t="s">
        <v>22</v>
      </c>
      <c r="C327" s="9" t="s">
        <v>21</v>
      </c>
      <c r="D327" s="8">
        <v>5</v>
      </c>
      <c r="E327" s="8">
        <v>52</v>
      </c>
      <c r="F327" s="8">
        <v>44</v>
      </c>
      <c r="G327" s="8">
        <v>26</v>
      </c>
      <c r="H327" s="8">
        <v>27</v>
      </c>
      <c r="I327" s="8">
        <v>7</v>
      </c>
      <c r="J327" s="10">
        <v>48175.40000000001</v>
      </c>
      <c r="K327" s="10">
        <v>17900.48</v>
      </c>
      <c r="L327" s="11">
        <f t="shared" si="0"/>
      </c>
      <c r="M327" s="11">
        <f t="shared" si="90"/>
      </c>
      <c r="N327" s="11">
        <f t="shared" si="2"/>
      </c>
    </row>
    <row r="328">
      <c r="A328" s="7">
        <v>46059</v>
      </c>
      <c r="B328" s="8" t="s">
        <v>20</v>
      </c>
      <c r="C328" s="9" t="s">
        <v>23</v>
      </c>
      <c r="D328" s="8">
        <v>5</v>
      </c>
      <c r="E328" s="8">
        <v>95</v>
      </c>
      <c r="F328" s="8">
        <v>74</v>
      </c>
      <c r="G328" s="8">
        <v>65</v>
      </c>
      <c r="H328" s="8">
        <v>34</v>
      </c>
      <c r="I328" s="8">
        <v>11</v>
      </c>
      <c r="J328" s="10">
        <v>65554.60000000003</v>
      </c>
      <c r="K328" s="10">
        <v>32503.32</v>
      </c>
      <c r="L328" s="11">
        <f t="shared" si="0"/>
      </c>
      <c r="M328" s="11">
        <f t="shared" si="90"/>
      </c>
      <c r="N328" s="11">
        <f t="shared" si="2"/>
      </c>
    </row>
    <row r="329">
      <c r="A329" s="16">
        <v>46059</v>
      </c>
      <c r="B329" s="17"/>
      <c r="C329" s="17"/>
      <c r="D329" s="17">
        <f>SUM(D325:D328)</f>
      </c>
      <c r="E329" s="17">
        <f>SUM(E325:E328)</f>
      </c>
      <c r="F329" s="17">
        <f>SUM(F325:F328)</f>
      </c>
      <c r="G329" s="17">
        <f>SUM(G325:G328)</f>
      </c>
      <c r="H329" s="17">
        <f>SUM(H325:H328)</f>
      </c>
      <c r="I329" s="17">
        <f>SUM(I325:I328)</f>
      </c>
      <c r="J329" s="17">
        <f>SUM(J325:J328)</f>
      </c>
      <c r="K329" s="17">
        <f>SUM(K325:K328)</f>
      </c>
      <c r="L329" s="18">
        <f t="shared" si="0"/>
      </c>
      <c r="M329" s="18">
        <f t="shared" si="90"/>
      </c>
      <c r="N329" s="18">
        <f t="shared" si="2"/>
      </c>
    </row>
    <row r="330">
      <c r="A330" s="7">
        <v>46060</v>
      </c>
      <c r="B330" s="8" t="s">
        <v>16</v>
      </c>
      <c r="C330" s="9" t="s">
        <v>17</v>
      </c>
      <c r="D330" s="8">
        <v>5</v>
      </c>
      <c r="E330" s="28">
        <v>80</v>
      </c>
      <c r="F330" s="8">
        <v>58</v>
      </c>
      <c r="G330" s="8">
        <v>43</v>
      </c>
      <c r="H330" s="8">
        <v>29</v>
      </c>
      <c r="I330" s="8">
        <v>4</v>
      </c>
      <c r="J330" s="10">
        <v>56421.40000000001</v>
      </c>
      <c r="K330" s="8">
        <v>37700.64</v>
      </c>
      <c r="L330" s="11">
        <f t="shared" si="0"/>
      </c>
      <c r="M330" s="11">
        <f t="shared" si="90"/>
      </c>
      <c r="N330" s="11">
        <f t="shared" si="2"/>
      </c>
    </row>
    <row r="331">
      <c r="A331" s="7">
        <v>46060</v>
      </c>
      <c r="B331" s="8" t="s">
        <v>18</v>
      </c>
      <c r="C331" s="9" t="s">
        <v>19</v>
      </c>
      <c r="D331" s="8">
        <v>5</v>
      </c>
      <c r="E331" s="8">
        <v>42</v>
      </c>
      <c r="F331" s="8">
        <v>32</v>
      </c>
      <c r="G331" s="8">
        <v>25</v>
      </c>
      <c r="H331" s="8">
        <v>18</v>
      </c>
      <c r="I331" s="8">
        <v>4</v>
      </c>
      <c r="J331" s="10">
        <v>35176.2</v>
      </c>
      <c r="K331" s="10">
        <v>19921.829999999998</v>
      </c>
      <c r="L331" s="11">
        <f t="shared" si="0"/>
      </c>
      <c r="M331" s="11">
        <f t="shared" si="90"/>
      </c>
      <c r="N331" s="11">
        <f t="shared" si="2"/>
      </c>
    </row>
    <row r="332">
      <c r="A332" s="7">
        <v>46060</v>
      </c>
      <c r="B332" s="8" t="s">
        <v>20</v>
      </c>
      <c r="C332" s="9" t="s">
        <v>21</v>
      </c>
      <c r="D332" s="8">
        <v>5</v>
      </c>
      <c r="E332" s="8">
        <v>60</v>
      </c>
      <c r="F332" s="8">
        <v>46</v>
      </c>
      <c r="G332" s="8">
        <v>36</v>
      </c>
      <c r="H332" s="8">
        <v>29</v>
      </c>
      <c r="I332" s="8">
        <v>2</v>
      </c>
      <c r="J332" s="10">
        <v>44869.90000000001</v>
      </c>
      <c r="K332" s="10">
        <v>19723.589999999997</v>
      </c>
      <c r="L332" s="11">
        <f t="shared" si="0"/>
      </c>
      <c r="M332" s="11">
        <f t="shared" si="90"/>
      </c>
      <c r="N332" s="11">
        <f t="shared" si="2"/>
      </c>
    </row>
    <row r="333">
      <c r="A333" s="7">
        <v>46060</v>
      </c>
      <c r="B333" s="8" t="s">
        <v>22</v>
      </c>
      <c r="C333" s="9" t="s">
        <v>23</v>
      </c>
      <c r="D333" s="8">
        <v>5</v>
      </c>
      <c r="E333" s="8">
        <v>40</v>
      </c>
      <c r="F333" s="8">
        <v>29</v>
      </c>
      <c r="G333" s="8">
        <v>29</v>
      </c>
      <c r="H333" s="8">
        <v>15</v>
      </c>
      <c r="I333" s="8">
        <v>1</v>
      </c>
      <c r="J333" s="10">
        <v>24694.4</v>
      </c>
      <c r="K333" s="10">
        <v>24885.619999999995</v>
      </c>
      <c r="L333" s="11">
        <f t="shared" si="0"/>
      </c>
      <c r="M333" s="11">
        <f t="shared" si="90"/>
      </c>
      <c r="N333" s="11">
        <f t="shared" si="2"/>
      </c>
    </row>
    <row r="334">
      <c r="A334" s="16">
        <v>46060</v>
      </c>
      <c r="B334" s="17"/>
      <c r="C334" s="17"/>
      <c r="D334" s="17">
        <f>SUM(D330:D333)</f>
      </c>
      <c r="E334" s="17">
        <f>SUM(E330:E333)</f>
      </c>
      <c r="F334" s="17">
        <f>SUM(F330:F333)</f>
      </c>
      <c r="G334" s="17">
        <f>SUM(G330:G333)</f>
      </c>
      <c r="H334" s="17">
        <f>SUM(H330:H333)</f>
      </c>
      <c r="I334" s="17">
        <f>SUM(I330:I333)</f>
      </c>
      <c r="J334" s="17">
        <f>SUM(J330:J333)</f>
      </c>
      <c r="K334" s="17">
        <f>SUM(K330:K333)</f>
      </c>
      <c r="L334" s="18">
        <f t="shared" si="0"/>
      </c>
      <c r="M334" s="18">
        <f t="shared" si="90"/>
      </c>
      <c r="N334" s="18">
        <f t="shared" si="2"/>
      </c>
    </row>
    <row r="335">
      <c r="A335" s="7">
        <v>46061</v>
      </c>
      <c r="B335" s="8" t="s">
        <v>16</v>
      </c>
      <c r="C335" s="9" t="s">
        <v>17</v>
      </c>
      <c r="D335" s="8">
        <v>5</v>
      </c>
      <c r="E335" s="28">
        <v>105</v>
      </c>
      <c r="F335" s="8">
        <v>86</v>
      </c>
      <c r="G335" s="8">
        <v>73</v>
      </c>
      <c r="H335" s="8">
        <v>52</v>
      </c>
      <c r="I335" s="8">
        <v>6</v>
      </c>
      <c r="J335" s="10">
        <v>83886.20000000004</v>
      </c>
      <c r="K335" s="8">
        <v>48575.159999999996</v>
      </c>
      <c r="L335" s="11">
        <f t="shared" si="0"/>
      </c>
      <c r="M335" s="11">
        <f t="shared" si="90"/>
      </c>
      <c r="N335" s="11">
        <f t="shared" si="2"/>
      </c>
    </row>
    <row r="336">
      <c r="A336" s="7">
        <v>46061</v>
      </c>
      <c r="B336" s="8" t="s">
        <v>20</v>
      </c>
      <c r="C336" s="9" t="s">
        <v>19</v>
      </c>
      <c r="D336" s="8">
        <v>5</v>
      </c>
      <c r="E336" s="8">
        <v>63</v>
      </c>
      <c r="F336" s="8">
        <v>51</v>
      </c>
      <c r="G336" s="8">
        <v>37</v>
      </c>
      <c r="H336" s="8">
        <v>29</v>
      </c>
      <c r="I336" s="8">
        <v>5</v>
      </c>
      <c r="J336" s="10">
        <v>51157.200000000004</v>
      </c>
      <c r="K336" s="10">
        <v>27501.880000000005</v>
      </c>
      <c r="L336" s="11">
        <f t="shared" si="0"/>
      </c>
      <c r="M336" s="11">
        <f t="shared" si="90"/>
      </c>
      <c r="N336" s="11">
        <f t="shared" si="2"/>
      </c>
    </row>
    <row r="337">
      <c r="A337" s="7">
        <v>46061</v>
      </c>
      <c r="B337" s="8" t="s">
        <v>48</v>
      </c>
      <c r="C337" s="9" t="s">
        <v>21</v>
      </c>
      <c r="D337" s="8">
        <v>5</v>
      </c>
      <c r="E337" s="8">
        <v>59</v>
      </c>
      <c r="F337" s="8">
        <v>39</v>
      </c>
      <c r="G337" s="8">
        <v>32</v>
      </c>
      <c r="H337" s="8">
        <v>19</v>
      </c>
      <c r="I337" s="8">
        <v>1</v>
      </c>
      <c r="J337" s="10">
        <v>35258.99999999999</v>
      </c>
      <c r="K337" s="10">
        <v>19579.66</v>
      </c>
      <c r="L337" s="11">
        <f t="shared" si="0"/>
      </c>
      <c r="M337" s="11">
        <f t="shared" si="90"/>
      </c>
      <c r="N337" s="11">
        <f t="shared" si="2"/>
      </c>
    </row>
    <row r="338">
      <c r="A338" s="7">
        <v>46061</v>
      </c>
      <c r="B338" s="8" t="s">
        <v>22</v>
      </c>
      <c r="C338" s="9" t="s">
        <v>23</v>
      </c>
      <c r="D338" s="8">
        <v>5</v>
      </c>
      <c r="E338" s="8">
        <v>91</v>
      </c>
      <c r="F338" s="8">
        <v>72</v>
      </c>
      <c r="G338" s="8">
        <v>51</v>
      </c>
      <c r="H338" s="8">
        <v>59</v>
      </c>
      <c r="I338" s="8">
        <v>13</v>
      </c>
      <c r="J338" s="10">
        <v>78094.70000000003</v>
      </c>
      <c r="K338" s="10">
        <v>30792.440000000002</v>
      </c>
      <c r="L338" s="11">
        <f t="shared" si="0"/>
      </c>
      <c r="M338" s="11">
        <f t="shared" si="90"/>
      </c>
      <c r="N338" s="11">
        <f t="shared" si="2"/>
      </c>
    </row>
    <row r="339">
      <c r="A339" s="16">
        <v>46061</v>
      </c>
      <c r="B339" s="17"/>
      <c r="C339" s="17"/>
      <c r="D339" s="17">
        <f>SUM(D335:D338)</f>
      </c>
      <c r="E339" s="17">
        <f>SUM(E335:E338)</f>
      </c>
      <c r="F339" s="17">
        <f>SUM(F335:F338)</f>
      </c>
      <c r="G339" s="17">
        <f>SUM(G335:G338)</f>
      </c>
      <c r="H339" s="17">
        <f>SUM(H335:H338)</f>
      </c>
      <c r="I339" s="17">
        <f>SUM(I335:I338)</f>
      </c>
      <c r="J339" s="17">
        <f>SUM(J335:J338)</f>
      </c>
      <c r="K339" s="17">
        <f>SUM(K335:K338)</f>
      </c>
      <c r="L339" s="18">
        <f t="shared" si="0"/>
      </c>
      <c r="M339" s="18">
        <f t="shared" si="90"/>
      </c>
      <c r="N339" s="18">
        <f t="shared" si="2"/>
      </c>
    </row>
    <row r="340">
      <c r="A340" s="7">
        <v>46062</v>
      </c>
      <c r="B340" s="8" t="s">
        <v>20</v>
      </c>
      <c r="C340" s="9" t="s">
        <v>17</v>
      </c>
      <c r="D340" s="8">
        <v>5</v>
      </c>
      <c r="E340" s="28">
        <v>64</v>
      </c>
      <c r="F340" s="8">
        <v>49</v>
      </c>
      <c r="G340" s="8">
        <v>37</v>
      </c>
      <c r="H340" s="8">
        <v>37</v>
      </c>
      <c r="I340" s="8">
        <v>3</v>
      </c>
      <c r="J340" s="10">
        <v>45628.4</v>
      </c>
      <c r="K340" s="8">
        <v>28178.96</v>
      </c>
      <c r="L340" s="11">
        <f t="shared" si="0"/>
      </c>
      <c r="M340" s="11">
        <f t="shared" si="90"/>
      </c>
      <c r="N340" s="11">
        <f t="shared" si="2"/>
      </c>
    </row>
    <row r="341">
      <c r="A341" s="7">
        <v>46062</v>
      </c>
      <c r="B341" s="8" t="s">
        <v>48</v>
      </c>
      <c r="C341" s="9" t="s">
        <v>19</v>
      </c>
      <c r="D341" s="8">
        <v>5</v>
      </c>
      <c r="E341" s="8">
        <v>64</v>
      </c>
      <c r="F341" s="8">
        <v>48</v>
      </c>
      <c r="G341" s="8">
        <v>34</v>
      </c>
      <c r="H341" s="8">
        <v>32</v>
      </c>
      <c r="I341" s="8">
        <v>4</v>
      </c>
      <c r="J341" s="10">
        <v>50718.4</v>
      </c>
      <c r="K341" s="10">
        <v>24897.460000000003</v>
      </c>
      <c r="L341" s="11">
        <f t="shared" si="0"/>
      </c>
      <c r="M341" s="11">
        <f t="shared" si="90"/>
      </c>
      <c r="N341" s="11">
        <f t="shared" si="2"/>
      </c>
    </row>
    <row r="342">
      <c r="A342" s="7">
        <v>46062</v>
      </c>
      <c r="B342" s="8" t="s">
        <v>18</v>
      </c>
      <c r="C342" s="9" t="s">
        <v>21</v>
      </c>
      <c r="D342" s="8">
        <v>5</v>
      </c>
      <c r="E342" s="8">
        <v>44</v>
      </c>
      <c r="F342" s="8">
        <v>33</v>
      </c>
      <c r="G342" s="8">
        <v>15</v>
      </c>
      <c r="H342" s="8">
        <v>17</v>
      </c>
      <c r="I342" s="8">
        <v>6</v>
      </c>
      <c r="J342" s="10">
        <v>38421.399999999994</v>
      </c>
      <c r="K342" s="10">
        <v>15929.540000000003</v>
      </c>
      <c r="L342" s="11">
        <f t="shared" si="0"/>
      </c>
      <c r="M342" s="11">
        <f t="shared" si="90"/>
      </c>
      <c r="N342" s="11">
        <f t="shared" si="2"/>
      </c>
    </row>
    <row r="343">
      <c r="A343" s="7">
        <v>46062</v>
      </c>
      <c r="B343" s="8" t="s">
        <v>16</v>
      </c>
      <c r="C343" s="9" t="s">
        <v>23</v>
      </c>
      <c r="D343" s="8">
        <v>5</v>
      </c>
      <c r="E343" s="8">
        <v>32</v>
      </c>
      <c r="F343" s="8">
        <v>23</v>
      </c>
      <c r="G343" s="8">
        <v>20</v>
      </c>
      <c r="H343" s="8">
        <v>15</v>
      </c>
      <c r="I343" s="8">
        <v>3</v>
      </c>
      <c r="J343" s="10">
        <v>21244.59999999999</v>
      </c>
      <c r="K343" s="10">
        <v>17099.760000000002</v>
      </c>
      <c r="L343" s="11">
        <f t="shared" si="0"/>
      </c>
      <c r="M343" s="11">
        <f t="shared" si="90"/>
      </c>
      <c r="N343" s="11">
        <f t="shared" si="2"/>
      </c>
    </row>
    <row r="344">
      <c r="A344" s="16">
        <v>46062</v>
      </c>
      <c r="B344" s="17"/>
      <c r="C344" s="17"/>
      <c r="D344" s="17">
        <f>SUM(D340:D343)</f>
      </c>
      <c r="E344" s="17">
        <f>SUM(E340:E343)</f>
      </c>
      <c r="F344" s="17">
        <f>SUM(F340:F343)</f>
      </c>
      <c r="G344" s="17">
        <f>SUM(G340:G343)</f>
      </c>
      <c r="H344" s="17">
        <f>SUM(H340:H343)</f>
      </c>
      <c r="I344" s="17">
        <f>SUM(I340:I343)</f>
      </c>
      <c r="J344" s="17">
        <f>SUM(J340:J343)</f>
      </c>
      <c r="K344" s="17">
        <f>SUM(K340:K343)</f>
      </c>
      <c r="L344" s="18">
        <f t="shared" si="0"/>
      </c>
      <c r="M344" s="18">
        <f t="shared" si="90"/>
      </c>
      <c r="N344" s="18">
        <f t="shared" si="2"/>
      </c>
    </row>
    <row r="345">
      <c r="A345" s="7">
        <v>46063</v>
      </c>
      <c r="B345" s="8" t="s">
        <v>22</v>
      </c>
      <c r="C345" s="9" t="s">
        <v>17</v>
      </c>
      <c r="D345" s="8">
        <v>5</v>
      </c>
      <c r="E345" s="28">
        <v>66</v>
      </c>
      <c r="F345" s="8">
        <v>48</v>
      </c>
      <c r="G345" s="8">
        <v>37</v>
      </c>
      <c r="H345" s="8">
        <v>35</v>
      </c>
      <c r="I345" s="8">
        <v>4</v>
      </c>
      <c r="J345" s="10">
        <v>44042.80000000001</v>
      </c>
      <c r="K345" s="8">
        <v>28094.99</v>
      </c>
      <c r="L345" s="11">
        <f t="shared" si="0"/>
      </c>
      <c r="M345" s="11">
        <f t="shared" si="90"/>
      </c>
      <c r="N345" s="11">
        <f t="shared" si="2"/>
      </c>
    </row>
    <row r="346">
      <c r="A346" s="7">
        <v>46063</v>
      </c>
      <c r="B346" s="8" t="s">
        <v>18</v>
      </c>
      <c r="C346" s="9" t="s">
        <v>19</v>
      </c>
      <c r="D346" s="8">
        <v>5</v>
      </c>
      <c r="E346" s="8">
        <v>37</v>
      </c>
      <c r="F346" s="8">
        <v>28</v>
      </c>
      <c r="G346" s="8">
        <v>19</v>
      </c>
      <c r="H346" s="8">
        <v>18</v>
      </c>
      <c r="I346" s="8">
        <v>4</v>
      </c>
      <c r="J346" s="10">
        <v>26704.899999999998</v>
      </c>
      <c r="K346" s="10">
        <v>17599.62</v>
      </c>
      <c r="L346" s="11">
        <f t="shared" si="0"/>
      </c>
      <c r="M346" s="11">
        <f t="shared" si="90"/>
      </c>
      <c r="N346" s="11">
        <f t="shared" si="2"/>
      </c>
    </row>
    <row r="347">
      <c r="A347" s="7">
        <v>46063</v>
      </c>
      <c r="B347" s="8" t="s">
        <v>16</v>
      </c>
      <c r="C347" s="9" t="s">
        <v>21</v>
      </c>
      <c r="D347" s="8">
        <v>5</v>
      </c>
      <c r="E347" s="8">
        <v>44</v>
      </c>
      <c r="F347" s="8">
        <v>35</v>
      </c>
      <c r="G347" s="8">
        <v>27</v>
      </c>
      <c r="H347" s="8">
        <v>19</v>
      </c>
      <c r="I347" s="8">
        <v>1</v>
      </c>
      <c r="J347" s="10">
        <v>37209.399999999994</v>
      </c>
      <c r="K347" s="10">
        <v>20440.97</v>
      </c>
      <c r="L347" s="11">
        <f t="shared" si="0"/>
      </c>
      <c r="M347" s="11">
        <f t="shared" si="90"/>
      </c>
      <c r="N347" s="11">
        <f t="shared" si="2"/>
      </c>
    </row>
    <row r="348">
      <c r="A348" s="7">
        <v>46063</v>
      </c>
      <c r="B348" s="8" t="s">
        <v>20</v>
      </c>
      <c r="C348" s="9" t="s">
        <v>23</v>
      </c>
      <c r="D348" s="8">
        <v>5</v>
      </c>
      <c r="E348" s="8">
        <v>89</v>
      </c>
      <c r="F348" s="8">
        <v>71</v>
      </c>
      <c r="G348" s="8">
        <v>54</v>
      </c>
      <c r="H348" s="8">
        <v>47</v>
      </c>
      <c r="I348" s="8">
        <v>8</v>
      </c>
      <c r="J348" s="10">
        <v>70609.40000000001</v>
      </c>
      <c r="K348" s="10">
        <v>30634.610000000004</v>
      </c>
      <c r="L348" s="11">
        <f t="shared" si="0"/>
      </c>
      <c r="M348" s="11">
        <f t="shared" si="90"/>
      </c>
      <c r="N348" s="11">
        <f t="shared" si="2"/>
      </c>
    </row>
    <row r="349">
      <c r="A349" s="16">
        <v>46063</v>
      </c>
      <c r="B349" s="17"/>
      <c r="C349" s="17"/>
      <c r="D349" s="17">
        <f>SUM(D345:D348)</f>
      </c>
      <c r="E349" s="17">
        <f>SUM(E345:E348)</f>
      </c>
      <c r="F349" s="17">
        <f>SUM(F345:F348)</f>
      </c>
      <c r="G349" s="17">
        <f>SUM(G345:G348)</f>
      </c>
      <c r="H349" s="17">
        <f>SUM(H345:H348)</f>
      </c>
      <c r="I349" s="17">
        <f>SUM(I345:I348)</f>
      </c>
      <c r="J349" s="17">
        <f>SUM(J345:J348)</f>
      </c>
      <c r="K349" s="17">
        <f>SUM(K345:K348)</f>
      </c>
      <c r="L349" s="18">
        <f t="shared" si="0"/>
      </c>
      <c r="M349" s="18">
        <f t="shared" si="90"/>
      </c>
      <c r="N349" s="18">
        <f t="shared" si="2"/>
      </c>
    </row>
    <row r="350">
      <c r="A350" s="7">
        <v>46064</v>
      </c>
      <c r="B350" s="8" t="s">
        <v>18</v>
      </c>
      <c r="C350" s="9" t="s">
        <v>17</v>
      </c>
      <c r="D350" s="8">
        <v>5</v>
      </c>
      <c r="E350" s="28">
        <v>55</v>
      </c>
      <c r="F350" s="8">
        <v>39</v>
      </c>
      <c r="G350" s="8">
        <v>28</v>
      </c>
      <c r="H350" s="8">
        <v>22</v>
      </c>
      <c r="I350" s="8">
        <v>2</v>
      </c>
      <c r="J350" s="10">
        <v>37896.600000000006</v>
      </c>
      <c r="K350" s="8">
        <v>29195.09</v>
      </c>
      <c r="L350" s="11">
        <f t="shared" si="0"/>
      </c>
      <c r="M350" s="11">
        <f t="shared" si="90"/>
      </c>
      <c r="N350" s="11">
        <f t="shared" si="2"/>
      </c>
    </row>
    <row r="351">
      <c r="A351" s="7">
        <v>46064</v>
      </c>
      <c r="B351" s="8" t="s">
        <v>16</v>
      </c>
      <c r="C351" s="9" t="s">
        <v>19</v>
      </c>
      <c r="D351" s="8">
        <v>5</v>
      </c>
      <c r="E351" s="8">
        <v>40</v>
      </c>
      <c r="F351" s="8">
        <v>32</v>
      </c>
      <c r="G351" s="8">
        <v>20</v>
      </c>
      <c r="H351" s="8">
        <v>20</v>
      </c>
      <c r="I351" s="8">
        <v>3</v>
      </c>
      <c r="J351" s="10">
        <v>30460.8</v>
      </c>
      <c r="K351" s="10">
        <v>16402.940000000002</v>
      </c>
      <c r="L351" s="11">
        <f t="shared" si="0"/>
      </c>
      <c r="M351" s="11">
        <f t="shared" si="90"/>
      </c>
      <c r="N351" s="11">
        <f t="shared" si="2"/>
      </c>
    </row>
    <row r="352">
      <c r="A352" s="7">
        <v>46064</v>
      </c>
      <c r="B352" s="8" t="s">
        <v>20</v>
      </c>
      <c r="C352" s="9" t="s">
        <v>21</v>
      </c>
      <c r="D352" s="8">
        <v>5</v>
      </c>
      <c r="E352" s="8">
        <v>55</v>
      </c>
      <c r="F352" s="8">
        <v>44</v>
      </c>
      <c r="G352" s="8">
        <v>35</v>
      </c>
      <c r="H352" s="8">
        <v>29</v>
      </c>
      <c r="I352" s="8">
        <v>4</v>
      </c>
      <c r="J352" s="10">
        <v>43278.8</v>
      </c>
      <c r="K352" s="10">
        <v>19821</v>
      </c>
      <c r="L352" s="11">
        <f t="shared" si="0"/>
      </c>
      <c r="M352" s="11">
        <f t="shared" si="90"/>
      </c>
      <c r="N352" s="11">
        <f t="shared" si="2"/>
      </c>
    </row>
    <row r="353">
      <c r="A353" s="7">
        <v>46064</v>
      </c>
      <c r="B353" s="8" t="s">
        <v>22</v>
      </c>
      <c r="C353" s="9" t="s">
        <v>23</v>
      </c>
      <c r="D353" s="8">
        <v>5</v>
      </c>
      <c r="E353" s="8">
        <v>108</v>
      </c>
      <c r="F353" s="8">
        <v>84</v>
      </c>
      <c r="G353" s="8">
        <v>65</v>
      </c>
      <c r="H353" s="8">
        <v>59</v>
      </c>
      <c r="I353" s="8">
        <v>7</v>
      </c>
      <c r="J353" s="10">
        <v>78652.60000000002</v>
      </c>
      <c r="K353" s="10">
        <v>34032.59</v>
      </c>
      <c r="L353" s="11">
        <f t="shared" si="0"/>
      </c>
      <c r="M353" s="11">
        <f t="shared" si="90"/>
      </c>
      <c r="N353" s="11">
        <f t="shared" si="2"/>
      </c>
    </row>
    <row r="354">
      <c r="A354" s="16">
        <v>46064</v>
      </c>
      <c r="B354" s="17"/>
      <c r="C354" s="17"/>
      <c r="D354" s="17">
        <f>SUM(D350:D353)</f>
      </c>
      <c r="E354" s="17">
        <f>SUM(E350:E353)</f>
      </c>
      <c r="F354" s="17">
        <f>SUM(F350:F353)</f>
      </c>
      <c r="G354" s="17">
        <f>SUM(G350:G353)</f>
      </c>
      <c r="H354" s="17">
        <f>SUM(H350:H353)</f>
      </c>
      <c r="I354" s="17">
        <f>SUM(I350:I353)</f>
      </c>
      <c r="J354" s="17">
        <f>SUM(J350:J353)</f>
      </c>
      <c r="K354" s="17">
        <f>SUM(K350:K353)</f>
      </c>
      <c r="L354" s="18">
        <f t="shared" si="0"/>
      </c>
      <c r="M354" s="18">
        <f t="shared" si="90"/>
      </c>
      <c r="N354" s="18">
        <f t="shared" si="2"/>
      </c>
    </row>
    <row r="355">
      <c r="A355" s="7">
        <v>46065</v>
      </c>
      <c r="B355" s="8" t="s">
        <v>18</v>
      </c>
      <c r="C355" s="9" t="s">
        <v>49</v>
      </c>
      <c r="D355" s="8">
        <v>4</v>
      </c>
      <c r="E355" s="28">
        <v>43</v>
      </c>
      <c r="F355" s="8">
        <v>29</v>
      </c>
      <c r="G355" s="8">
        <v>28</v>
      </c>
      <c r="H355" s="8">
        <v>22</v>
      </c>
      <c r="I355" s="8">
        <v>1</v>
      </c>
      <c r="J355" s="10">
        <v>20118.2</v>
      </c>
      <c r="K355" s="8">
        <v>24391.440000000002</v>
      </c>
      <c r="L355" s="11">
        <f t="shared" si="0"/>
      </c>
      <c r="M355" s="11">
        <f t="shared" si="90"/>
      </c>
      <c r="N355" s="11">
        <f t="shared" si="2"/>
      </c>
    </row>
    <row r="356">
      <c r="A356" s="7">
        <v>46065</v>
      </c>
      <c r="B356" s="8" t="s">
        <v>20</v>
      </c>
      <c r="C356" s="9" t="s">
        <v>50</v>
      </c>
      <c r="D356" s="8">
        <v>4</v>
      </c>
      <c r="E356" s="8">
        <v>68</v>
      </c>
      <c r="F356" s="8">
        <v>57</v>
      </c>
      <c r="G356" s="8">
        <v>48</v>
      </c>
      <c r="H356" s="8">
        <v>39</v>
      </c>
      <c r="I356" s="8">
        <v>4</v>
      </c>
      <c r="J356" s="10">
        <v>52428.80000000002</v>
      </c>
      <c r="K356" s="10">
        <v>28815.57</v>
      </c>
      <c r="L356" s="11">
        <f t="shared" si="0"/>
      </c>
      <c r="M356" s="11">
        <f t="shared" si="90"/>
      </c>
      <c r="N356" s="11">
        <f t="shared" si="2"/>
      </c>
    </row>
    <row r="357">
      <c r="A357" s="7">
        <v>46065</v>
      </c>
      <c r="B357" s="8" t="s">
        <v>16</v>
      </c>
      <c r="C357" s="9" t="s">
        <v>44</v>
      </c>
      <c r="D357" s="8">
        <v>4</v>
      </c>
      <c r="E357" s="8">
        <v>64</v>
      </c>
      <c r="F357" s="8">
        <v>55</v>
      </c>
      <c r="G357" s="8">
        <v>44</v>
      </c>
      <c r="H357" s="8">
        <v>39</v>
      </c>
      <c r="I357" s="8">
        <v>4</v>
      </c>
      <c r="J357" s="10">
        <v>50215.99999999999</v>
      </c>
      <c r="K357" s="10">
        <v>32050.19</v>
      </c>
      <c r="L357" s="11">
        <f t="shared" si="0"/>
      </c>
      <c r="M357" s="11">
        <f t="shared" si="90"/>
      </c>
      <c r="N357" s="11">
        <f t="shared" si="2"/>
      </c>
    </row>
    <row r="358">
      <c r="A358" s="7">
        <v>46065</v>
      </c>
      <c r="B358" s="8" t="s">
        <v>48</v>
      </c>
      <c r="C358" s="9" t="s">
        <v>23</v>
      </c>
      <c r="D358" s="8">
        <v>5</v>
      </c>
      <c r="E358" s="8">
        <v>86</v>
      </c>
      <c r="F358" s="8">
        <v>69</v>
      </c>
      <c r="G358" s="8">
        <v>60</v>
      </c>
      <c r="H358" s="8">
        <v>42</v>
      </c>
      <c r="I358" s="8">
        <v>5</v>
      </c>
      <c r="J358" s="10">
        <v>67375.40000000001</v>
      </c>
      <c r="K358" s="10">
        <v>39945.15</v>
      </c>
      <c r="L358" s="11">
        <f t="shared" si="0"/>
      </c>
      <c r="M358" s="11">
        <f t="shared" si="90"/>
      </c>
      <c r="N358" s="11">
        <f t="shared" si="2"/>
      </c>
    </row>
    <row r="359">
      <c r="A359" s="16">
        <v>46065</v>
      </c>
      <c r="B359" s="17"/>
      <c r="C359" s="17"/>
      <c r="D359" s="17">
        <f>SUM(D355:D358)</f>
      </c>
      <c r="E359" s="17">
        <f>SUM(E355:E358)</f>
      </c>
      <c r="F359" s="17">
        <f>SUM(F355:F358)</f>
      </c>
      <c r="G359" s="17">
        <f>SUM(G355:G358)</f>
      </c>
      <c r="H359" s="17">
        <f>SUM(H355:H358)</f>
      </c>
      <c r="I359" s="17">
        <f>SUM(I355:I358)</f>
      </c>
      <c r="J359" s="17">
        <f>SUM(J355:J358)</f>
      </c>
      <c r="K359" s="17">
        <f>SUM(K355:K358)</f>
      </c>
      <c r="L359" s="18">
        <f t="shared" si="0"/>
      </c>
      <c r="M359" s="18">
        <f t="shared" si="90"/>
      </c>
      <c r="N359" s="18">
        <f t="shared" si="2"/>
      </c>
    </row>
    <row r="360">
      <c r="A360" s="7">
        <v>46066</v>
      </c>
      <c r="B360" s="8" t="s">
        <v>20</v>
      </c>
      <c r="C360" s="9" t="s">
        <v>17</v>
      </c>
      <c r="D360" s="8">
        <v>5</v>
      </c>
      <c r="E360" s="28">
        <v>131</v>
      </c>
      <c r="F360" s="8">
        <v>111</v>
      </c>
      <c r="G360" s="8">
        <v>82</v>
      </c>
      <c r="H360" s="8">
        <v>72</v>
      </c>
      <c r="I360" s="8">
        <v>11</v>
      </c>
      <c r="J360" s="10">
        <v>114952.29999999999</v>
      </c>
      <c r="K360" s="8">
        <v>58330.08000000001</v>
      </c>
      <c r="L360" s="11">
        <f t="shared" si="0"/>
      </c>
      <c r="M360" s="11">
        <f t="shared" si="90"/>
      </c>
      <c r="N360" s="11">
        <f t="shared" si="2"/>
      </c>
    </row>
    <row r="361">
      <c r="A361" s="7">
        <v>46066</v>
      </c>
      <c r="B361" s="8" t="s">
        <v>16</v>
      </c>
      <c r="C361" s="9" t="s">
        <v>19</v>
      </c>
      <c r="D361" s="8">
        <v>5</v>
      </c>
      <c r="E361" s="8">
        <v>64</v>
      </c>
      <c r="F361" s="8">
        <v>50</v>
      </c>
      <c r="G361" s="8">
        <v>36</v>
      </c>
      <c r="H361" s="8">
        <v>33</v>
      </c>
      <c r="I361" s="8">
        <v>7</v>
      </c>
      <c r="J361" s="10">
        <v>46677.299999999996</v>
      </c>
      <c r="K361" s="10">
        <v>28466.060000000005</v>
      </c>
      <c r="L361" s="11">
        <f t="shared" si="0"/>
      </c>
      <c r="M361" s="11">
        <f t="shared" si="90"/>
      </c>
      <c r="N361" s="11">
        <f t="shared" si="2"/>
      </c>
    </row>
    <row r="362">
      <c r="A362" s="7">
        <v>46066</v>
      </c>
      <c r="B362" s="8" t="s">
        <v>18</v>
      </c>
      <c r="C362" s="9" t="s">
        <v>21</v>
      </c>
      <c r="D362" s="8">
        <v>5</v>
      </c>
      <c r="E362" s="8">
        <v>71</v>
      </c>
      <c r="F362" s="8">
        <v>49</v>
      </c>
      <c r="G362" s="8">
        <v>39</v>
      </c>
      <c r="H362" s="8">
        <v>34</v>
      </c>
      <c r="I362" s="8">
        <v>7</v>
      </c>
      <c r="J362" s="10">
        <v>42923.00000000001</v>
      </c>
      <c r="K362" s="10">
        <v>27784.089999999997</v>
      </c>
      <c r="L362" s="11">
        <f t="shared" si="0"/>
      </c>
      <c r="M362" s="11">
        <f t="shared" si="90"/>
      </c>
      <c r="N362" s="11">
        <f t="shared" si="2"/>
      </c>
    </row>
    <row r="363">
      <c r="A363" s="7">
        <v>46066</v>
      </c>
      <c r="B363" s="8" t="s">
        <v>48</v>
      </c>
      <c r="C363" s="9" t="s">
        <v>23</v>
      </c>
      <c r="D363" s="8">
        <v>5</v>
      </c>
      <c r="E363" s="8">
        <v>58</v>
      </c>
      <c r="F363" s="8">
        <v>46</v>
      </c>
      <c r="G363" s="8">
        <v>37</v>
      </c>
      <c r="H363" s="8">
        <v>33</v>
      </c>
      <c r="I363" s="8">
        <v>5</v>
      </c>
      <c r="J363" s="10">
        <v>51822.000000000015</v>
      </c>
      <c r="K363" s="10">
        <v>30281.839999999997</v>
      </c>
      <c r="L363" s="11">
        <f t="shared" si="0"/>
      </c>
      <c r="M363" s="11">
        <f t="shared" si="90"/>
      </c>
      <c r="N363" s="11">
        <f t="shared" si="2"/>
      </c>
    </row>
    <row r="364">
      <c r="A364" s="16">
        <v>46066</v>
      </c>
      <c r="B364" s="17"/>
      <c r="C364" s="17"/>
      <c r="D364" s="17">
        <f>SUM(D360:D363)</f>
      </c>
      <c r="E364" s="17">
        <f>SUM(E360:E363)</f>
      </c>
      <c r="F364" s="17">
        <f>SUM(F360:F363)</f>
      </c>
      <c r="G364" s="17">
        <f>SUM(G360:G363)</f>
      </c>
      <c r="H364" s="17">
        <f>SUM(H360:H363)</f>
      </c>
      <c r="I364" s="17">
        <f>SUM(I360:I363)</f>
      </c>
      <c r="J364" s="17">
        <f>SUM(J360:J363)</f>
      </c>
      <c r="K364" s="17">
        <f>SUM(K360:K363)</f>
      </c>
      <c r="L364" s="18">
        <f t="shared" si="0"/>
      </c>
      <c r="M364" s="18">
        <f t="shared" si="90"/>
      </c>
      <c r="N364" s="18">
        <f t="shared" si="2"/>
      </c>
    </row>
    <row r="365">
      <c r="A365" s="7">
        <v>46067</v>
      </c>
      <c r="B365" s="8" t="s">
        <v>16</v>
      </c>
      <c r="C365" s="9" t="s">
        <v>17</v>
      </c>
      <c r="D365" s="8">
        <v>5</v>
      </c>
      <c r="E365" s="28">
        <v>88</v>
      </c>
      <c r="F365" s="8">
        <v>69</v>
      </c>
      <c r="G365" s="8">
        <v>50</v>
      </c>
      <c r="H365" s="8">
        <v>42</v>
      </c>
      <c r="I365" s="8">
        <v>9</v>
      </c>
      <c r="J365" s="10">
        <v>66072.20000000001</v>
      </c>
      <c r="K365" s="8">
        <v>33556.990000000005</v>
      </c>
      <c r="L365" s="11">
        <f t="shared" si="0"/>
      </c>
      <c r="M365" s="11">
        <f t="shared" si="90"/>
      </c>
      <c r="N365" s="11">
        <f t="shared" si="2"/>
      </c>
    </row>
    <row r="366">
      <c r="A366" s="7">
        <v>46067</v>
      </c>
      <c r="B366" s="8" t="s">
        <v>22</v>
      </c>
      <c r="C366" s="9" t="s">
        <v>19</v>
      </c>
      <c r="D366" s="8">
        <v>5</v>
      </c>
      <c r="E366" s="8">
        <v>37</v>
      </c>
      <c r="F366" s="8">
        <v>25</v>
      </c>
      <c r="G366" s="8">
        <v>25</v>
      </c>
      <c r="H366" s="8">
        <v>16</v>
      </c>
      <c r="I366" s="8">
        <v>2</v>
      </c>
      <c r="J366" s="10">
        <v>23697.799999999996</v>
      </c>
      <c r="K366" s="10">
        <v>18708</v>
      </c>
      <c r="L366" s="11">
        <f t="shared" si="0"/>
      </c>
      <c r="M366" s="11">
        <f t="shared" si="90"/>
      </c>
      <c r="N366" s="11">
        <f t="shared" si="2"/>
      </c>
    </row>
    <row r="367">
      <c r="A367" s="7">
        <v>46067</v>
      </c>
      <c r="B367" s="8" t="s">
        <v>18</v>
      </c>
      <c r="C367" s="9" t="s">
        <v>21</v>
      </c>
      <c r="D367" s="8">
        <v>5</v>
      </c>
      <c r="E367" s="8">
        <v>38</v>
      </c>
      <c r="F367" s="8">
        <v>32</v>
      </c>
      <c r="G367" s="8">
        <v>27</v>
      </c>
      <c r="H367" s="8">
        <v>22</v>
      </c>
      <c r="I367" s="8">
        <v>4</v>
      </c>
      <c r="J367" s="10">
        <v>30582.8</v>
      </c>
      <c r="K367" s="10">
        <v>21313.96</v>
      </c>
      <c r="L367" s="11">
        <f t="shared" si="0"/>
      </c>
      <c r="M367" s="11">
        <f t="shared" si="90"/>
      </c>
      <c r="N367" s="11">
        <f t="shared" si="2"/>
      </c>
    </row>
    <row r="368">
      <c r="A368" s="7">
        <v>46067</v>
      </c>
      <c r="B368" s="8" t="s">
        <v>48</v>
      </c>
      <c r="C368" s="9" t="s">
        <v>23</v>
      </c>
      <c r="D368" s="8">
        <v>5</v>
      </c>
      <c r="E368" s="8">
        <v>71</v>
      </c>
      <c r="F368" s="8">
        <v>55</v>
      </c>
      <c r="G368" s="8">
        <v>42</v>
      </c>
      <c r="H368" s="8">
        <v>35</v>
      </c>
      <c r="I368" s="8">
        <v>3</v>
      </c>
      <c r="J368" s="10">
        <v>53858.600000000006</v>
      </c>
      <c r="K368" s="10">
        <v>23839.859999999997</v>
      </c>
      <c r="L368" s="11">
        <f t="shared" si="0"/>
      </c>
      <c r="M368" s="11">
        <f>J368/H368</f>
      </c>
      <c r="N368" s="11">
        <f>K368/H368</f>
      </c>
    </row>
    <row r="369">
      <c r="A369" s="16">
        <v>46067</v>
      </c>
      <c r="B369" s="17"/>
      <c r="C369" s="17"/>
      <c r="D369" s="17">
        <f>SUM(D365:D368)</f>
      </c>
      <c r="E369" s="17">
        <f>SUM(E365:E368)</f>
      </c>
      <c r="F369" s="17">
        <f>SUM(F365:F368)</f>
      </c>
      <c r="G369" s="17">
        <f>SUM(G365:G368)</f>
      </c>
      <c r="H369" s="17">
        <f>SUM(H365:H368)</f>
      </c>
      <c r="I369" s="17">
        <f>SUM(I365:I368)</f>
      </c>
      <c r="J369" s="17">
        <f>SUM(J365:J368)</f>
      </c>
      <c r="K369" s="17">
        <f>SUM(K365:K368)</f>
      </c>
      <c r="L369" s="18">
        <f t="shared" si="0"/>
      </c>
      <c r="M369" s="18">
        <f t="shared" ref="M369:M371" si="91">J369/F369</f>
      </c>
      <c r="N369" s="18">
        <f t="shared" ref="N369:N389" si="3">K369/F369</f>
      </c>
    </row>
    <row r="370">
      <c r="A370" s="7">
        <v>46068</v>
      </c>
      <c r="B370" s="8" t="s">
        <v>16</v>
      </c>
      <c r="C370" s="9" t="s">
        <v>17</v>
      </c>
      <c r="D370" s="8">
        <v>5</v>
      </c>
      <c r="E370" s="28">
        <v>176</v>
      </c>
      <c r="F370" s="8">
        <v>138</v>
      </c>
      <c r="G370" s="8">
        <v>109</v>
      </c>
      <c r="H370" s="8">
        <v>89</v>
      </c>
      <c r="I370" s="8">
        <v>15</v>
      </c>
      <c r="J370" s="10">
        <v>145239.90000000002</v>
      </c>
      <c r="K370" s="8">
        <v>76923.19</v>
      </c>
      <c r="L370" s="11">
        <f t="shared" si="0"/>
      </c>
      <c r="M370" s="11">
        <f t="shared" si="91"/>
      </c>
      <c r="N370" s="11">
        <f t="shared" si="3"/>
      </c>
    </row>
    <row r="371">
      <c r="A371" s="7">
        <v>46068</v>
      </c>
      <c r="B371" s="8" t="s">
        <v>18</v>
      </c>
      <c r="C371" s="9" t="s">
        <v>19</v>
      </c>
      <c r="D371" s="8">
        <v>5</v>
      </c>
      <c r="E371" s="8">
        <v>55</v>
      </c>
      <c r="F371" s="8">
        <v>49</v>
      </c>
      <c r="G371" s="8">
        <v>41</v>
      </c>
      <c r="H371" s="8">
        <v>30</v>
      </c>
      <c r="I371" s="8">
        <v>5</v>
      </c>
      <c r="J371" s="10">
        <v>52640.600000000006</v>
      </c>
      <c r="K371" s="10">
        <v>31918.920000000002</v>
      </c>
      <c r="L371" s="11">
        <f t="shared" si="0"/>
      </c>
      <c r="M371" s="11">
        <f t="shared" si="91"/>
      </c>
      <c r="N371" s="11">
        <f t="shared" si="3"/>
      </c>
    </row>
    <row r="372">
      <c r="A372" s="7">
        <v>46068</v>
      </c>
      <c r="B372" s="8" t="s">
        <v>22</v>
      </c>
      <c r="C372" s="9" t="s">
        <v>45</v>
      </c>
      <c r="D372" s="8">
        <v>4</v>
      </c>
      <c r="E372" s="8">
        <v>64</v>
      </c>
      <c r="F372" s="8">
        <v>49</v>
      </c>
      <c r="G372" s="8">
        <v>40</v>
      </c>
      <c r="H372" s="8">
        <v>36</v>
      </c>
      <c r="I372" s="8">
        <v>9</v>
      </c>
      <c r="J372" s="21">
        <v>42526.5</v>
      </c>
      <c r="K372" s="10">
        <v>24756.72</v>
      </c>
      <c r="L372" s="11">
        <f>J371/K372</f>
      </c>
      <c r="M372" s="11">
        <f>J371/F372</f>
      </c>
      <c r="N372" s="11">
        <f t="shared" si="3"/>
      </c>
    </row>
    <row r="373">
      <c r="A373" s="16">
        <v>46068</v>
      </c>
      <c r="B373" s="17"/>
      <c r="C373" s="17"/>
      <c r="D373" s="17">
        <f>SUM(D370:D372)</f>
      </c>
      <c r="E373" s="17">
        <f>SUM(E370:E372)</f>
      </c>
      <c r="F373" s="17">
        <f>SUM(F370:F372)</f>
      </c>
      <c r="G373" s="17">
        <f>SUM(G370:G372)</f>
      </c>
      <c r="H373" s="17">
        <f>SUM(H370:H372)</f>
      </c>
      <c r="I373" s="17">
        <f>SUM(I370:I372)</f>
      </c>
      <c r="J373" s="17">
        <f>SUM(J370:J372)</f>
      </c>
      <c r="K373" s="17">
        <f>SUM(K370:K372)</f>
      </c>
      <c r="L373" s="18">
        <f t="shared" ref="L373:L903" si="1">J373/K373</f>
      </c>
      <c r="M373" s="18">
        <f t="shared" ref="M373:M903" si="92">J373/F373</f>
      </c>
      <c r="N373" s="18">
        <f t="shared" si="3"/>
      </c>
    </row>
    <row r="374">
      <c r="A374" s="7">
        <v>46069</v>
      </c>
      <c r="B374" s="8" t="s">
        <v>22</v>
      </c>
      <c r="C374" s="9" t="s">
        <v>51</v>
      </c>
      <c r="D374" s="8">
        <v>5</v>
      </c>
      <c r="E374" s="28">
        <v>57</v>
      </c>
      <c r="F374" s="8">
        <v>43</v>
      </c>
      <c r="G374" s="8">
        <v>36</v>
      </c>
      <c r="H374" s="8">
        <v>27</v>
      </c>
      <c r="I374" s="8">
        <v>2</v>
      </c>
      <c r="J374" s="10">
        <v>50163.200000000004</v>
      </c>
      <c r="K374" s="8">
        <v>27139.45</v>
      </c>
      <c r="L374" s="11">
        <f t="shared" si="1"/>
      </c>
      <c r="M374" s="11">
        <f t="shared" si="92"/>
      </c>
      <c r="N374" s="11">
        <f t="shared" si="3"/>
      </c>
    </row>
    <row r="375">
      <c r="A375" s="16">
        <v>46069</v>
      </c>
      <c r="B375" s="17"/>
      <c r="C375" s="17"/>
      <c r="D375" s="17">
        <f>SUM(D374)</f>
      </c>
      <c r="E375" s="17">
        <f>SUM(E374)</f>
      </c>
      <c r="F375" s="17">
        <f>SUM(F374)</f>
      </c>
      <c r="G375" s="17">
        <f>SUM(G374)</f>
      </c>
      <c r="H375" s="17">
        <f>SUM(H374)</f>
      </c>
      <c r="I375" s="17">
        <f>SUM(I374)</f>
      </c>
      <c r="J375" s="17">
        <f>SUM(J374)</f>
      </c>
      <c r="K375" s="17">
        <f>SUM(K374)</f>
      </c>
      <c r="L375" s="18">
        <f t="shared" si="1"/>
      </c>
      <c r="M375" s="18">
        <f t="shared" si="92"/>
      </c>
      <c r="N375" s="18">
        <f t="shared" si="3"/>
      </c>
    </row>
    <row r="376">
      <c r="A376" s="7">
        <v>46070</v>
      </c>
      <c r="B376" s="8" t="s">
        <v>22</v>
      </c>
      <c r="C376" s="9" t="s">
        <v>35</v>
      </c>
      <c r="D376" s="8">
        <v>5</v>
      </c>
      <c r="E376" s="28">
        <v>81</v>
      </c>
      <c r="F376" s="8">
        <v>58</v>
      </c>
      <c r="G376" s="8">
        <v>49</v>
      </c>
      <c r="H376" s="8">
        <v>34</v>
      </c>
      <c r="I376" s="8">
        <v>3</v>
      </c>
      <c r="J376" s="10">
        <v>60564.50000000001</v>
      </c>
      <c r="K376" s="8">
        <v>31559.220000000005</v>
      </c>
      <c r="L376" s="11">
        <f t="shared" si="1"/>
      </c>
      <c r="M376" s="11">
        <f t="shared" si="92"/>
      </c>
      <c r="N376" s="11">
        <f t="shared" si="3"/>
      </c>
    </row>
    <row r="377">
      <c r="A377" s="16">
        <v>46070</v>
      </c>
      <c r="B377" s="17"/>
      <c r="C377" s="17"/>
      <c r="D377" s="17">
        <f>SUM(D376)</f>
      </c>
      <c r="E377" s="17">
        <f>SUM(E376)</f>
      </c>
      <c r="F377" s="17">
        <f>SUM(F376)</f>
      </c>
      <c r="G377" s="17">
        <f>SUM(G376)</f>
      </c>
      <c r="H377" s="17">
        <f>SUM(H376)</f>
      </c>
      <c r="I377" s="17">
        <f>SUM(I376)</f>
      </c>
      <c r="J377" s="17">
        <f>SUM(J376)</f>
      </c>
      <c r="K377" s="17">
        <f>SUM(K376)</f>
      </c>
      <c r="L377" s="18">
        <f t="shared" si="1"/>
      </c>
      <c r="M377" s="18">
        <f t="shared" si="92"/>
      </c>
      <c r="N377" s="18">
        <f t="shared" si="3"/>
      </c>
    </row>
    <row r="378">
      <c r="A378" s="7">
        <v>46071</v>
      </c>
      <c r="B378" s="8" t="s">
        <v>22</v>
      </c>
      <c r="C378" s="9" t="s">
        <v>47</v>
      </c>
      <c r="D378" s="8">
        <v>5</v>
      </c>
      <c r="E378" s="28">
        <v>197</v>
      </c>
      <c r="F378" s="8">
        <v>150</v>
      </c>
      <c r="G378" s="8">
        <v>126</v>
      </c>
      <c r="H378" s="8">
        <v>96</v>
      </c>
      <c r="I378" s="8">
        <v>33</v>
      </c>
      <c r="J378" s="10">
        <v>156686.89999999994</v>
      </c>
      <c r="K378" s="8">
        <v>75488.41999999998</v>
      </c>
      <c r="L378" s="11">
        <f t="shared" si="1"/>
      </c>
      <c r="M378" s="11">
        <f t="shared" si="92"/>
      </c>
      <c r="N378" s="11">
        <f t="shared" si="3"/>
      </c>
    </row>
    <row r="379">
      <c r="A379" s="16">
        <v>46071</v>
      </c>
      <c r="B379" s="17"/>
      <c r="C379" s="17"/>
      <c r="D379" s="17">
        <f>SUM(D378)</f>
      </c>
      <c r="E379" s="17">
        <f>SUM(E378)</f>
      </c>
      <c r="F379" s="17">
        <f>SUM(F378)</f>
      </c>
      <c r="G379" s="17">
        <f>SUM(G378)</f>
      </c>
      <c r="H379" s="17">
        <f>SUM(H378)</f>
      </c>
      <c r="I379" s="17">
        <f>SUM(I378)</f>
      </c>
      <c r="J379" s="17">
        <f>SUM(J378)</f>
      </c>
      <c r="K379" s="17">
        <f>SUM(K378)</f>
      </c>
      <c r="L379" s="18">
        <f t="shared" si="1"/>
      </c>
      <c r="M379" s="18">
        <f t="shared" si="92"/>
      </c>
      <c r="N379" s="18">
        <f t="shared" si="3"/>
      </c>
    </row>
    <row r="380">
      <c r="A380" s="7">
        <v>46072</v>
      </c>
      <c r="B380" s="8" t="s">
        <v>22</v>
      </c>
      <c r="C380" s="9" t="s">
        <v>52</v>
      </c>
      <c r="D380" s="8">
        <v>3</v>
      </c>
      <c r="E380" s="28">
        <v>50</v>
      </c>
      <c r="F380" s="8">
        <v>36</v>
      </c>
      <c r="G380" s="8">
        <v>34</v>
      </c>
      <c r="H380" s="8">
        <v>25</v>
      </c>
      <c r="I380" s="8">
        <v>3</v>
      </c>
      <c r="J380" s="10">
        <v>29514.4</v>
      </c>
      <c r="K380" s="8">
        <v>26021.93</v>
      </c>
      <c r="L380" s="11">
        <f t="shared" si="1"/>
      </c>
      <c r="M380" s="11">
        <f t="shared" si="92"/>
      </c>
      <c r="N380" s="11">
        <f t="shared" si="3"/>
      </c>
    </row>
    <row r="381">
      <c r="A381" s="16">
        <v>46072</v>
      </c>
      <c r="B381" s="17"/>
      <c r="C381" s="17"/>
      <c r="D381" s="17">
        <f>SUM(D380)</f>
      </c>
      <c r="E381" s="17">
        <f>SUM(E380)</f>
      </c>
      <c r="F381" s="17">
        <f>SUM(F380)</f>
      </c>
      <c r="G381" s="17">
        <f>SUM(G380)</f>
      </c>
      <c r="H381" s="17">
        <f>SUM(H380)</f>
      </c>
      <c r="I381" s="17">
        <f>SUM(I380)</f>
      </c>
      <c r="J381" s="17">
        <f>SUM(J380)</f>
      </c>
      <c r="K381" s="17">
        <f>SUM(K380)</f>
      </c>
      <c r="L381" s="18">
        <f t="shared" si="1"/>
      </c>
      <c r="M381" s="18">
        <f t="shared" si="92"/>
      </c>
      <c r="N381" s="18">
        <f t="shared" si="3"/>
      </c>
    </row>
    <row r="382">
      <c r="A382" s="7">
        <v>46073</v>
      </c>
      <c r="B382" s="8" t="s">
        <v>22</v>
      </c>
      <c r="C382" s="9" t="s">
        <v>35</v>
      </c>
      <c r="D382" s="8">
        <v>5</v>
      </c>
      <c r="E382" s="28">
        <v>94</v>
      </c>
      <c r="F382" s="8">
        <v>71</v>
      </c>
      <c r="G382" s="8">
        <v>43</v>
      </c>
      <c r="H382" s="8">
        <v>47</v>
      </c>
      <c r="I382" s="8">
        <v>10</v>
      </c>
      <c r="J382" s="10">
        <v>84434.40000000002</v>
      </c>
      <c r="K382" s="8">
        <v>34437.97</v>
      </c>
      <c r="L382" s="11">
        <f t="shared" si="1"/>
      </c>
      <c r="M382" s="11">
        <f t="shared" si="92"/>
      </c>
      <c r="N382" s="11">
        <f t="shared" si="3"/>
      </c>
    </row>
    <row r="383">
      <c r="A383" s="16">
        <v>46073</v>
      </c>
      <c r="B383" s="17"/>
      <c r="C383" s="17"/>
      <c r="D383" s="17">
        <f>SUM(D382)</f>
      </c>
      <c r="E383" s="17">
        <f>SUM(E382)</f>
      </c>
      <c r="F383" s="17">
        <f>SUM(F382)</f>
      </c>
      <c r="G383" s="17">
        <f>SUM(G382)</f>
      </c>
      <c r="H383" s="17">
        <f>SUM(H382)</f>
      </c>
      <c r="I383" s="17">
        <f>SUM(I382)</f>
      </c>
      <c r="J383" s="17">
        <f>SUM(J382)</f>
      </c>
      <c r="K383" s="17">
        <f>SUM(K382)</f>
      </c>
      <c r="L383" s="18">
        <f t="shared" si="1"/>
      </c>
      <c r="M383" s="18">
        <f t="shared" si="92"/>
      </c>
      <c r="N383" s="18">
        <f t="shared" si="3"/>
      </c>
    </row>
    <row r="384">
      <c r="A384" s="7">
        <v>46074</v>
      </c>
      <c r="B384" s="8" t="s">
        <v>18</v>
      </c>
      <c r="C384" s="9" t="s">
        <v>53</v>
      </c>
      <c r="D384" s="8">
        <v>5</v>
      </c>
      <c r="E384" s="8">
        <v>78</v>
      </c>
      <c r="F384" s="8">
        <v>55</v>
      </c>
      <c r="G384" s="8">
        <v>45</v>
      </c>
      <c r="H384" s="8">
        <v>35</v>
      </c>
      <c r="I384" s="8">
        <v>6</v>
      </c>
      <c r="J384" s="10">
        <v>58288.600000000006</v>
      </c>
      <c r="K384" s="8">
        <v>31591.459999999995</v>
      </c>
      <c r="L384" s="11">
        <f t="shared" si="1"/>
      </c>
      <c r="M384" s="11">
        <f t="shared" si="92"/>
      </c>
      <c r="N384" s="11">
        <f t="shared" si="3"/>
      </c>
    </row>
    <row r="385">
      <c r="A385" s="7">
        <v>46074</v>
      </c>
      <c r="B385" s="8" t="s">
        <v>20</v>
      </c>
      <c r="C385" s="9" t="s">
        <v>47</v>
      </c>
      <c r="D385" s="8">
        <v>5</v>
      </c>
      <c r="E385" s="8">
        <v>128</v>
      </c>
      <c r="F385" s="8">
        <v>108</v>
      </c>
      <c r="G385" s="8">
        <v>84</v>
      </c>
      <c r="H385" s="8">
        <v>76</v>
      </c>
      <c r="I385" s="8">
        <v>16</v>
      </c>
      <c r="J385" s="10">
        <v>114338.4</v>
      </c>
      <c r="K385" s="8">
        <v>44208.509999999995</v>
      </c>
      <c r="L385" s="11">
        <f t="shared" si="1"/>
      </c>
      <c r="M385" s="11">
        <f t="shared" si="92"/>
      </c>
      <c r="N385" s="11">
        <f t="shared" si="3"/>
      </c>
    </row>
    <row r="386">
      <c r="A386" s="16">
        <v>46074</v>
      </c>
      <c r="B386" s="17"/>
      <c r="C386" s="17"/>
      <c r="D386" s="17">
        <f>SUM(D384:D385)</f>
      </c>
      <c r="E386" s="17">
        <f>SUM(E384:E385)</f>
      </c>
      <c r="F386" s="17">
        <f>SUM(F384:F385)</f>
      </c>
      <c r="G386" s="17">
        <f>SUM(G384:G385)</f>
      </c>
      <c r="H386" s="17">
        <f>SUM(H384:H385)</f>
      </c>
      <c r="I386" s="17">
        <f>SUM(I384:I385)</f>
      </c>
      <c r="J386" s="17">
        <f>SUM(J384:J385)</f>
      </c>
      <c r="K386" s="17">
        <f>SUM(K384:K385)</f>
      </c>
      <c r="L386" s="18">
        <f t="shared" si="1"/>
      </c>
      <c r="M386" s="18">
        <f t="shared" si="92"/>
      </c>
      <c r="N386" s="18">
        <f t="shared" si="3"/>
      </c>
    </row>
    <row r="387">
      <c r="A387" s="7">
        <v>46075</v>
      </c>
      <c r="B387" s="8" t="s">
        <v>18</v>
      </c>
      <c r="C387" s="9" t="s">
        <v>17</v>
      </c>
      <c r="D387" s="8">
        <v>5</v>
      </c>
      <c r="E387" s="28">
        <v>134</v>
      </c>
      <c r="F387" s="8">
        <v>97</v>
      </c>
      <c r="G387" s="8">
        <v>77</v>
      </c>
      <c r="H387" s="8">
        <v>62</v>
      </c>
      <c r="I387" s="8">
        <v>8</v>
      </c>
      <c r="J387" s="10">
        <v>109136.6</v>
      </c>
      <c r="K387" s="8">
        <v>61185.05</v>
      </c>
      <c r="L387" s="11">
        <f t="shared" si="1"/>
      </c>
      <c r="M387" s="11">
        <f t="shared" si="92"/>
      </c>
      <c r="N387" s="11">
        <f t="shared" si="3"/>
      </c>
    </row>
    <row r="388">
      <c r="A388" s="7">
        <v>46075</v>
      </c>
      <c r="B388" s="8" t="s">
        <v>20</v>
      </c>
      <c r="C388" s="9" t="s">
        <v>19</v>
      </c>
      <c r="D388" s="8">
        <v>5</v>
      </c>
      <c r="E388" s="8">
        <v>75</v>
      </c>
      <c r="F388" s="8">
        <v>56</v>
      </c>
      <c r="G388" s="8">
        <v>46</v>
      </c>
      <c r="H388" s="8">
        <v>38</v>
      </c>
      <c r="I388" s="8">
        <v>4</v>
      </c>
      <c r="J388" s="10">
        <v>55788.400000000016</v>
      </c>
      <c r="K388" s="10">
        <v>28538.769999999997</v>
      </c>
      <c r="L388" s="11">
        <f t="shared" si="1"/>
      </c>
      <c r="M388" s="11">
        <f t="shared" si="92"/>
      </c>
      <c r="N388" s="11">
        <f t="shared" si="3"/>
      </c>
    </row>
    <row r="389">
      <c r="A389" s="7">
        <v>46075</v>
      </c>
      <c r="B389" s="8" t="s">
        <v>48</v>
      </c>
      <c r="C389" s="9" t="s">
        <v>21</v>
      </c>
      <c r="D389" s="8">
        <v>5</v>
      </c>
      <c r="E389" s="8">
        <v>71</v>
      </c>
      <c r="F389" s="8">
        <v>58</v>
      </c>
      <c r="G389" s="8">
        <v>40</v>
      </c>
      <c r="H389" s="8">
        <v>38</v>
      </c>
      <c r="I389" s="8">
        <v>8</v>
      </c>
      <c r="J389" s="10">
        <v>54708.8</v>
      </c>
      <c r="K389" s="10">
        <v>30958.54</v>
      </c>
      <c r="L389" s="11">
        <f t="shared" si="1"/>
      </c>
      <c r="M389" s="11">
        <f t="shared" si="92"/>
      </c>
      <c r="N389" s="11">
        <f t="shared" si="3"/>
      </c>
    </row>
    <row r="390">
      <c r="A390" s="7">
        <v>46075</v>
      </c>
      <c r="B390" s="8" t="s">
        <v>22</v>
      </c>
      <c r="C390" s="9" t="s">
        <v>23</v>
      </c>
      <c r="D390" s="8">
        <v>5</v>
      </c>
      <c r="E390" s="8">
        <v>105</v>
      </c>
      <c r="F390" s="8">
        <v>83</v>
      </c>
      <c r="G390" s="8">
        <v>60</v>
      </c>
      <c r="H390" s="8">
        <v>54</v>
      </c>
      <c r="I390" s="8">
        <v>12</v>
      </c>
      <c r="J390" s="10">
        <v>81708.3</v>
      </c>
      <c r="K390" s="10">
        <v>31796.96</v>
      </c>
      <c r="L390" s="11">
        <f t="shared" si="1"/>
      </c>
      <c r="M390" s="11">
        <f t="shared" si="92"/>
      </c>
      <c r="N390" s="11">
        <f>K390/H390</f>
      </c>
    </row>
    <row r="391">
      <c r="A391" s="16">
        <v>46075</v>
      </c>
      <c r="B391" s="17"/>
      <c r="C391" s="17"/>
      <c r="D391" s="17">
        <f>SUM(D387:D390)</f>
      </c>
      <c r="E391" s="17">
        <f>SUM(E387:E390)</f>
      </c>
      <c r="F391" s="17">
        <f>SUM(F387:F390)</f>
      </c>
      <c r="G391" s="17">
        <f>SUM(G387:G390)</f>
      </c>
      <c r="H391" s="17">
        <f>SUM(H387:H390)</f>
      </c>
      <c r="I391" s="17">
        <f>SUM(I387:I390)</f>
      </c>
      <c r="J391" s="17">
        <f>SUM(J387:J390)</f>
      </c>
      <c r="K391" s="17">
        <f>SUM(K387:K390)</f>
      </c>
      <c r="L391" s="18">
        <f t="shared" si="1"/>
      </c>
      <c r="M391" s="18">
        <f t="shared" si="92"/>
      </c>
      <c r="N391" s="18">
        <f t="shared" ref="N391:N394" si="4">K391/F391</f>
      </c>
    </row>
    <row r="392">
      <c r="A392" s="7">
        <v>46076</v>
      </c>
      <c r="B392" s="8" t="s">
        <v>20</v>
      </c>
      <c r="C392" s="9" t="s">
        <v>17</v>
      </c>
      <c r="D392" s="8">
        <v>5</v>
      </c>
      <c r="E392" s="28">
        <v>95</v>
      </c>
      <c r="F392" s="8">
        <v>66</v>
      </c>
      <c r="G392" s="8">
        <v>50</v>
      </c>
      <c r="H392" s="8">
        <v>45</v>
      </c>
      <c r="I392" s="8">
        <v>9</v>
      </c>
      <c r="J392" s="10">
        <v>68758.80000000002</v>
      </c>
      <c r="K392" s="8">
        <v>45544.020000000004</v>
      </c>
      <c r="L392" s="11">
        <f t="shared" si="1"/>
      </c>
      <c r="M392" s="11">
        <f t="shared" si="92"/>
      </c>
      <c r="N392" s="11">
        <f t="shared" si="4"/>
      </c>
    </row>
    <row r="393">
      <c r="A393" s="7">
        <v>46076</v>
      </c>
      <c r="B393" s="8" t="s">
        <v>22</v>
      </c>
      <c r="C393" s="9" t="s">
        <v>19</v>
      </c>
      <c r="D393" s="8">
        <v>5</v>
      </c>
      <c r="E393" s="8">
        <v>77</v>
      </c>
      <c r="F393" s="8">
        <v>53</v>
      </c>
      <c r="G393" s="8">
        <v>39</v>
      </c>
      <c r="H393" s="8">
        <v>36</v>
      </c>
      <c r="I393" s="8">
        <v>6</v>
      </c>
      <c r="J393" s="10">
        <v>57539.600000000006</v>
      </c>
      <c r="K393" s="10">
        <v>26276.829999999998</v>
      </c>
      <c r="L393" s="11">
        <f t="shared" si="1"/>
      </c>
      <c r="M393" s="11">
        <f t="shared" si="92"/>
      </c>
      <c r="N393" s="11">
        <f t="shared" si="4"/>
      </c>
    </row>
    <row r="394">
      <c r="A394" s="7">
        <v>46076</v>
      </c>
      <c r="B394" s="8" t="s">
        <v>18</v>
      </c>
      <c r="C394" s="9" t="s">
        <v>21</v>
      </c>
      <c r="D394" s="8">
        <v>5</v>
      </c>
      <c r="E394" s="8">
        <v>47</v>
      </c>
      <c r="F394" s="8">
        <v>36</v>
      </c>
      <c r="G394" s="8">
        <v>27</v>
      </c>
      <c r="H394" s="8">
        <v>19</v>
      </c>
      <c r="I394" s="8">
        <v>2</v>
      </c>
      <c r="J394" s="10">
        <v>30104.600000000013</v>
      </c>
      <c r="K394" s="10">
        <v>19805.949999999997</v>
      </c>
      <c r="L394" s="11">
        <f t="shared" si="1"/>
      </c>
      <c r="M394" s="11">
        <f t="shared" si="92"/>
      </c>
      <c r="N394" s="11">
        <f t="shared" si="4"/>
      </c>
    </row>
    <row r="395">
      <c r="A395" s="7">
        <v>46076</v>
      </c>
      <c r="B395" s="8" t="s">
        <v>48</v>
      </c>
      <c r="C395" s="9" t="s">
        <v>23</v>
      </c>
      <c r="D395" s="8">
        <v>5</v>
      </c>
      <c r="E395" s="8">
        <v>59</v>
      </c>
      <c r="F395" s="8">
        <v>52</v>
      </c>
      <c r="G395" s="8">
        <v>36</v>
      </c>
      <c r="H395" s="8">
        <v>30</v>
      </c>
      <c r="I395" s="8">
        <v>7</v>
      </c>
      <c r="J395" s="10">
        <v>56813.399999999994</v>
      </c>
      <c r="K395" s="10">
        <v>23063.600000000002</v>
      </c>
      <c r="L395" s="11">
        <f t="shared" si="1"/>
      </c>
      <c r="M395" s="11">
        <f t="shared" si="92"/>
      </c>
      <c r="N395" s="11">
        <f>K395/H395</f>
      </c>
    </row>
    <row r="396">
      <c r="A396" s="16">
        <v>46076</v>
      </c>
      <c r="B396" s="17"/>
      <c r="C396" s="17"/>
      <c r="D396" s="17">
        <f>SUM(D392:D395)</f>
      </c>
      <c r="E396" s="17">
        <f>SUM(E392:E395)</f>
      </c>
      <c r="F396" s="17">
        <f>SUM(F392:F395)</f>
      </c>
      <c r="G396" s="17">
        <f>SUM(G392:G395)</f>
      </c>
      <c r="H396" s="17">
        <f>SUM(H392:H395)</f>
      </c>
      <c r="I396" s="17">
        <f>SUM(I392:I395)</f>
      </c>
      <c r="J396" s="17">
        <f>SUM(J392:J395)</f>
      </c>
      <c r="K396" s="17">
        <f>SUM(K392:K395)</f>
      </c>
      <c r="L396" s="18">
        <f t="shared" si="1"/>
      </c>
      <c r="M396" s="18">
        <f t="shared" si="92"/>
      </c>
      <c r="N396" s="18">
        <f t="shared" ref="N396:N399" si="5">K396/F396</f>
      </c>
    </row>
    <row r="397">
      <c r="A397" s="7">
        <v>46077</v>
      </c>
      <c r="B397" s="8" t="s">
        <v>20</v>
      </c>
      <c r="C397" s="9" t="s">
        <v>17</v>
      </c>
      <c r="D397" s="8">
        <v>5</v>
      </c>
      <c r="E397" s="28">
        <v>57</v>
      </c>
      <c r="F397" s="8">
        <v>41</v>
      </c>
      <c r="G397" s="8">
        <v>35</v>
      </c>
      <c r="H397" s="8">
        <v>28</v>
      </c>
      <c r="I397" s="8">
        <v>1</v>
      </c>
      <c r="J397" s="10">
        <v>39963.600000000006</v>
      </c>
      <c r="K397" s="8">
        <v>25880.63</v>
      </c>
      <c r="L397" s="11">
        <f t="shared" si="1"/>
      </c>
      <c r="M397" s="11">
        <f t="shared" si="92"/>
      </c>
      <c r="N397" s="11">
        <f t="shared" si="5"/>
      </c>
    </row>
    <row r="398">
      <c r="A398" s="7">
        <v>46077</v>
      </c>
      <c r="B398" s="8" t="s">
        <v>18</v>
      </c>
      <c r="C398" s="9" t="s">
        <v>19</v>
      </c>
      <c r="D398" s="8">
        <v>5</v>
      </c>
      <c r="E398" s="8">
        <v>44</v>
      </c>
      <c r="F398" s="8">
        <v>38</v>
      </c>
      <c r="G398" s="8">
        <v>31</v>
      </c>
      <c r="H398" s="8">
        <v>28</v>
      </c>
      <c r="I398" s="8">
        <v>2</v>
      </c>
      <c r="J398" s="10">
        <v>35860.2</v>
      </c>
      <c r="K398" s="10">
        <v>24931.6</v>
      </c>
      <c r="L398" s="11">
        <f t="shared" si="1"/>
      </c>
      <c r="M398" s="11">
        <f t="shared" si="92"/>
      </c>
      <c r="N398" s="11">
        <f t="shared" si="5"/>
      </c>
    </row>
    <row r="399">
      <c r="A399" s="7">
        <v>46077</v>
      </c>
      <c r="B399" s="8" t="s">
        <v>22</v>
      </c>
      <c r="C399" s="9" t="s">
        <v>21</v>
      </c>
      <c r="D399" s="8">
        <v>5</v>
      </c>
      <c r="E399" s="8">
        <v>71</v>
      </c>
      <c r="F399" s="8">
        <v>59</v>
      </c>
      <c r="G399" s="8">
        <v>40</v>
      </c>
      <c r="H399" s="8">
        <v>41</v>
      </c>
      <c r="I399" s="8">
        <v>5</v>
      </c>
      <c r="J399" s="10">
        <v>65437.799999999996</v>
      </c>
      <c r="K399" s="10">
        <v>24069.21</v>
      </c>
      <c r="L399" s="11">
        <f t="shared" si="1"/>
      </c>
      <c r="M399" s="11">
        <f t="shared" si="92"/>
      </c>
      <c r="N399" s="11">
        <f t="shared" si="5"/>
      </c>
    </row>
    <row r="400">
      <c r="A400" s="7">
        <v>46077</v>
      </c>
      <c r="B400" s="8" t="s">
        <v>48</v>
      </c>
      <c r="C400" s="9" t="s">
        <v>23</v>
      </c>
      <c r="D400" s="8">
        <v>5</v>
      </c>
      <c r="E400" s="8">
        <v>88</v>
      </c>
      <c r="F400" s="8">
        <v>73</v>
      </c>
      <c r="G400" s="8">
        <v>46</v>
      </c>
      <c r="H400" s="8">
        <v>57</v>
      </c>
      <c r="I400" s="8">
        <v>8</v>
      </c>
      <c r="J400" s="10">
        <v>64007.40000000003</v>
      </c>
      <c r="K400" s="10">
        <v>35128.93</v>
      </c>
      <c r="L400" s="11">
        <f t="shared" si="1"/>
      </c>
      <c r="M400" s="11">
        <f t="shared" si="92"/>
      </c>
      <c r="N400" s="11">
        <f>K400/H400</f>
      </c>
    </row>
    <row r="401">
      <c r="A401" s="16">
        <v>46077</v>
      </c>
      <c r="B401" s="17"/>
      <c r="C401" s="17"/>
      <c r="D401" s="17">
        <f>SUM(D397:D400)</f>
      </c>
      <c r="E401" s="17">
        <f>SUM(E397:E400)</f>
      </c>
      <c r="F401" s="17">
        <f>SUM(F397:F400)</f>
      </c>
      <c r="G401" s="17">
        <f>SUM(G397:G400)</f>
      </c>
      <c r="H401" s="17">
        <f>SUM(H397:H400)</f>
      </c>
      <c r="I401" s="17">
        <f>SUM(I397:I400)</f>
      </c>
      <c r="J401" s="17">
        <f>SUM(J397:J400)</f>
      </c>
      <c r="K401" s="17">
        <f>SUM(K397:K400)</f>
      </c>
      <c r="L401" s="18">
        <f t="shared" si="1"/>
      </c>
      <c r="M401" s="18">
        <f t="shared" si="92"/>
      </c>
      <c r="N401" s="18">
        <f t="shared" ref="N401:N404" si="6">K401/F401</f>
      </c>
    </row>
    <row r="402">
      <c r="A402" s="7">
        <v>46078</v>
      </c>
      <c r="B402" s="8" t="s">
        <v>16</v>
      </c>
      <c r="C402" s="9" t="s">
        <v>17</v>
      </c>
      <c r="D402" s="8">
        <v>5</v>
      </c>
      <c r="E402" s="28">
        <v>67</v>
      </c>
      <c r="F402" s="8">
        <v>52</v>
      </c>
      <c r="G402" s="8">
        <v>39</v>
      </c>
      <c r="H402" s="8">
        <v>37</v>
      </c>
      <c r="I402" s="8">
        <v>7</v>
      </c>
      <c r="J402" s="10">
        <v>45658.00000000001</v>
      </c>
      <c r="K402" s="8">
        <v>30861.47</v>
      </c>
      <c r="L402" s="11">
        <f t="shared" si="1"/>
      </c>
      <c r="M402" s="11">
        <f t="shared" si="92"/>
      </c>
      <c r="N402" s="11">
        <f t="shared" si="6"/>
      </c>
    </row>
    <row r="403">
      <c r="A403" s="7">
        <v>46078</v>
      </c>
      <c r="B403" s="8" t="s">
        <v>20</v>
      </c>
      <c r="C403" s="9" t="s">
        <v>19</v>
      </c>
      <c r="D403" s="8">
        <v>5</v>
      </c>
      <c r="E403" s="8">
        <v>34</v>
      </c>
      <c r="F403" s="8">
        <v>28</v>
      </c>
      <c r="G403" s="8">
        <v>20</v>
      </c>
      <c r="H403" s="8">
        <v>20</v>
      </c>
      <c r="I403" s="8">
        <v>1</v>
      </c>
      <c r="J403" s="10">
        <v>30804.4</v>
      </c>
      <c r="K403" s="10">
        <v>17493.739999999998</v>
      </c>
      <c r="L403" s="11">
        <f t="shared" si="1"/>
      </c>
      <c r="M403" s="11">
        <f t="shared" si="92"/>
      </c>
      <c r="N403" s="11">
        <f t="shared" si="6"/>
      </c>
    </row>
    <row r="404">
      <c r="A404" s="7">
        <v>46078</v>
      </c>
      <c r="B404" s="8" t="s">
        <v>48</v>
      </c>
      <c r="C404" s="9" t="s">
        <v>21</v>
      </c>
      <c r="D404" s="8">
        <v>5</v>
      </c>
      <c r="E404" s="8">
        <v>67</v>
      </c>
      <c r="F404" s="8">
        <v>53</v>
      </c>
      <c r="G404" s="8">
        <v>28</v>
      </c>
      <c r="H404" s="8">
        <v>41</v>
      </c>
      <c r="I404" s="8">
        <v>8</v>
      </c>
      <c r="J404" s="10">
        <v>41238.5</v>
      </c>
      <c r="K404" s="10">
        <v>16910.18</v>
      </c>
      <c r="L404" s="11">
        <f t="shared" si="1"/>
      </c>
      <c r="M404" s="11">
        <f t="shared" si="92"/>
      </c>
      <c r="N404" s="11">
        <f t="shared" si="6"/>
      </c>
    </row>
    <row r="405">
      <c r="A405" s="7">
        <v>46078</v>
      </c>
      <c r="B405" s="8" t="s">
        <v>18</v>
      </c>
      <c r="C405" s="9" t="s">
        <v>23</v>
      </c>
      <c r="D405" s="8">
        <v>5</v>
      </c>
      <c r="E405" s="8">
        <v>78</v>
      </c>
      <c r="F405" s="8">
        <v>56</v>
      </c>
      <c r="G405" s="8">
        <v>37</v>
      </c>
      <c r="H405" s="8">
        <v>43</v>
      </c>
      <c r="I405" s="8">
        <v>9</v>
      </c>
      <c r="J405" s="10">
        <v>51318.000000000015</v>
      </c>
      <c r="K405" s="10">
        <v>26075.91</v>
      </c>
      <c r="L405" s="11">
        <f t="shared" si="1"/>
      </c>
      <c r="M405" s="11">
        <f t="shared" si="92"/>
      </c>
      <c r="N405" s="11">
        <f>K405/H405</f>
      </c>
    </row>
    <row r="406">
      <c r="A406" s="16">
        <v>46078</v>
      </c>
      <c r="B406" s="17"/>
      <c r="C406" s="17"/>
      <c r="D406" s="17">
        <f>SUM(D402:D405)</f>
      </c>
      <c r="E406" s="17">
        <f>SUM(E402:E405)</f>
      </c>
      <c r="F406" s="17">
        <f>SUM(F402:F405)</f>
      </c>
      <c r="G406" s="17">
        <f>SUM(G402:G405)</f>
      </c>
      <c r="H406" s="17">
        <f>SUM(H402:H405)</f>
      </c>
      <c r="I406" s="17">
        <f>SUM(I402:I405)</f>
      </c>
      <c r="J406" s="17">
        <f>SUM(J402:J405)</f>
      </c>
      <c r="K406" s="17">
        <f>SUM(K402:K405)</f>
      </c>
      <c r="L406" s="18">
        <f t="shared" si="1"/>
      </c>
      <c r="M406" s="18">
        <f t="shared" si="92"/>
      </c>
      <c r="N406" s="18">
        <f t="shared" ref="N406:N409" si="7">K406/F406</f>
      </c>
    </row>
    <row r="407">
      <c r="A407" s="7">
        <v>46079</v>
      </c>
      <c r="B407" s="8" t="s">
        <v>16</v>
      </c>
      <c r="C407" s="9" t="s">
        <v>17</v>
      </c>
      <c r="D407" s="8">
        <v>5</v>
      </c>
      <c r="E407" s="28">
        <v>92</v>
      </c>
      <c r="F407" s="8">
        <v>72</v>
      </c>
      <c r="G407" s="8">
        <v>43</v>
      </c>
      <c r="H407" s="8">
        <v>46</v>
      </c>
      <c r="I407" s="8">
        <v>10</v>
      </c>
      <c r="J407" s="10">
        <v>74120.80000000002</v>
      </c>
      <c r="K407" s="8">
        <v>34135.36</v>
      </c>
      <c r="L407" s="11">
        <f t="shared" si="1"/>
      </c>
      <c r="M407" s="11">
        <f t="shared" si="92"/>
      </c>
      <c r="N407" s="11">
        <f t="shared" si="7"/>
      </c>
    </row>
    <row r="408">
      <c r="A408" s="7">
        <v>46079</v>
      </c>
      <c r="B408" s="8" t="s">
        <v>20</v>
      </c>
      <c r="C408" s="9" t="s">
        <v>19</v>
      </c>
      <c r="D408" s="8">
        <v>5</v>
      </c>
      <c r="E408" s="8">
        <v>91</v>
      </c>
      <c r="F408" s="8">
        <v>67</v>
      </c>
      <c r="G408" s="8">
        <v>50</v>
      </c>
      <c r="H408" s="8">
        <v>52</v>
      </c>
      <c r="I408" s="8">
        <v>6</v>
      </c>
      <c r="J408" s="10">
        <v>55753.400000000016</v>
      </c>
      <c r="K408" s="10">
        <v>30428.55</v>
      </c>
      <c r="L408" s="11">
        <f t="shared" si="1"/>
      </c>
      <c r="M408" s="11">
        <f t="shared" si="92"/>
      </c>
      <c r="N408" s="11">
        <f t="shared" si="7"/>
      </c>
    </row>
    <row r="409">
      <c r="A409" s="7">
        <v>46079</v>
      </c>
      <c r="B409" s="8" t="s">
        <v>48</v>
      </c>
      <c r="C409" s="9" t="s">
        <v>21</v>
      </c>
      <c r="D409" s="8">
        <v>5</v>
      </c>
      <c r="E409" s="8">
        <v>41</v>
      </c>
      <c r="F409" s="8">
        <v>31</v>
      </c>
      <c r="G409" s="8">
        <v>18</v>
      </c>
      <c r="H409" s="8">
        <v>20</v>
      </c>
      <c r="I409" s="8">
        <v>3</v>
      </c>
      <c r="J409" s="10">
        <v>29545.799999999996</v>
      </c>
      <c r="K409" s="10">
        <v>17763.63</v>
      </c>
      <c r="L409" s="11">
        <f t="shared" si="1"/>
      </c>
      <c r="M409" s="11">
        <f t="shared" si="92"/>
      </c>
      <c r="N409" s="11">
        <f t="shared" si="7"/>
      </c>
    </row>
    <row r="410">
      <c r="A410" s="7">
        <v>46079</v>
      </c>
      <c r="B410" s="8" t="s">
        <v>18</v>
      </c>
      <c r="C410" s="9" t="s">
        <v>23</v>
      </c>
      <c r="D410" s="8">
        <v>5</v>
      </c>
      <c r="E410" s="8">
        <v>60</v>
      </c>
      <c r="F410" s="8">
        <v>44</v>
      </c>
      <c r="G410" s="8">
        <v>29</v>
      </c>
      <c r="H410" s="8">
        <v>31</v>
      </c>
      <c r="I410" s="8">
        <v>8</v>
      </c>
      <c r="J410" s="10">
        <v>42361.000000000015</v>
      </c>
      <c r="K410" s="10">
        <v>21335.61</v>
      </c>
      <c r="L410" s="11">
        <f t="shared" si="1"/>
      </c>
      <c r="M410" s="11">
        <f t="shared" si="92"/>
      </c>
      <c r="N410" s="11">
        <f>K410/H410</f>
      </c>
    </row>
    <row r="411">
      <c r="A411" s="16">
        <v>46079</v>
      </c>
      <c r="B411" s="17"/>
      <c r="C411" s="17"/>
      <c r="D411" s="17">
        <f>SUM(D407:D410)</f>
      </c>
      <c r="E411" s="17">
        <f>SUM(E407:E410)</f>
      </c>
      <c r="F411" s="17">
        <f>SUM(F407:F410)</f>
      </c>
      <c r="G411" s="17">
        <f>SUM(G407:G410)</f>
      </c>
      <c r="H411" s="17">
        <f>SUM(H407:H410)</f>
      </c>
      <c r="I411" s="17">
        <f>SUM(I407:I410)</f>
      </c>
      <c r="J411" s="17">
        <f>SUM(J407:J410)</f>
      </c>
      <c r="K411" s="17">
        <f>SUM(K407:K410)</f>
      </c>
      <c r="L411" s="18">
        <f t="shared" si="1"/>
      </c>
      <c r="M411" s="18">
        <f t="shared" si="92"/>
      </c>
      <c r="N411" s="18">
        <f t="shared" ref="N411:N414" si="8">K411/F411</f>
      </c>
    </row>
    <row r="412">
      <c r="A412" s="7">
        <v>46080</v>
      </c>
      <c r="B412" s="8" t="s">
        <v>16</v>
      </c>
      <c r="C412" s="9" t="s">
        <v>17</v>
      </c>
      <c r="D412" s="8">
        <v>5</v>
      </c>
      <c r="E412" s="28">
        <v>57</v>
      </c>
      <c r="F412" s="8">
        <v>41</v>
      </c>
      <c r="G412" s="8">
        <v>36</v>
      </c>
      <c r="H412" s="8">
        <v>30</v>
      </c>
      <c r="I412" s="8">
        <v>3</v>
      </c>
      <c r="J412" s="10">
        <v>41209</v>
      </c>
      <c r="K412" s="8">
        <v>30850.409999999996</v>
      </c>
      <c r="L412" s="11">
        <f t="shared" si="1"/>
      </c>
      <c r="M412" s="11">
        <f t="shared" si="92"/>
      </c>
      <c r="N412" s="11">
        <f t="shared" si="8"/>
      </c>
    </row>
    <row r="413">
      <c r="A413" s="7">
        <v>46080</v>
      </c>
      <c r="B413" s="8" t="s">
        <v>20</v>
      </c>
      <c r="C413" s="9" t="s">
        <v>19</v>
      </c>
      <c r="D413" s="8">
        <v>5</v>
      </c>
      <c r="E413" s="8">
        <v>64</v>
      </c>
      <c r="F413" s="8">
        <v>46</v>
      </c>
      <c r="G413" s="8">
        <v>35</v>
      </c>
      <c r="H413" s="8">
        <v>23</v>
      </c>
      <c r="I413" s="8">
        <v>3</v>
      </c>
      <c r="J413" s="10">
        <v>48284.399999999994</v>
      </c>
      <c r="K413" s="10">
        <v>21421.18</v>
      </c>
      <c r="L413" s="11">
        <f t="shared" si="1"/>
      </c>
      <c r="M413" s="11">
        <f t="shared" si="92"/>
      </c>
      <c r="N413" s="11">
        <f t="shared" si="8"/>
      </c>
    </row>
    <row r="414">
      <c r="A414" s="7">
        <v>46080</v>
      </c>
      <c r="B414" s="8" t="s">
        <v>48</v>
      </c>
      <c r="C414" s="9" t="s">
        <v>21</v>
      </c>
      <c r="D414" s="8">
        <v>5</v>
      </c>
      <c r="E414" s="8">
        <v>55</v>
      </c>
      <c r="F414" s="8">
        <v>42</v>
      </c>
      <c r="G414" s="8">
        <v>30</v>
      </c>
      <c r="H414" s="8">
        <v>29</v>
      </c>
      <c r="I414" s="8">
        <v>3</v>
      </c>
      <c r="J414" s="10">
        <v>38352.8</v>
      </c>
      <c r="K414" s="10">
        <v>22616.17</v>
      </c>
      <c r="L414" s="11">
        <f t="shared" si="1"/>
      </c>
      <c r="M414" s="11">
        <f t="shared" si="92"/>
      </c>
      <c r="N414" s="11">
        <f t="shared" si="8"/>
      </c>
    </row>
    <row r="415">
      <c r="A415" s="7">
        <v>46080</v>
      </c>
      <c r="B415" s="8" t="s">
        <v>18</v>
      </c>
      <c r="C415" s="9" t="s">
        <v>23</v>
      </c>
      <c r="D415" s="20">
        <v>4.5</v>
      </c>
      <c r="E415" s="8">
        <v>65</v>
      </c>
      <c r="F415" s="8">
        <v>52</v>
      </c>
      <c r="G415" s="8">
        <v>37</v>
      </c>
      <c r="H415" s="8">
        <v>34</v>
      </c>
      <c r="I415" s="8">
        <v>7</v>
      </c>
      <c r="J415" s="10">
        <v>49567.00000000001</v>
      </c>
      <c r="K415" s="10">
        <v>23303.86</v>
      </c>
      <c r="L415" s="11">
        <f t="shared" si="1"/>
      </c>
      <c r="M415" s="11">
        <f t="shared" si="92"/>
      </c>
      <c r="N415" s="11">
        <f>K415/H415</f>
      </c>
    </row>
    <row r="416">
      <c r="A416" s="16">
        <v>46080</v>
      </c>
      <c r="B416" s="17"/>
      <c r="C416" s="17"/>
      <c r="D416" s="17">
        <f>SUM(D412:D415)</f>
      </c>
      <c r="E416" s="17">
        <f>SUM(E412:E415)</f>
      </c>
      <c r="F416" s="17">
        <f>SUM(F412:F415)</f>
      </c>
      <c r="G416" s="17">
        <f>SUM(G412:G415)</f>
      </c>
      <c r="H416" s="17">
        <f>SUM(H412:H415)</f>
      </c>
      <c r="I416" s="17">
        <f>SUM(I412:I415)</f>
      </c>
      <c r="J416" s="17">
        <f>SUM(J412:J415)</f>
      </c>
      <c r="K416" s="17">
        <f>SUM(K412:K415)</f>
      </c>
      <c r="L416" s="18">
        <f t="shared" si="1"/>
      </c>
      <c r="M416" s="18">
        <f t="shared" si="92"/>
      </c>
      <c r="N416" s="18">
        <f t="shared" ref="N416:N419" si="9">K416/F416</f>
      </c>
    </row>
    <row r="417">
      <c r="A417" s="7">
        <v>46081</v>
      </c>
      <c r="B417" s="8" t="s">
        <v>20</v>
      </c>
      <c r="C417" s="9" t="s">
        <v>17</v>
      </c>
      <c r="D417" s="8">
        <v>5</v>
      </c>
      <c r="E417" s="28">
        <v>91</v>
      </c>
      <c r="F417" s="8">
        <v>73</v>
      </c>
      <c r="G417" s="8">
        <v>56</v>
      </c>
      <c r="H417" s="8">
        <v>38</v>
      </c>
      <c r="I417" s="8">
        <v>9</v>
      </c>
      <c r="J417" s="10">
        <v>74750.20000000003</v>
      </c>
      <c r="K417" s="8">
        <v>34937.06</v>
      </c>
      <c r="L417" s="11">
        <f t="shared" si="1"/>
      </c>
      <c r="M417" s="11">
        <f t="shared" si="92"/>
      </c>
      <c r="N417" s="11">
        <f t="shared" si="9"/>
      </c>
    </row>
    <row r="418">
      <c r="A418" s="7">
        <v>46081</v>
      </c>
      <c r="B418" s="8" t="s">
        <v>16</v>
      </c>
      <c r="C418" s="9" t="s">
        <v>19</v>
      </c>
      <c r="D418" s="8">
        <v>5</v>
      </c>
      <c r="E418" s="8">
        <v>80</v>
      </c>
      <c r="F418" s="8">
        <v>67</v>
      </c>
      <c r="G418" s="8">
        <v>45</v>
      </c>
      <c r="H418" s="8">
        <v>47</v>
      </c>
      <c r="I418" s="8">
        <v>6</v>
      </c>
      <c r="J418" s="10">
        <v>56952.90000000001</v>
      </c>
      <c r="K418" s="10">
        <v>29380.34</v>
      </c>
      <c r="L418" s="11">
        <f t="shared" si="1"/>
      </c>
      <c r="M418" s="11">
        <f t="shared" si="92"/>
      </c>
      <c r="N418" s="11">
        <f t="shared" si="9"/>
      </c>
    </row>
    <row r="419">
      <c r="A419" s="7">
        <v>46081</v>
      </c>
      <c r="B419" s="8" t="s">
        <v>48</v>
      </c>
      <c r="C419" s="9" t="s">
        <v>21</v>
      </c>
      <c r="D419" s="8">
        <v>5</v>
      </c>
      <c r="E419" s="8">
        <v>46</v>
      </c>
      <c r="F419" s="8">
        <v>34</v>
      </c>
      <c r="G419" s="8">
        <v>30</v>
      </c>
      <c r="H419" s="8">
        <v>22</v>
      </c>
      <c r="I419" s="8">
        <v>3</v>
      </c>
      <c r="J419" s="10">
        <v>35991.6</v>
      </c>
      <c r="K419" s="10">
        <v>23604.840000000004</v>
      </c>
      <c r="L419" s="11">
        <f t="shared" si="1"/>
      </c>
      <c r="M419" s="11">
        <f t="shared" si="92"/>
      </c>
      <c r="N419" s="11">
        <f t="shared" si="9"/>
      </c>
    </row>
    <row r="420">
      <c r="A420" s="7">
        <v>46081</v>
      </c>
      <c r="B420" s="8" t="s">
        <v>24</v>
      </c>
      <c r="C420" s="9" t="s">
        <v>23</v>
      </c>
      <c r="D420" s="8">
        <v>5</v>
      </c>
      <c r="E420" s="8">
        <v>97</v>
      </c>
      <c r="F420" s="8">
        <v>63</v>
      </c>
      <c r="G420" s="8">
        <v>50</v>
      </c>
      <c r="H420" s="8">
        <v>41</v>
      </c>
      <c r="I420" s="8">
        <v>7</v>
      </c>
      <c r="J420" s="10">
        <v>53904.7</v>
      </c>
      <c r="K420" s="10">
        <v>30794.920000000002</v>
      </c>
      <c r="L420" s="11">
        <f t="shared" si="1"/>
      </c>
      <c r="M420" s="11">
        <f t="shared" si="92"/>
      </c>
      <c r="N420" s="11">
        <f>K420/H420</f>
      </c>
    </row>
    <row r="421">
      <c r="A421" s="16">
        <v>46081</v>
      </c>
      <c r="B421" s="17"/>
      <c r="C421" s="17"/>
      <c r="D421" s="17">
        <f>SUM(D417:D420)</f>
      </c>
      <c r="E421" s="17">
        <f>SUM(E417:E420)</f>
      </c>
      <c r="F421" s="17">
        <f>SUM(F417:F420)</f>
      </c>
      <c r="G421" s="17">
        <f>SUM(G417:G420)</f>
      </c>
      <c r="H421" s="17">
        <f>SUM(H417:H420)</f>
      </c>
      <c r="I421" s="17">
        <f>SUM(I417:I420)</f>
      </c>
      <c r="J421" s="17">
        <f>SUM(J417:J420)</f>
      </c>
      <c r="K421" s="17">
        <f>SUM(K417:K420)</f>
      </c>
      <c r="L421" s="18">
        <f t="shared" si="1"/>
      </c>
      <c r="M421" s="18">
        <f t="shared" si="92"/>
      </c>
      <c r="N421" s="18">
        <f t="shared" ref="N421:N424" si="10">K421/F421</f>
      </c>
    </row>
    <row r="422">
      <c r="A422" s="7">
        <v>46082</v>
      </c>
      <c r="B422" s="8" t="s">
        <v>16</v>
      </c>
      <c r="C422" s="9" t="s">
        <v>17</v>
      </c>
      <c r="D422" s="8">
        <v>5</v>
      </c>
      <c r="E422" s="28">
        <v>117</v>
      </c>
      <c r="F422" s="8">
        <v>80</v>
      </c>
      <c r="G422" s="8">
        <v>60</v>
      </c>
      <c r="H422" s="8">
        <v>56</v>
      </c>
      <c r="I422" s="8">
        <v>10</v>
      </c>
      <c r="J422" s="10">
        <v>75115.90000000002</v>
      </c>
      <c r="K422" s="8">
        <v>43717.25</v>
      </c>
      <c r="L422" s="11">
        <f t="shared" si="1"/>
      </c>
      <c r="M422" s="11">
        <f t="shared" si="92"/>
      </c>
      <c r="N422" s="11">
        <f t="shared" si="10"/>
      </c>
    </row>
    <row r="423">
      <c r="A423" s="7">
        <v>46082</v>
      </c>
      <c r="B423" s="8" t="s">
        <v>22</v>
      </c>
      <c r="C423" s="9" t="s">
        <v>19</v>
      </c>
      <c r="D423" s="8">
        <v>5</v>
      </c>
      <c r="E423" s="8">
        <v>102</v>
      </c>
      <c r="F423" s="8">
        <v>79</v>
      </c>
      <c r="G423" s="8">
        <v>64</v>
      </c>
      <c r="H423" s="8">
        <v>56</v>
      </c>
      <c r="I423" s="8">
        <v>9</v>
      </c>
      <c r="J423" s="10">
        <v>71701.20000000003</v>
      </c>
      <c r="K423" s="10">
        <v>36072.92</v>
      </c>
      <c r="L423" s="11">
        <f t="shared" si="1"/>
      </c>
      <c r="M423" s="11">
        <f t="shared" si="92"/>
      </c>
      <c r="N423" s="11">
        <f t="shared" si="10"/>
      </c>
    </row>
    <row r="424">
      <c r="A424" s="7">
        <v>46082</v>
      </c>
      <c r="B424" s="8" t="s">
        <v>48</v>
      </c>
      <c r="C424" s="9" t="s">
        <v>21</v>
      </c>
      <c r="D424" s="8">
        <v>5</v>
      </c>
      <c r="E424" s="8">
        <v>71</v>
      </c>
      <c r="F424" s="8">
        <v>60</v>
      </c>
      <c r="G424" s="8">
        <v>46</v>
      </c>
      <c r="H424" s="8">
        <v>42</v>
      </c>
      <c r="I424" s="8">
        <v>7</v>
      </c>
      <c r="J424" s="10">
        <v>55900.600000000006</v>
      </c>
      <c r="K424" s="10">
        <v>31061.05</v>
      </c>
      <c r="L424" s="11">
        <f t="shared" si="1"/>
      </c>
      <c r="M424" s="11">
        <f t="shared" si="92"/>
      </c>
      <c r="N424" s="11">
        <f t="shared" si="10"/>
      </c>
    </row>
    <row r="425">
      <c r="A425" s="7">
        <v>46082</v>
      </c>
      <c r="B425" s="8" t="s">
        <v>24</v>
      </c>
      <c r="C425" s="9" t="s">
        <v>23</v>
      </c>
      <c r="D425" s="8">
        <v>5</v>
      </c>
      <c r="E425" s="8">
        <v>124</v>
      </c>
      <c r="F425" s="8">
        <v>96</v>
      </c>
      <c r="G425" s="8">
        <v>79</v>
      </c>
      <c r="H425" s="8">
        <v>61</v>
      </c>
      <c r="I425" s="8">
        <v>8</v>
      </c>
      <c r="J425" s="10">
        <v>84100.60000000003</v>
      </c>
      <c r="K425" s="10">
        <v>48684.509999999995</v>
      </c>
      <c r="L425" s="11">
        <f t="shared" si="1"/>
      </c>
      <c r="M425" s="11">
        <f t="shared" si="92"/>
      </c>
      <c r="N425" s="11">
        <f>K425/H425</f>
      </c>
    </row>
    <row r="426">
      <c r="A426" s="16">
        <v>46082</v>
      </c>
      <c r="B426" s="17"/>
      <c r="C426" s="17"/>
      <c r="D426" s="17">
        <f>SUM(D422:D425)</f>
      </c>
      <c r="E426" s="17">
        <f>SUM(E422:E425)</f>
      </c>
      <c r="F426" s="17">
        <f>SUM(F422:F425)</f>
      </c>
      <c r="G426" s="17">
        <f>SUM(G422:G425)</f>
      </c>
      <c r="H426" s="17">
        <f>SUM(H422:H425)</f>
      </c>
      <c r="I426" s="17">
        <f>SUM(I422:I425)</f>
      </c>
      <c r="J426" s="17">
        <f>SUM(J422:J425)</f>
      </c>
      <c r="K426" s="17">
        <f>SUM(K422:K425)</f>
      </c>
      <c r="L426" s="18">
        <f t="shared" si="1"/>
      </c>
      <c r="M426" s="18">
        <f t="shared" si="92"/>
      </c>
      <c r="N426" s="18">
        <f t="shared" ref="N426:N429" si="11">K426/F426</f>
      </c>
    </row>
    <row r="427">
      <c r="A427" s="7">
        <v>46083</v>
      </c>
      <c r="B427" s="8" t="s">
        <v>20</v>
      </c>
      <c r="C427" s="9" t="s">
        <v>17</v>
      </c>
      <c r="D427" s="8">
        <v>5</v>
      </c>
      <c r="E427" s="28">
        <v>145</v>
      </c>
      <c r="F427" s="8">
        <v>112</v>
      </c>
      <c r="G427" s="8">
        <v>83</v>
      </c>
      <c r="H427" s="8">
        <v>70</v>
      </c>
      <c r="I427" s="8">
        <v>12</v>
      </c>
      <c r="J427" s="10">
        <v>113695.7</v>
      </c>
      <c r="K427" s="8">
        <v>52674.3</v>
      </c>
      <c r="L427" s="11">
        <f t="shared" si="1"/>
      </c>
      <c r="M427" s="11">
        <f t="shared" si="92"/>
      </c>
      <c r="N427" s="11">
        <f t="shared" si="11"/>
      </c>
    </row>
    <row r="428">
      <c r="A428" s="7">
        <v>46083</v>
      </c>
      <c r="B428" s="8" t="s">
        <v>48</v>
      </c>
      <c r="C428" s="9" t="s">
        <v>19</v>
      </c>
      <c r="D428" s="8">
        <v>5</v>
      </c>
      <c r="E428" s="8">
        <v>80</v>
      </c>
      <c r="F428" s="8">
        <v>62</v>
      </c>
      <c r="G428" s="8">
        <v>46</v>
      </c>
      <c r="H428" s="8">
        <v>40</v>
      </c>
      <c r="I428" s="8">
        <v>8</v>
      </c>
      <c r="J428" s="10">
        <v>54967.59999999999</v>
      </c>
      <c r="K428" s="10">
        <v>36469.8</v>
      </c>
      <c r="L428" s="11">
        <f t="shared" si="1"/>
      </c>
      <c r="M428" s="11">
        <f t="shared" si="92"/>
      </c>
      <c r="N428" s="11">
        <f t="shared" si="11"/>
      </c>
    </row>
    <row r="429">
      <c r="A429" s="7">
        <v>46083</v>
      </c>
      <c r="B429" s="8" t="s">
        <v>24</v>
      </c>
      <c r="C429" s="9" t="s">
        <v>21</v>
      </c>
      <c r="D429" s="8">
        <v>5</v>
      </c>
      <c r="E429" s="8">
        <v>58</v>
      </c>
      <c r="F429" s="8">
        <v>51</v>
      </c>
      <c r="G429" s="8">
        <v>46</v>
      </c>
      <c r="H429" s="8">
        <v>26</v>
      </c>
      <c r="I429" s="8">
        <v>4</v>
      </c>
      <c r="J429" s="10">
        <v>46107.60000000006</v>
      </c>
      <c r="K429" s="10">
        <v>27401.750000000007</v>
      </c>
      <c r="L429" s="11">
        <f t="shared" si="1"/>
      </c>
      <c r="M429" s="11">
        <f t="shared" si="92"/>
      </c>
      <c r="N429" s="11">
        <f t="shared" si="11"/>
      </c>
    </row>
    <row r="430">
      <c r="A430" s="7">
        <v>46083</v>
      </c>
      <c r="B430" s="8" t="s">
        <v>22</v>
      </c>
      <c r="C430" s="9" t="s">
        <v>23</v>
      </c>
      <c r="D430" s="8">
        <v>5</v>
      </c>
      <c r="E430" s="8">
        <v>70</v>
      </c>
      <c r="F430" s="8">
        <v>51</v>
      </c>
      <c r="G430" s="8">
        <v>38</v>
      </c>
      <c r="H430" s="8">
        <v>34</v>
      </c>
      <c r="I430" s="8">
        <v>5</v>
      </c>
      <c r="J430" s="10">
        <v>40850.399999999994</v>
      </c>
      <c r="K430" s="10">
        <v>30578.02</v>
      </c>
      <c r="L430" s="11">
        <f t="shared" si="1"/>
      </c>
      <c r="M430" s="11">
        <f t="shared" si="92"/>
      </c>
      <c r="N430" s="11">
        <f>K430/H430</f>
      </c>
    </row>
    <row r="431">
      <c r="A431" s="16">
        <v>46083</v>
      </c>
      <c r="B431" s="17"/>
      <c r="C431" s="17"/>
      <c r="D431" s="17">
        <f>SUM(D427:D430)</f>
      </c>
      <c r="E431" s="17">
        <f>SUM(E427:E430)</f>
      </c>
      <c r="F431" s="17">
        <f>SUM(F427:F430)</f>
      </c>
      <c r="G431" s="17">
        <f>SUM(G427:G430)</f>
      </c>
      <c r="H431" s="17">
        <f>SUM(H427:H430)</f>
      </c>
      <c r="I431" s="17">
        <f>SUM(I427:I430)</f>
      </c>
      <c r="J431" s="17">
        <f>SUM(J427:J430)</f>
      </c>
      <c r="K431" s="17">
        <f>SUM(K427:K430)</f>
      </c>
      <c r="L431" s="18">
        <f t="shared" si="1"/>
      </c>
      <c r="M431" s="18">
        <f t="shared" si="92"/>
      </c>
      <c r="N431" s="18">
        <f t="shared" ref="N431:N434" si="12">K431/F431</f>
      </c>
    </row>
    <row r="432">
      <c r="A432" s="7">
        <v>46084</v>
      </c>
      <c r="B432" s="8" t="s">
        <v>24</v>
      </c>
      <c r="C432" s="9" t="s">
        <v>17</v>
      </c>
      <c r="D432" s="8">
        <v>5</v>
      </c>
      <c r="E432" s="28">
        <v>68</v>
      </c>
      <c r="F432" s="8">
        <v>51</v>
      </c>
      <c r="G432" s="8">
        <v>36</v>
      </c>
      <c r="H432" s="8">
        <v>34</v>
      </c>
      <c r="I432" s="8">
        <v>5</v>
      </c>
      <c r="J432" s="10">
        <v>52782.20000000001</v>
      </c>
      <c r="K432" s="8">
        <v>29325.98</v>
      </c>
      <c r="L432" s="11">
        <f t="shared" si="1"/>
      </c>
      <c r="M432" s="11">
        <f t="shared" si="92"/>
      </c>
      <c r="N432" s="11">
        <f t="shared" si="12"/>
      </c>
    </row>
    <row r="433">
      <c r="A433" s="7">
        <v>46084</v>
      </c>
      <c r="B433" s="8" t="s">
        <v>22</v>
      </c>
      <c r="C433" s="9" t="s">
        <v>19</v>
      </c>
      <c r="D433" s="8">
        <v>5</v>
      </c>
      <c r="E433" s="8">
        <v>56</v>
      </c>
      <c r="F433" s="8">
        <v>49</v>
      </c>
      <c r="G433" s="8">
        <v>34</v>
      </c>
      <c r="H433" s="8">
        <v>38</v>
      </c>
      <c r="I433" s="8">
        <v>7</v>
      </c>
      <c r="J433" s="10">
        <v>46044</v>
      </c>
      <c r="K433" s="10">
        <v>19906.72</v>
      </c>
      <c r="L433" s="11">
        <f t="shared" si="1"/>
      </c>
      <c r="M433" s="11">
        <f t="shared" si="92"/>
      </c>
      <c r="N433" s="11">
        <f t="shared" si="12"/>
      </c>
    </row>
    <row r="434">
      <c r="A434" s="7">
        <v>46084</v>
      </c>
      <c r="B434" s="8" t="s">
        <v>20</v>
      </c>
      <c r="C434" s="9" t="s">
        <v>21</v>
      </c>
      <c r="D434" s="8">
        <v>5</v>
      </c>
      <c r="E434" s="8">
        <v>71</v>
      </c>
      <c r="F434" s="8">
        <v>57</v>
      </c>
      <c r="G434" s="8">
        <v>38</v>
      </c>
      <c r="H434" s="8">
        <v>42</v>
      </c>
      <c r="I434" s="8">
        <v>9</v>
      </c>
      <c r="J434" s="10">
        <v>50171.8</v>
      </c>
      <c r="K434" s="10">
        <v>21670.43</v>
      </c>
      <c r="L434" s="11">
        <f t="shared" si="1"/>
      </c>
      <c r="M434" s="11">
        <f t="shared" si="92"/>
      </c>
      <c r="N434" s="11">
        <f t="shared" si="12"/>
      </c>
    </row>
    <row r="435">
      <c r="A435" s="7">
        <v>46084</v>
      </c>
      <c r="B435" s="8" t="s">
        <v>16</v>
      </c>
      <c r="C435" s="9" t="s">
        <v>23</v>
      </c>
      <c r="D435" s="8">
        <v>5</v>
      </c>
      <c r="E435" s="8">
        <v>52</v>
      </c>
      <c r="F435" s="8">
        <v>38</v>
      </c>
      <c r="G435" s="8">
        <v>31</v>
      </c>
      <c r="H435" s="8">
        <v>27</v>
      </c>
      <c r="I435" s="8">
        <v>2</v>
      </c>
      <c r="J435" s="10">
        <v>29674</v>
      </c>
      <c r="K435" s="10">
        <v>25595.98</v>
      </c>
      <c r="L435" s="11">
        <f t="shared" si="1"/>
      </c>
      <c r="M435" s="11">
        <f t="shared" si="92"/>
      </c>
      <c r="N435" s="11">
        <f>K435/H435</f>
      </c>
    </row>
    <row r="436">
      <c r="A436" s="16">
        <v>46084</v>
      </c>
      <c r="B436" s="17"/>
      <c r="C436" s="17"/>
      <c r="D436" s="17">
        <f>SUM(D432:D435)</f>
      </c>
      <c r="E436" s="17">
        <f>SUM(E432:E435)</f>
      </c>
      <c r="F436" s="17">
        <f>SUM(F432:F435)</f>
      </c>
      <c r="G436" s="17">
        <f>SUM(G432:G435)</f>
      </c>
      <c r="H436" s="17">
        <f>SUM(H432:H435)</f>
      </c>
      <c r="I436" s="17">
        <f>SUM(I432:I435)</f>
      </c>
      <c r="J436" s="17">
        <f>SUM(J432:J435)</f>
      </c>
      <c r="K436" s="17">
        <f>SUM(K432:K435)</f>
      </c>
      <c r="L436" s="18">
        <f t="shared" si="1"/>
      </c>
      <c r="M436" s="18">
        <f t="shared" si="92"/>
      </c>
      <c r="N436" s="18">
        <f t="shared" ref="N436:N439" si="13">K436/F436</f>
      </c>
    </row>
    <row r="437">
      <c r="A437" s="7">
        <v>46085</v>
      </c>
      <c r="B437" s="8" t="s">
        <v>20</v>
      </c>
      <c r="C437" s="9" t="s">
        <v>17</v>
      </c>
      <c r="D437" s="8">
        <v>5</v>
      </c>
      <c r="E437" s="28">
        <v>64</v>
      </c>
      <c r="F437" s="8">
        <v>54</v>
      </c>
      <c r="G437" s="8">
        <v>41</v>
      </c>
      <c r="H437" s="8">
        <v>37</v>
      </c>
      <c r="I437" s="8">
        <v>5</v>
      </c>
      <c r="J437" s="10">
        <v>49167.60000000001</v>
      </c>
      <c r="K437" s="8">
        <v>25267.43</v>
      </c>
      <c r="L437" s="11">
        <f t="shared" si="1"/>
      </c>
      <c r="M437" s="11">
        <f t="shared" si="92"/>
      </c>
      <c r="N437" s="11">
        <f t="shared" si="13"/>
      </c>
    </row>
    <row r="438">
      <c r="A438" s="7">
        <v>46085</v>
      </c>
      <c r="B438" s="8" t="s">
        <v>16</v>
      </c>
      <c r="C438" s="9" t="s">
        <v>19</v>
      </c>
      <c r="D438" s="8">
        <v>5</v>
      </c>
      <c r="E438" s="8">
        <v>80</v>
      </c>
      <c r="F438" s="8">
        <v>69</v>
      </c>
      <c r="G438" s="8">
        <v>56</v>
      </c>
      <c r="H438" s="8">
        <v>47</v>
      </c>
      <c r="I438" s="8">
        <v>9</v>
      </c>
      <c r="J438" s="10">
        <v>60074.600000000006</v>
      </c>
      <c r="K438" s="10">
        <v>37972.43</v>
      </c>
      <c r="L438" s="11">
        <f t="shared" si="1"/>
      </c>
      <c r="M438" s="11">
        <f t="shared" si="92"/>
      </c>
      <c r="N438" s="11">
        <f t="shared" si="13"/>
      </c>
    </row>
    <row r="439">
      <c r="A439" s="7">
        <v>46085</v>
      </c>
      <c r="B439" s="8" t="s">
        <v>24</v>
      </c>
      <c r="C439" s="9" t="s">
        <v>21</v>
      </c>
      <c r="D439" s="8">
        <v>5</v>
      </c>
      <c r="E439" s="8">
        <v>39</v>
      </c>
      <c r="F439" s="8">
        <v>33</v>
      </c>
      <c r="G439" s="8">
        <v>28</v>
      </c>
      <c r="H439" s="8">
        <v>22</v>
      </c>
      <c r="I439" s="8">
        <v>1</v>
      </c>
      <c r="J439" s="10">
        <v>29684.600000000006</v>
      </c>
      <c r="K439" s="10">
        <v>24780.02</v>
      </c>
      <c r="L439" s="11">
        <f t="shared" si="1"/>
      </c>
      <c r="M439" s="11">
        <f t="shared" si="92"/>
      </c>
      <c r="N439" s="11">
        <f t="shared" si="13"/>
      </c>
    </row>
    <row r="440">
      <c r="A440" s="7">
        <v>46085</v>
      </c>
      <c r="B440" s="8" t="s">
        <v>22</v>
      </c>
      <c r="C440" s="9" t="s">
        <v>23</v>
      </c>
      <c r="D440" s="8">
        <v>5</v>
      </c>
      <c r="E440" s="8">
        <v>57</v>
      </c>
      <c r="F440" s="8">
        <v>50</v>
      </c>
      <c r="G440" s="8">
        <v>41</v>
      </c>
      <c r="H440" s="8">
        <v>35</v>
      </c>
      <c r="I440" s="8">
        <v>3</v>
      </c>
      <c r="J440" s="10">
        <v>42671.4</v>
      </c>
      <c r="K440" s="10">
        <v>23526.93</v>
      </c>
      <c r="L440" s="11">
        <f t="shared" si="1"/>
      </c>
      <c r="M440" s="11">
        <f t="shared" si="92"/>
      </c>
      <c r="N440" s="11">
        <f>K440/H440</f>
      </c>
    </row>
    <row r="441">
      <c r="A441" s="16">
        <v>46085</v>
      </c>
      <c r="B441" s="17"/>
      <c r="C441" s="17"/>
      <c r="D441" s="17">
        <f>SUM(D437:D440)</f>
      </c>
      <c r="E441" s="17">
        <f>SUM(E437:E440)</f>
      </c>
      <c r="F441" s="17">
        <f>SUM(F437:F440)</f>
      </c>
      <c r="G441" s="17">
        <f>SUM(G437:G440)</f>
      </c>
      <c r="H441" s="17">
        <f>SUM(H437:H440)</f>
      </c>
      <c r="I441" s="17">
        <f>SUM(I437:I440)</f>
      </c>
      <c r="J441" s="17">
        <f>SUM(J437:J440)</f>
      </c>
      <c r="K441" s="17">
        <f>SUM(K437:K440)</f>
      </c>
      <c r="L441" s="18">
        <f t="shared" si="1"/>
      </c>
      <c r="M441" s="18">
        <f t="shared" si="92"/>
      </c>
      <c r="N441" s="18">
        <f t="shared" ref="N441:N444" si="14">K441/F441</f>
      </c>
    </row>
    <row r="442">
      <c r="A442" s="7">
        <v>46086</v>
      </c>
      <c r="B442" s="8" t="s">
        <v>16</v>
      </c>
      <c r="C442" s="9" t="s">
        <v>17</v>
      </c>
      <c r="D442" s="8">
        <v>5</v>
      </c>
      <c r="E442" s="28">
        <v>37</v>
      </c>
      <c r="F442" s="8">
        <v>28</v>
      </c>
      <c r="G442" s="8">
        <v>20</v>
      </c>
      <c r="H442" s="8">
        <v>17</v>
      </c>
      <c r="I442" s="8">
        <v>2</v>
      </c>
      <c r="J442" s="10">
        <v>26367.199999999997</v>
      </c>
      <c r="K442" s="8">
        <v>19909.39</v>
      </c>
      <c r="L442" s="11">
        <f t="shared" si="1"/>
      </c>
      <c r="M442" s="11">
        <f t="shared" si="92"/>
      </c>
      <c r="N442" s="11">
        <f t="shared" si="14"/>
      </c>
    </row>
    <row r="443">
      <c r="A443" s="7">
        <v>46086</v>
      </c>
      <c r="B443" s="8" t="s">
        <v>20</v>
      </c>
      <c r="C443" s="9" t="s">
        <v>19</v>
      </c>
      <c r="D443" s="8">
        <v>5</v>
      </c>
      <c r="E443" s="8">
        <v>54</v>
      </c>
      <c r="F443" s="8">
        <v>43</v>
      </c>
      <c r="G443" s="8">
        <v>32</v>
      </c>
      <c r="H443" s="8">
        <v>27</v>
      </c>
      <c r="I443" s="8">
        <v>5</v>
      </c>
      <c r="J443" s="10">
        <v>33695.899999999994</v>
      </c>
      <c r="K443" s="10">
        <v>15893.64</v>
      </c>
      <c r="L443" s="11">
        <f t="shared" si="1"/>
      </c>
      <c r="M443" s="11">
        <f t="shared" si="92"/>
      </c>
      <c r="N443" s="11">
        <f t="shared" si="14"/>
      </c>
    </row>
    <row r="444">
      <c r="A444" s="7">
        <v>46086</v>
      </c>
      <c r="B444" s="8" t="s">
        <v>48</v>
      </c>
      <c r="C444" s="9" t="s">
        <v>21</v>
      </c>
      <c r="D444" s="8">
        <v>5</v>
      </c>
      <c r="E444" s="8">
        <v>27</v>
      </c>
      <c r="F444" s="8">
        <v>18</v>
      </c>
      <c r="G444" s="8">
        <v>10</v>
      </c>
      <c r="H444" s="8">
        <v>14</v>
      </c>
      <c r="I444" s="8">
        <v>3</v>
      </c>
      <c r="J444" s="10">
        <v>17497.199999999997</v>
      </c>
      <c r="K444" s="10">
        <v>13580.51</v>
      </c>
      <c r="L444" s="11">
        <f t="shared" si="1"/>
      </c>
      <c r="M444" s="11">
        <f t="shared" si="92"/>
      </c>
      <c r="N444" s="11">
        <f t="shared" si="14"/>
      </c>
    </row>
    <row r="445">
      <c r="A445" s="7">
        <v>46086</v>
      </c>
      <c r="B445" s="8" t="s">
        <v>22</v>
      </c>
      <c r="C445" s="9" t="s">
        <v>23</v>
      </c>
      <c r="D445" s="8">
        <v>5</v>
      </c>
      <c r="E445" s="8">
        <v>40</v>
      </c>
      <c r="F445" s="8">
        <v>30</v>
      </c>
      <c r="G445" s="8">
        <v>24</v>
      </c>
      <c r="H445" s="8">
        <v>20</v>
      </c>
      <c r="I445" s="8">
        <v>2</v>
      </c>
      <c r="J445" s="10">
        <v>24687.000000000007</v>
      </c>
      <c r="K445" s="10">
        <v>17751.38</v>
      </c>
      <c r="L445" s="11">
        <f t="shared" si="1"/>
      </c>
      <c r="M445" s="11">
        <f t="shared" si="92"/>
      </c>
      <c r="N445" s="11">
        <f>K445/H445</f>
      </c>
    </row>
    <row r="446">
      <c r="A446" s="16">
        <v>46086</v>
      </c>
      <c r="B446" s="17"/>
      <c r="C446" s="17"/>
      <c r="D446" s="17">
        <f>SUM(D442:D445)</f>
      </c>
      <c r="E446" s="17">
        <f>SUM(E442:E445)</f>
      </c>
      <c r="F446" s="17">
        <f>SUM(F442:F445)</f>
      </c>
      <c r="G446" s="17">
        <f>SUM(G442:G445)</f>
      </c>
      <c r="H446" s="17">
        <f>SUM(H442:H445)</f>
      </c>
      <c r="I446" s="17">
        <f>SUM(I442:I445)</f>
      </c>
      <c r="J446" s="17">
        <f>SUM(J442:J445)</f>
      </c>
      <c r="K446" s="17">
        <f>SUM(K442:K445)</f>
      </c>
      <c r="L446" s="18">
        <f t="shared" si="1"/>
      </c>
      <c r="M446" s="18">
        <f t="shared" si="92"/>
      </c>
      <c r="N446" s="18">
        <f t="shared" ref="N446:N449" si="15">K446/F446</f>
      </c>
    </row>
    <row r="447">
      <c r="A447" s="7">
        <v>46087</v>
      </c>
      <c r="B447" s="23" t="s">
        <v>20</v>
      </c>
      <c r="C447" s="9" t="s">
        <v>17</v>
      </c>
      <c r="D447" s="8">
        <v>5</v>
      </c>
      <c r="E447" s="28">
        <v>42</v>
      </c>
      <c r="F447" s="8">
        <v>33</v>
      </c>
      <c r="G447" s="8">
        <v>24</v>
      </c>
      <c r="H447" s="8">
        <v>18</v>
      </c>
      <c r="I447" s="8">
        <v>1</v>
      </c>
      <c r="J447" s="10">
        <v>32499.2</v>
      </c>
      <c r="K447" s="8">
        <v>19971.07</v>
      </c>
      <c r="L447" s="11">
        <f t="shared" si="1"/>
      </c>
      <c r="M447" s="11">
        <f t="shared" si="92"/>
      </c>
      <c r="N447" s="11">
        <f t="shared" si="15"/>
      </c>
    </row>
    <row r="448">
      <c r="A448" s="7">
        <v>46087</v>
      </c>
      <c r="B448" s="8" t="s">
        <v>16</v>
      </c>
      <c r="C448" s="9" t="s">
        <v>19</v>
      </c>
      <c r="D448" s="8">
        <v>5</v>
      </c>
      <c r="E448" s="8">
        <v>56</v>
      </c>
      <c r="F448" s="8">
        <v>44</v>
      </c>
      <c r="G448" s="8">
        <v>38</v>
      </c>
      <c r="H448" s="8">
        <v>33</v>
      </c>
      <c r="I448" s="8">
        <v>4</v>
      </c>
      <c r="J448" s="10">
        <v>40305.6</v>
      </c>
      <c r="K448" s="10">
        <v>24807.23</v>
      </c>
      <c r="L448" s="11">
        <f t="shared" si="1"/>
      </c>
      <c r="M448" s="11">
        <f t="shared" si="92"/>
      </c>
      <c r="N448" s="11">
        <f t="shared" si="15"/>
      </c>
    </row>
    <row r="449">
      <c r="A449" s="7">
        <v>46087</v>
      </c>
      <c r="B449" s="8" t="s">
        <v>48</v>
      </c>
      <c r="C449" s="9" t="s">
        <v>21</v>
      </c>
      <c r="D449" s="8">
        <v>5</v>
      </c>
      <c r="E449" s="8">
        <v>35</v>
      </c>
      <c r="F449" s="8">
        <v>29</v>
      </c>
      <c r="G449" s="8">
        <v>16</v>
      </c>
      <c r="H449" s="8">
        <v>22</v>
      </c>
      <c r="I449" s="8">
        <v>4</v>
      </c>
      <c r="J449" s="10">
        <v>22423.399999999998</v>
      </c>
      <c r="K449" s="10">
        <v>12463.92</v>
      </c>
      <c r="L449" s="11">
        <f t="shared" si="1"/>
      </c>
      <c r="M449" s="11">
        <f t="shared" si="92"/>
      </c>
      <c r="N449" s="11">
        <f t="shared" si="15"/>
      </c>
    </row>
    <row r="450">
      <c r="A450" s="7">
        <v>46087</v>
      </c>
      <c r="B450" s="8" t="s">
        <v>22</v>
      </c>
      <c r="C450" s="9" t="s">
        <v>23</v>
      </c>
      <c r="D450" s="8">
        <v>5</v>
      </c>
      <c r="E450" s="8">
        <v>42</v>
      </c>
      <c r="F450" s="8">
        <v>33</v>
      </c>
      <c r="G450" s="8">
        <v>23</v>
      </c>
      <c r="H450" s="8">
        <v>22</v>
      </c>
      <c r="I450" s="8">
        <v>2</v>
      </c>
      <c r="J450" s="10">
        <v>30051.200000000004</v>
      </c>
      <c r="K450" s="10">
        <v>12964.34</v>
      </c>
      <c r="L450" s="11">
        <f t="shared" si="1"/>
      </c>
      <c r="M450" s="11">
        <f t="shared" si="92"/>
      </c>
      <c r="N450" s="11">
        <f>K450/H450</f>
      </c>
    </row>
    <row r="451">
      <c r="A451" s="16">
        <v>46087</v>
      </c>
      <c r="B451" s="17"/>
      <c r="C451" s="17"/>
      <c r="D451" s="17">
        <f>SUM(D447:D450)</f>
      </c>
      <c r="E451" s="17">
        <f>SUM(E447:E450)</f>
      </c>
      <c r="F451" s="17">
        <f>SUM(F447:F450)</f>
      </c>
      <c r="G451" s="17">
        <f>SUM(G447:G450)</f>
      </c>
      <c r="H451" s="17">
        <f>SUM(H447:H450)</f>
      </c>
      <c r="I451" s="17">
        <f>SUM(I447:I450)</f>
      </c>
      <c r="J451" s="17">
        <f>SUM(J447:J450)</f>
      </c>
      <c r="K451" s="17">
        <f>SUM(K447:K450)</f>
      </c>
      <c r="L451" s="18">
        <f t="shared" si="1"/>
      </c>
      <c r="M451" s="18">
        <f t="shared" si="92"/>
      </c>
      <c r="N451" s="18">
        <f t="shared" ref="N451:N454" si="16">K451/F451</f>
      </c>
    </row>
    <row r="452">
      <c r="A452" s="7">
        <v>46088</v>
      </c>
      <c r="B452" s="23" t="s">
        <v>20</v>
      </c>
      <c r="C452" s="9" t="s">
        <v>17</v>
      </c>
      <c r="D452" s="8">
        <v>5</v>
      </c>
      <c r="E452" s="28">
        <v>113</v>
      </c>
      <c r="F452" s="8">
        <v>95</v>
      </c>
      <c r="G452" s="8">
        <v>71</v>
      </c>
      <c r="H452" s="8">
        <v>65</v>
      </c>
      <c r="I452" s="8">
        <v>8</v>
      </c>
      <c r="J452" s="10">
        <v>95080.10000000003</v>
      </c>
      <c r="K452" s="8">
        <v>42005.84</v>
      </c>
      <c r="L452" s="11">
        <f t="shared" si="1"/>
      </c>
      <c r="M452" s="11">
        <f t="shared" si="92"/>
      </c>
      <c r="N452" s="11">
        <f t="shared" si="16"/>
      </c>
    </row>
    <row r="453">
      <c r="A453" s="7">
        <v>46088</v>
      </c>
      <c r="B453" s="8" t="s">
        <v>16</v>
      </c>
      <c r="C453" s="9" t="s">
        <v>19</v>
      </c>
      <c r="D453" s="8">
        <v>5</v>
      </c>
      <c r="E453" s="8">
        <v>80</v>
      </c>
      <c r="F453" s="8">
        <v>65</v>
      </c>
      <c r="G453" s="8">
        <v>52</v>
      </c>
      <c r="H453" s="8">
        <v>42</v>
      </c>
      <c r="I453" s="8">
        <v>5</v>
      </c>
      <c r="J453" s="10">
        <v>53256.70000000001</v>
      </c>
      <c r="K453" s="10">
        <v>37311.92999999999</v>
      </c>
      <c r="L453" s="11">
        <f t="shared" si="1"/>
      </c>
      <c r="M453" s="11">
        <f t="shared" si="92"/>
      </c>
      <c r="N453" s="11">
        <f t="shared" si="16"/>
      </c>
    </row>
    <row r="454">
      <c r="A454" s="7">
        <v>46088</v>
      </c>
      <c r="B454" s="8" t="s">
        <v>24</v>
      </c>
      <c r="C454" s="9" t="s">
        <v>21</v>
      </c>
      <c r="D454" s="8">
        <v>5</v>
      </c>
      <c r="E454" s="8">
        <v>58</v>
      </c>
      <c r="F454" s="8">
        <v>45</v>
      </c>
      <c r="G454" s="8">
        <v>29</v>
      </c>
      <c r="H454" s="8">
        <v>29</v>
      </c>
      <c r="I454" s="8">
        <v>4</v>
      </c>
      <c r="J454" s="10">
        <v>43338.600000000006</v>
      </c>
      <c r="K454" s="10">
        <v>27504.809999999998</v>
      </c>
      <c r="L454" s="11">
        <f t="shared" si="1"/>
      </c>
      <c r="M454" s="11">
        <f t="shared" si="92"/>
      </c>
      <c r="N454" s="11">
        <f t="shared" si="16"/>
      </c>
    </row>
    <row r="455">
      <c r="A455" s="7">
        <v>46088</v>
      </c>
      <c r="B455" s="8" t="s">
        <v>22</v>
      </c>
      <c r="C455" s="9" t="s">
        <v>23</v>
      </c>
      <c r="D455" s="8">
        <v>5</v>
      </c>
      <c r="E455" s="8">
        <v>52</v>
      </c>
      <c r="F455" s="8">
        <v>42</v>
      </c>
      <c r="G455" s="8">
        <v>32</v>
      </c>
      <c r="H455" s="8">
        <v>31</v>
      </c>
      <c r="I455" s="8">
        <v>6</v>
      </c>
      <c r="J455" s="10">
        <v>36484</v>
      </c>
      <c r="K455" s="10">
        <v>21201.26</v>
      </c>
      <c r="L455" s="11">
        <f t="shared" si="1"/>
      </c>
      <c r="M455" s="11">
        <f t="shared" si="92"/>
      </c>
      <c r="N455" s="11">
        <f>K455/H455</f>
      </c>
    </row>
    <row r="456">
      <c r="A456" s="16">
        <v>46088</v>
      </c>
      <c r="B456" s="17"/>
      <c r="C456" s="17"/>
      <c r="D456" s="17">
        <f>SUM(D452:D455)</f>
      </c>
      <c r="E456" s="17">
        <f>SUM(E452:E455)</f>
      </c>
      <c r="F456" s="17">
        <f>SUM(F452:F455)</f>
      </c>
      <c r="G456" s="17">
        <f>SUM(G452:G455)</f>
      </c>
      <c r="H456" s="17">
        <f>SUM(H452:H455)</f>
      </c>
      <c r="I456" s="17">
        <f>SUM(I452:I455)</f>
      </c>
      <c r="J456" s="17">
        <f>SUM(J452:J455)</f>
      </c>
      <c r="K456" s="17">
        <f>SUM(K452:K455)</f>
      </c>
      <c r="L456" s="18">
        <f t="shared" si="1"/>
      </c>
      <c r="M456" s="18">
        <f t="shared" si="92"/>
      </c>
      <c r="N456" s="18">
        <f t="shared" ref="N456:N459" si="17">K456/F456</f>
      </c>
    </row>
    <row r="457">
      <c r="A457" s="7">
        <v>46089</v>
      </c>
      <c r="B457" s="23" t="s">
        <v>16</v>
      </c>
      <c r="C457" s="9" t="s">
        <v>17</v>
      </c>
      <c r="D457" s="8">
        <v>5</v>
      </c>
      <c r="E457" s="28">
        <v>57</v>
      </c>
      <c r="F457" s="8">
        <v>46</v>
      </c>
      <c r="G457" s="8">
        <v>38</v>
      </c>
      <c r="H457" s="8">
        <v>34</v>
      </c>
      <c r="I457" s="8">
        <v>2</v>
      </c>
      <c r="J457" s="10">
        <v>39176.00000000001</v>
      </c>
      <c r="K457" s="8">
        <v>26974.4</v>
      </c>
      <c r="L457" s="11">
        <f t="shared" si="1"/>
      </c>
      <c r="M457" s="11">
        <f t="shared" si="92"/>
      </c>
      <c r="N457" s="11">
        <f t="shared" si="17"/>
      </c>
    </row>
    <row r="458">
      <c r="A458" s="7">
        <v>46089</v>
      </c>
      <c r="B458" s="23" t="s">
        <v>20</v>
      </c>
      <c r="C458" s="9" t="s">
        <v>19</v>
      </c>
      <c r="D458" s="8">
        <v>5</v>
      </c>
      <c r="E458" s="8">
        <v>57</v>
      </c>
      <c r="F458" s="8">
        <v>45</v>
      </c>
      <c r="G458" s="8">
        <v>33</v>
      </c>
      <c r="H458" s="8">
        <v>26</v>
      </c>
      <c r="I458" s="8">
        <v>5</v>
      </c>
      <c r="J458" s="10">
        <v>44812</v>
      </c>
      <c r="K458" s="10">
        <v>22452.410000000003</v>
      </c>
      <c r="L458" s="11">
        <f t="shared" si="1"/>
      </c>
      <c r="M458" s="11">
        <f t="shared" si="92"/>
      </c>
      <c r="N458" s="11">
        <f t="shared" si="17"/>
      </c>
    </row>
    <row r="459">
      <c r="A459" s="7">
        <v>46089</v>
      </c>
      <c r="B459" s="8" t="s">
        <v>24</v>
      </c>
      <c r="C459" s="9" t="s">
        <v>21</v>
      </c>
      <c r="D459" s="8">
        <v>5</v>
      </c>
      <c r="E459" s="8">
        <v>31</v>
      </c>
      <c r="F459" s="8">
        <v>26</v>
      </c>
      <c r="G459" s="8">
        <v>18</v>
      </c>
      <c r="H459" s="8">
        <v>21</v>
      </c>
      <c r="I459" s="8">
        <v>4</v>
      </c>
      <c r="J459" s="10">
        <v>19580.760000000002</v>
      </c>
      <c r="K459" s="10">
        <v>17506.79</v>
      </c>
      <c r="L459" s="11">
        <f t="shared" si="1"/>
      </c>
      <c r="M459" s="11">
        <f t="shared" si="92"/>
      </c>
      <c r="N459" s="11">
        <f t="shared" si="17"/>
      </c>
    </row>
    <row r="460">
      <c r="A460" s="7">
        <v>46089</v>
      </c>
      <c r="B460" s="8" t="s">
        <v>48</v>
      </c>
      <c r="C460" s="9" t="s">
        <v>23</v>
      </c>
      <c r="D460" s="8">
        <v>5</v>
      </c>
      <c r="E460" s="8">
        <v>37</v>
      </c>
      <c r="F460" s="8">
        <v>28</v>
      </c>
      <c r="G460" s="8">
        <v>20</v>
      </c>
      <c r="H460" s="8">
        <v>21</v>
      </c>
      <c r="I460" s="8">
        <v>3</v>
      </c>
      <c r="J460" s="10">
        <v>33143.99999999999</v>
      </c>
      <c r="K460" s="10">
        <v>18118.33</v>
      </c>
      <c r="L460" s="11">
        <f t="shared" si="1"/>
      </c>
      <c r="M460" s="11">
        <f t="shared" si="92"/>
      </c>
      <c r="N460" s="11">
        <f>K460/H460</f>
      </c>
    </row>
    <row r="461">
      <c r="A461" s="16">
        <v>46089</v>
      </c>
      <c r="B461" s="17"/>
      <c r="C461" s="17"/>
      <c r="D461" s="17">
        <f>SUM(D457:D460)</f>
      </c>
      <c r="E461" s="17">
        <f>SUM(E457:E460)</f>
      </c>
      <c r="F461" s="17">
        <f>SUM(F457:F460)</f>
      </c>
      <c r="G461" s="17">
        <f>SUM(G457:G460)</f>
      </c>
      <c r="H461" s="17">
        <f>SUM(H457:H460)</f>
      </c>
      <c r="I461" s="17">
        <f>SUM(I457:I460)</f>
      </c>
      <c r="J461" s="17">
        <f>SUM(J457:J460)</f>
      </c>
      <c r="K461" s="17">
        <f>SUM(K457:K460)</f>
      </c>
      <c r="L461" s="18">
        <f t="shared" si="1"/>
      </c>
      <c r="M461" s="18">
        <f t="shared" si="92"/>
      </c>
      <c r="N461" s="18">
        <f t="shared" ref="N461:N464" si="18">K461/F461</f>
      </c>
    </row>
    <row r="462">
      <c r="A462" s="7">
        <v>46090</v>
      </c>
      <c r="B462" s="23" t="s">
        <v>20</v>
      </c>
      <c r="C462" s="9" t="s">
        <v>17</v>
      </c>
      <c r="D462" s="8">
        <v>5</v>
      </c>
      <c r="E462" s="28">
        <v>60</v>
      </c>
      <c r="F462" s="8">
        <v>47</v>
      </c>
      <c r="G462" s="8">
        <v>36</v>
      </c>
      <c r="H462" s="8">
        <v>31</v>
      </c>
      <c r="I462" s="8">
        <v>2</v>
      </c>
      <c r="J462" s="10">
        <v>39586</v>
      </c>
      <c r="K462" s="8">
        <v>21250.339999999997</v>
      </c>
      <c r="L462" s="11">
        <f t="shared" si="1"/>
      </c>
      <c r="M462" s="11">
        <f t="shared" si="92"/>
      </c>
      <c r="N462" s="11">
        <f t="shared" si="18"/>
      </c>
    </row>
    <row r="463">
      <c r="A463" s="7">
        <v>46090</v>
      </c>
      <c r="B463" s="8" t="s">
        <v>48</v>
      </c>
      <c r="C463" s="9" t="s">
        <v>19</v>
      </c>
      <c r="D463" s="8">
        <v>5</v>
      </c>
      <c r="E463" s="8">
        <v>49</v>
      </c>
      <c r="F463" s="8">
        <v>40</v>
      </c>
      <c r="G463" s="8">
        <v>32</v>
      </c>
      <c r="H463" s="8">
        <v>28</v>
      </c>
      <c r="I463" s="8">
        <v>3</v>
      </c>
      <c r="J463" s="10">
        <v>36127</v>
      </c>
      <c r="K463" s="10">
        <v>21175.35</v>
      </c>
      <c r="L463" s="11">
        <f t="shared" si="1"/>
      </c>
      <c r="M463" s="11">
        <f t="shared" si="92"/>
      </c>
      <c r="N463" s="11">
        <f t="shared" si="18"/>
      </c>
    </row>
    <row r="464">
      <c r="A464" s="7">
        <v>46090</v>
      </c>
      <c r="B464" s="8" t="s">
        <v>16</v>
      </c>
      <c r="C464" s="9" t="s">
        <v>21</v>
      </c>
      <c r="D464" s="8">
        <v>5</v>
      </c>
      <c r="E464" s="8">
        <v>58</v>
      </c>
      <c r="F464" s="8">
        <v>38</v>
      </c>
      <c r="G464" s="8">
        <v>27</v>
      </c>
      <c r="H464" s="8">
        <v>22</v>
      </c>
      <c r="I464" s="8">
        <v>5</v>
      </c>
      <c r="J464" s="10">
        <v>29886.200000000004</v>
      </c>
      <c r="K464" s="10">
        <v>21805.59</v>
      </c>
      <c r="L464" s="11">
        <f t="shared" si="1"/>
      </c>
      <c r="M464" s="11">
        <f t="shared" si="92"/>
      </c>
      <c r="N464" s="11">
        <f t="shared" si="18"/>
      </c>
    </row>
    <row r="465">
      <c r="A465" s="7">
        <v>46090</v>
      </c>
      <c r="B465" s="8" t="s">
        <v>24</v>
      </c>
      <c r="C465" s="9" t="s">
        <v>23</v>
      </c>
      <c r="D465" s="8">
        <v>5</v>
      </c>
      <c r="E465" s="8">
        <v>48</v>
      </c>
      <c r="F465" s="8">
        <v>34</v>
      </c>
      <c r="G465" s="8">
        <v>26</v>
      </c>
      <c r="H465" s="8">
        <v>27</v>
      </c>
      <c r="I465" s="8">
        <v>5</v>
      </c>
      <c r="J465" s="10">
        <v>26005.600000000006</v>
      </c>
      <c r="K465" s="10">
        <v>16105.279999999999</v>
      </c>
      <c r="L465" s="11">
        <f t="shared" si="1"/>
      </c>
      <c r="M465" s="11">
        <f t="shared" si="92"/>
      </c>
      <c r="N465" s="11">
        <f>K465/H465</f>
      </c>
    </row>
    <row r="466">
      <c r="A466" s="16">
        <v>46090</v>
      </c>
      <c r="B466" s="17"/>
      <c r="C466" s="17"/>
      <c r="D466" s="17">
        <f>SUM(D462:D465)</f>
      </c>
      <c r="E466" s="17">
        <f>SUM(E462:E465)</f>
      </c>
      <c r="F466" s="17">
        <f>SUM(F462:F465)</f>
      </c>
      <c r="G466" s="17">
        <f>SUM(G462:G465)</f>
      </c>
      <c r="H466" s="17">
        <f>SUM(H462:H465)</f>
      </c>
      <c r="I466" s="17">
        <f>SUM(I462:I465)</f>
      </c>
      <c r="J466" s="17">
        <f>SUM(J462:J465)</f>
      </c>
      <c r="K466" s="17">
        <f>SUM(K462:K465)</f>
      </c>
      <c r="L466" s="18">
        <f t="shared" si="1"/>
      </c>
      <c r="M466" s="18">
        <f t="shared" si="92"/>
      </c>
      <c r="N466" s="18">
        <f t="shared" ref="N466:N469" si="19">K466/F466</f>
      </c>
    </row>
    <row r="467">
      <c r="A467" s="7">
        <v>46091</v>
      </c>
      <c r="B467" s="8" t="s">
        <v>16</v>
      </c>
      <c r="C467" s="9" t="s">
        <v>34</v>
      </c>
      <c r="D467" s="8">
        <v>4</v>
      </c>
      <c r="E467" s="28">
        <v>29</v>
      </c>
      <c r="F467" s="8">
        <v>23</v>
      </c>
      <c r="G467" s="8">
        <v>14</v>
      </c>
      <c r="H467" s="8">
        <v>15</v>
      </c>
      <c r="I467" s="8">
        <v>4</v>
      </c>
      <c r="J467" s="10">
        <v>17433.6</v>
      </c>
      <c r="K467" s="8">
        <v>12179.97</v>
      </c>
      <c r="L467" s="11">
        <f t="shared" si="1"/>
      </c>
      <c r="M467" s="11">
        <f t="shared" si="92"/>
      </c>
      <c r="N467" s="11">
        <f t="shared" si="19"/>
      </c>
    </row>
    <row r="468">
      <c r="A468" s="7">
        <v>46091</v>
      </c>
      <c r="B468" s="8" t="s">
        <v>20</v>
      </c>
      <c r="C468" s="9" t="s">
        <v>54</v>
      </c>
      <c r="D468" s="8">
        <v>6</v>
      </c>
      <c r="E468" s="8">
        <v>77</v>
      </c>
      <c r="F468" s="8">
        <v>64</v>
      </c>
      <c r="G468" s="8">
        <v>49</v>
      </c>
      <c r="H468" s="8">
        <v>40</v>
      </c>
      <c r="I468" s="8">
        <v>8</v>
      </c>
      <c r="J468" s="10">
        <v>58910.40000000001</v>
      </c>
      <c r="K468" s="10">
        <v>24472.01</v>
      </c>
      <c r="L468" s="11">
        <f t="shared" si="1"/>
      </c>
      <c r="M468" s="11">
        <f t="shared" si="92"/>
      </c>
      <c r="N468" s="11">
        <f t="shared" si="19"/>
      </c>
    </row>
    <row r="469">
      <c r="A469" s="7">
        <v>46091</v>
      </c>
      <c r="B469" s="8" t="s">
        <v>24</v>
      </c>
      <c r="C469" s="9" t="s">
        <v>21</v>
      </c>
      <c r="D469" s="8">
        <v>5</v>
      </c>
      <c r="E469" s="8">
        <v>34</v>
      </c>
      <c r="F469" s="8">
        <v>27</v>
      </c>
      <c r="G469" s="8">
        <v>21</v>
      </c>
      <c r="H469" s="8">
        <v>16</v>
      </c>
      <c r="I469" s="8">
        <v>0</v>
      </c>
      <c r="J469" s="10">
        <v>24342.6</v>
      </c>
      <c r="K469" s="10">
        <v>20111.110000000004</v>
      </c>
      <c r="L469" s="11">
        <f t="shared" si="1"/>
      </c>
      <c r="M469" s="11">
        <f t="shared" si="92"/>
      </c>
      <c r="N469" s="11">
        <f t="shared" si="19"/>
      </c>
    </row>
    <row r="470">
      <c r="A470" s="7">
        <v>46091</v>
      </c>
      <c r="B470" s="8" t="s">
        <v>22</v>
      </c>
      <c r="C470" s="9" t="s">
        <v>23</v>
      </c>
      <c r="D470" s="8">
        <v>5</v>
      </c>
      <c r="E470" s="8">
        <v>41</v>
      </c>
      <c r="F470" s="8">
        <v>37</v>
      </c>
      <c r="G470" s="8">
        <v>27</v>
      </c>
      <c r="H470" s="8">
        <v>29</v>
      </c>
      <c r="I470" s="8">
        <v>3</v>
      </c>
      <c r="J470" s="10">
        <v>33058.40000000001</v>
      </c>
      <c r="K470" s="10">
        <v>18553.68</v>
      </c>
      <c r="L470" s="11">
        <f t="shared" si="1"/>
      </c>
      <c r="M470" s="11">
        <f t="shared" si="92"/>
      </c>
      <c r="N470" s="11">
        <f>K470/H470</f>
      </c>
    </row>
    <row r="471">
      <c r="A471" s="16">
        <v>46091</v>
      </c>
      <c r="B471" s="17"/>
      <c r="C471" s="17"/>
      <c r="D471" s="17">
        <f>SUM(D467:D470)</f>
      </c>
      <c r="E471" s="17">
        <f>SUM(E467:E470)</f>
      </c>
      <c r="F471" s="17">
        <f>SUM(F467:F470)</f>
      </c>
      <c r="G471" s="17">
        <f>SUM(G467:G470)</f>
      </c>
      <c r="H471" s="17">
        <f>SUM(H467:H470)</f>
      </c>
      <c r="I471" s="17">
        <f>SUM(I467:I470)</f>
      </c>
      <c r="J471" s="17">
        <f>SUM(J467:J470)</f>
      </c>
      <c r="K471" s="17">
        <f>SUM(K467:K470)</f>
      </c>
      <c r="L471" s="18">
        <f t="shared" si="1"/>
      </c>
      <c r="M471" s="18">
        <f t="shared" si="92"/>
      </c>
      <c r="N471" s="18">
        <f t="shared" ref="N471:N474" si="20">K471/F471</f>
      </c>
    </row>
    <row r="472">
      <c r="A472" s="7">
        <v>46092</v>
      </c>
      <c r="B472" s="8" t="s">
        <v>16</v>
      </c>
      <c r="C472" s="9" t="s">
        <v>17</v>
      </c>
      <c r="D472" s="8">
        <v>5</v>
      </c>
      <c r="E472" s="28">
        <v>70</v>
      </c>
      <c r="F472" s="8">
        <v>58</v>
      </c>
      <c r="G472" s="8">
        <v>45</v>
      </c>
      <c r="H472" s="8">
        <v>43</v>
      </c>
      <c r="I472" s="8">
        <v>6</v>
      </c>
      <c r="J472" s="10">
        <v>53742.400000000016</v>
      </c>
      <c r="K472" s="8">
        <v>33882.479999999996</v>
      </c>
      <c r="L472" s="11">
        <f t="shared" si="1"/>
      </c>
      <c r="M472" s="11">
        <f t="shared" si="92"/>
      </c>
      <c r="N472" s="11">
        <f t="shared" si="20"/>
      </c>
    </row>
    <row r="473">
      <c r="A473" s="7">
        <v>46092</v>
      </c>
      <c r="B473" s="8" t="s">
        <v>20</v>
      </c>
      <c r="C473" s="9" t="s">
        <v>19</v>
      </c>
      <c r="D473" s="8">
        <v>5</v>
      </c>
      <c r="E473" s="8">
        <v>65</v>
      </c>
      <c r="F473" s="8">
        <v>55</v>
      </c>
      <c r="G473" s="8">
        <v>38</v>
      </c>
      <c r="H473" s="8">
        <v>34</v>
      </c>
      <c r="I473" s="8">
        <v>6</v>
      </c>
      <c r="J473" s="10">
        <v>50366.799999999996</v>
      </c>
      <c r="K473" s="10">
        <v>27871.11</v>
      </c>
      <c r="L473" s="11">
        <f t="shared" si="1"/>
      </c>
      <c r="M473" s="11">
        <f t="shared" si="92"/>
      </c>
      <c r="N473" s="11">
        <f t="shared" si="20"/>
      </c>
    </row>
    <row r="474">
      <c r="A474" s="7">
        <v>46092</v>
      </c>
      <c r="B474" s="8" t="s">
        <v>48</v>
      </c>
      <c r="C474" s="9" t="s">
        <v>21</v>
      </c>
      <c r="D474" s="8">
        <v>5</v>
      </c>
      <c r="E474" s="8">
        <v>47</v>
      </c>
      <c r="F474" s="8">
        <v>36</v>
      </c>
      <c r="G474" s="8">
        <v>31</v>
      </c>
      <c r="H474" s="8">
        <v>27</v>
      </c>
      <c r="I474" s="8">
        <v>3</v>
      </c>
      <c r="J474" s="10">
        <v>33107</v>
      </c>
      <c r="K474" s="10">
        <v>24507.809999999998</v>
      </c>
      <c r="L474" s="11">
        <f t="shared" si="1"/>
      </c>
      <c r="M474" s="11">
        <f t="shared" si="92"/>
      </c>
      <c r="N474" s="11">
        <f t="shared" si="20"/>
      </c>
    </row>
    <row r="475">
      <c r="A475" s="7">
        <v>46092</v>
      </c>
      <c r="B475" s="8" t="s">
        <v>22</v>
      </c>
      <c r="C475" s="9" t="s">
        <v>23</v>
      </c>
      <c r="D475" s="8">
        <v>5</v>
      </c>
      <c r="E475" s="8">
        <v>69</v>
      </c>
      <c r="F475" s="8">
        <v>57</v>
      </c>
      <c r="G475" s="8">
        <v>40</v>
      </c>
      <c r="H475" s="8">
        <v>38</v>
      </c>
      <c r="I475" s="8">
        <v>2</v>
      </c>
      <c r="J475" s="10">
        <v>53912.80000000002</v>
      </c>
      <c r="K475" s="10">
        <v>28219.640000000003</v>
      </c>
      <c r="L475" s="11">
        <f t="shared" si="1"/>
      </c>
      <c r="M475" s="11">
        <f t="shared" si="92"/>
      </c>
      <c r="N475" s="11">
        <f>K475/H475</f>
      </c>
    </row>
    <row r="476">
      <c r="A476" s="16">
        <v>46092</v>
      </c>
      <c r="B476" s="17"/>
      <c r="C476" s="17"/>
      <c r="D476" s="17">
        <f>SUM(D472:D475)</f>
      </c>
      <c r="E476" s="17">
        <f>SUM(E472:E475)</f>
      </c>
      <c r="F476" s="17">
        <f>SUM(F472:F475)</f>
      </c>
      <c r="G476" s="17">
        <f>SUM(G472:G475)</f>
      </c>
      <c r="H476" s="17">
        <f>SUM(H472:H475)</f>
      </c>
      <c r="I476" s="17">
        <f>SUM(I472:I475)</f>
      </c>
      <c r="J476" s="17">
        <f>SUM(J472:J475)</f>
      </c>
      <c r="K476" s="17">
        <f>SUM(K472:K475)</f>
      </c>
      <c r="L476" s="18">
        <f t="shared" si="1"/>
      </c>
      <c r="M476" s="18">
        <f t="shared" si="92"/>
      </c>
      <c r="N476" s="18">
        <f t="shared" ref="N476:N479" si="21">K476/F476</f>
      </c>
    </row>
    <row r="477">
      <c r="A477" s="7">
        <v>46093</v>
      </c>
      <c r="B477" s="8" t="s">
        <v>20</v>
      </c>
      <c r="C477" s="9" t="s">
        <v>17</v>
      </c>
      <c r="D477" s="8">
        <v>5</v>
      </c>
      <c r="E477" s="28">
        <v>39</v>
      </c>
      <c r="F477" s="8">
        <v>28</v>
      </c>
      <c r="G477" s="8">
        <v>24</v>
      </c>
      <c r="H477" s="8">
        <v>12</v>
      </c>
      <c r="I477" s="8">
        <v>16</v>
      </c>
      <c r="J477" s="10">
        <v>21162.4</v>
      </c>
      <c r="K477" s="8">
        <v>20930.68</v>
      </c>
      <c r="L477" s="11">
        <f t="shared" si="1"/>
      </c>
      <c r="M477" s="11">
        <f t="shared" si="92"/>
      </c>
      <c r="N477" s="11">
        <f t="shared" si="21"/>
      </c>
    </row>
    <row r="478">
      <c r="A478" s="7">
        <v>46093</v>
      </c>
      <c r="B478" s="8" t="s">
        <v>48</v>
      </c>
      <c r="C478" s="9" t="s">
        <v>19</v>
      </c>
      <c r="D478" s="8">
        <v>5</v>
      </c>
      <c r="E478" s="8">
        <v>43</v>
      </c>
      <c r="F478" s="8">
        <v>32</v>
      </c>
      <c r="G478" s="8">
        <v>30</v>
      </c>
      <c r="H478" s="8">
        <v>19</v>
      </c>
      <c r="I478" s="8">
        <v>2</v>
      </c>
      <c r="J478" s="10">
        <v>30239.599999999995</v>
      </c>
      <c r="K478" s="10">
        <v>19932.18</v>
      </c>
      <c r="L478" s="11">
        <f t="shared" si="1"/>
      </c>
      <c r="M478" s="11">
        <f t="shared" si="92"/>
      </c>
      <c r="N478" s="11">
        <f t="shared" si="21"/>
      </c>
    </row>
    <row r="479">
      <c r="A479" s="7">
        <v>46093</v>
      </c>
      <c r="B479" s="8" t="s">
        <v>16</v>
      </c>
      <c r="C479" s="9" t="s">
        <v>21</v>
      </c>
      <c r="D479" s="8">
        <v>5</v>
      </c>
      <c r="E479" s="8">
        <v>77</v>
      </c>
      <c r="F479" s="8">
        <v>53</v>
      </c>
      <c r="G479" s="8">
        <v>42</v>
      </c>
      <c r="H479" s="8">
        <v>34</v>
      </c>
      <c r="I479" s="8">
        <v>5</v>
      </c>
      <c r="J479" s="10">
        <v>59156.80000000002</v>
      </c>
      <c r="K479" s="10">
        <v>33909.92</v>
      </c>
      <c r="L479" s="11">
        <f t="shared" si="1"/>
      </c>
      <c r="M479" s="11">
        <f t="shared" si="92"/>
      </c>
      <c r="N479" s="11">
        <f t="shared" si="21"/>
      </c>
    </row>
    <row r="480">
      <c r="A480" s="7">
        <v>46093</v>
      </c>
      <c r="B480" s="8" t="s">
        <v>22</v>
      </c>
      <c r="C480" s="9" t="s">
        <v>23</v>
      </c>
      <c r="D480" s="8">
        <v>5</v>
      </c>
      <c r="E480" s="8">
        <v>74</v>
      </c>
      <c r="F480" s="8">
        <v>53</v>
      </c>
      <c r="G480" s="8">
        <v>46</v>
      </c>
      <c r="H480" s="8">
        <v>25</v>
      </c>
      <c r="I480" s="8">
        <v>3</v>
      </c>
      <c r="J480" s="10">
        <v>55160.1</v>
      </c>
      <c r="K480" s="10">
        <v>34270.44</v>
      </c>
      <c r="L480" s="11">
        <f t="shared" si="1"/>
      </c>
      <c r="M480" s="11">
        <f t="shared" si="92"/>
      </c>
      <c r="N480" s="11">
        <f>K480/H480</f>
      </c>
    </row>
    <row r="481">
      <c r="A481" s="16">
        <v>46093</v>
      </c>
      <c r="B481" s="17"/>
      <c r="C481" s="17"/>
      <c r="D481" s="17">
        <f>SUM(D477:D480)</f>
      </c>
      <c r="E481" s="17">
        <f>SUM(E477:E480)</f>
      </c>
      <c r="F481" s="17">
        <f>SUM(F477:F480)</f>
      </c>
      <c r="G481" s="17">
        <f>SUM(G477:G480)</f>
      </c>
      <c r="H481" s="17">
        <f>SUM(H477:H480)</f>
      </c>
      <c r="I481" s="17">
        <f>SUM(I477:I480)</f>
      </c>
      <c r="J481" s="17">
        <f>SUM(J477:J480)</f>
      </c>
      <c r="K481" s="17">
        <f>SUM(K477:K480)</f>
      </c>
      <c r="L481" s="18">
        <f t="shared" si="1"/>
      </c>
      <c r="M481" s="18">
        <f t="shared" si="92"/>
      </c>
      <c r="N481" s="18">
        <f t="shared" ref="N481:N484" si="22">K481/F481</f>
      </c>
    </row>
    <row r="482">
      <c r="A482" s="7">
        <v>46094</v>
      </c>
      <c r="B482" s="8" t="s">
        <v>48</v>
      </c>
      <c r="C482" s="9" t="s">
        <v>17</v>
      </c>
      <c r="D482" s="8">
        <v>5</v>
      </c>
      <c r="E482" s="28">
        <v>38</v>
      </c>
      <c r="F482" s="8">
        <v>30</v>
      </c>
      <c r="G482" s="8">
        <v>25</v>
      </c>
      <c r="H482" s="8">
        <v>20</v>
      </c>
      <c r="I482" s="8">
        <v>0</v>
      </c>
      <c r="J482" s="10">
        <v>28024.6</v>
      </c>
      <c r="K482" s="8">
        <v>22467.06</v>
      </c>
      <c r="L482" s="11">
        <f t="shared" si="1"/>
      </c>
      <c r="M482" s="11">
        <f t="shared" si="92"/>
      </c>
      <c r="N482" s="11">
        <f t="shared" si="22"/>
      </c>
    </row>
    <row r="483">
      <c r="A483" s="7">
        <v>46094</v>
      </c>
      <c r="B483" s="8" t="s">
        <v>22</v>
      </c>
      <c r="C483" s="9" t="s">
        <v>19</v>
      </c>
      <c r="D483" s="8">
        <v>5</v>
      </c>
      <c r="E483" s="8">
        <v>54</v>
      </c>
      <c r="F483" s="8">
        <v>44</v>
      </c>
      <c r="G483" s="8">
        <v>32</v>
      </c>
      <c r="H483" s="8">
        <v>34</v>
      </c>
      <c r="I483" s="8">
        <v>3</v>
      </c>
      <c r="J483" s="10">
        <v>38580.8</v>
      </c>
      <c r="K483" s="10">
        <v>20201.61</v>
      </c>
      <c r="L483" s="11">
        <f t="shared" si="1"/>
      </c>
      <c r="M483" s="11">
        <f t="shared" si="92"/>
      </c>
      <c r="N483" s="11">
        <f t="shared" si="22"/>
      </c>
    </row>
    <row r="484">
      <c r="A484" s="7">
        <v>46094</v>
      </c>
      <c r="B484" s="8" t="s">
        <v>24</v>
      </c>
      <c r="C484" s="9" t="s">
        <v>21</v>
      </c>
      <c r="D484" s="8">
        <v>5</v>
      </c>
      <c r="E484" s="8">
        <v>38</v>
      </c>
      <c r="F484" s="8">
        <v>30</v>
      </c>
      <c r="G484" s="8">
        <v>24</v>
      </c>
      <c r="H484" s="8">
        <v>18</v>
      </c>
      <c r="I484" s="8">
        <v>4</v>
      </c>
      <c r="J484" s="10">
        <v>28476.199999999997</v>
      </c>
      <c r="K484" s="10">
        <v>19777.309999999998</v>
      </c>
      <c r="L484" s="11">
        <f t="shared" si="1"/>
      </c>
      <c r="M484" s="11">
        <f t="shared" si="92"/>
      </c>
      <c r="N484" s="11">
        <f t="shared" si="22"/>
      </c>
    </row>
    <row r="485">
      <c r="A485" s="7">
        <v>46094</v>
      </c>
      <c r="B485" s="8" t="s">
        <v>16</v>
      </c>
      <c r="C485" s="9" t="s">
        <v>23</v>
      </c>
      <c r="D485" s="8">
        <v>5</v>
      </c>
      <c r="E485" s="8">
        <v>46</v>
      </c>
      <c r="F485" s="8">
        <v>38</v>
      </c>
      <c r="G485" s="8">
        <v>32</v>
      </c>
      <c r="H485" s="8">
        <v>23</v>
      </c>
      <c r="I485" s="8">
        <v>4</v>
      </c>
      <c r="J485" s="10">
        <v>33703.6</v>
      </c>
      <c r="K485" s="10">
        <v>22094.86</v>
      </c>
      <c r="L485" s="11">
        <f t="shared" si="1"/>
      </c>
      <c r="M485" s="11">
        <f t="shared" si="92"/>
      </c>
      <c r="N485" s="11">
        <f>K485/H485</f>
      </c>
    </row>
    <row r="486">
      <c r="A486" s="16">
        <v>46094</v>
      </c>
      <c r="B486" s="17"/>
      <c r="C486" s="17"/>
      <c r="D486" s="17">
        <f>SUM(D482:D485)</f>
      </c>
      <c r="E486" s="17">
        <f>SUM(E482:E485)</f>
      </c>
      <c r="F486" s="17">
        <f>SUM(F482:F485)</f>
      </c>
      <c r="G486" s="17">
        <f>SUM(G482:G485)</f>
      </c>
      <c r="H486" s="17">
        <f>SUM(H482:H485)</f>
      </c>
      <c r="I486" s="17">
        <f>SUM(I482:I485)</f>
      </c>
      <c r="J486" s="17">
        <f>SUM(J482:J485)</f>
      </c>
      <c r="K486" s="17">
        <f>SUM(K482:K485)</f>
      </c>
      <c r="L486" s="18">
        <f t="shared" si="1"/>
      </c>
      <c r="M486" s="18">
        <f t="shared" si="92"/>
      </c>
      <c r="N486" s="18">
        <f t="shared" ref="N486:N489" si="23">K486/F486</f>
      </c>
    </row>
    <row r="487">
      <c r="A487" s="7">
        <v>46095</v>
      </c>
      <c r="B487" s="8" t="s">
        <v>20</v>
      </c>
      <c r="C487" s="9" t="s">
        <v>17</v>
      </c>
      <c r="D487" s="8">
        <v>5</v>
      </c>
      <c r="E487" s="28">
        <v>72</v>
      </c>
      <c r="F487" s="8">
        <v>60</v>
      </c>
      <c r="G487" s="8">
        <v>44</v>
      </c>
      <c r="H487" s="8">
        <v>43</v>
      </c>
      <c r="I487" s="8">
        <v>7</v>
      </c>
      <c r="J487" s="10">
        <v>51564.70000000001</v>
      </c>
      <c r="K487" s="8">
        <v>28600.3</v>
      </c>
      <c r="L487" s="11">
        <f t="shared" si="1"/>
      </c>
      <c r="M487" s="11">
        <f t="shared" si="92"/>
      </c>
      <c r="N487" s="11">
        <f t="shared" si="23"/>
      </c>
    </row>
    <row r="488">
      <c r="A488" s="7">
        <v>46095</v>
      </c>
      <c r="B488" s="8" t="s">
        <v>48</v>
      </c>
      <c r="C488" s="9" t="s">
        <v>19</v>
      </c>
      <c r="D488" s="8">
        <v>5</v>
      </c>
      <c r="E488" s="8">
        <v>55</v>
      </c>
      <c r="F488" s="8">
        <v>43</v>
      </c>
      <c r="G488" s="8">
        <v>34</v>
      </c>
      <c r="H488" s="8">
        <v>32</v>
      </c>
      <c r="I488" s="8">
        <v>5</v>
      </c>
      <c r="J488" s="10">
        <v>41959.20000000001</v>
      </c>
      <c r="K488" s="10">
        <v>25629.710000000006</v>
      </c>
      <c r="L488" s="11">
        <f t="shared" si="1"/>
      </c>
      <c r="M488" s="11">
        <f t="shared" si="92"/>
      </c>
      <c r="N488" s="11">
        <f t="shared" si="23"/>
      </c>
    </row>
    <row r="489">
      <c r="A489" s="7">
        <v>46095</v>
      </c>
      <c r="B489" s="8" t="s">
        <v>24</v>
      </c>
      <c r="C489" s="9" t="s">
        <v>21</v>
      </c>
      <c r="D489" s="8">
        <v>5</v>
      </c>
      <c r="E489" s="8">
        <v>40</v>
      </c>
      <c r="F489" s="8">
        <v>23</v>
      </c>
      <c r="G489" s="8">
        <v>15</v>
      </c>
      <c r="H489" s="8">
        <v>14</v>
      </c>
      <c r="I489" s="8">
        <v>2</v>
      </c>
      <c r="J489" s="10">
        <v>22239.9</v>
      </c>
      <c r="K489" s="10">
        <v>17818.61</v>
      </c>
      <c r="L489" s="11">
        <f t="shared" si="1"/>
      </c>
      <c r="M489" s="11">
        <f t="shared" si="92"/>
      </c>
      <c r="N489" s="11">
        <f t="shared" si="23"/>
      </c>
    </row>
    <row r="490">
      <c r="A490" s="7">
        <v>46095</v>
      </c>
      <c r="B490" s="8" t="s">
        <v>22</v>
      </c>
      <c r="C490" s="9" t="s">
        <v>23</v>
      </c>
      <c r="D490" s="8">
        <v>5</v>
      </c>
      <c r="E490" s="8">
        <v>35</v>
      </c>
      <c r="F490" s="8">
        <v>24</v>
      </c>
      <c r="G490" s="8">
        <v>14</v>
      </c>
      <c r="H490" s="8">
        <v>15</v>
      </c>
      <c r="I490" s="8">
        <v>2</v>
      </c>
      <c r="J490" s="10">
        <v>19674.399999999994</v>
      </c>
      <c r="K490" s="10">
        <v>14441.82</v>
      </c>
      <c r="L490" s="11">
        <f t="shared" si="1"/>
      </c>
      <c r="M490" s="11">
        <f t="shared" si="92"/>
      </c>
      <c r="N490" s="11">
        <f>K490/H490</f>
      </c>
    </row>
    <row r="491">
      <c r="A491" s="16">
        <v>46095</v>
      </c>
      <c r="B491" s="17"/>
      <c r="C491" s="17"/>
      <c r="D491" s="17">
        <f>SUM(D487:D490)</f>
      </c>
      <c r="E491" s="17">
        <f>SUM(E487:E490)</f>
      </c>
      <c r="F491" s="17">
        <f>SUM(F487:F490)</f>
      </c>
      <c r="G491" s="17">
        <f>SUM(G487:G490)</f>
      </c>
      <c r="H491" s="17">
        <f>SUM(H487:H490)</f>
      </c>
      <c r="I491" s="17">
        <f>SUM(I487:I490)</f>
      </c>
      <c r="J491" s="17">
        <f>SUM(J487:J490)</f>
      </c>
      <c r="K491" s="17">
        <f>SUM(K487:K490)</f>
      </c>
      <c r="L491" s="18">
        <f t="shared" si="1"/>
      </c>
      <c r="M491" s="18">
        <f t="shared" si="92"/>
      </c>
      <c r="N491" s="18">
        <f t="shared" ref="N491:N494" si="24">K491/F491</f>
      </c>
    </row>
    <row r="492">
      <c r="A492" s="7">
        <v>46096</v>
      </c>
      <c r="B492" s="8" t="s">
        <v>16</v>
      </c>
      <c r="C492" s="9" t="s">
        <v>17</v>
      </c>
      <c r="D492" s="8">
        <v>5</v>
      </c>
      <c r="E492" s="28">
        <v>66</v>
      </c>
      <c r="F492" s="8">
        <v>59</v>
      </c>
      <c r="G492" s="8">
        <v>34</v>
      </c>
      <c r="H492" s="8">
        <v>47</v>
      </c>
      <c r="I492" s="8">
        <v>8</v>
      </c>
      <c r="J492" s="10">
        <v>53481.70000000001</v>
      </c>
      <c r="K492" s="8">
        <v>23816.910000000003</v>
      </c>
      <c r="L492" s="11">
        <f t="shared" si="1"/>
      </c>
      <c r="M492" s="11">
        <f t="shared" si="92"/>
      </c>
      <c r="N492" s="11">
        <f t="shared" si="24"/>
      </c>
    </row>
    <row r="493">
      <c r="A493" s="7">
        <v>46096</v>
      </c>
      <c r="B493" s="8" t="s">
        <v>20</v>
      </c>
      <c r="C493" s="9" t="s">
        <v>19</v>
      </c>
      <c r="D493" s="8">
        <v>5</v>
      </c>
      <c r="E493" s="8">
        <v>56</v>
      </c>
      <c r="F493" s="8">
        <v>44</v>
      </c>
      <c r="G493" s="8">
        <v>34</v>
      </c>
      <c r="H493" s="8">
        <v>27</v>
      </c>
      <c r="I493" s="8">
        <v>5</v>
      </c>
      <c r="J493" s="10">
        <v>57368.4</v>
      </c>
      <c r="K493" s="10">
        <v>22245.460000000003</v>
      </c>
      <c r="L493" s="11">
        <f t="shared" si="1"/>
      </c>
      <c r="M493" s="11">
        <f t="shared" si="92"/>
      </c>
      <c r="N493" s="11">
        <f t="shared" si="24"/>
      </c>
    </row>
    <row r="494">
      <c r="A494" s="7">
        <v>46096</v>
      </c>
      <c r="B494" s="8" t="s">
        <v>48</v>
      </c>
      <c r="C494" s="9" t="s">
        <v>21</v>
      </c>
      <c r="D494" s="8">
        <v>5</v>
      </c>
      <c r="E494" s="8">
        <v>26</v>
      </c>
      <c r="F494" s="8">
        <v>19</v>
      </c>
      <c r="G494" s="8">
        <v>13</v>
      </c>
      <c r="H494" s="8">
        <v>17</v>
      </c>
      <c r="I494" s="8">
        <v>3</v>
      </c>
      <c r="J494" s="10">
        <v>16891.4</v>
      </c>
      <c r="K494" s="10">
        <v>14527.05</v>
      </c>
      <c r="L494" s="11">
        <f t="shared" si="1"/>
      </c>
      <c r="M494" s="11">
        <f t="shared" si="92"/>
      </c>
      <c r="N494" s="11">
        <f t="shared" si="24"/>
      </c>
    </row>
    <row r="495">
      <c r="A495" s="7">
        <v>46096</v>
      </c>
      <c r="B495" s="8" t="s">
        <v>22</v>
      </c>
      <c r="C495" s="9" t="s">
        <v>23</v>
      </c>
      <c r="D495" s="8">
        <v>5</v>
      </c>
      <c r="E495" s="8">
        <v>55</v>
      </c>
      <c r="F495" s="8">
        <v>39</v>
      </c>
      <c r="G495" s="8">
        <v>33</v>
      </c>
      <c r="H495" s="8">
        <v>21</v>
      </c>
      <c r="I495" s="8">
        <v>2</v>
      </c>
      <c r="J495" s="10">
        <v>40304.19999999999</v>
      </c>
      <c r="K495" s="10">
        <v>22591.87</v>
      </c>
      <c r="L495" s="11">
        <f t="shared" si="1"/>
      </c>
      <c r="M495" s="11">
        <f t="shared" si="92"/>
      </c>
      <c r="N495" s="11">
        <f>K495/H495</f>
      </c>
    </row>
    <row r="496">
      <c r="A496" s="16">
        <v>46096</v>
      </c>
      <c r="B496" s="17"/>
      <c r="C496" s="17"/>
      <c r="D496" s="17">
        <f>SUM(D492:D495)</f>
      </c>
      <c r="E496" s="17">
        <f>SUM(E492:E495)</f>
      </c>
      <c r="F496" s="17">
        <f>SUM(F492:F495)</f>
      </c>
      <c r="G496" s="17">
        <f>SUM(G492:G495)</f>
      </c>
      <c r="H496" s="17">
        <f>SUM(H492:H495)</f>
      </c>
      <c r="I496" s="17">
        <f>SUM(I492:I495)</f>
      </c>
      <c r="J496" s="17">
        <f>SUM(J492:J495)</f>
      </c>
      <c r="K496" s="17">
        <f>SUM(K492:K495)</f>
      </c>
      <c r="L496" s="18">
        <f t="shared" si="1"/>
      </c>
      <c r="M496" s="18">
        <f t="shared" si="92"/>
      </c>
      <c r="N496" s="18">
        <f t="shared" ref="N496:N499" si="25">K496/F496</f>
      </c>
    </row>
    <row r="497">
      <c r="A497" s="7">
        <v>46097</v>
      </c>
      <c r="B497" s="8" t="s">
        <v>16</v>
      </c>
      <c r="C497" s="9" t="s">
        <v>17</v>
      </c>
      <c r="D497" s="8">
        <v>5</v>
      </c>
      <c r="E497" s="28">
        <v>98</v>
      </c>
      <c r="F497" s="8">
        <v>80</v>
      </c>
      <c r="G497" s="8">
        <v>58</v>
      </c>
      <c r="H497" s="8">
        <v>58</v>
      </c>
      <c r="I497" s="8">
        <v>12</v>
      </c>
      <c r="J497" s="10">
        <v>66812.6</v>
      </c>
      <c r="K497" s="8">
        <v>33804.11</v>
      </c>
      <c r="L497" s="11">
        <f t="shared" si="1"/>
      </c>
      <c r="M497" s="11">
        <f t="shared" si="92"/>
      </c>
      <c r="N497" s="11">
        <f t="shared" si="25"/>
      </c>
    </row>
    <row r="498">
      <c r="A498" s="7">
        <v>46097</v>
      </c>
      <c r="B498" s="8" t="s">
        <v>20</v>
      </c>
      <c r="C498" s="9" t="s">
        <v>19</v>
      </c>
      <c r="D498" s="8">
        <v>5</v>
      </c>
      <c r="E498" s="8">
        <v>97</v>
      </c>
      <c r="F498" s="8">
        <v>75</v>
      </c>
      <c r="G498" s="8">
        <v>65</v>
      </c>
      <c r="H498" s="8">
        <v>51</v>
      </c>
      <c r="I498" s="8">
        <v>7</v>
      </c>
      <c r="J498" s="10">
        <v>88347.20000000003</v>
      </c>
      <c r="K498" s="10">
        <v>36940.7</v>
      </c>
      <c r="L498" s="11">
        <f t="shared" si="1"/>
      </c>
      <c r="M498" s="11">
        <f t="shared" si="92"/>
      </c>
      <c r="N498" s="11">
        <f t="shared" si="25"/>
      </c>
    </row>
    <row r="499">
      <c r="A499" s="7">
        <v>46097</v>
      </c>
      <c r="B499" s="8" t="s">
        <v>48</v>
      </c>
      <c r="C499" s="9" t="s">
        <v>21</v>
      </c>
      <c r="D499" s="8">
        <v>5</v>
      </c>
      <c r="E499" s="8">
        <v>72</v>
      </c>
      <c r="F499" s="8">
        <v>58</v>
      </c>
      <c r="G499" s="8">
        <v>43</v>
      </c>
      <c r="H499" s="8">
        <v>42</v>
      </c>
      <c r="I499" s="8">
        <v>7</v>
      </c>
      <c r="J499" s="10">
        <v>47679.3</v>
      </c>
      <c r="K499" s="10">
        <v>36481.32</v>
      </c>
      <c r="L499" s="11">
        <f t="shared" si="1"/>
      </c>
      <c r="M499" s="11">
        <f t="shared" si="92"/>
      </c>
      <c r="N499" s="11">
        <f t="shared" si="25"/>
      </c>
    </row>
    <row r="500">
      <c r="A500" s="7">
        <v>46097</v>
      </c>
      <c r="B500" s="8" t="s">
        <v>24</v>
      </c>
      <c r="C500" s="9" t="s">
        <v>55</v>
      </c>
      <c r="D500" s="8">
        <v>1</v>
      </c>
      <c r="E500" s="8">
        <v>8</v>
      </c>
      <c r="F500" s="8">
        <v>8</v>
      </c>
      <c r="G500" s="8">
        <v>10</v>
      </c>
      <c r="H500" s="8">
        <v>6</v>
      </c>
      <c r="I500" s="8">
        <v>1</v>
      </c>
      <c r="J500" s="10">
        <v>8148</v>
      </c>
      <c r="K500" s="10">
        <v>5525.34</v>
      </c>
      <c r="L500" s="11">
        <f t="shared" si="1"/>
      </c>
      <c r="M500" s="11">
        <f t="shared" si="92"/>
      </c>
      <c r="N500" s="11">
        <f>K500/H500</f>
      </c>
    </row>
    <row r="501">
      <c r="A501" s="16">
        <v>46097</v>
      </c>
      <c r="B501" s="17"/>
      <c r="C501" s="17"/>
      <c r="D501" s="17">
        <f>SUM(D497:D500)</f>
      </c>
      <c r="E501" s="17">
        <f>SUM(E497:E500)</f>
      </c>
      <c r="F501" s="17">
        <f>SUM(F497:F500)</f>
      </c>
      <c r="G501" s="17">
        <f>SUM(G497:G500)</f>
      </c>
      <c r="H501" s="17">
        <f>SUM(H497:H500)</f>
      </c>
      <c r="I501" s="17">
        <f>SUM(I497:I500)</f>
      </c>
      <c r="J501" s="17">
        <f>SUM(J497:J500)</f>
      </c>
      <c r="K501" s="17">
        <f>SUM(K497:K500)</f>
      </c>
      <c r="L501" s="18">
        <f t="shared" si="1"/>
      </c>
      <c r="M501" s="18">
        <f t="shared" si="92"/>
      </c>
      <c r="N501" s="18">
        <f t="shared" ref="N501:N504" si="26">K501/F501</f>
      </c>
    </row>
    <row r="502">
      <c r="A502" s="7">
        <v>46098</v>
      </c>
      <c r="B502" s="8" t="s">
        <v>20</v>
      </c>
      <c r="C502" s="9" t="s">
        <v>17</v>
      </c>
      <c r="D502" s="8">
        <v>5</v>
      </c>
      <c r="E502" s="28">
        <v>79</v>
      </c>
      <c r="F502" s="8">
        <v>68</v>
      </c>
      <c r="G502" s="8">
        <v>60</v>
      </c>
      <c r="H502" s="8">
        <v>51</v>
      </c>
      <c r="I502" s="8">
        <v>2</v>
      </c>
      <c r="J502" s="10">
        <v>63673.60000000001</v>
      </c>
      <c r="K502" s="8">
        <v>33803.69</v>
      </c>
      <c r="L502" s="11">
        <f t="shared" si="1"/>
      </c>
      <c r="M502" s="11">
        <f t="shared" si="92"/>
      </c>
      <c r="N502" s="11">
        <f t="shared" si="26"/>
      </c>
    </row>
    <row r="503">
      <c r="A503" s="7">
        <v>46098</v>
      </c>
      <c r="B503" s="8" t="s">
        <v>16</v>
      </c>
      <c r="C503" s="9" t="s">
        <v>19</v>
      </c>
      <c r="D503" s="8">
        <v>5</v>
      </c>
      <c r="E503" s="8">
        <v>58</v>
      </c>
      <c r="F503" s="8">
        <v>49</v>
      </c>
      <c r="G503" s="8">
        <v>30</v>
      </c>
      <c r="H503" s="8">
        <v>33</v>
      </c>
      <c r="I503" s="8">
        <v>6</v>
      </c>
      <c r="J503" s="10">
        <v>38807.8</v>
      </c>
      <c r="K503" s="10">
        <v>27858.88</v>
      </c>
      <c r="L503" s="11">
        <f t="shared" si="1"/>
      </c>
      <c r="M503" s="11">
        <f t="shared" si="92"/>
      </c>
      <c r="N503" s="11">
        <f t="shared" si="26"/>
      </c>
    </row>
    <row r="504">
      <c r="A504" s="7">
        <v>46098</v>
      </c>
      <c r="B504" s="8" t="s">
        <v>48</v>
      </c>
      <c r="C504" s="9" t="s">
        <v>21</v>
      </c>
      <c r="D504" s="8">
        <v>5</v>
      </c>
      <c r="E504" s="8">
        <v>28</v>
      </c>
      <c r="F504" s="8">
        <v>24</v>
      </c>
      <c r="G504" s="8">
        <v>18</v>
      </c>
      <c r="H504" s="8">
        <v>12</v>
      </c>
      <c r="I504" s="8">
        <v>2</v>
      </c>
      <c r="J504" s="10">
        <v>27435.4</v>
      </c>
      <c r="K504" s="10">
        <v>16255.2</v>
      </c>
      <c r="L504" s="11">
        <f t="shared" si="1"/>
      </c>
      <c r="M504" s="11">
        <f t="shared" si="92"/>
      </c>
      <c r="N504" s="11">
        <f t="shared" si="26"/>
      </c>
    </row>
    <row r="505">
      <c r="A505" s="7">
        <v>46098</v>
      </c>
      <c r="B505" s="8" t="s">
        <v>24</v>
      </c>
      <c r="C505" s="9" t="s">
        <v>23</v>
      </c>
      <c r="D505" s="8">
        <v>5</v>
      </c>
      <c r="E505" s="8">
        <v>59</v>
      </c>
      <c r="F505" s="8">
        <v>48</v>
      </c>
      <c r="G505" s="8">
        <v>36</v>
      </c>
      <c r="H505" s="8">
        <v>33</v>
      </c>
      <c r="I505" s="8">
        <v>6</v>
      </c>
      <c r="J505" s="10">
        <v>50228.7</v>
      </c>
      <c r="K505" s="10">
        <v>23089.72</v>
      </c>
      <c r="L505" s="11">
        <f t="shared" si="1"/>
      </c>
      <c r="M505" s="11">
        <f t="shared" si="92"/>
      </c>
      <c r="N505" s="11">
        <f>K505/H505</f>
      </c>
    </row>
    <row r="506">
      <c r="A506" s="16">
        <v>46098</v>
      </c>
      <c r="B506" s="17"/>
      <c r="C506" s="17"/>
      <c r="D506" s="17">
        <f>SUM(D502:D505)</f>
      </c>
      <c r="E506" s="17">
        <f>SUM(E502:E505)</f>
      </c>
      <c r="F506" s="17">
        <f>SUM(F502:F505)</f>
      </c>
      <c r="G506" s="17">
        <f>SUM(G502:G505)</f>
      </c>
      <c r="H506" s="17">
        <f>SUM(H502:H505)</f>
      </c>
      <c r="I506" s="17">
        <f>SUM(I502:I505)</f>
      </c>
      <c r="J506" s="17">
        <f>SUM(J502:J505)</f>
      </c>
      <c r="K506" s="17">
        <f>SUM(K502:K505)</f>
      </c>
      <c r="L506" s="18">
        <f t="shared" si="1"/>
      </c>
      <c r="M506" s="18">
        <f t="shared" si="92"/>
      </c>
      <c r="N506" s="18">
        <f t="shared" ref="N506:N509" si="27">K506/F506</f>
      </c>
    </row>
    <row r="507">
      <c r="A507" s="7">
        <v>46099</v>
      </c>
      <c r="B507" s="8" t="s">
        <v>20</v>
      </c>
      <c r="C507" s="9" t="s">
        <v>17</v>
      </c>
      <c r="D507" s="8">
        <v>5</v>
      </c>
      <c r="E507" s="28">
        <v>65</v>
      </c>
      <c r="F507" s="8">
        <v>49</v>
      </c>
      <c r="G507" s="8">
        <v>38</v>
      </c>
      <c r="H507" s="8">
        <v>33</v>
      </c>
      <c r="I507" s="8">
        <v>3</v>
      </c>
      <c r="J507" s="10">
        <v>50508.80000000002</v>
      </c>
      <c r="K507" s="8">
        <v>30839.04</v>
      </c>
      <c r="L507" s="11">
        <f t="shared" si="1"/>
      </c>
      <c r="M507" s="11">
        <f t="shared" si="92"/>
      </c>
      <c r="N507" s="11">
        <f t="shared" si="27"/>
      </c>
    </row>
    <row r="508">
      <c r="A508" s="7">
        <v>46099</v>
      </c>
      <c r="B508" s="8" t="s">
        <v>16</v>
      </c>
      <c r="C508" s="9" t="s">
        <v>19</v>
      </c>
      <c r="D508" s="8">
        <v>5</v>
      </c>
      <c r="E508" s="8">
        <v>55</v>
      </c>
      <c r="F508" s="8">
        <v>49</v>
      </c>
      <c r="G508" s="8">
        <v>31</v>
      </c>
      <c r="H508" s="8">
        <v>34</v>
      </c>
      <c r="I508" s="8">
        <v>7</v>
      </c>
      <c r="J508" s="10">
        <v>38883.600000000006</v>
      </c>
      <c r="K508" s="10">
        <v>21900.31</v>
      </c>
      <c r="L508" s="11">
        <f t="shared" si="1"/>
      </c>
      <c r="M508" s="11">
        <f t="shared" si="92"/>
      </c>
      <c r="N508" s="11">
        <f t="shared" si="27"/>
      </c>
    </row>
    <row r="509">
      <c r="A509" s="7">
        <v>46099</v>
      </c>
      <c r="B509" s="8" t="s">
        <v>48</v>
      </c>
      <c r="C509" s="9" t="s">
        <v>21</v>
      </c>
      <c r="D509" s="8">
        <v>5</v>
      </c>
      <c r="E509" s="8">
        <v>39</v>
      </c>
      <c r="F509" s="8">
        <v>30</v>
      </c>
      <c r="G509" s="8">
        <v>19</v>
      </c>
      <c r="H509" s="8">
        <v>18</v>
      </c>
      <c r="I509" s="8">
        <v>5</v>
      </c>
      <c r="J509" s="10">
        <v>22648.799999999996</v>
      </c>
      <c r="K509" s="10">
        <v>14161.300000000001</v>
      </c>
      <c r="L509" s="11">
        <f t="shared" si="1"/>
      </c>
      <c r="M509" s="11">
        <f t="shared" si="92"/>
      </c>
      <c r="N509" s="11">
        <f t="shared" si="27"/>
      </c>
    </row>
    <row r="510">
      <c r="A510" s="7">
        <v>46099</v>
      </c>
      <c r="B510" s="8" t="s">
        <v>24</v>
      </c>
      <c r="C510" s="9" t="s">
        <v>23</v>
      </c>
      <c r="D510" s="8">
        <v>5</v>
      </c>
      <c r="E510" s="8">
        <v>62</v>
      </c>
      <c r="F510" s="8">
        <v>47</v>
      </c>
      <c r="G510" s="8">
        <v>38</v>
      </c>
      <c r="H510" s="8">
        <v>36</v>
      </c>
      <c r="I510" s="8">
        <v>5</v>
      </c>
      <c r="J510" s="10">
        <v>40215.600000000006</v>
      </c>
      <c r="K510" s="10">
        <v>22814.16</v>
      </c>
      <c r="L510" s="11">
        <f t="shared" si="1"/>
      </c>
      <c r="M510" s="11">
        <f t="shared" si="92"/>
      </c>
      <c r="N510" s="11">
        <f>K510/H510</f>
      </c>
    </row>
    <row r="511">
      <c r="A511" s="16">
        <v>46099</v>
      </c>
      <c r="B511" s="17"/>
      <c r="C511" s="17"/>
      <c r="D511" s="17">
        <f>SUM(D507:D510)</f>
      </c>
      <c r="E511" s="17">
        <f>SUM(E507:E510)</f>
      </c>
      <c r="F511" s="17">
        <f>SUM(F507:F510)</f>
      </c>
      <c r="G511" s="17">
        <f>SUM(G507:G510)</f>
      </c>
      <c r="H511" s="17">
        <f>SUM(H507:H510)</f>
      </c>
      <c r="I511" s="17">
        <f>SUM(I507:I510)</f>
      </c>
      <c r="J511" s="17">
        <f>SUM(J507:J510)</f>
      </c>
      <c r="K511" s="17">
        <f>SUM(K507:K510)</f>
      </c>
      <c r="L511" s="18">
        <f t="shared" si="1"/>
      </c>
      <c r="M511" s="18">
        <f t="shared" si="92"/>
      </c>
      <c r="N511" s="18">
        <f t="shared" ref="N511:N514" si="28">K511/F511</f>
      </c>
    </row>
    <row r="512">
      <c r="A512" s="7">
        <v>46100</v>
      </c>
      <c r="B512" s="8" t="s">
        <v>16</v>
      </c>
      <c r="C512" s="9" t="s">
        <v>17</v>
      </c>
      <c r="D512" s="8">
        <v>5</v>
      </c>
      <c r="E512" s="28">
        <v>51</v>
      </c>
      <c r="F512" s="8">
        <v>38</v>
      </c>
      <c r="G512" s="8">
        <v>28</v>
      </c>
      <c r="H512" s="8">
        <v>29</v>
      </c>
      <c r="I512" s="8">
        <v>4</v>
      </c>
      <c r="J512" s="10">
        <v>33966.40000000001</v>
      </c>
      <c r="K512" s="8">
        <v>24885.89</v>
      </c>
      <c r="L512" s="11">
        <f t="shared" si="1"/>
      </c>
      <c r="M512" s="11">
        <f t="shared" si="92"/>
      </c>
      <c r="N512" s="11">
        <f t="shared" si="28"/>
      </c>
    </row>
    <row r="513">
      <c r="A513" s="7">
        <v>46100</v>
      </c>
      <c r="B513" s="8" t="s">
        <v>20</v>
      </c>
      <c r="C513" s="9" t="s">
        <v>19</v>
      </c>
      <c r="D513" s="8">
        <v>5</v>
      </c>
      <c r="E513" s="8">
        <v>62</v>
      </c>
      <c r="F513" s="8">
        <v>53</v>
      </c>
      <c r="G513" s="8">
        <v>28</v>
      </c>
      <c r="H513" s="8">
        <v>30</v>
      </c>
      <c r="I513" s="8">
        <v>7</v>
      </c>
      <c r="J513" s="10">
        <v>54182.2</v>
      </c>
      <c r="K513" s="10">
        <v>18079.010000000002</v>
      </c>
      <c r="L513" s="11">
        <f t="shared" si="1"/>
      </c>
      <c r="M513" s="11">
        <f t="shared" si="92"/>
      </c>
      <c r="N513" s="11">
        <f t="shared" si="28"/>
      </c>
    </row>
    <row r="514">
      <c r="A514" s="7">
        <v>46100</v>
      </c>
      <c r="B514" s="8" t="s">
        <v>24</v>
      </c>
      <c r="C514" s="9" t="s">
        <v>21</v>
      </c>
      <c r="D514" s="8">
        <v>5</v>
      </c>
      <c r="E514" s="8">
        <v>38</v>
      </c>
      <c r="F514" s="8">
        <v>26</v>
      </c>
      <c r="G514" s="8">
        <v>19</v>
      </c>
      <c r="H514" s="8">
        <v>15</v>
      </c>
      <c r="I514" s="8">
        <v>3</v>
      </c>
      <c r="J514" s="10">
        <v>21798.899999999994</v>
      </c>
      <c r="K514" s="10">
        <v>15410.779999999999</v>
      </c>
      <c r="L514" s="11">
        <f t="shared" si="1"/>
      </c>
      <c r="M514" s="11">
        <f t="shared" si="92"/>
      </c>
      <c r="N514" s="11">
        <f t="shared" si="28"/>
      </c>
    </row>
    <row r="515">
      <c r="A515" s="7">
        <v>46100</v>
      </c>
      <c r="B515" s="8" t="s">
        <v>22</v>
      </c>
      <c r="C515" s="9" t="s">
        <v>23</v>
      </c>
      <c r="D515" s="8">
        <v>5</v>
      </c>
      <c r="E515" s="8">
        <v>39</v>
      </c>
      <c r="F515" s="8">
        <v>30</v>
      </c>
      <c r="G515" s="8">
        <v>25</v>
      </c>
      <c r="H515" s="8">
        <v>18</v>
      </c>
      <c r="I515" s="8">
        <v>5</v>
      </c>
      <c r="J515" s="10">
        <v>27200.600000000006</v>
      </c>
      <c r="K515" s="10">
        <v>17292.36</v>
      </c>
      <c r="L515" s="11">
        <f t="shared" si="1"/>
      </c>
      <c r="M515" s="11">
        <f t="shared" si="92"/>
      </c>
      <c r="N515" s="11">
        <f>K515/H515</f>
      </c>
    </row>
    <row r="516">
      <c r="A516" s="16">
        <v>46100</v>
      </c>
      <c r="B516" s="17"/>
      <c r="C516" s="17"/>
      <c r="D516" s="17">
        <f>SUM(D512:D515)</f>
      </c>
      <c r="E516" s="17">
        <f>SUM(E512:E515)</f>
      </c>
      <c r="F516" s="17">
        <f>SUM(F512:F515)</f>
      </c>
      <c r="G516" s="17">
        <f>SUM(G512:G515)</f>
      </c>
      <c r="H516" s="17">
        <f>SUM(H512:H515)</f>
      </c>
      <c r="I516" s="17">
        <f>SUM(I512:I515)</f>
      </c>
      <c r="J516" s="17">
        <f>SUM(J512:J515)</f>
      </c>
      <c r="K516" s="17">
        <f>SUM(K512:K515)</f>
      </c>
      <c r="L516" s="18">
        <f t="shared" si="1"/>
      </c>
      <c r="M516" s="18">
        <f t="shared" si="92"/>
      </c>
      <c r="N516" s="18">
        <f t="shared" ref="N516:N519" si="29">K516/F516</f>
      </c>
    </row>
    <row r="517">
      <c r="A517" s="7">
        <v>46101</v>
      </c>
      <c r="B517" s="8" t="s">
        <v>20</v>
      </c>
      <c r="C517" s="9" t="s">
        <v>17</v>
      </c>
      <c r="D517" s="8">
        <v>5</v>
      </c>
      <c r="E517" s="28">
        <v>89</v>
      </c>
      <c r="F517" s="8">
        <v>71</v>
      </c>
      <c r="G517" s="8">
        <v>52</v>
      </c>
      <c r="H517" s="8">
        <v>47</v>
      </c>
      <c r="I517" s="8">
        <v>14</v>
      </c>
      <c r="J517" s="10">
        <v>61656.30000000002</v>
      </c>
      <c r="K517" s="8">
        <v>34397.14</v>
      </c>
      <c r="L517" s="11">
        <f t="shared" si="1"/>
      </c>
      <c r="M517" s="11">
        <f t="shared" si="92"/>
      </c>
      <c r="N517" s="11">
        <f t="shared" si="29"/>
      </c>
    </row>
    <row r="518">
      <c r="A518" s="7">
        <v>46101</v>
      </c>
      <c r="B518" s="8" t="s">
        <v>24</v>
      </c>
      <c r="C518" s="9" t="s">
        <v>19</v>
      </c>
      <c r="D518" s="8">
        <v>5</v>
      </c>
      <c r="E518" s="8">
        <v>41</v>
      </c>
      <c r="F518" s="8">
        <v>33</v>
      </c>
      <c r="G518" s="8">
        <v>20</v>
      </c>
      <c r="H518" s="8">
        <v>16</v>
      </c>
      <c r="I518" s="8">
        <v>3</v>
      </c>
      <c r="J518" s="10">
        <v>30024.4</v>
      </c>
      <c r="K518" s="10">
        <v>15743.169999999998</v>
      </c>
      <c r="L518" s="11">
        <f t="shared" si="1"/>
      </c>
      <c r="M518" s="11">
        <f t="shared" si="92"/>
      </c>
      <c r="N518" s="11">
        <f t="shared" si="29"/>
      </c>
    </row>
    <row r="519">
      <c r="A519" s="7">
        <v>46101</v>
      </c>
      <c r="B519" s="8" t="s">
        <v>16</v>
      </c>
      <c r="C519" s="9" t="s">
        <v>21</v>
      </c>
      <c r="D519" s="8">
        <v>5</v>
      </c>
      <c r="E519" s="8">
        <v>44</v>
      </c>
      <c r="F519" s="8">
        <v>32</v>
      </c>
      <c r="G519" s="8">
        <v>27</v>
      </c>
      <c r="H519" s="8">
        <v>18</v>
      </c>
      <c r="I519" s="8">
        <v>0</v>
      </c>
      <c r="J519" s="10">
        <v>30375.200000000004</v>
      </c>
      <c r="K519" s="10">
        <v>20198.87</v>
      </c>
      <c r="L519" s="11">
        <f t="shared" si="1"/>
      </c>
      <c r="M519" s="11">
        <f t="shared" si="92"/>
      </c>
      <c r="N519" s="11">
        <f t="shared" si="29"/>
      </c>
    </row>
    <row r="520">
      <c r="A520" s="7">
        <v>46101</v>
      </c>
      <c r="B520" s="8" t="s">
        <v>22</v>
      </c>
      <c r="C520" s="9" t="s">
        <v>23</v>
      </c>
      <c r="D520" s="8">
        <v>5</v>
      </c>
      <c r="E520" s="8">
        <v>55</v>
      </c>
      <c r="F520" s="8">
        <v>52</v>
      </c>
      <c r="G520" s="8">
        <v>27</v>
      </c>
      <c r="H520" s="8">
        <v>35</v>
      </c>
      <c r="I520" s="8">
        <v>6</v>
      </c>
      <c r="J520" s="10">
        <v>44661.2</v>
      </c>
      <c r="K520" s="10">
        <v>26179.89</v>
      </c>
      <c r="L520" s="11">
        <f t="shared" si="1"/>
      </c>
      <c r="M520" s="11">
        <f t="shared" si="92"/>
      </c>
      <c r="N520" s="11">
        <f>K520/H520</f>
      </c>
    </row>
    <row r="521">
      <c r="A521" s="16">
        <v>46101</v>
      </c>
      <c r="B521" s="17"/>
      <c r="C521" s="17"/>
      <c r="D521" s="17">
        <f>SUM(D517:D520)</f>
      </c>
      <c r="E521" s="17">
        <f>SUM(E517:E520)</f>
      </c>
      <c r="F521" s="17">
        <f>SUM(F517:F520)</f>
      </c>
      <c r="G521" s="17">
        <f>SUM(G517:G520)</f>
      </c>
      <c r="H521" s="17">
        <f>SUM(H517:H520)</f>
      </c>
      <c r="I521" s="17">
        <f>SUM(I517:I520)</f>
      </c>
      <c r="J521" s="17">
        <f>SUM(J517:J520)</f>
      </c>
      <c r="K521" s="17">
        <f>SUM(K517:K520)</f>
      </c>
      <c r="L521" s="18">
        <f t="shared" si="1"/>
      </c>
      <c r="M521" s="18">
        <f t="shared" si="92"/>
      </c>
      <c r="N521" s="18">
        <f t="shared" ref="N521:N524" si="30">K521/F521</f>
      </c>
    </row>
    <row r="522">
      <c r="A522" s="7">
        <v>46102</v>
      </c>
      <c r="B522" s="8" t="s">
        <v>16</v>
      </c>
      <c r="C522" s="9" t="s">
        <v>17</v>
      </c>
      <c r="D522" s="8">
        <v>5</v>
      </c>
      <c r="E522" s="28">
        <v>46</v>
      </c>
      <c r="F522" s="8">
        <v>35</v>
      </c>
      <c r="G522" s="8">
        <v>29</v>
      </c>
      <c r="H522" s="8">
        <v>23</v>
      </c>
      <c r="I522" s="8">
        <v>2</v>
      </c>
      <c r="J522" s="10">
        <v>37321.1</v>
      </c>
      <c r="K522" s="8">
        <v>18214.47</v>
      </c>
      <c r="L522" s="11">
        <f t="shared" si="1"/>
      </c>
      <c r="M522" s="11">
        <f t="shared" si="92"/>
      </c>
      <c r="N522" s="11">
        <f t="shared" si="30"/>
      </c>
    </row>
    <row r="523">
      <c r="A523" s="7">
        <v>46102</v>
      </c>
      <c r="B523" s="8" t="s">
        <v>20</v>
      </c>
      <c r="C523" s="9" t="s">
        <v>19</v>
      </c>
      <c r="D523" s="8">
        <v>5</v>
      </c>
      <c r="E523" s="8">
        <v>68</v>
      </c>
      <c r="F523" s="8">
        <v>48</v>
      </c>
      <c r="G523" s="8">
        <v>37</v>
      </c>
      <c r="H523" s="8">
        <v>24</v>
      </c>
      <c r="I523" s="8">
        <v>4</v>
      </c>
      <c r="J523" s="10">
        <v>50548.20000000001</v>
      </c>
      <c r="K523" s="10">
        <v>20844.97</v>
      </c>
      <c r="L523" s="11">
        <f t="shared" si="1"/>
      </c>
      <c r="M523" s="11">
        <f t="shared" si="92"/>
      </c>
      <c r="N523" s="11">
        <f t="shared" si="30"/>
      </c>
    </row>
    <row r="524">
      <c r="A524" s="7">
        <v>46102</v>
      </c>
      <c r="B524" s="8" t="s">
        <v>24</v>
      </c>
      <c r="C524" s="9" t="s">
        <v>21</v>
      </c>
      <c r="D524" s="8">
        <v>5</v>
      </c>
      <c r="E524" s="8">
        <v>68</v>
      </c>
      <c r="F524" s="8">
        <v>50</v>
      </c>
      <c r="G524" s="8">
        <v>35</v>
      </c>
      <c r="H524" s="8">
        <v>32</v>
      </c>
      <c r="I524" s="8">
        <v>7</v>
      </c>
      <c r="J524" s="10">
        <v>54313.2</v>
      </c>
      <c r="K524" s="10">
        <v>31989.67</v>
      </c>
      <c r="L524" s="11">
        <f t="shared" si="1"/>
      </c>
      <c r="M524" s="11">
        <f t="shared" si="92"/>
      </c>
      <c r="N524" s="11">
        <f t="shared" si="30"/>
      </c>
    </row>
    <row r="525">
      <c r="A525" s="7">
        <v>46102</v>
      </c>
      <c r="B525" s="8" t="s">
        <v>22</v>
      </c>
      <c r="C525" s="9" t="s">
        <v>23</v>
      </c>
      <c r="D525" s="8">
        <v>5</v>
      </c>
      <c r="E525" s="8">
        <v>83</v>
      </c>
      <c r="F525" s="8">
        <v>68</v>
      </c>
      <c r="G525" s="8">
        <v>46</v>
      </c>
      <c r="H525" s="8">
        <v>38</v>
      </c>
      <c r="I525" s="8">
        <v>7</v>
      </c>
      <c r="J525" s="10">
        <v>81376.40000000002</v>
      </c>
      <c r="K525" s="10">
        <v>30156.359999999997</v>
      </c>
      <c r="L525" s="11">
        <f t="shared" si="1"/>
      </c>
      <c r="M525" s="11">
        <f t="shared" si="92"/>
      </c>
      <c r="N525" s="11">
        <f>K525/H525</f>
      </c>
    </row>
    <row r="526">
      <c r="A526" s="16">
        <v>46102</v>
      </c>
      <c r="B526" s="17"/>
      <c r="C526" s="17"/>
      <c r="D526" s="17">
        <f>SUM(D522:D525)</f>
      </c>
      <c r="E526" s="17">
        <f>SUM(E522:E525)</f>
      </c>
      <c r="F526" s="17">
        <f>SUM(F522:F525)</f>
      </c>
      <c r="G526" s="17">
        <f>SUM(G522:G525)</f>
      </c>
      <c r="H526" s="17">
        <f>SUM(H522:H525)</f>
      </c>
      <c r="I526" s="17">
        <f>SUM(I522:I525)</f>
      </c>
      <c r="J526" s="17">
        <f>SUM(J522:J525)</f>
      </c>
      <c r="K526" s="17">
        <f>SUM(K522:K525)</f>
      </c>
      <c r="L526" s="18">
        <f t="shared" si="1"/>
      </c>
      <c r="M526" s="18">
        <f t="shared" si="92"/>
      </c>
      <c r="N526" s="18">
        <f t="shared" ref="N526:N545" si="31">K526/F526</f>
      </c>
    </row>
    <row r="527">
      <c r="A527" s="7">
        <v>46103</v>
      </c>
      <c r="B527" s="8" t="s">
        <v>20</v>
      </c>
      <c r="C527" s="9" t="s">
        <v>17</v>
      </c>
      <c r="D527" s="8">
        <v>5</v>
      </c>
      <c r="E527" s="28">
        <v>80</v>
      </c>
      <c r="F527" s="8">
        <v>64</v>
      </c>
      <c r="G527" s="8">
        <v>37</v>
      </c>
      <c r="H527" s="8">
        <v>51</v>
      </c>
      <c r="I527" s="8">
        <v>8</v>
      </c>
      <c r="J527" s="10">
        <v>50766.45</v>
      </c>
      <c r="K527" s="8">
        <v>27809.54</v>
      </c>
      <c r="L527" s="11">
        <f t="shared" si="1"/>
      </c>
      <c r="M527" s="11">
        <f t="shared" si="92"/>
      </c>
      <c r="N527" s="11">
        <f t="shared" si="31"/>
      </c>
    </row>
    <row r="528">
      <c r="A528" s="7">
        <v>46103</v>
      </c>
      <c r="B528" s="8" t="s">
        <v>24</v>
      </c>
      <c r="C528" s="9" t="s">
        <v>19</v>
      </c>
      <c r="D528" s="8">
        <v>5</v>
      </c>
      <c r="E528" s="8">
        <v>25</v>
      </c>
      <c r="F528" s="8">
        <v>16</v>
      </c>
      <c r="G528" s="8">
        <v>12</v>
      </c>
      <c r="H528" s="8">
        <v>9</v>
      </c>
      <c r="I528" s="8">
        <v>1</v>
      </c>
      <c r="J528" s="10">
        <v>19979.200000000004</v>
      </c>
      <c r="K528" s="10">
        <v>10927.14</v>
      </c>
      <c r="L528" s="11">
        <f t="shared" si="1"/>
      </c>
      <c r="M528" s="11">
        <f t="shared" si="92"/>
      </c>
      <c r="N528" s="11">
        <f t="shared" si="31"/>
      </c>
    </row>
    <row r="529">
      <c r="A529" s="7">
        <v>46103</v>
      </c>
      <c r="B529" s="8" t="s">
        <v>22</v>
      </c>
      <c r="C529" s="9" t="s">
        <v>21</v>
      </c>
      <c r="D529" s="8">
        <v>5</v>
      </c>
      <c r="E529" s="8">
        <v>27</v>
      </c>
      <c r="F529" s="8">
        <v>20</v>
      </c>
      <c r="G529" s="8">
        <v>16</v>
      </c>
      <c r="H529" s="8">
        <v>11</v>
      </c>
      <c r="I529" s="8">
        <v>1</v>
      </c>
      <c r="J529" s="10">
        <v>20297.999999999993</v>
      </c>
      <c r="K529" s="10">
        <v>9111.6</v>
      </c>
      <c r="L529" s="11">
        <f t="shared" si="1"/>
      </c>
      <c r="M529" s="11">
        <f t="shared" si="92"/>
      </c>
      <c r="N529" s="11">
        <f t="shared" si="31"/>
      </c>
    </row>
    <row r="530">
      <c r="A530" s="16">
        <v>46103</v>
      </c>
      <c r="B530" s="17"/>
      <c r="C530" s="17"/>
      <c r="D530" s="17">
        <f>SUM(D527:D529)</f>
      </c>
      <c r="E530" s="17">
        <f>SUM(E527:E529)</f>
      </c>
      <c r="F530" s="17">
        <f>SUM(F527:F529)</f>
      </c>
      <c r="G530" s="17">
        <f>SUM(G527:G529)</f>
      </c>
      <c r="H530" s="17">
        <f>SUM(H527:H529)</f>
      </c>
      <c r="I530" s="17">
        <f>SUM(I527:I529)</f>
      </c>
      <c r="J530" s="17">
        <f>SUM(J527:J529)</f>
      </c>
      <c r="K530" s="17">
        <f>SUM(K527:K529)</f>
      </c>
      <c r="L530" s="18">
        <f t="shared" si="1"/>
      </c>
      <c r="M530" s="18">
        <f t="shared" si="92"/>
      </c>
      <c r="N530" s="18">
        <f t="shared" si="31"/>
      </c>
    </row>
    <row r="531">
      <c r="A531" s="7">
        <v>46104</v>
      </c>
      <c r="B531" s="8" t="s">
        <v>20</v>
      </c>
      <c r="C531" s="9" t="s">
        <v>17</v>
      </c>
      <c r="D531" s="8">
        <v>5</v>
      </c>
      <c r="E531" s="28">
        <v>70</v>
      </c>
      <c r="F531" s="8">
        <v>59</v>
      </c>
      <c r="G531" s="8">
        <v>41</v>
      </c>
      <c r="H531" s="8">
        <v>32</v>
      </c>
      <c r="I531" s="8">
        <v>8</v>
      </c>
      <c r="J531" s="10">
        <v>51853.5</v>
      </c>
      <c r="K531" s="8">
        <v>28072.98</v>
      </c>
      <c r="L531" s="11">
        <f t="shared" si="1"/>
      </c>
      <c r="M531" s="11">
        <f t="shared" si="92"/>
      </c>
      <c r="N531" s="11">
        <f t="shared" si="31"/>
      </c>
    </row>
    <row r="532">
      <c r="A532" s="7">
        <v>46104</v>
      </c>
      <c r="B532" s="8" t="s">
        <v>24</v>
      </c>
      <c r="C532" s="9" t="s">
        <v>19</v>
      </c>
      <c r="D532" s="8">
        <v>5</v>
      </c>
      <c r="E532" s="8">
        <v>54</v>
      </c>
      <c r="F532" s="8">
        <v>43</v>
      </c>
      <c r="G532" s="8">
        <v>34</v>
      </c>
      <c r="H532" s="8">
        <v>24</v>
      </c>
      <c r="I532" s="8">
        <v>2</v>
      </c>
      <c r="J532" s="10">
        <v>46998.6</v>
      </c>
      <c r="K532" s="10">
        <v>24582.97</v>
      </c>
      <c r="L532" s="11">
        <f t="shared" si="1"/>
      </c>
      <c r="M532" s="11">
        <f t="shared" si="92"/>
      </c>
      <c r="N532" s="11">
        <f t="shared" si="31"/>
      </c>
    </row>
    <row r="533">
      <c r="A533" s="7">
        <v>46104</v>
      </c>
      <c r="B533" s="8" t="s">
        <v>22</v>
      </c>
      <c r="C533" s="9" t="s">
        <v>21</v>
      </c>
      <c r="D533" s="8">
        <v>5</v>
      </c>
      <c r="E533" s="8">
        <v>35</v>
      </c>
      <c r="F533" s="8">
        <v>29</v>
      </c>
      <c r="G533" s="8">
        <v>23</v>
      </c>
      <c r="H533" s="8">
        <v>15</v>
      </c>
      <c r="I533" s="8">
        <v>5</v>
      </c>
      <c r="J533" s="10">
        <v>29799.999999999993</v>
      </c>
      <c r="K533" s="10">
        <v>15863.8</v>
      </c>
      <c r="L533" s="11">
        <f t="shared" si="1"/>
      </c>
      <c r="M533" s="11">
        <f t="shared" si="92"/>
      </c>
      <c r="N533" s="11">
        <f t="shared" si="31"/>
      </c>
    </row>
    <row r="534">
      <c r="A534" s="16">
        <v>46104</v>
      </c>
      <c r="B534" s="17"/>
      <c r="C534" s="17"/>
      <c r="D534" s="17">
        <f>SUM(D531:D533)</f>
      </c>
      <c r="E534" s="17">
        <f>SUM(E531:E533)</f>
      </c>
      <c r="F534" s="17">
        <f>SUM(F531:F533)</f>
      </c>
      <c r="G534" s="17">
        <f>SUM(G531:G533)</f>
      </c>
      <c r="H534" s="17">
        <f>SUM(H531:H533)</f>
      </c>
      <c r="I534" s="17">
        <f>SUM(I531:I533)</f>
      </c>
      <c r="J534" s="17">
        <f>SUM(J531:J533)</f>
      </c>
      <c r="K534" s="17">
        <f>SUM(K531:K533)</f>
      </c>
      <c r="L534" s="18">
        <f t="shared" si="1"/>
      </c>
      <c r="M534" s="18">
        <f t="shared" si="92"/>
      </c>
      <c r="N534" s="18">
        <f t="shared" si="31"/>
      </c>
    </row>
    <row r="535">
      <c r="A535" s="7">
        <v>46105</v>
      </c>
      <c r="B535" s="8" t="s">
        <v>20</v>
      </c>
      <c r="C535" s="9" t="s">
        <v>17</v>
      </c>
      <c r="D535" s="8">
        <v>5</v>
      </c>
      <c r="E535" s="28">
        <v>65</v>
      </c>
      <c r="F535" s="8">
        <v>55</v>
      </c>
      <c r="G535" s="8">
        <v>32</v>
      </c>
      <c r="H535" s="8">
        <v>35</v>
      </c>
      <c r="I535" s="8">
        <v>6</v>
      </c>
      <c r="J535" s="10">
        <v>41888.200000000004</v>
      </c>
      <c r="K535" s="8">
        <v>23608.68</v>
      </c>
      <c r="L535" s="11">
        <f t="shared" si="1"/>
      </c>
      <c r="M535" s="11">
        <f t="shared" si="92"/>
      </c>
      <c r="N535" s="11">
        <f t="shared" si="31"/>
      </c>
    </row>
    <row r="536">
      <c r="A536" s="7">
        <v>46105</v>
      </c>
      <c r="B536" s="8" t="s">
        <v>24</v>
      </c>
      <c r="C536" s="9" t="s">
        <v>19</v>
      </c>
      <c r="D536" s="8">
        <v>5</v>
      </c>
      <c r="E536" s="8">
        <v>60</v>
      </c>
      <c r="F536" s="8">
        <v>48</v>
      </c>
      <c r="G536" s="8">
        <v>36</v>
      </c>
      <c r="H536" s="8">
        <v>31</v>
      </c>
      <c r="I536" s="8">
        <v>4</v>
      </c>
      <c r="J536" s="10">
        <v>42163</v>
      </c>
      <c r="K536" s="10">
        <v>23458.47</v>
      </c>
      <c r="L536" s="11">
        <f t="shared" si="1"/>
      </c>
      <c r="M536" s="11">
        <f t="shared" si="92"/>
      </c>
      <c r="N536" s="11">
        <f t="shared" si="31"/>
      </c>
    </row>
    <row r="537">
      <c r="A537" s="7">
        <v>46105</v>
      </c>
      <c r="B537" s="8" t="s">
        <v>22</v>
      </c>
      <c r="C537" s="9" t="s">
        <v>21</v>
      </c>
      <c r="D537" s="8">
        <v>5</v>
      </c>
      <c r="E537" s="8">
        <v>48</v>
      </c>
      <c r="F537" s="8">
        <v>36</v>
      </c>
      <c r="G537" s="8">
        <v>30</v>
      </c>
      <c r="H537" s="8">
        <v>24</v>
      </c>
      <c r="I537" s="8">
        <v>3</v>
      </c>
      <c r="J537" s="10">
        <v>28925.20000000001</v>
      </c>
      <c r="K537" s="10">
        <v>22021.7</v>
      </c>
      <c r="L537" s="11">
        <f t="shared" si="1"/>
      </c>
      <c r="M537" s="11">
        <f t="shared" si="92"/>
      </c>
      <c r="N537" s="11">
        <f t="shared" si="31"/>
      </c>
    </row>
    <row r="538">
      <c r="A538" s="16">
        <v>46105</v>
      </c>
      <c r="B538" s="17"/>
      <c r="C538" s="17"/>
      <c r="D538" s="17">
        <f>SUM(D535:D537)</f>
      </c>
      <c r="E538" s="17">
        <f>SUM(E535:E537)</f>
      </c>
      <c r="F538" s="17">
        <f>SUM(F535:F537)</f>
      </c>
      <c r="G538" s="17">
        <f>SUM(G535:G537)</f>
      </c>
      <c r="H538" s="17">
        <f>SUM(H535:H537)</f>
      </c>
      <c r="I538" s="17">
        <f>SUM(I535:I537)</f>
      </c>
      <c r="J538" s="17">
        <f>SUM(J535:J537)</f>
      </c>
      <c r="K538" s="17">
        <f>SUM(K535:K537)</f>
      </c>
      <c r="L538" s="18">
        <f t="shared" si="1"/>
      </c>
      <c r="M538" s="18">
        <f t="shared" si="92"/>
      </c>
      <c r="N538" s="18">
        <f t="shared" si="31"/>
      </c>
    </row>
    <row r="539">
      <c r="A539" s="7">
        <v>46106</v>
      </c>
      <c r="B539" s="8" t="s">
        <v>20</v>
      </c>
      <c r="C539" s="9" t="s">
        <v>17</v>
      </c>
      <c r="D539" s="8">
        <v>5</v>
      </c>
      <c r="E539" s="28">
        <v>74</v>
      </c>
      <c r="F539" s="8">
        <v>66</v>
      </c>
      <c r="G539" s="8">
        <v>46</v>
      </c>
      <c r="H539" s="8">
        <v>47</v>
      </c>
      <c r="I539" s="8">
        <v>8</v>
      </c>
      <c r="J539" s="10">
        <v>59403.60000000001</v>
      </c>
      <c r="K539" s="8">
        <v>34273.87</v>
      </c>
      <c r="L539" s="11">
        <f t="shared" si="1"/>
      </c>
      <c r="M539" s="11">
        <f t="shared" si="92"/>
      </c>
      <c r="N539" s="11">
        <f t="shared" si="31"/>
      </c>
    </row>
    <row r="540">
      <c r="A540" s="7">
        <v>46106</v>
      </c>
      <c r="B540" s="8" t="s">
        <v>16</v>
      </c>
      <c r="C540" s="9" t="s">
        <v>19</v>
      </c>
      <c r="D540" s="8">
        <v>5</v>
      </c>
      <c r="E540" s="8">
        <v>54</v>
      </c>
      <c r="F540" s="8">
        <v>41</v>
      </c>
      <c r="G540" s="8">
        <v>33</v>
      </c>
      <c r="H540" s="8">
        <v>31</v>
      </c>
      <c r="I540" s="8">
        <v>4</v>
      </c>
      <c r="J540" s="10">
        <v>30509.4</v>
      </c>
      <c r="K540" s="10">
        <v>24865.53</v>
      </c>
      <c r="L540" s="11">
        <f t="shared" si="1"/>
      </c>
      <c r="M540" s="11">
        <f t="shared" si="92"/>
      </c>
      <c r="N540" s="11">
        <f t="shared" si="31"/>
      </c>
    </row>
    <row r="541">
      <c r="A541" s="7">
        <v>46106</v>
      </c>
      <c r="B541" s="8" t="s">
        <v>22</v>
      </c>
      <c r="C541" s="9" t="s">
        <v>21</v>
      </c>
      <c r="D541" s="8">
        <v>5</v>
      </c>
      <c r="E541" s="8">
        <v>50</v>
      </c>
      <c r="F541" s="8">
        <v>38</v>
      </c>
      <c r="G541" s="8">
        <v>32</v>
      </c>
      <c r="H541" s="8">
        <v>27</v>
      </c>
      <c r="I541" s="8">
        <v>1</v>
      </c>
      <c r="J541" s="10">
        <v>30817.199999999997</v>
      </c>
      <c r="K541" s="10">
        <v>25753.64</v>
      </c>
      <c r="L541" s="11">
        <f t="shared" si="1"/>
      </c>
      <c r="M541" s="11">
        <f t="shared" si="92"/>
      </c>
      <c r="N541" s="11">
        <f t="shared" si="31"/>
      </c>
    </row>
    <row r="542">
      <c r="A542" s="16">
        <v>46106</v>
      </c>
      <c r="B542" s="17"/>
      <c r="C542" s="17"/>
      <c r="D542" s="17">
        <f>SUM(D539:D541)</f>
      </c>
      <c r="E542" s="17">
        <f>SUM(E539:E541)</f>
      </c>
      <c r="F542" s="17">
        <f>SUM(F539:F541)</f>
      </c>
      <c r="G542" s="17">
        <f>SUM(G539:G541)</f>
      </c>
      <c r="H542" s="17">
        <f>SUM(H539:H541)</f>
      </c>
      <c r="I542" s="17">
        <f>SUM(I539:I541)</f>
      </c>
      <c r="J542" s="17">
        <f>SUM(J539:J541)</f>
      </c>
      <c r="K542" s="17">
        <f>SUM(K539:K541)</f>
      </c>
      <c r="L542" s="18">
        <f t="shared" si="1"/>
      </c>
      <c r="M542" s="18">
        <f t="shared" si="92"/>
      </c>
      <c r="N542" s="18">
        <f t="shared" si="31"/>
      </c>
    </row>
    <row r="543">
      <c r="A543" s="7">
        <v>46107</v>
      </c>
      <c r="B543" s="8" t="s">
        <v>20</v>
      </c>
      <c r="C543" s="9" t="s">
        <v>17</v>
      </c>
      <c r="D543" s="8">
        <v>5</v>
      </c>
      <c r="E543" s="28">
        <v>114</v>
      </c>
      <c r="F543" s="8">
        <v>99</v>
      </c>
      <c r="G543" s="8">
        <v>79</v>
      </c>
      <c r="H543" s="8">
        <v>63</v>
      </c>
      <c r="I543" s="8">
        <v>9</v>
      </c>
      <c r="J543" s="10">
        <v>102583.60000000003</v>
      </c>
      <c r="K543" s="8">
        <v>46444.94</v>
      </c>
      <c r="L543" s="11">
        <f t="shared" si="1"/>
      </c>
      <c r="M543" s="11">
        <f t="shared" si="92"/>
      </c>
      <c r="N543" s="11">
        <f t="shared" si="31"/>
      </c>
    </row>
    <row r="544">
      <c r="A544" s="7">
        <v>46107</v>
      </c>
      <c r="B544" s="8" t="s">
        <v>16</v>
      </c>
      <c r="C544" s="9" t="s">
        <v>19</v>
      </c>
      <c r="D544" s="8">
        <v>5</v>
      </c>
      <c r="E544" s="8">
        <v>111</v>
      </c>
      <c r="F544" s="8">
        <v>87</v>
      </c>
      <c r="G544" s="8">
        <v>69</v>
      </c>
      <c r="H544" s="8">
        <v>71</v>
      </c>
      <c r="I544" s="8">
        <v>9</v>
      </c>
      <c r="J544" s="10">
        <v>66977.6</v>
      </c>
      <c r="K544" s="10">
        <v>53224.130000000005</v>
      </c>
      <c r="L544" s="11">
        <f t="shared" si="1"/>
      </c>
      <c r="M544" s="11">
        <f t="shared" si="92"/>
      </c>
      <c r="N544" s="11">
        <f t="shared" si="31"/>
      </c>
    </row>
    <row r="545">
      <c r="A545" s="7">
        <v>46107</v>
      </c>
      <c r="B545" s="8" t="s">
        <v>22</v>
      </c>
      <c r="C545" s="9" t="s">
        <v>21</v>
      </c>
      <c r="D545" s="8">
        <v>5</v>
      </c>
      <c r="E545" s="8">
        <v>53</v>
      </c>
      <c r="F545" s="8">
        <v>42</v>
      </c>
      <c r="G545" s="8">
        <v>31</v>
      </c>
      <c r="H545" s="8">
        <v>29</v>
      </c>
      <c r="I545" s="8">
        <v>5</v>
      </c>
      <c r="J545" s="10">
        <v>34009.40000000002</v>
      </c>
      <c r="K545" s="10">
        <v>23964.100000000002</v>
      </c>
      <c r="L545" s="11">
        <f t="shared" si="1"/>
      </c>
      <c r="M545" s="11">
        <f t="shared" si="92"/>
      </c>
      <c r="N545" s="11">
        <f t="shared" si="31"/>
      </c>
    </row>
    <row r="546">
      <c r="A546" s="7">
        <v>46107</v>
      </c>
      <c r="B546" s="8" t="s">
        <v>24</v>
      </c>
      <c r="C546" s="9" t="s">
        <v>23</v>
      </c>
      <c r="D546" s="8">
        <v>5</v>
      </c>
      <c r="E546" s="8">
        <v>57</v>
      </c>
      <c r="F546" s="8">
        <v>45</v>
      </c>
      <c r="G546" s="8">
        <v>33</v>
      </c>
      <c r="H546" s="8">
        <v>30</v>
      </c>
      <c r="I546" s="8">
        <v>4</v>
      </c>
      <c r="J546" s="10">
        <v>38439.79999999999</v>
      </c>
      <c r="K546" s="10">
        <v>24055.61</v>
      </c>
      <c r="L546" s="11">
        <f t="shared" si="1"/>
      </c>
      <c r="M546" s="11">
        <f t="shared" si="92"/>
      </c>
      <c r="N546" s="11">
        <f>K546/H546</f>
      </c>
    </row>
    <row r="547">
      <c r="A547" s="16">
        <v>46107</v>
      </c>
      <c r="B547" s="17"/>
      <c r="C547" s="17"/>
      <c r="D547" s="17">
        <f>SUM(D543:D546)</f>
      </c>
      <c r="E547" s="17">
        <f>SUM(E543:E546)</f>
      </c>
      <c r="F547" s="17">
        <f>SUM(F543:F546)</f>
      </c>
      <c r="G547" s="17">
        <f>SUM(G543:G546)</f>
      </c>
      <c r="H547" s="17">
        <f>SUM(H543:H546)</f>
      </c>
      <c r="I547" s="17">
        <f>SUM(I543:I546)</f>
      </c>
      <c r="J547" s="17">
        <f>SUM(J543:J546)</f>
      </c>
      <c r="K547" s="17">
        <f>SUM(K543:K546)</f>
      </c>
      <c r="L547" s="18">
        <f t="shared" si="1"/>
      </c>
      <c r="M547" s="18">
        <f t="shared" si="92"/>
      </c>
      <c r="N547" s="18">
        <f t="shared" ref="N547:N550" si="32">K547/F547</f>
      </c>
    </row>
    <row r="548">
      <c r="A548" s="7">
        <v>46108</v>
      </c>
      <c r="B548" s="8" t="s">
        <v>16</v>
      </c>
      <c r="C548" s="9" t="s">
        <v>17</v>
      </c>
      <c r="D548" s="8">
        <v>5</v>
      </c>
      <c r="E548" s="28">
        <v>49</v>
      </c>
      <c r="F548" s="8">
        <v>38</v>
      </c>
      <c r="G548" s="8">
        <v>35</v>
      </c>
      <c r="H548" s="8">
        <v>23</v>
      </c>
      <c r="I548" s="8">
        <v>2</v>
      </c>
      <c r="J548" s="10">
        <v>35752.40000000001</v>
      </c>
      <c r="K548" s="8">
        <v>30218.7</v>
      </c>
      <c r="L548" s="11">
        <f t="shared" si="1"/>
      </c>
      <c r="M548" s="11">
        <f t="shared" si="92"/>
      </c>
      <c r="N548" s="11">
        <f t="shared" si="32"/>
      </c>
    </row>
    <row r="549">
      <c r="A549" s="7">
        <v>46108</v>
      </c>
      <c r="B549" s="8" t="s">
        <v>22</v>
      </c>
      <c r="C549" s="9" t="s">
        <v>19</v>
      </c>
      <c r="D549" s="8">
        <v>5</v>
      </c>
      <c r="E549" s="8">
        <v>45</v>
      </c>
      <c r="F549" s="8">
        <v>34</v>
      </c>
      <c r="G549" s="8">
        <v>28</v>
      </c>
      <c r="H549" s="8">
        <v>19</v>
      </c>
      <c r="I549" s="8">
        <v>2</v>
      </c>
      <c r="J549" s="10">
        <v>34798.600000000006</v>
      </c>
      <c r="K549" s="10">
        <v>18901.83</v>
      </c>
      <c r="L549" s="11">
        <f t="shared" si="1"/>
      </c>
      <c r="M549" s="11">
        <f t="shared" si="92"/>
      </c>
      <c r="N549" s="11">
        <f t="shared" si="32"/>
      </c>
    </row>
    <row r="550">
      <c r="A550" s="7">
        <v>46108</v>
      </c>
      <c r="B550" s="8" t="s">
        <v>20</v>
      </c>
      <c r="C550" s="9" t="s">
        <v>21</v>
      </c>
      <c r="D550" s="8">
        <v>5</v>
      </c>
      <c r="E550" s="8">
        <v>94</v>
      </c>
      <c r="F550" s="8">
        <v>76</v>
      </c>
      <c r="G550" s="8">
        <v>59</v>
      </c>
      <c r="H550" s="8">
        <v>55</v>
      </c>
      <c r="I550" s="8">
        <v>7</v>
      </c>
      <c r="J550" s="10">
        <v>72728.80000000003</v>
      </c>
      <c r="K550" s="10">
        <v>32017.41</v>
      </c>
      <c r="L550" s="11">
        <f t="shared" si="1"/>
      </c>
      <c r="M550" s="11">
        <f t="shared" si="92"/>
      </c>
      <c r="N550" s="11">
        <f t="shared" si="32"/>
      </c>
    </row>
    <row r="551">
      <c r="A551" s="7">
        <v>46108</v>
      </c>
      <c r="B551" s="8" t="s">
        <v>24</v>
      </c>
      <c r="C551" s="9" t="s">
        <v>23</v>
      </c>
      <c r="D551" s="8">
        <v>5</v>
      </c>
      <c r="E551" s="8">
        <v>85</v>
      </c>
      <c r="F551" s="8">
        <v>69</v>
      </c>
      <c r="G551" s="8">
        <v>46</v>
      </c>
      <c r="H551" s="8">
        <v>53</v>
      </c>
      <c r="I551" s="8">
        <v>9</v>
      </c>
      <c r="J551" s="10">
        <v>53270.60000000002</v>
      </c>
      <c r="K551" s="10">
        <v>35440.579999999994</v>
      </c>
      <c r="L551" s="11">
        <f t="shared" si="1"/>
      </c>
      <c r="M551" s="11">
        <f t="shared" si="92"/>
      </c>
      <c r="N551" s="11">
        <f>K551/H551</f>
      </c>
    </row>
    <row r="552">
      <c r="A552" s="16">
        <v>46108</v>
      </c>
      <c r="B552" s="17"/>
      <c r="C552" s="17"/>
      <c r="D552" s="17">
        <f>SUM(D548:D551)</f>
      </c>
      <c r="E552" s="17">
        <f>SUM(E548:E551)</f>
      </c>
      <c r="F552" s="17">
        <f>SUM(F548:F551)</f>
      </c>
      <c r="G552" s="17">
        <f>SUM(G548:G551)</f>
      </c>
      <c r="H552" s="17">
        <f>SUM(H548:H551)</f>
      </c>
      <c r="I552" s="17">
        <f>SUM(I548:I551)</f>
      </c>
      <c r="J552" s="17">
        <f>SUM(J548:J551)</f>
      </c>
      <c r="K552" s="17">
        <f>SUM(K548:K551)</f>
      </c>
      <c r="L552" s="18">
        <f t="shared" si="1"/>
      </c>
      <c r="M552" s="18">
        <f t="shared" si="92"/>
      </c>
      <c r="N552" s="18">
        <f t="shared" ref="N552:N555" si="33">K552/F552</f>
      </c>
    </row>
    <row r="553">
      <c r="A553" s="7">
        <v>46109</v>
      </c>
      <c r="B553" s="8" t="s">
        <v>16</v>
      </c>
      <c r="C553" s="9" t="s">
        <v>17</v>
      </c>
      <c r="D553" s="8">
        <v>5</v>
      </c>
      <c r="E553" s="28">
        <v>52</v>
      </c>
      <c r="F553" s="8">
        <v>41</v>
      </c>
      <c r="G553" s="8">
        <v>28</v>
      </c>
      <c r="H553" s="8">
        <v>24</v>
      </c>
      <c r="I553" s="8">
        <v>5</v>
      </c>
      <c r="J553" s="10">
        <v>39806.8</v>
      </c>
      <c r="K553" s="8">
        <v>22348.43</v>
      </c>
      <c r="L553" s="11">
        <f t="shared" si="1"/>
      </c>
      <c r="M553" s="11">
        <f t="shared" si="92"/>
      </c>
      <c r="N553" s="11">
        <f t="shared" si="33"/>
      </c>
    </row>
    <row r="554">
      <c r="A554" s="7">
        <v>46109</v>
      </c>
      <c r="B554" s="8" t="s">
        <v>22</v>
      </c>
      <c r="C554" s="9" t="s">
        <v>19</v>
      </c>
      <c r="D554" s="8">
        <v>5</v>
      </c>
      <c r="E554" s="8">
        <v>39</v>
      </c>
      <c r="F554" s="8">
        <v>32</v>
      </c>
      <c r="G554" s="8">
        <v>23</v>
      </c>
      <c r="H554" s="8">
        <v>26</v>
      </c>
      <c r="I554" s="8">
        <v>4</v>
      </c>
      <c r="J554" s="10">
        <v>28414.000000000004</v>
      </c>
      <c r="K554" s="10">
        <v>18611.22</v>
      </c>
      <c r="L554" s="11">
        <f t="shared" si="1"/>
      </c>
      <c r="M554" s="11">
        <f t="shared" si="92"/>
      </c>
      <c r="N554" s="11">
        <f t="shared" si="33"/>
      </c>
    </row>
    <row r="555">
      <c r="A555" s="7">
        <v>46109</v>
      </c>
      <c r="B555" s="8" t="s">
        <v>24</v>
      </c>
      <c r="C555" s="9" t="s">
        <v>21</v>
      </c>
      <c r="D555" s="8">
        <v>5</v>
      </c>
      <c r="E555" s="8">
        <v>30</v>
      </c>
      <c r="F555" s="8">
        <v>23</v>
      </c>
      <c r="G555" s="8">
        <v>18</v>
      </c>
      <c r="H555" s="8">
        <v>14</v>
      </c>
      <c r="I555" s="8">
        <v>2</v>
      </c>
      <c r="J555" s="10">
        <v>20244.300000000003</v>
      </c>
      <c r="K555" s="10">
        <v>13268.43</v>
      </c>
      <c r="L555" s="11">
        <f t="shared" si="1"/>
      </c>
      <c r="M555" s="11">
        <f t="shared" si="92"/>
      </c>
      <c r="N555" s="11">
        <f t="shared" si="33"/>
      </c>
    </row>
    <row r="556">
      <c r="A556" s="7">
        <v>46109</v>
      </c>
      <c r="B556" s="8" t="s">
        <v>20</v>
      </c>
      <c r="C556" s="9" t="s">
        <v>23</v>
      </c>
      <c r="D556" s="8">
        <v>5</v>
      </c>
      <c r="E556" s="8">
        <v>52</v>
      </c>
      <c r="F556" s="8">
        <v>44</v>
      </c>
      <c r="G556" s="8">
        <v>34</v>
      </c>
      <c r="H556" s="8">
        <v>31</v>
      </c>
      <c r="I556" s="8">
        <v>3</v>
      </c>
      <c r="J556" s="10">
        <v>43880.000000000015</v>
      </c>
      <c r="K556" s="10">
        <v>19613.449999999997</v>
      </c>
      <c r="L556" s="11">
        <f t="shared" si="1"/>
      </c>
      <c r="M556" s="11">
        <f t="shared" si="92"/>
      </c>
      <c r="N556" s="11">
        <f>K556/H556</f>
      </c>
    </row>
    <row r="557">
      <c r="A557" s="16">
        <v>46109</v>
      </c>
      <c r="B557" s="17"/>
      <c r="C557" s="17"/>
      <c r="D557" s="17">
        <f>SUM(D553:D556)</f>
      </c>
      <c r="E557" s="17">
        <f>SUM(E553:E556)</f>
      </c>
      <c r="F557" s="17">
        <f>SUM(F553:F556)</f>
      </c>
      <c r="G557" s="17">
        <f>SUM(G553:G556)</f>
      </c>
      <c r="H557" s="17">
        <f>SUM(H553:H556)</f>
      </c>
      <c r="I557" s="17">
        <f>SUM(I553:I556)</f>
      </c>
      <c r="J557" s="17">
        <f>SUM(J553:J556)</f>
      </c>
      <c r="K557" s="17">
        <f>SUM(K553:K556)</f>
      </c>
      <c r="L557" s="18">
        <f t="shared" si="1"/>
      </c>
      <c r="M557" s="18">
        <f t="shared" si="92"/>
      </c>
      <c r="N557" s="18">
        <f t="shared" ref="N557:N560" si="34">K557/F557</f>
      </c>
    </row>
    <row r="558">
      <c r="A558" s="7">
        <v>46110</v>
      </c>
      <c r="B558" s="23" t="s">
        <v>16</v>
      </c>
      <c r="C558" s="24" t="s">
        <v>17</v>
      </c>
      <c r="D558" s="23">
        <v>5</v>
      </c>
      <c r="E558" s="29">
        <v>65</v>
      </c>
      <c r="F558" s="8">
        <v>53</v>
      </c>
      <c r="G558" s="8">
        <v>36</v>
      </c>
      <c r="H558" s="8">
        <v>40</v>
      </c>
      <c r="I558" s="8">
        <v>8</v>
      </c>
      <c r="J558" s="30">
        <v>52781.2</v>
      </c>
      <c r="K558" s="23">
        <v>21779.07</v>
      </c>
      <c r="L558" s="11">
        <f t="shared" si="1"/>
      </c>
      <c r="M558" s="11">
        <f t="shared" si="92"/>
      </c>
      <c r="N558" s="11">
        <f t="shared" si="34"/>
      </c>
    </row>
    <row r="559">
      <c r="A559" s="22">
        <v>46110</v>
      </c>
      <c r="B559" s="8" t="s">
        <v>24</v>
      </c>
      <c r="C559" s="24" t="s">
        <v>19</v>
      </c>
      <c r="D559" s="23">
        <v>5</v>
      </c>
      <c r="E559" s="23">
        <v>67</v>
      </c>
      <c r="F559" s="23">
        <v>53</v>
      </c>
      <c r="G559" s="23">
        <v>44</v>
      </c>
      <c r="H559" s="23">
        <v>33</v>
      </c>
      <c r="I559" s="23">
        <v>4</v>
      </c>
      <c r="J559" s="25">
        <v>48335.4</v>
      </c>
      <c r="K559" s="25">
        <v>23956.89</v>
      </c>
      <c r="L559" s="11">
        <f t="shared" si="1"/>
      </c>
      <c r="M559" s="11">
        <f t="shared" si="92"/>
      </c>
      <c r="N559" s="11">
        <f t="shared" si="34"/>
      </c>
    </row>
    <row r="560">
      <c r="A560" s="22">
        <v>46110</v>
      </c>
      <c r="B560" s="8" t="s">
        <v>20</v>
      </c>
      <c r="C560" s="24" t="s">
        <v>21</v>
      </c>
      <c r="D560" s="23">
        <v>5</v>
      </c>
      <c r="E560" s="23">
        <v>83</v>
      </c>
      <c r="F560" s="23">
        <v>71</v>
      </c>
      <c r="G560" s="23">
        <v>45</v>
      </c>
      <c r="H560" s="23">
        <v>49</v>
      </c>
      <c r="I560" s="23">
        <v>11</v>
      </c>
      <c r="J560" s="25">
        <v>56980.200000000004</v>
      </c>
      <c r="K560" s="25">
        <v>28835.440000000002</v>
      </c>
      <c r="L560" s="11">
        <f t="shared" si="1"/>
      </c>
      <c r="M560" s="11">
        <f t="shared" si="92"/>
      </c>
      <c r="N560" s="11">
        <f t="shared" si="34"/>
      </c>
    </row>
    <row r="561">
      <c r="A561" s="22">
        <v>46110</v>
      </c>
      <c r="B561" s="8" t="s">
        <v>22</v>
      </c>
      <c r="C561" s="24" t="s">
        <v>23</v>
      </c>
      <c r="D561" s="23">
        <v>5</v>
      </c>
      <c r="E561" s="23">
        <v>75</v>
      </c>
      <c r="F561" s="23">
        <v>54</v>
      </c>
      <c r="G561" s="23">
        <v>38</v>
      </c>
      <c r="H561" s="23">
        <v>36</v>
      </c>
      <c r="I561" s="23">
        <v>6</v>
      </c>
      <c r="J561" s="25">
        <v>49518.3</v>
      </c>
      <c r="K561" s="25">
        <v>29522.54</v>
      </c>
      <c r="L561" s="11">
        <f t="shared" si="1"/>
      </c>
      <c r="M561" s="11">
        <f t="shared" si="92"/>
      </c>
      <c r="N561" s="11">
        <f>K561/H561</f>
      </c>
    </row>
    <row r="562">
      <c r="A562" s="26">
        <v>46110</v>
      </c>
      <c r="B562" s="17"/>
      <c r="C562" s="17"/>
      <c r="D562" s="17">
        <f>SUM(D558:D561)</f>
      </c>
      <c r="E562" s="17">
        <f>SUM(E558:E561)</f>
      </c>
      <c r="F562" s="17">
        <f>SUM(F558:F561)</f>
      </c>
      <c r="G562" s="17">
        <f>SUM(G558:G561)</f>
      </c>
      <c r="H562" s="17">
        <f>SUM(H558:H561)</f>
      </c>
      <c r="I562" s="17">
        <f>SUM(I558:I561)</f>
      </c>
      <c r="J562" s="17">
        <f>SUM(J558:J561)</f>
      </c>
      <c r="K562" s="17">
        <f>SUM(K558:K561)</f>
      </c>
      <c r="L562" s="18">
        <f t="shared" si="1"/>
      </c>
      <c r="M562" s="18">
        <f t="shared" si="92"/>
      </c>
      <c r="N562" s="18">
        <f t="shared" ref="N562:N565" si="35">K562/F562</f>
      </c>
    </row>
    <row r="563">
      <c r="A563" s="7">
        <v>46111</v>
      </c>
      <c r="B563" s="23" t="s">
        <v>16</v>
      </c>
      <c r="C563" s="24" t="s">
        <v>17</v>
      </c>
      <c r="D563" s="23">
        <v>5</v>
      </c>
      <c r="E563" s="29">
        <v>64</v>
      </c>
      <c r="F563" s="8">
        <v>56</v>
      </c>
      <c r="G563" s="8">
        <v>41</v>
      </c>
      <c r="H563" s="8">
        <v>34</v>
      </c>
      <c r="I563" s="8">
        <v>5</v>
      </c>
      <c r="J563" s="30">
        <v>52223.40000000001</v>
      </c>
      <c r="K563" s="23">
        <v>23336.199999999997</v>
      </c>
      <c r="L563" s="11">
        <f t="shared" si="1"/>
      </c>
      <c r="M563" s="11">
        <f t="shared" si="92"/>
      </c>
      <c r="N563" s="11">
        <f t="shared" si="35"/>
      </c>
    </row>
    <row r="564">
      <c r="A564" s="22">
        <v>46111</v>
      </c>
      <c r="B564" s="8" t="s">
        <v>20</v>
      </c>
      <c r="C564" s="24" t="s">
        <v>19</v>
      </c>
      <c r="D564" s="23">
        <v>5</v>
      </c>
      <c r="E564" s="23">
        <v>88</v>
      </c>
      <c r="F564" s="23">
        <v>69</v>
      </c>
      <c r="G564" s="23">
        <v>52</v>
      </c>
      <c r="H564" s="23">
        <v>47</v>
      </c>
      <c r="I564" s="8">
        <v>7</v>
      </c>
      <c r="J564" s="25">
        <v>63967.200000000026</v>
      </c>
      <c r="K564" s="25">
        <v>31758.01</v>
      </c>
      <c r="L564" s="11">
        <f t="shared" si="1"/>
      </c>
      <c r="M564" s="11">
        <f t="shared" si="92"/>
      </c>
      <c r="N564" s="11">
        <f t="shared" si="35"/>
      </c>
    </row>
    <row r="565">
      <c r="A565" s="22">
        <v>46111</v>
      </c>
      <c r="B565" s="8" t="s">
        <v>24</v>
      </c>
      <c r="C565" s="24" t="s">
        <v>21</v>
      </c>
      <c r="D565" s="23">
        <v>5</v>
      </c>
      <c r="E565" s="23">
        <v>50</v>
      </c>
      <c r="F565" s="23">
        <v>42</v>
      </c>
      <c r="G565" s="23">
        <v>33</v>
      </c>
      <c r="H565" s="23">
        <v>33</v>
      </c>
      <c r="I565" s="23">
        <v>3</v>
      </c>
      <c r="J565" s="25">
        <v>36461</v>
      </c>
      <c r="K565" s="25">
        <v>28747.04</v>
      </c>
      <c r="L565" s="11">
        <f t="shared" si="1"/>
      </c>
      <c r="M565" s="11">
        <f t="shared" si="92"/>
      </c>
      <c r="N565" s="11">
        <f t="shared" si="35"/>
      </c>
    </row>
    <row r="566">
      <c r="A566" s="22">
        <v>46111</v>
      </c>
      <c r="B566" s="8" t="s">
        <v>22</v>
      </c>
      <c r="C566" s="24" t="s">
        <v>23</v>
      </c>
      <c r="D566" s="23">
        <v>5</v>
      </c>
      <c r="E566" s="23">
        <v>55</v>
      </c>
      <c r="F566" s="23">
        <v>40</v>
      </c>
      <c r="G566" s="23">
        <v>31</v>
      </c>
      <c r="H566" s="23">
        <v>28</v>
      </c>
      <c r="I566" s="23">
        <v>5</v>
      </c>
      <c r="J566" s="25">
        <v>31137.600000000006</v>
      </c>
      <c r="K566" s="10">
        <v>18661.19</v>
      </c>
      <c r="L566" s="11">
        <f t="shared" si="1"/>
      </c>
      <c r="M566" s="11">
        <f t="shared" si="92"/>
      </c>
      <c r="N566" s="11">
        <f>K566/H566</f>
      </c>
    </row>
    <row r="567">
      <c r="A567" s="26">
        <v>46111</v>
      </c>
      <c r="B567" s="17"/>
      <c r="C567" s="17"/>
      <c r="D567" s="17">
        <f>SUM(D563:D566)</f>
      </c>
      <c r="E567" s="17">
        <f>SUM(E563:E566)</f>
      </c>
      <c r="F567" s="17">
        <f>SUM(F563:F566)</f>
      </c>
      <c r="G567" s="17">
        <f>SUM(G563:G566)</f>
      </c>
      <c r="H567" s="17">
        <f>SUM(H563:H566)</f>
      </c>
      <c r="I567" s="17">
        <f>SUM(I563:I566)</f>
      </c>
      <c r="J567" s="17">
        <f>SUM(J563:J566)</f>
      </c>
      <c r="K567" s="17">
        <f>SUM(K563:K566)</f>
      </c>
      <c r="L567" s="18">
        <f t="shared" si="1"/>
      </c>
      <c r="M567" s="18">
        <f t="shared" si="92"/>
      </c>
      <c r="N567" s="18">
        <f t="shared" ref="N567:N570" si="36">K567/F567</f>
      </c>
    </row>
    <row r="568">
      <c r="A568" s="7">
        <v>46112</v>
      </c>
      <c r="B568" s="8" t="s">
        <v>24</v>
      </c>
      <c r="C568" s="24" t="s">
        <v>17</v>
      </c>
      <c r="D568" s="20">
        <v>4.5</v>
      </c>
      <c r="E568" s="29">
        <v>102</v>
      </c>
      <c r="F568" s="8">
        <v>84</v>
      </c>
      <c r="G568" s="8">
        <v>66</v>
      </c>
      <c r="H568" s="8">
        <v>58</v>
      </c>
      <c r="I568" s="8">
        <v>6</v>
      </c>
      <c r="J568" s="10">
        <v>73139.2</v>
      </c>
      <c r="K568" s="8">
        <v>43308.909999999996</v>
      </c>
      <c r="L568" s="11">
        <f t="shared" si="1"/>
      </c>
      <c r="M568" s="11">
        <f t="shared" si="92"/>
      </c>
      <c r="N568" s="11">
        <f t="shared" si="36"/>
      </c>
    </row>
    <row r="569">
      <c r="A569" s="7">
        <v>46112</v>
      </c>
      <c r="B569" s="8" t="s">
        <v>16</v>
      </c>
      <c r="C569" s="24" t="s">
        <v>19</v>
      </c>
      <c r="D569" s="23">
        <v>5</v>
      </c>
      <c r="E569" s="23">
        <v>96</v>
      </c>
      <c r="F569" s="23">
        <v>74</v>
      </c>
      <c r="G569" s="23">
        <v>54</v>
      </c>
      <c r="H569" s="23">
        <v>51</v>
      </c>
      <c r="I569" s="8">
        <v>9</v>
      </c>
      <c r="J569" s="25">
        <v>58333.80000000002</v>
      </c>
      <c r="K569" s="25">
        <v>41400.15</v>
      </c>
      <c r="L569" s="11">
        <f t="shared" si="1"/>
      </c>
      <c r="M569" s="11">
        <f t="shared" si="92"/>
      </c>
      <c r="N569" s="11">
        <f t="shared" si="36"/>
      </c>
    </row>
    <row r="570">
      <c r="A570" s="7">
        <v>46112</v>
      </c>
      <c r="B570" s="8" t="s">
        <v>56</v>
      </c>
      <c r="C570" s="9" t="s">
        <v>45</v>
      </c>
      <c r="D570" s="8">
        <v>4</v>
      </c>
      <c r="E570" s="23">
        <v>37</v>
      </c>
      <c r="F570" s="23">
        <v>29</v>
      </c>
      <c r="G570" s="23">
        <v>23</v>
      </c>
      <c r="H570" s="23">
        <v>16</v>
      </c>
      <c r="I570" s="23">
        <v>2</v>
      </c>
      <c r="J570" s="25">
        <v>28625.199999999997</v>
      </c>
      <c r="K570" s="25">
        <v>20637.51</v>
      </c>
      <c r="L570" s="11">
        <f t="shared" si="1"/>
      </c>
      <c r="M570" s="11">
        <f t="shared" si="92"/>
      </c>
      <c r="N570" s="11">
        <f t="shared" si="36"/>
      </c>
    </row>
    <row r="571">
      <c r="A571" s="7">
        <v>46112</v>
      </c>
      <c r="B571" s="8" t="s">
        <v>20</v>
      </c>
      <c r="C571" s="9" t="s">
        <v>46</v>
      </c>
      <c r="D571" s="20">
        <v>4.5</v>
      </c>
      <c r="E571" s="23">
        <v>110</v>
      </c>
      <c r="F571" s="23">
        <v>88</v>
      </c>
      <c r="G571" s="23">
        <v>39</v>
      </c>
      <c r="H571" s="23">
        <v>64</v>
      </c>
      <c r="I571" s="23">
        <v>11</v>
      </c>
      <c r="J571" s="25">
        <v>72772.59999999999</v>
      </c>
      <c r="K571" s="10">
        <v>29388.11</v>
      </c>
      <c r="L571" s="11">
        <f t="shared" si="1"/>
      </c>
      <c r="M571" s="11">
        <f t="shared" si="92"/>
      </c>
      <c r="N571" s="11">
        <f>K571/H571</f>
      </c>
    </row>
    <row r="572">
      <c r="A572" s="16">
        <v>46112</v>
      </c>
      <c r="B572" s="17"/>
      <c r="C572" s="17"/>
      <c r="D572" s="17">
        <f>SUM(D568:D571)</f>
      </c>
      <c r="E572" s="17">
        <f>SUM(E568:E571)</f>
      </c>
      <c r="F572" s="17">
        <f>SUM(F568:F571)</f>
      </c>
      <c r="G572" s="17">
        <f>SUM(G568:G571)</f>
      </c>
      <c r="H572" s="17">
        <f>SUM(H568:H571)</f>
      </c>
      <c r="I572" s="17">
        <f>SUM(I568:I571)</f>
      </c>
      <c r="J572" s="17">
        <f>SUM(J568:J571)</f>
      </c>
      <c r="K572" s="17">
        <f>SUM(K568:K571)</f>
      </c>
      <c r="L572" s="18">
        <f t="shared" si="1"/>
      </c>
      <c r="M572" s="18">
        <f t="shared" si="92"/>
      </c>
      <c r="N572" s="18">
        <f t="shared" ref="N572:N576" si="37">K572/F572</f>
      </c>
    </row>
    <row r="573">
      <c r="A573" s="7">
        <v>46113</v>
      </c>
      <c r="B573" s="8" t="s">
        <v>16</v>
      </c>
      <c r="C573" s="24" t="s">
        <v>17</v>
      </c>
      <c r="D573" s="23">
        <v>5</v>
      </c>
      <c r="E573" s="29">
        <v>56</v>
      </c>
      <c r="F573" s="8">
        <v>42</v>
      </c>
      <c r="G573" s="8">
        <v>37</v>
      </c>
      <c r="H573" s="8">
        <v>30</v>
      </c>
      <c r="I573" s="8">
        <v>2</v>
      </c>
      <c r="J573" s="10">
        <v>39520.2</v>
      </c>
      <c r="K573" s="8">
        <v>36193.94</v>
      </c>
      <c r="L573" s="11">
        <f t="shared" si="1"/>
      </c>
      <c r="M573" s="11">
        <f t="shared" si="92"/>
      </c>
      <c r="N573" s="11">
        <f t="shared" si="37"/>
      </c>
    </row>
    <row r="574">
      <c r="A574" s="7">
        <v>46113</v>
      </c>
      <c r="B574" s="8" t="s">
        <v>22</v>
      </c>
      <c r="C574" s="9" t="s">
        <v>57</v>
      </c>
      <c r="D574" s="8">
        <v>2</v>
      </c>
      <c r="E574" s="23">
        <v>33</v>
      </c>
      <c r="F574" s="23">
        <v>21</v>
      </c>
      <c r="G574" s="23">
        <v>20</v>
      </c>
      <c r="H574" s="23">
        <v>11</v>
      </c>
      <c r="I574" s="8">
        <v>1</v>
      </c>
      <c r="J574" s="25">
        <v>21935.6</v>
      </c>
      <c r="K574" s="25">
        <v>10939.28</v>
      </c>
      <c r="L574" s="11">
        <f t="shared" si="1"/>
      </c>
      <c r="M574" s="11">
        <f t="shared" si="92"/>
      </c>
      <c r="N574" s="11">
        <f t="shared" si="37"/>
      </c>
    </row>
    <row r="575">
      <c r="A575" s="7">
        <v>46113</v>
      </c>
      <c r="B575" s="8" t="s">
        <v>20</v>
      </c>
      <c r="C575" s="9" t="s">
        <v>58</v>
      </c>
      <c r="D575" s="8">
        <v>5</v>
      </c>
      <c r="E575" s="23">
        <v>155</v>
      </c>
      <c r="F575" s="23">
        <v>125</v>
      </c>
      <c r="G575" s="23">
        <v>90</v>
      </c>
      <c r="H575" s="23">
        <v>87</v>
      </c>
      <c r="I575" s="23">
        <v>13</v>
      </c>
      <c r="J575" s="25">
        <v>109743.8</v>
      </c>
      <c r="K575" s="25">
        <v>47701.53</v>
      </c>
      <c r="L575" s="11">
        <f t="shared" si="1"/>
      </c>
      <c r="M575" s="11">
        <f t="shared" si="92"/>
      </c>
      <c r="N575" s="11">
        <f t="shared" si="37"/>
      </c>
    </row>
    <row r="576">
      <c r="A576" s="7">
        <v>46113</v>
      </c>
      <c r="B576" s="8" t="s">
        <v>56</v>
      </c>
      <c r="C576" s="9" t="s">
        <v>26</v>
      </c>
      <c r="D576" s="8">
        <v>3</v>
      </c>
      <c r="E576" s="23">
        <v>50</v>
      </c>
      <c r="F576" s="23">
        <v>35</v>
      </c>
      <c r="G576" s="23">
        <v>27</v>
      </c>
      <c r="H576" s="23">
        <v>23</v>
      </c>
      <c r="I576" s="23">
        <v>4</v>
      </c>
      <c r="J576" s="25">
        <v>39825</v>
      </c>
      <c r="K576" s="25">
        <v>27436.869999999995</v>
      </c>
      <c r="L576" s="11">
        <f t="shared" si="1"/>
      </c>
      <c r="M576" s="11">
        <f t="shared" si="92"/>
      </c>
      <c r="N576" s="11">
        <f t="shared" si="37"/>
      </c>
    </row>
    <row r="577">
      <c r="A577" s="7">
        <v>46113</v>
      </c>
      <c r="B577" s="8" t="s">
        <v>24</v>
      </c>
      <c r="C577" s="9" t="s">
        <v>23</v>
      </c>
      <c r="D577" s="31">
        <v>5</v>
      </c>
      <c r="E577" s="32">
        <v>59</v>
      </c>
      <c r="F577" s="33">
        <v>43</v>
      </c>
      <c r="G577" s="23">
        <v>35</v>
      </c>
      <c r="H577" s="23">
        <v>31</v>
      </c>
      <c r="I577" s="23">
        <v>6</v>
      </c>
      <c r="J577" s="25">
        <v>46465.00000000003</v>
      </c>
      <c r="K577" s="10">
        <v>28531.89</v>
      </c>
      <c r="L577" s="11">
        <f t="shared" si="1"/>
      </c>
      <c r="M577" s="11">
        <f t="shared" si="92"/>
      </c>
      <c r="N577" s="11">
        <f>K577/H577</f>
      </c>
    </row>
    <row r="578">
      <c r="A578" s="16">
        <v>46113</v>
      </c>
      <c r="B578" s="17"/>
      <c r="C578" s="17"/>
      <c r="D578" s="17">
        <f>SUM(D573:D577)</f>
      </c>
      <c r="E578" s="17">
        <f>SUM(E573:E577)</f>
      </c>
      <c r="F578" s="17">
        <f>SUM(F573:F577)</f>
      </c>
      <c r="G578" s="17">
        <f>SUM(G573:G577)</f>
      </c>
      <c r="H578" s="17">
        <f>SUM(H573:H577)</f>
      </c>
      <c r="I578" s="17">
        <f>SUM(I573:I577)</f>
      </c>
      <c r="J578" s="17">
        <f>SUM(J573:J577)</f>
      </c>
      <c r="K578" s="17">
        <f>SUM(K573:K577)</f>
      </c>
      <c r="L578" s="18">
        <f t="shared" si="1"/>
      </c>
      <c r="M578" s="18">
        <f t="shared" si="92"/>
      </c>
      <c r="N578" s="18">
        <f t="shared" ref="N578:N582" si="38">K578/F578</f>
      </c>
    </row>
    <row r="579">
      <c r="A579" s="7">
        <v>46114</v>
      </c>
      <c r="B579" s="8" t="s">
        <v>16</v>
      </c>
      <c r="C579" s="9" t="s">
        <v>34</v>
      </c>
      <c r="D579" s="8">
        <v>4</v>
      </c>
      <c r="E579" s="29">
        <v>55</v>
      </c>
      <c r="F579" s="8">
        <v>46</v>
      </c>
      <c r="G579" s="8">
        <v>26</v>
      </c>
      <c r="H579" s="8">
        <v>40</v>
      </c>
      <c r="I579" s="8">
        <v>8</v>
      </c>
      <c r="J579" s="10">
        <v>37839.20000000001</v>
      </c>
      <c r="K579" s="8">
        <v>23379.84</v>
      </c>
      <c r="L579" s="11">
        <f t="shared" si="1"/>
      </c>
      <c r="M579" s="11">
        <f t="shared" si="92"/>
      </c>
      <c r="N579" s="11">
        <f t="shared" si="38"/>
      </c>
    </row>
    <row r="580">
      <c r="A580" s="7">
        <v>46114</v>
      </c>
      <c r="B580" s="8" t="s">
        <v>20</v>
      </c>
      <c r="C580" s="9" t="s">
        <v>35</v>
      </c>
      <c r="D580" s="8">
        <v>5</v>
      </c>
      <c r="E580" s="8">
        <v>69</v>
      </c>
      <c r="F580" s="8">
        <v>52</v>
      </c>
      <c r="G580" s="8">
        <v>44</v>
      </c>
      <c r="H580" s="8">
        <v>37</v>
      </c>
      <c r="I580" s="8">
        <v>10</v>
      </c>
      <c r="J580" s="25">
        <v>45407.60000000001</v>
      </c>
      <c r="K580" s="25">
        <v>27520.69</v>
      </c>
      <c r="L580" s="11">
        <f t="shared" si="1"/>
      </c>
      <c r="M580" s="11">
        <f t="shared" si="92"/>
      </c>
      <c r="N580" s="11">
        <f t="shared" si="38"/>
      </c>
    </row>
    <row r="581">
      <c r="A581" s="7">
        <v>46114</v>
      </c>
      <c r="B581" s="8" t="s">
        <v>56</v>
      </c>
      <c r="C581" s="9" t="s">
        <v>59</v>
      </c>
      <c r="D581" s="8">
        <v>2</v>
      </c>
      <c r="E581" s="8">
        <v>20</v>
      </c>
      <c r="F581" s="8">
        <v>16</v>
      </c>
      <c r="G581" s="8">
        <v>12</v>
      </c>
      <c r="H581" s="8">
        <v>14</v>
      </c>
      <c r="I581" s="8">
        <v>3</v>
      </c>
      <c r="J581" s="25">
        <v>9754.799999999992</v>
      </c>
      <c r="K581" s="25">
        <v>10661.220000000001</v>
      </c>
      <c r="L581" s="11">
        <f t="shared" si="1"/>
      </c>
      <c r="M581" s="11">
        <f t="shared" si="92"/>
      </c>
      <c r="N581" s="11">
        <f t="shared" si="38"/>
      </c>
    </row>
    <row r="582">
      <c r="A582" s="7">
        <v>46114</v>
      </c>
      <c r="B582" s="8" t="s">
        <v>24</v>
      </c>
      <c r="C582" s="9" t="s">
        <v>44</v>
      </c>
      <c r="D582" s="8">
        <v>4</v>
      </c>
      <c r="E582" s="8">
        <v>44</v>
      </c>
      <c r="F582" s="8">
        <v>38</v>
      </c>
      <c r="G582" s="8">
        <v>28</v>
      </c>
      <c r="H582" s="8">
        <v>26</v>
      </c>
      <c r="I582" s="8">
        <v>5</v>
      </c>
      <c r="J582" s="25">
        <v>29820.499999999993</v>
      </c>
      <c r="K582" s="25">
        <v>18613.589999999997</v>
      </c>
      <c r="L582" s="11">
        <f t="shared" si="1"/>
      </c>
      <c r="M582" s="11">
        <f t="shared" si="92"/>
      </c>
      <c r="N582" s="11">
        <f t="shared" si="38"/>
      </c>
    </row>
    <row r="583">
      <c r="A583" s="7">
        <v>46114</v>
      </c>
      <c r="B583" s="8" t="s">
        <v>22</v>
      </c>
      <c r="C583" s="9" t="s">
        <v>23</v>
      </c>
      <c r="D583" s="8">
        <v>5</v>
      </c>
      <c r="E583" s="8">
        <v>69</v>
      </c>
      <c r="F583" s="8">
        <v>51</v>
      </c>
      <c r="G583" s="8">
        <v>39</v>
      </c>
      <c r="H583" s="8">
        <v>41</v>
      </c>
      <c r="I583" s="8">
        <v>6</v>
      </c>
      <c r="J583" s="25">
        <v>42197.8</v>
      </c>
      <c r="K583" s="10">
        <v>30155.340000000004</v>
      </c>
      <c r="L583" s="11">
        <f t="shared" si="1"/>
      </c>
      <c r="M583" s="11">
        <f t="shared" si="92"/>
      </c>
      <c r="N583" s="11">
        <f>K583/H583</f>
      </c>
    </row>
    <row r="584">
      <c r="A584" s="16">
        <v>46114</v>
      </c>
      <c r="B584" s="17"/>
      <c r="C584" s="17"/>
      <c r="D584" s="17">
        <f>SUM(D579:D583)</f>
      </c>
      <c r="E584" s="17">
        <f>SUM(E579:E583)</f>
      </c>
      <c r="F584" s="17">
        <f>SUM(F579:F583)</f>
      </c>
      <c r="G584" s="17">
        <f>SUM(G579:G583)</f>
      </c>
      <c r="H584" s="17">
        <f>SUM(H579:H583)</f>
      </c>
      <c r="I584" s="17">
        <f>SUM(I579:I583)</f>
      </c>
      <c r="J584" s="17">
        <f>SUM(J579:J583)</f>
      </c>
      <c r="K584" s="17">
        <f>SUM(K579:K583)</f>
      </c>
      <c r="L584" s="18">
        <f t="shared" si="1"/>
      </c>
      <c r="M584" s="18">
        <f t="shared" si="92"/>
      </c>
      <c r="N584" s="18">
        <f t="shared" ref="N584:N588" si="39">K584/F584</f>
      </c>
    </row>
    <row r="585">
      <c r="A585" s="7">
        <v>46115</v>
      </c>
      <c r="B585" s="8" t="s">
        <v>16</v>
      </c>
      <c r="C585" s="9" t="s">
        <v>17</v>
      </c>
      <c r="D585" s="31">
        <v>5</v>
      </c>
      <c r="E585" s="34">
        <v>52</v>
      </c>
      <c r="F585" s="35">
        <v>40</v>
      </c>
      <c r="G585" s="8">
        <v>27</v>
      </c>
      <c r="H585" s="8">
        <v>27</v>
      </c>
      <c r="I585" s="8">
        <v>4</v>
      </c>
      <c r="J585" s="10">
        <v>38052.8</v>
      </c>
      <c r="K585" s="8">
        <v>23935.78</v>
      </c>
      <c r="L585" s="11">
        <f t="shared" si="1"/>
      </c>
      <c r="M585" s="11">
        <f t="shared" si="92"/>
      </c>
      <c r="N585" s="11">
        <f t="shared" si="39"/>
      </c>
    </row>
    <row r="586">
      <c r="A586" s="7">
        <v>46115</v>
      </c>
      <c r="B586" s="8" t="s">
        <v>20</v>
      </c>
      <c r="C586" s="9" t="s">
        <v>30</v>
      </c>
      <c r="D586" s="8">
        <v>4</v>
      </c>
      <c r="E586" s="8">
        <v>66</v>
      </c>
      <c r="F586" s="8">
        <v>51</v>
      </c>
      <c r="G586" s="8">
        <v>38</v>
      </c>
      <c r="H586" s="8">
        <v>33</v>
      </c>
      <c r="I586" s="8">
        <v>3</v>
      </c>
      <c r="J586" s="25">
        <v>40561.500000000015</v>
      </c>
      <c r="K586" s="25">
        <v>22208.309999999998</v>
      </c>
      <c r="L586" s="11">
        <f t="shared" si="1"/>
      </c>
      <c r="M586" s="11">
        <f t="shared" si="92"/>
      </c>
      <c r="N586" s="11">
        <f t="shared" si="39"/>
      </c>
    </row>
    <row r="587">
      <c r="A587" s="7">
        <v>46115</v>
      </c>
      <c r="B587" s="8" t="s">
        <v>60</v>
      </c>
      <c r="C587" s="9" t="s">
        <v>59</v>
      </c>
      <c r="D587" s="8">
        <v>2</v>
      </c>
      <c r="E587" s="8">
        <v>14</v>
      </c>
      <c r="F587" s="8">
        <v>8</v>
      </c>
      <c r="G587" s="8">
        <v>7</v>
      </c>
      <c r="H587" s="8">
        <v>6</v>
      </c>
      <c r="I587" s="8">
        <v>1</v>
      </c>
      <c r="J587" s="25">
        <v>5709.5999999999985</v>
      </c>
      <c r="K587" s="25">
        <v>9622.93</v>
      </c>
      <c r="L587" s="11">
        <f t="shared" si="1"/>
      </c>
      <c r="M587" s="11">
        <f t="shared" si="92"/>
      </c>
      <c r="N587" s="11">
        <f t="shared" si="39"/>
      </c>
    </row>
    <row r="588">
      <c r="A588" s="7">
        <v>46115</v>
      </c>
      <c r="B588" s="8" t="s">
        <v>24</v>
      </c>
      <c r="C588" s="9" t="s">
        <v>44</v>
      </c>
      <c r="D588" s="8">
        <v>4</v>
      </c>
      <c r="E588" s="8">
        <v>38</v>
      </c>
      <c r="F588" s="8">
        <v>26</v>
      </c>
      <c r="G588" s="8">
        <v>22</v>
      </c>
      <c r="H588" s="8">
        <v>19</v>
      </c>
      <c r="I588" s="8">
        <v>0</v>
      </c>
      <c r="J588" s="25">
        <v>17089.799999999996</v>
      </c>
      <c r="K588" s="25">
        <v>15313.619999999999</v>
      </c>
      <c r="L588" s="11">
        <f t="shared" si="1"/>
      </c>
      <c r="M588" s="11">
        <f t="shared" si="92"/>
      </c>
      <c r="N588" s="11">
        <f t="shared" si="39"/>
      </c>
    </row>
    <row r="589">
      <c r="A589" s="7">
        <v>46115</v>
      </c>
      <c r="B589" s="8" t="s">
        <v>22</v>
      </c>
      <c r="C589" s="9" t="s">
        <v>23</v>
      </c>
      <c r="D589" s="8">
        <v>5</v>
      </c>
      <c r="E589" s="8">
        <v>75</v>
      </c>
      <c r="F589" s="8">
        <v>55</v>
      </c>
      <c r="G589" s="8">
        <v>42</v>
      </c>
      <c r="H589" s="8">
        <v>34</v>
      </c>
      <c r="I589" s="8">
        <v>4</v>
      </c>
      <c r="J589" s="25">
        <v>52714.200000000004</v>
      </c>
      <c r="K589" s="10">
        <v>26441.050000000003</v>
      </c>
      <c r="L589" s="11">
        <f t="shared" si="1"/>
      </c>
      <c r="M589" s="11">
        <f t="shared" si="92"/>
      </c>
      <c r="N589" s="11">
        <f>K589/H589</f>
      </c>
    </row>
    <row r="590">
      <c r="A590" s="16">
        <v>46115</v>
      </c>
      <c r="B590" s="17"/>
      <c r="C590" s="17"/>
      <c r="D590" s="17">
        <f>SUM(D585:D589)</f>
      </c>
      <c r="E590" s="17">
        <f>SUM(E585:E589)</f>
      </c>
      <c r="F590" s="17">
        <f>SUM(F585:F589)</f>
      </c>
      <c r="G590" s="17">
        <f>SUM(G585:G589)</f>
      </c>
      <c r="H590" s="17">
        <f>SUM(H585:H589)</f>
      </c>
      <c r="I590" s="17">
        <f>SUM(I585:I589)</f>
      </c>
      <c r="J590" s="17">
        <f>SUM(J585:J589)</f>
      </c>
      <c r="K590" s="17">
        <f>SUM(K585:K589)</f>
      </c>
      <c r="L590" s="18">
        <f t="shared" si="1"/>
      </c>
      <c r="M590" s="18">
        <f t="shared" si="92"/>
      </c>
      <c r="N590" s="18">
        <f t="shared" ref="N590:N594" si="40">K590/F590</f>
      </c>
    </row>
    <row r="591">
      <c r="A591" s="7">
        <v>46116</v>
      </c>
      <c r="B591" s="8" t="s">
        <v>24</v>
      </c>
      <c r="C591" s="9" t="s">
        <v>17</v>
      </c>
      <c r="D591" s="31">
        <v>5</v>
      </c>
      <c r="E591" s="34">
        <v>59</v>
      </c>
      <c r="F591" s="35">
        <v>50</v>
      </c>
      <c r="G591" s="8">
        <v>38</v>
      </c>
      <c r="H591" s="8">
        <v>30</v>
      </c>
      <c r="I591" s="8">
        <v>5</v>
      </c>
      <c r="J591" s="10">
        <v>43588.3</v>
      </c>
      <c r="K591" s="8">
        <v>28390.26</v>
      </c>
      <c r="L591" s="11">
        <f t="shared" si="1"/>
      </c>
      <c r="M591" s="11">
        <f t="shared" si="92"/>
      </c>
      <c r="N591" s="11">
        <f t="shared" si="40"/>
      </c>
    </row>
    <row r="592">
      <c r="A592" s="7">
        <v>46116</v>
      </c>
      <c r="B592" s="8" t="s">
        <v>16</v>
      </c>
      <c r="C592" s="9" t="s">
        <v>19</v>
      </c>
      <c r="D592" s="8">
        <v>5</v>
      </c>
      <c r="E592" s="8">
        <v>34</v>
      </c>
      <c r="F592" s="8">
        <v>28</v>
      </c>
      <c r="G592" s="8">
        <v>24</v>
      </c>
      <c r="H592" s="8">
        <v>16</v>
      </c>
      <c r="I592" s="8">
        <v>2</v>
      </c>
      <c r="J592" s="25">
        <v>32188</v>
      </c>
      <c r="K592" s="25">
        <v>17986.27</v>
      </c>
      <c r="L592" s="11">
        <f t="shared" si="1"/>
      </c>
      <c r="M592" s="11">
        <f t="shared" si="92"/>
      </c>
      <c r="N592" s="11">
        <f t="shared" si="40"/>
      </c>
    </row>
    <row r="593">
      <c r="A593" s="7">
        <v>46116</v>
      </c>
      <c r="B593" s="8" t="s">
        <v>60</v>
      </c>
      <c r="C593" s="9" t="s">
        <v>25</v>
      </c>
      <c r="D593" s="8">
        <v>2</v>
      </c>
      <c r="E593" s="8">
        <v>24</v>
      </c>
      <c r="F593" s="8">
        <v>19</v>
      </c>
      <c r="G593" s="8">
        <v>12</v>
      </c>
      <c r="H593" s="8">
        <v>11</v>
      </c>
      <c r="I593" s="8">
        <v>2</v>
      </c>
      <c r="J593" s="25">
        <v>20539.4</v>
      </c>
      <c r="K593" s="25">
        <v>6250.8</v>
      </c>
      <c r="L593" s="11">
        <f t="shared" si="1"/>
      </c>
      <c r="M593" s="11">
        <f t="shared" si="92"/>
      </c>
      <c r="N593" s="11">
        <f t="shared" si="40"/>
      </c>
    </row>
    <row r="594">
      <c r="A594" s="7">
        <v>46116</v>
      </c>
      <c r="B594" s="8" t="s">
        <v>56</v>
      </c>
      <c r="C594" s="9" t="s">
        <v>26</v>
      </c>
      <c r="D594" s="8">
        <v>3</v>
      </c>
      <c r="E594" s="8">
        <v>19</v>
      </c>
      <c r="F594" s="8">
        <v>12</v>
      </c>
      <c r="G594" s="8">
        <v>11</v>
      </c>
      <c r="H594" s="8">
        <v>9</v>
      </c>
      <c r="I594" s="8">
        <v>0</v>
      </c>
      <c r="J594" s="25">
        <v>12094.799999999996</v>
      </c>
      <c r="K594" s="25">
        <v>9728.380000000001</v>
      </c>
      <c r="L594" s="11">
        <f t="shared" si="1"/>
      </c>
      <c r="M594" s="11">
        <f t="shared" si="92"/>
      </c>
      <c r="N594" s="11">
        <f t="shared" si="40"/>
      </c>
    </row>
    <row r="595">
      <c r="A595" s="7">
        <v>46116</v>
      </c>
      <c r="B595" s="8" t="s">
        <v>22</v>
      </c>
      <c r="C595" s="9" t="s">
        <v>23</v>
      </c>
      <c r="D595" s="8">
        <v>5</v>
      </c>
      <c r="E595" s="8">
        <v>36</v>
      </c>
      <c r="F595" s="8">
        <v>28</v>
      </c>
      <c r="G595" s="8">
        <v>22</v>
      </c>
      <c r="H595" s="8">
        <v>19</v>
      </c>
      <c r="I595" s="8">
        <v>1</v>
      </c>
      <c r="J595" s="25">
        <v>23830.79999999998</v>
      </c>
      <c r="K595" s="10">
        <v>16184.5</v>
      </c>
      <c r="L595" s="11">
        <f t="shared" si="1"/>
      </c>
      <c r="M595" s="11">
        <f t="shared" si="92"/>
      </c>
      <c r="N595" s="11">
        <f>K595/H595</f>
      </c>
    </row>
    <row r="596">
      <c r="A596" s="16">
        <v>46116</v>
      </c>
      <c r="B596" s="17"/>
      <c r="C596" s="17"/>
      <c r="D596" s="17">
        <f>SUM(D591:D595)</f>
      </c>
      <c r="E596" s="17">
        <f>SUM(E591:E595)</f>
      </c>
      <c r="F596" s="17">
        <f>SUM(F591:F595)</f>
      </c>
      <c r="G596" s="17">
        <f>SUM(G591:G595)</f>
      </c>
      <c r="H596" s="17">
        <f>SUM(H591:H595)</f>
      </c>
      <c r="I596" s="17">
        <f>SUM(I591:I595)</f>
      </c>
      <c r="J596" s="17">
        <f>SUM(J591:J595)</f>
      </c>
      <c r="K596" s="17">
        <f>SUM(K591:K595)</f>
      </c>
      <c r="L596" s="18">
        <f t="shared" si="1"/>
      </c>
      <c r="M596" s="18">
        <f t="shared" si="92"/>
      </c>
      <c r="N596" s="18">
        <f t="shared" ref="N596:N600" si="41">K596/F596</f>
      </c>
    </row>
    <row r="597">
      <c r="A597" s="7">
        <v>46117</v>
      </c>
      <c r="B597" s="8" t="s">
        <v>16</v>
      </c>
      <c r="C597" s="9" t="s">
        <v>17</v>
      </c>
      <c r="D597" s="31">
        <v>5</v>
      </c>
      <c r="E597" s="34">
        <v>69</v>
      </c>
      <c r="F597" s="35">
        <v>57</v>
      </c>
      <c r="G597" s="8">
        <v>38</v>
      </c>
      <c r="H597" s="8">
        <v>38</v>
      </c>
      <c r="I597" s="8">
        <v>5</v>
      </c>
      <c r="J597" s="10">
        <v>49003.8</v>
      </c>
      <c r="K597" s="8">
        <v>28822.54</v>
      </c>
      <c r="L597" s="11">
        <f t="shared" si="1"/>
      </c>
      <c r="M597" s="11">
        <f t="shared" si="92"/>
      </c>
      <c r="N597" s="11">
        <f t="shared" si="41"/>
      </c>
    </row>
    <row r="598">
      <c r="A598" s="7">
        <v>46117</v>
      </c>
      <c r="B598" s="8" t="s">
        <v>22</v>
      </c>
      <c r="C598" s="9" t="s">
        <v>19</v>
      </c>
      <c r="D598" s="8">
        <v>5</v>
      </c>
      <c r="E598" s="8">
        <v>37</v>
      </c>
      <c r="F598" s="8">
        <v>21</v>
      </c>
      <c r="G598" s="8">
        <v>21</v>
      </c>
      <c r="H598" s="8">
        <v>11</v>
      </c>
      <c r="I598" s="8">
        <v>0</v>
      </c>
      <c r="J598" s="25">
        <v>23047.200000000004</v>
      </c>
      <c r="K598" s="25">
        <v>17074.120000000003</v>
      </c>
      <c r="L598" s="11">
        <f t="shared" si="1"/>
      </c>
      <c r="M598" s="11">
        <f t="shared" si="92"/>
      </c>
      <c r="N598" s="11">
        <f t="shared" si="41"/>
      </c>
    </row>
    <row r="599">
      <c r="A599" s="7">
        <v>46117</v>
      </c>
      <c r="B599" s="8" t="s">
        <v>60</v>
      </c>
      <c r="C599" s="9" t="s">
        <v>25</v>
      </c>
      <c r="D599" s="8">
        <v>2</v>
      </c>
      <c r="E599" s="8">
        <v>5</v>
      </c>
      <c r="F599" s="8">
        <v>2</v>
      </c>
      <c r="G599" s="8">
        <v>4</v>
      </c>
      <c r="H599" s="8">
        <v>0</v>
      </c>
      <c r="I599" s="8">
        <v>0</v>
      </c>
      <c r="J599" s="25">
        <v>2395.199999999997</v>
      </c>
      <c r="K599" s="25">
        <v>6176.1900000000005</v>
      </c>
      <c r="L599" s="11">
        <f t="shared" si="1"/>
      </c>
      <c r="M599" s="11">
        <f t="shared" si="92"/>
      </c>
      <c r="N599" s="11">
        <f t="shared" si="41"/>
      </c>
    </row>
    <row r="600">
      <c r="A600" s="7">
        <v>46117</v>
      </c>
      <c r="B600" s="8" t="s">
        <v>56</v>
      </c>
      <c r="C600" s="9" t="s">
        <v>26</v>
      </c>
      <c r="D600" s="8">
        <v>3</v>
      </c>
      <c r="E600" s="8">
        <v>27</v>
      </c>
      <c r="F600" s="8">
        <v>19</v>
      </c>
      <c r="G600" s="8">
        <v>15</v>
      </c>
      <c r="H600" s="8">
        <v>13</v>
      </c>
      <c r="I600" s="8">
        <v>3</v>
      </c>
      <c r="J600" s="25">
        <v>17444.799999999996</v>
      </c>
      <c r="K600" s="25">
        <v>9445.67</v>
      </c>
      <c r="L600" s="11">
        <f t="shared" si="1"/>
      </c>
      <c r="M600" s="11">
        <f t="shared" si="92"/>
      </c>
      <c r="N600" s="11">
        <f t="shared" si="41"/>
      </c>
    </row>
    <row r="601">
      <c r="A601" s="7">
        <v>46117</v>
      </c>
      <c r="B601" s="8" t="s">
        <v>24</v>
      </c>
      <c r="C601" s="9" t="s">
        <v>23</v>
      </c>
      <c r="D601" s="8">
        <v>5</v>
      </c>
      <c r="E601" s="8">
        <v>44</v>
      </c>
      <c r="F601" s="8">
        <v>35</v>
      </c>
      <c r="G601" s="8">
        <v>24</v>
      </c>
      <c r="H601" s="8">
        <v>29</v>
      </c>
      <c r="I601" s="8">
        <v>5</v>
      </c>
      <c r="J601" s="25">
        <v>27421.000000000007</v>
      </c>
      <c r="K601" s="10">
        <v>17929.26</v>
      </c>
      <c r="L601" s="11">
        <f t="shared" si="1"/>
      </c>
      <c r="M601" s="11">
        <f t="shared" si="92"/>
      </c>
      <c r="N601" s="11">
        <f>K601/H601</f>
      </c>
    </row>
    <row r="602">
      <c r="A602" s="16">
        <v>46117</v>
      </c>
      <c r="B602" s="17"/>
      <c r="C602" s="17"/>
      <c r="D602" s="17">
        <f>SUM(D597:D601)</f>
      </c>
      <c r="E602" s="17">
        <f>SUM(E597:E601)</f>
      </c>
      <c r="F602" s="17">
        <f>SUM(F597:F601)</f>
      </c>
      <c r="G602" s="17">
        <f>SUM(G597:G601)</f>
      </c>
      <c r="H602" s="17">
        <f>SUM(H597:H601)</f>
      </c>
      <c r="I602" s="17">
        <f>SUM(I597:I601)</f>
      </c>
      <c r="J602" s="17">
        <f>SUM(J597:J601)</f>
      </c>
      <c r="K602" s="17">
        <f>SUM(K597:K601)</f>
      </c>
      <c r="L602" s="18">
        <f t="shared" si="1"/>
      </c>
      <c r="M602" s="18">
        <f t="shared" si="92"/>
      </c>
      <c r="N602" s="18">
        <f t="shared" ref="N602:N606" si="42">K602/F602</f>
      </c>
    </row>
    <row r="603">
      <c r="A603" s="7">
        <v>46118</v>
      </c>
      <c r="B603" s="8" t="s">
        <v>20</v>
      </c>
      <c r="C603" s="9" t="s">
        <v>17</v>
      </c>
      <c r="D603" s="31">
        <v>5</v>
      </c>
      <c r="E603" s="34">
        <v>68</v>
      </c>
      <c r="F603" s="35">
        <v>43</v>
      </c>
      <c r="G603" s="8">
        <v>35</v>
      </c>
      <c r="H603" s="8">
        <v>30</v>
      </c>
      <c r="I603" s="8">
        <v>3</v>
      </c>
      <c r="J603" s="10">
        <v>41388.40000000001</v>
      </c>
      <c r="K603" s="8">
        <v>26803.8</v>
      </c>
      <c r="L603" s="11">
        <f t="shared" si="1"/>
      </c>
      <c r="M603" s="11">
        <f t="shared" si="92"/>
      </c>
      <c r="N603" s="11">
        <f t="shared" si="42"/>
      </c>
    </row>
    <row r="604">
      <c r="A604" s="7">
        <v>46118</v>
      </c>
      <c r="B604" s="8" t="s">
        <v>16</v>
      </c>
      <c r="C604" s="9" t="s">
        <v>30</v>
      </c>
      <c r="D604" s="8">
        <v>4</v>
      </c>
      <c r="E604" s="8">
        <v>75</v>
      </c>
      <c r="F604" s="8">
        <v>59</v>
      </c>
      <c r="G604" s="8">
        <v>48</v>
      </c>
      <c r="H604" s="8">
        <v>36</v>
      </c>
      <c r="I604" s="8">
        <v>3</v>
      </c>
      <c r="J604" s="25">
        <v>56996.100000000006</v>
      </c>
      <c r="K604" s="25">
        <v>26775.57</v>
      </c>
      <c r="L604" s="11">
        <f t="shared" si="1"/>
      </c>
      <c r="M604" s="11">
        <f t="shared" si="92"/>
      </c>
      <c r="N604" s="11">
        <f t="shared" si="42"/>
      </c>
    </row>
    <row r="605">
      <c r="A605" s="7">
        <v>46118</v>
      </c>
      <c r="B605" s="8" t="s">
        <v>56</v>
      </c>
      <c r="C605" s="9" t="s">
        <v>59</v>
      </c>
      <c r="D605" s="8">
        <v>2</v>
      </c>
      <c r="E605" s="8">
        <v>24</v>
      </c>
      <c r="F605" s="8">
        <v>13</v>
      </c>
      <c r="G605" s="8">
        <v>10</v>
      </c>
      <c r="H605" s="8">
        <v>9</v>
      </c>
      <c r="I605" s="8">
        <v>1</v>
      </c>
      <c r="J605" s="25">
        <v>13032</v>
      </c>
      <c r="K605" s="25">
        <v>12388.490000000002</v>
      </c>
      <c r="L605" s="11">
        <f t="shared" si="1"/>
      </c>
      <c r="M605" s="11">
        <f t="shared" si="92"/>
      </c>
      <c r="N605" s="11">
        <f t="shared" si="42"/>
      </c>
    </row>
    <row r="606">
      <c r="A606" s="7">
        <v>46118</v>
      </c>
      <c r="B606" s="8" t="s">
        <v>22</v>
      </c>
      <c r="C606" s="9" t="s">
        <v>44</v>
      </c>
      <c r="D606" s="8">
        <v>4</v>
      </c>
      <c r="E606" s="8">
        <v>52</v>
      </c>
      <c r="F606" s="8">
        <v>45</v>
      </c>
      <c r="G606" s="8">
        <v>27</v>
      </c>
      <c r="H606" s="8">
        <v>30</v>
      </c>
      <c r="I606" s="8">
        <v>7</v>
      </c>
      <c r="J606" s="25">
        <v>39147</v>
      </c>
      <c r="K606" s="25">
        <v>19014.25</v>
      </c>
      <c r="L606" s="11">
        <f t="shared" si="1"/>
      </c>
      <c r="M606" s="11">
        <f t="shared" si="92"/>
      </c>
      <c r="N606" s="11">
        <f t="shared" si="42"/>
      </c>
    </row>
    <row r="607">
      <c r="A607" s="7">
        <v>46118</v>
      </c>
      <c r="B607" s="8" t="s">
        <v>24</v>
      </c>
      <c r="C607" s="9" t="s">
        <v>23</v>
      </c>
      <c r="D607" s="8">
        <v>5</v>
      </c>
      <c r="E607" s="8">
        <v>112</v>
      </c>
      <c r="F607" s="8">
        <v>91</v>
      </c>
      <c r="G607" s="8">
        <v>79</v>
      </c>
      <c r="H607" s="8">
        <v>65</v>
      </c>
      <c r="I607" s="8">
        <v>7</v>
      </c>
      <c r="J607" s="25">
        <v>73920.00000000003</v>
      </c>
      <c r="K607" s="10">
        <v>38084.36</v>
      </c>
      <c r="L607" s="11">
        <f t="shared" si="1"/>
      </c>
      <c r="M607" s="11">
        <f t="shared" si="92"/>
      </c>
      <c r="N607" s="11">
        <f>K607/H607</f>
      </c>
    </row>
    <row r="608">
      <c r="A608" s="16">
        <v>46118</v>
      </c>
      <c r="B608" s="17"/>
      <c r="C608" s="17"/>
      <c r="D608" s="17">
        <f>SUM(D603:D607)</f>
      </c>
      <c r="E608" s="17">
        <f>SUM(E603:E607)</f>
      </c>
      <c r="F608" s="17">
        <f>SUM(F603:F607)</f>
      </c>
      <c r="G608" s="17">
        <f>SUM(G603:G607)</f>
      </c>
      <c r="H608" s="17">
        <f>SUM(H603:H607)</f>
      </c>
      <c r="I608" s="17">
        <f>SUM(I603:I607)</f>
      </c>
      <c r="J608" s="17">
        <f>SUM(J603:J607)</f>
      </c>
      <c r="K608" s="17">
        <f>SUM(K603:K607)</f>
      </c>
      <c r="L608" s="18">
        <f t="shared" si="1"/>
      </c>
      <c r="M608" s="18">
        <f t="shared" si="92"/>
      </c>
      <c r="N608" s="18">
        <f t="shared" ref="N608:N612" si="43">K608/F608</f>
      </c>
    </row>
    <row r="609">
      <c r="A609" s="7">
        <v>46119</v>
      </c>
      <c r="B609" s="8" t="s">
        <v>16</v>
      </c>
      <c r="C609" s="9" t="s">
        <v>17</v>
      </c>
      <c r="D609" s="31">
        <v>5</v>
      </c>
      <c r="E609" s="34">
        <v>68</v>
      </c>
      <c r="F609" s="35">
        <v>55</v>
      </c>
      <c r="G609" s="8">
        <v>32</v>
      </c>
      <c r="H609" s="8">
        <v>29</v>
      </c>
      <c r="I609" s="8">
        <v>10</v>
      </c>
      <c r="J609" s="10">
        <v>53802.50000000001</v>
      </c>
      <c r="K609" s="8">
        <v>26736.85</v>
      </c>
      <c r="L609" s="11">
        <f t="shared" si="1"/>
      </c>
      <c r="M609" s="11">
        <f t="shared" si="92"/>
      </c>
      <c r="N609" s="11">
        <f t="shared" si="43"/>
      </c>
    </row>
    <row r="610">
      <c r="A610" s="7">
        <v>46119</v>
      </c>
      <c r="B610" s="8" t="s">
        <v>20</v>
      </c>
      <c r="C610" s="9" t="s">
        <v>19</v>
      </c>
      <c r="D610" s="8">
        <v>5</v>
      </c>
      <c r="E610" s="8">
        <v>102</v>
      </c>
      <c r="F610" s="8">
        <v>86</v>
      </c>
      <c r="G610" s="8">
        <v>56</v>
      </c>
      <c r="H610" s="8">
        <v>53</v>
      </c>
      <c r="I610" s="8">
        <v>12</v>
      </c>
      <c r="J610" s="25">
        <v>90691.6</v>
      </c>
      <c r="K610" s="25">
        <v>28929.320000000003</v>
      </c>
      <c r="L610" s="11">
        <f t="shared" si="1"/>
      </c>
      <c r="M610" s="11">
        <f t="shared" si="92"/>
      </c>
      <c r="N610" s="11">
        <f t="shared" si="43"/>
      </c>
    </row>
    <row r="611">
      <c r="A611" s="7">
        <v>46119</v>
      </c>
      <c r="B611" s="8" t="s">
        <v>56</v>
      </c>
      <c r="C611" s="9" t="s">
        <v>25</v>
      </c>
      <c r="D611" s="8">
        <v>2</v>
      </c>
      <c r="E611" s="8">
        <v>26</v>
      </c>
      <c r="F611" s="8">
        <v>19</v>
      </c>
      <c r="G611" s="8">
        <v>18</v>
      </c>
      <c r="H611" s="8">
        <v>11</v>
      </c>
      <c r="I611" s="8">
        <v>1</v>
      </c>
      <c r="J611" s="25">
        <v>19640.600000000006</v>
      </c>
      <c r="K611" s="25">
        <v>13652.26</v>
      </c>
      <c r="L611" s="11">
        <f t="shared" si="1"/>
      </c>
      <c r="M611" s="11">
        <f t="shared" si="92"/>
      </c>
      <c r="N611" s="11">
        <f t="shared" si="43"/>
      </c>
    </row>
    <row r="612">
      <c r="A612" s="7">
        <v>46119</v>
      </c>
      <c r="B612" s="8" t="s">
        <v>60</v>
      </c>
      <c r="C612" s="9" t="s">
        <v>26</v>
      </c>
      <c r="D612" s="8">
        <v>3</v>
      </c>
      <c r="E612" s="8">
        <v>49</v>
      </c>
      <c r="F612" s="8">
        <v>38</v>
      </c>
      <c r="G612" s="8">
        <v>28</v>
      </c>
      <c r="H612" s="8">
        <v>21</v>
      </c>
      <c r="I612" s="8">
        <v>4</v>
      </c>
      <c r="J612" s="25">
        <v>40430.600000000006</v>
      </c>
      <c r="K612" s="25">
        <v>18400.77</v>
      </c>
      <c r="L612" s="11">
        <f t="shared" si="1"/>
      </c>
      <c r="M612" s="11">
        <f t="shared" si="92"/>
      </c>
      <c r="N612" s="11">
        <f t="shared" si="43"/>
      </c>
    </row>
    <row r="613">
      <c r="A613" s="7">
        <v>46119</v>
      </c>
      <c r="B613" s="8" t="s">
        <v>22</v>
      </c>
      <c r="C613" s="9" t="s">
        <v>23</v>
      </c>
      <c r="D613" s="8">
        <v>5</v>
      </c>
      <c r="E613" s="8">
        <v>69</v>
      </c>
      <c r="F613" s="8">
        <v>44</v>
      </c>
      <c r="G613" s="8">
        <v>43</v>
      </c>
      <c r="H613" s="8">
        <v>27</v>
      </c>
      <c r="I613" s="8">
        <v>1</v>
      </c>
      <c r="J613" s="25">
        <v>38466.40000000002</v>
      </c>
      <c r="K613" s="10">
        <v>32894.91</v>
      </c>
      <c r="L613" s="11">
        <f t="shared" si="1"/>
      </c>
      <c r="M613" s="11">
        <f t="shared" si="92"/>
      </c>
      <c r="N613" s="11">
        <f>K613/H613</f>
      </c>
    </row>
    <row r="614">
      <c r="A614" s="16">
        <v>46119</v>
      </c>
      <c r="B614" s="17"/>
      <c r="C614" s="17"/>
      <c r="D614" s="17">
        <f>SUM(D609:D613)</f>
      </c>
      <c r="E614" s="17">
        <f>SUM(E609:E613)</f>
      </c>
      <c r="F614" s="17">
        <f>SUM(F609:F613)</f>
      </c>
      <c r="G614" s="17">
        <f>SUM(G609:G613)</f>
      </c>
      <c r="H614" s="17">
        <f>SUM(H609:H613)</f>
      </c>
      <c r="I614" s="17">
        <f>SUM(I609:I613)</f>
      </c>
      <c r="J614" s="17">
        <f>SUM(J609:J613)</f>
      </c>
      <c r="K614" s="17">
        <f>SUM(K609:K613)</f>
      </c>
      <c r="L614" s="18">
        <f t="shared" si="1"/>
      </c>
      <c r="M614" s="18">
        <f t="shared" si="92"/>
      </c>
      <c r="N614" s="18">
        <f t="shared" ref="N614:N618" si="44">K614/F614</f>
      </c>
    </row>
    <row r="615">
      <c r="A615" s="7">
        <v>46120</v>
      </c>
      <c r="B615" s="8" t="s">
        <v>16</v>
      </c>
      <c r="C615" s="9" t="s">
        <v>17</v>
      </c>
      <c r="D615" s="31">
        <v>5</v>
      </c>
      <c r="E615" s="34">
        <v>81</v>
      </c>
      <c r="F615" s="35">
        <v>65</v>
      </c>
      <c r="G615" s="8">
        <v>48</v>
      </c>
      <c r="H615" s="8">
        <v>46</v>
      </c>
      <c r="I615" s="8">
        <v>8</v>
      </c>
      <c r="J615" s="10">
        <v>59740.60000000001</v>
      </c>
      <c r="K615" s="8">
        <v>36382.17</v>
      </c>
      <c r="L615" s="11">
        <f t="shared" si="1"/>
      </c>
      <c r="M615" s="11">
        <f t="shared" si="92"/>
      </c>
      <c r="N615" s="11">
        <f t="shared" si="44"/>
      </c>
    </row>
    <row r="616">
      <c r="A616" s="7">
        <v>46120</v>
      </c>
      <c r="B616" s="8" t="s">
        <v>20</v>
      </c>
      <c r="C616" s="9" t="s">
        <v>19</v>
      </c>
      <c r="D616" s="8">
        <v>5</v>
      </c>
      <c r="E616" s="8">
        <v>110</v>
      </c>
      <c r="F616" s="8">
        <v>91</v>
      </c>
      <c r="G616" s="8">
        <v>75</v>
      </c>
      <c r="H616" s="8">
        <v>60</v>
      </c>
      <c r="I616" s="8">
        <v>12</v>
      </c>
      <c r="J616" s="25">
        <v>94238.20000000003</v>
      </c>
      <c r="K616" s="25">
        <v>44901.840000000004</v>
      </c>
      <c r="L616" s="11">
        <f t="shared" si="1"/>
      </c>
      <c r="M616" s="11">
        <f t="shared" si="92"/>
      </c>
      <c r="N616" s="11">
        <f t="shared" si="44"/>
      </c>
    </row>
    <row r="617">
      <c r="A617" s="7">
        <v>46120</v>
      </c>
      <c r="B617" s="8" t="s">
        <v>60</v>
      </c>
      <c r="C617" s="9" t="s">
        <v>25</v>
      </c>
      <c r="D617" s="8">
        <v>2</v>
      </c>
      <c r="E617" s="8">
        <v>42</v>
      </c>
      <c r="F617" s="8">
        <v>33</v>
      </c>
      <c r="G617" s="8">
        <v>25</v>
      </c>
      <c r="H617" s="8">
        <v>25</v>
      </c>
      <c r="I617" s="8">
        <v>3</v>
      </c>
      <c r="J617" s="25">
        <v>24901.600000000006</v>
      </c>
      <c r="K617" s="25">
        <v>22212.73</v>
      </c>
      <c r="L617" s="11">
        <f t="shared" si="1"/>
      </c>
      <c r="M617" s="11">
        <f t="shared" si="92"/>
      </c>
      <c r="N617" s="11">
        <f t="shared" si="44"/>
      </c>
    </row>
    <row r="618">
      <c r="A618" s="7">
        <v>46120</v>
      </c>
      <c r="B618" s="8" t="s">
        <v>22</v>
      </c>
      <c r="C618" s="9" t="s">
        <v>61</v>
      </c>
      <c r="D618" s="8">
        <v>4</v>
      </c>
      <c r="E618" s="8">
        <v>65</v>
      </c>
      <c r="F618" s="8">
        <v>52</v>
      </c>
      <c r="G618" s="8">
        <v>39</v>
      </c>
      <c r="H618" s="8">
        <v>28</v>
      </c>
      <c r="I618" s="8">
        <v>4</v>
      </c>
      <c r="J618" s="25">
        <v>62726.600000000006</v>
      </c>
      <c r="K618" s="25">
        <v>30598.469999999998</v>
      </c>
      <c r="L618" s="11">
        <f t="shared" si="1"/>
      </c>
      <c r="M618" s="11">
        <f t="shared" si="92"/>
      </c>
      <c r="N618" s="11">
        <f t="shared" si="44"/>
      </c>
    </row>
    <row r="619">
      <c r="A619" s="7">
        <v>46120</v>
      </c>
      <c r="B619" s="8" t="s">
        <v>24</v>
      </c>
      <c r="C619" s="9" t="s">
        <v>62</v>
      </c>
      <c r="D619" s="8">
        <v>4</v>
      </c>
      <c r="E619" s="8">
        <v>63</v>
      </c>
      <c r="F619" s="8">
        <v>44</v>
      </c>
      <c r="G619" s="8">
        <v>35</v>
      </c>
      <c r="H619" s="8">
        <v>27</v>
      </c>
      <c r="I619" s="8">
        <v>5</v>
      </c>
      <c r="J619" s="25">
        <v>43032.999999999956</v>
      </c>
      <c r="K619" s="10">
        <v>20170.45</v>
      </c>
      <c r="L619" s="11">
        <f t="shared" si="1"/>
      </c>
      <c r="M619" s="11">
        <f t="shared" si="92"/>
      </c>
      <c r="N619" s="11">
        <f>K619/H619</f>
      </c>
    </row>
    <row r="620">
      <c r="A620" s="16">
        <v>46120</v>
      </c>
      <c r="B620" s="17"/>
      <c r="C620" s="17"/>
      <c r="D620" s="17">
        <f>SUM(D615:D619)</f>
      </c>
      <c r="E620" s="17">
        <f>SUM(E615:E619)</f>
      </c>
      <c r="F620" s="17">
        <f>SUM(F615:F619)</f>
      </c>
      <c r="G620" s="17">
        <f>SUM(G615:G619)</f>
      </c>
      <c r="H620" s="17">
        <f>SUM(H615:H619)</f>
      </c>
      <c r="I620" s="17">
        <f>SUM(I615:I619)</f>
      </c>
      <c r="J620" s="17">
        <f>SUM(J615:J619)</f>
      </c>
      <c r="K620" s="17">
        <f>SUM(K615:K619)</f>
      </c>
      <c r="L620" s="18">
        <f t="shared" si="1"/>
      </c>
      <c r="M620" s="18">
        <f t="shared" si="92"/>
      </c>
      <c r="N620" s="18">
        <f t="shared" ref="N620:N624" si="45">K620/F620</f>
      </c>
    </row>
    <row r="621">
      <c r="A621" s="7">
        <v>46121</v>
      </c>
      <c r="B621" s="8" t="s">
        <v>16</v>
      </c>
      <c r="C621" s="9" t="s">
        <v>34</v>
      </c>
      <c r="D621" s="31">
        <v>4</v>
      </c>
      <c r="E621" s="34">
        <v>61</v>
      </c>
      <c r="F621" s="35">
        <v>48</v>
      </c>
      <c r="G621" s="8">
        <v>28</v>
      </c>
      <c r="H621" s="8">
        <v>37</v>
      </c>
      <c r="I621" s="8">
        <v>5</v>
      </c>
      <c r="J621" s="10">
        <v>43284.19999999999</v>
      </c>
      <c r="K621" s="8">
        <v>23567.91</v>
      </c>
      <c r="L621" s="11">
        <f t="shared" si="1"/>
      </c>
      <c r="M621" s="11">
        <f t="shared" si="92"/>
      </c>
      <c r="N621" s="11">
        <f t="shared" si="45"/>
      </c>
    </row>
    <row r="622">
      <c r="A622" s="7">
        <v>46121</v>
      </c>
      <c r="B622" s="8" t="s">
        <v>20</v>
      </c>
      <c r="C622" s="9" t="s">
        <v>35</v>
      </c>
      <c r="D622" s="8">
        <v>5</v>
      </c>
      <c r="E622" s="8">
        <v>70</v>
      </c>
      <c r="F622" s="8">
        <v>56</v>
      </c>
      <c r="G622" s="8">
        <v>44</v>
      </c>
      <c r="H622" s="8">
        <v>39</v>
      </c>
      <c r="I622" s="8">
        <v>5</v>
      </c>
      <c r="J622" s="25">
        <v>50033.4</v>
      </c>
      <c r="K622" s="25">
        <v>27089.050000000003</v>
      </c>
      <c r="L622" s="11">
        <f t="shared" si="1"/>
      </c>
      <c r="M622" s="11">
        <f t="shared" si="92"/>
      </c>
      <c r="N622" s="11">
        <f t="shared" si="45"/>
      </c>
    </row>
    <row r="623">
      <c r="A623" s="7">
        <v>46121</v>
      </c>
      <c r="B623" s="8" t="s">
        <v>60</v>
      </c>
      <c r="C623" s="9" t="s">
        <v>59</v>
      </c>
      <c r="D623" s="8">
        <v>2</v>
      </c>
      <c r="E623" s="8">
        <v>31</v>
      </c>
      <c r="F623" s="8">
        <v>27</v>
      </c>
      <c r="G623" s="8">
        <v>21</v>
      </c>
      <c r="H623" s="8">
        <v>15</v>
      </c>
      <c r="I623" s="8">
        <v>1</v>
      </c>
      <c r="J623" s="25">
        <v>21567.600000000006</v>
      </c>
      <c r="K623" s="25">
        <v>14416.53</v>
      </c>
      <c r="L623" s="11">
        <f t="shared" si="1"/>
      </c>
      <c r="M623" s="11">
        <f t="shared" si="92"/>
      </c>
      <c r="N623" s="11">
        <f t="shared" si="45"/>
      </c>
    </row>
    <row r="624">
      <c r="A624" s="7">
        <v>46121</v>
      </c>
      <c r="B624" s="8" t="s">
        <v>24</v>
      </c>
      <c r="C624" s="9" t="s">
        <v>44</v>
      </c>
      <c r="D624" s="8">
        <v>4</v>
      </c>
      <c r="E624" s="8">
        <v>51</v>
      </c>
      <c r="F624" s="8">
        <v>41</v>
      </c>
      <c r="G624" s="8">
        <v>31</v>
      </c>
      <c r="H624" s="8">
        <v>26</v>
      </c>
      <c r="I624" s="8">
        <v>5</v>
      </c>
      <c r="J624" s="25">
        <v>35793.399999999994</v>
      </c>
      <c r="K624" s="25">
        <v>22544.38</v>
      </c>
      <c r="L624" s="11">
        <f t="shared" si="1"/>
      </c>
      <c r="M624" s="11">
        <f t="shared" si="92"/>
      </c>
      <c r="N624" s="11">
        <f t="shared" si="45"/>
      </c>
    </row>
    <row r="625">
      <c r="A625" s="7">
        <v>46121</v>
      </c>
      <c r="B625" s="8" t="s">
        <v>22</v>
      </c>
      <c r="C625" s="9" t="s">
        <v>23</v>
      </c>
      <c r="D625" s="8">
        <v>5</v>
      </c>
      <c r="E625" s="8">
        <v>77</v>
      </c>
      <c r="F625" s="8">
        <v>61</v>
      </c>
      <c r="G625" s="8">
        <v>49</v>
      </c>
      <c r="H625" s="8">
        <v>37</v>
      </c>
      <c r="I625" s="8">
        <v>3</v>
      </c>
      <c r="J625" s="25">
        <v>73512.80000000002</v>
      </c>
      <c r="K625" s="10">
        <v>27578.6</v>
      </c>
      <c r="L625" s="11">
        <f t="shared" si="1"/>
      </c>
      <c r="M625" s="11">
        <f t="shared" si="92"/>
      </c>
      <c r="N625" s="11">
        <f>K625/H625</f>
      </c>
    </row>
    <row r="626">
      <c r="A626" s="16">
        <v>46121</v>
      </c>
      <c r="B626" s="17"/>
      <c r="C626" s="17"/>
      <c r="D626" s="17">
        <f>SUM(D621:D625)</f>
      </c>
      <c r="E626" s="17">
        <f>SUM(E621:E625)</f>
      </c>
      <c r="F626" s="17">
        <f>SUM(F621:F625)</f>
      </c>
      <c r="G626" s="17">
        <f>SUM(G621:G625)</f>
      </c>
      <c r="H626" s="17">
        <f>SUM(H621:H625)</f>
      </c>
      <c r="I626" s="17">
        <f>SUM(I621:I625)</f>
      </c>
      <c r="J626" s="17">
        <f>SUM(J621:J625)</f>
      </c>
      <c r="K626" s="17">
        <f>SUM(K621:K625)</f>
      </c>
      <c r="L626" s="18">
        <f t="shared" si="1"/>
      </c>
      <c r="M626" s="18">
        <f t="shared" si="92"/>
      </c>
      <c r="N626" s="18">
        <f t="shared" ref="N626:N630" si="46">K626/F626</f>
      </c>
    </row>
    <row r="627">
      <c r="A627" s="7">
        <v>46122</v>
      </c>
      <c r="B627" s="8" t="s">
        <v>16</v>
      </c>
      <c r="C627" s="9" t="s">
        <v>34</v>
      </c>
      <c r="D627" s="31">
        <v>4</v>
      </c>
      <c r="E627" s="34">
        <v>39</v>
      </c>
      <c r="F627" s="35">
        <v>28</v>
      </c>
      <c r="G627" s="8">
        <v>18</v>
      </c>
      <c r="H627" s="8">
        <v>22</v>
      </c>
      <c r="I627" s="8">
        <v>3</v>
      </c>
      <c r="J627" s="10">
        <v>28133.199999999997</v>
      </c>
      <c r="K627" s="8">
        <v>18250.96</v>
      </c>
      <c r="L627" s="11">
        <f t="shared" si="1"/>
      </c>
      <c r="M627" s="11">
        <f t="shared" si="92"/>
      </c>
      <c r="N627" s="11">
        <f t="shared" si="46"/>
      </c>
    </row>
    <row r="628">
      <c r="A628" s="7">
        <v>46122</v>
      </c>
      <c r="B628" s="8" t="s">
        <v>20</v>
      </c>
      <c r="C628" s="9" t="s">
        <v>63</v>
      </c>
      <c r="D628" s="8">
        <v>4</v>
      </c>
      <c r="E628" s="8">
        <v>51</v>
      </c>
      <c r="F628" s="8">
        <v>39</v>
      </c>
      <c r="G628" s="8">
        <v>29</v>
      </c>
      <c r="H628" s="8">
        <v>21</v>
      </c>
      <c r="I628" s="8">
        <v>4</v>
      </c>
      <c r="J628" s="25">
        <v>45487.399999999994</v>
      </c>
      <c r="K628" s="25">
        <v>18887.489999999998</v>
      </c>
      <c r="L628" s="11">
        <f t="shared" si="1"/>
      </c>
      <c r="M628" s="11">
        <f t="shared" si="92"/>
      </c>
      <c r="N628" s="11">
        <f t="shared" si="46"/>
      </c>
    </row>
    <row r="629">
      <c r="A629" s="7">
        <v>46122</v>
      </c>
      <c r="B629" s="8" t="s">
        <v>60</v>
      </c>
      <c r="C629" s="9" t="s">
        <v>64</v>
      </c>
      <c r="D629" s="8">
        <v>4</v>
      </c>
      <c r="E629" s="8">
        <v>52</v>
      </c>
      <c r="F629" s="8">
        <v>40</v>
      </c>
      <c r="G629" s="8">
        <v>36</v>
      </c>
      <c r="H629" s="8">
        <v>22</v>
      </c>
      <c r="I629" s="8">
        <v>0</v>
      </c>
      <c r="J629" s="25">
        <v>36769.799999999996</v>
      </c>
      <c r="K629" s="25">
        <v>21762.09</v>
      </c>
      <c r="L629" s="11">
        <f t="shared" si="1"/>
      </c>
      <c r="M629" s="11">
        <f t="shared" si="92"/>
      </c>
      <c r="N629" s="11">
        <f t="shared" si="46"/>
      </c>
    </row>
    <row r="630">
      <c r="A630" s="7">
        <v>46122</v>
      </c>
      <c r="B630" s="8" t="s">
        <v>22</v>
      </c>
      <c r="C630" s="9" t="s">
        <v>61</v>
      </c>
      <c r="D630" s="8">
        <v>4</v>
      </c>
      <c r="E630" s="8">
        <v>60</v>
      </c>
      <c r="F630" s="8">
        <v>47</v>
      </c>
      <c r="G630" s="8">
        <v>30</v>
      </c>
      <c r="H630" s="8">
        <v>27</v>
      </c>
      <c r="I630" s="8">
        <v>5</v>
      </c>
      <c r="J630" s="25">
        <v>46045.40000000001</v>
      </c>
      <c r="K630" s="25">
        <v>23474.18</v>
      </c>
      <c r="L630" s="11">
        <f t="shared" si="1"/>
      </c>
      <c r="M630" s="11">
        <f t="shared" si="92"/>
      </c>
      <c r="N630" s="11">
        <f t="shared" si="46"/>
      </c>
    </row>
    <row r="631">
      <c r="A631" s="7">
        <v>46122</v>
      </c>
      <c r="B631" s="8" t="s">
        <v>24</v>
      </c>
      <c r="C631" s="9" t="s">
        <v>62</v>
      </c>
      <c r="D631" s="8">
        <v>4</v>
      </c>
      <c r="E631" s="8">
        <v>52</v>
      </c>
      <c r="F631" s="8">
        <v>35</v>
      </c>
      <c r="G631" s="8">
        <v>26</v>
      </c>
      <c r="H631" s="8">
        <v>25</v>
      </c>
      <c r="I631" s="8">
        <v>4</v>
      </c>
      <c r="J631" s="25">
        <v>29017.199999999997</v>
      </c>
      <c r="K631" s="10">
        <v>17424.94</v>
      </c>
      <c r="L631" s="11">
        <f t="shared" si="1"/>
      </c>
      <c r="M631" s="11">
        <f t="shared" si="92"/>
      </c>
      <c r="N631" s="11">
        <f>K631/H631</f>
      </c>
    </row>
    <row r="632">
      <c r="A632" s="16">
        <v>46122</v>
      </c>
      <c r="B632" s="17"/>
      <c r="C632" s="17"/>
      <c r="D632" s="17">
        <f>SUM(D627:D631)</f>
      </c>
      <c r="E632" s="17">
        <f>SUM(E627:E631)</f>
      </c>
      <c r="F632" s="17">
        <f>SUM(F627:F631)</f>
      </c>
      <c r="G632" s="17">
        <f>SUM(G627:G631)</f>
      </c>
      <c r="H632" s="17">
        <f>SUM(H627:H631)</f>
      </c>
      <c r="I632" s="17">
        <f>SUM(I627:I631)</f>
      </c>
      <c r="J632" s="17">
        <f>SUM(J627:J631)</f>
      </c>
      <c r="K632" s="17">
        <f>SUM(K627:K631)</f>
      </c>
      <c r="L632" s="18">
        <f t="shared" si="1"/>
      </c>
      <c r="M632" s="18">
        <f t="shared" si="92"/>
      </c>
      <c r="N632" s="18">
        <f t="shared" ref="N632:N636" si="47">K632/F632</f>
      </c>
    </row>
    <row r="633">
      <c r="A633" s="7">
        <v>46123</v>
      </c>
      <c r="B633" s="8" t="s">
        <v>20</v>
      </c>
      <c r="C633" s="9" t="s">
        <v>17</v>
      </c>
      <c r="D633" s="31">
        <v>5</v>
      </c>
      <c r="E633" s="34">
        <v>114</v>
      </c>
      <c r="F633" s="35">
        <v>93</v>
      </c>
      <c r="G633" s="8">
        <v>61</v>
      </c>
      <c r="H633" s="8">
        <v>53</v>
      </c>
      <c r="I633" s="8">
        <v>17</v>
      </c>
      <c r="J633" s="10">
        <v>94759.60000000003</v>
      </c>
      <c r="K633" s="8">
        <v>42018.53999999999</v>
      </c>
      <c r="L633" s="11">
        <f t="shared" si="1"/>
      </c>
      <c r="M633" s="11">
        <f t="shared" si="92"/>
      </c>
      <c r="N633" s="11">
        <f t="shared" si="47"/>
      </c>
    </row>
    <row r="634">
      <c r="A634" s="7">
        <v>46123</v>
      </c>
      <c r="B634" s="8" t="s">
        <v>22</v>
      </c>
      <c r="C634" s="9" t="s">
        <v>30</v>
      </c>
      <c r="D634" s="8">
        <v>4</v>
      </c>
      <c r="E634" s="8">
        <v>39</v>
      </c>
      <c r="F634" s="8">
        <v>32</v>
      </c>
      <c r="G634" s="8">
        <v>27</v>
      </c>
      <c r="H634" s="8">
        <v>23</v>
      </c>
      <c r="I634" s="8">
        <v>3</v>
      </c>
      <c r="J634" s="25">
        <v>29148.70000000001</v>
      </c>
      <c r="K634" s="25">
        <v>22174.12</v>
      </c>
      <c r="L634" s="11">
        <f t="shared" si="1"/>
      </c>
      <c r="M634" s="11">
        <f t="shared" si="92"/>
      </c>
      <c r="N634" s="11">
        <f t="shared" si="47"/>
      </c>
    </row>
    <row r="635">
      <c r="A635" s="7">
        <v>46123</v>
      </c>
      <c r="B635" s="8" t="s">
        <v>60</v>
      </c>
      <c r="C635" s="9" t="s">
        <v>31</v>
      </c>
      <c r="D635" s="8">
        <v>4</v>
      </c>
      <c r="E635" s="8">
        <v>52</v>
      </c>
      <c r="F635" s="8">
        <v>41</v>
      </c>
      <c r="G635" s="8">
        <v>31</v>
      </c>
      <c r="H635" s="8">
        <v>27</v>
      </c>
      <c r="I635" s="8">
        <v>1</v>
      </c>
      <c r="J635" s="25">
        <v>42689.00000000001</v>
      </c>
      <c r="K635" s="25">
        <v>21969.800000000003</v>
      </c>
      <c r="L635" s="11">
        <f t="shared" si="1"/>
      </c>
      <c r="M635" s="11">
        <f t="shared" si="92"/>
      </c>
      <c r="N635" s="11">
        <f t="shared" si="47"/>
      </c>
    </row>
    <row r="636">
      <c r="A636" s="7">
        <v>46123</v>
      </c>
      <c r="B636" s="8" t="s">
        <v>56</v>
      </c>
      <c r="C636" s="9" t="s">
        <v>33</v>
      </c>
      <c r="D636" s="8">
        <v>2</v>
      </c>
      <c r="E636" s="8">
        <v>22</v>
      </c>
      <c r="F636" s="8">
        <v>11</v>
      </c>
      <c r="G636" s="8">
        <v>8</v>
      </c>
      <c r="H636" s="8">
        <v>7</v>
      </c>
      <c r="I636" s="8">
        <v>0</v>
      </c>
      <c r="J636" s="25">
        <v>8320</v>
      </c>
      <c r="K636" s="25">
        <v>10096.380000000001</v>
      </c>
      <c r="L636" s="11">
        <f t="shared" si="1"/>
      </c>
      <c r="M636" s="11">
        <f t="shared" si="92"/>
      </c>
      <c r="N636" s="11">
        <f t="shared" si="47"/>
      </c>
    </row>
    <row r="637">
      <c r="A637" s="7">
        <v>46123</v>
      </c>
      <c r="B637" s="8" t="s">
        <v>24</v>
      </c>
      <c r="C637" s="9" t="s">
        <v>23</v>
      </c>
      <c r="D637" s="8">
        <v>5</v>
      </c>
      <c r="E637" s="8">
        <v>52</v>
      </c>
      <c r="F637" s="8">
        <v>41</v>
      </c>
      <c r="G637" s="8">
        <v>32</v>
      </c>
      <c r="H637" s="8">
        <v>25</v>
      </c>
      <c r="I637" s="8">
        <v>7</v>
      </c>
      <c r="J637" s="25">
        <v>32630.79999999999</v>
      </c>
      <c r="K637" s="10">
        <v>22803.97</v>
      </c>
      <c r="L637" s="11">
        <f t="shared" si="1"/>
      </c>
      <c r="M637" s="11">
        <f t="shared" si="92"/>
      </c>
      <c r="N637" s="11">
        <f>K637/H637</f>
      </c>
    </row>
    <row r="638">
      <c r="A638" s="16">
        <v>46123</v>
      </c>
      <c r="B638" s="17"/>
      <c r="C638" s="17"/>
      <c r="D638" s="17">
        <f>SUM(D633:D637)</f>
      </c>
      <c r="E638" s="17">
        <f>SUM(E633:E637)</f>
      </c>
      <c r="F638" s="17">
        <f>SUM(F633:F637)</f>
      </c>
      <c r="G638" s="17">
        <f>SUM(G633:G637)</f>
      </c>
      <c r="H638" s="17">
        <f>SUM(H633:H637)</f>
      </c>
      <c r="I638" s="17">
        <f>SUM(I633:I637)</f>
      </c>
      <c r="J638" s="17">
        <f>SUM(J633:J637)</f>
      </c>
      <c r="K638" s="17">
        <f>SUM(K633:K637)</f>
      </c>
      <c r="L638" s="18">
        <f t="shared" si="1"/>
      </c>
      <c r="M638" s="18">
        <f t="shared" si="92"/>
      </c>
      <c r="N638" s="18">
        <f t="shared" ref="N638:N641" si="48">K638/F638</f>
      </c>
    </row>
    <row r="639">
      <c r="A639" s="7">
        <v>46124</v>
      </c>
      <c r="B639" s="8" t="s">
        <v>20</v>
      </c>
      <c r="C639" s="24" t="s">
        <v>17</v>
      </c>
      <c r="D639" s="36">
        <v>5</v>
      </c>
      <c r="E639" s="34">
        <v>128</v>
      </c>
      <c r="F639" s="35">
        <v>95</v>
      </c>
      <c r="G639" s="8">
        <v>69</v>
      </c>
      <c r="H639" s="8">
        <v>65</v>
      </c>
      <c r="I639" s="8">
        <v>12</v>
      </c>
      <c r="J639" s="30">
        <v>91906.10000000003</v>
      </c>
      <c r="K639" s="23">
        <v>46518.57</v>
      </c>
      <c r="L639" s="11">
        <f t="shared" si="1"/>
      </c>
      <c r="M639" s="11">
        <f t="shared" si="92"/>
      </c>
      <c r="N639" s="11">
        <f t="shared" si="48"/>
      </c>
    </row>
    <row r="640">
      <c r="A640" s="7">
        <v>46124</v>
      </c>
      <c r="B640" s="8" t="s">
        <v>22</v>
      </c>
      <c r="C640" s="24" t="s">
        <v>19</v>
      </c>
      <c r="D640" s="23">
        <v>5</v>
      </c>
      <c r="E640" s="8">
        <v>66</v>
      </c>
      <c r="F640" s="8">
        <v>38</v>
      </c>
      <c r="G640" s="8">
        <v>38</v>
      </c>
      <c r="H640" s="8">
        <v>25</v>
      </c>
      <c r="I640" s="8">
        <v>2</v>
      </c>
      <c r="J640" s="25">
        <v>35007.399999999994</v>
      </c>
      <c r="K640" s="25">
        <v>37291.84</v>
      </c>
      <c r="L640" s="11">
        <f t="shared" si="1"/>
      </c>
      <c r="M640" s="11">
        <f t="shared" si="92"/>
      </c>
      <c r="N640" s="11">
        <f t="shared" si="48"/>
      </c>
    </row>
    <row r="641">
      <c r="A641" s="7">
        <v>46124</v>
      </c>
      <c r="B641" s="8" t="s">
        <v>60</v>
      </c>
      <c r="C641" s="24" t="s">
        <v>21</v>
      </c>
      <c r="D641" s="23">
        <v>5</v>
      </c>
      <c r="E641" s="8">
        <v>82</v>
      </c>
      <c r="F641" s="8">
        <v>76</v>
      </c>
      <c r="G641" s="8">
        <v>66</v>
      </c>
      <c r="H641" s="8">
        <v>45</v>
      </c>
      <c r="I641" s="8">
        <v>3</v>
      </c>
      <c r="J641" s="25">
        <v>70619.60000000002</v>
      </c>
      <c r="K641" s="25">
        <v>40155</v>
      </c>
      <c r="L641" s="11">
        <f t="shared" si="1"/>
      </c>
      <c r="M641" s="11">
        <f t="shared" si="92"/>
      </c>
      <c r="N641" s="11">
        <f t="shared" si="48"/>
      </c>
    </row>
    <row r="642">
      <c r="A642" s="7">
        <v>46124</v>
      </c>
      <c r="B642" s="8" t="s">
        <v>24</v>
      </c>
      <c r="C642" s="24" t="s">
        <v>23</v>
      </c>
      <c r="D642" s="23">
        <v>5</v>
      </c>
      <c r="E642" s="8">
        <v>81</v>
      </c>
      <c r="F642" s="8">
        <v>56</v>
      </c>
      <c r="G642" s="8">
        <v>44</v>
      </c>
      <c r="H642" s="8">
        <v>38</v>
      </c>
      <c r="I642" s="8">
        <v>5</v>
      </c>
      <c r="J642" s="25">
        <v>44936</v>
      </c>
      <c r="K642" s="10">
        <v>36203.380000000005</v>
      </c>
      <c r="L642" s="11">
        <f t="shared" si="1"/>
      </c>
      <c r="M642" s="11">
        <f t="shared" si="92"/>
      </c>
      <c r="N642" s="11">
        <f>K642/H642</f>
      </c>
    </row>
    <row r="643">
      <c r="A643" s="16">
        <v>46124</v>
      </c>
      <c r="B643" s="17"/>
      <c r="C643" s="17"/>
      <c r="D643" s="17">
        <f>SUM(D639:D642)</f>
      </c>
      <c r="E643" s="17">
        <f>SUM(E639:E642)</f>
      </c>
      <c r="F643" s="17">
        <f>SUM(F639:F642)</f>
      </c>
      <c r="G643" s="17">
        <f>SUM(G639:G642)</f>
      </c>
      <c r="H643" s="17">
        <f>SUM(H639:H642)</f>
      </c>
      <c r="I643" s="17">
        <f>SUM(I639:I642)</f>
      </c>
      <c r="J643" s="17">
        <f>SUM(J639:J642)</f>
      </c>
      <c r="K643" s="17">
        <f>SUM(K639:K642)</f>
      </c>
      <c r="L643" s="18">
        <f t="shared" si="1"/>
      </c>
      <c r="M643" s="18">
        <f t="shared" si="92"/>
      </c>
      <c r="N643" s="18">
        <f t="shared" ref="N643:N662" si="49">K643/F643</f>
      </c>
    </row>
    <row r="644">
      <c r="A644" s="7">
        <v>46125</v>
      </c>
      <c r="B644" s="8" t="s">
        <v>20</v>
      </c>
      <c r="C644" s="24" t="s">
        <v>17</v>
      </c>
      <c r="D644" s="36">
        <v>5</v>
      </c>
      <c r="E644" s="34">
        <v>113</v>
      </c>
      <c r="F644" s="35">
        <v>93</v>
      </c>
      <c r="G644" s="8">
        <v>59</v>
      </c>
      <c r="H644" s="8">
        <v>53</v>
      </c>
      <c r="I644" s="8">
        <v>15</v>
      </c>
      <c r="J644" s="30">
        <v>76231.80000000003</v>
      </c>
      <c r="K644" s="23">
        <v>39287.58</v>
      </c>
      <c r="L644" s="11">
        <f t="shared" si="1"/>
      </c>
      <c r="M644" s="11">
        <f t="shared" si="92"/>
      </c>
      <c r="N644" s="11">
        <f t="shared" si="49"/>
      </c>
    </row>
    <row r="645">
      <c r="A645" s="7">
        <v>46125</v>
      </c>
      <c r="B645" s="37" t="s">
        <v>60</v>
      </c>
      <c r="C645" s="24" t="s">
        <v>19</v>
      </c>
      <c r="D645" s="23">
        <v>5</v>
      </c>
      <c r="E645" s="8">
        <v>133</v>
      </c>
      <c r="F645" s="8">
        <v>93</v>
      </c>
      <c r="G645" s="8">
        <v>75</v>
      </c>
      <c r="H645" s="8">
        <v>56</v>
      </c>
      <c r="I645" s="8">
        <v>7</v>
      </c>
      <c r="J645" s="25">
        <v>102989.00000000003</v>
      </c>
      <c r="K645" s="25">
        <v>50364.74</v>
      </c>
      <c r="L645" s="11">
        <f t="shared" si="1"/>
      </c>
      <c r="M645" s="11">
        <f t="shared" si="92"/>
      </c>
      <c r="N645" s="11">
        <f t="shared" si="49"/>
      </c>
    </row>
    <row r="646">
      <c r="A646" s="7">
        <v>46125</v>
      </c>
      <c r="B646" s="8" t="s">
        <v>22</v>
      </c>
      <c r="C646" s="24" t="s">
        <v>21</v>
      </c>
      <c r="D646" s="23">
        <v>5</v>
      </c>
      <c r="E646" s="8">
        <v>33</v>
      </c>
      <c r="F646" s="8">
        <v>23</v>
      </c>
      <c r="G646" s="8">
        <v>18</v>
      </c>
      <c r="H646" s="8">
        <v>13</v>
      </c>
      <c r="I646" s="8">
        <v>1</v>
      </c>
      <c r="J646" s="25">
        <v>22991.800000000003</v>
      </c>
      <c r="K646" s="25">
        <v>24114.26</v>
      </c>
      <c r="L646" s="11">
        <f t="shared" si="1"/>
      </c>
      <c r="M646" s="11">
        <f t="shared" si="92"/>
      </c>
      <c r="N646" s="11">
        <f t="shared" si="49"/>
      </c>
    </row>
    <row r="647">
      <c r="A647" s="16">
        <v>46125</v>
      </c>
      <c r="B647" s="17"/>
      <c r="C647" s="17"/>
      <c r="D647" s="17">
        <f>SUM(D644:D646)</f>
      </c>
      <c r="E647" s="17">
        <f>SUM(E644:E646)</f>
      </c>
      <c r="F647" s="17">
        <f>SUM(F644:F646)</f>
      </c>
      <c r="G647" s="17">
        <f>SUM(G644:G646)</f>
      </c>
      <c r="H647" s="17">
        <f>SUM(H644:H646)</f>
      </c>
      <c r="I647" s="17">
        <f>SUM(I644:I646)</f>
      </c>
      <c r="J647" s="17">
        <f>SUM(J644:J646)</f>
      </c>
      <c r="K647" s="17">
        <f>SUM(K644:K646)</f>
      </c>
      <c r="L647" s="18">
        <f t="shared" si="1"/>
      </c>
      <c r="M647" s="18">
        <f t="shared" si="92"/>
      </c>
      <c r="N647" s="18">
        <f t="shared" si="49"/>
      </c>
    </row>
    <row r="648">
      <c r="A648" s="7">
        <v>46126</v>
      </c>
      <c r="B648" s="8" t="s">
        <v>20</v>
      </c>
      <c r="C648" s="24" t="s">
        <v>17</v>
      </c>
      <c r="D648" s="36">
        <v>5</v>
      </c>
      <c r="E648" s="34">
        <v>69</v>
      </c>
      <c r="F648" s="35">
        <v>55</v>
      </c>
      <c r="G648" s="8">
        <v>44</v>
      </c>
      <c r="H648" s="8">
        <v>40</v>
      </c>
      <c r="I648" s="8">
        <v>4</v>
      </c>
      <c r="J648" s="30">
        <v>44535.70000000001</v>
      </c>
      <c r="K648" s="23">
        <v>33441.21</v>
      </c>
      <c r="L648" s="11">
        <f t="shared" si="1"/>
      </c>
      <c r="M648" s="11">
        <f t="shared" si="92"/>
      </c>
      <c r="N648" s="11">
        <f t="shared" si="49"/>
      </c>
    </row>
    <row r="649">
      <c r="A649" s="7">
        <v>46126</v>
      </c>
      <c r="B649" s="37" t="s">
        <v>22</v>
      </c>
      <c r="C649" s="24" t="s">
        <v>19</v>
      </c>
      <c r="D649" s="23">
        <v>5</v>
      </c>
      <c r="E649" s="8">
        <v>49</v>
      </c>
      <c r="F649" s="8">
        <v>38</v>
      </c>
      <c r="G649" s="8">
        <v>32</v>
      </c>
      <c r="H649" s="8">
        <v>23</v>
      </c>
      <c r="I649" s="8">
        <v>2</v>
      </c>
      <c r="J649" s="25">
        <v>39092.600000000006</v>
      </c>
      <c r="K649" s="25">
        <v>21429.769999999997</v>
      </c>
      <c r="L649" s="11">
        <f t="shared" si="1"/>
      </c>
      <c r="M649" s="11">
        <f t="shared" si="92"/>
      </c>
      <c r="N649" s="11">
        <f t="shared" si="49"/>
      </c>
    </row>
    <row r="650">
      <c r="A650" s="7">
        <v>46126</v>
      </c>
      <c r="B650" s="37" t="s">
        <v>60</v>
      </c>
      <c r="C650" s="9" t="s">
        <v>45</v>
      </c>
      <c r="D650" s="8">
        <v>4</v>
      </c>
      <c r="E650" s="8">
        <v>45</v>
      </c>
      <c r="F650" s="8">
        <v>28</v>
      </c>
      <c r="G650" s="8">
        <v>22</v>
      </c>
      <c r="H650" s="8">
        <v>8</v>
      </c>
      <c r="I650" s="8">
        <v>3</v>
      </c>
      <c r="J650" s="25">
        <v>30547.799999999996</v>
      </c>
      <c r="K650" s="25">
        <v>16922.72</v>
      </c>
      <c r="L650" s="11">
        <f t="shared" si="1"/>
      </c>
      <c r="M650" s="11">
        <f t="shared" si="92"/>
      </c>
      <c r="N650" s="11">
        <f t="shared" si="49"/>
      </c>
    </row>
    <row r="651">
      <c r="A651" s="16">
        <v>46126</v>
      </c>
      <c r="B651" s="17"/>
      <c r="C651" s="17"/>
      <c r="D651" s="17">
        <f>SUM(D648:D650)</f>
      </c>
      <c r="E651" s="17">
        <f>SUM(E648:E650)</f>
      </c>
      <c r="F651" s="17">
        <f>SUM(F648:F650)</f>
      </c>
      <c r="G651" s="17">
        <f>SUM(G648:G650)</f>
      </c>
      <c r="H651" s="17">
        <f>SUM(H648:H650)</f>
      </c>
      <c r="I651" s="17">
        <f>SUM(I648:I650)</f>
      </c>
      <c r="J651" s="17">
        <f>SUM(J648:J650)</f>
      </c>
      <c r="K651" s="17">
        <f>SUM(K648:K650)</f>
      </c>
      <c r="L651" s="18">
        <f t="shared" si="1"/>
      </c>
      <c r="M651" s="18">
        <f t="shared" si="92"/>
      </c>
      <c r="N651" s="18">
        <f t="shared" si="49"/>
      </c>
    </row>
    <row r="652">
      <c r="A652" s="7">
        <v>46127</v>
      </c>
      <c r="B652" s="37" t="s">
        <v>22</v>
      </c>
      <c r="C652" s="24" t="s">
        <v>17</v>
      </c>
      <c r="D652" s="36">
        <v>5</v>
      </c>
      <c r="E652" s="34">
        <v>54</v>
      </c>
      <c r="F652" s="35">
        <v>44</v>
      </c>
      <c r="G652" s="8">
        <v>32</v>
      </c>
      <c r="H652" s="8">
        <v>25</v>
      </c>
      <c r="I652" s="8">
        <v>5</v>
      </c>
      <c r="J652" s="30">
        <v>39436.20000000001</v>
      </c>
      <c r="K652" s="23">
        <v>28862.390000000003</v>
      </c>
      <c r="L652" s="11">
        <f t="shared" si="1"/>
      </c>
      <c r="M652" s="11">
        <f t="shared" si="92"/>
      </c>
      <c r="N652" s="11">
        <f t="shared" si="49"/>
      </c>
    </row>
    <row r="653">
      <c r="A653" s="7">
        <v>46127</v>
      </c>
      <c r="B653" s="8" t="s">
        <v>20</v>
      </c>
      <c r="C653" s="24" t="s">
        <v>19</v>
      </c>
      <c r="D653" s="23">
        <v>5</v>
      </c>
      <c r="E653" s="8">
        <v>63</v>
      </c>
      <c r="F653" s="8">
        <v>52</v>
      </c>
      <c r="G653" s="8">
        <v>41</v>
      </c>
      <c r="H653" s="8">
        <v>27</v>
      </c>
      <c r="I653" s="8">
        <v>4</v>
      </c>
      <c r="J653" s="25">
        <v>52916.200000000004</v>
      </c>
      <c r="K653" s="25">
        <v>23838.050000000003</v>
      </c>
      <c r="L653" s="11">
        <f t="shared" si="1"/>
      </c>
      <c r="M653" s="11">
        <f t="shared" si="92"/>
      </c>
      <c r="N653" s="11">
        <f t="shared" si="49"/>
      </c>
    </row>
    <row r="654">
      <c r="A654" s="7">
        <v>46127</v>
      </c>
      <c r="B654" s="37" t="s">
        <v>60</v>
      </c>
      <c r="C654" s="9" t="s">
        <v>21</v>
      </c>
      <c r="D654" s="8">
        <v>5</v>
      </c>
      <c r="E654" s="8">
        <v>35</v>
      </c>
      <c r="F654" s="8">
        <v>28</v>
      </c>
      <c r="G654" s="8">
        <v>25</v>
      </c>
      <c r="H654" s="8">
        <v>17</v>
      </c>
      <c r="I654" s="8">
        <v>3</v>
      </c>
      <c r="J654" s="25">
        <v>26306.399999999994</v>
      </c>
      <c r="K654" s="25">
        <v>16481.67</v>
      </c>
      <c r="L654" s="11">
        <f t="shared" si="1"/>
      </c>
      <c r="M654" s="11">
        <f t="shared" si="92"/>
      </c>
      <c r="N654" s="11">
        <f t="shared" si="49"/>
      </c>
    </row>
    <row r="655">
      <c r="A655" s="16">
        <v>46127</v>
      </c>
      <c r="B655" s="17"/>
      <c r="C655" s="17"/>
      <c r="D655" s="17">
        <f>SUM(D652:D654)</f>
      </c>
      <c r="E655" s="17">
        <f>SUM(E652:E654)</f>
      </c>
      <c r="F655" s="17">
        <f>SUM(F652:F654)</f>
      </c>
      <c r="G655" s="17">
        <f>SUM(G652:G654)</f>
      </c>
      <c r="H655" s="17">
        <f>SUM(H652:H654)</f>
      </c>
      <c r="I655" s="17">
        <f>SUM(I652:I654)</f>
      </c>
      <c r="J655" s="17">
        <f>SUM(J652:J654)</f>
      </c>
      <c r="K655" s="17">
        <f>SUM(K652:K654)</f>
      </c>
      <c r="L655" s="18">
        <f t="shared" si="1"/>
      </c>
      <c r="M655" s="18">
        <f t="shared" si="92"/>
      </c>
      <c r="N655" s="18">
        <f t="shared" si="49"/>
      </c>
    </row>
    <row r="656">
      <c r="A656" s="7">
        <v>46128</v>
      </c>
      <c r="B656" s="37" t="s">
        <v>20</v>
      </c>
      <c r="C656" s="24" t="s">
        <v>17</v>
      </c>
      <c r="D656" s="36">
        <v>5</v>
      </c>
      <c r="E656" s="34">
        <v>70</v>
      </c>
      <c r="F656" s="35">
        <v>58</v>
      </c>
      <c r="G656" s="8">
        <v>34</v>
      </c>
      <c r="H656" s="8">
        <v>47</v>
      </c>
      <c r="I656" s="8">
        <v>8</v>
      </c>
      <c r="J656" s="30">
        <v>51836.600000000006</v>
      </c>
      <c r="K656" s="23">
        <v>34063.29</v>
      </c>
      <c r="L656" s="11">
        <f t="shared" si="1"/>
      </c>
      <c r="M656" s="11">
        <f t="shared" si="92"/>
      </c>
      <c r="N656" s="11">
        <f t="shared" si="49"/>
      </c>
    </row>
    <row r="657">
      <c r="A657" s="7">
        <v>46128</v>
      </c>
      <c r="B657" s="37" t="s">
        <v>22</v>
      </c>
      <c r="C657" s="24" t="s">
        <v>19</v>
      </c>
      <c r="D657" s="23">
        <v>5</v>
      </c>
      <c r="E657" s="8">
        <v>34</v>
      </c>
      <c r="F657" s="8">
        <v>26</v>
      </c>
      <c r="G657" s="8">
        <v>20</v>
      </c>
      <c r="H657" s="8">
        <v>17</v>
      </c>
      <c r="I657" s="8">
        <v>4</v>
      </c>
      <c r="J657" s="10">
        <v>26251.4</v>
      </c>
      <c r="K657" s="10">
        <v>14949.37</v>
      </c>
      <c r="L657" s="11">
        <f t="shared" si="1"/>
      </c>
      <c r="M657" s="11">
        <f t="shared" si="92"/>
      </c>
      <c r="N657" s="11">
        <f t="shared" si="49"/>
      </c>
    </row>
    <row r="658">
      <c r="A658" s="7">
        <v>46128</v>
      </c>
      <c r="B658" s="37" t="s">
        <v>60</v>
      </c>
      <c r="C658" s="9" t="s">
        <v>21</v>
      </c>
      <c r="D658" s="8">
        <v>5</v>
      </c>
      <c r="E658" s="8">
        <v>42</v>
      </c>
      <c r="F658" s="8">
        <v>34</v>
      </c>
      <c r="G658" s="8">
        <v>26</v>
      </c>
      <c r="H658" s="8">
        <v>17</v>
      </c>
      <c r="I658" s="8">
        <v>4</v>
      </c>
      <c r="J658" s="10">
        <v>29242.6</v>
      </c>
      <c r="K658" s="10">
        <v>15381.64</v>
      </c>
      <c r="L658" s="11">
        <f t="shared" si="1"/>
      </c>
      <c r="M658" s="11">
        <f t="shared" si="92"/>
      </c>
      <c r="N658" s="11">
        <f t="shared" si="49"/>
      </c>
    </row>
    <row r="659">
      <c r="A659" s="16">
        <v>46128</v>
      </c>
      <c r="B659" s="17"/>
      <c r="C659" s="17"/>
      <c r="D659" s="17">
        <f>SUM(D656:D658)</f>
      </c>
      <c r="E659" s="17">
        <f>SUM(E656:E658)</f>
      </c>
      <c r="F659" s="17">
        <f>SUM(F656:F658)</f>
      </c>
      <c r="G659" s="17">
        <f>SUM(G656:G658)</f>
      </c>
      <c r="H659" s="17">
        <f>SUM(H656:H658)</f>
      </c>
      <c r="I659" s="17">
        <f>SUM(I656:I658)</f>
      </c>
      <c r="J659" s="17">
        <f>SUM(J656:J658)</f>
      </c>
      <c r="K659" s="17">
        <f>SUM(K656:K658)</f>
      </c>
      <c r="L659" s="18">
        <f t="shared" si="1"/>
      </c>
      <c r="M659" s="18">
        <f t="shared" si="92"/>
      </c>
      <c r="N659" s="18">
        <f t="shared" si="49"/>
      </c>
    </row>
    <row r="660">
      <c r="A660" s="7">
        <v>46129</v>
      </c>
      <c r="B660" s="8" t="s">
        <v>20</v>
      </c>
      <c r="C660" s="24" t="s">
        <v>17</v>
      </c>
      <c r="D660" s="36">
        <v>5</v>
      </c>
      <c r="E660" s="34">
        <v>43</v>
      </c>
      <c r="F660" s="35">
        <v>29</v>
      </c>
      <c r="G660" s="8">
        <v>21</v>
      </c>
      <c r="H660" s="8">
        <v>22</v>
      </c>
      <c r="I660" s="8">
        <v>3</v>
      </c>
      <c r="J660" s="30">
        <v>25827.9</v>
      </c>
      <c r="K660" s="23">
        <v>29183.510000000002</v>
      </c>
      <c r="L660" s="11">
        <f t="shared" si="1"/>
      </c>
      <c r="M660" s="11">
        <f t="shared" si="92"/>
      </c>
      <c r="N660" s="11">
        <f t="shared" si="49"/>
      </c>
    </row>
    <row r="661">
      <c r="A661" s="7">
        <v>46129</v>
      </c>
      <c r="B661" s="8" t="s">
        <v>60</v>
      </c>
      <c r="C661" s="24" t="s">
        <v>19</v>
      </c>
      <c r="D661" s="23">
        <v>5</v>
      </c>
      <c r="E661" s="8">
        <v>77</v>
      </c>
      <c r="F661" s="8">
        <v>68</v>
      </c>
      <c r="G661" s="8">
        <v>56</v>
      </c>
      <c r="H661" s="8">
        <v>39</v>
      </c>
      <c r="I661" s="8">
        <v>5</v>
      </c>
      <c r="J661" s="25">
        <v>66647.40000000001</v>
      </c>
      <c r="K661" s="25">
        <v>27720.550000000003</v>
      </c>
      <c r="L661" s="11">
        <f t="shared" si="1"/>
      </c>
      <c r="M661" s="11">
        <f t="shared" si="92"/>
      </c>
      <c r="N661" s="11">
        <f t="shared" si="49"/>
      </c>
    </row>
    <row r="662">
      <c r="A662" s="7">
        <v>46129</v>
      </c>
      <c r="B662" s="8" t="s">
        <v>24</v>
      </c>
      <c r="C662" s="24" t="s">
        <v>21</v>
      </c>
      <c r="D662" s="23">
        <v>5</v>
      </c>
      <c r="E662" s="8">
        <v>52</v>
      </c>
      <c r="F662" s="8">
        <v>40</v>
      </c>
      <c r="G662" s="8">
        <v>29</v>
      </c>
      <c r="H662" s="8">
        <v>29</v>
      </c>
      <c r="I662" s="8">
        <v>5</v>
      </c>
      <c r="J662" s="25">
        <v>35403.600000000006</v>
      </c>
      <c r="K662" s="25">
        <v>24381.01</v>
      </c>
      <c r="L662" s="11">
        <f t="shared" si="1"/>
      </c>
      <c r="M662" s="11">
        <f t="shared" si="92"/>
      </c>
      <c r="N662" s="11">
        <f t="shared" si="49"/>
      </c>
    </row>
    <row r="663">
      <c r="A663" s="7">
        <v>46129</v>
      </c>
      <c r="B663" s="8" t="s">
        <v>22</v>
      </c>
      <c r="C663" s="24" t="s">
        <v>23</v>
      </c>
      <c r="D663" s="23">
        <v>5</v>
      </c>
      <c r="E663" s="8">
        <v>31</v>
      </c>
      <c r="F663" s="8">
        <v>28</v>
      </c>
      <c r="G663" s="8">
        <v>16</v>
      </c>
      <c r="H663" s="8">
        <v>19</v>
      </c>
      <c r="I663" s="8">
        <v>4</v>
      </c>
      <c r="J663" s="25">
        <v>22894.599999999984</v>
      </c>
      <c r="K663" s="10">
        <v>16052.779999999999</v>
      </c>
      <c r="L663" s="11">
        <f t="shared" si="1"/>
      </c>
      <c r="M663" s="11">
        <f t="shared" si="92"/>
      </c>
      <c r="N663" s="11">
        <f>K663/H663</f>
      </c>
    </row>
    <row r="664">
      <c r="A664" s="16">
        <v>46129</v>
      </c>
      <c r="B664" s="17"/>
      <c r="C664" s="17"/>
      <c r="D664" s="17">
        <f>SUM(D660:D663)</f>
      </c>
      <c r="E664" s="17">
        <f>SUM(E660:E663)</f>
      </c>
      <c r="F664" s="17">
        <f>SUM(F660:F663)</f>
      </c>
      <c r="G664" s="17">
        <f>SUM(G660:G663)</f>
      </c>
      <c r="H664" s="17">
        <f>SUM(H660:H663)</f>
      </c>
      <c r="I664" s="17">
        <f>SUM(I660:I663)</f>
      </c>
      <c r="J664" s="17">
        <f>SUM(J660:J663)</f>
      </c>
      <c r="K664" s="17">
        <f>SUM(K660:K663)</f>
      </c>
      <c r="L664" s="18">
        <f t="shared" si="1"/>
      </c>
      <c r="M664" s="18">
        <f t="shared" si="92"/>
      </c>
      <c r="N664" s="18">
        <f t="shared" ref="N664:N671" si="50">K664/F664</f>
      </c>
    </row>
    <row r="665">
      <c r="A665" s="7">
        <v>46130</v>
      </c>
      <c r="B665" s="8" t="s">
        <v>60</v>
      </c>
      <c r="C665" s="24" t="s">
        <v>17</v>
      </c>
      <c r="D665" s="36">
        <v>5</v>
      </c>
      <c r="E665" s="34">
        <v>75</v>
      </c>
      <c r="F665" s="35">
        <v>58</v>
      </c>
      <c r="G665" s="8">
        <v>42</v>
      </c>
      <c r="H665" s="8">
        <v>38</v>
      </c>
      <c r="I665" s="8">
        <v>12</v>
      </c>
      <c r="J665" s="30">
        <v>54527.8</v>
      </c>
      <c r="K665" s="23">
        <v>51564.14000000001</v>
      </c>
      <c r="L665" s="11">
        <f t="shared" si="1"/>
      </c>
      <c r="M665" s="11">
        <f t="shared" si="92"/>
      </c>
      <c r="N665" s="11">
        <f t="shared" si="50"/>
      </c>
    </row>
    <row r="666">
      <c r="A666" s="7">
        <v>46130</v>
      </c>
      <c r="B666" s="8" t="s">
        <v>24</v>
      </c>
      <c r="C666" s="24" t="s">
        <v>19</v>
      </c>
      <c r="D666" s="23">
        <v>5</v>
      </c>
      <c r="E666" s="8">
        <v>28</v>
      </c>
      <c r="F666" s="8">
        <v>26</v>
      </c>
      <c r="G666" s="8">
        <v>23</v>
      </c>
      <c r="H666" s="8">
        <v>16</v>
      </c>
      <c r="I666" s="8">
        <v>2</v>
      </c>
      <c r="J666" s="10">
        <v>31682.999999999993</v>
      </c>
      <c r="K666" s="10">
        <v>20851.66</v>
      </c>
      <c r="L666" s="11">
        <f t="shared" si="1"/>
      </c>
      <c r="M666" s="11">
        <f t="shared" si="92"/>
      </c>
      <c r="N666" s="11">
        <f t="shared" si="50"/>
      </c>
    </row>
    <row r="667">
      <c r="A667" s="7">
        <v>46130</v>
      </c>
      <c r="B667" s="8" t="s">
        <v>22</v>
      </c>
      <c r="C667" s="9" t="s">
        <v>21</v>
      </c>
      <c r="D667" s="8">
        <v>5</v>
      </c>
      <c r="E667" s="8">
        <v>23</v>
      </c>
      <c r="F667" s="8">
        <v>20</v>
      </c>
      <c r="G667" s="8">
        <v>15</v>
      </c>
      <c r="H667" s="8">
        <v>12</v>
      </c>
      <c r="I667" s="8">
        <v>2</v>
      </c>
      <c r="J667" s="10">
        <v>22151.600000000006</v>
      </c>
      <c r="K667" s="10">
        <v>10323.98</v>
      </c>
      <c r="L667" s="11">
        <f t="shared" si="1"/>
      </c>
      <c r="M667" s="11">
        <f t="shared" si="92"/>
      </c>
      <c r="N667" s="11">
        <f t="shared" si="50"/>
      </c>
    </row>
    <row r="668">
      <c r="A668" s="16">
        <v>46130</v>
      </c>
      <c r="B668" s="17"/>
      <c r="C668" s="17"/>
      <c r="D668" s="17">
        <f>SUM(D665:D667)</f>
      </c>
      <c r="E668" s="17">
        <f>SUM(E665:E667)</f>
      </c>
      <c r="F668" s="17">
        <f>SUM(F665:F667)</f>
      </c>
      <c r="G668" s="17">
        <f>SUM(G665:G667)</f>
      </c>
      <c r="H668" s="17">
        <f>SUM(H665:H667)</f>
      </c>
      <c r="I668" s="17">
        <f>SUM(I665:I667)</f>
      </c>
      <c r="J668" s="17">
        <f>SUM(J665:J667)</f>
      </c>
      <c r="K668" s="17">
        <f>SUM(K665:K667)</f>
      </c>
      <c r="L668" s="18">
        <f t="shared" si="1"/>
      </c>
      <c r="M668" s="18">
        <f t="shared" si="92"/>
      </c>
      <c r="N668" s="18">
        <f t="shared" si="50"/>
      </c>
    </row>
    <row r="669">
      <c r="A669" s="7">
        <v>46131</v>
      </c>
      <c r="B669" s="37" t="s">
        <v>60</v>
      </c>
      <c r="C669" s="24" t="s">
        <v>17</v>
      </c>
      <c r="D669" s="36">
        <v>5</v>
      </c>
      <c r="E669" s="34">
        <v>38</v>
      </c>
      <c r="F669" s="35">
        <v>30</v>
      </c>
      <c r="G669" s="8">
        <v>23</v>
      </c>
      <c r="H669" s="8">
        <v>22</v>
      </c>
      <c r="I669" s="8">
        <v>4</v>
      </c>
      <c r="J669" s="30">
        <v>32546</v>
      </c>
      <c r="K669" s="23">
        <v>19608.09</v>
      </c>
      <c r="L669" s="11">
        <f t="shared" si="1"/>
      </c>
      <c r="M669" s="11">
        <f t="shared" si="92"/>
      </c>
      <c r="N669" s="11">
        <f t="shared" si="50"/>
      </c>
    </row>
    <row r="670">
      <c r="A670" s="7">
        <v>46131</v>
      </c>
      <c r="B670" s="8" t="s">
        <v>24</v>
      </c>
      <c r="C670" s="24" t="s">
        <v>19</v>
      </c>
      <c r="D670" s="23">
        <v>5</v>
      </c>
      <c r="E670" s="8">
        <v>33</v>
      </c>
      <c r="F670" s="8">
        <v>24</v>
      </c>
      <c r="G670" s="8">
        <v>22</v>
      </c>
      <c r="H670" s="8">
        <v>17</v>
      </c>
      <c r="I670" s="8">
        <v>3</v>
      </c>
      <c r="J670" s="25">
        <v>29132</v>
      </c>
      <c r="K670" s="25">
        <v>13280.580000000002</v>
      </c>
      <c r="L670" s="11">
        <f t="shared" si="1"/>
      </c>
      <c r="M670" s="11">
        <f t="shared" si="92"/>
      </c>
      <c r="N670" s="11">
        <f t="shared" si="50"/>
      </c>
    </row>
    <row r="671">
      <c r="A671" s="7">
        <v>46131</v>
      </c>
      <c r="B671" s="8" t="s">
        <v>20</v>
      </c>
      <c r="C671" s="24" t="s">
        <v>21</v>
      </c>
      <c r="D671" s="23">
        <v>5</v>
      </c>
      <c r="E671" s="8">
        <v>44</v>
      </c>
      <c r="F671" s="8">
        <v>38</v>
      </c>
      <c r="G671" s="8">
        <v>23</v>
      </c>
      <c r="H671" s="8">
        <v>26</v>
      </c>
      <c r="I671" s="8">
        <v>5</v>
      </c>
      <c r="J671" s="25">
        <v>29735.999999999996</v>
      </c>
      <c r="K671" s="25">
        <v>15516.89</v>
      </c>
      <c r="L671" s="11">
        <f t="shared" si="1"/>
      </c>
      <c r="M671" s="11">
        <f t="shared" si="92"/>
      </c>
      <c r="N671" s="11">
        <f t="shared" si="50"/>
      </c>
    </row>
    <row r="672">
      <c r="A672" s="7">
        <v>46131</v>
      </c>
      <c r="B672" s="8" t="s">
        <v>16</v>
      </c>
      <c r="C672" s="24" t="s">
        <v>23</v>
      </c>
      <c r="D672" s="23">
        <v>5</v>
      </c>
      <c r="E672" s="8">
        <v>73</v>
      </c>
      <c r="F672" s="8">
        <v>59</v>
      </c>
      <c r="G672" s="8">
        <v>48</v>
      </c>
      <c r="H672" s="8">
        <v>41</v>
      </c>
      <c r="I672" s="8">
        <v>6</v>
      </c>
      <c r="J672" s="25">
        <v>45573.000000000015</v>
      </c>
      <c r="K672" s="10">
        <v>27055.45</v>
      </c>
      <c r="L672" s="11">
        <f t="shared" si="1"/>
      </c>
      <c r="M672" s="11">
        <f t="shared" si="92"/>
      </c>
      <c r="N672" s="11">
        <f>K672/H672</f>
      </c>
    </row>
    <row r="673">
      <c r="A673" s="16">
        <v>46131</v>
      </c>
      <c r="B673" s="17"/>
      <c r="C673" s="17"/>
      <c r="D673" s="17">
        <f>SUM(D669:D672)</f>
      </c>
      <c r="E673" s="17">
        <f>SUM(E669:E672)</f>
      </c>
      <c r="F673" s="17">
        <f>SUM(F669:F672)</f>
      </c>
      <c r="G673" s="17">
        <f>SUM(G669:G672)</f>
      </c>
      <c r="H673" s="17">
        <f>SUM(H669:H672)</f>
      </c>
      <c r="I673" s="17">
        <f>SUM(I669:I672)</f>
      </c>
      <c r="J673" s="17">
        <f>SUM(J669:J672)</f>
      </c>
      <c r="K673" s="17">
        <f>SUM(K669:K672)</f>
      </c>
      <c r="L673" s="18">
        <f t="shared" si="1"/>
      </c>
      <c r="M673" s="18">
        <f t="shared" si="92"/>
      </c>
      <c r="N673" s="18">
        <f t="shared" ref="N673:N676" si="51">K673/F673</f>
      </c>
    </row>
    <row r="674">
      <c r="A674" s="7">
        <v>46132</v>
      </c>
      <c r="B674" s="8" t="s">
        <v>20</v>
      </c>
      <c r="C674" s="24" t="s">
        <v>17</v>
      </c>
      <c r="D674" s="36">
        <v>5</v>
      </c>
      <c r="E674" s="34">
        <v>76</v>
      </c>
      <c r="F674" s="35">
        <v>62</v>
      </c>
      <c r="G674" s="8">
        <v>50</v>
      </c>
      <c r="H674" s="8">
        <v>43</v>
      </c>
      <c r="I674" s="8">
        <v>4</v>
      </c>
      <c r="J674" s="30">
        <v>54116.59999999999</v>
      </c>
      <c r="K674" s="23">
        <v>37342.33</v>
      </c>
      <c r="L674" s="11">
        <f t="shared" si="1"/>
      </c>
      <c r="M674" s="11">
        <f t="shared" si="92"/>
      </c>
      <c r="N674" s="11">
        <f t="shared" si="51"/>
      </c>
    </row>
    <row r="675">
      <c r="A675" s="7">
        <v>46132</v>
      </c>
      <c r="B675" s="37" t="s">
        <v>24</v>
      </c>
      <c r="C675" s="24" t="s">
        <v>19</v>
      </c>
      <c r="D675" s="23">
        <v>5</v>
      </c>
      <c r="E675" s="8">
        <v>77</v>
      </c>
      <c r="F675" s="8">
        <v>59</v>
      </c>
      <c r="G675" s="8">
        <v>54</v>
      </c>
      <c r="H675" s="8">
        <v>34</v>
      </c>
      <c r="I675" s="8">
        <v>3</v>
      </c>
      <c r="J675" s="25">
        <v>51359.50000000001</v>
      </c>
      <c r="K675" s="25">
        <v>34629.68</v>
      </c>
      <c r="L675" s="11">
        <f t="shared" si="1"/>
      </c>
      <c r="M675" s="11">
        <f t="shared" si="92"/>
      </c>
      <c r="N675" s="11">
        <f t="shared" si="51"/>
      </c>
    </row>
    <row r="676">
      <c r="A676" s="7">
        <v>46132</v>
      </c>
      <c r="B676" s="8" t="s">
        <v>16</v>
      </c>
      <c r="C676" s="24" t="s">
        <v>21</v>
      </c>
      <c r="D676" s="23">
        <v>5</v>
      </c>
      <c r="E676" s="8">
        <v>83</v>
      </c>
      <c r="F676" s="8">
        <v>64</v>
      </c>
      <c r="G676" s="8">
        <v>50</v>
      </c>
      <c r="H676" s="8">
        <v>43</v>
      </c>
      <c r="I676" s="8">
        <v>7</v>
      </c>
      <c r="J676" s="25">
        <v>47296.5</v>
      </c>
      <c r="K676" s="25">
        <v>33807.23</v>
      </c>
      <c r="L676" s="11">
        <f t="shared" si="1"/>
      </c>
      <c r="M676" s="11">
        <f t="shared" si="92"/>
      </c>
      <c r="N676" s="11">
        <f t="shared" si="51"/>
      </c>
    </row>
    <row r="677">
      <c r="A677" s="7">
        <v>46132</v>
      </c>
      <c r="B677" s="8" t="s">
        <v>22</v>
      </c>
      <c r="C677" s="24" t="s">
        <v>23</v>
      </c>
      <c r="D677" s="23">
        <v>5</v>
      </c>
      <c r="E677" s="8">
        <v>69</v>
      </c>
      <c r="F677" s="8">
        <v>52</v>
      </c>
      <c r="G677" s="8">
        <v>46</v>
      </c>
      <c r="H677" s="8">
        <v>39</v>
      </c>
      <c r="I677" s="8">
        <v>2</v>
      </c>
      <c r="J677" s="25">
        <v>44514.60000000002</v>
      </c>
      <c r="K677" s="10">
        <v>28357.48</v>
      </c>
      <c r="L677" s="11">
        <f t="shared" si="1"/>
      </c>
      <c r="M677" s="11">
        <f t="shared" si="92"/>
      </c>
      <c r="N677" s="11">
        <f>K677/H677</f>
      </c>
    </row>
    <row r="678">
      <c r="A678" s="16">
        <v>46132</v>
      </c>
      <c r="B678" s="17"/>
      <c r="C678" s="17"/>
      <c r="D678" s="17">
        <f>SUM(D674:D677)</f>
      </c>
      <c r="E678" s="17">
        <f>SUM(E674:E677)</f>
      </c>
      <c r="F678" s="17">
        <f>SUM(F674:F677)</f>
      </c>
      <c r="G678" s="17">
        <f>SUM(G674:G677)</f>
      </c>
      <c r="H678" s="17">
        <f>SUM(H674:H677)</f>
      </c>
      <c r="I678" s="17">
        <f>SUM(I674:I677)</f>
      </c>
      <c r="J678" s="17">
        <f>SUM(J674:J677)</f>
      </c>
      <c r="K678" s="17">
        <f>SUM(K674:K677)</f>
      </c>
      <c r="L678" s="18">
        <f t="shared" si="1"/>
      </c>
      <c r="M678" s="18">
        <f t="shared" si="92"/>
      </c>
      <c r="N678" s="18">
        <f t="shared" ref="N678:N681" si="52">K678/F678</f>
      </c>
    </row>
    <row r="679">
      <c r="A679" s="7">
        <v>46133</v>
      </c>
      <c r="B679" s="8" t="s">
        <v>20</v>
      </c>
      <c r="C679" s="24" t="s">
        <v>17</v>
      </c>
      <c r="D679" s="36">
        <v>5</v>
      </c>
      <c r="E679" s="34">
        <v>81</v>
      </c>
      <c r="F679" s="35">
        <v>61</v>
      </c>
      <c r="G679" s="8">
        <v>49</v>
      </c>
      <c r="H679" s="8">
        <v>37</v>
      </c>
      <c r="I679" s="8">
        <v>4</v>
      </c>
      <c r="J679" s="30">
        <v>53838.000000000015</v>
      </c>
      <c r="K679" s="23">
        <v>33321.03999999999</v>
      </c>
      <c r="L679" s="11">
        <f t="shared" si="1"/>
      </c>
      <c r="M679" s="11">
        <f t="shared" si="92"/>
      </c>
      <c r="N679" s="11">
        <f t="shared" si="52"/>
      </c>
    </row>
    <row r="680">
      <c r="A680" s="7">
        <v>46133</v>
      </c>
      <c r="B680" s="37" t="s">
        <v>16</v>
      </c>
      <c r="C680" s="24" t="s">
        <v>19</v>
      </c>
      <c r="D680" s="23">
        <v>5</v>
      </c>
      <c r="E680" s="8">
        <v>62</v>
      </c>
      <c r="F680" s="8">
        <v>49</v>
      </c>
      <c r="G680" s="8">
        <v>33</v>
      </c>
      <c r="H680" s="8">
        <v>30</v>
      </c>
      <c r="I680" s="8">
        <v>8</v>
      </c>
      <c r="J680" s="25">
        <v>49796.1</v>
      </c>
      <c r="K680" s="25">
        <v>23991.149999999998</v>
      </c>
      <c r="L680" s="11">
        <f t="shared" si="1"/>
      </c>
      <c r="M680" s="11">
        <f t="shared" si="92"/>
      </c>
      <c r="N680" s="11">
        <f t="shared" si="52"/>
      </c>
    </row>
    <row r="681">
      <c r="A681" s="7">
        <v>46133</v>
      </c>
      <c r="B681" s="37" t="s">
        <v>24</v>
      </c>
      <c r="C681" s="24" t="s">
        <v>21</v>
      </c>
      <c r="D681" s="23">
        <v>5</v>
      </c>
      <c r="E681" s="8">
        <v>50</v>
      </c>
      <c r="F681" s="8">
        <v>42</v>
      </c>
      <c r="G681" s="8">
        <v>28</v>
      </c>
      <c r="H681" s="8">
        <v>23</v>
      </c>
      <c r="I681" s="8">
        <v>5</v>
      </c>
      <c r="J681" s="25">
        <v>35533.4</v>
      </c>
      <c r="K681" s="25">
        <v>19092.910000000003</v>
      </c>
      <c r="L681" s="11">
        <f t="shared" si="1"/>
      </c>
      <c r="M681" s="11">
        <f t="shared" si="92"/>
      </c>
      <c r="N681" s="11">
        <f t="shared" si="52"/>
      </c>
    </row>
    <row r="682">
      <c r="A682" s="7">
        <v>46133</v>
      </c>
      <c r="B682" s="8" t="s">
        <v>22</v>
      </c>
      <c r="C682" s="24" t="s">
        <v>23</v>
      </c>
      <c r="D682" s="23">
        <v>5</v>
      </c>
      <c r="E682" s="8">
        <v>57</v>
      </c>
      <c r="F682" s="8">
        <v>50</v>
      </c>
      <c r="G682" s="8">
        <v>42</v>
      </c>
      <c r="H682" s="8">
        <v>35</v>
      </c>
      <c r="I682" s="8">
        <v>3</v>
      </c>
      <c r="J682" s="25">
        <v>46515.99999999999</v>
      </c>
      <c r="K682" s="10">
        <v>19843.8</v>
      </c>
      <c r="L682" s="11">
        <f t="shared" si="1"/>
      </c>
      <c r="M682" s="11">
        <f t="shared" si="92"/>
      </c>
      <c r="N682" s="11">
        <f>K682/H682</f>
      </c>
    </row>
    <row r="683">
      <c r="A683" s="16">
        <v>46133</v>
      </c>
      <c r="B683" s="17"/>
      <c r="C683" s="17"/>
      <c r="D683" s="17">
        <f>SUM(D679:D682)</f>
      </c>
      <c r="E683" s="17">
        <f>SUM(E679:E682)</f>
      </c>
      <c r="F683" s="17">
        <f>SUM(F679:F682)</f>
      </c>
      <c r="G683" s="17">
        <f>SUM(G679:G682)</f>
      </c>
      <c r="H683" s="17">
        <f>SUM(H679:H682)</f>
      </c>
      <c r="I683" s="17">
        <f>SUM(I679:I682)</f>
      </c>
      <c r="J683" s="17">
        <f>SUM(J679:J682)</f>
      </c>
      <c r="K683" s="17">
        <f>SUM(K679:K682)</f>
      </c>
      <c r="L683" s="18">
        <f t="shared" si="1"/>
      </c>
      <c r="M683" s="18">
        <f t="shared" si="92"/>
      </c>
      <c r="N683" s="18">
        <f t="shared" ref="N683:N686" si="53">K683/F683</f>
      </c>
    </row>
    <row r="684">
      <c r="A684" s="7">
        <v>46134</v>
      </c>
      <c r="B684" s="37" t="s">
        <v>16</v>
      </c>
      <c r="C684" s="24" t="s">
        <v>17</v>
      </c>
      <c r="D684" s="36">
        <v>5</v>
      </c>
      <c r="E684" s="34">
        <v>45</v>
      </c>
      <c r="F684" s="35">
        <v>35</v>
      </c>
      <c r="G684" s="8">
        <v>24</v>
      </c>
      <c r="H684" s="8">
        <v>23</v>
      </c>
      <c r="I684" s="8">
        <v>7</v>
      </c>
      <c r="J684" s="30">
        <v>37686.899999999994</v>
      </c>
      <c r="K684" s="23">
        <v>27379.36</v>
      </c>
      <c r="L684" s="11">
        <f t="shared" si="1"/>
      </c>
      <c r="M684" s="11">
        <f t="shared" si="92"/>
      </c>
      <c r="N684" s="11">
        <f t="shared" si="53"/>
      </c>
    </row>
    <row r="685">
      <c r="A685" s="7">
        <v>46134</v>
      </c>
      <c r="B685" s="8" t="s">
        <v>22</v>
      </c>
      <c r="C685" s="24" t="s">
        <v>19</v>
      </c>
      <c r="D685" s="23">
        <v>5</v>
      </c>
      <c r="E685" s="8">
        <v>77</v>
      </c>
      <c r="F685" s="8">
        <v>57</v>
      </c>
      <c r="G685" s="8">
        <v>42</v>
      </c>
      <c r="H685" s="8">
        <v>40</v>
      </c>
      <c r="I685" s="8">
        <v>4</v>
      </c>
      <c r="J685" s="25">
        <v>53191.60000000001</v>
      </c>
      <c r="K685" s="25">
        <v>26714.179999999997</v>
      </c>
      <c r="L685" s="11">
        <f t="shared" si="1"/>
      </c>
      <c r="M685" s="11">
        <f t="shared" si="92"/>
      </c>
      <c r="N685" s="11">
        <f t="shared" si="53"/>
      </c>
    </row>
    <row r="686">
      <c r="A686" s="7">
        <v>46134</v>
      </c>
      <c r="B686" s="8" t="s">
        <v>20</v>
      </c>
      <c r="C686" s="24" t="s">
        <v>21</v>
      </c>
      <c r="D686" s="23">
        <v>5</v>
      </c>
      <c r="E686" s="8">
        <v>81</v>
      </c>
      <c r="F686" s="8">
        <v>63</v>
      </c>
      <c r="G686" s="8">
        <v>52</v>
      </c>
      <c r="H686" s="8">
        <v>45</v>
      </c>
      <c r="I686" s="8">
        <v>5</v>
      </c>
      <c r="J686" s="25">
        <v>61056.2</v>
      </c>
      <c r="K686" s="25">
        <v>29705.2</v>
      </c>
      <c r="L686" s="11">
        <f t="shared" si="1"/>
      </c>
      <c r="M686" s="11">
        <f t="shared" si="92"/>
      </c>
      <c r="N686" s="11">
        <f t="shared" si="53"/>
      </c>
    </row>
    <row r="687">
      <c r="A687" s="7">
        <v>46134</v>
      </c>
      <c r="B687" s="28" t="s">
        <v>60</v>
      </c>
      <c r="C687" s="24" t="s">
        <v>23</v>
      </c>
      <c r="D687" s="23">
        <v>5</v>
      </c>
      <c r="E687" s="8">
        <v>104</v>
      </c>
      <c r="F687" s="8">
        <v>89</v>
      </c>
      <c r="G687" s="8">
        <v>71</v>
      </c>
      <c r="H687" s="8">
        <v>59</v>
      </c>
      <c r="I687" s="8">
        <v>8</v>
      </c>
      <c r="J687" s="25">
        <v>72020.00000000003</v>
      </c>
      <c r="K687" s="10">
        <v>36189.78</v>
      </c>
      <c r="L687" s="11">
        <f t="shared" si="1"/>
      </c>
      <c r="M687" s="11">
        <f t="shared" si="92"/>
      </c>
      <c r="N687" s="11">
        <f>K687/H687</f>
      </c>
    </row>
    <row r="688">
      <c r="A688" s="16">
        <v>46134</v>
      </c>
      <c r="B688" s="17"/>
      <c r="C688" s="17"/>
      <c r="D688" s="17">
        <f>SUM(D684:D687)</f>
      </c>
      <c r="E688" s="17">
        <f>SUM(E684:E687)</f>
      </c>
      <c r="F688" s="17">
        <f>SUM(F684:F687)</f>
      </c>
      <c r="G688" s="17">
        <f>SUM(G684:G687)</f>
      </c>
      <c r="H688" s="17">
        <f>SUM(H684:H687)</f>
      </c>
      <c r="I688" s="17">
        <f>SUM(I684:I687)</f>
      </c>
      <c r="J688" s="17">
        <f>SUM(J684:J687)</f>
      </c>
      <c r="K688" s="17">
        <f>SUM(K684:K687)</f>
      </c>
      <c r="L688" s="18">
        <f t="shared" si="1"/>
      </c>
      <c r="M688" s="18">
        <f t="shared" si="92"/>
      </c>
      <c r="N688" s="18">
        <f t="shared" ref="N688:N695" si="54">K688/F688</f>
      </c>
    </row>
    <row r="689">
      <c r="A689" s="7">
        <v>46136</v>
      </c>
      <c r="B689" s="8" t="s">
        <v>20</v>
      </c>
      <c r="C689" s="9" t="s">
        <v>58</v>
      </c>
      <c r="D689" s="36">
        <v>5</v>
      </c>
      <c r="E689" s="34">
        <v>66</v>
      </c>
      <c r="F689" s="35">
        <v>49</v>
      </c>
      <c r="G689" s="8">
        <v>39</v>
      </c>
      <c r="H689" s="8">
        <v>32</v>
      </c>
      <c r="I689" s="8">
        <v>6</v>
      </c>
      <c r="J689" s="30">
        <v>44798.6</v>
      </c>
      <c r="K689" s="23">
        <v>26264.47</v>
      </c>
      <c r="L689" s="11">
        <f t="shared" si="1"/>
      </c>
      <c r="M689" s="11">
        <f t="shared" si="92"/>
      </c>
      <c r="N689" s="11">
        <f t="shared" si="54"/>
      </c>
    </row>
    <row r="690">
      <c r="A690" s="7">
        <v>46136</v>
      </c>
      <c r="B690" s="8" t="s">
        <v>60</v>
      </c>
      <c r="C690" s="9" t="s">
        <v>61</v>
      </c>
      <c r="D690" s="8">
        <v>4</v>
      </c>
      <c r="E690" s="8">
        <v>85</v>
      </c>
      <c r="F690" s="8">
        <v>67</v>
      </c>
      <c r="G690" s="8">
        <v>60</v>
      </c>
      <c r="H690" s="8">
        <v>52</v>
      </c>
      <c r="I690" s="8">
        <v>9</v>
      </c>
      <c r="J690" s="10">
        <v>56576.40000000003</v>
      </c>
      <c r="K690" s="10">
        <v>35657.92</v>
      </c>
      <c r="L690" s="11">
        <f t="shared" si="1"/>
      </c>
      <c r="M690" s="11">
        <f t="shared" si="92"/>
      </c>
      <c r="N690" s="11">
        <f t="shared" si="54"/>
      </c>
    </row>
    <row r="691">
      <c r="A691" s="7">
        <v>46136</v>
      </c>
      <c r="B691" s="8" t="s">
        <v>22</v>
      </c>
      <c r="C691" s="9" t="s">
        <v>62</v>
      </c>
      <c r="D691" s="8">
        <v>4</v>
      </c>
      <c r="E691" s="8">
        <v>45</v>
      </c>
      <c r="F691" s="8">
        <v>32</v>
      </c>
      <c r="G691" s="8">
        <v>33</v>
      </c>
      <c r="H691" s="8">
        <v>22</v>
      </c>
      <c r="I691" s="8">
        <v>2</v>
      </c>
      <c r="J691" s="10">
        <v>26204.4</v>
      </c>
      <c r="K691" s="10">
        <v>24832.33</v>
      </c>
      <c r="L691" s="11">
        <f t="shared" si="1"/>
      </c>
      <c r="M691" s="11">
        <f t="shared" si="92"/>
      </c>
      <c r="N691" s="11">
        <f t="shared" si="54"/>
      </c>
    </row>
    <row r="692">
      <c r="A692" s="16">
        <v>46136</v>
      </c>
      <c r="B692" s="17"/>
      <c r="C692" s="17"/>
      <c r="D692" s="17">
        <f>SUM(D689:D691)</f>
      </c>
      <c r="E692" s="17">
        <f>SUM(E689:E691)</f>
      </c>
      <c r="F692" s="17">
        <f>SUM(F689:F691)</f>
      </c>
      <c r="G692" s="17">
        <f>SUM(G689:G691)</f>
      </c>
      <c r="H692" s="17">
        <f>SUM(H689:H691)</f>
      </c>
      <c r="I692" s="17">
        <f>SUM(I689:I691)</f>
      </c>
      <c r="J692" s="17">
        <f>SUM(J689:J691)</f>
      </c>
      <c r="K692" s="17">
        <f>SUM(K689:K691)</f>
      </c>
      <c r="L692" s="18">
        <f t="shared" si="1"/>
      </c>
      <c r="M692" s="18">
        <f t="shared" si="92"/>
      </c>
      <c r="N692" s="18">
        <f t="shared" si="54"/>
      </c>
    </row>
    <row r="693">
      <c r="A693" s="7">
        <v>46137</v>
      </c>
      <c r="B693" s="37" t="s">
        <v>16</v>
      </c>
      <c r="C693" s="24" t="s">
        <v>17</v>
      </c>
      <c r="D693" s="36">
        <v>5</v>
      </c>
      <c r="E693" s="34">
        <v>32</v>
      </c>
      <c r="F693" s="35">
        <v>24</v>
      </c>
      <c r="G693" s="8">
        <v>20</v>
      </c>
      <c r="H693" s="8">
        <v>21</v>
      </c>
      <c r="I693" s="8">
        <v>0</v>
      </c>
      <c r="J693" s="30">
        <v>18583.6</v>
      </c>
      <c r="K693" s="8">
        <v>24393.49</v>
      </c>
      <c r="L693" s="11">
        <f t="shared" si="1"/>
      </c>
      <c r="M693" s="11">
        <f t="shared" si="92"/>
      </c>
      <c r="N693" s="11">
        <f t="shared" si="54"/>
      </c>
    </row>
    <row r="694">
      <c r="A694" s="7">
        <v>46137</v>
      </c>
      <c r="B694" s="8" t="s">
        <v>20</v>
      </c>
      <c r="C694" s="24" t="s">
        <v>19</v>
      </c>
      <c r="D694" s="23">
        <v>5</v>
      </c>
      <c r="E694" s="8">
        <v>34</v>
      </c>
      <c r="F694" s="8">
        <v>30</v>
      </c>
      <c r="G694" s="8">
        <v>19</v>
      </c>
      <c r="H694" s="8">
        <v>18</v>
      </c>
      <c r="I694" s="8">
        <v>4</v>
      </c>
      <c r="J694" s="25">
        <v>29415.199999999997</v>
      </c>
      <c r="K694" s="25">
        <v>11514.54</v>
      </c>
      <c r="L694" s="11">
        <f t="shared" si="1"/>
      </c>
      <c r="M694" s="11">
        <f t="shared" si="92"/>
      </c>
      <c r="N694" s="11">
        <f t="shared" si="54"/>
      </c>
    </row>
    <row r="695">
      <c r="A695" s="7">
        <v>46137</v>
      </c>
      <c r="B695" s="37" t="s">
        <v>24</v>
      </c>
      <c r="C695" s="24" t="s">
        <v>21</v>
      </c>
      <c r="D695" s="23">
        <v>5</v>
      </c>
      <c r="E695" s="8">
        <v>20</v>
      </c>
      <c r="F695" s="8">
        <v>15</v>
      </c>
      <c r="G695" s="8">
        <v>13</v>
      </c>
      <c r="H695" s="8">
        <v>11</v>
      </c>
      <c r="I695" s="8">
        <v>1</v>
      </c>
      <c r="J695" s="25">
        <v>11888.400000000001</v>
      </c>
      <c r="K695" s="25">
        <v>12118.82</v>
      </c>
      <c r="L695" s="11">
        <f t="shared" si="1"/>
      </c>
      <c r="M695" s="11">
        <f t="shared" si="92"/>
      </c>
      <c r="N695" s="11">
        <f t="shared" si="54"/>
      </c>
    </row>
    <row r="696">
      <c r="A696" s="7">
        <v>46137</v>
      </c>
      <c r="B696" s="28" t="s">
        <v>60</v>
      </c>
      <c r="C696" s="24" t="s">
        <v>23</v>
      </c>
      <c r="D696" s="23">
        <v>5</v>
      </c>
      <c r="E696" s="8">
        <v>59</v>
      </c>
      <c r="F696" s="8">
        <v>44</v>
      </c>
      <c r="G696" s="8">
        <v>35</v>
      </c>
      <c r="H696" s="8">
        <v>29</v>
      </c>
      <c r="I696" s="8">
        <v>5</v>
      </c>
      <c r="J696" s="25">
        <v>34651.5</v>
      </c>
      <c r="K696" s="10">
        <v>17864.45</v>
      </c>
      <c r="L696" s="11">
        <f t="shared" si="1"/>
      </c>
      <c r="M696" s="11">
        <f t="shared" si="92"/>
      </c>
      <c r="N696" s="11">
        <f>K696/H696</f>
      </c>
    </row>
    <row r="697">
      <c r="A697" s="16">
        <v>46137</v>
      </c>
      <c r="B697" s="17"/>
      <c r="C697" s="17"/>
      <c r="D697" s="17">
        <f>SUM(D693:D696)</f>
      </c>
      <c r="E697" s="17">
        <f>SUM(E693:E696)</f>
      </c>
      <c r="F697" s="17">
        <f>SUM(F693:F696)</f>
      </c>
      <c r="G697" s="17">
        <f>SUM(G693:G696)</f>
      </c>
      <c r="H697" s="17">
        <f>SUM(H693:H696)</f>
      </c>
      <c r="I697" s="17">
        <f>SUM(I693:I696)</f>
      </c>
      <c r="J697" s="17">
        <f>SUM(J693:J696)</f>
      </c>
      <c r="K697" s="17">
        <f>SUM(K693:K696)</f>
      </c>
      <c r="L697" s="18">
        <f t="shared" si="1"/>
      </c>
      <c r="M697" s="18">
        <f t="shared" si="92"/>
      </c>
      <c r="N697" s="18">
        <f t="shared" ref="N697:N700" si="55">K697/F697</f>
      </c>
    </row>
    <row r="698">
      <c r="A698" s="7">
        <v>46138</v>
      </c>
      <c r="B698" s="8" t="s">
        <v>20</v>
      </c>
      <c r="C698" s="24" t="s">
        <v>17</v>
      </c>
      <c r="D698" s="36">
        <v>5</v>
      </c>
      <c r="E698" s="34">
        <v>81</v>
      </c>
      <c r="F698" s="35">
        <v>60</v>
      </c>
      <c r="G698" s="8">
        <v>42</v>
      </c>
      <c r="H698" s="8">
        <v>42</v>
      </c>
      <c r="I698" s="8">
        <v>7</v>
      </c>
      <c r="J698" s="30">
        <v>50235.600000000006</v>
      </c>
      <c r="K698" s="8">
        <v>28166.51</v>
      </c>
      <c r="L698" s="11">
        <f t="shared" si="1"/>
      </c>
      <c r="M698" s="11">
        <f t="shared" si="92"/>
      </c>
      <c r="N698" s="11">
        <f t="shared" si="55"/>
      </c>
    </row>
    <row r="699">
      <c r="A699" s="7">
        <v>46138</v>
      </c>
      <c r="B699" s="37" t="s">
        <v>16</v>
      </c>
      <c r="C699" s="24" t="s">
        <v>19</v>
      </c>
      <c r="D699" s="23">
        <v>5</v>
      </c>
      <c r="E699" s="8">
        <v>51</v>
      </c>
      <c r="F699" s="8">
        <v>37</v>
      </c>
      <c r="G699" s="8">
        <v>27</v>
      </c>
      <c r="H699" s="8">
        <v>24</v>
      </c>
      <c r="I699" s="8">
        <v>4</v>
      </c>
      <c r="J699" s="25">
        <v>32604.999999999996</v>
      </c>
      <c r="K699" s="25">
        <v>17893.510000000002</v>
      </c>
      <c r="L699" s="11">
        <f t="shared" si="1"/>
      </c>
      <c r="M699" s="11">
        <f t="shared" si="92"/>
      </c>
      <c r="N699" s="11">
        <f t="shared" si="55"/>
      </c>
    </row>
    <row r="700">
      <c r="A700" s="7">
        <v>46138</v>
      </c>
      <c r="B700" s="37" t="s">
        <v>24</v>
      </c>
      <c r="C700" s="24" t="s">
        <v>21</v>
      </c>
      <c r="D700" s="23">
        <v>5</v>
      </c>
      <c r="E700" s="8">
        <v>22</v>
      </c>
      <c r="F700" s="8">
        <v>16</v>
      </c>
      <c r="G700" s="8">
        <v>13</v>
      </c>
      <c r="H700" s="8">
        <v>7</v>
      </c>
      <c r="I700" s="8">
        <v>0</v>
      </c>
      <c r="J700" s="25">
        <v>12083.199999999997</v>
      </c>
      <c r="K700" s="25">
        <v>13426.98</v>
      </c>
      <c r="L700" s="11">
        <f t="shared" si="1"/>
      </c>
      <c r="M700" s="11">
        <f t="shared" si="92"/>
      </c>
      <c r="N700" s="11">
        <f t="shared" si="55"/>
      </c>
    </row>
    <row r="701">
      <c r="A701" s="7">
        <v>46138</v>
      </c>
      <c r="B701" s="28" t="s">
        <v>22</v>
      </c>
      <c r="C701" s="24" t="s">
        <v>23</v>
      </c>
      <c r="D701" s="23">
        <v>5</v>
      </c>
      <c r="E701" s="8">
        <v>25</v>
      </c>
      <c r="F701" s="8">
        <v>15</v>
      </c>
      <c r="G701" s="8">
        <v>11</v>
      </c>
      <c r="H701" s="8">
        <v>9</v>
      </c>
      <c r="I701" s="8">
        <v>2</v>
      </c>
      <c r="J701" s="25">
        <v>16312.400000000001</v>
      </c>
      <c r="K701" s="10">
        <v>12407.130000000001</v>
      </c>
      <c r="L701" s="11">
        <f t="shared" si="1"/>
      </c>
      <c r="M701" s="11">
        <f t="shared" si="92"/>
      </c>
      <c r="N701" s="11">
        <f>K701/H701</f>
      </c>
    </row>
    <row r="702">
      <c r="A702" s="16">
        <v>46138</v>
      </c>
      <c r="B702" s="17"/>
      <c r="C702" s="17"/>
      <c r="D702" s="17">
        <f>SUM(D698:D701)</f>
      </c>
      <c r="E702" s="17">
        <f>SUM(E698:E701)</f>
      </c>
      <c r="F702" s="17">
        <f>SUM(F698:F701)</f>
      </c>
      <c r="G702" s="17">
        <f>SUM(G698:G701)</f>
      </c>
      <c r="H702" s="17">
        <f>SUM(H698:H701)</f>
      </c>
      <c r="I702" s="17">
        <f>SUM(I698:I701)</f>
      </c>
      <c r="J702" s="17">
        <f>SUM(J698:J701)</f>
      </c>
      <c r="K702" s="17">
        <f>SUM(K698:K701)</f>
      </c>
      <c r="L702" s="18">
        <f t="shared" si="1"/>
      </c>
      <c r="M702" s="18">
        <f t="shared" si="92"/>
      </c>
      <c r="N702" s="18">
        <f t="shared" ref="N702:N705" si="56">K702/F702</f>
      </c>
    </row>
    <row r="703">
      <c r="A703" s="7">
        <v>46139</v>
      </c>
      <c r="B703" s="8" t="s">
        <v>20</v>
      </c>
      <c r="C703" s="24" t="s">
        <v>17</v>
      </c>
      <c r="D703" s="36">
        <v>5</v>
      </c>
      <c r="E703" s="34">
        <v>58</v>
      </c>
      <c r="F703" s="35">
        <v>50</v>
      </c>
      <c r="G703" s="8">
        <v>36</v>
      </c>
      <c r="H703" s="8">
        <v>29</v>
      </c>
      <c r="I703" s="8">
        <v>5</v>
      </c>
      <c r="J703" s="30">
        <v>46664.600000000006</v>
      </c>
      <c r="K703" s="8">
        <v>25491.4</v>
      </c>
      <c r="L703" s="11">
        <f t="shared" si="1"/>
      </c>
      <c r="M703" s="11">
        <f t="shared" si="92"/>
      </c>
      <c r="N703" s="11">
        <f t="shared" si="56"/>
      </c>
    </row>
    <row r="704">
      <c r="A704" s="7">
        <v>46139</v>
      </c>
      <c r="B704" s="37" t="s">
        <v>16</v>
      </c>
      <c r="C704" s="24" t="s">
        <v>19</v>
      </c>
      <c r="D704" s="23">
        <v>5</v>
      </c>
      <c r="E704" s="8">
        <v>84</v>
      </c>
      <c r="F704" s="8">
        <v>67</v>
      </c>
      <c r="G704" s="8">
        <v>44</v>
      </c>
      <c r="H704" s="8">
        <v>46</v>
      </c>
      <c r="I704" s="8">
        <v>8</v>
      </c>
      <c r="J704" s="25">
        <v>62282.20000000001</v>
      </c>
      <c r="K704" s="25">
        <v>27223.51</v>
      </c>
      <c r="L704" s="11">
        <f t="shared" si="1"/>
      </c>
      <c r="M704" s="11">
        <f t="shared" si="92"/>
      </c>
      <c r="N704" s="11">
        <f t="shared" si="56"/>
      </c>
    </row>
    <row r="705">
      <c r="A705" s="7">
        <v>46139</v>
      </c>
      <c r="B705" s="37" t="s">
        <v>24</v>
      </c>
      <c r="C705" s="24" t="s">
        <v>21</v>
      </c>
      <c r="D705" s="23">
        <v>5</v>
      </c>
      <c r="E705" s="8">
        <v>43</v>
      </c>
      <c r="F705" s="8">
        <v>34</v>
      </c>
      <c r="G705" s="8">
        <v>30</v>
      </c>
      <c r="H705" s="8">
        <v>24</v>
      </c>
      <c r="I705" s="8">
        <v>2</v>
      </c>
      <c r="J705" s="25">
        <v>29748.000000000007</v>
      </c>
      <c r="K705" s="25">
        <v>22878.72</v>
      </c>
      <c r="L705" s="11">
        <f t="shared" si="1"/>
      </c>
      <c r="M705" s="11">
        <f t="shared" si="92"/>
      </c>
      <c r="N705" s="11">
        <f t="shared" si="56"/>
      </c>
    </row>
    <row r="706">
      <c r="A706" s="7">
        <v>46139</v>
      </c>
      <c r="B706" s="28" t="s">
        <v>60</v>
      </c>
      <c r="C706" s="24" t="s">
        <v>23</v>
      </c>
      <c r="D706" s="23">
        <v>5</v>
      </c>
      <c r="E706" s="8">
        <v>75</v>
      </c>
      <c r="F706" s="8">
        <v>62</v>
      </c>
      <c r="G706" s="8">
        <v>53</v>
      </c>
      <c r="H706" s="8">
        <v>42</v>
      </c>
      <c r="I706" s="8">
        <v>6</v>
      </c>
      <c r="J706" s="25">
        <v>49888.84</v>
      </c>
      <c r="K706" s="10">
        <v>27431.81</v>
      </c>
      <c r="L706" s="11">
        <f t="shared" si="1"/>
      </c>
      <c r="M706" s="11">
        <f t="shared" si="92"/>
      </c>
      <c r="N706" s="11">
        <f>K706/H706</f>
      </c>
    </row>
    <row r="707">
      <c r="A707" s="16">
        <v>46139</v>
      </c>
      <c r="B707" s="17"/>
      <c r="C707" s="17"/>
      <c r="D707" s="17">
        <f>SUM(D703:D706)</f>
      </c>
      <c r="E707" s="17">
        <f>SUM(E703:E706)</f>
      </c>
      <c r="F707" s="17">
        <f>SUM(F703:F706)</f>
      </c>
      <c r="G707" s="17">
        <f>SUM(G703:G706)</f>
      </c>
      <c r="H707" s="17">
        <f>SUM(H703:H706)</f>
      </c>
      <c r="I707" s="17">
        <f>SUM(I703:I706)</f>
      </c>
      <c r="J707" s="17">
        <f>SUM(J703:J706)</f>
      </c>
      <c r="K707" s="17">
        <f>SUM(K703:K706)</f>
      </c>
      <c r="L707" s="18">
        <f t="shared" si="1"/>
      </c>
      <c r="M707" s="18">
        <f t="shared" si="92"/>
      </c>
      <c r="N707" s="18">
        <f t="shared" ref="N707:N710" si="57">K707/F707</f>
      </c>
    </row>
    <row r="708">
      <c r="A708" s="7">
        <v>46140</v>
      </c>
      <c r="B708" s="37" t="s">
        <v>16</v>
      </c>
      <c r="C708" s="24" t="s">
        <v>17</v>
      </c>
      <c r="D708" s="36">
        <v>5</v>
      </c>
      <c r="E708" s="34">
        <v>66</v>
      </c>
      <c r="F708" s="35">
        <v>46</v>
      </c>
      <c r="G708" s="8">
        <v>35</v>
      </c>
      <c r="H708" s="8">
        <v>31</v>
      </c>
      <c r="I708" s="8">
        <v>4</v>
      </c>
      <c r="J708" s="30">
        <v>43162.4</v>
      </c>
      <c r="K708" s="8">
        <v>26667.43</v>
      </c>
      <c r="L708" s="11">
        <f t="shared" si="1"/>
      </c>
      <c r="M708" s="11">
        <f t="shared" si="92"/>
      </c>
      <c r="N708" s="11">
        <f t="shared" si="57"/>
      </c>
    </row>
    <row r="709">
      <c r="A709" s="7">
        <v>46140</v>
      </c>
      <c r="B709" s="38" t="s">
        <v>20</v>
      </c>
      <c r="C709" s="24" t="s">
        <v>19</v>
      </c>
      <c r="D709" s="23">
        <v>5</v>
      </c>
      <c r="E709" s="8">
        <v>56</v>
      </c>
      <c r="F709" s="8">
        <v>46</v>
      </c>
      <c r="G709" s="8">
        <v>26</v>
      </c>
      <c r="H709" s="8">
        <v>31</v>
      </c>
      <c r="I709" s="8">
        <v>5</v>
      </c>
      <c r="J709" s="25">
        <v>40505.000000000015</v>
      </c>
      <c r="K709" s="25">
        <v>16669.92</v>
      </c>
      <c r="L709" s="11">
        <f t="shared" si="1"/>
      </c>
      <c r="M709" s="11">
        <f t="shared" si="92"/>
      </c>
      <c r="N709" s="11">
        <f t="shared" si="57"/>
      </c>
    </row>
    <row r="710">
      <c r="A710" s="39">
        <v>46140</v>
      </c>
      <c r="B710" s="40" t="s">
        <v>60</v>
      </c>
      <c r="C710" s="41" t="s">
        <v>21</v>
      </c>
      <c r="D710" s="23">
        <v>5</v>
      </c>
      <c r="E710" s="8">
        <v>62</v>
      </c>
      <c r="F710" s="8">
        <v>52</v>
      </c>
      <c r="G710" s="8">
        <v>39</v>
      </c>
      <c r="H710" s="8">
        <v>32</v>
      </c>
      <c r="I710" s="8">
        <v>3</v>
      </c>
      <c r="J710" s="25">
        <v>48726.8</v>
      </c>
      <c r="K710" s="25">
        <v>26658.72</v>
      </c>
      <c r="L710" s="11">
        <f t="shared" si="1"/>
      </c>
      <c r="M710" s="11">
        <f t="shared" si="92"/>
      </c>
      <c r="N710" s="11">
        <f t="shared" si="57"/>
      </c>
    </row>
    <row r="711">
      <c r="A711" s="39">
        <v>46140</v>
      </c>
      <c r="B711" s="40" t="s">
        <v>22</v>
      </c>
      <c r="C711" s="41" t="s">
        <v>23</v>
      </c>
      <c r="D711" s="23">
        <v>5</v>
      </c>
      <c r="E711" s="8">
        <v>88</v>
      </c>
      <c r="F711" s="8">
        <v>67</v>
      </c>
      <c r="G711" s="8">
        <v>46</v>
      </c>
      <c r="H711" s="8">
        <v>41</v>
      </c>
      <c r="I711" s="8">
        <v>5</v>
      </c>
      <c r="J711" s="25">
        <v>61221.30000000002</v>
      </c>
      <c r="K711" s="10">
        <v>31228.899999999998</v>
      </c>
      <c r="L711" s="11">
        <f t="shared" si="1"/>
      </c>
      <c r="M711" s="11">
        <f t="shared" si="92"/>
      </c>
      <c r="N711" s="11">
        <f>K711/H711</f>
      </c>
    </row>
    <row r="712">
      <c r="A712" s="16">
        <v>46140</v>
      </c>
      <c r="B712" s="42"/>
      <c r="C712" s="17"/>
      <c r="D712" s="17">
        <f>SUM(D708:D711)</f>
      </c>
      <c r="E712" s="17">
        <f>SUM(E708:E711)</f>
      </c>
      <c r="F712" s="17">
        <f>SUM(F708:F711)</f>
      </c>
      <c r="G712" s="17">
        <f>SUM(G708:G711)</f>
      </c>
      <c r="H712" s="17">
        <f>SUM(H708:H711)</f>
      </c>
      <c r="I712" s="17">
        <f>SUM(I708:I711)</f>
      </c>
      <c r="J712" s="17">
        <f>SUM(J708:J711)</f>
      </c>
      <c r="K712" s="17">
        <f>SUM(K708:K711)</f>
      </c>
      <c r="L712" s="18">
        <f t="shared" si="1"/>
      </c>
      <c r="M712" s="18">
        <f t="shared" si="92"/>
      </c>
      <c r="N712" s="18">
        <f t="shared" ref="N712:N715" si="58">K712/F712</f>
      </c>
    </row>
    <row r="713">
      <c r="A713" s="7">
        <v>46141</v>
      </c>
      <c r="B713" s="37" t="s">
        <v>16</v>
      </c>
      <c r="C713" s="24" t="s">
        <v>17</v>
      </c>
      <c r="D713" s="36">
        <v>5</v>
      </c>
      <c r="E713" s="34">
        <v>27</v>
      </c>
      <c r="F713" s="35">
        <v>24</v>
      </c>
      <c r="G713" s="8">
        <v>18</v>
      </c>
      <c r="H713" s="8">
        <v>20</v>
      </c>
      <c r="I713" s="8">
        <v>2</v>
      </c>
      <c r="J713" s="30">
        <v>22542.2</v>
      </c>
      <c r="K713" s="8">
        <v>19158.620000000003</v>
      </c>
      <c r="L713" s="11">
        <f t="shared" si="1"/>
      </c>
      <c r="M713" s="11">
        <f t="shared" si="92"/>
      </c>
      <c r="N713" s="11">
        <f t="shared" si="58"/>
      </c>
    </row>
    <row r="714">
      <c r="A714" s="7">
        <v>46141</v>
      </c>
      <c r="B714" s="38" t="s">
        <v>20</v>
      </c>
      <c r="C714" s="24" t="s">
        <v>19</v>
      </c>
      <c r="D714" s="23">
        <v>5</v>
      </c>
      <c r="E714" s="8">
        <v>87</v>
      </c>
      <c r="F714" s="8">
        <v>67</v>
      </c>
      <c r="G714" s="8">
        <v>57</v>
      </c>
      <c r="H714" s="8">
        <v>47</v>
      </c>
      <c r="I714" s="8">
        <v>6</v>
      </c>
      <c r="J714" s="25">
        <v>50353.000000000015</v>
      </c>
      <c r="K714" s="25">
        <v>33668.39</v>
      </c>
      <c r="L714" s="11">
        <f t="shared" si="1"/>
      </c>
      <c r="M714" s="11">
        <f t="shared" si="92"/>
      </c>
      <c r="N714" s="11">
        <f t="shared" si="58"/>
      </c>
    </row>
    <row r="715">
      <c r="A715" s="7">
        <v>46141</v>
      </c>
      <c r="B715" s="40" t="s">
        <v>60</v>
      </c>
      <c r="C715" s="41" t="s">
        <v>21</v>
      </c>
      <c r="D715" s="23">
        <v>5</v>
      </c>
      <c r="E715" s="8">
        <v>112</v>
      </c>
      <c r="F715" s="8">
        <v>90</v>
      </c>
      <c r="G715" s="8">
        <v>69</v>
      </c>
      <c r="H715" s="8">
        <v>56</v>
      </c>
      <c r="I715" s="8">
        <v>13</v>
      </c>
      <c r="J715" s="25">
        <v>87091.80000000003</v>
      </c>
      <c r="K715" s="25">
        <v>43744.17999999999</v>
      </c>
      <c r="L715" s="11">
        <f t="shared" si="1"/>
      </c>
      <c r="M715" s="11">
        <f t="shared" si="92"/>
      </c>
      <c r="N715" s="11">
        <f t="shared" si="58"/>
      </c>
    </row>
    <row r="716">
      <c r="A716" s="7">
        <v>46141</v>
      </c>
      <c r="B716" s="40" t="s">
        <v>22</v>
      </c>
      <c r="C716" s="41" t="s">
        <v>23</v>
      </c>
      <c r="D716" s="23">
        <v>5</v>
      </c>
      <c r="E716" s="8">
        <v>69</v>
      </c>
      <c r="F716" s="8">
        <v>50</v>
      </c>
      <c r="G716" s="8">
        <v>43</v>
      </c>
      <c r="H716" s="8">
        <v>32</v>
      </c>
      <c r="I716" s="8">
        <v>4</v>
      </c>
      <c r="J716" s="25">
        <v>43402.8</v>
      </c>
      <c r="K716" s="10">
        <v>35379.54000000001</v>
      </c>
      <c r="L716" s="11">
        <f t="shared" si="1"/>
      </c>
      <c r="M716" s="11">
        <f t="shared" si="92"/>
      </c>
      <c r="N716" s="11">
        <f>K716/H716</f>
      </c>
    </row>
    <row r="717">
      <c r="A717" s="16">
        <v>46141</v>
      </c>
      <c r="B717" s="42"/>
      <c r="C717" s="17"/>
      <c r="D717" s="17">
        <f>SUM(D713:D716)</f>
      </c>
      <c r="E717" s="17">
        <f>SUM(E713:E716)</f>
      </c>
      <c r="F717" s="17">
        <f>SUM(F713:F716)</f>
      </c>
      <c r="G717" s="17">
        <f>SUM(G713:G716)</f>
      </c>
      <c r="H717" s="17">
        <f>SUM(H713:H716)</f>
      </c>
      <c r="I717" s="17">
        <f>SUM(I713:I716)</f>
      </c>
      <c r="J717" s="17">
        <f>SUM(J713:J716)</f>
      </c>
      <c r="K717" s="17">
        <f>SUM(K713:K716)</f>
      </c>
      <c r="L717" s="18">
        <f t="shared" si="1"/>
      </c>
      <c r="M717" s="18">
        <f t="shared" si="92"/>
      </c>
      <c r="N717" s="18">
        <f t="shared" ref="N717:N726" si="59">K717/F717</f>
      </c>
    </row>
    <row r="718">
      <c r="A718" s="7">
        <v>46142</v>
      </c>
      <c r="B718" s="38" t="s">
        <v>20</v>
      </c>
      <c r="C718" s="24" t="s">
        <v>17</v>
      </c>
      <c r="D718" s="43">
        <v>3.5</v>
      </c>
      <c r="E718" s="34">
        <v>90</v>
      </c>
      <c r="F718" s="35">
        <v>70</v>
      </c>
      <c r="G718" s="8">
        <v>54</v>
      </c>
      <c r="H718" s="8">
        <v>52</v>
      </c>
      <c r="I718" s="8">
        <v>7</v>
      </c>
      <c r="J718" s="30">
        <v>53211.000000000015</v>
      </c>
      <c r="K718" s="8">
        <v>37019.4</v>
      </c>
      <c r="L718" s="11">
        <f t="shared" si="1"/>
      </c>
      <c r="M718" s="11">
        <f t="shared" si="92"/>
      </c>
      <c r="N718" s="11">
        <f t="shared" si="59"/>
      </c>
    </row>
    <row r="719">
      <c r="A719" s="7">
        <v>46142</v>
      </c>
      <c r="B719" s="40" t="s">
        <v>60</v>
      </c>
      <c r="C719" s="24" t="s">
        <v>19</v>
      </c>
      <c r="D719" s="23">
        <v>5</v>
      </c>
      <c r="E719" s="8">
        <v>112</v>
      </c>
      <c r="F719" s="8">
        <v>95</v>
      </c>
      <c r="G719" s="8">
        <v>73</v>
      </c>
      <c r="H719" s="8">
        <v>67</v>
      </c>
      <c r="I719" s="8">
        <v>11</v>
      </c>
      <c r="J719" s="25">
        <v>88459.00000000001</v>
      </c>
      <c r="K719" s="25">
        <v>47698.6</v>
      </c>
      <c r="L719" s="11">
        <f t="shared" si="1"/>
      </c>
      <c r="M719" s="11">
        <f t="shared" si="92"/>
      </c>
      <c r="N719" s="11">
        <f t="shared" si="59"/>
      </c>
    </row>
    <row r="720">
      <c r="A720" s="7">
        <v>46142</v>
      </c>
      <c r="B720" s="37" t="s">
        <v>24</v>
      </c>
      <c r="C720" s="44" t="s">
        <v>45</v>
      </c>
      <c r="D720" s="8">
        <v>4</v>
      </c>
      <c r="E720" s="8">
        <v>47</v>
      </c>
      <c r="F720" s="8">
        <v>37</v>
      </c>
      <c r="G720" s="8">
        <v>35</v>
      </c>
      <c r="H720" s="8">
        <v>26</v>
      </c>
      <c r="I720" s="8">
        <v>3</v>
      </c>
      <c r="J720" s="10">
        <v>39740.6</v>
      </c>
      <c r="K720" s="10">
        <v>24026.93</v>
      </c>
      <c r="L720" s="11">
        <f t="shared" si="1"/>
      </c>
      <c r="M720" s="11">
        <f t="shared" si="92"/>
      </c>
      <c r="N720" s="11">
        <f t="shared" si="59"/>
      </c>
    </row>
    <row r="721">
      <c r="A721" s="7">
        <v>46142</v>
      </c>
      <c r="B721" s="40" t="s">
        <v>22</v>
      </c>
      <c r="C721" s="44" t="s">
        <v>65</v>
      </c>
      <c r="D721" s="23">
        <v>5</v>
      </c>
      <c r="E721" s="8">
        <v>61</v>
      </c>
      <c r="F721" s="8">
        <v>42</v>
      </c>
      <c r="G721" s="8">
        <v>32</v>
      </c>
      <c r="H721" s="8">
        <v>26</v>
      </c>
      <c r="I721" s="8">
        <v>5</v>
      </c>
      <c r="J721" s="10">
        <v>42774.2</v>
      </c>
      <c r="K721" s="10">
        <v>26103.15</v>
      </c>
      <c r="L721" s="11">
        <f t="shared" si="1"/>
      </c>
      <c r="M721" s="11">
        <f t="shared" si="92"/>
      </c>
      <c r="N721" s="11">
        <f t="shared" si="59"/>
      </c>
    </row>
    <row r="722">
      <c r="A722" s="16">
        <v>46142</v>
      </c>
      <c r="B722" s="42"/>
      <c r="C722" s="17"/>
      <c r="D722" s="17">
        <f>SUM(D718:D721)</f>
      </c>
      <c r="E722" s="17">
        <f>SUM(E718:E721)</f>
      </c>
      <c r="F722" s="17">
        <f>SUM(F718:F721)</f>
      </c>
      <c r="G722" s="17">
        <f>SUM(G718:G721)</f>
      </c>
      <c r="H722" s="17">
        <f>SUM(H718:H721)</f>
      </c>
      <c r="I722" s="17">
        <f>SUM(I718:I721)</f>
      </c>
      <c r="J722" s="17">
        <f>SUM(J718:J721)</f>
      </c>
      <c r="K722" s="17">
        <f>SUM(K718:K721)</f>
      </c>
      <c r="L722" s="18">
        <f t="shared" si="1"/>
      </c>
      <c r="M722" s="18">
        <f t="shared" si="92"/>
      </c>
      <c r="N722" s="18">
        <f t="shared" si="59"/>
      </c>
    </row>
    <row r="723">
      <c r="A723" s="7">
        <v>46143</v>
      </c>
      <c r="B723" s="8" t="s">
        <v>16</v>
      </c>
      <c r="C723" s="9" t="s">
        <v>17</v>
      </c>
      <c r="D723" s="31">
        <v>5</v>
      </c>
      <c r="E723" s="34">
        <v>35</v>
      </c>
      <c r="F723" s="35">
        <v>29</v>
      </c>
      <c r="G723" s="8">
        <v>25</v>
      </c>
      <c r="H723" s="8">
        <v>21</v>
      </c>
      <c r="I723" s="8">
        <v>0</v>
      </c>
      <c r="J723" s="10">
        <v>26436.199999999997</v>
      </c>
      <c r="K723" s="8">
        <v>18516.92</v>
      </c>
      <c r="L723" s="11">
        <f t="shared" si="1"/>
      </c>
      <c r="M723" s="11">
        <f t="shared" si="92"/>
      </c>
      <c r="N723" s="11">
        <f t="shared" si="59"/>
      </c>
    </row>
    <row r="724">
      <c r="A724" s="7">
        <v>46143</v>
      </c>
      <c r="B724" s="8" t="s">
        <v>24</v>
      </c>
      <c r="C724" s="9" t="s">
        <v>66</v>
      </c>
      <c r="D724" s="8">
        <v>3</v>
      </c>
      <c r="E724" s="8">
        <v>27</v>
      </c>
      <c r="F724" s="8">
        <v>19</v>
      </c>
      <c r="G724" s="8">
        <v>17</v>
      </c>
      <c r="H724" s="8">
        <v>13</v>
      </c>
      <c r="I724" s="8">
        <v>1</v>
      </c>
      <c r="J724" s="25">
        <v>20904.999999999996</v>
      </c>
      <c r="K724" s="25">
        <v>12262.8</v>
      </c>
      <c r="L724" s="11">
        <f t="shared" si="1"/>
      </c>
      <c r="M724" s="11">
        <f t="shared" si="92"/>
      </c>
      <c r="N724" s="11">
        <f t="shared" si="59"/>
      </c>
    </row>
    <row r="725">
      <c r="A725" s="7">
        <v>46143</v>
      </c>
      <c r="B725" s="8" t="s">
        <v>67</v>
      </c>
      <c r="C725" s="9" t="s">
        <v>68</v>
      </c>
      <c r="D725" s="8">
        <v>2</v>
      </c>
      <c r="E725" s="8">
        <v>12</v>
      </c>
      <c r="F725" s="8">
        <v>10</v>
      </c>
      <c r="G725" s="8">
        <v>9</v>
      </c>
      <c r="H725" s="8">
        <v>6</v>
      </c>
      <c r="I725" s="8">
        <v>0</v>
      </c>
      <c r="J725" s="25">
        <v>8596.800000000003</v>
      </c>
      <c r="K725" s="25">
        <v>8791.05</v>
      </c>
      <c r="L725" s="11">
        <f t="shared" si="1"/>
      </c>
      <c r="M725" s="11">
        <f t="shared" si="92"/>
      </c>
      <c r="N725" s="11">
        <f t="shared" si="59"/>
      </c>
    </row>
    <row r="726">
      <c r="A726" s="7">
        <v>46143</v>
      </c>
      <c r="B726" s="8" t="s">
        <v>60</v>
      </c>
      <c r="C726" s="9" t="s">
        <v>21</v>
      </c>
      <c r="D726" s="8">
        <v>5</v>
      </c>
      <c r="E726" s="8">
        <v>35</v>
      </c>
      <c r="F726" s="8">
        <v>30</v>
      </c>
      <c r="G726" s="8">
        <v>27</v>
      </c>
      <c r="H726" s="8">
        <v>20</v>
      </c>
      <c r="I726" s="8">
        <v>1</v>
      </c>
      <c r="J726" s="25">
        <v>27733.6</v>
      </c>
      <c r="K726" s="25">
        <v>17334.34</v>
      </c>
      <c r="L726" s="11">
        <f t="shared" si="1"/>
      </c>
      <c r="M726" s="11">
        <f t="shared" si="92"/>
      </c>
      <c r="N726" s="11">
        <f t="shared" si="59"/>
      </c>
    </row>
    <row r="727">
      <c r="A727" s="7">
        <v>46143</v>
      </c>
      <c r="B727" s="8" t="s">
        <v>22</v>
      </c>
      <c r="C727" s="9" t="s">
        <v>23</v>
      </c>
      <c r="D727" s="8">
        <v>5</v>
      </c>
      <c r="E727" s="8">
        <v>38</v>
      </c>
      <c r="F727" s="8">
        <v>30</v>
      </c>
      <c r="G727" s="8">
        <v>25</v>
      </c>
      <c r="H727" s="8">
        <v>23</v>
      </c>
      <c r="I727" s="8">
        <v>4</v>
      </c>
      <c r="J727" s="25">
        <v>29271.79999999998</v>
      </c>
      <c r="K727" s="10">
        <v>23483.33</v>
      </c>
      <c r="L727" s="11">
        <f t="shared" si="1"/>
      </c>
      <c r="M727" s="11">
        <f t="shared" si="92"/>
      </c>
      <c r="N727" s="11">
        <f>K727/H727</f>
      </c>
    </row>
    <row r="728">
      <c r="A728" s="16">
        <v>46143</v>
      </c>
      <c r="B728" s="17"/>
      <c r="C728" s="17"/>
      <c r="D728" s="17">
        <f>SUM(D723:D727)</f>
      </c>
      <c r="E728" s="17">
        <f>SUM(E723:E727)</f>
      </c>
      <c r="F728" s="17">
        <f>SUM(F723:F727)</f>
      </c>
      <c r="G728" s="17">
        <f>SUM(G723:G727)</f>
      </c>
      <c r="H728" s="17">
        <f>SUM(H723:H727)</f>
      </c>
      <c r="I728" s="17">
        <f>SUM(I723:I727)</f>
      </c>
      <c r="J728" s="17">
        <f>SUM(J723:J727)</f>
      </c>
      <c r="K728" s="17">
        <f>SUM(K723:K727)</f>
      </c>
      <c r="L728" s="18">
        <f t="shared" si="1"/>
      </c>
      <c r="M728" s="18">
        <f t="shared" si="92"/>
      </c>
      <c r="N728" s="18">
        <f t="shared" ref="N728:N731" si="60">K728/F728</f>
      </c>
    </row>
    <row r="729">
      <c r="A729" s="7">
        <v>46144</v>
      </c>
      <c r="B729" s="8" t="s">
        <v>20</v>
      </c>
      <c r="C729" s="24" t="s">
        <v>17</v>
      </c>
      <c r="D729" s="36">
        <v>5</v>
      </c>
      <c r="E729" s="34">
        <v>46</v>
      </c>
      <c r="F729" s="35">
        <v>39</v>
      </c>
      <c r="G729" s="8">
        <v>26</v>
      </c>
      <c r="H729" s="8">
        <v>21</v>
      </c>
      <c r="I729" s="8">
        <v>5</v>
      </c>
      <c r="J729" s="30">
        <v>41230.600000000006</v>
      </c>
      <c r="K729" s="23">
        <v>17146.48</v>
      </c>
      <c r="L729" s="11">
        <f t="shared" si="1"/>
      </c>
      <c r="M729" s="11">
        <f t="shared" si="92"/>
      </c>
      <c r="N729" s="11">
        <f t="shared" si="60"/>
      </c>
    </row>
    <row r="730">
      <c r="A730" s="7">
        <v>46144</v>
      </c>
      <c r="B730" s="8" t="s">
        <v>16</v>
      </c>
      <c r="C730" s="24" t="s">
        <v>19</v>
      </c>
      <c r="D730" s="23">
        <v>5</v>
      </c>
      <c r="E730" s="8">
        <v>43</v>
      </c>
      <c r="F730" s="8">
        <v>30</v>
      </c>
      <c r="G730" s="8">
        <v>19</v>
      </c>
      <c r="H730" s="8">
        <v>24</v>
      </c>
      <c r="I730" s="8">
        <v>5</v>
      </c>
      <c r="J730" s="25">
        <v>19821.399999999998</v>
      </c>
      <c r="K730" s="25">
        <v>15394.23</v>
      </c>
      <c r="L730" s="11">
        <f t="shared" si="1"/>
      </c>
      <c r="M730" s="11">
        <f t="shared" si="92"/>
      </c>
      <c r="N730" s="11">
        <f t="shared" si="60"/>
      </c>
    </row>
    <row r="731">
      <c r="A731" s="7">
        <v>46144</v>
      </c>
      <c r="B731" s="8" t="s">
        <v>60</v>
      </c>
      <c r="C731" s="24" t="s">
        <v>21</v>
      </c>
      <c r="D731" s="23">
        <v>5</v>
      </c>
      <c r="E731" s="8">
        <v>48</v>
      </c>
      <c r="F731" s="8">
        <v>35</v>
      </c>
      <c r="G731" s="8">
        <v>27</v>
      </c>
      <c r="H731" s="8">
        <v>20</v>
      </c>
      <c r="I731" s="8">
        <v>3</v>
      </c>
      <c r="J731" s="25">
        <v>31858.5</v>
      </c>
      <c r="K731" s="25">
        <v>14621.45</v>
      </c>
      <c r="L731" s="11">
        <f t="shared" si="1"/>
      </c>
      <c r="M731" s="11">
        <f t="shared" si="92"/>
      </c>
      <c r="N731" s="11">
        <f t="shared" si="60"/>
      </c>
    </row>
    <row r="732">
      <c r="A732" s="7">
        <v>46144</v>
      </c>
      <c r="B732" s="8" t="s">
        <v>22</v>
      </c>
      <c r="C732" s="24" t="s">
        <v>23</v>
      </c>
      <c r="D732" s="23">
        <v>5</v>
      </c>
      <c r="E732" s="8">
        <v>35</v>
      </c>
      <c r="F732" s="8">
        <v>30</v>
      </c>
      <c r="G732" s="8">
        <v>28</v>
      </c>
      <c r="H732" s="8">
        <v>18</v>
      </c>
      <c r="I732" s="8">
        <v>2</v>
      </c>
      <c r="J732" s="25">
        <v>30952.4</v>
      </c>
      <c r="K732" s="10">
        <v>18927.45</v>
      </c>
      <c r="L732" s="11">
        <f t="shared" si="1"/>
      </c>
      <c r="M732" s="11">
        <f t="shared" si="92"/>
      </c>
      <c r="N732" s="11">
        <f>K732/H732</f>
      </c>
    </row>
    <row r="733">
      <c r="A733" s="16">
        <v>46144</v>
      </c>
      <c r="B733" s="17"/>
      <c r="C733" s="17"/>
      <c r="D733" s="17">
        <f>SUM(D729:D732)</f>
      </c>
      <c r="E733" s="17">
        <f>SUM(E729:E732)</f>
      </c>
      <c r="F733" s="17">
        <f>SUM(F729:F732)</f>
      </c>
      <c r="G733" s="17">
        <f>SUM(G729:G732)</f>
      </c>
      <c r="H733" s="17">
        <f>SUM(H729:H732)</f>
      </c>
      <c r="I733" s="17">
        <f>SUM(I729:I732)</f>
      </c>
      <c r="J733" s="17">
        <f>SUM(J729:J732)</f>
      </c>
      <c r="K733" s="17">
        <f>SUM(K729:K732)</f>
      </c>
      <c r="L733" s="18">
        <f t="shared" si="1"/>
      </c>
      <c r="M733" s="18">
        <f t="shared" si="92"/>
      </c>
      <c r="N733" s="18">
        <f t="shared" ref="N733:N736" si="61">K733/F733</f>
      </c>
    </row>
    <row r="734">
      <c r="A734" s="7">
        <v>46145</v>
      </c>
      <c r="B734" s="8" t="s">
        <v>16</v>
      </c>
      <c r="C734" s="24" t="s">
        <v>17</v>
      </c>
      <c r="D734" s="36">
        <v>5</v>
      </c>
      <c r="E734" s="34">
        <v>42</v>
      </c>
      <c r="F734" s="35">
        <v>30</v>
      </c>
      <c r="G734" s="8">
        <v>26</v>
      </c>
      <c r="H734" s="8">
        <v>20</v>
      </c>
      <c r="I734" s="8">
        <v>1</v>
      </c>
      <c r="J734" s="30">
        <v>26966.6</v>
      </c>
      <c r="K734" s="23">
        <v>19350.79</v>
      </c>
      <c r="L734" s="11">
        <f t="shared" si="1"/>
      </c>
      <c r="M734" s="11">
        <f t="shared" si="92"/>
      </c>
      <c r="N734" s="11">
        <f t="shared" si="61"/>
      </c>
    </row>
    <row r="735">
      <c r="A735" s="7">
        <v>46145</v>
      </c>
      <c r="B735" s="8" t="s">
        <v>20</v>
      </c>
      <c r="C735" s="24" t="s">
        <v>19</v>
      </c>
      <c r="D735" s="23">
        <v>5</v>
      </c>
      <c r="E735" s="8">
        <v>39</v>
      </c>
      <c r="F735" s="8">
        <v>34</v>
      </c>
      <c r="G735" s="8">
        <v>25</v>
      </c>
      <c r="H735" s="8">
        <v>21</v>
      </c>
      <c r="I735" s="8">
        <v>2</v>
      </c>
      <c r="J735" s="25">
        <v>36776.2</v>
      </c>
      <c r="K735" s="25">
        <v>14885.220000000001</v>
      </c>
      <c r="L735" s="11">
        <f t="shared" si="1"/>
      </c>
      <c r="M735" s="11">
        <f t="shared" si="92"/>
      </c>
      <c r="N735" s="11">
        <f t="shared" si="61"/>
      </c>
    </row>
    <row r="736">
      <c r="A736" s="7">
        <v>46145</v>
      </c>
      <c r="B736" s="8" t="s">
        <v>24</v>
      </c>
      <c r="C736" s="24" t="s">
        <v>21</v>
      </c>
      <c r="D736" s="23">
        <v>5</v>
      </c>
      <c r="E736" s="8">
        <v>25</v>
      </c>
      <c r="F736" s="8">
        <v>16</v>
      </c>
      <c r="G736" s="8">
        <v>14</v>
      </c>
      <c r="H736" s="8">
        <v>9</v>
      </c>
      <c r="I736" s="8">
        <v>0</v>
      </c>
      <c r="J736" s="25">
        <v>13778.2</v>
      </c>
      <c r="K736" s="25">
        <v>11155.619999999999</v>
      </c>
      <c r="L736" s="11">
        <f t="shared" si="1"/>
      </c>
      <c r="M736" s="11">
        <f t="shared" si="92"/>
      </c>
      <c r="N736" s="11">
        <f t="shared" si="61"/>
      </c>
    </row>
    <row r="737">
      <c r="A737" s="7">
        <v>46145</v>
      </c>
      <c r="B737" s="8" t="s">
        <v>22</v>
      </c>
      <c r="C737" s="24" t="s">
        <v>23</v>
      </c>
      <c r="D737" s="23">
        <v>5</v>
      </c>
      <c r="E737" s="8">
        <v>39</v>
      </c>
      <c r="F737" s="8">
        <v>27</v>
      </c>
      <c r="G737" s="8">
        <v>22</v>
      </c>
      <c r="H737" s="8">
        <v>15</v>
      </c>
      <c r="I737" s="8">
        <v>2</v>
      </c>
      <c r="J737" s="25">
        <v>23035.4</v>
      </c>
      <c r="K737" s="10">
        <v>14757.73</v>
      </c>
      <c r="L737" s="11">
        <f t="shared" si="1"/>
      </c>
      <c r="M737" s="11">
        <f t="shared" si="92"/>
      </c>
      <c r="N737" s="11">
        <f>K737/H737</f>
      </c>
    </row>
    <row r="738">
      <c r="A738" s="16">
        <v>46145</v>
      </c>
      <c r="B738" s="17"/>
      <c r="C738" s="17"/>
      <c r="D738" s="17">
        <f>SUM(D734:D737)</f>
      </c>
      <c r="E738" s="17">
        <f>SUM(E734:E737)</f>
      </c>
      <c r="F738" s="17">
        <f>SUM(F734:F737)</f>
      </c>
      <c r="G738" s="17">
        <f>SUM(G734:G737)</f>
      </c>
      <c r="H738" s="17">
        <f>SUM(H734:H737)</f>
      </c>
      <c r="I738" s="17">
        <f>SUM(I734:I737)</f>
      </c>
      <c r="J738" s="17">
        <f>SUM(J734:J737)</f>
      </c>
      <c r="K738" s="17">
        <f>SUM(K734:K737)</f>
      </c>
      <c r="L738" s="18">
        <f t="shared" si="1"/>
      </c>
      <c r="M738" s="18">
        <f t="shared" si="92"/>
      </c>
      <c r="N738" s="18">
        <f t="shared" ref="N738:N741" si="62">K738/F738</f>
      </c>
    </row>
    <row r="739">
      <c r="A739" s="7">
        <v>46146</v>
      </c>
      <c r="B739" s="8" t="s">
        <v>16</v>
      </c>
      <c r="C739" s="24" t="s">
        <v>17</v>
      </c>
      <c r="D739" s="36">
        <v>5</v>
      </c>
      <c r="E739" s="34">
        <v>53</v>
      </c>
      <c r="F739" s="35">
        <v>39</v>
      </c>
      <c r="G739" s="8">
        <v>33</v>
      </c>
      <c r="H739" s="8">
        <v>23</v>
      </c>
      <c r="I739" s="8">
        <v>2</v>
      </c>
      <c r="J739" s="30">
        <v>34432.399999999994</v>
      </c>
      <c r="K739" s="23">
        <v>21090.17</v>
      </c>
      <c r="L739" s="11">
        <f t="shared" si="1"/>
      </c>
      <c r="M739" s="11">
        <f t="shared" si="92"/>
      </c>
      <c r="N739" s="11">
        <f t="shared" si="62"/>
      </c>
    </row>
    <row r="740">
      <c r="A740" s="7">
        <v>46146</v>
      </c>
      <c r="B740" s="8" t="s">
        <v>20</v>
      </c>
      <c r="C740" s="24" t="s">
        <v>19</v>
      </c>
      <c r="D740" s="23">
        <v>5</v>
      </c>
      <c r="E740" s="8">
        <v>62</v>
      </c>
      <c r="F740" s="8">
        <v>39</v>
      </c>
      <c r="G740" s="8">
        <v>34</v>
      </c>
      <c r="H740" s="8">
        <v>25</v>
      </c>
      <c r="I740" s="8">
        <v>2</v>
      </c>
      <c r="J740" s="25">
        <v>36517</v>
      </c>
      <c r="K740" s="25">
        <v>25369.719999999998</v>
      </c>
      <c r="L740" s="11">
        <f t="shared" si="1"/>
      </c>
      <c r="M740" s="11">
        <f t="shared" si="92"/>
      </c>
      <c r="N740" s="11">
        <f t="shared" si="62"/>
      </c>
    </row>
    <row r="741">
      <c r="A741" s="7">
        <v>46146</v>
      </c>
      <c r="B741" s="8" t="s">
        <v>22</v>
      </c>
      <c r="C741" s="24" t="s">
        <v>21</v>
      </c>
      <c r="D741" s="23">
        <v>5</v>
      </c>
      <c r="E741" s="8">
        <v>38</v>
      </c>
      <c r="F741" s="8">
        <v>28</v>
      </c>
      <c r="G741" s="8">
        <v>23</v>
      </c>
      <c r="H741" s="8">
        <v>16</v>
      </c>
      <c r="I741" s="8">
        <v>2</v>
      </c>
      <c r="J741" s="25">
        <v>28197.599999999995</v>
      </c>
      <c r="K741" s="25">
        <v>17837.42</v>
      </c>
      <c r="L741" s="11">
        <f t="shared" si="1"/>
      </c>
      <c r="M741" s="11">
        <f t="shared" si="92"/>
      </c>
      <c r="N741" s="11">
        <f t="shared" si="62"/>
      </c>
    </row>
    <row r="742">
      <c r="A742" s="7">
        <v>46146</v>
      </c>
      <c r="B742" s="8" t="s">
        <v>24</v>
      </c>
      <c r="C742" s="24" t="s">
        <v>23</v>
      </c>
      <c r="D742" s="23">
        <v>5</v>
      </c>
      <c r="E742" s="8">
        <v>59</v>
      </c>
      <c r="F742" s="8">
        <v>51</v>
      </c>
      <c r="G742" s="8">
        <v>38</v>
      </c>
      <c r="H742" s="8">
        <v>31</v>
      </c>
      <c r="I742" s="8">
        <v>8</v>
      </c>
      <c r="J742" s="25">
        <v>57272.799999999996</v>
      </c>
      <c r="K742" s="10">
        <v>17650.32</v>
      </c>
      <c r="L742" s="11">
        <f t="shared" si="1"/>
      </c>
      <c r="M742" s="11">
        <f t="shared" si="92"/>
      </c>
      <c r="N742" s="11">
        <f>K742/H742</f>
      </c>
    </row>
    <row r="743">
      <c r="A743" s="16">
        <v>46146</v>
      </c>
      <c r="B743" s="17"/>
      <c r="C743" s="17"/>
      <c r="D743" s="17">
        <f>SUM(D739:D742)</f>
      </c>
      <c r="E743" s="17">
        <f>SUM(E739:E742)</f>
      </c>
      <c r="F743" s="17">
        <f>SUM(F739:F742)</f>
      </c>
      <c r="G743" s="17">
        <f>SUM(G739:G742)</f>
      </c>
      <c r="H743" s="17">
        <f>SUM(H739:H742)</f>
      </c>
      <c r="I743" s="17">
        <f>SUM(I739:I742)</f>
      </c>
      <c r="J743" s="17">
        <f>SUM(J739:J742)</f>
      </c>
      <c r="K743" s="17">
        <f>SUM(K739:K742)</f>
      </c>
      <c r="L743" s="18">
        <f t="shared" si="1"/>
      </c>
      <c r="M743" s="18">
        <f t="shared" si="92"/>
      </c>
      <c r="N743" s="18">
        <f t="shared" ref="N743:N747" si="63">K743/F743</f>
      </c>
    </row>
    <row r="744">
      <c r="A744" s="7">
        <v>46147</v>
      </c>
      <c r="B744" s="8" t="s">
        <v>16</v>
      </c>
      <c r="C744" s="9" t="s">
        <v>17</v>
      </c>
      <c r="D744" s="31">
        <v>5</v>
      </c>
      <c r="E744" s="34">
        <v>46</v>
      </c>
      <c r="F744" s="35">
        <v>37</v>
      </c>
      <c r="G744" s="8">
        <v>29</v>
      </c>
      <c r="H744" s="8">
        <v>27</v>
      </c>
      <c r="I744" s="8">
        <v>2</v>
      </c>
      <c r="J744" s="10">
        <v>31949.200000000004</v>
      </c>
      <c r="K744" s="8">
        <v>18220.71</v>
      </c>
      <c r="L744" s="11">
        <f t="shared" si="1"/>
      </c>
      <c r="M744" s="11">
        <f t="shared" si="92"/>
      </c>
      <c r="N744" s="11">
        <f t="shared" si="63"/>
      </c>
    </row>
    <row r="745">
      <c r="A745" s="7">
        <v>46147</v>
      </c>
      <c r="B745" s="8" t="s">
        <v>20</v>
      </c>
      <c r="C745" s="9" t="s">
        <v>19</v>
      </c>
      <c r="D745" s="8">
        <v>5</v>
      </c>
      <c r="E745" s="8">
        <v>82</v>
      </c>
      <c r="F745" s="8">
        <v>58</v>
      </c>
      <c r="G745" s="8">
        <v>49</v>
      </c>
      <c r="H745" s="8">
        <v>36</v>
      </c>
      <c r="I745" s="8">
        <v>4</v>
      </c>
      <c r="J745" s="25">
        <v>54292.399999999994</v>
      </c>
      <c r="K745" s="25">
        <v>31626.12</v>
      </c>
      <c r="L745" s="11">
        <f t="shared" si="1"/>
      </c>
      <c r="M745" s="11">
        <f t="shared" si="92"/>
      </c>
      <c r="N745" s="11">
        <f t="shared" si="63"/>
      </c>
    </row>
    <row r="746">
      <c r="A746" s="7">
        <v>46147</v>
      </c>
      <c r="B746" s="8" t="s">
        <v>69</v>
      </c>
      <c r="C746" s="9" t="s">
        <v>25</v>
      </c>
      <c r="D746" s="8">
        <v>2</v>
      </c>
      <c r="E746" s="8">
        <v>22</v>
      </c>
      <c r="F746" s="8">
        <v>16</v>
      </c>
      <c r="G746" s="8">
        <v>16</v>
      </c>
      <c r="H746" s="8">
        <v>9</v>
      </c>
      <c r="I746" s="8">
        <v>0</v>
      </c>
      <c r="J746" s="25">
        <v>15841.200000000004</v>
      </c>
      <c r="K746" s="25">
        <v>10671.869999999999</v>
      </c>
      <c r="L746" s="11">
        <f t="shared" si="1"/>
      </c>
      <c r="M746" s="11">
        <f t="shared" si="92"/>
      </c>
      <c r="N746" s="11">
        <f t="shared" si="63"/>
      </c>
    </row>
    <row r="747">
      <c r="A747" s="7">
        <v>46147</v>
      </c>
      <c r="B747" s="8" t="s">
        <v>60</v>
      </c>
      <c r="C747" s="9" t="s">
        <v>61</v>
      </c>
      <c r="D747" s="8">
        <v>4</v>
      </c>
      <c r="E747" s="8">
        <v>63</v>
      </c>
      <c r="F747" s="8">
        <v>50</v>
      </c>
      <c r="G747" s="8">
        <v>34</v>
      </c>
      <c r="H747" s="8">
        <v>23</v>
      </c>
      <c r="I747" s="8">
        <v>5</v>
      </c>
      <c r="J747" s="25">
        <v>48022.9</v>
      </c>
      <c r="K747" s="25">
        <v>19936.57</v>
      </c>
      <c r="L747" s="11">
        <f t="shared" si="1"/>
      </c>
      <c r="M747" s="11">
        <f t="shared" si="92"/>
      </c>
      <c r="N747" s="11">
        <f t="shared" si="63"/>
      </c>
    </row>
    <row r="748">
      <c r="A748" s="7">
        <v>46147</v>
      </c>
      <c r="B748" s="8" t="s">
        <v>24</v>
      </c>
      <c r="C748" s="9" t="s">
        <v>62</v>
      </c>
      <c r="D748" s="8">
        <v>4</v>
      </c>
      <c r="E748" s="8">
        <v>58</v>
      </c>
      <c r="F748" s="8">
        <v>48</v>
      </c>
      <c r="G748" s="8">
        <v>41</v>
      </c>
      <c r="H748" s="8">
        <v>27</v>
      </c>
      <c r="I748" s="8">
        <v>3</v>
      </c>
      <c r="J748" s="25">
        <v>47553.999999999985</v>
      </c>
      <c r="K748" s="10">
        <v>25564.510000000002</v>
      </c>
      <c r="L748" s="11">
        <f t="shared" si="1"/>
      </c>
      <c r="M748" s="11">
        <f t="shared" si="92"/>
      </c>
      <c r="N748" s="11">
        <f>K748/H748</f>
      </c>
    </row>
    <row r="749">
      <c r="A749" s="16">
        <v>46147</v>
      </c>
      <c r="B749" s="17"/>
      <c r="C749" s="17"/>
      <c r="D749" s="17">
        <f>SUM(D744:D748)</f>
      </c>
      <c r="E749" s="17">
        <f>SUM(E744:E748)</f>
      </c>
      <c r="F749" s="17">
        <f>SUM(F744:F748)</f>
      </c>
      <c r="G749" s="17">
        <f>SUM(G744:G748)</f>
      </c>
      <c r="H749" s="17">
        <f>SUM(H744:H748)</f>
      </c>
      <c r="I749" s="17">
        <f>SUM(I744:I748)</f>
      </c>
      <c r="J749" s="17">
        <f>SUM(J744:J748)</f>
      </c>
      <c r="K749" s="17">
        <f>SUM(K744:K748)</f>
      </c>
      <c r="L749" s="18">
        <f t="shared" si="1"/>
      </c>
      <c r="M749" s="18">
        <f t="shared" si="92"/>
      </c>
      <c r="N749" s="18">
        <f t="shared" ref="N749:N753" si="64">K749/F749</f>
      </c>
    </row>
    <row r="750">
      <c r="A750" s="7">
        <v>46148</v>
      </c>
      <c r="B750" s="8" t="s">
        <v>20</v>
      </c>
      <c r="C750" s="9" t="s">
        <v>17</v>
      </c>
      <c r="D750" s="31">
        <v>5</v>
      </c>
      <c r="E750" s="34">
        <v>97</v>
      </c>
      <c r="F750" s="35">
        <v>77</v>
      </c>
      <c r="G750" s="8">
        <v>61</v>
      </c>
      <c r="H750" s="8">
        <v>46</v>
      </c>
      <c r="I750" s="8">
        <v>6</v>
      </c>
      <c r="J750" s="10">
        <v>63785.60000000002</v>
      </c>
      <c r="K750" s="8">
        <v>38819.509999999995</v>
      </c>
      <c r="L750" s="11">
        <f t="shared" si="1"/>
      </c>
      <c r="M750" s="11">
        <f t="shared" si="92"/>
      </c>
      <c r="N750" s="11">
        <f t="shared" si="64"/>
      </c>
    </row>
    <row r="751">
      <c r="A751" s="7">
        <v>46148</v>
      </c>
      <c r="B751" s="8" t="s">
        <v>16</v>
      </c>
      <c r="C751" s="9" t="s">
        <v>19</v>
      </c>
      <c r="D751" s="8">
        <v>5</v>
      </c>
      <c r="E751" s="8">
        <v>77</v>
      </c>
      <c r="F751" s="8">
        <v>61</v>
      </c>
      <c r="G751" s="8">
        <v>51</v>
      </c>
      <c r="H751" s="8">
        <v>36</v>
      </c>
      <c r="I751" s="8">
        <v>7</v>
      </c>
      <c r="J751" s="25">
        <v>59275.700000000004</v>
      </c>
      <c r="K751" s="25">
        <v>39661.64</v>
      </c>
      <c r="L751" s="11">
        <f t="shared" si="1"/>
      </c>
      <c r="M751" s="11">
        <f t="shared" si="92"/>
      </c>
      <c r="N751" s="11">
        <f t="shared" si="64"/>
      </c>
    </row>
    <row r="752">
      <c r="A752" s="7">
        <v>46148</v>
      </c>
      <c r="B752" s="8" t="s">
        <v>67</v>
      </c>
      <c r="C752" s="9" t="s">
        <v>25</v>
      </c>
      <c r="D752" s="8">
        <v>2</v>
      </c>
      <c r="E752" s="8">
        <v>31</v>
      </c>
      <c r="F752" s="8">
        <v>28</v>
      </c>
      <c r="G752" s="8">
        <v>21</v>
      </c>
      <c r="H752" s="8">
        <v>20</v>
      </c>
      <c r="I752" s="8">
        <v>3</v>
      </c>
      <c r="J752" s="25">
        <v>31907.800000000003</v>
      </c>
      <c r="K752" s="25">
        <v>11685.95</v>
      </c>
      <c r="L752" s="11">
        <f t="shared" si="1"/>
      </c>
      <c r="M752" s="11">
        <f t="shared" si="92"/>
      </c>
      <c r="N752" s="11">
        <f t="shared" si="64"/>
      </c>
    </row>
    <row r="753">
      <c r="A753" s="7">
        <v>46148</v>
      </c>
      <c r="B753" s="8" t="s">
        <v>60</v>
      </c>
      <c r="C753" s="9" t="s">
        <v>61</v>
      </c>
      <c r="D753" s="8">
        <v>4</v>
      </c>
      <c r="E753" s="8">
        <v>77</v>
      </c>
      <c r="F753" s="8">
        <v>62</v>
      </c>
      <c r="G753" s="8">
        <v>41</v>
      </c>
      <c r="H753" s="8">
        <v>32</v>
      </c>
      <c r="I753" s="8">
        <v>9</v>
      </c>
      <c r="J753" s="25">
        <v>60624.40000000002</v>
      </c>
      <c r="K753" s="25">
        <v>26771.75</v>
      </c>
      <c r="L753" s="11">
        <f t="shared" si="1"/>
      </c>
      <c r="M753" s="11">
        <f t="shared" si="92"/>
      </c>
      <c r="N753" s="11">
        <f t="shared" si="64"/>
      </c>
    </row>
    <row r="754">
      <c r="A754" s="7">
        <v>46148</v>
      </c>
      <c r="B754" s="8" t="s">
        <v>24</v>
      </c>
      <c r="C754" s="9" t="s">
        <v>62</v>
      </c>
      <c r="D754" s="8">
        <v>4</v>
      </c>
      <c r="E754" s="8">
        <v>32</v>
      </c>
      <c r="F754" s="8">
        <v>25</v>
      </c>
      <c r="G754" s="8">
        <v>20</v>
      </c>
      <c r="H754" s="8">
        <v>16</v>
      </c>
      <c r="I754" s="8">
        <v>3</v>
      </c>
      <c r="J754" s="25">
        <v>20541.399999999994</v>
      </c>
      <c r="K754" s="10">
        <v>19320.84</v>
      </c>
      <c r="L754" s="11">
        <f t="shared" si="1"/>
      </c>
      <c r="M754" s="11">
        <f t="shared" si="92"/>
      </c>
      <c r="N754" s="11">
        <f>K754/H754</f>
      </c>
    </row>
    <row r="755">
      <c r="A755" s="16">
        <v>46148</v>
      </c>
      <c r="B755" s="17"/>
      <c r="C755" s="17"/>
      <c r="D755" s="17">
        <f>SUM(D750:D754)</f>
      </c>
      <c r="E755" s="17">
        <f>SUM(E750:E754)</f>
      </c>
      <c r="F755" s="17">
        <f>SUM(F750:F754)</f>
      </c>
      <c r="G755" s="17">
        <f>SUM(G750:G754)</f>
      </c>
      <c r="H755" s="17">
        <f>SUM(H750:H754)</f>
      </c>
      <c r="I755" s="17">
        <f>SUM(I750:I754)</f>
      </c>
      <c r="J755" s="17">
        <f>SUM(J750:J754)</f>
      </c>
      <c r="K755" s="17">
        <f>SUM(K750:K754)</f>
      </c>
      <c r="L755" s="18">
        <f t="shared" si="1"/>
      </c>
      <c r="M755" s="18">
        <f t="shared" si="92"/>
      </c>
      <c r="N755" s="18">
        <f t="shared" ref="N755:N760" si="65">K755/F755</f>
      </c>
    </row>
    <row r="756">
      <c r="A756" s="7">
        <v>46149</v>
      </c>
      <c r="B756" s="8" t="s">
        <v>16</v>
      </c>
      <c r="C756" s="9" t="s">
        <v>17</v>
      </c>
      <c r="D756" s="31">
        <v>5</v>
      </c>
      <c r="E756" s="34">
        <v>44</v>
      </c>
      <c r="F756" s="35">
        <v>34</v>
      </c>
      <c r="G756" s="8">
        <v>25</v>
      </c>
      <c r="H756" s="8">
        <v>22</v>
      </c>
      <c r="I756" s="8">
        <v>4</v>
      </c>
      <c r="J756" s="10">
        <v>29021.799999999996</v>
      </c>
      <c r="K756" s="8">
        <v>20695.79</v>
      </c>
      <c r="L756" s="11">
        <f t="shared" si="1"/>
      </c>
      <c r="M756" s="11">
        <f t="shared" si="92"/>
      </c>
      <c r="N756" s="11">
        <f t="shared" si="65"/>
      </c>
    </row>
    <row r="757">
      <c r="A757" s="7">
        <v>46149</v>
      </c>
      <c r="B757" s="8" t="s">
        <v>20</v>
      </c>
      <c r="C757" s="9" t="s">
        <v>57</v>
      </c>
      <c r="D757" s="8">
        <v>2</v>
      </c>
      <c r="E757" s="8">
        <v>32</v>
      </c>
      <c r="F757" s="8">
        <v>27</v>
      </c>
      <c r="G757" s="8">
        <v>18</v>
      </c>
      <c r="H757" s="8">
        <v>16</v>
      </c>
      <c r="I757" s="8">
        <v>2</v>
      </c>
      <c r="J757" s="25">
        <v>18506.8</v>
      </c>
      <c r="K757" s="25">
        <v>11372.02</v>
      </c>
      <c r="L757" s="11">
        <f t="shared" si="1"/>
      </c>
      <c r="M757" s="11">
        <f t="shared" si="92"/>
      </c>
      <c r="N757" s="11">
        <f t="shared" si="65"/>
      </c>
    </row>
    <row r="758">
      <c r="A758" s="7">
        <v>46149</v>
      </c>
      <c r="B758" s="8" t="s">
        <v>67</v>
      </c>
      <c r="C758" s="9" t="s">
        <v>70</v>
      </c>
      <c r="D758" s="8">
        <v>3</v>
      </c>
      <c r="E758" s="8">
        <v>35</v>
      </c>
      <c r="F758" s="8">
        <v>23</v>
      </c>
      <c r="G758" s="8">
        <v>18</v>
      </c>
      <c r="H758" s="8">
        <v>14</v>
      </c>
      <c r="I758" s="8">
        <v>2</v>
      </c>
      <c r="J758" s="25">
        <v>24363.600000000002</v>
      </c>
      <c r="K758" s="25">
        <v>15651.32</v>
      </c>
      <c r="L758" s="11">
        <f t="shared" si="1"/>
      </c>
      <c r="M758" s="11">
        <f t="shared" si="92"/>
      </c>
      <c r="N758" s="11">
        <f t="shared" si="65"/>
      </c>
    </row>
    <row r="759">
      <c r="A759" s="7">
        <v>46149</v>
      </c>
      <c r="B759" s="8" t="s">
        <v>69</v>
      </c>
      <c r="C759" s="9" t="s">
        <v>25</v>
      </c>
      <c r="D759" s="8">
        <v>2</v>
      </c>
      <c r="E759" s="8">
        <v>18</v>
      </c>
      <c r="F759" s="8">
        <v>13</v>
      </c>
      <c r="G759" s="8">
        <v>11</v>
      </c>
      <c r="H759" s="8">
        <v>5</v>
      </c>
      <c r="I759" s="8">
        <v>0</v>
      </c>
      <c r="J759" s="25">
        <v>10228.400000000001</v>
      </c>
      <c r="K759" s="25">
        <v>8002.24</v>
      </c>
      <c r="L759" s="11">
        <f t="shared" si="1"/>
      </c>
      <c r="M759" s="11">
        <f t="shared" si="92"/>
      </c>
      <c r="N759" s="11">
        <f t="shared" si="65"/>
      </c>
    </row>
    <row r="760">
      <c r="A760" s="7">
        <v>46149</v>
      </c>
      <c r="B760" s="8" t="s">
        <v>24</v>
      </c>
      <c r="C760" s="9" t="s">
        <v>61</v>
      </c>
      <c r="D760" s="8">
        <v>4</v>
      </c>
      <c r="E760" s="8">
        <v>23</v>
      </c>
      <c r="F760" s="8">
        <v>15</v>
      </c>
      <c r="G760" s="8">
        <v>12</v>
      </c>
      <c r="H760" s="8">
        <v>9</v>
      </c>
      <c r="I760" s="8">
        <v>1</v>
      </c>
      <c r="J760" s="25">
        <v>10878</v>
      </c>
      <c r="K760" s="25">
        <v>14608.710000000001</v>
      </c>
      <c r="L760" s="11">
        <f t="shared" si="1"/>
      </c>
      <c r="M760" s="11">
        <f t="shared" si="92"/>
      </c>
      <c r="N760" s="11">
        <f t="shared" si="65"/>
      </c>
    </row>
    <row r="761">
      <c r="A761" s="7">
        <v>46149</v>
      </c>
      <c r="B761" s="8" t="s">
        <v>60</v>
      </c>
      <c r="C761" s="9" t="s">
        <v>62</v>
      </c>
      <c r="D761" s="8">
        <v>4</v>
      </c>
      <c r="E761" s="8">
        <v>50</v>
      </c>
      <c r="F761" s="8">
        <v>37</v>
      </c>
      <c r="G761" s="8">
        <v>32</v>
      </c>
      <c r="H761" s="8">
        <v>31</v>
      </c>
      <c r="I761" s="8">
        <v>4</v>
      </c>
      <c r="J761" s="25">
        <v>23407.999999999985</v>
      </c>
      <c r="K761" s="10">
        <v>20290.390000000003</v>
      </c>
      <c r="L761" s="11">
        <f t="shared" si="1"/>
      </c>
      <c r="M761" s="11">
        <f t="shared" si="92"/>
      </c>
      <c r="N761" s="11">
        <f>K761/H761</f>
      </c>
    </row>
    <row r="762">
      <c r="A762" s="16">
        <v>46149</v>
      </c>
      <c r="B762" s="17"/>
      <c r="C762" s="17"/>
      <c r="D762" s="17">
        <f>SUM(D756:D761)</f>
      </c>
      <c r="E762" s="17">
        <f>SUM(E756:E761)</f>
      </c>
      <c r="F762" s="17">
        <f>SUM(F756:F761)</f>
      </c>
      <c r="G762" s="17">
        <f>SUM(G756:G761)</f>
      </c>
      <c r="H762" s="17">
        <f>SUM(H756:H761)</f>
      </c>
      <c r="I762" s="17">
        <f>SUM(I756:I761)</f>
      </c>
      <c r="J762" s="17">
        <f>SUM(J756:J761)</f>
      </c>
      <c r="K762" s="17">
        <f>SUM(K756:K761)</f>
      </c>
      <c r="L762" s="18">
        <f t="shared" si="1"/>
      </c>
      <c r="M762" s="18">
        <f t="shared" si="92"/>
      </c>
      <c r="N762" s="18">
        <f t="shared" ref="N762:N766" si="66">K762/F762</f>
      </c>
    </row>
    <row r="763">
      <c r="A763" s="7">
        <v>46150</v>
      </c>
      <c r="B763" s="8" t="s">
        <v>16</v>
      </c>
      <c r="C763" s="9" t="s">
        <v>17</v>
      </c>
      <c r="D763" s="31">
        <v>5</v>
      </c>
      <c r="E763" s="34">
        <v>47</v>
      </c>
      <c r="F763" s="35">
        <v>36</v>
      </c>
      <c r="G763" s="8">
        <v>21</v>
      </c>
      <c r="H763" s="8">
        <v>23</v>
      </c>
      <c r="I763" s="8">
        <v>7</v>
      </c>
      <c r="J763" s="10">
        <v>35294.5</v>
      </c>
      <c r="K763" s="8">
        <v>15592.079999999998</v>
      </c>
      <c r="L763" s="11">
        <f t="shared" si="1"/>
      </c>
      <c r="M763" s="11">
        <f t="shared" si="92"/>
      </c>
      <c r="N763" s="11">
        <f t="shared" si="66"/>
      </c>
    </row>
    <row r="764">
      <c r="A764" s="7">
        <v>46150</v>
      </c>
      <c r="B764" s="8" t="s">
        <v>24</v>
      </c>
      <c r="C764" s="9" t="s">
        <v>57</v>
      </c>
      <c r="D764" s="8">
        <v>2</v>
      </c>
      <c r="E764" s="8">
        <v>25</v>
      </c>
      <c r="F764" s="8">
        <v>23</v>
      </c>
      <c r="G764" s="8">
        <v>2</v>
      </c>
      <c r="H764" s="8">
        <v>18</v>
      </c>
      <c r="I764" s="8">
        <v>3</v>
      </c>
      <c r="J764" s="25">
        <v>19757.199999999997</v>
      </c>
      <c r="K764" s="25">
        <v>7873.99</v>
      </c>
      <c r="L764" s="11">
        <f t="shared" si="1"/>
      </c>
      <c r="M764" s="11">
        <f t="shared" si="92"/>
      </c>
      <c r="N764" s="11">
        <f t="shared" si="66"/>
      </c>
    </row>
    <row r="765">
      <c r="A765" s="7">
        <v>46150</v>
      </c>
      <c r="B765" s="8" t="s">
        <v>67</v>
      </c>
      <c r="C765" s="9" t="s">
        <v>71</v>
      </c>
      <c r="D765" s="8">
        <v>3</v>
      </c>
      <c r="E765" s="8">
        <v>23</v>
      </c>
      <c r="F765" s="8">
        <v>10</v>
      </c>
      <c r="G765" s="8">
        <v>8</v>
      </c>
      <c r="H765" s="8">
        <v>6</v>
      </c>
      <c r="I765" s="8">
        <v>1</v>
      </c>
      <c r="J765" s="25">
        <v>6021.200000000004</v>
      </c>
      <c r="K765" s="25">
        <v>8036.26</v>
      </c>
      <c r="L765" s="11">
        <f t="shared" si="1"/>
      </c>
      <c r="M765" s="11">
        <f t="shared" si="92"/>
      </c>
      <c r="N765" s="11">
        <f t="shared" si="66"/>
      </c>
    </row>
    <row r="766">
      <c r="A766" s="7">
        <v>46150</v>
      </c>
      <c r="B766" s="8" t="s">
        <v>60</v>
      </c>
      <c r="C766" s="9" t="s">
        <v>72</v>
      </c>
      <c r="D766" s="8">
        <v>5</v>
      </c>
      <c r="E766" s="8">
        <v>79</v>
      </c>
      <c r="F766" s="8">
        <v>65</v>
      </c>
      <c r="G766" s="8">
        <v>44</v>
      </c>
      <c r="H766" s="8">
        <v>51</v>
      </c>
      <c r="I766" s="8">
        <v>6</v>
      </c>
      <c r="J766" s="25">
        <v>50384.20000000001</v>
      </c>
      <c r="K766" s="25">
        <v>25446.57</v>
      </c>
      <c r="L766" s="11">
        <f t="shared" si="1"/>
      </c>
      <c r="M766" s="11">
        <f t="shared" si="92"/>
      </c>
      <c r="N766" s="11">
        <f t="shared" si="66"/>
      </c>
    </row>
    <row r="767">
      <c r="A767" s="7">
        <v>46150</v>
      </c>
      <c r="B767" s="8" t="s">
        <v>22</v>
      </c>
      <c r="C767" s="9" t="s">
        <v>62</v>
      </c>
      <c r="D767" s="8">
        <v>4</v>
      </c>
      <c r="E767" s="8">
        <v>50</v>
      </c>
      <c r="F767" s="8">
        <v>39</v>
      </c>
      <c r="G767" s="8">
        <v>37</v>
      </c>
      <c r="H767" s="8">
        <v>28</v>
      </c>
      <c r="I767" s="8">
        <v>4</v>
      </c>
      <c r="J767" s="10">
        <v>35349.4</v>
      </c>
      <c r="K767" s="10">
        <v>24350.89</v>
      </c>
      <c r="L767" s="11">
        <f t="shared" si="1"/>
      </c>
      <c r="M767" s="11">
        <f t="shared" si="92"/>
      </c>
      <c r="N767" s="11">
        <f>K767/H767</f>
      </c>
    </row>
    <row r="768">
      <c r="A768" s="16">
        <v>46150</v>
      </c>
      <c r="B768" s="17"/>
      <c r="C768" s="17"/>
      <c r="D768" s="17">
        <f>SUM(D763:D767)</f>
      </c>
      <c r="E768" s="17">
        <f>SUM(E763:E767)</f>
      </c>
      <c r="F768" s="17">
        <f>SUM(F763:F767)</f>
      </c>
      <c r="G768" s="17">
        <f>SUM(G763:G767)</f>
      </c>
      <c r="H768" s="17">
        <f>SUM(H763:H767)</f>
      </c>
      <c r="I768" s="17">
        <f>SUM(I763:I767)</f>
      </c>
      <c r="J768" s="17">
        <f>SUM(J763:J767)</f>
      </c>
      <c r="K768" s="17">
        <f>SUM(K763:K767)</f>
      </c>
      <c r="L768" s="18">
        <f t="shared" si="1"/>
      </c>
      <c r="M768" s="18">
        <f t="shared" si="92"/>
      </c>
      <c r="N768" s="18">
        <f t="shared" ref="N768:N772" si="67">K768/F768</f>
      </c>
    </row>
    <row r="769">
      <c r="A769" s="7">
        <v>46151</v>
      </c>
      <c r="B769" s="8" t="s">
        <v>16</v>
      </c>
      <c r="C769" s="9" t="s">
        <v>34</v>
      </c>
      <c r="D769" s="31">
        <v>4</v>
      </c>
      <c r="E769" s="34">
        <v>47</v>
      </c>
      <c r="F769" s="35">
        <v>37</v>
      </c>
      <c r="G769" s="8">
        <v>32</v>
      </c>
      <c r="H769" s="8">
        <v>29</v>
      </c>
      <c r="I769" s="8">
        <v>0</v>
      </c>
      <c r="J769" s="10">
        <v>29491</v>
      </c>
      <c r="K769" s="8">
        <v>21077.27</v>
      </c>
      <c r="L769" s="11">
        <f t="shared" si="1"/>
      </c>
      <c r="M769" s="11">
        <f t="shared" si="92"/>
      </c>
      <c r="N769" s="11">
        <f t="shared" si="67"/>
      </c>
    </row>
    <row r="770">
      <c r="A770" s="7">
        <v>46151</v>
      </c>
      <c r="B770" s="8" t="s">
        <v>20</v>
      </c>
      <c r="C770" s="9" t="s">
        <v>35</v>
      </c>
      <c r="D770" s="8">
        <v>5</v>
      </c>
      <c r="E770" s="8">
        <v>73</v>
      </c>
      <c r="F770" s="8">
        <v>64</v>
      </c>
      <c r="G770" s="8">
        <v>53</v>
      </c>
      <c r="H770" s="8">
        <v>46</v>
      </c>
      <c r="I770" s="8">
        <v>7</v>
      </c>
      <c r="J770" s="10">
        <v>54195.4</v>
      </c>
      <c r="K770" s="10">
        <v>37337.83</v>
      </c>
      <c r="L770" s="11">
        <f t="shared" si="1"/>
      </c>
      <c r="M770" s="11">
        <f t="shared" si="92"/>
      </c>
      <c r="N770" s="11">
        <f t="shared" si="67"/>
      </c>
    </row>
    <row r="771">
      <c r="A771" s="7">
        <v>46151</v>
      </c>
      <c r="B771" s="8" t="s">
        <v>69</v>
      </c>
      <c r="C771" s="9" t="s">
        <v>59</v>
      </c>
      <c r="D771" s="8">
        <v>2</v>
      </c>
      <c r="E771" s="8">
        <v>19</v>
      </c>
      <c r="F771" s="8">
        <v>16</v>
      </c>
      <c r="G771" s="8">
        <v>13</v>
      </c>
      <c r="H771" s="8">
        <v>11</v>
      </c>
      <c r="I771" s="8">
        <v>1</v>
      </c>
      <c r="J771" s="25">
        <v>17045</v>
      </c>
      <c r="K771" s="25">
        <v>6815.370000000001</v>
      </c>
      <c r="L771" s="11">
        <f t="shared" si="1"/>
      </c>
      <c r="M771" s="11">
        <f t="shared" si="92"/>
      </c>
      <c r="N771" s="11">
        <f t="shared" si="67"/>
      </c>
    </row>
    <row r="772">
      <c r="A772" s="7">
        <v>46151</v>
      </c>
      <c r="B772" s="8" t="s">
        <v>60</v>
      </c>
      <c r="C772" s="9" t="s">
        <v>72</v>
      </c>
      <c r="D772" s="8">
        <v>5</v>
      </c>
      <c r="E772" s="8">
        <v>83</v>
      </c>
      <c r="F772" s="8">
        <v>64</v>
      </c>
      <c r="G772" s="8">
        <v>49</v>
      </c>
      <c r="H772" s="8">
        <v>47</v>
      </c>
      <c r="I772" s="8">
        <v>7</v>
      </c>
      <c r="J772" s="25">
        <v>55597.90000000003</v>
      </c>
      <c r="K772" s="25">
        <v>30629.65</v>
      </c>
      <c r="L772" s="11">
        <f t="shared" si="1"/>
      </c>
      <c r="M772" s="11">
        <f t="shared" si="92"/>
      </c>
      <c r="N772" s="11">
        <f t="shared" si="67"/>
      </c>
    </row>
    <row r="773">
      <c r="A773" s="7">
        <v>46151</v>
      </c>
      <c r="B773" s="8" t="s">
        <v>22</v>
      </c>
      <c r="C773" s="9" t="s">
        <v>62</v>
      </c>
      <c r="D773" s="8">
        <v>4</v>
      </c>
      <c r="E773" s="8">
        <v>44</v>
      </c>
      <c r="F773" s="8">
        <v>32</v>
      </c>
      <c r="G773" s="8">
        <v>28</v>
      </c>
      <c r="H773" s="8">
        <v>23</v>
      </c>
      <c r="I773" s="8">
        <v>1</v>
      </c>
      <c r="J773" s="10">
        <v>29426.800000000003</v>
      </c>
      <c r="K773" s="10">
        <v>21377.58</v>
      </c>
      <c r="L773" s="11">
        <f t="shared" si="1"/>
      </c>
      <c r="M773" s="11">
        <f t="shared" si="92"/>
      </c>
      <c r="N773" s="11">
        <f>K773/H773</f>
      </c>
    </row>
    <row r="774">
      <c r="A774" s="16">
        <v>46151</v>
      </c>
      <c r="B774" s="17"/>
      <c r="C774" s="17"/>
      <c r="D774" s="17">
        <f>SUM(D769:D773)</f>
      </c>
      <c r="E774" s="17">
        <f>SUM(E769:E773)</f>
      </c>
      <c r="F774" s="17">
        <f>SUM(F769:F773)</f>
      </c>
      <c r="G774" s="17">
        <f>SUM(G769:G773)</f>
      </c>
      <c r="H774" s="17">
        <f>SUM(H769:H773)</f>
      </c>
      <c r="I774" s="17">
        <f>SUM(I769:I773)</f>
      </c>
      <c r="J774" s="17">
        <f>SUM(J769:J773)</f>
      </c>
      <c r="K774" s="17">
        <f>SUM(K769:K773)</f>
      </c>
      <c r="L774" s="18">
        <f t="shared" si="1"/>
      </c>
      <c r="M774" s="18">
        <f t="shared" si="92"/>
      </c>
      <c r="N774" s="18">
        <f t="shared" ref="N774:N778" si="68">K774/F774</f>
      </c>
    </row>
    <row r="775">
      <c r="A775" s="7">
        <v>46152</v>
      </c>
      <c r="B775" s="8" t="s">
        <v>20</v>
      </c>
      <c r="C775" s="9" t="s">
        <v>17</v>
      </c>
      <c r="D775" s="31">
        <v>5</v>
      </c>
      <c r="E775" s="34">
        <v>61</v>
      </c>
      <c r="F775" s="35">
        <v>48</v>
      </c>
      <c r="G775" s="8">
        <v>28</v>
      </c>
      <c r="H775" s="8">
        <v>26</v>
      </c>
      <c r="I775" s="8">
        <v>9</v>
      </c>
      <c r="J775" s="10">
        <v>52925.90000000001</v>
      </c>
      <c r="K775" s="8">
        <v>19951.230000000003</v>
      </c>
      <c r="L775" s="11">
        <f t="shared" si="1"/>
      </c>
      <c r="M775" s="11">
        <f t="shared" si="92"/>
      </c>
      <c r="N775" s="11">
        <f t="shared" si="68"/>
      </c>
    </row>
    <row r="776">
      <c r="A776" s="7">
        <v>46152</v>
      </c>
      <c r="B776" s="8" t="s">
        <v>16</v>
      </c>
      <c r="C776" s="9" t="s">
        <v>30</v>
      </c>
      <c r="D776" s="8">
        <v>4</v>
      </c>
      <c r="E776" s="8">
        <v>19</v>
      </c>
      <c r="F776" s="8">
        <v>11</v>
      </c>
      <c r="G776" s="8">
        <v>10</v>
      </c>
      <c r="H776" s="8">
        <v>9</v>
      </c>
      <c r="I776" s="8">
        <v>0</v>
      </c>
      <c r="J776" s="10">
        <v>9232.800000000003</v>
      </c>
      <c r="K776" s="10">
        <v>11387.310000000001</v>
      </c>
      <c r="L776" s="11">
        <f t="shared" si="1"/>
      </c>
      <c r="M776" s="11">
        <f t="shared" si="92"/>
      </c>
      <c r="N776" s="11">
        <f t="shared" si="68"/>
      </c>
    </row>
    <row r="777">
      <c r="A777" s="7">
        <v>46152</v>
      </c>
      <c r="B777" s="8" t="s">
        <v>67</v>
      </c>
      <c r="C777" s="9" t="s">
        <v>59</v>
      </c>
      <c r="D777" s="8">
        <v>2</v>
      </c>
      <c r="E777" s="8">
        <v>12</v>
      </c>
      <c r="F777" s="8">
        <v>10</v>
      </c>
      <c r="G777" s="8">
        <v>6</v>
      </c>
      <c r="H777" s="8">
        <v>5</v>
      </c>
      <c r="I777" s="8">
        <v>1</v>
      </c>
      <c r="J777" s="25">
        <v>9423.199999999993</v>
      </c>
      <c r="K777" s="25">
        <v>4266.76</v>
      </c>
      <c r="L777" s="11">
        <f t="shared" si="1"/>
      </c>
      <c r="M777" s="11">
        <f t="shared" si="92"/>
      </c>
      <c r="N777" s="11">
        <f t="shared" si="68"/>
      </c>
    </row>
    <row r="778">
      <c r="A778" s="7">
        <v>46152</v>
      </c>
      <c r="B778" s="8" t="s">
        <v>60</v>
      </c>
      <c r="C778" s="9" t="s">
        <v>72</v>
      </c>
      <c r="D778" s="8">
        <v>5</v>
      </c>
      <c r="E778" s="8">
        <v>87</v>
      </c>
      <c r="F778" s="8">
        <v>70</v>
      </c>
      <c r="G778" s="8">
        <v>47</v>
      </c>
      <c r="H778" s="8">
        <v>46</v>
      </c>
      <c r="I778" s="8">
        <v>8</v>
      </c>
      <c r="J778" s="25">
        <v>60234.50000000002</v>
      </c>
      <c r="K778" s="25">
        <v>23963.260000000002</v>
      </c>
      <c r="L778" s="11">
        <f t="shared" si="1"/>
      </c>
      <c r="M778" s="11">
        <f t="shared" si="92"/>
      </c>
      <c r="N778" s="11">
        <f t="shared" si="68"/>
      </c>
    </row>
    <row r="779">
      <c r="A779" s="7">
        <v>46152</v>
      </c>
      <c r="B779" s="8" t="s">
        <v>22</v>
      </c>
      <c r="C779" s="9" t="s">
        <v>62</v>
      </c>
      <c r="D779" s="8">
        <v>4</v>
      </c>
      <c r="E779" s="8">
        <v>57</v>
      </c>
      <c r="F779" s="8">
        <v>40</v>
      </c>
      <c r="G779" s="8">
        <v>31</v>
      </c>
      <c r="H779" s="8">
        <v>23</v>
      </c>
      <c r="I779" s="8">
        <v>5</v>
      </c>
      <c r="J779" s="10">
        <v>34147.70000000001</v>
      </c>
      <c r="K779" s="10">
        <v>20982.46</v>
      </c>
      <c r="L779" s="11">
        <f t="shared" si="1"/>
      </c>
      <c r="M779" s="11">
        <f t="shared" si="92"/>
      </c>
      <c r="N779" s="11">
        <f>K779/H779</f>
      </c>
    </row>
    <row r="780">
      <c r="A780" s="16">
        <v>46152</v>
      </c>
      <c r="B780" s="17"/>
      <c r="C780" s="17"/>
      <c r="D780" s="17">
        <f>SUM(D775:D779)</f>
      </c>
      <c r="E780" s="17">
        <f>SUM(E775:E779)</f>
      </c>
      <c r="F780" s="17">
        <f>SUM(F775:F779)</f>
      </c>
      <c r="G780" s="17">
        <f>SUM(G775:G779)</f>
      </c>
      <c r="H780" s="17">
        <f>SUM(H775:H779)</f>
      </c>
      <c r="I780" s="17">
        <f>SUM(I775:I779)</f>
      </c>
      <c r="J780" s="17">
        <f>SUM(J775:J779)</f>
      </c>
      <c r="K780" s="17">
        <f>SUM(K775:K779)</f>
      </c>
      <c r="L780" s="18">
        <f t="shared" si="1"/>
      </c>
      <c r="M780" s="18">
        <f t="shared" si="92"/>
      </c>
      <c r="N780" s="18">
        <f t="shared" ref="N780:N784" si="69">K780/F780</f>
      </c>
    </row>
    <row r="781">
      <c r="A781" s="7">
        <v>46153</v>
      </c>
      <c r="B781" s="8" t="s">
        <v>16</v>
      </c>
      <c r="C781" s="9" t="s">
        <v>34</v>
      </c>
      <c r="D781" s="31">
        <v>4</v>
      </c>
      <c r="E781" s="34">
        <v>31</v>
      </c>
      <c r="F781" s="35">
        <v>19</v>
      </c>
      <c r="G781" s="8">
        <v>12</v>
      </c>
      <c r="H781" s="8">
        <v>10</v>
      </c>
      <c r="I781" s="8">
        <v>0</v>
      </c>
      <c r="J781" s="10">
        <v>19239.799999999996</v>
      </c>
      <c r="K781" s="8">
        <v>10223.86</v>
      </c>
      <c r="L781" s="11">
        <f t="shared" si="1"/>
      </c>
      <c r="M781" s="11">
        <f t="shared" si="92"/>
      </c>
      <c r="N781" s="11">
        <f t="shared" si="69"/>
      </c>
    </row>
    <row r="782">
      <c r="A782" s="7">
        <v>46153</v>
      </c>
      <c r="B782" s="8" t="s">
        <v>60</v>
      </c>
      <c r="C782" s="9" t="s">
        <v>35</v>
      </c>
      <c r="D782" s="8">
        <v>5</v>
      </c>
      <c r="E782" s="8">
        <v>63</v>
      </c>
      <c r="F782" s="8">
        <v>46</v>
      </c>
      <c r="G782" s="8">
        <v>33</v>
      </c>
      <c r="H782" s="8">
        <v>29</v>
      </c>
      <c r="I782" s="8">
        <v>5</v>
      </c>
      <c r="J782" s="10">
        <v>44746.2</v>
      </c>
      <c r="K782" s="10">
        <v>21860.35</v>
      </c>
      <c r="L782" s="11">
        <f t="shared" si="1"/>
      </c>
      <c r="M782" s="11">
        <f t="shared" si="92"/>
      </c>
      <c r="N782" s="11">
        <f t="shared" si="69"/>
      </c>
    </row>
    <row r="783">
      <c r="A783" s="7">
        <v>46153</v>
      </c>
      <c r="B783" s="8" t="s">
        <v>69</v>
      </c>
      <c r="C783" s="9" t="s">
        <v>59</v>
      </c>
      <c r="D783" s="8">
        <v>2</v>
      </c>
      <c r="E783" s="8">
        <v>21</v>
      </c>
      <c r="F783" s="8">
        <v>15</v>
      </c>
      <c r="G783" s="8">
        <v>13</v>
      </c>
      <c r="H783" s="8">
        <v>9</v>
      </c>
      <c r="I783" s="8">
        <v>1</v>
      </c>
      <c r="J783" s="25">
        <v>14086.800000000007</v>
      </c>
      <c r="K783" s="25">
        <v>8875.09</v>
      </c>
      <c r="L783" s="11">
        <f t="shared" si="1"/>
      </c>
      <c r="M783" s="11">
        <f t="shared" si="92"/>
      </c>
      <c r="N783" s="11">
        <f t="shared" si="69"/>
      </c>
    </row>
    <row r="784">
      <c r="A784" s="7">
        <v>46153</v>
      </c>
      <c r="B784" s="8" t="s">
        <v>20</v>
      </c>
      <c r="C784" s="9" t="s">
        <v>72</v>
      </c>
      <c r="D784" s="8">
        <v>5</v>
      </c>
      <c r="E784" s="8">
        <v>50</v>
      </c>
      <c r="F784" s="8">
        <v>43</v>
      </c>
      <c r="G784" s="8">
        <v>30</v>
      </c>
      <c r="H784" s="8">
        <v>25</v>
      </c>
      <c r="I784" s="8">
        <v>4</v>
      </c>
      <c r="J784" s="25">
        <v>47407.90000000001</v>
      </c>
      <c r="K784" s="25">
        <v>21230.43</v>
      </c>
      <c r="L784" s="11">
        <f t="shared" si="1"/>
      </c>
      <c r="M784" s="11">
        <f t="shared" si="92"/>
      </c>
      <c r="N784" s="11">
        <f t="shared" si="69"/>
      </c>
    </row>
    <row r="785">
      <c r="A785" s="7">
        <v>46153</v>
      </c>
      <c r="B785" s="8" t="s">
        <v>24</v>
      </c>
      <c r="C785" s="9" t="s">
        <v>62</v>
      </c>
      <c r="D785" s="8">
        <v>4</v>
      </c>
      <c r="E785" s="8">
        <v>24</v>
      </c>
      <c r="F785" s="8">
        <v>16</v>
      </c>
      <c r="G785" s="8">
        <v>14</v>
      </c>
      <c r="H785" s="8">
        <v>10</v>
      </c>
      <c r="I785" s="8">
        <v>1</v>
      </c>
      <c r="J785" s="10">
        <v>10236.399999999994</v>
      </c>
      <c r="K785" s="10">
        <v>13842.1</v>
      </c>
      <c r="L785" s="11">
        <f t="shared" si="1"/>
      </c>
      <c r="M785" s="11">
        <f t="shared" si="92"/>
      </c>
      <c r="N785" s="11">
        <f>K785/H785</f>
      </c>
    </row>
    <row r="786">
      <c r="A786" s="16">
        <v>46153</v>
      </c>
      <c r="B786" s="17"/>
      <c r="C786" s="17"/>
      <c r="D786" s="17">
        <f>SUM(D781:D785)</f>
      </c>
      <c r="E786" s="17">
        <f>SUM(E781:E785)</f>
      </c>
      <c r="F786" s="17">
        <f>SUM(F781:F785)</f>
      </c>
      <c r="G786" s="17">
        <f>SUM(G781:G785)</f>
      </c>
      <c r="H786" s="17">
        <f>SUM(H781:H785)</f>
      </c>
      <c r="I786" s="17">
        <f>SUM(I781:I785)</f>
      </c>
      <c r="J786" s="17">
        <f>SUM(J781:J785)</f>
      </c>
      <c r="K786" s="17">
        <f>SUM(K781:K785)</f>
      </c>
      <c r="L786" s="18">
        <f t="shared" si="1"/>
      </c>
      <c r="M786" s="18">
        <f t="shared" si="92"/>
      </c>
      <c r="N786" s="18">
        <f t="shared" ref="N786:N790" si="70">K786/F786</f>
      </c>
    </row>
    <row r="787">
      <c r="A787" s="7">
        <v>46154</v>
      </c>
      <c r="B787" s="8" t="s">
        <v>16</v>
      </c>
      <c r="C787" s="9" t="s">
        <v>34</v>
      </c>
      <c r="D787" s="31">
        <v>4</v>
      </c>
      <c r="E787" s="34">
        <v>33</v>
      </c>
      <c r="F787" s="35">
        <v>27</v>
      </c>
      <c r="G787" s="8">
        <v>22</v>
      </c>
      <c r="H787" s="8">
        <v>18</v>
      </c>
      <c r="I787" s="8">
        <v>3</v>
      </c>
      <c r="J787" s="10">
        <v>21987.799999999996</v>
      </c>
      <c r="K787" s="8">
        <v>13038.800000000001</v>
      </c>
      <c r="L787" s="11">
        <f t="shared" si="1"/>
      </c>
      <c r="M787" s="11">
        <f t="shared" si="92"/>
      </c>
      <c r="N787" s="11">
        <f t="shared" si="70"/>
      </c>
    </row>
    <row r="788">
      <c r="A788" s="7">
        <v>46154</v>
      </c>
      <c r="B788" s="8" t="s">
        <v>20</v>
      </c>
      <c r="C788" s="9" t="s">
        <v>35</v>
      </c>
      <c r="D788" s="8">
        <v>5</v>
      </c>
      <c r="E788" s="8">
        <v>69</v>
      </c>
      <c r="F788" s="8">
        <v>58</v>
      </c>
      <c r="G788" s="8">
        <v>41</v>
      </c>
      <c r="H788" s="8">
        <v>40</v>
      </c>
      <c r="I788" s="8">
        <v>7</v>
      </c>
      <c r="J788" s="10">
        <v>53167.2</v>
      </c>
      <c r="K788" s="10">
        <v>25924.47</v>
      </c>
      <c r="L788" s="11">
        <f t="shared" si="1"/>
      </c>
      <c r="M788" s="11">
        <f t="shared" si="92"/>
      </c>
      <c r="N788" s="11">
        <f t="shared" si="70"/>
      </c>
    </row>
    <row r="789">
      <c r="A789" s="7">
        <v>46154</v>
      </c>
      <c r="B789" s="8" t="s">
        <v>60</v>
      </c>
      <c r="C789" s="9" t="s">
        <v>73</v>
      </c>
      <c r="D789" s="8">
        <v>5</v>
      </c>
      <c r="E789" s="8">
        <v>50</v>
      </c>
      <c r="F789" s="8">
        <v>41</v>
      </c>
      <c r="G789" s="8">
        <v>25</v>
      </c>
      <c r="H789" s="8">
        <v>29</v>
      </c>
      <c r="I789" s="8">
        <v>7</v>
      </c>
      <c r="J789" s="25">
        <v>34768.20000000002</v>
      </c>
      <c r="K789" s="25">
        <v>18998.77</v>
      </c>
      <c r="L789" s="11">
        <f t="shared" si="1"/>
      </c>
      <c r="M789" s="11">
        <f t="shared" si="92"/>
      </c>
      <c r="N789" s="11">
        <f t="shared" si="70"/>
      </c>
    </row>
    <row r="790">
      <c r="A790" s="7">
        <v>46154</v>
      </c>
      <c r="B790" s="8" t="s">
        <v>67</v>
      </c>
      <c r="C790" s="9" t="s">
        <v>74</v>
      </c>
      <c r="D790" s="8">
        <v>2</v>
      </c>
      <c r="E790" s="8">
        <v>14</v>
      </c>
      <c r="F790" s="8">
        <v>7</v>
      </c>
      <c r="G790" s="8">
        <v>6</v>
      </c>
      <c r="H790" s="8">
        <v>3</v>
      </c>
      <c r="I790" s="8">
        <v>0</v>
      </c>
      <c r="J790" s="25">
        <v>7966.800000000003</v>
      </c>
      <c r="K790" s="25">
        <v>9267.55</v>
      </c>
      <c r="L790" s="11">
        <f t="shared" si="1"/>
      </c>
      <c r="M790" s="11">
        <f t="shared" si="92"/>
      </c>
      <c r="N790" s="11">
        <f t="shared" si="70"/>
      </c>
    </row>
    <row r="791">
      <c r="A791" s="7">
        <v>46154</v>
      </c>
      <c r="B791" s="8" t="s">
        <v>24</v>
      </c>
      <c r="C791" s="9" t="s">
        <v>62</v>
      </c>
      <c r="D791" s="8">
        <v>4</v>
      </c>
      <c r="E791" s="8">
        <v>22</v>
      </c>
      <c r="F791" s="8">
        <v>18</v>
      </c>
      <c r="G791" s="8">
        <v>13</v>
      </c>
      <c r="H791" s="8">
        <v>14</v>
      </c>
      <c r="I791" s="8">
        <v>1</v>
      </c>
      <c r="J791" s="10">
        <v>12026.399999999994</v>
      </c>
      <c r="K791" s="10">
        <v>12041.15</v>
      </c>
      <c r="L791" s="11">
        <f t="shared" si="1"/>
      </c>
      <c r="M791" s="11">
        <f t="shared" si="92"/>
      </c>
      <c r="N791" s="11">
        <f>K791/H791</f>
      </c>
    </row>
    <row r="792">
      <c r="A792" s="16">
        <v>46154</v>
      </c>
      <c r="B792" s="17"/>
      <c r="C792" s="17"/>
      <c r="D792" s="17">
        <f>SUM(D787:D791)</f>
      </c>
      <c r="E792" s="17">
        <f>SUM(E787:E791)</f>
      </c>
      <c r="F792" s="17">
        <f>SUM(F787:F791)</f>
      </c>
      <c r="G792" s="17">
        <f>SUM(G787:G791)</f>
      </c>
      <c r="H792" s="17">
        <f>SUM(H787:H791)</f>
      </c>
      <c r="I792" s="17">
        <f>SUM(I787:I791)</f>
      </c>
      <c r="J792" s="17">
        <f>SUM(J787:J791)</f>
      </c>
      <c r="K792" s="17">
        <f>SUM(K787:K791)</f>
      </c>
      <c r="L792" s="18">
        <f t="shared" si="1"/>
      </c>
      <c r="M792" s="18">
        <f t="shared" si="92"/>
      </c>
      <c r="N792" s="18">
        <f t="shared" ref="N792:N796" si="71">K792/F792</f>
      </c>
    </row>
    <row r="793">
      <c r="A793" s="7">
        <v>46155</v>
      </c>
      <c r="B793" s="8" t="s">
        <v>20</v>
      </c>
      <c r="C793" s="9" t="s">
        <v>17</v>
      </c>
      <c r="D793" s="31">
        <v>5</v>
      </c>
      <c r="E793" s="34">
        <v>73</v>
      </c>
      <c r="F793" s="35">
        <v>62</v>
      </c>
      <c r="G793" s="8">
        <v>52</v>
      </c>
      <c r="H793" s="8">
        <v>44</v>
      </c>
      <c r="I793" s="8">
        <v>2</v>
      </c>
      <c r="J793" s="10">
        <v>54975.60000000001</v>
      </c>
      <c r="K793" s="8">
        <v>30244.079999999998</v>
      </c>
      <c r="L793" s="11">
        <f t="shared" si="1"/>
      </c>
      <c r="M793" s="11">
        <f t="shared" si="92"/>
      </c>
      <c r="N793" s="11">
        <f t="shared" si="71"/>
      </c>
    </row>
    <row r="794">
      <c r="A794" s="7">
        <v>46155</v>
      </c>
      <c r="B794" s="8" t="s">
        <v>67</v>
      </c>
      <c r="C794" s="9" t="s">
        <v>57</v>
      </c>
      <c r="D794" s="8">
        <v>2</v>
      </c>
      <c r="E794" s="8">
        <v>28</v>
      </c>
      <c r="F794" s="8">
        <v>23</v>
      </c>
      <c r="G794" s="8">
        <v>18</v>
      </c>
      <c r="H794" s="8">
        <v>12</v>
      </c>
      <c r="I794" s="8">
        <v>2</v>
      </c>
      <c r="J794" s="10">
        <v>21369</v>
      </c>
      <c r="K794" s="10">
        <v>16440.2</v>
      </c>
      <c r="L794" s="11">
        <f t="shared" si="1"/>
      </c>
      <c r="M794" s="11">
        <f t="shared" si="92"/>
      </c>
      <c r="N794" s="11">
        <f t="shared" si="71"/>
      </c>
    </row>
    <row r="795">
      <c r="A795" s="7">
        <v>46155</v>
      </c>
      <c r="B795" s="8" t="s">
        <v>16</v>
      </c>
      <c r="C795" s="9" t="s">
        <v>50</v>
      </c>
      <c r="D795" s="8">
        <v>4</v>
      </c>
      <c r="E795" s="8">
        <v>36</v>
      </c>
      <c r="F795" s="8">
        <v>28</v>
      </c>
      <c r="G795" s="8">
        <v>18</v>
      </c>
      <c r="H795" s="8">
        <v>16</v>
      </c>
      <c r="I795" s="8">
        <v>4</v>
      </c>
      <c r="J795" s="25">
        <v>27703.200000000004</v>
      </c>
      <c r="K795" s="25">
        <v>15546.67</v>
      </c>
      <c r="L795" s="11">
        <f t="shared" si="1"/>
      </c>
      <c r="M795" s="11">
        <f t="shared" si="92"/>
      </c>
      <c r="N795" s="11">
        <f t="shared" si="71"/>
      </c>
    </row>
    <row r="796">
      <c r="A796" s="7">
        <v>46155</v>
      </c>
      <c r="B796" s="8" t="s">
        <v>24</v>
      </c>
      <c r="C796" s="9" t="s">
        <v>44</v>
      </c>
      <c r="D796" s="8">
        <v>4</v>
      </c>
      <c r="E796" s="8">
        <v>25</v>
      </c>
      <c r="F796" s="8">
        <v>21</v>
      </c>
      <c r="G796" s="8">
        <v>15</v>
      </c>
      <c r="H796" s="8">
        <v>18</v>
      </c>
      <c r="I796" s="8">
        <v>2</v>
      </c>
      <c r="J796" s="25">
        <v>12927.599999999991</v>
      </c>
      <c r="K796" s="25">
        <v>11075.23</v>
      </c>
      <c r="L796" s="11">
        <f t="shared" si="1"/>
      </c>
      <c r="M796" s="11">
        <f t="shared" si="92"/>
      </c>
      <c r="N796" s="11">
        <f t="shared" si="71"/>
      </c>
    </row>
    <row r="797">
      <c r="A797" s="7">
        <v>46155</v>
      </c>
      <c r="B797" s="8" t="s">
        <v>22</v>
      </c>
      <c r="C797" s="9" t="s">
        <v>23</v>
      </c>
      <c r="D797" s="8">
        <v>5</v>
      </c>
      <c r="E797" s="8">
        <v>34</v>
      </c>
      <c r="F797" s="8">
        <v>25</v>
      </c>
      <c r="G797" s="8">
        <v>13</v>
      </c>
      <c r="H797" s="8">
        <v>15</v>
      </c>
      <c r="I797" s="8">
        <v>2</v>
      </c>
      <c r="J797" s="10">
        <v>23355.200000000004</v>
      </c>
      <c r="K797" s="10">
        <v>16819.55</v>
      </c>
      <c r="L797" s="11">
        <f t="shared" si="1"/>
      </c>
      <c r="M797" s="11">
        <f t="shared" si="92"/>
      </c>
      <c r="N797" s="11">
        <f>K797/H797</f>
      </c>
    </row>
    <row r="798">
      <c r="A798" s="16">
        <v>46155</v>
      </c>
      <c r="B798" s="17"/>
      <c r="C798" s="17"/>
      <c r="D798" s="17">
        <f>SUM(D793:D797)</f>
      </c>
      <c r="E798" s="17">
        <f>SUM(E793:E797)</f>
      </c>
      <c r="F798" s="17">
        <f>SUM(F793:F797)</f>
      </c>
      <c r="G798" s="17">
        <f>SUM(G793:G797)</f>
      </c>
      <c r="H798" s="17">
        <f>SUM(H793:H797)</f>
      </c>
      <c r="I798" s="17">
        <f>SUM(I793:I797)</f>
      </c>
      <c r="J798" s="17">
        <f>SUM(J793:J797)</f>
      </c>
      <c r="K798" s="17">
        <f>SUM(K793:K797)</f>
      </c>
      <c r="L798" s="18">
        <f t="shared" si="1"/>
      </c>
      <c r="M798" s="18">
        <f t="shared" si="92"/>
      </c>
      <c r="N798" s="18">
        <f t="shared" ref="N798:N802" si="72">K798/F798</f>
      </c>
    </row>
    <row r="799">
      <c r="A799" s="7">
        <v>46156</v>
      </c>
      <c r="B799" s="8" t="s">
        <v>20</v>
      </c>
      <c r="C799" s="9" t="s">
        <v>17</v>
      </c>
      <c r="D799" s="31">
        <v>5</v>
      </c>
      <c r="E799" s="34">
        <v>49</v>
      </c>
      <c r="F799" s="35">
        <v>35</v>
      </c>
      <c r="G799" s="8">
        <v>26</v>
      </c>
      <c r="H799" s="8">
        <v>24</v>
      </c>
      <c r="I799" s="8">
        <v>4</v>
      </c>
      <c r="J799" s="10">
        <v>36550.799999999996</v>
      </c>
      <c r="K799" s="8">
        <v>17629.059999999998</v>
      </c>
      <c r="L799" s="11">
        <f t="shared" si="1"/>
      </c>
      <c r="M799" s="11">
        <f t="shared" si="92"/>
      </c>
      <c r="N799" s="11">
        <f t="shared" si="72"/>
      </c>
    </row>
    <row r="800">
      <c r="A800" s="7">
        <v>46156</v>
      </c>
      <c r="B800" s="8" t="s">
        <v>24</v>
      </c>
      <c r="C800" s="9" t="s">
        <v>30</v>
      </c>
      <c r="D800" s="8">
        <v>4</v>
      </c>
      <c r="E800" s="8">
        <v>33</v>
      </c>
      <c r="F800" s="8">
        <v>29</v>
      </c>
      <c r="G800" s="8">
        <v>21</v>
      </c>
      <c r="H800" s="8">
        <v>16</v>
      </c>
      <c r="I800" s="8">
        <v>2</v>
      </c>
      <c r="J800" s="10">
        <v>29065.999999999993</v>
      </c>
      <c r="K800" s="10">
        <v>16031.699999999999</v>
      </c>
      <c r="L800" s="11">
        <f t="shared" si="1"/>
      </c>
      <c r="M800" s="11">
        <f t="shared" si="92"/>
      </c>
      <c r="N800" s="11">
        <f t="shared" si="72"/>
      </c>
    </row>
    <row r="801">
      <c r="A801" s="7">
        <v>46156</v>
      </c>
      <c r="B801" s="8" t="s">
        <v>16</v>
      </c>
      <c r="C801" s="9" t="s">
        <v>73</v>
      </c>
      <c r="D801" s="8">
        <v>5</v>
      </c>
      <c r="E801" s="8">
        <v>42</v>
      </c>
      <c r="F801" s="8">
        <v>35</v>
      </c>
      <c r="G801" s="8">
        <v>29</v>
      </c>
      <c r="H801" s="8">
        <v>29</v>
      </c>
      <c r="I801" s="8">
        <v>5</v>
      </c>
      <c r="J801" s="25">
        <v>31645.00000000001</v>
      </c>
      <c r="K801" s="25">
        <v>18902.33</v>
      </c>
      <c r="L801" s="11">
        <f t="shared" si="1"/>
      </c>
      <c r="M801" s="11">
        <f t="shared" si="92"/>
      </c>
      <c r="N801" s="11">
        <f t="shared" si="72"/>
      </c>
    </row>
    <row r="802">
      <c r="A802" s="7">
        <v>46156</v>
      </c>
      <c r="B802" s="8" t="s">
        <v>69</v>
      </c>
      <c r="C802" s="9" t="s">
        <v>74</v>
      </c>
      <c r="D802" s="8">
        <v>2</v>
      </c>
      <c r="E802" s="8">
        <v>15</v>
      </c>
      <c r="F802" s="8">
        <v>14</v>
      </c>
      <c r="G802" s="8">
        <v>11</v>
      </c>
      <c r="H802" s="8">
        <v>11</v>
      </c>
      <c r="I802" s="8">
        <v>2</v>
      </c>
      <c r="J802" s="25">
        <v>10615.200000000004</v>
      </c>
      <c r="K802" s="25">
        <v>8960.92</v>
      </c>
      <c r="L802" s="11">
        <f t="shared" si="1"/>
      </c>
      <c r="M802" s="11">
        <f t="shared" si="92"/>
      </c>
      <c r="N802" s="11">
        <f t="shared" si="72"/>
      </c>
    </row>
    <row r="803">
      <c r="A803" s="7">
        <v>46156</v>
      </c>
      <c r="B803" s="8" t="s">
        <v>22</v>
      </c>
      <c r="C803" s="9" t="s">
        <v>62</v>
      </c>
      <c r="D803" s="8">
        <v>4</v>
      </c>
      <c r="E803" s="8">
        <v>27</v>
      </c>
      <c r="F803" s="8">
        <v>20</v>
      </c>
      <c r="G803" s="8">
        <v>16</v>
      </c>
      <c r="H803" s="8">
        <v>13</v>
      </c>
      <c r="I803" s="8">
        <v>2</v>
      </c>
      <c r="J803" s="10">
        <v>16557.59999999999</v>
      </c>
      <c r="K803" s="10">
        <v>14470.2</v>
      </c>
      <c r="L803" s="11">
        <f t="shared" si="1"/>
      </c>
      <c r="M803" s="11">
        <f t="shared" si="92"/>
      </c>
      <c r="N803" s="11">
        <f>K803/H803</f>
      </c>
    </row>
    <row r="804">
      <c r="A804" s="16">
        <v>46156</v>
      </c>
      <c r="B804" s="17"/>
      <c r="C804" s="17"/>
      <c r="D804" s="17">
        <f>SUM(D799:D803)</f>
      </c>
      <c r="E804" s="17">
        <f>SUM(E799:E803)</f>
      </c>
      <c r="F804" s="17">
        <f>SUM(F799:F803)</f>
      </c>
      <c r="G804" s="17">
        <f>SUM(G799:G803)</f>
      </c>
      <c r="H804" s="17">
        <f>SUM(H799:H803)</f>
      </c>
      <c r="I804" s="17">
        <f>SUM(I799:I803)</f>
      </c>
      <c r="J804" s="17">
        <f>SUM(J799:J803)</f>
      </c>
      <c r="K804" s="17">
        <f>SUM(K799:K803)</f>
      </c>
      <c r="L804" s="18">
        <f t="shared" si="1"/>
      </c>
      <c r="M804" s="18">
        <f t="shared" si="92"/>
      </c>
      <c r="N804" s="18">
        <f t="shared" ref="N804:N808" si="73">K804/F804</f>
      </c>
    </row>
    <row r="805">
      <c r="A805" s="7">
        <v>46157</v>
      </c>
      <c r="B805" s="8" t="s">
        <v>20</v>
      </c>
      <c r="C805" s="9" t="s">
        <v>17</v>
      </c>
      <c r="D805" s="31">
        <v>5</v>
      </c>
      <c r="E805" s="34">
        <v>44</v>
      </c>
      <c r="F805" s="35">
        <v>35</v>
      </c>
      <c r="G805" s="8">
        <v>25</v>
      </c>
      <c r="H805" s="8">
        <v>23</v>
      </c>
      <c r="I805" s="8">
        <v>3</v>
      </c>
      <c r="J805" s="10">
        <v>32516.000000000007</v>
      </c>
      <c r="K805" s="8">
        <v>16668.29</v>
      </c>
      <c r="L805" s="11">
        <f t="shared" si="1"/>
      </c>
      <c r="M805" s="11">
        <f t="shared" si="92"/>
      </c>
      <c r="N805" s="11">
        <f t="shared" si="73"/>
      </c>
    </row>
    <row r="806">
      <c r="A806" s="7">
        <v>46157</v>
      </c>
      <c r="B806" s="8" t="s">
        <v>22</v>
      </c>
      <c r="C806" s="9" t="s">
        <v>30</v>
      </c>
      <c r="D806" s="8">
        <v>4</v>
      </c>
      <c r="E806" s="8">
        <v>30</v>
      </c>
      <c r="F806" s="8">
        <v>26</v>
      </c>
      <c r="G806" s="8">
        <v>18</v>
      </c>
      <c r="H806" s="8">
        <v>15</v>
      </c>
      <c r="I806" s="8">
        <v>2</v>
      </c>
      <c r="J806" s="10">
        <v>18290.200000000004</v>
      </c>
      <c r="K806" s="10">
        <v>14917.09</v>
      </c>
      <c r="L806" s="11">
        <f t="shared" si="1"/>
      </c>
      <c r="M806" s="11">
        <f t="shared" si="92"/>
      </c>
      <c r="N806" s="11">
        <f t="shared" si="73"/>
      </c>
    </row>
    <row r="807">
      <c r="A807" s="7">
        <v>46157</v>
      </c>
      <c r="B807" s="8" t="s">
        <v>16</v>
      </c>
      <c r="C807" s="9" t="s">
        <v>31</v>
      </c>
      <c r="D807" s="8">
        <v>4</v>
      </c>
      <c r="E807" s="8">
        <v>26</v>
      </c>
      <c r="F807" s="8">
        <v>23</v>
      </c>
      <c r="G807" s="8">
        <v>14</v>
      </c>
      <c r="H807" s="8">
        <v>17</v>
      </c>
      <c r="I807" s="8">
        <v>3</v>
      </c>
      <c r="J807" s="25">
        <v>19495.799999999996</v>
      </c>
      <c r="K807" s="25">
        <v>9737.66</v>
      </c>
      <c r="L807" s="11">
        <f t="shared" si="1"/>
      </c>
      <c r="M807" s="11">
        <f t="shared" si="92"/>
      </c>
      <c r="N807" s="11">
        <f t="shared" si="73"/>
      </c>
    </row>
    <row r="808">
      <c r="A808" s="7">
        <v>46157</v>
      </c>
      <c r="B808" s="8" t="s">
        <v>69</v>
      </c>
      <c r="C808" s="9" t="s">
        <v>33</v>
      </c>
      <c r="D808" s="8">
        <v>2</v>
      </c>
      <c r="E808" s="8">
        <v>11</v>
      </c>
      <c r="F808" s="8">
        <v>10</v>
      </c>
      <c r="G808" s="8">
        <v>8</v>
      </c>
      <c r="H808" s="8">
        <v>7</v>
      </c>
      <c r="I808" s="8">
        <v>0</v>
      </c>
      <c r="J808" s="25">
        <v>6858.000000000004</v>
      </c>
      <c r="K808" s="25">
        <v>5781.01</v>
      </c>
      <c r="L808" s="11">
        <f t="shared" si="1"/>
      </c>
      <c r="M808" s="11">
        <f t="shared" si="92"/>
      </c>
      <c r="N808" s="11">
        <f t="shared" si="73"/>
      </c>
    </row>
    <row r="809">
      <c r="A809" s="7">
        <v>46157</v>
      </c>
      <c r="B809" s="8" t="s">
        <v>60</v>
      </c>
      <c r="C809" s="9" t="s">
        <v>23</v>
      </c>
      <c r="D809" s="8">
        <v>5</v>
      </c>
      <c r="E809" s="8">
        <v>62</v>
      </c>
      <c r="F809" s="8">
        <v>49</v>
      </c>
      <c r="G809" s="8">
        <v>35</v>
      </c>
      <c r="H809" s="8">
        <v>33</v>
      </c>
      <c r="I809" s="8">
        <v>7</v>
      </c>
      <c r="J809" s="10">
        <v>47732.799999999996</v>
      </c>
      <c r="K809" s="10">
        <v>19723.489999999998</v>
      </c>
      <c r="L809" s="11">
        <f t="shared" si="1"/>
      </c>
      <c r="M809" s="11">
        <f t="shared" si="92"/>
      </c>
      <c r="N809" s="11">
        <f>K809/H809</f>
      </c>
    </row>
    <row r="810">
      <c r="A810" s="16">
        <v>46157</v>
      </c>
      <c r="B810" s="17"/>
      <c r="C810" s="17"/>
      <c r="D810" s="17">
        <f>SUM(D805:D809)</f>
      </c>
      <c r="E810" s="17">
        <f>SUM(E805:E809)</f>
      </c>
      <c r="F810" s="17">
        <f>SUM(F805:F809)</f>
      </c>
      <c r="G810" s="17">
        <f>SUM(G805:G809)</f>
      </c>
      <c r="H810" s="17">
        <f>SUM(H805:H809)</f>
      </c>
      <c r="I810" s="17">
        <f>SUM(I805:I809)</f>
      </c>
      <c r="J810" s="17">
        <f>SUM(J805:J809)</f>
      </c>
      <c r="K810" s="17">
        <f>SUM(K805:K809)</f>
      </c>
      <c r="L810" s="18">
        <f t="shared" si="1"/>
      </c>
      <c r="M810" s="18">
        <f t="shared" si="92"/>
      </c>
      <c r="N810" s="18">
        <f t="shared" ref="N810:N814" si="74">K810/F810</f>
      </c>
    </row>
    <row r="811">
      <c r="A811" s="7">
        <v>46158</v>
      </c>
      <c r="B811" s="38" t="s">
        <v>20</v>
      </c>
      <c r="C811" s="9" t="s">
        <v>17</v>
      </c>
      <c r="D811" s="31">
        <v>5</v>
      </c>
      <c r="E811" s="34">
        <v>64</v>
      </c>
      <c r="F811" s="35">
        <v>51</v>
      </c>
      <c r="G811" s="8">
        <v>30</v>
      </c>
      <c r="H811" s="8">
        <v>26</v>
      </c>
      <c r="I811" s="8">
        <v>5</v>
      </c>
      <c r="J811" s="10">
        <v>43020.6</v>
      </c>
      <c r="K811" s="8">
        <v>22564.66</v>
      </c>
      <c r="L811" s="11">
        <f t="shared" si="1"/>
      </c>
      <c r="M811" s="11">
        <f t="shared" si="92"/>
      </c>
      <c r="N811" s="11">
        <f t="shared" si="74"/>
      </c>
    </row>
    <row r="812">
      <c r="A812" s="39">
        <v>46158</v>
      </c>
      <c r="B812" s="32" t="s">
        <v>16</v>
      </c>
      <c r="C812" s="44" t="s">
        <v>30</v>
      </c>
      <c r="D812" s="8">
        <v>4</v>
      </c>
      <c r="E812" s="8">
        <v>34</v>
      </c>
      <c r="F812" s="8">
        <v>28</v>
      </c>
      <c r="G812" s="8">
        <v>22</v>
      </c>
      <c r="H812" s="8">
        <v>16</v>
      </c>
      <c r="I812" s="8">
        <v>3</v>
      </c>
      <c r="J812" s="10">
        <v>33470.2</v>
      </c>
      <c r="K812" s="10">
        <v>15924.029999999999</v>
      </c>
      <c r="L812" s="11">
        <f t="shared" si="1"/>
      </c>
      <c r="M812" s="11">
        <f t="shared" si="92"/>
      </c>
      <c r="N812" s="11">
        <f t="shared" si="74"/>
      </c>
    </row>
    <row r="813">
      <c r="A813" s="7">
        <v>46158</v>
      </c>
      <c r="B813" s="45" t="s">
        <v>22</v>
      </c>
      <c r="C813" s="9" t="s">
        <v>31</v>
      </c>
      <c r="D813" s="8">
        <v>4</v>
      </c>
      <c r="E813" s="8">
        <v>17</v>
      </c>
      <c r="F813" s="8">
        <v>12</v>
      </c>
      <c r="G813" s="8">
        <v>10</v>
      </c>
      <c r="H813" s="8">
        <v>5</v>
      </c>
      <c r="I813" s="8">
        <v>0</v>
      </c>
      <c r="J813" s="25">
        <v>13531.599999999999</v>
      </c>
      <c r="K813" s="10">
        <v>9458.23</v>
      </c>
      <c r="L813" s="11">
        <f t="shared" si="1"/>
      </c>
      <c r="M813" s="11">
        <f t="shared" si="92"/>
      </c>
      <c r="N813" s="11">
        <f t="shared" si="74"/>
      </c>
    </row>
    <row r="814">
      <c r="A814" s="7">
        <v>46158</v>
      </c>
      <c r="B814" s="8" t="s">
        <v>69</v>
      </c>
      <c r="C814" s="9" t="s">
        <v>33</v>
      </c>
      <c r="D814" s="8">
        <v>2</v>
      </c>
      <c r="E814" s="8">
        <v>10</v>
      </c>
      <c r="F814" s="8">
        <v>10</v>
      </c>
      <c r="G814" s="8">
        <v>8</v>
      </c>
      <c r="H814" s="8">
        <v>8</v>
      </c>
      <c r="I814" s="8">
        <v>2</v>
      </c>
      <c r="J814" s="25">
        <v>10405.599999999999</v>
      </c>
      <c r="K814" s="25">
        <v>4299.54</v>
      </c>
      <c r="L814" s="11">
        <f t="shared" si="1"/>
      </c>
      <c r="M814" s="11">
        <f t="shared" si="92"/>
      </c>
      <c r="N814" s="11">
        <f t="shared" si="74"/>
      </c>
    </row>
    <row r="815">
      <c r="A815" s="7">
        <v>46158</v>
      </c>
      <c r="B815" s="8" t="s">
        <v>60</v>
      </c>
      <c r="C815" s="9" t="s">
        <v>23</v>
      </c>
      <c r="D815" s="8">
        <v>5</v>
      </c>
      <c r="E815" s="8">
        <v>70</v>
      </c>
      <c r="F815" s="8">
        <v>57</v>
      </c>
      <c r="G815" s="8">
        <v>38</v>
      </c>
      <c r="H815" s="8">
        <v>41</v>
      </c>
      <c r="I815" s="8">
        <v>5</v>
      </c>
      <c r="J815" s="10">
        <v>46194.59999999999</v>
      </c>
      <c r="K815" s="10">
        <v>20006.89</v>
      </c>
      <c r="L815" s="11">
        <f t="shared" si="1"/>
      </c>
      <c r="M815" s="11">
        <f t="shared" si="92"/>
      </c>
      <c r="N815" s="11">
        <f>K815/H815</f>
      </c>
    </row>
    <row r="816">
      <c r="A816" s="16">
        <v>46158</v>
      </c>
      <c r="B816" s="17"/>
      <c r="C816" s="17"/>
      <c r="D816" s="17">
        <f>SUM(D811:D815)</f>
      </c>
      <c r="E816" s="17">
        <f>SUM(E811:E815)</f>
      </c>
      <c r="F816" s="17">
        <f>SUM(F811:F815)</f>
      </c>
      <c r="G816" s="17">
        <f>SUM(G811:G815)</f>
      </c>
      <c r="H816" s="17">
        <f>SUM(H811:H815)</f>
      </c>
      <c r="I816" s="17">
        <f>SUM(I811:I815)</f>
      </c>
      <c r="J816" s="17">
        <f>SUM(J811:J815)</f>
      </c>
      <c r="K816" s="17">
        <f>SUM(K811:K815)</f>
      </c>
      <c r="L816" s="18">
        <f t="shared" si="1"/>
      </c>
      <c r="M816" s="18">
        <f t="shared" si="92"/>
      </c>
      <c r="N816" s="18">
        <f t="shared" ref="N816:N820" si="75">K816/F816</f>
      </c>
    </row>
    <row r="817">
      <c r="A817" s="39">
        <v>46159</v>
      </c>
      <c r="B817" s="34" t="s">
        <v>20</v>
      </c>
      <c r="C817" s="44" t="s">
        <v>17</v>
      </c>
      <c r="D817" s="31">
        <v>5</v>
      </c>
      <c r="E817" s="34">
        <v>86</v>
      </c>
      <c r="F817" s="35">
        <v>72</v>
      </c>
      <c r="G817" s="8">
        <v>52</v>
      </c>
      <c r="H817" s="8">
        <v>51</v>
      </c>
      <c r="I817" s="8">
        <v>8</v>
      </c>
      <c r="J817" s="10">
        <v>62176.36000000001</v>
      </c>
      <c r="K817" s="8">
        <v>33938.75</v>
      </c>
      <c r="L817" s="11">
        <f t="shared" si="1"/>
      </c>
      <c r="M817" s="11">
        <f t="shared" si="92"/>
      </c>
      <c r="N817" s="11">
        <f t="shared" si="75"/>
      </c>
    </row>
    <row r="818">
      <c r="A818" s="39">
        <v>46159</v>
      </c>
      <c r="B818" s="45" t="s">
        <v>22</v>
      </c>
      <c r="C818" s="44" t="s">
        <v>30</v>
      </c>
      <c r="D818" s="8">
        <v>4</v>
      </c>
      <c r="E818" s="8">
        <v>35</v>
      </c>
      <c r="F818" s="8">
        <v>25</v>
      </c>
      <c r="G818" s="8">
        <v>19</v>
      </c>
      <c r="H818" s="8">
        <v>16</v>
      </c>
      <c r="I818" s="8">
        <v>4</v>
      </c>
      <c r="J818" s="10">
        <v>30207.599999999995</v>
      </c>
      <c r="K818" s="10">
        <v>18759.239999999998</v>
      </c>
      <c r="L818" s="11">
        <f t="shared" si="1"/>
      </c>
      <c r="M818" s="11">
        <f t="shared" si="92"/>
      </c>
      <c r="N818" s="11">
        <f t="shared" si="75"/>
      </c>
    </row>
    <row r="819">
      <c r="A819" s="7">
        <v>46159</v>
      </c>
      <c r="B819" s="45" t="s">
        <v>24</v>
      </c>
      <c r="C819" s="9" t="s">
        <v>59</v>
      </c>
      <c r="D819" s="8">
        <v>2</v>
      </c>
      <c r="E819" s="8">
        <v>6</v>
      </c>
      <c r="F819" s="8">
        <v>6</v>
      </c>
      <c r="G819" s="8">
        <v>3</v>
      </c>
      <c r="H819" s="8">
        <v>3</v>
      </c>
      <c r="I819" s="8">
        <v>2</v>
      </c>
      <c r="J819" s="25">
        <v>4614</v>
      </c>
      <c r="K819" s="10">
        <v>4546.639999999999</v>
      </c>
      <c r="L819" s="11">
        <f t="shared" si="1"/>
      </c>
      <c r="M819" s="11">
        <f t="shared" si="92"/>
      </c>
      <c r="N819" s="11">
        <f t="shared" si="75"/>
      </c>
    </row>
    <row r="820">
      <c r="A820" s="39">
        <v>46159</v>
      </c>
      <c r="B820" s="8" t="s">
        <v>67</v>
      </c>
      <c r="C820" s="9" t="s">
        <v>26</v>
      </c>
      <c r="D820" s="8">
        <v>3</v>
      </c>
      <c r="E820" s="8">
        <v>33</v>
      </c>
      <c r="F820" s="8">
        <v>23</v>
      </c>
      <c r="G820" s="8">
        <v>14</v>
      </c>
      <c r="H820" s="8">
        <v>15</v>
      </c>
      <c r="I820" s="8">
        <v>1</v>
      </c>
      <c r="J820" s="25">
        <v>20568.199999999997</v>
      </c>
      <c r="K820" s="25">
        <v>8790.27</v>
      </c>
      <c r="L820" s="11">
        <f t="shared" si="1"/>
      </c>
      <c r="M820" s="11">
        <f t="shared" si="92"/>
      </c>
      <c r="N820" s="11">
        <f t="shared" si="75"/>
      </c>
    </row>
    <row r="821">
      <c r="A821" s="7">
        <v>46159</v>
      </c>
      <c r="B821" s="8" t="s">
        <v>60</v>
      </c>
      <c r="C821" s="9" t="s">
        <v>23</v>
      </c>
      <c r="D821" s="8">
        <v>5</v>
      </c>
      <c r="E821" s="8">
        <v>64</v>
      </c>
      <c r="F821" s="8">
        <v>48</v>
      </c>
      <c r="G821" s="8">
        <v>38</v>
      </c>
      <c r="H821" s="8">
        <v>36</v>
      </c>
      <c r="I821" s="8">
        <v>5</v>
      </c>
      <c r="J821" s="10">
        <v>40531.2</v>
      </c>
      <c r="K821" s="10">
        <v>20124.09</v>
      </c>
      <c r="L821" s="11">
        <f t="shared" si="1"/>
      </c>
      <c r="M821" s="11">
        <f t="shared" si="92"/>
      </c>
      <c r="N821" s="11">
        <f>K821/H821</f>
      </c>
    </row>
    <row r="822">
      <c r="A822" s="16">
        <v>46159</v>
      </c>
      <c r="B822" s="17"/>
      <c r="C822" s="17"/>
      <c r="D822" s="17">
        <f>SUM(D817:D821)</f>
      </c>
      <c r="E822" s="17">
        <f>SUM(E817:E821)</f>
      </c>
      <c r="F822" s="17">
        <f>SUM(F817:F821)</f>
      </c>
      <c r="G822" s="17">
        <f>SUM(G817:G821)</f>
      </c>
      <c r="H822" s="17">
        <f>SUM(H817:H821)</f>
      </c>
      <c r="I822" s="17">
        <f>SUM(I817:I821)</f>
      </c>
      <c r="J822" s="17">
        <f>SUM(J817:J821)</f>
      </c>
      <c r="K822" s="17">
        <f>SUM(K817:K821)</f>
      </c>
      <c r="L822" s="18">
        <f t="shared" si="1"/>
      </c>
      <c r="M822" s="18">
        <f t="shared" si="92"/>
      </c>
      <c r="N822" s="18">
        <f t="shared" ref="N822:N826" si="76">K822/F822</f>
      </c>
    </row>
    <row r="823">
      <c r="A823" s="39">
        <v>46160</v>
      </c>
      <c r="B823" s="34" t="s">
        <v>20</v>
      </c>
      <c r="C823" s="44" t="s">
        <v>17</v>
      </c>
      <c r="D823" s="31">
        <v>5</v>
      </c>
      <c r="E823" s="34">
        <v>55</v>
      </c>
      <c r="F823" s="35">
        <v>50</v>
      </c>
      <c r="G823" s="8">
        <v>40</v>
      </c>
      <c r="H823" s="8">
        <v>28</v>
      </c>
      <c r="I823" s="8">
        <v>7</v>
      </c>
      <c r="J823" s="10">
        <v>45909.8</v>
      </c>
      <c r="K823" s="8">
        <v>21567.88</v>
      </c>
      <c r="L823" s="11">
        <f t="shared" si="1"/>
      </c>
      <c r="M823" s="11">
        <f t="shared" si="92"/>
      </c>
      <c r="N823" s="11">
        <f t="shared" si="76"/>
      </c>
    </row>
    <row r="824">
      <c r="A824" s="39">
        <v>46160</v>
      </c>
      <c r="B824" s="45" t="s">
        <v>22</v>
      </c>
      <c r="C824" s="44" t="s">
        <v>30</v>
      </c>
      <c r="D824" s="8">
        <v>4</v>
      </c>
      <c r="E824" s="8">
        <v>58</v>
      </c>
      <c r="F824" s="8">
        <v>44</v>
      </c>
      <c r="G824" s="8">
        <v>33</v>
      </c>
      <c r="H824" s="8">
        <v>31</v>
      </c>
      <c r="I824" s="8">
        <v>4</v>
      </c>
      <c r="J824" s="10">
        <v>41744.400000000016</v>
      </c>
      <c r="K824" s="10">
        <v>28777.11</v>
      </c>
      <c r="L824" s="11">
        <f t="shared" si="1"/>
      </c>
      <c r="M824" s="11">
        <f t="shared" si="92"/>
      </c>
      <c r="N824" s="11">
        <f t="shared" si="76"/>
      </c>
    </row>
    <row r="825">
      <c r="A825" s="39">
        <v>46160</v>
      </c>
      <c r="B825" s="45" t="s">
        <v>69</v>
      </c>
      <c r="C825" s="9" t="s">
        <v>75</v>
      </c>
      <c r="D825" s="8">
        <v>3</v>
      </c>
      <c r="E825" s="8">
        <v>48</v>
      </c>
      <c r="F825" s="8">
        <v>36</v>
      </c>
      <c r="G825" s="8">
        <v>32</v>
      </c>
      <c r="H825" s="8">
        <v>28</v>
      </c>
      <c r="I825" s="8">
        <v>3</v>
      </c>
      <c r="J825" s="25">
        <v>25419.6</v>
      </c>
      <c r="K825" s="10">
        <v>20158.5</v>
      </c>
      <c r="L825" s="11">
        <f t="shared" si="1"/>
      </c>
      <c r="M825" s="11">
        <f t="shared" si="92"/>
      </c>
      <c r="N825" s="11">
        <f t="shared" si="76"/>
      </c>
    </row>
    <row r="826">
      <c r="A826" s="39">
        <v>46160</v>
      </c>
      <c r="B826" s="8" t="s">
        <v>67</v>
      </c>
      <c r="C826" s="9" t="s">
        <v>26</v>
      </c>
      <c r="D826" s="8">
        <v>3</v>
      </c>
      <c r="E826" s="8">
        <v>37</v>
      </c>
      <c r="F826" s="8">
        <v>33</v>
      </c>
      <c r="G826" s="8">
        <v>26</v>
      </c>
      <c r="H826" s="8">
        <v>27</v>
      </c>
      <c r="I826" s="8">
        <v>1</v>
      </c>
      <c r="J826" s="25">
        <v>20688</v>
      </c>
      <c r="K826" s="25">
        <v>20883.670000000002</v>
      </c>
      <c r="L826" s="11">
        <f t="shared" si="1"/>
      </c>
      <c r="M826" s="11">
        <f t="shared" si="92"/>
      </c>
      <c r="N826" s="11">
        <f t="shared" si="76"/>
      </c>
    </row>
    <row r="827">
      <c r="A827" s="39">
        <v>46160</v>
      </c>
      <c r="B827" s="8" t="s">
        <v>60</v>
      </c>
      <c r="C827" s="9" t="s">
        <v>23</v>
      </c>
      <c r="D827" s="8">
        <v>5</v>
      </c>
      <c r="E827" s="8">
        <v>79</v>
      </c>
      <c r="F827" s="8">
        <v>67</v>
      </c>
      <c r="G827" s="8">
        <v>45</v>
      </c>
      <c r="H827" s="8">
        <v>47</v>
      </c>
      <c r="I827" s="8">
        <v>12</v>
      </c>
      <c r="J827" s="10">
        <v>52405.84000000002</v>
      </c>
      <c r="K827" s="10">
        <v>29717.61</v>
      </c>
      <c r="L827" s="11">
        <f t="shared" si="1"/>
      </c>
      <c r="M827" s="11">
        <f t="shared" si="92"/>
      </c>
      <c r="N827" s="11">
        <f>K827/H827</f>
      </c>
    </row>
    <row r="828">
      <c r="A828" s="16">
        <v>46160</v>
      </c>
      <c r="B828" s="17"/>
      <c r="C828" s="17"/>
      <c r="D828" s="17">
        <f>SUM(D823:D827)</f>
      </c>
      <c r="E828" s="17">
        <f>SUM(E823:E827)</f>
      </c>
      <c r="F828" s="17">
        <f>SUM(F823:F827)</f>
      </c>
      <c r="G828" s="17">
        <f>SUM(G823:G827)</f>
      </c>
      <c r="H828" s="17">
        <f>SUM(H823:H827)</f>
      </c>
      <c r="I828" s="17">
        <f>SUM(I823:I827)</f>
      </c>
      <c r="J828" s="17">
        <f>SUM(J823:J827)</f>
      </c>
      <c r="K828" s="17">
        <f>SUM(K823:K827)</f>
      </c>
      <c r="L828" s="18">
        <f t="shared" si="1"/>
      </c>
      <c r="M828" s="18">
        <f t="shared" si="92"/>
      </c>
      <c r="N828" s="18">
        <f t="shared" ref="N828:N832" si="77">K828/F828</f>
      </c>
    </row>
    <row r="829">
      <c r="A829" s="39">
        <v>46161</v>
      </c>
      <c r="B829" s="34" t="s">
        <v>16</v>
      </c>
      <c r="C829" s="44" t="s">
        <v>34</v>
      </c>
      <c r="D829" s="31">
        <v>4</v>
      </c>
      <c r="E829" s="34">
        <v>28</v>
      </c>
      <c r="F829" s="35">
        <v>20</v>
      </c>
      <c r="G829" s="8">
        <v>16</v>
      </c>
      <c r="H829" s="8">
        <v>13</v>
      </c>
      <c r="I829" s="8">
        <v>0</v>
      </c>
      <c r="J829" s="10">
        <v>18485.6</v>
      </c>
      <c r="K829" s="8">
        <v>20108.23</v>
      </c>
      <c r="L829" s="11">
        <f t="shared" si="1"/>
      </c>
      <c r="M829" s="11">
        <f t="shared" si="92"/>
      </c>
      <c r="N829" s="11">
        <f t="shared" si="77"/>
      </c>
    </row>
    <row r="830">
      <c r="A830" s="39">
        <v>46161</v>
      </c>
      <c r="B830" s="45" t="s">
        <v>24</v>
      </c>
      <c r="C830" s="44" t="s">
        <v>63</v>
      </c>
      <c r="D830" s="8">
        <v>4</v>
      </c>
      <c r="E830" s="8">
        <v>27</v>
      </c>
      <c r="F830" s="8">
        <v>20</v>
      </c>
      <c r="G830" s="8">
        <v>12</v>
      </c>
      <c r="H830" s="8">
        <v>13</v>
      </c>
      <c r="I830" s="8">
        <v>0</v>
      </c>
      <c r="J830" s="10">
        <v>13562.599999999999</v>
      </c>
      <c r="K830" s="10">
        <v>9285.66</v>
      </c>
      <c r="L830" s="11">
        <f t="shared" si="1"/>
      </c>
      <c r="M830" s="11">
        <f t="shared" si="92"/>
      </c>
      <c r="N830" s="11">
        <f t="shared" si="77"/>
      </c>
    </row>
    <row r="831">
      <c r="A831" s="39">
        <v>46161</v>
      </c>
      <c r="B831" s="45" t="s">
        <v>60</v>
      </c>
      <c r="C831" s="9" t="s">
        <v>64</v>
      </c>
      <c r="D831" s="8">
        <v>4</v>
      </c>
      <c r="E831" s="8">
        <v>43</v>
      </c>
      <c r="F831" s="8">
        <v>32</v>
      </c>
      <c r="G831" s="8">
        <v>21</v>
      </c>
      <c r="H831" s="8">
        <v>23</v>
      </c>
      <c r="I831" s="8">
        <v>6</v>
      </c>
      <c r="J831" s="25">
        <v>22259.99999999999</v>
      </c>
      <c r="K831" s="10">
        <v>14347.439999999999</v>
      </c>
      <c r="L831" s="11">
        <f t="shared" si="1"/>
      </c>
      <c r="M831" s="11">
        <f t="shared" si="92"/>
      </c>
      <c r="N831" s="11">
        <f t="shared" si="77"/>
      </c>
    </row>
    <row r="832">
      <c r="A832" s="39">
        <v>46161</v>
      </c>
      <c r="B832" s="8" t="s">
        <v>69</v>
      </c>
      <c r="C832" s="9" t="s">
        <v>26</v>
      </c>
      <c r="D832" s="8">
        <v>3</v>
      </c>
      <c r="E832" s="8">
        <v>19</v>
      </c>
      <c r="F832" s="8">
        <v>18</v>
      </c>
      <c r="G832" s="8">
        <v>11</v>
      </c>
      <c r="H832" s="8">
        <v>12</v>
      </c>
      <c r="I832" s="8">
        <v>2</v>
      </c>
      <c r="J832" s="25">
        <v>17521.200000000004</v>
      </c>
      <c r="K832" s="25">
        <v>6884.34</v>
      </c>
      <c r="L832" s="11">
        <f t="shared" si="1"/>
      </c>
      <c r="M832" s="11">
        <f t="shared" si="92"/>
      </c>
      <c r="N832" s="11">
        <f t="shared" si="77"/>
      </c>
    </row>
    <row r="833">
      <c r="A833" s="39">
        <v>46161</v>
      </c>
      <c r="B833" s="8" t="s">
        <v>20</v>
      </c>
      <c r="C833" s="9" t="s">
        <v>23</v>
      </c>
      <c r="D833" s="8">
        <v>5</v>
      </c>
      <c r="E833" s="8">
        <v>68</v>
      </c>
      <c r="F833" s="8">
        <v>55</v>
      </c>
      <c r="G833" s="8">
        <v>36</v>
      </c>
      <c r="H833" s="8">
        <v>40</v>
      </c>
      <c r="I833" s="8">
        <v>6</v>
      </c>
      <c r="J833" s="10">
        <v>41703.76</v>
      </c>
      <c r="K833" s="10">
        <v>19044.200000000004</v>
      </c>
      <c r="L833" s="11">
        <f t="shared" si="1"/>
      </c>
      <c r="M833" s="11">
        <f t="shared" si="92"/>
      </c>
      <c r="N833" s="11">
        <f>K833/H833</f>
      </c>
    </row>
    <row r="834">
      <c r="A834" s="16">
        <v>46161</v>
      </c>
      <c r="B834" s="17"/>
      <c r="C834" s="17"/>
      <c r="D834" s="17">
        <f>SUM(D829:D833)</f>
      </c>
      <c r="E834" s="17">
        <f>SUM(E829:E833)</f>
      </c>
      <c r="F834" s="17">
        <f>SUM(F829:F833)</f>
      </c>
      <c r="G834" s="17">
        <f>SUM(G829:G833)</f>
      </c>
      <c r="H834" s="17">
        <f>SUM(H829:H833)</f>
      </c>
      <c r="I834" s="17">
        <f>SUM(I829:I833)</f>
      </c>
      <c r="J834" s="17">
        <f>SUM(J829:J833)</f>
      </c>
      <c r="K834" s="17">
        <f>SUM(K829:K833)</f>
      </c>
      <c r="L834" s="18">
        <f t="shared" si="1"/>
      </c>
      <c r="M834" s="18">
        <f t="shared" si="92"/>
      </c>
      <c r="N834" s="18">
        <f t="shared" ref="N834:N838" si="78">K834/F834</f>
      </c>
    </row>
    <row r="835">
      <c r="A835" s="39">
        <v>46162</v>
      </c>
      <c r="B835" s="34" t="s">
        <v>16</v>
      </c>
      <c r="C835" s="44" t="s">
        <v>34</v>
      </c>
      <c r="D835" s="31">
        <v>4</v>
      </c>
      <c r="E835" s="34">
        <v>57</v>
      </c>
      <c r="F835" s="35">
        <v>51</v>
      </c>
      <c r="G835" s="8">
        <v>34</v>
      </c>
      <c r="H835" s="8">
        <v>37</v>
      </c>
      <c r="I835" s="8">
        <v>6</v>
      </c>
      <c r="J835" s="10">
        <v>43895.80000000002</v>
      </c>
      <c r="K835" s="8">
        <v>24496.61</v>
      </c>
      <c r="L835" s="11">
        <f t="shared" si="1"/>
      </c>
      <c r="M835" s="11">
        <f t="shared" si="92"/>
      </c>
      <c r="N835" s="11">
        <f t="shared" si="78"/>
      </c>
    </row>
    <row r="836">
      <c r="A836" s="39">
        <v>46162</v>
      </c>
      <c r="B836" s="45" t="s">
        <v>60</v>
      </c>
      <c r="C836" s="44" t="s">
        <v>35</v>
      </c>
      <c r="D836" s="8">
        <v>5</v>
      </c>
      <c r="E836" s="8">
        <v>46</v>
      </c>
      <c r="F836" s="8">
        <v>36</v>
      </c>
      <c r="G836" s="8">
        <v>27</v>
      </c>
      <c r="H836" s="8">
        <v>18</v>
      </c>
      <c r="I836" s="8">
        <v>2</v>
      </c>
      <c r="J836" s="10">
        <v>43946.1</v>
      </c>
      <c r="K836" s="10">
        <v>19883.880000000005</v>
      </c>
      <c r="L836" s="11">
        <f t="shared" si="1"/>
      </c>
      <c r="M836" s="11">
        <f t="shared" si="92"/>
      </c>
      <c r="N836" s="11">
        <f t="shared" si="78"/>
      </c>
    </row>
    <row r="837">
      <c r="A837" s="39">
        <v>46162</v>
      </c>
      <c r="B837" s="45" t="s">
        <v>24</v>
      </c>
      <c r="C837" s="9" t="s">
        <v>31</v>
      </c>
      <c r="D837" s="8">
        <v>4</v>
      </c>
      <c r="E837" s="8">
        <v>27</v>
      </c>
      <c r="F837" s="8">
        <v>21</v>
      </c>
      <c r="G837" s="8">
        <v>17</v>
      </c>
      <c r="H837" s="8">
        <v>17</v>
      </c>
      <c r="I837" s="8">
        <v>2</v>
      </c>
      <c r="J837" s="25">
        <v>14442.599999999999</v>
      </c>
      <c r="K837" s="10">
        <v>12400.04</v>
      </c>
      <c r="L837" s="11">
        <f t="shared" si="1"/>
      </c>
      <c r="M837" s="11">
        <f t="shared" si="92"/>
      </c>
      <c r="N837" s="11">
        <f t="shared" si="78"/>
      </c>
    </row>
    <row r="838">
      <c r="A838" s="39">
        <v>46162</v>
      </c>
      <c r="B838" s="8" t="s">
        <v>69</v>
      </c>
      <c r="C838" s="9" t="s">
        <v>33</v>
      </c>
      <c r="D838" s="8">
        <v>2</v>
      </c>
      <c r="E838" s="8">
        <v>20</v>
      </c>
      <c r="F838" s="8">
        <v>15</v>
      </c>
      <c r="G838" s="8">
        <v>10</v>
      </c>
      <c r="H838" s="8">
        <v>7</v>
      </c>
      <c r="I838" s="8">
        <v>3</v>
      </c>
      <c r="J838" s="25">
        <v>15749.400000000001</v>
      </c>
      <c r="K838" s="25">
        <v>6008.57</v>
      </c>
      <c r="L838" s="11">
        <f t="shared" si="1"/>
      </c>
      <c r="M838" s="11">
        <f t="shared" si="92"/>
      </c>
      <c r="N838" s="11">
        <f t="shared" si="78"/>
      </c>
    </row>
    <row r="839">
      <c r="A839" s="39">
        <v>46162</v>
      </c>
      <c r="B839" s="8" t="s">
        <v>20</v>
      </c>
      <c r="C839" s="9" t="s">
        <v>23</v>
      </c>
      <c r="D839" s="8">
        <v>5</v>
      </c>
      <c r="E839" s="8">
        <v>63</v>
      </c>
      <c r="F839" s="8">
        <v>44</v>
      </c>
      <c r="G839" s="8">
        <v>29</v>
      </c>
      <c r="H839" s="8">
        <v>28</v>
      </c>
      <c r="I839" s="8">
        <v>5</v>
      </c>
      <c r="J839" s="10">
        <v>55309.39999999998</v>
      </c>
      <c r="K839" s="10">
        <v>19249.82</v>
      </c>
      <c r="L839" s="11">
        <f t="shared" si="1"/>
      </c>
      <c r="M839" s="11">
        <f t="shared" si="92"/>
      </c>
      <c r="N839" s="11">
        <f>K839/H839</f>
      </c>
    </row>
    <row r="840">
      <c r="A840" s="16">
        <v>46162</v>
      </c>
      <c r="B840" s="17"/>
      <c r="C840" s="17"/>
      <c r="D840" s="17">
        <f>SUM(D835:D839)</f>
      </c>
      <c r="E840" s="17">
        <f>SUM(E835:E839)</f>
      </c>
      <c r="F840" s="17">
        <f>SUM(F835:F839)</f>
      </c>
      <c r="G840" s="17">
        <f>SUM(G835:G839)</f>
      </c>
      <c r="H840" s="17">
        <f>SUM(H835:H839)</f>
      </c>
      <c r="I840" s="17">
        <f>SUM(I835:I839)</f>
      </c>
      <c r="J840" s="17">
        <f>SUM(J835:J839)</f>
      </c>
      <c r="K840" s="17">
        <f>SUM(K835:K839)</f>
      </c>
      <c r="L840" s="18">
        <f t="shared" si="1"/>
      </c>
      <c r="M840" s="18">
        <f t="shared" si="92"/>
      </c>
      <c r="N840" s="18">
        <f t="shared" ref="N840:N844" si="79">K840/F840</f>
      </c>
    </row>
    <row r="841">
      <c r="A841" s="39">
        <v>46163</v>
      </c>
      <c r="B841" s="34" t="s">
        <v>60</v>
      </c>
      <c r="C841" s="44" t="s">
        <v>17</v>
      </c>
      <c r="D841" s="31">
        <v>5</v>
      </c>
      <c r="E841" s="34">
        <v>59</v>
      </c>
      <c r="F841" s="35">
        <v>47</v>
      </c>
      <c r="G841" s="8">
        <v>37</v>
      </c>
      <c r="H841" s="8">
        <v>34</v>
      </c>
      <c r="I841" s="8">
        <v>3</v>
      </c>
      <c r="J841" s="10">
        <v>47189</v>
      </c>
      <c r="K841" s="8">
        <v>25870.660000000003</v>
      </c>
      <c r="L841" s="11">
        <f t="shared" si="1"/>
      </c>
      <c r="M841" s="11">
        <f t="shared" si="92"/>
      </c>
      <c r="N841" s="11">
        <f t="shared" si="79"/>
      </c>
    </row>
    <row r="842">
      <c r="A842" s="39">
        <v>46163</v>
      </c>
      <c r="B842" s="45" t="s">
        <v>16</v>
      </c>
      <c r="C842" s="44" t="s">
        <v>30</v>
      </c>
      <c r="D842" s="8">
        <v>4</v>
      </c>
      <c r="E842" s="8">
        <v>35</v>
      </c>
      <c r="F842" s="8">
        <v>31</v>
      </c>
      <c r="G842" s="8">
        <v>20</v>
      </c>
      <c r="H842" s="8">
        <v>18</v>
      </c>
      <c r="I842" s="8">
        <v>0</v>
      </c>
      <c r="J842" s="10">
        <v>30074.840000000004</v>
      </c>
      <c r="K842" s="10">
        <v>12808.84</v>
      </c>
      <c r="L842" s="11">
        <f t="shared" si="1"/>
      </c>
      <c r="M842" s="11">
        <f t="shared" si="92"/>
      </c>
      <c r="N842" s="11">
        <f t="shared" si="79"/>
      </c>
    </row>
    <row r="843">
      <c r="A843" s="39">
        <v>46163</v>
      </c>
      <c r="B843" s="45" t="s">
        <v>22</v>
      </c>
      <c r="C843" s="9" t="s">
        <v>31</v>
      </c>
      <c r="D843" s="8">
        <v>4</v>
      </c>
      <c r="E843" s="8">
        <v>28</v>
      </c>
      <c r="F843" s="8">
        <v>18</v>
      </c>
      <c r="G843" s="8">
        <v>14</v>
      </c>
      <c r="H843" s="8">
        <v>15</v>
      </c>
      <c r="I843" s="8">
        <v>2</v>
      </c>
      <c r="J843" s="10">
        <v>14646</v>
      </c>
      <c r="K843" s="10">
        <v>10079.37</v>
      </c>
      <c r="L843" s="11">
        <f t="shared" si="1"/>
      </c>
      <c r="M843" s="11">
        <f t="shared" si="92"/>
      </c>
      <c r="N843" s="11">
        <f t="shared" si="79"/>
      </c>
    </row>
    <row r="844">
      <c r="A844" s="39">
        <v>46163</v>
      </c>
      <c r="B844" s="8" t="s">
        <v>67</v>
      </c>
      <c r="C844" s="9" t="s">
        <v>33</v>
      </c>
      <c r="D844" s="8">
        <v>2</v>
      </c>
      <c r="E844" s="8">
        <v>13</v>
      </c>
      <c r="F844" s="8">
        <v>8</v>
      </c>
      <c r="G844" s="8">
        <v>6</v>
      </c>
      <c r="H844" s="8">
        <v>6</v>
      </c>
      <c r="I844" s="8">
        <v>0</v>
      </c>
      <c r="J844" s="10">
        <v>7380</v>
      </c>
      <c r="K844" s="10">
        <v>4611.76</v>
      </c>
      <c r="L844" s="11">
        <f t="shared" si="1"/>
      </c>
      <c r="M844" s="11">
        <f t="shared" si="92"/>
      </c>
      <c r="N844" s="11">
        <f t="shared" si="79"/>
      </c>
    </row>
    <row r="845">
      <c r="A845" s="39">
        <v>46163</v>
      </c>
      <c r="B845" s="8" t="s">
        <v>20</v>
      </c>
      <c r="C845" s="9" t="s">
        <v>23</v>
      </c>
      <c r="D845" s="8">
        <v>5</v>
      </c>
      <c r="E845" s="8">
        <v>56</v>
      </c>
      <c r="F845" s="8">
        <v>45</v>
      </c>
      <c r="G845" s="8">
        <v>28</v>
      </c>
      <c r="H845" s="8">
        <v>34</v>
      </c>
      <c r="I845" s="8">
        <v>6</v>
      </c>
      <c r="J845" s="10">
        <v>34237.2</v>
      </c>
      <c r="K845" s="10">
        <v>16201.16</v>
      </c>
      <c r="L845" s="11">
        <f t="shared" si="1"/>
      </c>
      <c r="M845" s="11">
        <f t="shared" si="92"/>
      </c>
      <c r="N845" s="11">
        <f>K845/H845</f>
      </c>
    </row>
    <row r="846">
      <c r="A846" s="16">
        <v>46163</v>
      </c>
      <c r="B846" s="17"/>
      <c r="C846" s="17"/>
      <c r="D846" s="17">
        <f>SUM(D841:D845)</f>
      </c>
      <c r="E846" s="17">
        <f>SUM(E841:E845)</f>
      </c>
      <c r="F846" s="17">
        <f>SUM(F841:F845)</f>
      </c>
      <c r="G846" s="17">
        <f>SUM(G841:G845)</f>
      </c>
      <c r="H846" s="17">
        <f>SUM(H841:H845)</f>
      </c>
      <c r="I846" s="17">
        <f>SUM(I841:I845)</f>
      </c>
      <c r="J846" s="17">
        <f>SUM(J841:J845)</f>
      </c>
      <c r="K846" s="17">
        <f>SUM(K841:K845)</f>
      </c>
      <c r="L846" s="18">
        <f t="shared" si="1"/>
      </c>
      <c r="M846" s="18">
        <f t="shared" si="92"/>
      </c>
      <c r="N846" s="18">
        <f t="shared" ref="N846:N850" si="80">K846/F846</f>
      </c>
    </row>
    <row r="847">
      <c r="A847" s="39">
        <v>46164</v>
      </c>
      <c r="B847" s="34" t="s">
        <v>16</v>
      </c>
      <c r="C847" s="44" t="s">
        <v>34</v>
      </c>
      <c r="D847" s="31">
        <v>4</v>
      </c>
      <c r="E847" s="34">
        <v>20</v>
      </c>
      <c r="F847" s="35">
        <v>11</v>
      </c>
      <c r="G847" s="8">
        <v>7</v>
      </c>
      <c r="H847" s="8">
        <v>8</v>
      </c>
      <c r="I847" s="8">
        <v>2</v>
      </c>
      <c r="J847" s="10">
        <v>7270.8</v>
      </c>
      <c r="K847" s="8">
        <v>13097.37</v>
      </c>
      <c r="L847" s="11">
        <f t="shared" si="1"/>
      </c>
      <c r="M847" s="11">
        <f t="shared" si="92"/>
      </c>
      <c r="N847" s="11">
        <f t="shared" si="80"/>
      </c>
    </row>
    <row r="848">
      <c r="A848" s="39">
        <v>46164</v>
      </c>
      <c r="B848" s="46" t="s">
        <v>24</v>
      </c>
      <c r="C848" s="44" t="s">
        <v>63</v>
      </c>
      <c r="D848" s="8">
        <v>4</v>
      </c>
      <c r="E848" s="8">
        <v>32</v>
      </c>
      <c r="F848" s="8">
        <v>27</v>
      </c>
      <c r="G848" s="8">
        <v>20</v>
      </c>
      <c r="H848" s="8">
        <v>21</v>
      </c>
      <c r="I848" s="8">
        <v>1</v>
      </c>
      <c r="J848" s="10">
        <v>24250.64</v>
      </c>
      <c r="K848" s="10">
        <v>16324.18</v>
      </c>
      <c r="L848" s="11">
        <f t="shared" si="1"/>
      </c>
      <c r="M848" s="11">
        <f t="shared" si="92"/>
      </c>
      <c r="N848" s="11">
        <f t="shared" si="80"/>
      </c>
    </row>
    <row r="849">
      <c r="A849" s="39">
        <v>46164</v>
      </c>
      <c r="B849" s="45" t="s">
        <v>22</v>
      </c>
      <c r="C849" s="9" t="s">
        <v>76</v>
      </c>
      <c r="D849" s="8">
        <v>1</v>
      </c>
      <c r="E849" s="8">
        <v>2</v>
      </c>
      <c r="F849" s="8">
        <v>1</v>
      </c>
      <c r="G849" s="8">
        <v>0</v>
      </c>
      <c r="H849" s="8">
        <v>1</v>
      </c>
      <c r="I849" s="8">
        <v>0</v>
      </c>
      <c r="J849" s="10">
        <v>513.5999999999985</v>
      </c>
      <c r="K849" s="10">
        <v>2125.58</v>
      </c>
      <c r="L849" s="11">
        <f t="shared" si="1"/>
      </c>
      <c r="M849" s="11">
        <f t="shared" si="92"/>
      </c>
      <c r="N849" s="11">
        <f t="shared" si="80"/>
      </c>
    </row>
    <row r="850">
      <c r="A850" s="39">
        <v>46164</v>
      </c>
      <c r="B850" s="47" t="s">
        <v>20</v>
      </c>
      <c r="C850" s="9" t="s">
        <v>21</v>
      </c>
      <c r="D850" s="8">
        <v>5</v>
      </c>
      <c r="E850" s="8">
        <v>19</v>
      </c>
      <c r="F850" s="8">
        <v>12</v>
      </c>
      <c r="G850" s="8">
        <v>8</v>
      </c>
      <c r="H850" s="8">
        <v>7</v>
      </c>
      <c r="I850" s="8">
        <v>0</v>
      </c>
      <c r="J850" s="10">
        <v>10230.199999999999</v>
      </c>
      <c r="K850" s="10">
        <v>9903.77</v>
      </c>
      <c r="L850" s="11">
        <f t="shared" si="1"/>
      </c>
      <c r="M850" s="11">
        <f t="shared" si="92"/>
      </c>
      <c r="N850" s="11">
        <f t="shared" si="80"/>
      </c>
    </row>
    <row r="851">
      <c r="A851" s="39">
        <v>46164</v>
      </c>
      <c r="B851" s="47" t="s">
        <v>60</v>
      </c>
      <c r="C851" s="9" t="s">
        <v>23</v>
      </c>
      <c r="D851" s="8">
        <v>5</v>
      </c>
      <c r="E851" s="8">
        <v>52</v>
      </c>
      <c r="F851" s="8">
        <v>44</v>
      </c>
      <c r="G851" s="8">
        <v>28</v>
      </c>
      <c r="H851" s="8">
        <v>22</v>
      </c>
      <c r="I851" s="8">
        <v>7</v>
      </c>
      <c r="J851" s="10">
        <v>57474.49999999998</v>
      </c>
      <c r="K851" s="10">
        <v>13620.98</v>
      </c>
      <c r="L851" s="11">
        <f t="shared" si="1"/>
      </c>
      <c r="M851" s="11">
        <f t="shared" si="92"/>
      </c>
      <c r="N851" s="11">
        <f>K851/H851</f>
      </c>
    </row>
    <row r="852">
      <c r="A852" s="16">
        <v>46164</v>
      </c>
      <c r="B852" s="17"/>
      <c r="C852" s="17"/>
      <c r="D852" s="17">
        <f>SUM(D847:D851)</f>
      </c>
      <c r="E852" s="17">
        <f>SUM(E847:E851)</f>
      </c>
      <c r="F852" s="17">
        <f>SUM(F847:F851)</f>
      </c>
      <c r="G852" s="17">
        <f>SUM(G847:G851)</f>
      </c>
      <c r="H852" s="17">
        <f>SUM(H847:H851)</f>
      </c>
      <c r="I852" s="17">
        <f>SUM(I847:I851)</f>
      </c>
      <c r="J852" s="17">
        <f>SUM(J847:J851)</f>
      </c>
      <c r="K852" s="17">
        <f>SUM(K847:K851)</f>
      </c>
      <c r="L852" s="18">
        <f t="shared" si="1"/>
      </c>
      <c r="M852" s="18">
        <f t="shared" si="92"/>
      </c>
      <c r="N852" s="18">
        <f t="shared" ref="N852:N855" si="81">K852/F852</f>
      </c>
    </row>
    <row r="853">
      <c r="A853" s="39">
        <v>46165</v>
      </c>
      <c r="B853" s="34" t="s">
        <v>20</v>
      </c>
      <c r="C853" s="44" t="s">
        <v>17</v>
      </c>
      <c r="D853" s="31">
        <v>5</v>
      </c>
      <c r="E853" s="34">
        <v>89</v>
      </c>
      <c r="F853" s="35">
        <v>65</v>
      </c>
      <c r="G853" s="8">
        <v>50</v>
      </c>
      <c r="H853" s="8">
        <v>43</v>
      </c>
      <c r="I853" s="8">
        <v>7</v>
      </c>
      <c r="J853" s="10">
        <v>55546.100000000006</v>
      </c>
      <c r="K853" s="8">
        <v>31890.65</v>
      </c>
      <c r="L853" s="11">
        <f t="shared" si="1"/>
      </c>
      <c r="M853" s="11">
        <f t="shared" si="92"/>
      </c>
      <c r="N853" s="11">
        <f t="shared" si="81"/>
      </c>
    </row>
    <row r="854">
      <c r="A854" s="39">
        <v>46165</v>
      </c>
      <c r="B854" s="46" t="s">
        <v>24</v>
      </c>
      <c r="C854" s="44" t="s">
        <v>19</v>
      </c>
      <c r="D854" s="8">
        <v>5</v>
      </c>
      <c r="E854" s="8">
        <v>62</v>
      </c>
      <c r="F854" s="8">
        <v>47</v>
      </c>
      <c r="G854" s="8">
        <v>36</v>
      </c>
      <c r="H854" s="8">
        <v>32</v>
      </c>
      <c r="I854" s="8">
        <v>4</v>
      </c>
      <c r="J854" s="10">
        <v>36283</v>
      </c>
      <c r="K854" s="10">
        <v>26631.39</v>
      </c>
      <c r="L854" s="11">
        <f t="shared" si="1"/>
      </c>
      <c r="M854" s="11">
        <f t="shared" si="92"/>
      </c>
      <c r="N854" s="11">
        <f t="shared" si="81"/>
      </c>
    </row>
    <row r="855">
      <c r="A855" s="39">
        <v>46165</v>
      </c>
      <c r="B855" s="47" t="s">
        <v>60</v>
      </c>
      <c r="C855" s="9" t="s">
        <v>21</v>
      </c>
      <c r="D855" s="8">
        <v>5</v>
      </c>
      <c r="E855" s="8">
        <v>64</v>
      </c>
      <c r="F855" s="8">
        <v>51</v>
      </c>
      <c r="G855" s="8">
        <v>41</v>
      </c>
      <c r="H855" s="8">
        <v>31</v>
      </c>
      <c r="I855" s="8">
        <v>1</v>
      </c>
      <c r="J855" s="10">
        <v>46467.700000000004</v>
      </c>
      <c r="K855" s="10">
        <v>30403.649999999998</v>
      </c>
      <c r="L855" s="11">
        <f t="shared" si="1"/>
      </c>
      <c r="M855" s="11">
        <f t="shared" si="92"/>
      </c>
      <c r="N855" s="11">
        <f t="shared" si="81"/>
      </c>
    </row>
    <row r="856">
      <c r="A856" s="39">
        <v>46165</v>
      </c>
      <c r="B856" s="47" t="s">
        <v>69</v>
      </c>
      <c r="C856" s="9" t="s">
        <v>23</v>
      </c>
      <c r="D856" s="8">
        <v>5</v>
      </c>
      <c r="E856" s="8">
        <v>81</v>
      </c>
      <c r="F856" s="8">
        <v>59</v>
      </c>
      <c r="G856" s="8">
        <v>49</v>
      </c>
      <c r="H856" s="8">
        <v>44</v>
      </c>
      <c r="I856" s="8">
        <v>6</v>
      </c>
      <c r="J856" s="10">
        <v>45667.000000000015</v>
      </c>
      <c r="K856" s="10">
        <v>28587.029999999995</v>
      </c>
      <c r="L856" s="11">
        <f t="shared" si="1"/>
      </c>
      <c r="M856" s="11">
        <f t="shared" si="92"/>
      </c>
      <c r="N856" s="11">
        <f>K856/H856</f>
      </c>
    </row>
    <row r="857">
      <c r="A857" s="16">
        <v>46165</v>
      </c>
      <c r="B857" s="17"/>
      <c r="C857" s="17"/>
      <c r="D857" s="17">
        <f>SUM(D853:D856)</f>
      </c>
      <c r="E857" s="17">
        <f>SUM(E853:E856)</f>
      </c>
      <c r="F857" s="17">
        <f>SUM(F853:F856)</f>
      </c>
      <c r="G857" s="17">
        <f>SUM(G853:G856)</f>
      </c>
      <c r="H857" s="17">
        <f>SUM(H853:H856)</f>
      </c>
      <c r="I857" s="17">
        <f>SUM(I853:I856)</f>
      </c>
      <c r="J857" s="17">
        <f>SUM(J853:J856)</f>
      </c>
      <c r="K857" s="17">
        <f>SUM(K853:K856)</f>
      </c>
      <c r="L857" s="18">
        <f t="shared" si="1"/>
      </c>
      <c r="M857" s="18">
        <f t="shared" si="92"/>
      </c>
      <c r="N857" s="18">
        <f t="shared" ref="N857:N861" si="82">K857/F857</f>
      </c>
    </row>
    <row r="858">
      <c r="A858" s="39">
        <v>46166</v>
      </c>
      <c r="B858" s="8" t="s">
        <v>20</v>
      </c>
      <c r="C858" s="44" t="s">
        <v>17</v>
      </c>
      <c r="D858" s="31">
        <v>5</v>
      </c>
      <c r="E858" s="34">
        <v>51</v>
      </c>
      <c r="F858" s="35">
        <v>40</v>
      </c>
      <c r="G858" s="8">
        <v>27</v>
      </c>
      <c r="H858" s="8">
        <v>19</v>
      </c>
      <c r="I858" s="8">
        <v>6</v>
      </c>
      <c r="J858" s="10">
        <v>42650</v>
      </c>
      <c r="K858" s="8">
        <v>24212.32</v>
      </c>
      <c r="L858" s="11">
        <f t="shared" si="1"/>
      </c>
      <c r="M858" s="11">
        <f t="shared" si="92"/>
      </c>
      <c r="N858" s="11">
        <f t="shared" si="82"/>
      </c>
    </row>
    <row r="859">
      <c r="A859" s="39">
        <v>46166</v>
      </c>
      <c r="B859" s="46" t="s">
        <v>24</v>
      </c>
      <c r="C859" s="44" t="s">
        <v>30</v>
      </c>
      <c r="D859" s="8">
        <v>4</v>
      </c>
      <c r="E859" s="8">
        <v>18</v>
      </c>
      <c r="F859" s="8">
        <v>13</v>
      </c>
      <c r="G859" s="8">
        <v>9</v>
      </c>
      <c r="H859" s="8">
        <v>8</v>
      </c>
      <c r="I859" s="8">
        <v>1</v>
      </c>
      <c r="J859" s="10">
        <v>11134.999999999998</v>
      </c>
      <c r="K859" s="10">
        <v>9545.46</v>
      </c>
      <c r="L859" s="11">
        <f t="shared" si="1"/>
      </c>
      <c r="M859" s="11">
        <f t="shared" si="92"/>
      </c>
      <c r="N859" s="11">
        <f t="shared" si="82"/>
      </c>
    </row>
    <row r="860">
      <c r="A860" s="39">
        <v>46166</v>
      </c>
      <c r="B860" s="48" t="s">
        <v>16</v>
      </c>
      <c r="C860" s="9" t="s">
        <v>31</v>
      </c>
      <c r="D860" s="8">
        <v>4</v>
      </c>
      <c r="E860" s="8">
        <v>16</v>
      </c>
      <c r="F860" s="8">
        <v>12</v>
      </c>
      <c r="G860" s="8">
        <v>9</v>
      </c>
      <c r="H860" s="8">
        <v>9</v>
      </c>
      <c r="I860" s="8">
        <v>1</v>
      </c>
      <c r="J860" s="10">
        <v>8197.400000000005</v>
      </c>
      <c r="K860" s="10">
        <v>10065.76</v>
      </c>
      <c r="L860" s="11">
        <f t="shared" si="1"/>
      </c>
      <c r="M860" s="11">
        <f t="shared" si="92"/>
      </c>
      <c r="N860" s="11">
        <f t="shared" si="82"/>
      </c>
    </row>
    <row r="861">
      <c r="A861" s="39">
        <v>46166</v>
      </c>
      <c r="B861" s="47" t="s">
        <v>69</v>
      </c>
      <c r="C861" s="9" t="s">
        <v>33</v>
      </c>
      <c r="D861" s="8">
        <v>2</v>
      </c>
      <c r="E861" s="8">
        <v>8</v>
      </c>
      <c r="F861" s="8">
        <v>8</v>
      </c>
      <c r="G861" s="8">
        <v>8</v>
      </c>
      <c r="H861" s="8">
        <v>4</v>
      </c>
      <c r="I861" s="8">
        <v>0</v>
      </c>
      <c r="J861" s="10">
        <v>7678.100000000002</v>
      </c>
      <c r="K861" s="10">
        <v>3332.49</v>
      </c>
      <c r="L861" s="11">
        <f t="shared" si="1"/>
      </c>
      <c r="M861" s="11">
        <f t="shared" si="92"/>
      </c>
      <c r="N861" s="11">
        <f t="shared" si="82"/>
      </c>
    </row>
    <row r="862">
      <c r="A862" s="39">
        <v>46166</v>
      </c>
      <c r="B862" s="45" t="s">
        <v>22</v>
      </c>
      <c r="C862" s="9" t="s">
        <v>23</v>
      </c>
      <c r="D862" s="8">
        <v>5</v>
      </c>
      <c r="E862" s="8">
        <v>44</v>
      </c>
      <c r="F862" s="8">
        <v>37</v>
      </c>
      <c r="G862" s="8">
        <v>23</v>
      </c>
      <c r="H862" s="8">
        <v>13</v>
      </c>
      <c r="I862" s="8">
        <v>4</v>
      </c>
      <c r="J862" s="10">
        <v>34252.59999999999</v>
      </c>
      <c r="K862" s="10">
        <v>16519.15</v>
      </c>
      <c r="L862" s="11">
        <f t="shared" si="1"/>
      </c>
      <c r="M862" s="11">
        <f t="shared" si="92"/>
      </c>
      <c r="N862" s="11">
        <f>K862/H862</f>
      </c>
    </row>
    <row r="863">
      <c r="A863" s="16">
        <v>46166</v>
      </c>
      <c r="B863" s="17"/>
      <c r="C863" s="17"/>
      <c r="D863" s="17">
        <f>SUM(D858:D862)</f>
      </c>
      <c r="E863" s="17">
        <f>SUM(E858:E862)</f>
      </c>
      <c r="F863" s="17">
        <f>SUM(F858:F862)</f>
      </c>
      <c r="G863" s="17">
        <f>SUM(G858:G862)</f>
      </c>
      <c r="H863" s="17">
        <f>SUM(H858:H862)</f>
      </c>
      <c r="I863" s="17">
        <f>SUM(I858:I862)</f>
      </c>
      <c r="J863" s="17">
        <f>SUM(J858:J862)</f>
      </c>
      <c r="K863" s="17">
        <f>SUM(K858:K862)</f>
      </c>
      <c r="L863" s="18">
        <f t="shared" si="1"/>
      </c>
      <c r="M863" s="18">
        <f t="shared" si="92"/>
      </c>
      <c r="N863" s="18">
        <f t="shared" ref="N863:N867" si="83">K863/F863</f>
      </c>
    </row>
    <row r="864">
      <c r="A864" s="39">
        <v>46167</v>
      </c>
      <c r="B864" s="32" t="s">
        <v>16</v>
      </c>
      <c r="C864" s="44" t="s">
        <v>34</v>
      </c>
      <c r="D864" s="31">
        <v>4</v>
      </c>
      <c r="E864" s="34">
        <v>46</v>
      </c>
      <c r="F864" s="35">
        <v>36</v>
      </c>
      <c r="G864" s="8">
        <v>29</v>
      </c>
      <c r="H864" s="8">
        <v>22</v>
      </c>
      <c r="I864" s="8">
        <v>5</v>
      </c>
      <c r="J864" s="10">
        <v>30382.800000000003</v>
      </c>
      <c r="K864" s="8">
        <v>19564.34</v>
      </c>
      <c r="L864" s="11">
        <f t="shared" si="1"/>
      </c>
      <c r="M864" s="11">
        <f t="shared" si="92"/>
      </c>
      <c r="N864" s="11">
        <f t="shared" si="83"/>
      </c>
    </row>
    <row r="865">
      <c r="A865" s="39">
        <v>46167</v>
      </c>
      <c r="B865" s="45" t="s">
        <v>20</v>
      </c>
      <c r="C865" s="44" t="s">
        <v>35</v>
      </c>
      <c r="D865" s="8">
        <v>5</v>
      </c>
      <c r="E865" s="8">
        <v>93</v>
      </c>
      <c r="F865" s="8">
        <v>78</v>
      </c>
      <c r="G865" s="8">
        <v>55</v>
      </c>
      <c r="H865" s="8">
        <v>40</v>
      </c>
      <c r="I865" s="8">
        <v>7</v>
      </c>
      <c r="J865" s="10">
        <v>71140.50000000003</v>
      </c>
      <c r="K865" s="10">
        <v>38998.170000000006</v>
      </c>
      <c r="L865" s="11">
        <f t="shared" si="1"/>
      </c>
      <c r="M865" s="11">
        <f t="shared" si="92"/>
      </c>
      <c r="N865" s="11">
        <f t="shared" si="83"/>
      </c>
    </row>
    <row r="866">
      <c r="A866" s="39">
        <v>46167</v>
      </c>
      <c r="B866" s="46" t="s">
        <v>24</v>
      </c>
      <c r="C866" s="9" t="s">
        <v>31</v>
      </c>
      <c r="D866" s="8">
        <v>4</v>
      </c>
      <c r="E866" s="8">
        <v>52</v>
      </c>
      <c r="F866" s="8">
        <v>38</v>
      </c>
      <c r="G866" s="8">
        <v>30</v>
      </c>
      <c r="H866" s="8">
        <v>26</v>
      </c>
      <c r="I866" s="8">
        <v>4</v>
      </c>
      <c r="J866" s="10">
        <v>32709.40000000001</v>
      </c>
      <c r="K866" s="10">
        <v>23456.87</v>
      </c>
      <c r="L866" s="11">
        <f t="shared" si="1"/>
      </c>
      <c r="M866" s="11">
        <f t="shared" si="92"/>
      </c>
      <c r="N866" s="11">
        <f t="shared" si="83"/>
      </c>
    </row>
    <row r="867">
      <c r="A867" s="39">
        <v>46167</v>
      </c>
      <c r="B867" s="47" t="s">
        <v>69</v>
      </c>
      <c r="C867" s="9" t="s">
        <v>33</v>
      </c>
      <c r="D867" s="8">
        <v>2</v>
      </c>
      <c r="E867" s="8">
        <v>35</v>
      </c>
      <c r="F867" s="8">
        <v>29</v>
      </c>
      <c r="G867" s="8">
        <v>23</v>
      </c>
      <c r="H867" s="8">
        <v>18</v>
      </c>
      <c r="I867" s="8">
        <v>3</v>
      </c>
      <c r="J867" s="10">
        <v>37277.8</v>
      </c>
      <c r="K867" s="10">
        <v>10871.15</v>
      </c>
      <c r="L867" s="11">
        <f t="shared" si="1"/>
      </c>
      <c r="M867" s="11">
        <f t="shared" si="92"/>
      </c>
      <c r="N867" s="11">
        <f t="shared" si="83"/>
      </c>
    </row>
    <row r="868">
      <c r="A868" s="39">
        <v>46167</v>
      </c>
      <c r="B868" s="45" t="s">
        <v>22</v>
      </c>
      <c r="C868" s="9" t="s">
        <v>23</v>
      </c>
      <c r="D868" s="8">
        <v>5</v>
      </c>
      <c r="E868" s="8">
        <v>43</v>
      </c>
      <c r="F868" s="8">
        <v>31</v>
      </c>
      <c r="G868" s="8">
        <v>24</v>
      </c>
      <c r="H868" s="8">
        <v>18</v>
      </c>
      <c r="I868" s="8">
        <v>2</v>
      </c>
      <c r="J868" s="10">
        <v>32606.800000000003</v>
      </c>
      <c r="K868" s="10">
        <v>22017.629999999997</v>
      </c>
      <c r="L868" s="11">
        <f t="shared" si="1"/>
      </c>
      <c r="M868" s="11">
        <f t="shared" si="92"/>
      </c>
      <c r="N868" s="11">
        <f>K868/H868</f>
      </c>
    </row>
    <row r="869">
      <c r="A869" s="16">
        <v>46167</v>
      </c>
      <c r="B869" s="17"/>
      <c r="C869" s="17"/>
      <c r="D869" s="17">
        <f>SUM(D864:D868)</f>
      </c>
      <c r="E869" s="17">
        <f>SUM(E864:E868)</f>
      </c>
      <c r="F869" s="17">
        <f>SUM(F864:F868)</f>
      </c>
      <c r="G869" s="17">
        <f>SUM(G864:G868)</f>
      </c>
      <c r="H869" s="17">
        <f>SUM(H864:H868)</f>
      </c>
      <c r="I869" s="17">
        <f>SUM(I864:I868)</f>
      </c>
      <c r="J869" s="17">
        <f>SUM(J864:J868)</f>
      </c>
      <c r="K869" s="17">
        <f>SUM(K864:K868)</f>
      </c>
      <c r="L869" s="18">
        <f t="shared" si="1"/>
      </c>
      <c r="M869" s="18">
        <f t="shared" si="92"/>
      </c>
      <c r="N869" s="18">
        <f t="shared" ref="N869:N872" si="84">K869/F869</f>
      </c>
    </row>
    <row r="870">
      <c r="A870" s="39">
        <v>46168</v>
      </c>
      <c r="B870" s="34" t="s">
        <v>20</v>
      </c>
      <c r="C870" s="44" t="s">
        <v>17</v>
      </c>
      <c r="D870" s="31">
        <v>5</v>
      </c>
      <c r="E870" s="34">
        <v>53</v>
      </c>
      <c r="F870" s="35">
        <v>47</v>
      </c>
      <c r="G870" s="8">
        <v>31</v>
      </c>
      <c r="H870" s="8">
        <v>28</v>
      </c>
      <c r="I870" s="8">
        <v>5</v>
      </c>
      <c r="J870" s="10">
        <v>40976.4</v>
      </c>
      <c r="K870" s="8">
        <v>24309.63</v>
      </c>
      <c r="L870" s="11">
        <f t="shared" si="1"/>
      </c>
      <c r="M870" s="11">
        <f t="shared" si="92"/>
      </c>
      <c r="N870" s="11">
        <f t="shared" si="84"/>
      </c>
    </row>
    <row r="871">
      <c r="A871" s="39">
        <v>46168</v>
      </c>
      <c r="B871" s="47" t="s">
        <v>60</v>
      </c>
      <c r="C871" s="44" t="s">
        <v>77</v>
      </c>
      <c r="D871" s="8">
        <v>5.5</v>
      </c>
      <c r="E871" s="8">
        <v>45</v>
      </c>
      <c r="F871" s="8">
        <v>32</v>
      </c>
      <c r="G871" s="8">
        <v>21</v>
      </c>
      <c r="H871" s="8">
        <v>18</v>
      </c>
      <c r="I871" s="8">
        <v>2</v>
      </c>
      <c r="J871" s="10">
        <v>32897.200000000004</v>
      </c>
      <c r="K871" s="10">
        <v>19573.32</v>
      </c>
      <c r="L871" s="11">
        <f t="shared" si="1"/>
      </c>
      <c r="M871" s="11">
        <f t="shared" si="92"/>
      </c>
      <c r="N871" s="11">
        <f t="shared" si="84"/>
      </c>
    </row>
    <row r="872">
      <c r="A872" s="39">
        <v>46168</v>
      </c>
      <c r="B872" s="47" t="s">
        <v>69</v>
      </c>
      <c r="C872" s="9" t="s">
        <v>78</v>
      </c>
      <c r="D872" s="8">
        <v>4.5</v>
      </c>
      <c r="E872" s="8">
        <v>49</v>
      </c>
      <c r="F872" s="8">
        <v>44</v>
      </c>
      <c r="G872" s="8">
        <v>29</v>
      </c>
      <c r="H872" s="8">
        <v>23</v>
      </c>
      <c r="I872" s="8">
        <v>7</v>
      </c>
      <c r="J872" s="10">
        <v>43494</v>
      </c>
      <c r="K872" s="10">
        <v>14437.87</v>
      </c>
      <c r="L872" s="11">
        <f t="shared" si="1"/>
      </c>
      <c r="M872" s="11">
        <f t="shared" si="92"/>
      </c>
      <c r="N872" s="11">
        <f t="shared" si="84"/>
      </c>
    </row>
    <row r="873">
      <c r="A873" s="39">
        <v>46168</v>
      </c>
      <c r="B873" s="47" t="s">
        <v>22</v>
      </c>
      <c r="C873" s="9" t="s">
        <v>23</v>
      </c>
      <c r="D873" s="8">
        <v>5</v>
      </c>
      <c r="E873" s="8">
        <v>38</v>
      </c>
      <c r="F873" s="8">
        <v>30</v>
      </c>
      <c r="G873" s="8">
        <v>27</v>
      </c>
      <c r="H873" s="8">
        <v>14</v>
      </c>
      <c r="I873" s="8">
        <v>1</v>
      </c>
      <c r="J873" s="10">
        <v>29707.199999999997</v>
      </c>
      <c r="K873" s="10">
        <v>16992.690000000002</v>
      </c>
      <c r="L873" s="11">
        <f t="shared" si="1"/>
      </c>
      <c r="M873" s="11">
        <f t="shared" si="92"/>
      </c>
      <c r="N873" s="11">
        <f>K873/H873</f>
      </c>
    </row>
    <row r="874">
      <c r="A874" s="16">
        <v>46168</v>
      </c>
      <c r="B874" s="17"/>
      <c r="C874" s="17"/>
      <c r="D874" s="17">
        <f>SUM(D870:D873)</f>
      </c>
      <c r="E874" s="17">
        <f>SUM(E870:E873)</f>
      </c>
      <c r="F874" s="17">
        <f>SUM(F870:F873)</f>
      </c>
      <c r="G874" s="17">
        <f>SUM(G870:G873)</f>
      </c>
      <c r="H874" s="17">
        <f>SUM(H870:H873)</f>
      </c>
      <c r="I874" s="17">
        <f>SUM(I870:I873)</f>
      </c>
      <c r="J874" s="17">
        <f>SUM(J870:J873)</f>
      </c>
      <c r="K874" s="17">
        <f>SUM(K870:K873)</f>
      </c>
      <c r="L874" s="18">
        <f t="shared" si="1"/>
      </c>
      <c r="M874" s="18">
        <f t="shared" si="92"/>
      </c>
      <c r="N874" s="18">
        <f t="shared" ref="N874:N878" si="85">K874/F874</f>
      </c>
    </row>
    <row r="875">
      <c r="A875" s="39">
        <v>46169</v>
      </c>
      <c r="B875" s="34" t="s">
        <v>20</v>
      </c>
      <c r="C875" s="44" t="s">
        <v>17</v>
      </c>
      <c r="D875" s="31">
        <v>5</v>
      </c>
      <c r="E875" s="34">
        <v>63</v>
      </c>
      <c r="F875" s="35">
        <v>45</v>
      </c>
      <c r="G875" s="8">
        <v>36</v>
      </c>
      <c r="H875" s="8">
        <v>30</v>
      </c>
      <c r="I875" s="8">
        <v>4</v>
      </c>
      <c r="J875" s="10">
        <v>40921.8</v>
      </c>
      <c r="K875" s="8">
        <v>27683.73</v>
      </c>
      <c r="L875" s="11">
        <f t="shared" si="1"/>
      </c>
      <c r="M875" s="11">
        <f t="shared" si="92"/>
      </c>
      <c r="N875" s="11">
        <f t="shared" si="85"/>
      </c>
    </row>
    <row r="876">
      <c r="A876" s="39">
        <v>46169</v>
      </c>
      <c r="B876" s="47" t="s">
        <v>60</v>
      </c>
      <c r="C876" s="44" t="s">
        <v>19</v>
      </c>
      <c r="D876" s="8">
        <v>5</v>
      </c>
      <c r="E876" s="8">
        <v>57</v>
      </c>
      <c r="F876" s="8">
        <v>50</v>
      </c>
      <c r="G876" s="8">
        <v>33</v>
      </c>
      <c r="H876" s="8">
        <v>27</v>
      </c>
      <c r="I876" s="8">
        <v>4</v>
      </c>
      <c r="J876" s="10">
        <v>50819.4</v>
      </c>
      <c r="K876" s="10">
        <v>21653.2</v>
      </c>
      <c r="L876" s="11">
        <f t="shared" si="1"/>
      </c>
      <c r="M876" s="11">
        <f t="shared" si="92"/>
      </c>
      <c r="N876" s="11">
        <f t="shared" si="85"/>
      </c>
    </row>
    <row r="877">
      <c r="A877" s="39">
        <v>46169</v>
      </c>
      <c r="B877" s="47" t="s">
        <v>79</v>
      </c>
      <c r="C877" s="9" t="s">
        <v>25</v>
      </c>
      <c r="D877" s="8">
        <v>2</v>
      </c>
      <c r="E877" s="8">
        <v>21</v>
      </c>
      <c r="F877" s="8">
        <v>17</v>
      </c>
      <c r="G877" s="8">
        <v>14</v>
      </c>
      <c r="H877" s="8">
        <v>11</v>
      </c>
      <c r="I877" s="8">
        <v>1</v>
      </c>
      <c r="J877" s="10">
        <v>10329.599999999999</v>
      </c>
      <c r="K877" s="10">
        <v>10804.35</v>
      </c>
      <c r="L877" s="11">
        <f t="shared" si="1"/>
      </c>
      <c r="M877" s="11">
        <f t="shared" si="92"/>
      </c>
      <c r="N877" s="11">
        <f t="shared" si="85"/>
      </c>
    </row>
    <row r="878">
      <c r="A878" s="39">
        <v>46169</v>
      </c>
      <c r="B878" s="47" t="s">
        <v>69</v>
      </c>
      <c r="C878" s="9" t="s">
        <v>26</v>
      </c>
      <c r="D878" s="8">
        <v>3</v>
      </c>
      <c r="E878" s="8">
        <v>25</v>
      </c>
      <c r="F878" s="8">
        <v>17</v>
      </c>
      <c r="G878" s="8">
        <v>11</v>
      </c>
      <c r="H878" s="8">
        <v>15</v>
      </c>
      <c r="I878" s="8">
        <v>1</v>
      </c>
      <c r="J878" s="10">
        <v>12562.399999999994</v>
      </c>
      <c r="K878" s="10">
        <v>8717.27</v>
      </c>
      <c r="L878" s="11">
        <f t="shared" si="1"/>
      </c>
      <c r="M878" s="11">
        <f t="shared" si="92"/>
      </c>
      <c r="N878" s="11">
        <f t="shared" si="85"/>
      </c>
    </row>
    <row r="879">
      <c r="A879" s="39">
        <v>46169</v>
      </c>
      <c r="B879" s="47" t="s">
        <v>22</v>
      </c>
      <c r="C879" s="9" t="s">
        <v>23</v>
      </c>
      <c r="D879" s="8">
        <v>5</v>
      </c>
      <c r="E879" s="8">
        <v>40</v>
      </c>
      <c r="F879" s="8">
        <v>36</v>
      </c>
      <c r="G879" s="8">
        <v>25</v>
      </c>
      <c r="H879" s="8">
        <v>22</v>
      </c>
      <c r="I879" s="8">
        <v>4</v>
      </c>
      <c r="J879" s="10">
        <v>39671.799999999996</v>
      </c>
      <c r="K879" s="10">
        <v>17686.31</v>
      </c>
      <c r="L879" s="11">
        <f t="shared" si="1"/>
      </c>
      <c r="M879" s="11">
        <f t="shared" si="92"/>
      </c>
      <c r="N879" s="11">
        <f>K879/H879</f>
      </c>
    </row>
    <row r="880">
      <c r="A880" s="16">
        <v>46169</v>
      </c>
      <c r="B880" s="17"/>
      <c r="C880" s="17"/>
      <c r="D880" s="17">
        <f>SUM(D875:D879)</f>
      </c>
      <c r="E880" s="17">
        <f>SUM(E875:E879)</f>
      </c>
      <c r="F880" s="17">
        <f>SUM(F875:F879)</f>
      </c>
      <c r="G880" s="17">
        <f>SUM(G875:G879)</f>
      </c>
      <c r="H880" s="17">
        <f>SUM(H875:H879)</f>
      </c>
      <c r="I880" s="17">
        <f>SUM(I875:I879)</f>
      </c>
      <c r="J880" s="17">
        <f>SUM(J875:J879)</f>
      </c>
      <c r="K880" s="17">
        <f>SUM(K875:K879)</f>
      </c>
      <c r="L880" s="18">
        <f t="shared" si="1"/>
      </c>
      <c r="M880" s="18">
        <f t="shared" si="92"/>
      </c>
      <c r="N880" s="18">
        <f t="shared" ref="N880:N883" si="86">K880/F880</f>
      </c>
    </row>
    <row r="881">
      <c r="A881" s="39">
        <v>46170</v>
      </c>
      <c r="B881" s="34" t="s">
        <v>20</v>
      </c>
      <c r="C881" s="44" t="s">
        <v>17</v>
      </c>
      <c r="D881" s="31">
        <v>5</v>
      </c>
      <c r="E881" s="34">
        <v>63</v>
      </c>
      <c r="F881" s="35">
        <v>45</v>
      </c>
      <c r="G881" s="8">
        <v>25</v>
      </c>
      <c r="H881" s="8">
        <v>25</v>
      </c>
      <c r="I881" s="8">
        <v>4</v>
      </c>
      <c r="J881" s="10">
        <v>44071.2</v>
      </c>
      <c r="K881" s="8">
        <v>20516.489999999998</v>
      </c>
      <c r="L881" s="11">
        <f t="shared" si="1"/>
      </c>
      <c r="M881" s="11">
        <f t="shared" si="92"/>
      </c>
      <c r="N881" s="11">
        <f t="shared" si="86"/>
      </c>
    </row>
    <row r="882">
      <c r="A882" s="39">
        <v>46170</v>
      </c>
      <c r="B882" s="47" t="s">
        <v>60</v>
      </c>
      <c r="C882" s="44" t="s">
        <v>19</v>
      </c>
      <c r="D882" s="8">
        <v>5</v>
      </c>
      <c r="E882" s="8">
        <v>72</v>
      </c>
      <c r="F882" s="8">
        <v>60</v>
      </c>
      <c r="G882" s="8">
        <v>44</v>
      </c>
      <c r="H882" s="8">
        <v>35</v>
      </c>
      <c r="I882" s="8">
        <v>3</v>
      </c>
      <c r="J882" s="10">
        <v>56352.20000000001</v>
      </c>
      <c r="K882" s="10">
        <v>25115.34</v>
      </c>
      <c r="L882" s="11">
        <f t="shared" si="1"/>
      </c>
      <c r="M882" s="11">
        <f t="shared" si="92"/>
      </c>
      <c r="N882" s="11">
        <f t="shared" si="86"/>
      </c>
    </row>
    <row r="883">
      <c r="A883" s="39">
        <v>46170</v>
      </c>
      <c r="B883" s="47" t="s">
        <v>79</v>
      </c>
      <c r="C883" s="9" t="s">
        <v>45</v>
      </c>
      <c r="D883" s="8">
        <v>4</v>
      </c>
      <c r="E883" s="8">
        <v>33</v>
      </c>
      <c r="F883" s="8">
        <v>25</v>
      </c>
      <c r="G883" s="8">
        <v>14</v>
      </c>
      <c r="H883" s="8">
        <v>21</v>
      </c>
      <c r="I883" s="8">
        <v>4</v>
      </c>
      <c r="J883" s="10">
        <v>15309.800000000003</v>
      </c>
      <c r="K883" s="10">
        <v>19482.44</v>
      </c>
      <c r="L883" s="11">
        <f t="shared" si="1"/>
      </c>
      <c r="M883" s="11">
        <f t="shared" si="92"/>
      </c>
      <c r="N883" s="11">
        <f t="shared" si="86"/>
      </c>
    </row>
    <row r="884">
      <c r="A884" s="39">
        <v>46170</v>
      </c>
      <c r="B884" s="47" t="s">
        <v>22</v>
      </c>
      <c r="C884" s="9" t="s">
        <v>80</v>
      </c>
      <c r="D884" s="8">
        <v>6</v>
      </c>
      <c r="E884" s="8">
        <v>31</v>
      </c>
      <c r="F884" s="8">
        <v>18</v>
      </c>
      <c r="G884" s="8">
        <v>16</v>
      </c>
      <c r="H884" s="8">
        <v>12</v>
      </c>
      <c r="I884" s="8">
        <v>1</v>
      </c>
      <c r="J884" s="10">
        <v>14533.199999999997</v>
      </c>
      <c r="K884" s="10">
        <v>12331.36</v>
      </c>
      <c r="L884" s="11">
        <f t="shared" si="1"/>
      </c>
      <c r="M884" s="11">
        <f t="shared" si="92"/>
      </c>
      <c r="N884" s="11">
        <f>K884/H884</f>
      </c>
    </row>
    <row r="885">
      <c r="A885" s="16">
        <v>46170</v>
      </c>
      <c r="B885" s="17"/>
      <c r="C885" s="17"/>
      <c r="D885" s="17">
        <f>SUM(D881:D884)</f>
      </c>
      <c r="E885" s="17">
        <f>SUM(E881:E884)</f>
      </c>
      <c r="F885" s="17">
        <f>SUM(F881:F884)</f>
      </c>
      <c r="G885" s="17">
        <f>SUM(G881:G884)</f>
      </c>
      <c r="H885" s="17">
        <f>SUM(H881:H884)</f>
      </c>
      <c r="I885" s="17">
        <f>SUM(I881:I884)</f>
      </c>
      <c r="J885" s="17">
        <f>SUM(J881:J884)</f>
      </c>
      <c r="K885" s="17">
        <f>SUM(K881:K884)</f>
      </c>
      <c r="L885" s="18">
        <f t="shared" si="1"/>
      </c>
      <c r="M885" s="18">
        <f t="shared" si="92"/>
      </c>
      <c r="N885" s="18">
        <f t="shared" ref="N885:N889" si="87">K885/F885</f>
      </c>
    </row>
    <row r="886">
      <c r="A886" s="39">
        <v>46171</v>
      </c>
      <c r="B886" s="34" t="s">
        <v>20</v>
      </c>
      <c r="C886" s="44" t="s">
        <v>17</v>
      </c>
      <c r="D886" s="31">
        <v>5</v>
      </c>
      <c r="E886" s="34">
        <v>44</v>
      </c>
      <c r="F886" s="35">
        <v>38</v>
      </c>
      <c r="G886" s="8">
        <v>27</v>
      </c>
      <c r="H886" s="8">
        <v>27</v>
      </c>
      <c r="I886" s="8">
        <v>3</v>
      </c>
      <c r="J886" s="10">
        <v>31513.59999999999</v>
      </c>
      <c r="K886" s="8">
        <v>19749.7</v>
      </c>
      <c r="L886" s="11">
        <f t="shared" si="1"/>
      </c>
      <c r="M886" s="11">
        <f t="shared" si="92"/>
      </c>
      <c r="N886" s="11">
        <f t="shared" si="87"/>
      </c>
    </row>
    <row r="887">
      <c r="A887" s="39">
        <v>46171</v>
      </c>
      <c r="B887" s="47" t="s">
        <v>60</v>
      </c>
      <c r="C887" s="44" t="s">
        <v>30</v>
      </c>
      <c r="D887" s="8">
        <v>4</v>
      </c>
      <c r="E887" s="8">
        <v>45</v>
      </c>
      <c r="F887" s="8">
        <v>38</v>
      </c>
      <c r="G887" s="8">
        <v>29</v>
      </c>
      <c r="H887" s="8">
        <v>19</v>
      </c>
      <c r="I887" s="8">
        <v>3</v>
      </c>
      <c r="J887" s="10">
        <v>40831.2</v>
      </c>
      <c r="K887" s="10">
        <v>19525.63</v>
      </c>
      <c r="L887" s="11">
        <f t="shared" si="1"/>
      </c>
      <c r="M887" s="11">
        <f t="shared" si="92"/>
      </c>
      <c r="N887" s="11">
        <f t="shared" si="87"/>
      </c>
    </row>
    <row r="888">
      <c r="A888" s="39">
        <v>46171</v>
      </c>
      <c r="B888" s="47" t="s">
        <v>79</v>
      </c>
      <c r="C888" s="9" t="s">
        <v>59</v>
      </c>
      <c r="D888" s="8">
        <v>2</v>
      </c>
      <c r="E888" s="8">
        <v>6</v>
      </c>
      <c r="F888" s="8">
        <v>4</v>
      </c>
      <c r="G888" s="8">
        <v>8</v>
      </c>
      <c r="H888" s="8">
        <v>2</v>
      </c>
      <c r="I888" s="8">
        <v>1</v>
      </c>
      <c r="J888" s="10">
        <v>3742.7999999999956</v>
      </c>
      <c r="K888" s="10">
        <v>6714.16</v>
      </c>
      <c r="L888" s="11">
        <f t="shared" si="1"/>
      </c>
      <c r="M888" s="11">
        <f t="shared" si="92"/>
      </c>
      <c r="N888" s="11">
        <f t="shared" si="87"/>
      </c>
    </row>
    <row r="889">
      <c r="A889" s="39">
        <v>46171</v>
      </c>
      <c r="B889" s="47" t="s">
        <v>24</v>
      </c>
      <c r="C889" s="9" t="s">
        <v>44</v>
      </c>
      <c r="D889" s="8">
        <v>4</v>
      </c>
      <c r="E889" s="8">
        <v>12</v>
      </c>
      <c r="F889" s="8">
        <v>9</v>
      </c>
      <c r="G889" s="8">
        <v>6</v>
      </c>
      <c r="H889" s="8">
        <v>6</v>
      </c>
      <c r="I889" s="8">
        <v>1</v>
      </c>
      <c r="J889" s="10">
        <v>7512.360000000001</v>
      </c>
      <c r="K889" s="10">
        <v>7811.23</v>
      </c>
      <c r="L889" s="11">
        <f t="shared" si="1"/>
      </c>
      <c r="M889" s="11">
        <f t="shared" si="92"/>
      </c>
      <c r="N889" s="11">
        <f t="shared" si="87"/>
      </c>
    </row>
    <row r="890">
      <c r="A890" s="39">
        <v>46171</v>
      </c>
      <c r="B890" s="47" t="s">
        <v>22</v>
      </c>
      <c r="C890" s="9" t="s">
        <v>23</v>
      </c>
      <c r="D890" s="8">
        <v>5</v>
      </c>
      <c r="E890" s="8">
        <v>17</v>
      </c>
      <c r="F890" s="8">
        <v>16</v>
      </c>
      <c r="G890" s="8">
        <v>13</v>
      </c>
      <c r="H890" s="8">
        <v>10</v>
      </c>
      <c r="I890" s="8">
        <v>2</v>
      </c>
      <c r="J890" s="10">
        <v>13780.799999999996</v>
      </c>
      <c r="K890" s="10">
        <v>11034.779999999999</v>
      </c>
      <c r="L890" s="11">
        <f t="shared" si="1"/>
      </c>
      <c r="M890" s="11">
        <f t="shared" si="92"/>
      </c>
      <c r="N890" s="11">
        <f>K890/H890</f>
      </c>
    </row>
    <row r="891">
      <c r="A891" s="16">
        <v>46171</v>
      </c>
      <c r="B891" s="17"/>
      <c r="C891" s="17"/>
      <c r="D891" s="17">
        <f>SUM(D886:D890)</f>
      </c>
      <c r="E891" s="17">
        <f>SUM(E886:E890)</f>
      </c>
      <c r="F891" s="17">
        <f>SUM(F886:F890)</f>
      </c>
      <c r="G891" s="17">
        <f>SUM(G886:G890)</f>
      </c>
      <c r="H891" s="17">
        <f>SUM(H886:H890)</f>
      </c>
      <c r="I891" s="17">
        <f>SUM(I886:I890)</f>
      </c>
      <c r="J891" s="17">
        <f>SUM(J886:J890)</f>
      </c>
      <c r="K891" s="17">
        <f>SUM(K886:K890)</f>
      </c>
      <c r="L891" s="18">
        <f t="shared" si="1"/>
      </c>
      <c r="M891" s="18">
        <f t="shared" si="92"/>
      </c>
      <c r="N891" s="18">
        <f t="shared" ref="N891:N895" si="88">K891/F891</f>
      </c>
    </row>
    <row r="892">
      <c r="A892" s="39">
        <v>46172</v>
      </c>
      <c r="B892" s="47" t="s">
        <v>60</v>
      </c>
      <c r="C892" s="44" t="s">
        <v>17</v>
      </c>
      <c r="D892" s="31">
        <v>5</v>
      </c>
      <c r="E892" s="34">
        <v>37</v>
      </c>
      <c r="F892" s="35">
        <v>32</v>
      </c>
      <c r="G892" s="8">
        <v>21</v>
      </c>
      <c r="H892" s="8">
        <v>17</v>
      </c>
      <c r="I892" s="8">
        <v>4</v>
      </c>
      <c r="J892" s="10">
        <v>30333.200000000004</v>
      </c>
      <c r="K892" s="8">
        <v>17686.449999999997</v>
      </c>
      <c r="L892" s="11">
        <f t="shared" si="1"/>
      </c>
      <c r="M892" s="11">
        <f t="shared" si="92"/>
      </c>
      <c r="N892" s="11">
        <f t="shared" si="88"/>
      </c>
    </row>
    <row r="893">
      <c r="A893" s="39">
        <v>46172</v>
      </c>
      <c r="B893" s="47" t="s">
        <v>69</v>
      </c>
      <c r="C893" s="44" t="s">
        <v>30</v>
      </c>
      <c r="D893" s="8">
        <v>4</v>
      </c>
      <c r="E893" s="8">
        <v>34</v>
      </c>
      <c r="F893" s="8">
        <v>29</v>
      </c>
      <c r="G893" s="8">
        <v>26</v>
      </c>
      <c r="H893" s="8">
        <v>15</v>
      </c>
      <c r="I893" s="8">
        <v>2</v>
      </c>
      <c r="J893" s="10">
        <v>27094.799999999996</v>
      </c>
      <c r="K893" s="10">
        <v>14037.990000000002</v>
      </c>
      <c r="L893" s="11">
        <f t="shared" si="1"/>
      </c>
      <c r="M893" s="11">
        <f t="shared" si="92"/>
      </c>
      <c r="N893" s="11">
        <f t="shared" si="88"/>
      </c>
    </row>
    <row r="894">
      <c r="A894" s="39">
        <v>46172</v>
      </c>
      <c r="B894" s="34" t="s">
        <v>24</v>
      </c>
      <c r="C894" s="9" t="s">
        <v>31</v>
      </c>
      <c r="D894" s="8">
        <v>4</v>
      </c>
      <c r="E894" s="8">
        <v>24</v>
      </c>
      <c r="F894" s="8">
        <v>17</v>
      </c>
      <c r="G894" s="8">
        <v>10</v>
      </c>
      <c r="H894" s="8">
        <v>8</v>
      </c>
      <c r="I894" s="8">
        <v>1</v>
      </c>
      <c r="J894" s="10">
        <v>16429.600000000002</v>
      </c>
      <c r="K894" s="10">
        <v>12259.77</v>
      </c>
      <c r="L894" s="11">
        <f t="shared" si="1"/>
      </c>
      <c r="M894" s="11">
        <f t="shared" si="92"/>
      </c>
      <c r="N894" s="11">
        <f t="shared" si="88"/>
      </c>
    </row>
    <row r="895">
      <c r="A895" s="39">
        <v>46172</v>
      </c>
      <c r="B895" s="47" t="s">
        <v>79</v>
      </c>
      <c r="C895" s="9" t="s">
        <v>33</v>
      </c>
      <c r="D895" s="8">
        <v>2</v>
      </c>
      <c r="E895" s="8">
        <v>1</v>
      </c>
      <c r="F895" s="8">
        <v>0</v>
      </c>
      <c r="G895" s="8">
        <v>0</v>
      </c>
      <c r="H895" s="8">
        <v>0</v>
      </c>
      <c r="I895" s="8">
        <v>0</v>
      </c>
      <c r="J895" s="10">
        <v>0</v>
      </c>
      <c r="K895" s="10">
        <v>2156.75</v>
      </c>
      <c r="L895" s="11">
        <f t="shared" si="1"/>
      </c>
      <c r="M895" s="11">
        <f t="shared" si="92"/>
      </c>
      <c r="N895" s="11">
        <f t="shared" si="88"/>
      </c>
    </row>
    <row r="896">
      <c r="A896" s="39">
        <v>46172</v>
      </c>
      <c r="B896" s="47" t="s">
        <v>22</v>
      </c>
      <c r="C896" s="9" t="s">
        <v>23</v>
      </c>
      <c r="D896" s="8">
        <v>5</v>
      </c>
      <c r="E896" s="8">
        <v>24</v>
      </c>
      <c r="F896" s="8">
        <v>20</v>
      </c>
      <c r="G896" s="8">
        <v>16</v>
      </c>
      <c r="H896" s="8">
        <v>14</v>
      </c>
      <c r="I896" s="8">
        <v>1</v>
      </c>
      <c r="J896" s="10">
        <v>15438.39999999999</v>
      </c>
      <c r="K896" s="10">
        <v>11731.830000000002</v>
      </c>
      <c r="L896" s="11">
        <f t="shared" si="1"/>
      </c>
      <c r="M896" s="11">
        <f t="shared" si="92"/>
      </c>
      <c r="N896" s="11">
        <f>K896/H896</f>
      </c>
    </row>
    <row r="897">
      <c r="A897" s="16">
        <v>46172</v>
      </c>
      <c r="B897" s="17"/>
      <c r="C897" s="17"/>
      <c r="D897" s="17">
        <f>SUM(D892:D896)</f>
      </c>
      <c r="E897" s="17">
        <f>SUM(E892:E896)</f>
      </c>
      <c r="F897" s="17">
        <f>SUM(F892:F896)</f>
      </c>
      <c r="G897" s="17">
        <f>SUM(G892:G896)</f>
      </c>
      <c r="H897" s="17">
        <f>SUM(H892:H896)</f>
      </c>
      <c r="I897" s="17">
        <f>SUM(I892:I896)</f>
      </c>
      <c r="J897" s="17">
        <f>SUM(J892:J896)</f>
      </c>
      <c r="K897" s="17">
        <f>SUM(K892:K896)</f>
      </c>
      <c r="L897" s="18">
        <f t="shared" si="1"/>
      </c>
      <c r="M897" s="18">
        <f t="shared" si="92"/>
      </c>
      <c r="N897" s="18">
        <f t="shared" ref="N897:N901" si="89">K897/F897</f>
      </c>
    </row>
    <row r="898">
      <c r="A898" s="39">
        <v>46173</v>
      </c>
      <c r="B898" s="47" t="s">
        <v>60</v>
      </c>
      <c r="C898" s="44" t="s">
        <v>17</v>
      </c>
      <c r="D898" s="31">
        <v>5</v>
      </c>
      <c r="E898" s="34">
        <v>62</v>
      </c>
      <c r="F898" s="35">
        <v>48</v>
      </c>
      <c r="G898" s="8">
        <v>40</v>
      </c>
      <c r="H898" s="8">
        <v>27</v>
      </c>
      <c r="I898" s="8">
        <v>3</v>
      </c>
      <c r="J898" s="10">
        <v>41967.899999999994</v>
      </c>
      <c r="K898" s="8">
        <v>24785.7</v>
      </c>
      <c r="L898" s="11">
        <f t="shared" si="1"/>
      </c>
      <c r="M898" s="11">
        <f t="shared" si="92"/>
      </c>
      <c r="N898" s="11">
        <f t="shared" si="89"/>
      </c>
    </row>
    <row r="899">
      <c r="A899" s="39">
        <v>46173</v>
      </c>
      <c r="B899" s="47" t="s">
        <v>69</v>
      </c>
      <c r="C899" s="44" t="s">
        <v>30</v>
      </c>
      <c r="D899" s="8">
        <v>4</v>
      </c>
      <c r="E899" s="8">
        <v>42</v>
      </c>
      <c r="F899" s="8">
        <v>31</v>
      </c>
      <c r="G899" s="8">
        <v>22</v>
      </c>
      <c r="H899" s="8">
        <v>18</v>
      </c>
      <c r="I899" s="8">
        <v>2</v>
      </c>
      <c r="J899" s="10">
        <v>35334</v>
      </c>
      <c r="K899" s="10">
        <v>15338.25</v>
      </c>
      <c r="L899" s="11">
        <f t="shared" si="1"/>
      </c>
      <c r="M899" s="11">
        <f t="shared" si="92"/>
      </c>
      <c r="N899" s="11">
        <f t="shared" si="89"/>
      </c>
    </row>
    <row r="900">
      <c r="A900" s="39">
        <v>46173</v>
      </c>
      <c r="B900" s="34" t="s">
        <v>24</v>
      </c>
      <c r="C900" s="9" t="s">
        <v>31</v>
      </c>
      <c r="D900" s="8">
        <v>4</v>
      </c>
      <c r="E900" s="8">
        <v>10</v>
      </c>
      <c r="F900" s="8">
        <v>4</v>
      </c>
      <c r="G900" s="8">
        <v>2</v>
      </c>
      <c r="H900" s="8">
        <v>3</v>
      </c>
      <c r="I900" s="8">
        <v>0</v>
      </c>
      <c r="J900" s="10">
        <v>3621.600000000002</v>
      </c>
      <c r="K900" s="10">
        <v>9099.67</v>
      </c>
      <c r="L900" s="11">
        <f t="shared" si="1"/>
      </c>
      <c r="M900" s="11">
        <f t="shared" si="92"/>
      </c>
      <c r="N900" s="11">
        <f t="shared" si="89"/>
      </c>
    </row>
    <row r="901">
      <c r="A901" s="39">
        <v>46173</v>
      </c>
      <c r="B901" s="47" t="s">
        <v>79</v>
      </c>
      <c r="C901" s="9" t="s">
        <v>33</v>
      </c>
      <c r="D901" s="8">
        <v>2</v>
      </c>
      <c r="E901" s="8">
        <v>10</v>
      </c>
      <c r="F901" s="8">
        <v>7</v>
      </c>
      <c r="G901" s="8">
        <v>6</v>
      </c>
      <c r="H901" s="8">
        <v>2</v>
      </c>
      <c r="I901" s="8">
        <v>0</v>
      </c>
      <c r="J901" s="10">
        <v>5264.600000000002</v>
      </c>
      <c r="K901" s="10">
        <v>3924.38</v>
      </c>
      <c r="L901" s="11">
        <f t="shared" si="1"/>
      </c>
      <c r="M901" s="11">
        <f t="shared" si="92"/>
      </c>
      <c r="N901" s="11">
        <f t="shared" si="89"/>
      </c>
    </row>
    <row r="902">
      <c r="A902" s="39">
        <v>46173</v>
      </c>
      <c r="B902" s="47" t="s">
        <v>22</v>
      </c>
      <c r="C902" s="9" t="s">
        <v>23</v>
      </c>
      <c r="D902" s="8">
        <v>5</v>
      </c>
      <c r="E902" s="8">
        <v>22</v>
      </c>
      <c r="F902" s="8">
        <v>15</v>
      </c>
      <c r="G902" s="8">
        <v>13</v>
      </c>
      <c r="H902" s="8">
        <v>5</v>
      </c>
      <c r="I902" s="8">
        <v>0</v>
      </c>
      <c r="J902" s="10">
        <v>11599.199999999997</v>
      </c>
      <c r="K902" s="10">
        <v>13306.739999999998</v>
      </c>
      <c r="L902" s="11">
        <f t="shared" si="1"/>
      </c>
      <c r="M902" s="11">
        <f t="shared" si="92"/>
      </c>
      <c r="N902" s="11">
        <f>K902/H902</f>
      </c>
    </row>
    <row r="903">
      <c r="A903" s="16">
        <v>46173</v>
      </c>
      <c r="B903" s="17"/>
      <c r="C903" s="17"/>
      <c r="D903" s="17">
        <f>SUM(D898:D902)</f>
      </c>
      <c r="E903" s="17">
        <f>SUM(E898:E902)</f>
      </c>
      <c r="F903" s="17">
        <f>SUM(F898:F902)</f>
      </c>
      <c r="G903" s="17">
        <f>SUM(G898:G902)</f>
      </c>
      <c r="H903" s="17">
        <f>SUM(H898:H902)</f>
      </c>
      <c r="I903" s="17">
        <f>SUM(I898:I902)</f>
      </c>
      <c r="J903" s="17">
        <f>SUM(J898:J902)</f>
      </c>
      <c r="K903" s="17">
        <f>SUM(K898:K902)</f>
      </c>
      <c r="L903" s="18">
        <f t="shared" si="1"/>
      </c>
      <c r="M903" s="18">
        <f t="shared" si="92"/>
      </c>
      <c r="N903" s="18">
        <f>K903/F903</f>
      </c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</row>
    <row r="100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</row>
    <row r="1002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</row>
    <row r="1003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</row>
    <row r="1004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</row>
    <row r="100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</row>
    <row r="1006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</row>
    <row r="1007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</row>
    <row r="100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</row>
    <row r="1009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</row>
    <row r="1010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</row>
    <row r="1011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49"/>
    </row>
    <row r="1012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49"/>
      <c r="N1012" s="49"/>
    </row>
    <row r="1013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</row>
    <row r="1014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49"/>
      <c r="N1014" s="49"/>
    </row>
    <row r="101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49"/>
    </row>
    <row r="1016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</row>
    <row r="1017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49"/>
    </row>
    <row r="10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49"/>
      <c r="N1018" s="49"/>
    </row>
    <row r="1019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</row>
    <row r="1020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49"/>
      <c r="N1020" s="49"/>
    </row>
    <row r="1021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</row>
    <row r="1022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</row>
    <row r="1023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</row>
    <row r="1024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49"/>
      <c r="N1024" s="49"/>
    </row>
    <row r="102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</row>
    <row r="1026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</row>
    <row r="1027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</row>
    <row r="102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</row>
    <row r="1029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49"/>
    </row>
    <row r="1030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</row>
    <row r="1031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</row>
    <row r="1032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49"/>
      <c r="N1032" s="49"/>
    </row>
    <row r="1033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49"/>
    </row>
    <row r="1034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</row>
    <row r="103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</row>
    <row r="1036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</row>
    <row r="1037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</row>
    <row r="103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</row>
    <row r="1039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</row>
    <row r="1040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</row>
    <row r="1041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</row>
    <row r="1042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</row>
    <row r="1043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</row>
    <row r="1044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</row>
    <row r="104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</row>
    <row r="1046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</row>
    <row r="1047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</row>
    <row r="104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</row>
    <row r="1049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</row>
    <row r="1050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49"/>
      <c r="N1050" s="49"/>
    </row>
    <row r="1051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49"/>
    </row>
    <row r="1052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</row>
    <row r="1053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</row>
    <row r="1054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49"/>
      <c r="N1054" s="49"/>
    </row>
    <row r="105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</row>
    <row r="1056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</row>
    <row r="1057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49"/>
    </row>
    <row r="105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</row>
    <row r="1059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49"/>
    </row>
    <row r="1060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</row>
    <row r="1061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</row>
    <row r="1062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</row>
    <row r="1063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49"/>
    </row>
    <row r="1064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</row>
    <row r="106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</row>
    <row r="1066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49"/>
      <c r="N1066" s="49"/>
    </row>
    <row r="1067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</row>
    <row r="106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49"/>
      <c r="N1068" s="49"/>
    </row>
    <row r="1069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49"/>
    </row>
    <row r="1070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</row>
    <row r="1071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</row>
    <row r="1072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49"/>
      <c r="N1072" s="49"/>
    </row>
    <row r="1073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</row>
    <row r="1074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49"/>
      <c r="N1074" s="49"/>
    </row>
    <row r="107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</row>
    <row r="1076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</row>
    <row r="1077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49"/>
    </row>
    <row r="107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49"/>
      <c r="N1078" s="49"/>
    </row>
    <row r="1079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</row>
    <row r="1080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49"/>
      <c r="N1080" s="49"/>
    </row>
    <row r="1081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</row>
    <row r="1082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</row>
    <row r="1083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49"/>
    </row>
    <row r="1084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49"/>
      <c r="N1084" s="49"/>
    </row>
    <row r="108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49"/>
    </row>
    <row r="1086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49"/>
      <c r="N1086" s="49"/>
    </row>
    <row r="1087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49"/>
    </row>
    <row r="108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</row>
    <row r="1089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49"/>
    </row>
    <row r="1090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</row>
    <row r="1091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</row>
    <row r="1092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49"/>
      <c r="N1092" s="49"/>
    </row>
    <row r="1093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</row>
    <row r="1094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</row>
    <row r="109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49"/>
    </row>
    <row r="1096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</row>
    <row r="1097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49"/>
    </row>
    <row r="109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49"/>
      <c r="N1098" s="49"/>
    </row>
    <row r="1099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</row>
    <row r="1100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</row>
    <row r="1101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49"/>
    </row>
    <row r="1102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49"/>
      <c r="N1102" s="49"/>
    </row>
    <row r="1103">
      <c r="A1103" s="16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8"/>
      <c r="M1103" s="18"/>
      <c r="N1103" s="18"/>
    </row>
    <row r="1104">
      <c r="A1104" s="50"/>
      <c r="B1104" s="51"/>
      <c r="C1104" s="51"/>
      <c r="D1104" s="51"/>
      <c r="E1104" s="51"/>
      <c r="F1104" s="51"/>
      <c r="G1104" s="51"/>
      <c r="H1104" s="51"/>
      <c r="I1104" s="51"/>
      <c r="J1104" s="51"/>
      <c r="K1104" s="51"/>
      <c r="L1104" s="52"/>
      <c r="M1104" s="52"/>
      <c r="N1104" s="52"/>
    </row>
    <row r="1105">
      <c r="A1105" s="50"/>
      <c r="B1105" s="51"/>
      <c r="C1105" s="51"/>
      <c r="D1105" s="51"/>
      <c r="E1105" s="51"/>
      <c r="F1105" s="51"/>
      <c r="G1105" s="51"/>
      <c r="H1105" s="51"/>
      <c r="I1105" s="51"/>
      <c r="J1105" s="51"/>
      <c r="K1105" s="51"/>
      <c r="L1105" s="52"/>
      <c r="M1105" s="52"/>
      <c r="N1105" s="52"/>
    </row>
    <row r="1106">
      <c r="A1106" s="50"/>
      <c r="B1106" s="51"/>
      <c r="C1106" s="51"/>
      <c r="D1106" s="51"/>
      <c r="E1106" s="51"/>
      <c r="F1106" s="51"/>
      <c r="G1106" s="51"/>
      <c r="H1106" s="51"/>
      <c r="I1106" s="51"/>
      <c r="J1106" s="51"/>
      <c r="K1106" s="51"/>
      <c r="L1106" s="52"/>
      <c r="M1106" s="52"/>
      <c r="N1106" s="52"/>
    </row>
    <row r="1107">
      <c r="A1107" s="50"/>
      <c r="B1107" s="51"/>
      <c r="C1107" s="51"/>
      <c r="D1107" s="51"/>
      <c r="E1107" s="51"/>
      <c r="F1107" s="51"/>
      <c r="G1107" s="51"/>
      <c r="H1107" s="51"/>
      <c r="I1107" s="51"/>
      <c r="J1107" s="51"/>
      <c r="K1107" s="51"/>
      <c r="L1107" s="52"/>
      <c r="M1107" s="52"/>
      <c r="N1107" s="52"/>
    </row>
    <row r="1108">
      <c r="A1108" s="50"/>
      <c r="B1108" s="51"/>
      <c r="C1108" s="51"/>
      <c r="D1108" s="51"/>
      <c r="E1108" s="51"/>
      <c r="F1108" s="51"/>
      <c r="G1108" s="51"/>
      <c r="H1108" s="51"/>
      <c r="I1108" s="51"/>
      <c r="J1108" s="51"/>
      <c r="K1108" s="51"/>
      <c r="L1108" s="52"/>
      <c r="M1108" s="52"/>
      <c r="N1108" s="52"/>
    </row>
    <row r="1109">
      <c r="A1109" s="50"/>
      <c r="B1109" s="51"/>
      <c r="C1109" s="51"/>
      <c r="D1109" s="51"/>
      <c r="E1109" s="51"/>
      <c r="F1109" s="51"/>
      <c r="G1109" s="51"/>
      <c r="H1109" s="51"/>
      <c r="I1109" s="51"/>
      <c r="J1109" s="51"/>
      <c r="K1109" s="51"/>
      <c r="L1109" s="52"/>
      <c r="M1109" s="52"/>
      <c r="N1109" s="52"/>
    </row>
    <row r="1110">
      <c r="A1110" s="50"/>
      <c r="B1110" s="51"/>
      <c r="C1110" s="51"/>
      <c r="D1110" s="51"/>
      <c r="E1110" s="51"/>
      <c r="F1110" s="51"/>
      <c r="G1110" s="51"/>
      <c r="H1110" s="51"/>
      <c r="I1110" s="51"/>
      <c r="J1110" s="51"/>
      <c r="K1110" s="51"/>
      <c r="L1110" s="52"/>
      <c r="M1110" s="52"/>
      <c r="N1110" s="52"/>
    </row>
    <row r="1111">
      <c r="A1111" s="50"/>
      <c r="B1111" s="51"/>
      <c r="C1111" s="51"/>
      <c r="D1111" s="51"/>
      <c r="E1111" s="51"/>
      <c r="F1111" s="51"/>
      <c r="G1111" s="51"/>
      <c r="H1111" s="51"/>
      <c r="I1111" s="51"/>
      <c r="J1111" s="51"/>
      <c r="K1111" s="51"/>
      <c r="L1111" s="52"/>
      <c r="M1111" s="52"/>
      <c r="N1111" s="52"/>
    </row>
    <row r="1112">
      <c r="A1112" s="50"/>
      <c r="B1112" s="51"/>
      <c r="C1112" s="53"/>
      <c r="D1112" s="51"/>
      <c r="E1112" s="51"/>
      <c r="F1112" s="51"/>
      <c r="G1112" s="51"/>
      <c r="H1112" s="51"/>
      <c r="I1112" s="51"/>
      <c r="J1112" s="51"/>
      <c r="K1112" s="51"/>
      <c r="L1112" s="52"/>
      <c r="M1112" s="52"/>
      <c r="N1112" s="52"/>
    </row>
    <row r="1113">
      <c r="A1113" s="50"/>
      <c r="B1113" s="51"/>
      <c r="C1113" s="53"/>
      <c r="D1113" s="51"/>
      <c r="E1113" s="51"/>
      <c r="F1113" s="51"/>
      <c r="G1113" s="51"/>
      <c r="H1113" s="51"/>
      <c r="I1113" s="51"/>
      <c r="J1113" s="51"/>
      <c r="K1113" s="51"/>
      <c r="L1113" s="52"/>
      <c r="M1113" s="52"/>
      <c r="N1113" s="52"/>
    </row>
    <row r="1114">
      <c r="A1114" s="50"/>
      <c r="B1114" s="51"/>
      <c r="C1114" s="53"/>
      <c r="D1114" s="51"/>
      <c r="E1114" s="53"/>
      <c r="F1114" s="51"/>
      <c r="G1114" s="51"/>
      <c r="H1114" s="51"/>
      <c r="I1114" s="51"/>
      <c r="J1114" s="51"/>
      <c r="K1114" s="51"/>
      <c r="L1114" s="52"/>
      <c r="M1114" s="52"/>
      <c r="N1114" s="52"/>
    </row>
    <row r="1115">
      <c r="A1115" s="50"/>
      <c r="B1115" s="51"/>
      <c r="C1115" s="53"/>
      <c r="D1115" s="51"/>
      <c r="E1115" s="53"/>
      <c r="F1115" s="51"/>
      <c r="G1115" s="51"/>
      <c r="H1115" s="51"/>
      <c r="I1115" s="51"/>
      <c r="J1115" s="51"/>
      <c r="K1115" s="51"/>
      <c r="L1115" s="52"/>
      <c r="M1115" s="52"/>
      <c r="N1115" s="52"/>
    </row>
    <row r="1116">
      <c r="A1116" s="50"/>
      <c r="B1116" s="51"/>
      <c r="C1116" s="53"/>
      <c r="D1116" s="51"/>
      <c r="E1116" s="53"/>
      <c r="F1116" s="51"/>
      <c r="G1116" s="51"/>
      <c r="H1116" s="51"/>
      <c r="I1116" s="51"/>
      <c r="J1116" s="51"/>
      <c r="K1116" s="51"/>
      <c r="L1116" s="52"/>
      <c r="M1116" s="52"/>
      <c r="N1116" s="52"/>
    </row>
    <row r="1117">
      <c r="A1117" s="50"/>
      <c r="B1117" s="51"/>
      <c r="C1117" s="53"/>
      <c r="D1117" s="51"/>
      <c r="E1117" s="53"/>
      <c r="F1117" s="51"/>
      <c r="G1117" s="51"/>
      <c r="H1117" s="51"/>
      <c r="I1117" s="51"/>
      <c r="J1117" s="51"/>
      <c r="K1117" s="51"/>
      <c r="L1117" s="52"/>
      <c r="M1117" s="52"/>
      <c r="N1117" s="52"/>
    </row>
    <row r="1118">
      <c r="A1118" s="50"/>
      <c r="B1118" s="51"/>
      <c r="C1118" s="51"/>
      <c r="D1118" s="51"/>
      <c r="E1118" s="53"/>
      <c r="F1118" s="51"/>
      <c r="G1118" s="51"/>
      <c r="H1118" s="51"/>
      <c r="I1118" s="51"/>
      <c r="J1118" s="51"/>
      <c r="K1118" s="51"/>
      <c r="L1118" s="52"/>
      <c r="M1118" s="52"/>
      <c r="N1118" s="52"/>
    </row>
    <row r="1119">
      <c r="A1119" s="50"/>
      <c r="B1119" s="51"/>
      <c r="C1119" s="51"/>
      <c r="D1119" s="51"/>
      <c r="E1119" s="53"/>
      <c r="F1119" s="51"/>
      <c r="G1119" s="51"/>
      <c r="H1119" s="51"/>
      <c r="I1119" s="51"/>
      <c r="J1119" s="51"/>
      <c r="K1119" s="51"/>
      <c r="L1119" s="52"/>
      <c r="M1119" s="52"/>
      <c r="N1119" s="52"/>
    </row>
    <row r="1120">
      <c r="A1120" s="50"/>
      <c r="B1120" s="51"/>
      <c r="C1120" s="51"/>
      <c r="D1120" s="51"/>
      <c r="E1120" s="51"/>
      <c r="F1120" s="51"/>
      <c r="G1120" s="51"/>
      <c r="H1120" s="51"/>
      <c r="I1120" s="51"/>
      <c r="J1120" s="51"/>
      <c r="K1120" s="51"/>
      <c r="L1120" s="52"/>
      <c r="M1120" s="52"/>
      <c r="N1120" s="52"/>
    </row>
    <row r="1121">
      <c r="A1121" s="50"/>
      <c r="B1121" s="51"/>
      <c r="C1121" s="51"/>
      <c r="D1121" s="51"/>
      <c r="E1121" s="51"/>
      <c r="F1121" s="51"/>
      <c r="G1121" s="51"/>
      <c r="H1121" s="51"/>
      <c r="I1121" s="51"/>
      <c r="J1121" s="51"/>
      <c r="K1121" s="51"/>
      <c r="L1121" s="52"/>
      <c r="M1121" s="52"/>
      <c r="N1121" s="52"/>
    </row>
    <row r="1122">
      <c r="A1122" s="50"/>
      <c r="B1122" s="51"/>
      <c r="C1122" s="51"/>
      <c r="D1122" s="51"/>
      <c r="E1122" s="51"/>
      <c r="F1122" s="51"/>
      <c r="G1122" s="51"/>
      <c r="H1122" s="51"/>
      <c r="I1122" s="51"/>
      <c r="J1122" s="51"/>
      <c r="K1122" s="51"/>
      <c r="L1122" s="52"/>
      <c r="M1122" s="52"/>
      <c r="N1122" s="52"/>
    </row>
    <row r="1123">
      <c r="A1123" s="50"/>
      <c r="B1123" s="51"/>
      <c r="C1123" s="51"/>
      <c r="D1123" s="51"/>
      <c r="E1123" s="51"/>
      <c r="F1123" s="51"/>
      <c r="G1123" s="51"/>
      <c r="H1123" s="51"/>
      <c r="I1123" s="51"/>
      <c r="J1123" s="51"/>
      <c r="K1123" s="51"/>
      <c r="L1123" s="52"/>
      <c r="M1123" s="52"/>
      <c r="N1123" s="52"/>
    </row>
    <row r="1124">
      <c r="A1124" s="50"/>
      <c r="B1124" s="51"/>
      <c r="C1124" s="51"/>
      <c r="D1124" s="51"/>
      <c r="E1124" s="51"/>
      <c r="F1124" s="51"/>
      <c r="G1124" s="51"/>
      <c r="H1124" s="51"/>
      <c r="I1124" s="51"/>
      <c r="J1124" s="51"/>
      <c r="K1124" s="51"/>
      <c r="L1124" s="52"/>
      <c r="M1124" s="52"/>
      <c r="N1124" s="52"/>
    </row>
    <row r="1125">
      <c r="A1125" s="50"/>
      <c r="B1125" s="51"/>
      <c r="C1125" s="51"/>
      <c r="D1125" s="51"/>
      <c r="E1125" s="51"/>
      <c r="F1125" s="51"/>
      <c r="G1125" s="51"/>
      <c r="H1125" s="51"/>
      <c r="I1125" s="51"/>
      <c r="J1125" s="51"/>
      <c r="K1125" s="51"/>
      <c r="L1125" s="52"/>
      <c r="M1125" s="52"/>
      <c r="N1125" s="52"/>
    </row>
    <row r="1126">
      <c r="A1126" s="50"/>
      <c r="B1126" s="51"/>
      <c r="C1126" s="51"/>
      <c r="D1126" s="51"/>
      <c r="E1126" s="51"/>
      <c r="F1126" s="51"/>
      <c r="G1126" s="51"/>
      <c r="H1126" s="51"/>
      <c r="I1126" s="51"/>
      <c r="J1126" s="51"/>
      <c r="K1126" s="51"/>
      <c r="L1126" s="52"/>
      <c r="M1126" s="52"/>
      <c r="N1126" s="52"/>
    </row>
    <row r="1127">
      <c r="A1127" s="50"/>
      <c r="B1127" s="51"/>
      <c r="C1127" s="51"/>
      <c r="D1127" s="51"/>
      <c r="E1127" s="51"/>
      <c r="F1127" s="51"/>
      <c r="G1127" s="51"/>
      <c r="H1127" s="51"/>
      <c r="I1127" s="51"/>
      <c r="J1127" s="51"/>
      <c r="K1127" s="51"/>
      <c r="L1127" s="52"/>
      <c r="M1127" s="52"/>
      <c r="N1127" s="52"/>
    </row>
    <row r="1128">
      <c r="A1128" s="50"/>
      <c r="B1128" s="51"/>
      <c r="C1128" s="51"/>
      <c r="D1128" s="51"/>
      <c r="E1128" s="51"/>
      <c r="F1128" s="51"/>
      <c r="G1128" s="51"/>
      <c r="H1128" s="51"/>
      <c r="I1128" s="51"/>
      <c r="J1128" s="51"/>
      <c r="K1128" s="51"/>
      <c r="L1128" s="52"/>
      <c r="M1128" s="52"/>
      <c r="N1128" s="52"/>
    </row>
    <row r="1129">
      <c r="A1129" s="50"/>
      <c r="B1129" s="51"/>
      <c r="C1129" s="51"/>
      <c r="D1129" s="51"/>
      <c r="E1129" s="51"/>
      <c r="F1129" s="51"/>
      <c r="G1129" s="51"/>
      <c r="H1129" s="51"/>
      <c r="I1129" s="51"/>
      <c r="J1129" s="51"/>
      <c r="K1129" s="51"/>
      <c r="L1129" s="52"/>
      <c r="M1129" s="52"/>
      <c r="N1129" s="52"/>
    </row>
    <row r="1130">
      <c r="A1130" s="50"/>
      <c r="B1130" s="51"/>
      <c r="C1130" s="51"/>
      <c r="D1130" s="51"/>
      <c r="E1130" s="51"/>
      <c r="F1130" s="51"/>
      <c r="G1130" s="51"/>
      <c r="H1130" s="51"/>
      <c r="I1130" s="51"/>
      <c r="J1130" s="51"/>
      <c r="K1130" s="51"/>
      <c r="L1130" s="52"/>
      <c r="M1130" s="52"/>
      <c r="N1130" s="52"/>
    </row>
    <row r="1131">
      <c r="A1131" s="50"/>
      <c r="B1131" s="51"/>
      <c r="C1131" s="51"/>
      <c r="D1131" s="51"/>
      <c r="E1131" s="51"/>
      <c r="F1131" s="51"/>
      <c r="G1131" s="51"/>
      <c r="H1131" s="51"/>
      <c r="I1131" s="51"/>
      <c r="J1131" s="51"/>
      <c r="K1131" s="51"/>
      <c r="L1131" s="52"/>
      <c r="M1131" s="52"/>
      <c r="N1131" s="52"/>
    </row>
    <row r="1132">
      <c r="A1132" s="50"/>
      <c r="B1132" s="51"/>
      <c r="C1132" s="51"/>
      <c r="D1132" s="51"/>
      <c r="E1132" s="51"/>
      <c r="F1132" s="51"/>
      <c r="G1132" s="51"/>
      <c r="H1132" s="51"/>
      <c r="I1132" s="51"/>
      <c r="J1132" s="51"/>
      <c r="K1132" s="51"/>
      <c r="L1132" s="52"/>
      <c r="M1132" s="52"/>
      <c r="N1132" s="52"/>
    </row>
    <row r="1133">
      <c r="A1133" s="50"/>
      <c r="B1133" s="51"/>
      <c r="C1133" s="51"/>
      <c r="D1133" s="51"/>
      <c r="E1133" s="51"/>
      <c r="F1133" s="51"/>
      <c r="G1133" s="51"/>
      <c r="H1133" s="51"/>
      <c r="I1133" s="51"/>
      <c r="J1133" s="51"/>
      <c r="K1133" s="51"/>
      <c r="L1133" s="52"/>
      <c r="M1133" s="52"/>
      <c r="N1133" s="52"/>
    </row>
    <row r="1134">
      <c r="A1134" s="50"/>
      <c r="B1134" s="51"/>
      <c r="C1134" s="51"/>
      <c r="D1134" s="51"/>
      <c r="E1134" s="51"/>
      <c r="F1134" s="51"/>
      <c r="G1134" s="51"/>
      <c r="H1134" s="51"/>
      <c r="I1134" s="51"/>
      <c r="J1134" s="51"/>
      <c r="K1134" s="51"/>
      <c r="L1134" s="52"/>
      <c r="M1134" s="52"/>
      <c r="N1134" s="52"/>
    </row>
    <row r="1135">
      <c r="A1135" s="50"/>
      <c r="B1135" s="51"/>
      <c r="C1135" s="51"/>
      <c r="D1135" s="51"/>
      <c r="E1135" s="51"/>
      <c r="F1135" s="51"/>
      <c r="G1135" s="51"/>
      <c r="H1135" s="51"/>
      <c r="I1135" s="51"/>
      <c r="J1135" s="51"/>
      <c r="K1135" s="51"/>
      <c r="L1135" s="52"/>
      <c r="M1135" s="52"/>
      <c r="N1135" s="52"/>
    </row>
    <row r="1136">
      <c r="A1136" s="50"/>
      <c r="B1136" s="51"/>
      <c r="C1136" s="51"/>
      <c r="D1136" s="51"/>
      <c r="E1136" s="51"/>
      <c r="F1136" s="51"/>
      <c r="G1136" s="51"/>
      <c r="H1136" s="51"/>
      <c r="I1136" s="51"/>
      <c r="J1136" s="51"/>
      <c r="K1136" s="51"/>
      <c r="L1136" s="52"/>
      <c r="M1136" s="52"/>
      <c r="N1136" s="52"/>
    </row>
    <row r="1137">
      <c r="A1137" s="50"/>
      <c r="B1137" s="51"/>
      <c r="C1137" s="51"/>
      <c r="D1137" s="51"/>
      <c r="E1137" s="51"/>
      <c r="F1137" s="51"/>
      <c r="G1137" s="51"/>
      <c r="H1137" s="51"/>
      <c r="I1137" s="51"/>
      <c r="J1137" s="51"/>
      <c r="K1137" s="51"/>
      <c r="L1137" s="52"/>
      <c r="M1137" s="52"/>
      <c r="N1137" s="52"/>
    </row>
    <row r="1138">
      <c r="A1138" s="50"/>
      <c r="B1138" s="51"/>
      <c r="C1138" s="51"/>
      <c r="D1138" s="51"/>
      <c r="E1138" s="51"/>
      <c r="F1138" s="51"/>
      <c r="G1138" s="51"/>
      <c r="H1138" s="51"/>
      <c r="I1138" s="51"/>
      <c r="J1138" s="51"/>
      <c r="K1138" s="51"/>
      <c r="L1138" s="52"/>
      <c r="M1138" s="52"/>
      <c r="N1138" s="52"/>
    </row>
    <row r="1139">
      <c r="A1139" s="50"/>
      <c r="B1139" s="51"/>
      <c r="C1139" s="51"/>
      <c r="D1139" s="51"/>
      <c r="E1139" s="51"/>
      <c r="F1139" s="51"/>
      <c r="G1139" s="51"/>
      <c r="H1139" s="51"/>
      <c r="I1139" s="51"/>
      <c r="J1139" s="51"/>
      <c r="K1139" s="51"/>
      <c r="L1139" s="52"/>
      <c r="M1139" s="52"/>
      <c r="N1139" s="52"/>
    </row>
    <row r="1140">
      <c r="A1140" s="50"/>
      <c r="B1140" s="51"/>
      <c r="C1140" s="51"/>
      <c r="D1140" s="51"/>
      <c r="E1140" s="51"/>
      <c r="F1140" s="51"/>
      <c r="G1140" s="51"/>
      <c r="H1140" s="51"/>
      <c r="I1140" s="51"/>
      <c r="J1140" s="51"/>
      <c r="K1140" s="51"/>
      <c r="L1140" s="52"/>
      <c r="M1140" s="52"/>
      <c r="N1140" s="52"/>
    </row>
    <row r="1141">
      <c r="A1141" s="50"/>
      <c r="B1141" s="51"/>
      <c r="C1141" s="51"/>
      <c r="D1141" s="51"/>
      <c r="E1141" s="51"/>
      <c r="F1141" s="51"/>
      <c r="G1141" s="51"/>
      <c r="H1141" s="51"/>
      <c r="I1141" s="51"/>
      <c r="J1141" s="51"/>
      <c r="K1141" s="51"/>
      <c r="L1141" s="52"/>
      <c r="M1141" s="52"/>
      <c r="N1141" s="52"/>
    </row>
    <row r="1142">
      <c r="A1142" s="50"/>
      <c r="B1142" s="51"/>
      <c r="C1142" s="51"/>
      <c r="D1142" s="51"/>
      <c r="E1142" s="51"/>
      <c r="F1142" s="51"/>
      <c r="G1142" s="51"/>
      <c r="H1142" s="51"/>
      <c r="I1142" s="51"/>
      <c r="J1142" s="51"/>
      <c r="K1142" s="51"/>
      <c r="L1142" s="52"/>
      <c r="M1142" s="52"/>
      <c r="N1142" s="52"/>
    </row>
    <row r="1143">
      <c r="A1143" s="50"/>
      <c r="B1143" s="51"/>
      <c r="C1143" s="51"/>
      <c r="D1143" s="51"/>
      <c r="E1143" s="51"/>
      <c r="F1143" s="51"/>
      <c r="G1143" s="51"/>
      <c r="H1143" s="51"/>
      <c r="I1143" s="51"/>
      <c r="J1143" s="51"/>
      <c r="K1143" s="51"/>
      <c r="L1143" s="52"/>
      <c r="M1143" s="52"/>
      <c r="N1143" s="52"/>
    </row>
    <row r="1144">
      <c r="A1144" s="50"/>
      <c r="B1144" s="51"/>
      <c r="C1144" s="51"/>
      <c r="D1144" s="51"/>
      <c r="E1144" s="51"/>
      <c r="F1144" s="51"/>
      <c r="G1144" s="51"/>
      <c r="H1144" s="51"/>
      <c r="I1144" s="51"/>
      <c r="J1144" s="51"/>
      <c r="K1144" s="51"/>
      <c r="L1144" s="52"/>
      <c r="M1144" s="52"/>
      <c r="N1144" s="52"/>
    </row>
    <row r="1145">
      <c r="A1145" s="50"/>
      <c r="B1145" s="51"/>
      <c r="C1145" s="51"/>
      <c r="D1145" s="51"/>
      <c r="E1145" s="51"/>
      <c r="F1145" s="51"/>
      <c r="G1145" s="51"/>
      <c r="H1145" s="51"/>
      <c r="I1145" s="51"/>
      <c r="J1145" s="51"/>
      <c r="K1145" s="51"/>
      <c r="L1145" s="52"/>
      <c r="M1145" s="52"/>
      <c r="N1145" s="52"/>
    </row>
    <row r="1146">
      <c r="A1146" s="50"/>
      <c r="B1146" s="51"/>
      <c r="C1146" s="51"/>
      <c r="D1146" s="51"/>
      <c r="E1146" s="51"/>
      <c r="F1146" s="51"/>
      <c r="G1146" s="51"/>
      <c r="H1146" s="51"/>
      <c r="I1146" s="51"/>
      <c r="J1146" s="51"/>
      <c r="K1146" s="51"/>
      <c r="L1146" s="52"/>
      <c r="M1146" s="52"/>
      <c r="N1146" s="52"/>
    </row>
    <row r="1147">
      <c r="A1147" s="50"/>
      <c r="B1147" s="51"/>
      <c r="C1147" s="51"/>
      <c r="D1147" s="51"/>
      <c r="E1147" s="51"/>
      <c r="F1147" s="51"/>
      <c r="G1147" s="51"/>
      <c r="H1147" s="51"/>
      <c r="I1147" s="51"/>
      <c r="J1147" s="51"/>
      <c r="K1147" s="51"/>
      <c r="L1147" s="52"/>
      <c r="M1147" s="52"/>
      <c r="N1147" s="52"/>
    </row>
    <row r="1148">
      <c r="A1148" s="50"/>
      <c r="B1148" s="51"/>
      <c r="C1148" s="51"/>
      <c r="D1148" s="51"/>
      <c r="E1148" s="51"/>
      <c r="F1148" s="51"/>
      <c r="G1148" s="51"/>
      <c r="H1148" s="51"/>
      <c r="I1148" s="51"/>
      <c r="J1148" s="51"/>
      <c r="K1148" s="51"/>
      <c r="L1148" s="52"/>
      <c r="M1148" s="52"/>
      <c r="N1148" s="52"/>
    </row>
    <row r="1149">
      <c r="A1149" s="50"/>
      <c r="B1149" s="51"/>
      <c r="C1149" s="51"/>
      <c r="D1149" s="51"/>
      <c r="E1149" s="51"/>
      <c r="F1149" s="51"/>
      <c r="G1149" s="51"/>
      <c r="H1149" s="51"/>
      <c r="I1149" s="51"/>
      <c r="J1149" s="51"/>
      <c r="K1149" s="51"/>
      <c r="L1149" s="52"/>
      <c r="M1149" s="52"/>
      <c r="N1149" s="52"/>
    </row>
    <row r="1150">
      <c r="A1150" s="50"/>
      <c r="B1150" s="51"/>
      <c r="C1150" s="51"/>
      <c r="D1150" s="51"/>
      <c r="E1150" s="51"/>
      <c r="F1150" s="51"/>
      <c r="G1150" s="51"/>
      <c r="H1150" s="51"/>
      <c r="I1150" s="51"/>
      <c r="J1150" s="51"/>
      <c r="K1150" s="51"/>
      <c r="L1150" s="52"/>
      <c r="M1150" s="52"/>
      <c r="N1150" s="52"/>
    </row>
    <row r="1151">
      <c r="A1151" s="50"/>
      <c r="B1151" s="51"/>
      <c r="C1151" s="51"/>
      <c r="D1151" s="51"/>
      <c r="E1151" s="51"/>
      <c r="F1151" s="51"/>
      <c r="G1151" s="51"/>
      <c r="H1151" s="51"/>
      <c r="I1151" s="51"/>
      <c r="J1151" s="51"/>
      <c r="K1151" s="51"/>
      <c r="L1151" s="52"/>
      <c r="M1151" s="52"/>
      <c r="N1151" s="52"/>
    </row>
    <row r="1152">
      <c r="A1152" s="50"/>
      <c r="B1152" s="51"/>
      <c r="C1152" s="51"/>
      <c r="D1152" s="51"/>
      <c r="E1152" s="51"/>
      <c r="F1152" s="51"/>
      <c r="G1152" s="51"/>
      <c r="H1152" s="51"/>
      <c r="I1152" s="51"/>
      <c r="J1152" s="51"/>
      <c r="K1152" s="51"/>
      <c r="L1152" s="52"/>
      <c r="M1152" s="52"/>
      <c r="N1152" s="52"/>
    </row>
    <row r="1153">
      <c r="A1153" s="50"/>
      <c r="B1153" s="51"/>
      <c r="C1153" s="51"/>
      <c r="D1153" s="51"/>
      <c r="E1153" s="51"/>
      <c r="F1153" s="51"/>
      <c r="G1153" s="51"/>
      <c r="H1153" s="51"/>
      <c r="I1153" s="51"/>
      <c r="J1153" s="51"/>
      <c r="K1153" s="51"/>
      <c r="L1153" s="52"/>
      <c r="M1153" s="52"/>
      <c r="N1153" s="52"/>
    </row>
    <row r="1154">
      <c r="A1154" s="50"/>
      <c r="B1154" s="51"/>
      <c r="C1154" s="51"/>
      <c r="D1154" s="51"/>
      <c r="E1154" s="51"/>
      <c r="F1154" s="51"/>
      <c r="G1154" s="51"/>
      <c r="H1154" s="51"/>
      <c r="I1154" s="51"/>
      <c r="J1154" s="51"/>
      <c r="K1154" s="51"/>
      <c r="L1154" s="52"/>
      <c r="M1154" s="52"/>
      <c r="N1154" s="52"/>
    </row>
    <row r="1155">
      <c r="A1155" s="50"/>
      <c r="B1155" s="51"/>
      <c r="C1155" s="51"/>
      <c r="D1155" s="51"/>
      <c r="E1155" s="51"/>
      <c r="F1155" s="51"/>
      <c r="G1155" s="51"/>
      <c r="H1155" s="51"/>
      <c r="I1155" s="51"/>
      <c r="J1155" s="51"/>
      <c r="K1155" s="51"/>
      <c r="L1155" s="52"/>
      <c r="M1155" s="52"/>
      <c r="N1155" s="52"/>
    </row>
    <row r="1156">
      <c r="A1156" s="50"/>
      <c r="B1156" s="51"/>
      <c r="C1156" s="51"/>
      <c r="D1156" s="51"/>
      <c r="E1156" s="51"/>
      <c r="F1156" s="51"/>
      <c r="G1156" s="51"/>
      <c r="H1156" s="51"/>
      <c r="I1156" s="51"/>
      <c r="J1156" s="51"/>
      <c r="K1156" s="51"/>
      <c r="L1156" s="52"/>
      <c r="M1156" s="52"/>
      <c r="N1156" s="52"/>
    </row>
    <row r="1157">
      <c r="A1157" s="50"/>
      <c r="B1157" s="51"/>
      <c r="C1157" s="51"/>
      <c r="D1157" s="51"/>
      <c r="E1157" s="51"/>
      <c r="F1157" s="51"/>
      <c r="G1157" s="51"/>
      <c r="H1157" s="51"/>
      <c r="I1157" s="51"/>
      <c r="J1157" s="51"/>
      <c r="K1157" s="51"/>
      <c r="L1157" s="52"/>
      <c r="M1157" s="52"/>
      <c r="N1157" s="52"/>
    </row>
    <row r="1158">
      <c r="A1158" s="50"/>
      <c r="B1158" s="51"/>
      <c r="C1158" s="51"/>
      <c r="D1158" s="51"/>
      <c r="E1158" s="51"/>
      <c r="F1158" s="51"/>
      <c r="G1158" s="51"/>
      <c r="H1158" s="51"/>
      <c r="I1158" s="51"/>
      <c r="J1158" s="51"/>
      <c r="K1158" s="51"/>
      <c r="L1158" s="52"/>
      <c r="M1158" s="52"/>
      <c r="N1158" s="52"/>
    </row>
    <row r="1159">
      <c r="A1159" s="50"/>
      <c r="B1159" s="51"/>
      <c r="C1159" s="51"/>
      <c r="D1159" s="51"/>
      <c r="E1159" s="51"/>
      <c r="F1159" s="51"/>
      <c r="G1159" s="51"/>
      <c r="H1159" s="51"/>
      <c r="I1159" s="51"/>
      <c r="J1159" s="51"/>
      <c r="K1159" s="51"/>
      <c r="L1159" s="52"/>
      <c r="M1159" s="52"/>
      <c r="N1159" s="52"/>
    </row>
    <row r="1160">
      <c r="A1160" s="50"/>
      <c r="B1160" s="51"/>
      <c r="C1160" s="51"/>
      <c r="D1160" s="51"/>
      <c r="E1160" s="51"/>
      <c r="F1160" s="51"/>
      <c r="G1160" s="51"/>
      <c r="H1160" s="51"/>
      <c r="I1160" s="51"/>
      <c r="J1160" s="51"/>
      <c r="K1160" s="51"/>
      <c r="L1160" s="52"/>
      <c r="M1160" s="52"/>
      <c r="N1160" s="52"/>
    </row>
    <row r="1161">
      <c r="A1161" s="50"/>
      <c r="B1161" s="51"/>
      <c r="C1161" s="51"/>
      <c r="D1161" s="51"/>
      <c r="E1161" s="51"/>
      <c r="F1161" s="51"/>
      <c r="G1161" s="51"/>
      <c r="H1161" s="51"/>
      <c r="I1161" s="51"/>
      <c r="J1161" s="51"/>
      <c r="K1161" s="51"/>
      <c r="L1161" s="52"/>
      <c r="M1161" s="52"/>
      <c r="N1161" s="52"/>
    </row>
    <row r="1162">
      <c r="A1162" s="50"/>
      <c r="B1162" s="51"/>
      <c r="C1162" s="51"/>
      <c r="D1162" s="51"/>
      <c r="E1162" s="51"/>
      <c r="F1162" s="51"/>
      <c r="G1162" s="51"/>
      <c r="H1162" s="51"/>
      <c r="I1162" s="51"/>
      <c r="J1162" s="51"/>
      <c r="K1162" s="51"/>
      <c r="L1162" s="52"/>
      <c r="M1162" s="52"/>
      <c r="N1162" s="52"/>
    </row>
    <row r="1163">
      <c r="A1163" s="50"/>
      <c r="B1163" s="51"/>
      <c r="C1163" s="51"/>
      <c r="D1163" s="51"/>
      <c r="E1163" s="51"/>
      <c r="F1163" s="51"/>
      <c r="G1163" s="51"/>
      <c r="H1163" s="51"/>
      <c r="I1163" s="51"/>
      <c r="J1163" s="51"/>
      <c r="K1163" s="51"/>
      <c r="L1163" s="52"/>
      <c r="M1163" s="52"/>
      <c r="N1163" s="52"/>
    </row>
    <row r="1164">
      <c r="A1164" s="50"/>
      <c r="B1164" s="51"/>
      <c r="C1164" s="51"/>
      <c r="D1164" s="51"/>
      <c r="E1164" s="51"/>
      <c r="F1164" s="51"/>
      <c r="G1164" s="51"/>
      <c r="H1164" s="51"/>
      <c r="I1164" s="51"/>
      <c r="J1164" s="51"/>
      <c r="K1164" s="51"/>
      <c r="L1164" s="52"/>
      <c r="M1164" s="52"/>
      <c r="N1164" s="52"/>
    </row>
    <row r="1165">
      <c r="A1165" s="50"/>
      <c r="B1165" s="51"/>
      <c r="C1165" s="51"/>
      <c r="D1165" s="51"/>
      <c r="E1165" s="51"/>
      <c r="F1165" s="51"/>
      <c r="G1165" s="51"/>
      <c r="H1165" s="51"/>
      <c r="I1165" s="51"/>
      <c r="J1165" s="51"/>
      <c r="K1165" s="51"/>
      <c r="L1165" s="52"/>
      <c r="M1165" s="52"/>
      <c r="N1165" s="52"/>
    </row>
    <row r="1166">
      <c r="A1166" s="50"/>
      <c r="B1166" s="51"/>
      <c r="C1166" s="51"/>
      <c r="D1166" s="51"/>
      <c r="E1166" s="51"/>
      <c r="F1166" s="51"/>
      <c r="G1166" s="51"/>
      <c r="H1166" s="51"/>
      <c r="I1166" s="51"/>
      <c r="J1166" s="51"/>
      <c r="K1166" s="51"/>
      <c r="L1166" s="52"/>
      <c r="M1166" s="52"/>
      <c r="N1166" s="52"/>
    </row>
    <row r="1167">
      <c r="A1167" s="50"/>
      <c r="B1167" s="51"/>
      <c r="C1167" s="51"/>
      <c r="D1167" s="51"/>
      <c r="E1167" s="51"/>
      <c r="F1167" s="51"/>
      <c r="G1167" s="51"/>
      <c r="H1167" s="51"/>
      <c r="I1167" s="51"/>
      <c r="J1167" s="51"/>
      <c r="K1167" s="51"/>
      <c r="L1167" s="52"/>
      <c r="M1167" s="52"/>
      <c r="N1167" s="52"/>
    </row>
    <row r="1168">
      <c r="A1168" s="50"/>
      <c r="B1168" s="51"/>
      <c r="C1168" s="51"/>
      <c r="D1168" s="51"/>
      <c r="E1168" s="51"/>
      <c r="F1168" s="51"/>
      <c r="G1168" s="51"/>
      <c r="H1168" s="51"/>
      <c r="I1168" s="51"/>
      <c r="J1168" s="51"/>
      <c r="K1168" s="51"/>
      <c r="L1168" s="52"/>
      <c r="M1168" s="52"/>
      <c r="N1168" s="52"/>
    </row>
    <row r="1169">
      <c r="A1169" s="50"/>
      <c r="B1169" s="51"/>
      <c r="C1169" s="51"/>
      <c r="D1169" s="51"/>
      <c r="E1169" s="51"/>
      <c r="F1169" s="51"/>
      <c r="G1169" s="51"/>
      <c r="H1169" s="51"/>
      <c r="I1169" s="51"/>
      <c r="J1169" s="51"/>
      <c r="K1169" s="51"/>
      <c r="L1169" s="52"/>
      <c r="M1169" s="52"/>
      <c r="N1169" s="52"/>
    </row>
    <row r="1170">
      <c r="A1170" s="50"/>
      <c r="B1170" s="51"/>
      <c r="C1170" s="51"/>
      <c r="D1170" s="51"/>
      <c r="E1170" s="51"/>
      <c r="F1170" s="51"/>
      <c r="G1170" s="51"/>
      <c r="H1170" s="51"/>
      <c r="I1170" s="51"/>
      <c r="J1170" s="51"/>
      <c r="K1170" s="51"/>
      <c r="L1170" s="52"/>
      <c r="M1170" s="52"/>
      <c r="N1170" s="52"/>
    </row>
    <row r="1171">
      <c r="A1171" s="50"/>
      <c r="B1171" s="51"/>
      <c r="C1171" s="51"/>
      <c r="D1171" s="51"/>
      <c r="E1171" s="51"/>
      <c r="F1171" s="51"/>
      <c r="G1171" s="51"/>
      <c r="H1171" s="51"/>
      <c r="I1171" s="51"/>
      <c r="J1171" s="51"/>
      <c r="K1171" s="51"/>
      <c r="L1171" s="52"/>
      <c r="M1171" s="52"/>
      <c r="N1171" s="52"/>
    </row>
    <row r="1172">
      <c r="A1172" s="50"/>
      <c r="B1172" s="51"/>
      <c r="C1172" s="51"/>
      <c r="D1172" s="51"/>
      <c r="E1172" s="51"/>
      <c r="F1172" s="51"/>
      <c r="G1172" s="51"/>
      <c r="H1172" s="51"/>
      <c r="I1172" s="51"/>
      <c r="J1172" s="51"/>
      <c r="K1172" s="51"/>
      <c r="L1172" s="52"/>
      <c r="M1172" s="52"/>
      <c r="N1172" s="52"/>
    </row>
    <row r="1173">
      <c r="A1173" s="50"/>
      <c r="B1173" s="51"/>
      <c r="C1173" s="51"/>
      <c r="D1173" s="51"/>
      <c r="E1173" s="51"/>
      <c r="F1173" s="51"/>
      <c r="G1173" s="51"/>
      <c r="H1173" s="51"/>
      <c r="I1173" s="51"/>
      <c r="J1173" s="51"/>
      <c r="K1173" s="51"/>
      <c r="L1173" s="52"/>
      <c r="M1173" s="52"/>
      <c r="N1173" s="52"/>
    </row>
    <row r="1174">
      <c r="A1174" s="50"/>
      <c r="B1174" s="51"/>
      <c r="C1174" s="51"/>
      <c r="D1174" s="51"/>
      <c r="E1174" s="51"/>
      <c r="F1174" s="51"/>
      <c r="G1174" s="51"/>
      <c r="H1174" s="51"/>
      <c r="I1174" s="51"/>
      <c r="J1174" s="51"/>
      <c r="K1174" s="51"/>
      <c r="L1174" s="52"/>
      <c r="M1174" s="52"/>
      <c r="N1174" s="52"/>
    </row>
    <row r="1175">
      <c r="A1175" s="50"/>
      <c r="B1175" s="51"/>
      <c r="C1175" s="51"/>
      <c r="D1175" s="51"/>
      <c r="E1175" s="51"/>
      <c r="F1175" s="51"/>
      <c r="G1175" s="51"/>
      <c r="H1175" s="51"/>
      <c r="I1175" s="51"/>
      <c r="J1175" s="51"/>
      <c r="K1175" s="51"/>
      <c r="L1175" s="52"/>
      <c r="M1175" s="52"/>
      <c r="N1175" s="52"/>
    </row>
    <row r="1176">
      <c r="A1176" s="50"/>
      <c r="B1176" s="51"/>
      <c r="C1176" s="51"/>
      <c r="D1176" s="51"/>
      <c r="E1176" s="51"/>
      <c r="F1176" s="51"/>
      <c r="G1176" s="51"/>
      <c r="H1176" s="51"/>
      <c r="I1176" s="51"/>
      <c r="J1176" s="51"/>
      <c r="K1176" s="51"/>
      <c r="L1176" s="52"/>
      <c r="M1176" s="52"/>
      <c r="N1176" s="52"/>
    </row>
    <row r="1177">
      <c r="A1177" s="50"/>
      <c r="B1177" s="51"/>
      <c r="C1177" s="51"/>
      <c r="D1177" s="51"/>
      <c r="E1177" s="51"/>
      <c r="F1177" s="51"/>
      <c r="G1177" s="51"/>
      <c r="H1177" s="51"/>
      <c r="I1177" s="51"/>
      <c r="J1177" s="51"/>
      <c r="K1177" s="51"/>
      <c r="L1177" s="52"/>
      <c r="M1177" s="52"/>
      <c r="N1177" s="52"/>
    </row>
    <row r="1178">
      <c r="A1178" s="50"/>
      <c r="B1178" s="51"/>
      <c r="C1178" s="51"/>
      <c r="D1178" s="51"/>
      <c r="E1178" s="51"/>
      <c r="F1178" s="51"/>
      <c r="G1178" s="51"/>
      <c r="H1178" s="51"/>
      <c r="I1178" s="51"/>
      <c r="J1178" s="51"/>
      <c r="K1178" s="51"/>
      <c r="L1178" s="52"/>
      <c r="M1178" s="52"/>
      <c r="N1178" s="52"/>
    </row>
    <row r="1179">
      <c r="A1179" s="50"/>
      <c r="B1179" s="51"/>
      <c r="C1179" s="51"/>
      <c r="D1179" s="51"/>
      <c r="E1179" s="51"/>
      <c r="F1179" s="51"/>
      <c r="G1179" s="51"/>
      <c r="H1179" s="51"/>
      <c r="I1179" s="51"/>
      <c r="J1179" s="51"/>
      <c r="K1179" s="51"/>
      <c r="L1179" s="52"/>
      <c r="M1179" s="52"/>
      <c r="N1179" s="52"/>
    </row>
    <row r="1180">
      <c r="A1180" s="50"/>
      <c r="B1180" s="51"/>
      <c r="C1180" s="51"/>
      <c r="D1180" s="51"/>
      <c r="E1180" s="51"/>
      <c r="F1180" s="51"/>
      <c r="G1180" s="51"/>
      <c r="H1180" s="51"/>
      <c r="I1180" s="51"/>
      <c r="J1180" s="51"/>
      <c r="K1180" s="51"/>
      <c r="L1180" s="52"/>
      <c r="M1180" s="52"/>
      <c r="N1180" s="52"/>
    </row>
    <row r="1181">
      <c r="A1181" s="50"/>
      <c r="B1181" s="51"/>
      <c r="C1181" s="51"/>
      <c r="D1181" s="51"/>
      <c r="E1181" s="51"/>
      <c r="F1181" s="51"/>
      <c r="G1181" s="51"/>
      <c r="H1181" s="51"/>
      <c r="I1181" s="51"/>
      <c r="J1181" s="51"/>
      <c r="K1181" s="51"/>
      <c r="L1181" s="52"/>
      <c r="M1181" s="52"/>
      <c r="N1181" s="52"/>
    </row>
    <row r="1182">
      <c r="A1182" s="50"/>
      <c r="B1182" s="51"/>
      <c r="C1182" s="51"/>
      <c r="D1182" s="51"/>
      <c r="E1182" s="51"/>
      <c r="F1182" s="51"/>
      <c r="G1182" s="51"/>
      <c r="H1182" s="51"/>
      <c r="I1182" s="51"/>
      <c r="J1182" s="51"/>
      <c r="K1182" s="51"/>
      <c r="L1182" s="52"/>
      <c r="M1182" s="52"/>
      <c r="N1182" s="52"/>
    </row>
    <row r="1183">
      <c r="A1183" s="50"/>
      <c r="B1183" s="51"/>
      <c r="C1183" s="51"/>
      <c r="D1183" s="51"/>
      <c r="E1183" s="51"/>
      <c r="F1183" s="51"/>
      <c r="G1183" s="51"/>
      <c r="H1183" s="51"/>
      <c r="I1183" s="51"/>
      <c r="J1183" s="51"/>
      <c r="K1183" s="51"/>
      <c r="L1183" s="52"/>
      <c r="M1183" s="52"/>
      <c r="N1183" s="52"/>
    </row>
    <row r="1184">
      <c r="A1184" s="50"/>
      <c r="B1184" s="51"/>
      <c r="C1184" s="51"/>
      <c r="D1184" s="51"/>
      <c r="E1184" s="51"/>
      <c r="F1184" s="51"/>
      <c r="G1184" s="51"/>
      <c r="H1184" s="51"/>
      <c r="I1184" s="51"/>
      <c r="J1184" s="51"/>
      <c r="K1184" s="51"/>
      <c r="L1184" s="52"/>
      <c r="M1184" s="52"/>
      <c r="N1184" s="52"/>
    </row>
    <row r="1185">
      <c r="A1185" s="50"/>
      <c r="B1185" s="51"/>
      <c r="C1185" s="51"/>
      <c r="D1185" s="51"/>
      <c r="E1185" s="51"/>
      <c r="F1185" s="51"/>
      <c r="G1185" s="51"/>
      <c r="H1185" s="51"/>
      <c r="I1185" s="51"/>
      <c r="J1185" s="51"/>
      <c r="K1185" s="51"/>
      <c r="L1185" s="52"/>
      <c r="M1185" s="52"/>
      <c r="N1185" s="52"/>
    </row>
    <row r="1186">
      <c r="A1186" s="50"/>
      <c r="B1186" s="51"/>
      <c r="C1186" s="51"/>
      <c r="D1186" s="51"/>
      <c r="E1186" s="51"/>
      <c r="F1186" s="51"/>
      <c r="G1186" s="51"/>
      <c r="H1186" s="51"/>
      <c r="I1186" s="51"/>
      <c r="J1186" s="51"/>
      <c r="K1186" s="51"/>
      <c r="L1186" s="52"/>
      <c r="M1186" s="52"/>
      <c r="N1186" s="52"/>
    </row>
    <row r="1187">
      <c r="A1187" s="50"/>
      <c r="B1187" s="51"/>
      <c r="C1187" s="51"/>
      <c r="D1187" s="51"/>
      <c r="E1187" s="51"/>
      <c r="F1187" s="51"/>
      <c r="G1187" s="51"/>
      <c r="H1187" s="51"/>
      <c r="I1187" s="51"/>
      <c r="J1187" s="51"/>
      <c r="K1187" s="51"/>
      <c r="L1187" s="52"/>
      <c r="M1187" s="52"/>
      <c r="N1187" s="52"/>
    </row>
    <row r="1188">
      <c r="A1188" s="50"/>
      <c r="B1188" s="51"/>
      <c r="C1188" s="51"/>
      <c r="D1188" s="51"/>
      <c r="E1188" s="51"/>
      <c r="F1188" s="51"/>
      <c r="G1188" s="51"/>
      <c r="H1188" s="51"/>
      <c r="I1188" s="51"/>
      <c r="J1188" s="51"/>
      <c r="K1188" s="51"/>
      <c r="L1188" s="52"/>
      <c r="M1188" s="52"/>
      <c r="N1188" s="52"/>
    </row>
    <row r="1189">
      <c r="A1189" s="50"/>
      <c r="B1189" s="51"/>
      <c r="C1189" s="51"/>
      <c r="D1189" s="51"/>
      <c r="E1189" s="51"/>
      <c r="F1189" s="51"/>
      <c r="G1189" s="51"/>
      <c r="H1189" s="51"/>
      <c r="I1189" s="51"/>
      <c r="J1189" s="51"/>
      <c r="K1189" s="51"/>
      <c r="L1189" s="52"/>
      <c r="M1189" s="52"/>
      <c r="N1189" s="52"/>
    </row>
    <row r="1190">
      <c r="A1190" s="50"/>
      <c r="B1190" s="51"/>
      <c r="C1190" s="51"/>
      <c r="D1190" s="51"/>
      <c r="E1190" s="51"/>
      <c r="F1190" s="51"/>
      <c r="G1190" s="51"/>
      <c r="H1190" s="51"/>
      <c r="I1190" s="51"/>
      <c r="J1190" s="51"/>
      <c r="K1190" s="51"/>
      <c r="L1190" s="52"/>
      <c r="M1190" s="52"/>
      <c r="N1190" s="52"/>
    </row>
    <row r="1191">
      <c r="A1191" s="50"/>
      <c r="B1191" s="51"/>
      <c r="C1191" s="51"/>
      <c r="D1191" s="51"/>
      <c r="E1191" s="51"/>
      <c r="F1191" s="51"/>
      <c r="G1191" s="51"/>
      <c r="H1191" s="51"/>
      <c r="I1191" s="51"/>
      <c r="J1191" s="51"/>
      <c r="K1191" s="51"/>
      <c r="L1191" s="52"/>
      <c r="M1191" s="52"/>
      <c r="N1191" s="52"/>
    </row>
    <row r="1192">
      <c r="A1192" s="50"/>
      <c r="B1192" s="51"/>
      <c r="C1192" s="51"/>
      <c r="D1192" s="51"/>
      <c r="E1192" s="51"/>
      <c r="F1192" s="51"/>
      <c r="G1192" s="51"/>
      <c r="H1192" s="51"/>
      <c r="I1192" s="51"/>
      <c r="J1192" s="51"/>
      <c r="K1192" s="51"/>
      <c r="L1192" s="52"/>
      <c r="M1192" s="52"/>
      <c r="N1192" s="52"/>
    </row>
    <row r="1193">
      <c r="A1193" s="50"/>
      <c r="B1193" s="51"/>
      <c r="C1193" s="51"/>
      <c r="D1193" s="51"/>
      <c r="E1193" s="51"/>
      <c r="F1193" s="51"/>
      <c r="G1193" s="51"/>
      <c r="H1193" s="51"/>
      <c r="I1193" s="51"/>
      <c r="J1193" s="51"/>
      <c r="K1193" s="51"/>
      <c r="L1193" s="52"/>
      <c r="M1193" s="52"/>
      <c r="N1193" s="52"/>
    </row>
    <row r="1194">
      <c r="A1194" s="50"/>
      <c r="B1194" s="51"/>
      <c r="C1194" s="51"/>
      <c r="D1194" s="51"/>
      <c r="E1194" s="51"/>
      <c r="F1194" s="51"/>
      <c r="G1194" s="51"/>
      <c r="H1194" s="51"/>
      <c r="I1194" s="51"/>
      <c r="J1194" s="51"/>
      <c r="K1194" s="51"/>
      <c r="L1194" s="52"/>
      <c r="M1194" s="52"/>
      <c r="N1194" s="52"/>
    </row>
    <row r="1195">
      <c r="A1195" s="50"/>
      <c r="B1195" s="51"/>
      <c r="C1195" s="51"/>
      <c r="D1195" s="51"/>
      <c r="E1195" s="51"/>
      <c r="F1195" s="51"/>
      <c r="G1195" s="51"/>
      <c r="H1195" s="51"/>
      <c r="I1195" s="51"/>
      <c r="J1195" s="51"/>
      <c r="K1195" s="51"/>
      <c r="L1195" s="52"/>
      <c r="M1195" s="52"/>
      <c r="N1195" s="52"/>
    </row>
    <row r="1196">
      <c r="A1196" s="50"/>
      <c r="B1196" s="51"/>
      <c r="C1196" s="51"/>
      <c r="D1196" s="51"/>
      <c r="E1196" s="51"/>
      <c r="F1196" s="51"/>
      <c r="G1196" s="51"/>
      <c r="H1196" s="51"/>
      <c r="I1196" s="51"/>
      <c r="J1196" s="51"/>
      <c r="K1196" s="51"/>
      <c r="L1196" s="52"/>
      <c r="M1196" s="52"/>
      <c r="N1196" s="52"/>
    </row>
    <row r="1197">
      <c r="A1197" s="50"/>
      <c r="B1197" s="51"/>
      <c r="C1197" s="51"/>
      <c r="D1197" s="51"/>
      <c r="E1197" s="51"/>
      <c r="F1197" s="51"/>
      <c r="G1197" s="51"/>
      <c r="H1197" s="51"/>
      <c r="I1197" s="51"/>
      <c r="J1197" s="51"/>
      <c r="K1197" s="51"/>
      <c r="L1197" s="52"/>
      <c r="M1197" s="52"/>
      <c r="N1197" s="52"/>
    </row>
    <row r="1198">
      <c r="A1198" s="50"/>
      <c r="B1198" s="51"/>
      <c r="C1198" s="51"/>
      <c r="D1198" s="51"/>
      <c r="E1198" s="51"/>
      <c r="F1198" s="51"/>
      <c r="G1198" s="51"/>
      <c r="H1198" s="51"/>
      <c r="I1198" s="51"/>
      <c r="J1198" s="51"/>
      <c r="K1198" s="51"/>
      <c r="L1198" s="52"/>
      <c r="M1198" s="52"/>
      <c r="N1198" s="52"/>
    </row>
    <row r="1199">
      <c r="A1199" s="50"/>
      <c r="B1199" s="51"/>
      <c r="C1199" s="51"/>
      <c r="D1199" s="51"/>
      <c r="E1199" s="51"/>
      <c r="F1199" s="51"/>
      <c r="G1199" s="51"/>
      <c r="H1199" s="51"/>
      <c r="I1199" s="51"/>
      <c r="J1199" s="51"/>
      <c r="K1199" s="51"/>
      <c r="L1199" s="52"/>
      <c r="M1199" s="52"/>
      <c r="N1199" s="52"/>
    </row>
    <row r="1200">
      <c r="A1200" s="50"/>
      <c r="B1200" s="51"/>
      <c r="C1200" s="51"/>
      <c r="D1200" s="51"/>
      <c r="E1200" s="51"/>
      <c r="F1200" s="51"/>
      <c r="G1200" s="51"/>
      <c r="H1200" s="51"/>
      <c r="I1200" s="51"/>
      <c r="J1200" s="51"/>
      <c r="K1200" s="51"/>
      <c r="L1200" s="52"/>
      <c r="M1200" s="52"/>
      <c r="N1200" s="52"/>
    </row>
    <row r="1201">
      <c r="A1201" s="50"/>
      <c r="B1201" s="51"/>
      <c r="C1201" s="51"/>
      <c r="D1201" s="51"/>
      <c r="E1201" s="51"/>
      <c r="F1201" s="51"/>
      <c r="G1201" s="51"/>
      <c r="H1201" s="51"/>
      <c r="I1201" s="51"/>
      <c r="J1201" s="51"/>
      <c r="K1201" s="51"/>
      <c r="L1201" s="52"/>
      <c r="M1201" s="52"/>
      <c r="N1201" s="52"/>
    </row>
    <row r="1202">
      <c r="A1202" s="50"/>
      <c r="B1202" s="51"/>
      <c r="C1202" s="51"/>
      <c r="D1202" s="51"/>
      <c r="E1202" s="51"/>
      <c r="F1202" s="51"/>
      <c r="G1202" s="51"/>
      <c r="H1202" s="51"/>
      <c r="I1202" s="51"/>
      <c r="J1202" s="51"/>
      <c r="K1202" s="51"/>
      <c r="L1202" s="52"/>
      <c r="M1202" s="52"/>
      <c r="N1202" s="52"/>
    </row>
    <row r="1203">
      <c r="A1203" s="50"/>
      <c r="B1203" s="51"/>
      <c r="C1203" s="51"/>
      <c r="D1203" s="51"/>
      <c r="E1203" s="51"/>
      <c r="F1203" s="51"/>
      <c r="G1203" s="51"/>
      <c r="H1203" s="51"/>
      <c r="I1203" s="51"/>
      <c r="J1203" s="51"/>
      <c r="K1203" s="51"/>
      <c r="L1203" s="52"/>
      <c r="M1203" s="52"/>
      <c r="N1203" s="52"/>
    </row>
    <row r="1204">
      <c r="A1204" s="50"/>
      <c r="B1204" s="51"/>
      <c r="C1204" s="51"/>
      <c r="D1204" s="51"/>
      <c r="E1204" s="51"/>
      <c r="F1204" s="51"/>
      <c r="G1204" s="51"/>
      <c r="H1204" s="51"/>
      <c r="I1204" s="51"/>
      <c r="J1204" s="51"/>
      <c r="K1204" s="51"/>
      <c r="L1204" s="52"/>
      <c r="M1204" s="52"/>
      <c r="N1204" s="52"/>
    </row>
    <row r="1205">
      <c r="A1205" s="50"/>
      <c r="B1205" s="51"/>
      <c r="C1205" s="51"/>
      <c r="D1205" s="51"/>
      <c r="E1205" s="51"/>
      <c r="F1205" s="51"/>
      <c r="G1205" s="51"/>
      <c r="H1205" s="51"/>
      <c r="I1205" s="51"/>
      <c r="J1205" s="51"/>
      <c r="K1205" s="51"/>
      <c r="L1205" s="52"/>
      <c r="M1205" s="52"/>
      <c r="N1205" s="52"/>
    </row>
    <row r="1206">
      <c r="A1206" s="50"/>
      <c r="B1206" s="51"/>
      <c r="C1206" s="51"/>
      <c r="D1206" s="51"/>
      <c r="E1206" s="51"/>
      <c r="F1206" s="51"/>
      <c r="G1206" s="51"/>
      <c r="H1206" s="51"/>
      <c r="I1206" s="51"/>
      <c r="J1206" s="51"/>
      <c r="K1206" s="51"/>
      <c r="L1206" s="52"/>
      <c r="M1206" s="52"/>
      <c r="N1206" s="52"/>
    </row>
    <row r="1207">
      <c r="A1207" s="50"/>
      <c r="B1207" s="51"/>
      <c r="C1207" s="51"/>
      <c r="D1207" s="51"/>
      <c r="E1207" s="51"/>
      <c r="F1207" s="51"/>
      <c r="G1207" s="51"/>
      <c r="H1207" s="51"/>
      <c r="I1207" s="51"/>
      <c r="J1207" s="51"/>
      <c r="K1207" s="51"/>
      <c r="L1207" s="52"/>
      <c r="M1207" s="52"/>
      <c r="N1207" s="52"/>
    </row>
    <row r="1208">
      <c r="A1208" s="50"/>
      <c r="B1208" s="51"/>
      <c r="C1208" s="51"/>
      <c r="D1208" s="51"/>
      <c r="E1208" s="51"/>
      <c r="F1208" s="51"/>
      <c r="G1208" s="51"/>
      <c r="H1208" s="51"/>
      <c r="I1208" s="51"/>
      <c r="J1208" s="51"/>
      <c r="K1208" s="51"/>
      <c r="L1208" s="52"/>
      <c r="M1208" s="52"/>
      <c r="N1208" s="52"/>
    </row>
    <row r="1209">
      <c r="A1209" s="50"/>
      <c r="B1209" s="51"/>
      <c r="C1209" s="51"/>
      <c r="D1209" s="51"/>
      <c r="E1209" s="51"/>
      <c r="F1209" s="51"/>
      <c r="G1209" s="51"/>
      <c r="H1209" s="51"/>
      <c r="I1209" s="51"/>
      <c r="J1209" s="51"/>
      <c r="K1209" s="51"/>
      <c r="L1209" s="52"/>
      <c r="M1209" s="52"/>
      <c r="N1209" s="52"/>
    </row>
    <row r="1210">
      <c r="A1210" s="50"/>
      <c r="B1210" s="51"/>
      <c r="C1210" s="51"/>
      <c r="D1210" s="51"/>
      <c r="E1210" s="51"/>
      <c r="F1210" s="51"/>
      <c r="G1210" s="51"/>
      <c r="H1210" s="51"/>
      <c r="I1210" s="51"/>
      <c r="J1210" s="51"/>
      <c r="K1210" s="51"/>
      <c r="L1210" s="52"/>
      <c r="M1210" s="52"/>
      <c r="N1210" s="52"/>
    </row>
    <row r="1211">
      <c r="A1211" s="50"/>
      <c r="B1211" s="51"/>
      <c r="C1211" s="51"/>
      <c r="D1211" s="51"/>
      <c r="E1211" s="51"/>
      <c r="F1211" s="51"/>
      <c r="G1211" s="51"/>
      <c r="H1211" s="51"/>
      <c r="I1211" s="51"/>
      <c r="J1211" s="51"/>
      <c r="K1211" s="51"/>
      <c r="L1211" s="52"/>
      <c r="M1211" s="52"/>
      <c r="N1211" s="52"/>
    </row>
    <row r="1212">
      <c r="A1212" s="50"/>
      <c r="B1212" s="51"/>
      <c r="C1212" s="51"/>
      <c r="D1212" s="51"/>
      <c r="E1212" s="51"/>
      <c r="F1212" s="51"/>
      <c r="G1212" s="51"/>
      <c r="H1212" s="51"/>
      <c r="I1212" s="51"/>
      <c r="J1212" s="51"/>
      <c r="K1212" s="51"/>
      <c r="L1212" s="52"/>
      <c r="M1212" s="52"/>
      <c r="N1212" s="52"/>
    </row>
    <row r="1213">
      <c r="A1213" s="50"/>
      <c r="B1213" s="51"/>
      <c r="C1213" s="51"/>
      <c r="D1213" s="51"/>
      <c r="E1213" s="51"/>
      <c r="F1213" s="51"/>
      <c r="G1213" s="51"/>
      <c r="H1213" s="51"/>
      <c r="I1213" s="51"/>
      <c r="J1213" s="51"/>
      <c r="K1213" s="51"/>
      <c r="L1213" s="52"/>
      <c r="M1213" s="52"/>
      <c r="N1213" s="52"/>
    </row>
    <row r="1214">
      <c r="A1214" s="50"/>
      <c r="B1214" s="51"/>
      <c r="C1214" s="51"/>
      <c r="D1214" s="51"/>
      <c r="E1214" s="51"/>
      <c r="F1214" s="51"/>
      <c r="G1214" s="51"/>
      <c r="H1214" s="51"/>
      <c r="I1214" s="51"/>
      <c r="J1214" s="51"/>
      <c r="K1214" s="51"/>
      <c r="L1214" s="52"/>
      <c r="M1214" s="52"/>
      <c r="N1214" s="52"/>
    </row>
    <row r="1215">
      <c r="A1215" s="50"/>
      <c r="B1215" s="51"/>
      <c r="C1215" s="51"/>
      <c r="D1215" s="51"/>
      <c r="E1215" s="51"/>
      <c r="F1215" s="51"/>
      <c r="G1215" s="51"/>
      <c r="H1215" s="51"/>
      <c r="I1215" s="51"/>
      <c r="J1215" s="51"/>
      <c r="K1215" s="51"/>
      <c r="L1215" s="52"/>
      <c r="M1215" s="52"/>
      <c r="N1215" s="52"/>
    </row>
    <row r="1216">
      <c r="A1216" s="50"/>
      <c r="B1216" s="51"/>
      <c r="C1216" s="51"/>
      <c r="D1216" s="51"/>
      <c r="E1216" s="51"/>
      <c r="F1216" s="51"/>
      <c r="G1216" s="51"/>
      <c r="H1216" s="51"/>
      <c r="I1216" s="51"/>
      <c r="J1216" s="51"/>
      <c r="K1216" s="51"/>
      <c r="L1216" s="52"/>
      <c r="M1216" s="52"/>
      <c r="N1216" s="52"/>
    </row>
    <row r="1217">
      <c r="A1217" s="50"/>
      <c r="B1217" s="51"/>
      <c r="C1217" s="51"/>
      <c r="D1217" s="51"/>
      <c r="E1217" s="51"/>
      <c r="F1217" s="51"/>
      <c r="G1217" s="51"/>
      <c r="H1217" s="51"/>
      <c r="I1217" s="51"/>
      <c r="J1217" s="51"/>
      <c r="K1217" s="51"/>
      <c r="L1217" s="52"/>
      <c r="M1217" s="52"/>
      <c r="N1217" s="52"/>
    </row>
    <row r="1218">
      <c r="A1218" s="50"/>
      <c r="B1218" s="51"/>
      <c r="C1218" s="51"/>
      <c r="D1218" s="51"/>
      <c r="E1218" s="51"/>
      <c r="F1218" s="51"/>
      <c r="G1218" s="51"/>
      <c r="H1218" s="51"/>
      <c r="I1218" s="51"/>
      <c r="J1218" s="51"/>
      <c r="K1218" s="51"/>
      <c r="L1218" s="52"/>
      <c r="M1218" s="52"/>
      <c r="N1218" s="52"/>
    </row>
    <row r="1219">
      <c r="A1219" s="50"/>
      <c r="B1219" s="51"/>
      <c r="C1219" s="51"/>
      <c r="D1219" s="51"/>
      <c r="E1219" s="51"/>
      <c r="F1219" s="51"/>
      <c r="G1219" s="51"/>
      <c r="H1219" s="51"/>
      <c r="I1219" s="51"/>
      <c r="J1219" s="51"/>
      <c r="K1219" s="51"/>
      <c r="L1219" s="52"/>
      <c r="M1219" s="52"/>
      <c r="N1219" s="52"/>
    </row>
    <row r="1220">
      <c r="A1220" s="50"/>
      <c r="B1220" s="51"/>
      <c r="C1220" s="51"/>
      <c r="D1220" s="51"/>
      <c r="E1220" s="51"/>
      <c r="F1220" s="51"/>
      <c r="G1220" s="51"/>
      <c r="H1220" s="51"/>
      <c r="I1220" s="51"/>
      <c r="J1220" s="51"/>
      <c r="K1220" s="51"/>
      <c r="L1220" s="52"/>
      <c r="M1220" s="52"/>
      <c r="N1220" s="52"/>
    </row>
    <row r="1221">
      <c r="A1221" s="50"/>
      <c r="B1221" s="51"/>
      <c r="C1221" s="51"/>
      <c r="D1221" s="51"/>
      <c r="E1221" s="51"/>
      <c r="F1221" s="51"/>
      <c r="G1221" s="51"/>
      <c r="H1221" s="51"/>
      <c r="I1221" s="51"/>
      <c r="J1221" s="51"/>
      <c r="K1221" s="51"/>
      <c r="L1221" s="52"/>
      <c r="M1221" s="52"/>
      <c r="N1221" s="52"/>
    </row>
    <row r="1222">
      <c r="A1222" s="50"/>
      <c r="B1222" s="51"/>
      <c r="C1222" s="51"/>
      <c r="D1222" s="51"/>
      <c r="E1222" s="51"/>
      <c r="F1222" s="51"/>
      <c r="G1222" s="51"/>
      <c r="H1222" s="51"/>
      <c r="I1222" s="51"/>
      <c r="J1222" s="51"/>
      <c r="K1222" s="51"/>
      <c r="L1222" s="52"/>
      <c r="M1222" s="52"/>
      <c r="N1222" s="52"/>
    </row>
    <row r="1223">
      <c r="A1223" s="50"/>
      <c r="B1223" s="51"/>
      <c r="C1223" s="51"/>
      <c r="D1223" s="51"/>
      <c r="E1223" s="51"/>
      <c r="F1223" s="51"/>
      <c r="G1223" s="51"/>
      <c r="H1223" s="51"/>
      <c r="I1223" s="51"/>
      <c r="J1223" s="51"/>
      <c r="K1223" s="51"/>
      <c r="L1223" s="52"/>
      <c r="M1223" s="52"/>
      <c r="N1223" s="52"/>
    </row>
    <row r="1224">
      <c r="A1224" s="50"/>
      <c r="B1224" s="51"/>
      <c r="C1224" s="51"/>
      <c r="D1224" s="51"/>
      <c r="E1224" s="51"/>
      <c r="F1224" s="51"/>
      <c r="G1224" s="51"/>
      <c r="H1224" s="51"/>
      <c r="I1224" s="51"/>
      <c r="J1224" s="51"/>
      <c r="K1224" s="51"/>
      <c r="L1224" s="52"/>
      <c r="M1224" s="52"/>
      <c r="N1224" s="52"/>
    </row>
    <row r="1225">
      <c r="A1225" s="50"/>
      <c r="B1225" s="51"/>
      <c r="C1225" s="51"/>
      <c r="D1225" s="51"/>
      <c r="E1225" s="51"/>
      <c r="F1225" s="51"/>
      <c r="G1225" s="51"/>
      <c r="H1225" s="51"/>
      <c r="I1225" s="51"/>
      <c r="J1225" s="51"/>
      <c r="K1225" s="51"/>
      <c r="L1225" s="52"/>
      <c r="M1225" s="52"/>
      <c r="N1225" s="52"/>
    </row>
    <row r="1226">
      <c r="A1226" s="50"/>
      <c r="B1226" s="51"/>
      <c r="C1226" s="51"/>
      <c r="D1226" s="51"/>
      <c r="E1226" s="51"/>
      <c r="F1226" s="51"/>
      <c r="G1226" s="51"/>
      <c r="H1226" s="51"/>
      <c r="I1226" s="51"/>
      <c r="J1226" s="51"/>
      <c r="K1226" s="51"/>
      <c r="L1226" s="52"/>
      <c r="M1226" s="52"/>
      <c r="N1226" s="52"/>
    </row>
    <row r="1227">
      <c r="A1227" s="50"/>
      <c r="B1227" s="51"/>
      <c r="C1227" s="51"/>
      <c r="D1227" s="51"/>
      <c r="E1227" s="51"/>
      <c r="F1227" s="51"/>
      <c r="G1227" s="51"/>
      <c r="H1227" s="51"/>
      <c r="I1227" s="51"/>
      <c r="J1227" s="51"/>
      <c r="K1227" s="51"/>
      <c r="L1227" s="52"/>
      <c r="M1227" s="52"/>
      <c r="N1227" s="52"/>
    </row>
    <row r="1228">
      <c r="A1228" s="50"/>
      <c r="B1228" s="51"/>
      <c r="C1228" s="51"/>
      <c r="D1228" s="51"/>
      <c r="E1228" s="51"/>
      <c r="F1228" s="51"/>
      <c r="G1228" s="51"/>
      <c r="H1228" s="51"/>
      <c r="I1228" s="51"/>
      <c r="J1228" s="51"/>
      <c r="K1228" s="51"/>
      <c r="L1228" s="52"/>
      <c r="M1228" s="52"/>
      <c r="N1228" s="52"/>
    </row>
    <row r="1229">
      <c r="A1229" s="50"/>
      <c r="B1229" s="51"/>
      <c r="C1229" s="51"/>
      <c r="D1229" s="51"/>
      <c r="E1229" s="51"/>
      <c r="F1229" s="51"/>
      <c r="G1229" s="51"/>
      <c r="H1229" s="51"/>
      <c r="I1229" s="51"/>
      <c r="J1229" s="51"/>
      <c r="K1229" s="51"/>
      <c r="L1229" s="52"/>
      <c r="M1229" s="52"/>
      <c r="N1229" s="52"/>
    </row>
    <row r="1230">
      <c r="A1230" s="50"/>
      <c r="B1230" s="51"/>
      <c r="C1230" s="51"/>
      <c r="D1230" s="51"/>
      <c r="E1230" s="51"/>
      <c r="F1230" s="51"/>
      <c r="G1230" s="51"/>
      <c r="H1230" s="51"/>
      <c r="I1230" s="51"/>
      <c r="J1230" s="51"/>
      <c r="K1230" s="51"/>
      <c r="L1230" s="52"/>
      <c r="M1230" s="52"/>
      <c r="N1230" s="52"/>
    </row>
    <row r="1231">
      <c r="A1231" s="50"/>
      <c r="B1231" s="51"/>
      <c r="C1231" s="51"/>
      <c r="D1231" s="51"/>
      <c r="E1231" s="51"/>
      <c r="F1231" s="51"/>
      <c r="G1231" s="51"/>
      <c r="H1231" s="51"/>
      <c r="I1231" s="51"/>
      <c r="J1231" s="51"/>
      <c r="K1231" s="51"/>
      <c r="L1231" s="52"/>
      <c r="M1231" s="52"/>
      <c r="N1231" s="52"/>
    </row>
    <row r="1232">
      <c r="A1232" s="50"/>
      <c r="B1232" s="51"/>
      <c r="C1232" s="51"/>
      <c r="D1232" s="51"/>
      <c r="E1232" s="51"/>
      <c r="F1232" s="51"/>
      <c r="G1232" s="51"/>
      <c r="H1232" s="51"/>
      <c r="I1232" s="51"/>
      <c r="J1232" s="51"/>
      <c r="K1232" s="51"/>
      <c r="L1232" s="52"/>
      <c r="M1232" s="52"/>
      <c r="N1232" s="52"/>
    </row>
    <row r="1233">
      <c r="A1233" s="50"/>
      <c r="B1233" s="51"/>
      <c r="C1233" s="51"/>
      <c r="D1233" s="51"/>
      <c r="E1233" s="51"/>
      <c r="F1233" s="51"/>
      <c r="G1233" s="51"/>
      <c r="H1233" s="51"/>
      <c r="I1233" s="51"/>
      <c r="J1233" s="51"/>
      <c r="K1233" s="51"/>
      <c r="L1233" s="52"/>
      <c r="M1233" s="52"/>
      <c r="N1233" s="52"/>
    </row>
    <row r="1234">
      <c r="A1234" s="50"/>
      <c r="B1234" s="51"/>
      <c r="C1234" s="51"/>
      <c r="D1234" s="51"/>
      <c r="E1234" s="51"/>
      <c r="F1234" s="51"/>
      <c r="G1234" s="51"/>
      <c r="H1234" s="51"/>
      <c r="I1234" s="51"/>
      <c r="J1234" s="51"/>
      <c r="K1234" s="51"/>
      <c r="L1234" s="52"/>
      <c r="M1234" s="52"/>
      <c r="N1234" s="52"/>
    </row>
    <row r="1235">
      <c r="A1235" s="50"/>
      <c r="B1235" s="51"/>
      <c r="C1235" s="51"/>
      <c r="D1235" s="51"/>
      <c r="E1235" s="51"/>
      <c r="F1235" s="51"/>
      <c r="G1235" s="51"/>
      <c r="H1235" s="51"/>
      <c r="I1235" s="51"/>
      <c r="J1235" s="51"/>
      <c r="K1235" s="51"/>
      <c r="L1235" s="52"/>
      <c r="M1235" s="52"/>
      <c r="N1235" s="52"/>
    </row>
    <row r="1236">
      <c r="A1236" s="50"/>
      <c r="B1236" s="51"/>
      <c r="C1236" s="51"/>
      <c r="D1236" s="51"/>
      <c r="E1236" s="51"/>
      <c r="F1236" s="51"/>
      <c r="G1236" s="51"/>
      <c r="H1236" s="51"/>
      <c r="I1236" s="51"/>
      <c r="J1236" s="51"/>
      <c r="K1236" s="51"/>
      <c r="L1236" s="52"/>
      <c r="M1236" s="52"/>
      <c r="N1236" s="52"/>
    </row>
    <row r="1237">
      <c r="A1237" s="50"/>
      <c r="B1237" s="51"/>
      <c r="C1237" s="51"/>
      <c r="D1237" s="51"/>
      <c r="E1237" s="51"/>
      <c r="F1237" s="51"/>
      <c r="G1237" s="51"/>
      <c r="H1237" s="51"/>
      <c r="I1237" s="51"/>
      <c r="J1237" s="51"/>
      <c r="K1237" s="51"/>
      <c r="L1237" s="52"/>
      <c r="M1237" s="52"/>
      <c r="N1237" s="52"/>
    </row>
    <row r="1238">
      <c r="A1238" s="50"/>
      <c r="B1238" s="51"/>
      <c r="C1238" s="51"/>
      <c r="D1238" s="51"/>
      <c r="E1238" s="51"/>
      <c r="F1238" s="51"/>
      <c r="G1238" s="51"/>
      <c r="H1238" s="51"/>
      <c r="I1238" s="51"/>
      <c r="J1238" s="51"/>
      <c r="K1238" s="51"/>
      <c r="L1238" s="52"/>
      <c r="M1238" s="52"/>
      <c r="N1238" s="52"/>
    </row>
    <row r="1239">
      <c r="A1239" s="50"/>
      <c r="B1239" s="51"/>
      <c r="C1239" s="51"/>
      <c r="D1239" s="51"/>
      <c r="E1239" s="51"/>
      <c r="F1239" s="51"/>
      <c r="G1239" s="51"/>
      <c r="H1239" s="51"/>
      <c r="I1239" s="51"/>
      <c r="J1239" s="51"/>
      <c r="K1239" s="51"/>
      <c r="L1239" s="52"/>
      <c r="M1239" s="52"/>
      <c r="N1239" s="52"/>
    </row>
    <row r="1240">
      <c r="A1240" s="50"/>
      <c r="B1240" s="51"/>
      <c r="C1240" s="51"/>
      <c r="D1240" s="51"/>
      <c r="E1240" s="51"/>
      <c r="F1240" s="51"/>
      <c r="G1240" s="51"/>
      <c r="H1240" s="51"/>
      <c r="I1240" s="51"/>
      <c r="J1240" s="51"/>
      <c r="K1240" s="51"/>
      <c r="L1240" s="52"/>
      <c r="M1240" s="52"/>
      <c r="N1240" s="52"/>
    </row>
    <row r="1241">
      <c r="A1241" s="50"/>
      <c r="B1241" s="51"/>
      <c r="C1241" s="51"/>
      <c r="D1241" s="51"/>
      <c r="E1241" s="51"/>
      <c r="F1241" s="51"/>
      <c r="G1241" s="51"/>
      <c r="H1241" s="51"/>
      <c r="I1241" s="51"/>
      <c r="J1241" s="51"/>
      <c r="K1241" s="51"/>
      <c r="L1241" s="52"/>
      <c r="M1241" s="52"/>
      <c r="N1241" s="52"/>
    </row>
    <row r="1242">
      <c r="A1242" s="50"/>
      <c r="B1242" s="51"/>
      <c r="C1242" s="51"/>
      <c r="D1242" s="51"/>
      <c r="E1242" s="51"/>
      <c r="F1242" s="51"/>
      <c r="G1242" s="51"/>
      <c r="H1242" s="51"/>
      <c r="I1242" s="51"/>
      <c r="J1242" s="51"/>
      <c r="K1242" s="51"/>
      <c r="L1242" s="52"/>
      <c r="M1242" s="52"/>
      <c r="N1242" s="52"/>
    </row>
    <row r="1243">
      <c r="A1243" s="50"/>
      <c r="B1243" s="51"/>
      <c r="C1243" s="51"/>
      <c r="D1243" s="51"/>
      <c r="E1243" s="51"/>
      <c r="F1243" s="51"/>
      <c r="G1243" s="51"/>
      <c r="H1243" s="51"/>
      <c r="I1243" s="51"/>
      <c r="J1243" s="51"/>
      <c r="K1243" s="51"/>
      <c r="L1243" s="52"/>
      <c r="M1243" s="52"/>
      <c r="N1243" s="52"/>
    </row>
    <row r="1244">
      <c r="A1244" s="50"/>
      <c r="B1244" s="51"/>
      <c r="C1244" s="51"/>
      <c r="D1244" s="51"/>
      <c r="E1244" s="51"/>
      <c r="F1244" s="51"/>
      <c r="G1244" s="51"/>
      <c r="H1244" s="51"/>
      <c r="I1244" s="51"/>
      <c r="J1244" s="51"/>
      <c r="K1244" s="51"/>
      <c r="L1244" s="52"/>
      <c r="M1244" s="52"/>
      <c r="N1244" s="52"/>
    </row>
    <row r="1245">
      <c r="A1245" s="50"/>
      <c r="B1245" s="51"/>
      <c r="C1245" s="51"/>
      <c r="D1245" s="51"/>
      <c r="E1245" s="51"/>
      <c r="F1245" s="51"/>
      <c r="G1245" s="51"/>
      <c r="H1245" s="51"/>
      <c r="I1245" s="51"/>
      <c r="J1245" s="51"/>
      <c r="K1245" s="51"/>
      <c r="L1245" s="52"/>
      <c r="M1245" s="52"/>
      <c r="N1245" s="52"/>
    </row>
    <row r="1246">
      <c r="A1246" s="50"/>
      <c r="B1246" s="51"/>
      <c r="C1246" s="51"/>
      <c r="D1246" s="51"/>
      <c r="E1246" s="51"/>
      <c r="F1246" s="51"/>
      <c r="G1246" s="51"/>
      <c r="H1246" s="51"/>
      <c r="I1246" s="51"/>
      <c r="J1246" s="51"/>
      <c r="K1246" s="51"/>
      <c r="L1246" s="52"/>
      <c r="M1246" s="52"/>
      <c r="N1246" s="52"/>
    </row>
    <row r="1247">
      <c r="A1247" s="50"/>
      <c r="B1247" s="51"/>
      <c r="C1247" s="51"/>
      <c r="D1247" s="51"/>
      <c r="E1247" s="51"/>
      <c r="F1247" s="51"/>
      <c r="G1247" s="51"/>
      <c r="H1247" s="51"/>
      <c r="I1247" s="51"/>
      <c r="J1247" s="51"/>
      <c r="K1247" s="51"/>
      <c r="L1247" s="52"/>
      <c r="M1247" s="52"/>
      <c r="N1247" s="52"/>
    </row>
    <row r="1248">
      <c r="A1248" s="50"/>
      <c r="B1248" s="51"/>
      <c r="C1248" s="51"/>
      <c r="D1248" s="51"/>
      <c r="E1248" s="51"/>
      <c r="F1248" s="51"/>
      <c r="G1248" s="51"/>
      <c r="H1248" s="51"/>
      <c r="I1248" s="51"/>
      <c r="J1248" s="51"/>
      <c r="K1248" s="51"/>
      <c r="L1248" s="52"/>
      <c r="M1248" s="52"/>
      <c r="N1248" s="52"/>
    </row>
    <row r="1249">
      <c r="A1249" s="50"/>
      <c r="B1249" s="51"/>
      <c r="C1249" s="51"/>
      <c r="D1249" s="51"/>
      <c r="E1249" s="51"/>
      <c r="F1249" s="51"/>
      <c r="G1249" s="51"/>
      <c r="H1249" s="51"/>
      <c r="I1249" s="51"/>
      <c r="J1249" s="51"/>
      <c r="K1249" s="51"/>
      <c r="L1249" s="52"/>
      <c r="M1249" s="52"/>
      <c r="N1249" s="52"/>
    </row>
    <row r="1250">
      <c r="A1250" s="50"/>
      <c r="B1250" s="51"/>
      <c r="C1250" s="51"/>
      <c r="D1250" s="51"/>
      <c r="E1250" s="51"/>
      <c r="F1250" s="51"/>
      <c r="G1250" s="51"/>
      <c r="H1250" s="51"/>
      <c r="I1250" s="51"/>
      <c r="J1250" s="51"/>
      <c r="K1250" s="51"/>
      <c r="L1250" s="52"/>
      <c r="M1250" s="52"/>
      <c r="N1250" s="52"/>
    </row>
    <row r="1251">
      <c r="A1251" s="50"/>
      <c r="B1251" s="51"/>
      <c r="C1251" s="51"/>
      <c r="D1251" s="51"/>
      <c r="E1251" s="51"/>
      <c r="F1251" s="51"/>
      <c r="G1251" s="51"/>
      <c r="H1251" s="51"/>
      <c r="I1251" s="51"/>
      <c r="J1251" s="51"/>
      <c r="K1251" s="51"/>
      <c r="L1251" s="52"/>
      <c r="M1251" s="52"/>
      <c r="N1251" s="52"/>
    </row>
    <row r="1252">
      <c r="A1252" s="50"/>
      <c r="B1252" s="51"/>
      <c r="C1252" s="51"/>
      <c r="D1252" s="51"/>
      <c r="E1252" s="51"/>
      <c r="F1252" s="51"/>
      <c r="G1252" s="51"/>
      <c r="H1252" s="51"/>
      <c r="I1252" s="51"/>
      <c r="J1252" s="51"/>
      <c r="K1252" s="51"/>
      <c r="L1252" s="52"/>
      <c r="M1252" s="52"/>
      <c r="N1252" s="52"/>
    </row>
    <row r="1253">
      <c r="A1253" s="50"/>
      <c r="B1253" s="51"/>
      <c r="C1253" s="51"/>
      <c r="D1253" s="51"/>
      <c r="E1253" s="51"/>
      <c r="F1253" s="51"/>
      <c r="G1253" s="51"/>
      <c r="H1253" s="51"/>
      <c r="I1253" s="51"/>
      <c r="J1253" s="51"/>
      <c r="K1253" s="51"/>
      <c r="L1253" s="52"/>
      <c r="M1253" s="52"/>
      <c r="N1253" s="52"/>
    </row>
    <row r="1254">
      <c r="A1254" s="50"/>
      <c r="B1254" s="51"/>
      <c r="C1254" s="51"/>
      <c r="D1254" s="51"/>
      <c r="E1254" s="51"/>
      <c r="F1254" s="51"/>
      <c r="G1254" s="51"/>
      <c r="H1254" s="51"/>
      <c r="I1254" s="51"/>
      <c r="J1254" s="51"/>
      <c r="K1254" s="51"/>
      <c r="L1254" s="52"/>
      <c r="M1254" s="52"/>
      <c r="N1254" s="52"/>
    </row>
    <row r="1255">
      <c r="A1255" s="50"/>
      <c r="B1255" s="51"/>
      <c r="C1255" s="51"/>
      <c r="D1255" s="51"/>
      <c r="E1255" s="51"/>
      <c r="F1255" s="51"/>
      <c r="G1255" s="51"/>
      <c r="H1255" s="51"/>
      <c r="I1255" s="51"/>
      <c r="J1255" s="51"/>
      <c r="K1255" s="51"/>
      <c r="L1255" s="52"/>
      <c r="M1255" s="52"/>
      <c r="N1255" s="52"/>
    </row>
    <row r="1256">
      <c r="A1256" s="50"/>
      <c r="B1256" s="51"/>
      <c r="C1256" s="51"/>
      <c r="D1256" s="51"/>
      <c r="E1256" s="51"/>
      <c r="F1256" s="51"/>
      <c r="G1256" s="51"/>
      <c r="H1256" s="51"/>
      <c r="I1256" s="51"/>
      <c r="J1256" s="51"/>
      <c r="K1256" s="51"/>
      <c r="L1256" s="52"/>
      <c r="M1256" s="52"/>
      <c r="N1256" s="52"/>
    </row>
    <row r="1257">
      <c r="A1257" s="50"/>
      <c r="B1257" s="51"/>
      <c r="C1257" s="51"/>
      <c r="D1257" s="51"/>
      <c r="E1257" s="51"/>
      <c r="F1257" s="51"/>
      <c r="G1257" s="51"/>
      <c r="H1257" s="51"/>
      <c r="I1257" s="51"/>
      <c r="J1257" s="51"/>
      <c r="K1257" s="51"/>
      <c r="L1257" s="52"/>
      <c r="M1257" s="52"/>
      <c r="N1257" s="52"/>
    </row>
    <row r="1258">
      <c r="A1258" s="50"/>
      <c r="B1258" s="51"/>
      <c r="C1258" s="51"/>
      <c r="D1258" s="51"/>
      <c r="E1258" s="51"/>
      <c r="F1258" s="51"/>
      <c r="G1258" s="51"/>
      <c r="H1258" s="51"/>
      <c r="I1258" s="51"/>
      <c r="J1258" s="51"/>
      <c r="K1258" s="51"/>
      <c r="L1258" s="52"/>
      <c r="M1258" s="52"/>
      <c r="N1258" s="52"/>
    </row>
    <row r="1259">
      <c r="A1259" s="50"/>
      <c r="B1259" s="51"/>
      <c r="C1259" s="51"/>
      <c r="D1259" s="51"/>
      <c r="E1259" s="51"/>
      <c r="F1259" s="51"/>
      <c r="G1259" s="51"/>
      <c r="H1259" s="51"/>
      <c r="I1259" s="51"/>
      <c r="J1259" s="51"/>
      <c r="K1259" s="51"/>
      <c r="L1259" s="52"/>
      <c r="M1259" s="52"/>
      <c r="N1259" s="52"/>
    </row>
    <row r="1260">
      <c r="A1260" s="50"/>
      <c r="B1260" s="51"/>
      <c r="C1260" s="51"/>
      <c r="D1260" s="51"/>
      <c r="E1260" s="51"/>
      <c r="F1260" s="51"/>
      <c r="G1260" s="51"/>
      <c r="H1260" s="51"/>
      <c r="I1260" s="51"/>
      <c r="J1260" s="51"/>
      <c r="K1260" s="51"/>
      <c r="L1260" s="52"/>
      <c r="M1260" s="52"/>
      <c r="N1260" s="52"/>
    </row>
    <row r="1261">
      <c r="A1261" s="50"/>
      <c r="B1261" s="51"/>
      <c r="C1261" s="51"/>
      <c r="D1261" s="51"/>
      <c r="E1261" s="51"/>
      <c r="F1261" s="51"/>
      <c r="G1261" s="51"/>
      <c r="H1261" s="51"/>
      <c r="I1261" s="51"/>
      <c r="J1261" s="51"/>
      <c r="K1261" s="51"/>
      <c r="L1261" s="52"/>
      <c r="M1261" s="52"/>
      <c r="N1261" s="52"/>
    </row>
    <row r="1262">
      <c r="A1262" s="50"/>
      <c r="B1262" s="51"/>
      <c r="C1262" s="51"/>
      <c r="D1262" s="51"/>
      <c r="E1262" s="51"/>
      <c r="F1262" s="51"/>
      <c r="G1262" s="51"/>
      <c r="H1262" s="51"/>
      <c r="I1262" s="51"/>
      <c r="J1262" s="51"/>
      <c r="K1262" s="51"/>
      <c r="L1262" s="52"/>
      <c r="M1262" s="52"/>
      <c r="N1262" s="52"/>
    </row>
    <row r="1263">
      <c r="A1263" s="50"/>
      <c r="B1263" s="51"/>
      <c r="C1263" s="51"/>
      <c r="D1263" s="51"/>
      <c r="E1263" s="51"/>
      <c r="F1263" s="51"/>
      <c r="G1263" s="51"/>
      <c r="H1263" s="51"/>
      <c r="I1263" s="51"/>
      <c r="J1263" s="51"/>
      <c r="K1263" s="51"/>
      <c r="L1263" s="52"/>
      <c r="M1263" s="52"/>
      <c r="N1263" s="52"/>
    </row>
    <row r="1264">
      <c r="A1264" s="50"/>
      <c r="B1264" s="51"/>
      <c r="C1264" s="51"/>
      <c r="D1264" s="51"/>
      <c r="E1264" s="51"/>
      <c r="F1264" s="51"/>
      <c r="G1264" s="51"/>
      <c r="H1264" s="51"/>
      <c r="I1264" s="51"/>
      <c r="J1264" s="51"/>
      <c r="K1264" s="51"/>
      <c r="L1264" s="52"/>
      <c r="M1264" s="52"/>
      <c r="N1264" s="52"/>
    </row>
    <row r="1265">
      <c r="A1265" s="50"/>
      <c r="B1265" s="51"/>
      <c r="C1265" s="51"/>
      <c r="D1265" s="51"/>
      <c r="E1265" s="51"/>
      <c r="F1265" s="51"/>
      <c r="G1265" s="51"/>
      <c r="H1265" s="51"/>
      <c r="I1265" s="51"/>
      <c r="J1265" s="51"/>
      <c r="K1265" s="51"/>
      <c r="L1265" s="52"/>
      <c r="M1265" s="52"/>
      <c r="N1265" s="52"/>
    </row>
    <row r="1266">
      <c r="A1266" s="50"/>
      <c r="B1266" s="51"/>
      <c r="C1266" s="51"/>
      <c r="D1266" s="51"/>
      <c r="E1266" s="51"/>
      <c r="F1266" s="51"/>
      <c r="G1266" s="51"/>
      <c r="H1266" s="51"/>
      <c r="I1266" s="51"/>
      <c r="J1266" s="51"/>
      <c r="K1266" s="51"/>
      <c r="L1266" s="52"/>
      <c r="M1266" s="52"/>
      <c r="N1266" s="52"/>
    </row>
    <row r="1267">
      <c r="A1267" s="50"/>
      <c r="B1267" s="51"/>
      <c r="C1267" s="51"/>
      <c r="D1267" s="51"/>
      <c r="E1267" s="51"/>
      <c r="F1267" s="51"/>
      <c r="G1267" s="51"/>
      <c r="H1267" s="51"/>
      <c r="I1267" s="51"/>
      <c r="J1267" s="51"/>
      <c r="K1267" s="51"/>
      <c r="L1267" s="52"/>
      <c r="M1267" s="52"/>
      <c r="N1267" s="52"/>
    </row>
    <row r="1268">
      <c r="A1268" s="50"/>
      <c r="B1268" s="51"/>
      <c r="C1268" s="51"/>
      <c r="D1268" s="51"/>
      <c r="E1268" s="51"/>
      <c r="F1268" s="51"/>
      <c r="G1268" s="51"/>
      <c r="H1268" s="51"/>
      <c r="I1268" s="51"/>
      <c r="J1268" s="51"/>
      <c r="K1268" s="51"/>
      <c r="L1268" s="52"/>
      <c r="M1268" s="52"/>
      <c r="N1268" s="52"/>
    </row>
    <row r="1269">
      <c r="A1269" s="50"/>
      <c r="B1269" s="51"/>
      <c r="C1269" s="51"/>
      <c r="D1269" s="51"/>
      <c r="E1269" s="51"/>
      <c r="F1269" s="51"/>
      <c r="G1269" s="51"/>
      <c r="H1269" s="51"/>
      <c r="I1269" s="51"/>
      <c r="J1269" s="51"/>
      <c r="K1269" s="51"/>
      <c r="L1269" s="52"/>
      <c r="M1269" s="52"/>
      <c r="N1269" s="52"/>
    </row>
    <row r="1270">
      <c r="A1270" s="50"/>
      <c r="B1270" s="51"/>
      <c r="C1270" s="51"/>
      <c r="D1270" s="51"/>
      <c r="E1270" s="51"/>
      <c r="F1270" s="51"/>
      <c r="G1270" s="51"/>
      <c r="H1270" s="51"/>
      <c r="I1270" s="51"/>
      <c r="J1270" s="51"/>
      <c r="K1270" s="51"/>
      <c r="L1270" s="52"/>
      <c r="M1270" s="52"/>
      <c r="N1270" s="52"/>
    </row>
    <row r="1271">
      <c r="A1271" s="50"/>
      <c r="B1271" s="51"/>
      <c r="C1271" s="51"/>
      <c r="D1271" s="51"/>
      <c r="E1271" s="51"/>
      <c r="F1271" s="51"/>
      <c r="G1271" s="51"/>
      <c r="H1271" s="51"/>
      <c r="I1271" s="51"/>
      <c r="J1271" s="51"/>
      <c r="K1271" s="51"/>
      <c r="L1271" s="52"/>
      <c r="M1271" s="52"/>
      <c r="N1271" s="52"/>
    </row>
    <row r="1272">
      <c r="A1272" s="50"/>
      <c r="B1272" s="51"/>
      <c r="C1272" s="51"/>
      <c r="D1272" s="51"/>
      <c r="E1272" s="51"/>
      <c r="F1272" s="51"/>
      <c r="G1272" s="51"/>
      <c r="H1272" s="51"/>
      <c r="I1272" s="51"/>
      <c r="J1272" s="51"/>
      <c r="K1272" s="51"/>
      <c r="L1272" s="52"/>
      <c r="M1272" s="52"/>
      <c r="N1272" s="52"/>
    </row>
    <row r="1273">
      <c r="A1273" s="50"/>
      <c r="B1273" s="51"/>
      <c r="C1273" s="51"/>
      <c r="D1273" s="51"/>
      <c r="E1273" s="51"/>
      <c r="F1273" s="51"/>
      <c r="G1273" s="51"/>
      <c r="H1273" s="51"/>
      <c r="I1273" s="51"/>
      <c r="J1273" s="51"/>
      <c r="K1273" s="51"/>
      <c r="L1273" s="52"/>
      <c r="M1273" s="52"/>
      <c r="N1273" s="52"/>
    </row>
    <row r="1274">
      <c r="A1274" s="50"/>
      <c r="B1274" s="51"/>
      <c r="C1274" s="51"/>
      <c r="D1274" s="51"/>
      <c r="E1274" s="51"/>
      <c r="F1274" s="51"/>
      <c r="G1274" s="51"/>
      <c r="H1274" s="51"/>
      <c r="I1274" s="51"/>
      <c r="J1274" s="51"/>
      <c r="K1274" s="51"/>
      <c r="L1274" s="52"/>
      <c r="M1274" s="52"/>
      <c r="N1274" s="52"/>
    </row>
    <row r="1275">
      <c r="A1275" s="50"/>
      <c r="B1275" s="51"/>
      <c r="C1275" s="51"/>
      <c r="D1275" s="51"/>
      <c r="E1275" s="51"/>
      <c r="F1275" s="51"/>
      <c r="G1275" s="51"/>
      <c r="H1275" s="51"/>
      <c r="I1275" s="51"/>
      <c r="J1275" s="51"/>
      <c r="K1275" s="51"/>
      <c r="L1275" s="52"/>
      <c r="M1275" s="52"/>
      <c r="N1275" s="52"/>
    </row>
    <row r="1276">
      <c r="A1276" s="50"/>
      <c r="B1276" s="51"/>
      <c r="C1276" s="51"/>
      <c r="D1276" s="51"/>
      <c r="E1276" s="51"/>
      <c r="F1276" s="51"/>
      <c r="G1276" s="51"/>
      <c r="H1276" s="51"/>
      <c r="I1276" s="51"/>
      <c r="J1276" s="51"/>
      <c r="K1276" s="51"/>
      <c r="L1276" s="52"/>
      <c r="M1276" s="52"/>
      <c r="N1276" s="52"/>
    </row>
    <row r="1277">
      <c r="A1277" s="50"/>
      <c r="B1277" s="51"/>
      <c r="C1277" s="51"/>
      <c r="D1277" s="51"/>
      <c r="E1277" s="51"/>
      <c r="F1277" s="51"/>
      <c r="G1277" s="51"/>
      <c r="H1277" s="51"/>
      <c r="I1277" s="51"/>
      <c r="J1277" s="51"/>
      <c r="K1277" s="51"/>
      <c r="L1277" s="52"/>
      <c r="M1277" s="52"/>
      <c r="N1277" s="52"/>
    </row>
    <row r="1278">
      <c r="A1278" s="50"/>
      <c r="B1278" s="51"/>
      <c r="C1278" s="51"/>
      <c r="D1278" s="51"/>
      <c r="E1278" s="51"/>
      <c r="F1278" s="51"/>
      <c r="G1278" s="51"/>
      <c r="H1278" s="51"/>
      <c r="I1278" s="51"/>
      <c r="J1278" s="51"/>
      <c r="K1278" s="51"/>
      <c r="L1278" s="52"/>
      <c r="M1278" s="52"/>
      <c r="N1278" s="52"/>
    </row>
    <row r="1279">
      <c r="A1279" s="50"/>
      <c r="B1279" s="51"/>
      <c r="C1279" s="51"/>
      <c r="D1279" s="51"/>
      <c r="E1279" s="51"/>
      <c r="F1279" s="51"/>
      <c r="G1279" s="51"/>
      <c r="H1279" s="51"/>
      <c r="I1279" s="51"/>
      <c r="J1279" s="51"/>
      <c r="K1279" s="51"/>
      <c r="L1279" s="52"/>
      <c r="M1279" s="52"/>
      <c r="N1279" s="52"/>
    </row>
    <row r="1280">
      <c r="A1280" s="50"/>
      <c r="B1280" s="51"/>
      <c r="C1280" s="51"/>
      <c r="D1280" s="51"/>
      <c r="E1280" s="51"/>
      <c r="F1280" s="51"/>
      <c r="G1280" s="51"/>
      <c r="H1280" s="51"/>
      <c r="I1280" s="51"/>
      <c r="J1280" s="51"/>
      <c r="K1280" s="51"/>
      <c r="L1280" s="52"/>
      <c r="M1280" s="52"/>
      <c r="N1280" s="52"/>
    </row>
    <row r="1281">
      <c r="A1281" s="50"/>
      <c r="B1281" s="51"/>
      <c r="C1281" s="51"/>
      <c r="D1281" s="51"/>
      <c r="E1281" s="51"/>
      <c r="F1281" s="51"/>
      <c r="G1281" s="51"/>
      <c r="H1281" s="51"/>
      <c r="I1281" s="51"/>
      <c r="J1281" s="51"/>
      <c r="K1281" s="51"/>
      <c r="L1281" s="52"/>
      <c r="M1281" s="52"/>
      <c r="N1281" s="52"/>
    </row>
    <row r="1282">
      <c r="A1282" s="50"/>
      <c r="B1282" s="51"/>
      <c r="C1282" s="51"/>
      <c r="D1282" s="51"/>
      <c r="E1282" s="51"/>
      <c r="F1282" s="51"/>
      <c r="G1282" s="51"/>
      <c r="H1282" s="51"/>
      <c r="I1282" s="51"/>
      <c r="J1282" s="51"/>
      <c r="K1282" s="51"/>
      <c r="L1282" s="52"/>
      <c r="M1282" s="52"/>
      <c r="N1282" s="52"/>
    </row>
    <row r="1283">
      <c r="A1283" s="50"/>
      <c r="B1283" s="51"/>
      <c r="C1283" s="51"/>
      <c r="D1283" s="51"/>
      <c r="E1283" s="51"/>
      <c r="F1283" s="51"/>
      <c r="G1283" s="51"/>
      <c r="H1283" s="51"/>
      <c r="I1283" s="51"/>
      <c r="J1283" s="51"/>
      <c r="K1283" s="51"/>
      <c r="L1283" s="52"/>
      <c r="M1283" s="52"/>
      <c r="N1283" s="52"/>
    </row>
    <row r="1284">
      <c r="A1284" s="50"/>
      <c r="B1284" s="51"/>
      <c r="C1284" s="51"/>
      <c r="D1284" s="51"/>
      <c r="E1284" s="51"/>
      <c r="F1284" s="51"/>
      <c r="G1284" s="51"/>
      <c r="H1284" s="51"/>
      <c r="I1284" s="51"/>
      <c r="J1284" s="51"/>
      <c r="K1284" s="51"/>
      <c r="L1284" s="52"/>
      <c r="M1284" s="52"/>
      <c r="N1284" s="52"/>
    </row>
    <row r="1285">
      <c r="A1285" s="50"/>
      <c r="B1285" s="51"/>
      <c r="C1285" s="51"/>
      <c r="D1285" s="51"/>
      <c r="E1285" s="51"/>
      <c r="F1285" s="51"/>
      <c r="G1285" s="51"/>
      <c r="H1285" s="51"/>
      <c r="I1285" s="51"/>
      <c r="J1285" s="51"/>
      <c r="K1285" s="51"/>
      <c r="L1285" s="52"/>
      <c r="M1285" s="52"/>
      <c r="N1285" s="52"/>
    </row>
    <row r="1286">
      <c r="A1286" s="50"/>
      <c r="B1286" s="51"/>
      <c r="C1286" s="51"/>
      <c r="D1286" s="51"/>
      <c r="E1286" s="51"/>
      <c r="F1286" s="51"/>
      <c r="G1286" s="51"/>
      <c r="H1286" s="51"/>
      <c r="I1286" s="51"/>
      <c r="J1286" s="51"/>
      <c r="K1286" s="51"/>
      <c r="L1286" s="52"/>
      <c r="M1286" s="52"/>
      <c r="N1286" s="52"/>
    </row>
    <row r="1287">
      <c r="A1287" s="50"/>
      <c r="B1287" s="51"/>
      <c r="C1287" s="51"/>
      <c r="D1287" s="51"/>
      <c r="E1287" s="51"/>
      <c r="F1287" s="51"/>
      <c r="G1287" s="51"/>
      <c r="H1287" s="51"/>
      <c r="I1287" s="51"/>
      <c r="J1287" s="51"/>
      <c r="K1287" s="51"/>
      <c r="L1287" s="52"/>
      <c r="M1287" s="52"/>
      <c r="N1287" s="52"/>
    </row>
    <row r="1288">
      <c r="A1288" s="50"/>
      <c r="B1288" s="51"/>
      <c r="C1288" s="51"/>
      <c r="D1288" s="51"/>
      <c r="E1288" s="51"/>
      <c r="F1288" s="51"/>
      <c r="G1288" s="51"/>
      <c r="H1288" s="51"/>
      <c r="I1288" s="51"/>
      <c r="J1288" s="51"/>
      <c r="K1288" s="51"/>
      <c r="L1288" s="52"/>
      <c r="M1288" s="52"/>
      <c r="N1288" s="52"/>
    </row>
    <row r="1289">
      <c r="A1289" s="50"/>
      <c r="B1289" s="51"/>
      <c r="C1289" s="51"/>
      <c r="D1289" s="51"/>
      <c r="E1289" s="51"/>
      <c r="F1289" s="51"/>
      <c r="G1289" s="51"/>
      <c r="H1289" s="51"/>
      <c r="I1289" s="51"/>
      <c r="J1289" s="51"/>
      <c r="K1289" s="51"/>
      <c r="L1289" s="52"/>
      <c r="M1289" s="52"/>
      <c r="N1289" s="52"/>
    </row>
    <row r="1290">
      <c r="A1290" s="50"/>
      <c r="B1290" s="51"/>
      <c r="C1290" s="51"/>
      <c r="D1290" s="51"/>
      <c r="E1290" s="51"/>
      <c r="F1290" s="51"/>
      <c r="G1290" s="51"/>
      <c r="H1290" s="51"/>
      <c r="I1290" s="51"/>
      <c r="J1290" s="51"/>
      <c r="K1290" s="51"/>
      <c r="L1290" s="52"/>
      <c r="M1290" s="52"/>
      <c r="N1290" s="52"/>
    </row>
    <row r="1291">
      <c r="A1291" s="50"/>
      <c r="B1291" s="51"/>
      <c r="C1291" s="51"/>
      <c r="D1291" s="51"/>
      <c r="E1291" s="51"/>
      <c r="F1291" s="51"/>
      <c r="G1291" s="51"/>
      <c r="H1291" s="51"/>
      <c r="I1291" s="51"/>
      <c r="J1291" s="51"/>
      <c r="K1291" s="51"/>
      <c r="L1291" s="52"/>
      <c r="M1291" s="52"/>
      <c r="N1291" s="52"/>
    </row>
    <row r="1292">
      <c r="A1292" s="50"/>
      <c r="B1292" s="51"/>
      <c r="C1292" s="51"/>
      <c r="D1292" s="51"/>
      <c r="E1292" s="51"/>
      <c r="F1292" s="51"/>
      <c r="G1292" s="51"/>
      <c r="H1292" s="51"/>
      <c r="I1292" s="51"/>
      <c r="J1292" s="51"/>
      <c r="K1292" s="51"/>
      <c r="L1292" s="52"/>
      <c r="M1292" s="52"/>
      <c r="N1292" s="52"/>
    </row>
    <row r="1293">
      <c r="A1293" s="50"/>
      <c r="B1293" s="51"/>
      <c r="C1293" s="51"/>
      <c r="D1293" s="51"/>
      <c r="E1293" s="51"/>
      <c r="F1293" s="51"/>
      <c r="G1293" s="51"/>
      <c r="H1293" s="51"/>
      <c r="I1293" s="51"/>
      <c r="J1293" s="51"/>
      <c r="K1293" s="51"/>
      <c r="L1293" s="52"/>
      <c r="M1293" s="52"/>
      <c r="N1293" s="52"/>
    </row>
    <row r="1294">
      <c r="A1294" s="50"/>
      <c r="B1294" s="51"/>
      <c r="C1294" s="51"/>
      <c r="D1294" s="51"/>
      <c r="E1294" s="51"/>
      <c r="F1294" s="51"/>
      <c r="G1294" s="51"/>
      <c r="H1294" s="51"/>
      <c r="I1294" s="51"/>
      <c r="J1294" s="51"/>
      <c r="K1294" s="51"/>
      <c r="L1294" s="52"/>
      <c r="M1294" s="52"/>
      <c r="N1294" s="52"/>
    </row>
    <row r="1295">
      <c r="A1295" s="50"/>
      <c r="B1295" s="51"/>
      <c r="C1295" s="51"/>
      <c r="D1295" s="51"/>
      <c r="E1295" s="51"/>
      <c r="F1295" s="51"/>
      <c r="G1295" s="51"/>
      <c r="H1295" s="51"/>
      <c r="I1295" s="51"/>
      <c r="J1295" s="51"/>
      <c r="K1295" s="51"/>
      <c r="L1295" s="52"/>
      <c r="M1295" s="52"/>
      <c r="N1295" s="52"/>
    </row>
    <row r="1296">
      <c r="A1296" s="50"/>
      <c r="B1296" s="51"/>
      <c r="C1296" s="51"/>
      <c r="D1296" s="51"/>
      <c r="E1296" s="51"/>
      <c r="F1296" s="51"/>
      <c r="G1296" s="51"/>
      <c r="H1296" s="51"/>
      <c r="I1296" s="51"/>
      <c r="J1296" s="51"/>
      <c r="K1296" s="51"/>
      <c r="L1296" s="52"/>
      <c r="M1296" s="52"/>
      <c r="N1296" s="52"/>
    </row>
    <row r="1297">
      <c r="A1297" s="50"/>
      <c r="B1297" s="51"/>
      <c r="C1297" s="51"/>
      <c r="D1297" s="51"/>
      <c r="E1297" s="51"/>
      <c r="F1297" s="51"/>
      <c r="G1297" s="51"/>
      <c r="H1297" s="51"/>
      <c r="I1297" s="51"/>
      <c r="J1297" s="51"/>
      <c r="K1297" s="51"/>
      <c r="L1297" s="52"/>
      <c r="M1297" s="52"/>
      <c r="N1297" s="52"/>
    </row>
    <row r="1298">
      <c r="A1298" s="50"/>
      <c r="B1298" s="51"/>
      <c r="C1298" s="51"/>
      <c r="D1298" s="51"/>
      <c r="E1298" s="51"/>
      <c r="F1298" s="51"/>
      <c r="G1298" s="51"/>
      <c r="H1298" s="51"/>
      <c r="I1298" s="51"/>
      <c r="J1298" s="51"/>
      <c r="K1298" s="51"/>
      <c r="L1298" s="52"/>
      <c r="M1298" s="52"/>
      <c r="N1298" s="52"/>
    </row>
    <row r="1299">
      <c r="A1299" s="50"/>
      <c r="B1299" s="51"/>
      <c r="C1299" s="51"/>
      <c r="D1299" s="51"/>
      <c r="E1299" s="51"/>
      <c r="F1299" s="51"/>
      <c r="G1299" s="51"/>
      <c r="H1299" s="51"/>
      <c r="I1299" s="51"/>
      <c r="J1299" s="51"/>
      <c r="K1299" s="51"/>
      <c r="L1299" s="52"/>
      <c r="M1299" s="52"/>
      <c r="N1299" s="52"/>
    </row>
    <row r="1300">
      <c r="A1300" s="50"/>
      <c r="B1300" s="51"/>
      <c r="C1300" s="51"/>
      <c r="D1300" s="51"/>
      <c r="E1300" s="51"/>
      <c r="F1300" s="51"/>
      <c r="G1300" s="51"/>
      <c r="H1300" s="51"/>
      <c r="I1300" s="51"/>
      <c r="J1300" s="51"/>
      <c r="K1300" s="51"/>
      <c r="L1300" s="52"/>
      <c r="M1300" s="52"/>
      <c r="N1300" s="52"/>
    </row>
    <row r="1301">
      <c r="A1301" s="50"/>
      <c r="B1301" s="51"/>
      <c r="C1301" s="51"/>
      <c r="D1301" s="51"/>
      <c r="E1301" s="51"/>
      <c r="F1301" s="51"/>
      <c r="G1301" s="51"/>
      <c r="H1301" s="51"/>
      <c r="I1301" s="51"/>
      <c r="J1301" s="51"/>
      <c r="K1301" s="51"/>
      <c r="L1301" s="52"/>
      <c r="M1301" s="52"/>
      <c r="N1301" s="52"/>
    </row>
    <row r="1302">
      <c r="A1302" s="50"/>
      <c r="B1302" s="51"/>
      <c r="C1302" s="51"/>
      <c r="D1302" s="51"/>
      <c r="E1302" s="51"/>
      <c r="F1302" s="51"/>
      <c r="G1302" s="51"/>
      <c r="H1302" s="51"/>
      <c r="I1302" s="51"/>
      <c r="J1302" s="51"/>
      <c r="K1302" s="51"/>
      <c r="L1302" s="52"/>
      <c r="M1302" s="52"/>
      <c r="N1302" s="52"/>
    </row>
    <row r="1303">
      <c r="A1303" s="50"/>
      <c r="B1303" s="51"/>
      <c r="C1303" s="51"/>
      <c r="D1303" s="51"/>
      <c r="E1303" s="51"/>
      <c r="F1303" s="51"/>
      <c r="G1303" s="51"/>
      <c r="H1303" s="51"/>
      <c r="I1303" s="51"/>
      <c r="J1303" s="51"/>
      <c r="K1303" s="51"/>
      <c r="L1303" s="52"/>
      <c r="M1303" s="52"/>
      <c r="N1303" s="52"/>
    </row>
  </sheetData>
  <autoFilter ref="A1:B110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</cols>
  <sheetData>
    <row r="1">
      <c r="A1" s="54" t="s">
        <v>81</v>
      </c>
      <c r="B1" s="55" t="s">
        <v>82</v>
      </c>
      <c r="C1" s="55" t="s">
        <v>83</v>
      </c>
      <c r="D1" s="55" t="s">
        <v>84</v>
      </c>
      <c r="E1" s="55" t="s">
        <v>85</v>
      </c>
      <c r="F1" s="55" t="s">
        <v>86</v>
      </c>
      <c r="G1" s="56" t="s">
        <v>87</v>
      </c>
      <c r="H1" s="57" t="s">
        <v>88</v>
      </c>
      <c r="I1" s="55" t="s">
        <v>89</v>
      </c>
      <c r="J1" s="55" t="s">
        <v>90</v>
      </c>
      <c r="K1" s="55" t="s">
        <v>91</v>
      </c>
      <c r="L1" s="58" t="s">
        <v>92</v>
      </c>
      <c r="M1" s="58" t="s">
        <v>93</v>
      </c>
      <c r="N1" s="58" t="s">
        <v>94</v>
      </c>
      <c r="O1" s="55" t="s">
        <v>95</v>
      </c>
      <c r="P1" s="55" t="s">
        <v>96</v>
      </c>
      <c r="Q1" s="59" t="s">
        <v>97</v>
      </c>
    </row>
    <row hidden="true" r="2">
      <c r="A2" s="60">
        <v>46296</v>
      </c>
      <c r="B2" s="61" t="s">
        <v>98</v>
      </c>
      <c r="C2" s="62" t="s">
        <v>99</v>
      </c>
      <c r="D2" s="63">
        <v>5</v>
      </c>
      <c r="E2" s="61">
        <v>29</v>
      </c>
      <c r="F2" s="64">
        <v>19</v>
      </c>
      <c r="G2" s="65">
        <v>15</v>
      </c>
      <c r="H2" s="65">
        <v>12</v>
      </c>
      <c r="I2" s="65">
        <v>2</v>
      </c>
      <c r="J2" s="65">
        <v>17264</v>
      </c>
      <c r="K2" s="65">
        <v>16195.95</v>
      </c>
      <c r="L2" s="66">
        <f t="shared" ref="L2:L99" si="0">J2/K2</f>
      </c>
      <c r="M2" s="67">
        <f t="shared" ref="M2:M99" si="1">J2/F2</f>
      </c>
      <c r="N2" s="68">
        <f t="shared" ref="N2:N99" si="2">K2/F2</f>
      </c>
      <c r="O2" s="61" t="s">
        <v>100</v>
      </c>
      <c r="P2" s="61">
        <v>10</v>
      </c>
      <c r="Q2" s="69"/>
    </row>
    <row hidden="true" r="3">
      <c r="A3" s="60">
        <v>46296</v>
      </c>
      <c r="B3" s="61" t="s">
        <v>101</v>
      </c>
      <c r="C3" s="62" t="s">
        <v>102</v>
      </c>
      <c r="D3" s="70">
        <v>5</v>
      </c>
      <c r="E3" s="65">
        <v>36</v>
      </c>
      <c r="F3" s="65">
        <v>30</v>
      </c>
      <c r="G3" s="65">
        <v>25</v>
      </c>
      <c r="H3" s="65">
        <v>19</v>
      </c>
      <c r="I3" s="65">
        <v>1</v>
      </c>
      <c r="J3" s="65">
        <v>32436.2</v>
      </c>
      <c r="K3" s="65">
        <v>17016.26</v>
      </c>
      <c r="L3" s="66">
        <f t="shared" si="0"/>
      </c>
      <c r="M3" s="67">
        <f t="shared" si="1"/>
      </c>
      <c r="N3" s="68">
        <f t="shared" si="2"/>
      </c>
      <c r="O3" s="71"/>
      <c r="P3" s="71"/>
      <c r="Q3" s="72"/>
    </row>
    <row hidden="true" r="4">
      <c r="A4" s="60">
        <v>46296</v>
      </c>
      <c r="B4" s="61" t="s">
        <v>103</v>
      </c>
      <c r="C4" s="62" t="s">
        <v>104</v>
      </c>
      <c r="D4" s="63">
        <v>5</v>
      </c>
      <c r="E4" s="65">
        <v>33</v>
      </c>
      <c r="F4" s="65">
        <v>20</v>
      </c>
      <c r="G4" s="65">
        <v>16</v>
      </c>
      <c r="H4" s="65">
        <v>13</v>
      </c>
      <c r="I4" s="65">
        <v>1</v>
      </c>
      <c r="J4" s="65">
        <v>22537.4</v>
      </c>
      <c r="K4" s="65">
        <v>17307.82</v>
      </c>
      <c r="L4" s="66">
        <f t="shared" si="0"/>
      </c>
      <c r="M4" s="67">
        <f t="shared" si="1"/>
      </c>
      <c r="N4" s="68">
        <f t="shared" si="2"/>
      </c>
      <c r="O4" s="73"/>
      <c r="P4" s="73"/>
      <c r="Q4" s="72"/>
    </row>
    <row hidden="true" r="5">
      <c r="A5" s="60">
        <v>46296</v>
      </c>
      <c r="B5" s="61" t="s">
        <v>105</v>
      </c>
      <c r="C5" s="74" t="s">
        <v>106</v>
      </c>
      <c r="D5" s="70">
        <v>5</v>
      </c>
      <c r="E5" s="75">
        <v>41</v>
      </c>
      <c r="F5" s="75">
        <v>25</v>
      </c>
      <c r="G5" s="75">
        <v>21</v>
      </c>
      <c r="H5" s="75">
        <v>15</v>
      </c>
      <c r="I5" s="75">
        <v>3</v>
      </c>
      <c r="J5" s="75">
        <v>36496.4</v>
      </c>
      <c r="K5" s="75">
        <v>15368.34</v>
      </c>
      <c r="L5" s="76">
        <f t="shared" si="0"/>
      </c>
      <c r="M5" s="77">
        <f t="shared" si="1"/>
      </c>
      <c r="N5" s="78">
        <f t="shared" si="2"/>
      </c>
      <c r="O5" s="79" t="s">
        <v>107</v>
      </c>
      <c r="P5" s="79">
        <v>10</v>
      </c>
      <c r="Q5" s="80"/>
    </row>
    <row hidden="true" r="6">
      <c r="A6" s="81">
        <v>46296</v>
      </c>
      <c r="B6" s="82"/>
      <c r="C6" s="83"/>
      <c r="D6" s="83">
        <f>SUM(D2:D5)</f>
      </c>
      <c r="E6" s="83">
        <f>SUM(E2:E5)</f>
      </c>
      <c r="F6" s="83">
        <f>SUM(F2:F5)</f>
      </c>
      <c r="G6" s="83">
        <f>SUM(G2:G5)</f>
      </c>
      <c r="H6" s="83">
        <f>SUM(H2:H5)</f>
      </c>
      <c r="I6" s="83">
        <f>SUM(I2:I5)</f>
      </c>
      <c r="J6" s="83">
        <f>SUM(J2:J5)</f>
      </c>
      <c r="K6" s="83">
        <f>SUM(K2:K5)</f>
      </c>
      <c r="L6" s="84">
        <f t="shared" si="0"/>
      </c>
      <c r="M6" s="84">
        <f t="shared" si="1"/>
      </c>
      <c r="N6" s="84">
        <f t="shared" si="2"/>
      </c>
      <c r="O6" s="83"/>
      <c r="P6" s="83">
        <f>SUM(P2:P5)</f>
      </c>
      <c r="Q6" s="83"/>
    </row>
    <row hidden="true" r="7">
      <c r="A7" s="60">
        <v>46297</v>
      </c>
      <c r="B7" s="85" t="s">
        <v>101</v>
      </c>
      <c r="C7" s="62" t="s">
        <v>99</v>
      </c>
      <c r="D7" s="63">
        <v>5</v>
      </c>
      <c r="E7" s="61">
        <v>28</v>
      </c>
      <c r="F7" s="64">
        <v>23</v>
      </c>
      <c r="G7" s="65">
        <v>16</v>
      </c>
      <c r="H7" s="65">
        <v>14</v>
      </c>
      <c r="I7" s="65">
        <v>4</v>
      </c>
      <c r="J7" s="65">
        <v>26146.8</v>
      </c>
      <c r="K7" s="65">
        <v>15812.75</v>
      </c>
      <c r="L7" s="66">
        <f t="shared" si="0"/>
      </c>
      <c r="M7" s="67">
        <f t="shared" si="1"/>
      </c>
      <c r="N7" s="68">
        <f t="shared" si="2"/>
      </c>
      <c r="O7" s="61" t="s">
        <v>100</v>
      </c>
      <c r="P7" s="61">
        <v>10</v>
      </c>
      <c r="Q7" s="69"/>
    </row>
    <row hidden="true" r="8">
      <c r="A8" s="60">
        <v>46297</v>
      </c>
      <c r="B8" s="61" t="s">
        <v>98</v>
      </c>
      <c r="C8" s="62" t="s">
        <v>102</v>
      </c>
      <c r="D8" s="70">
        <v>5</v>
      </c>
      <c r="E8" s="65">
        <v>36</v>
      </c>
      <c r="F8" s="65">
        <v>26</v>
      </c>
      <c r="G8" s="65">
        <v>23</v>
      </c>
      <c r="H8" s="65">
        <v>17</v>
      </c>
      <c r="I8" s="65">
        <v>2</v>
      </c>
      <c r="J8" s="65">
        <v>31152</v>
      </c>
      <c r="K8" s="65">
        <v>17912.85</v>
      </c>
      <c r="L8" s="66">
        <f t="shared" si="0"/>
      </c>
      <c r="M8" s="67">
        <f t="shared" si="1"/>
      </c>
      <c r="N8" s="68">
        <f t="shared" si="2"/>
      </c>
      <c r="O8" s="71"/>
      <c r="P8" s="71"/>
      <c r="Q8" s="72"/>
    </row>
    <row hidden="true" r="9">
      <c r="A9" s="60">
        <v>46297</v>
      </c>
      <c r="B9" s="85" t="s">
        <v>105</v>
      </c>
      <c r="C9" s="62" t="s">
        <v>104</v>
      </c>
      <c r="D9" s="63">
        <v>5</v>
      </c>
      <c r="E9" s="65">
        <v>33</v>
      </c>
      <c r="F9" s="65">
        <v>22</v>
      </c>
      <c r="G9" s="65">
        <v>20</v>
      </c>
      <c r="H9" s="65">
        <v>13</v>
      </c>
      <c r="I9" s="65">
        <v>2</v>
      </c>
      <c r="J9" s="65">
        <v>17949.6</v>
      </c>
      <c r="K9" s="65">
        <v>14440.32</v>
      </c>
      <c r="L9" s="66">
        <f t="shared" si="0"/>
      </c>
      <c r="M9" s="67">
        <f t="shared" si="1"/>
      </c>
      <c r="N9" s="68">
        <f t="shared" si="2"/>
      </c>
      <c r="O9" s="73"/>
      <c r="P9" s="73"/>
      <c r="Q9" s="72"/>
    </row>
    <row hidden="true" r="10">
      <c r="A10" s="60">
        <v>46297</v>
      </c>
      <c r="B10" s="61" t="s">
        <v>103</v>
      </c>
      <c r="C10" s="74" t="s">
        <v>106</v>
      </c>
      <c r="D10" s="70">
        <v>5</v>
      </c>
      <c r="E10" s="75">
        <v>29</v>
      </c>
      <c r="F10" s="75">
        <v>20</v>
      </c>
      <c r="G10" s="75">
        <v>15</v>
      </c>
      <c r="H10" s="75">
        <v>11</v>
      </c>
      <c r="I10" s="75">
        <v>2</v>
      </c>
      <c r="J10" s="75">
        <v>17872.8</v>
      </c>
      <c r="K10" s="75">
        <v>12356.57</v>
      </c>
      <c r="L10" s="76">
        <f t="shared" si="0"/>
      </c>
      <c r="M10" s="77">
        <f t="shared" si="1"/>
      </c>
      <c r="N10" s="78">
        <f t="shared" si="2"/>
      </c>
      <c r="O10" s="79" t="s">
        <v>107</v>
      </c>
      <c r="P10" s="79">
        <v>10</v>
      </c>
      <c r="Q10" s="80"/>
    </row>
    <row hidden="true" r="11">
      <c r="A11" s="81">
        <v>46297</v>
      </c>
      <c r="B11" s="82"/>
      <c r="C11" s="83"/>
      <c r="D11" s="83">
        <f>SUM(D7:D10)</f>
      </c>
      <c r="E11" s="83">
        <f>SUM(E7:E10)</f>
      </c>
      <c r="F11" s="83">
        <f>SUM(F7:F10)</f>
      </c>
      <c r="G11" s="83">
        <f>SUM(G7:G10)</f>
      </c>
      <c r="H11" s="83">
        <f>SUM(H7:H10)</f>
      </c>
      <c r="I11" s="83">
        <f>SUM(I7:I10)</f>
      </c>
      <c r="J11" s="83">
        <f>SUM(J7:J10)</f>
      </c>
      <c r="K11" s="83">
        <f>SUM(K7:K10)</f>
      </c>
      <c r="L11" s="84">
        <f t="shared" si="0"/>
      </c>
      <c r="M11" s="84">
        <f t="shared" si="1"/>
      </c>
      <c r="N11" s="84">
        <f t="shared" si="2"/>
      </c>
      <c r="O11" s="83"/>
      <c r="P11" s="83">
        <f>SUM(P7:P10)</f>
      </c>
      <c r="Q11" s="83"/>
    </row>
    <row hidden="true" r="12">
      <c r="A12" s="60">
        <v>46298</v>
      </c>
      <c r="B12" s="61" t="s">
        <v>98</v>
      </c>
      <c r="C12" s="62" t="s">
        <v>99</v>
      </c>
      <c r="D12" s="63">
        <v>5</v>
      </c>
      <c r="E12" s="61">
        <v>37</v>
      </c>
      <c r="F12" s="64">
        <v>30</v>
      </c>
      <c r="G12" s="65">
        <v>22</v>
      </c>
      <c r="H12" s="65">
        <v>22</v>
      </c>
      <c r="I12" s="65">
        <v>3</v>
      </c>
      <c r="J12" s="65">
        <v>26158.699999999997</v>
      </c>
      <c r="K12" s="65">
        <v>18462.29</v>
      </c>
      <c r="L12" s="66">
        <f t="shared" si="0"/>
      </c>
      <c r="M12" s="67">
        <f t="shared" si="1"/>
      </c>
      <c r="N12" s="68">
        <f t="shared" si="2"/>
      </c>
      <c r="O12" s="61" t="s">
        <v>108</v>
      </c>
      <c r="P12" s="61">
        <v>10</v>
      </c>
      <c r="Q12" s="69"/>
    </row>
    <row hidden="true" r="13">
      <c r="A13" s="60">
        <v>46298</v>
      </c>
      <c r="B13" s="61" t="s">
        <v>109</v>
      </c>
      <c r="C13" s="62" t="s">
        <v>102</v>
      </c>
      <c r="D13" s="70">
        <v>5</v>
      </c>
      <c r="E13" s="65">
        <v>34</v>
      </c>
      <c r="F13" s="65">
        <v>28</v>
      </c>
      <c r="G13" s="65">
        <v>25</v>
      </c>
      <c r="H13" s="65">
        <v>15</v>
      </c>
      <c r="I13" s="65">
        <v>1</v>
      </c>
      <c r="J13" s="65">
        <v>30813.600000000006</v>
      </c>
      <c r="K13" s="65">
        <v>19826.870000000003</v>
      </c>
      <c r="L13" s="66">
        <f t="shared" si="0"/>
      </c>
      <c r="M13" s="67">
        <f t="shared" si="1"/>
      </c>
      <c r="N13" s="68">
        <f t="shared" si="2"/>
      </c>
      <c r="O13" s="71"/>
      <c r="P13" s="71"/>
      <c r="Q13" s="72"/>
    </row>
    <row hidden="true" r="14">
      <c r="A14" s="60">
        <v>46298</v>
      </c>
      <c r="B14" s="85" t="s">
        <v>105</v>
      </c>
      <c r="C14" s="62" t="s">
        <v>104</v>
      </c>
      <c r="D14" s="63">
        <v>5</v>
      </c>
      <c r="E14" s="65">
        <v>56</v>
      </c>
      <c r="F14" s="65">
        <v>44</v>
      </c>
      <c r="G14" s="65">
        <v>32</v>
      </c>
      <c r="H14" s="65">
        <v>29</v>
      </c>
      <c r="I14" s="65">
        <v>3</v>
      </c>
      <c r="J14" s="65">
        <v>60751.6</v>
      </c>
      <c r="K14" s="65">
        <v>24504.059999999998</v>
      </c>
      <c r="L14" s="66">
        <f t="shared" si="0"/>
      </c>
      <c r="M14" s="67">
        <f t="shared" si="1"/>
      </c>
      <c r="N14" s="68">
        <f t="shared" si="2"/>
      </c>
      <c r="O14" s="73"/>
      <c r="P14" s="73"/>
      <c r="Q14" s="72"/>
    </row>
    <row hidden="true" r="15">
      <c r="A15" s="60">
        <v>46298</v>
      </c>
      <c r="B15" s="61" t="s">
        <v>110</v>
      </c>
      <c r="C15" s="74" t="s">
        <v>106</v>
      </c>
      <c r="D15" s="70">
        <v>5</v>
      </c>
      <c r="E15" s="75">
        <v>88</v>
      </c>
      <c r="F15" s="75">
        <v>62</v>
      </c>
      <c r="G15" s="75">
        <v>44</v>
      </c>
      <c r="H15" s="75">
        <v>42</v>
      </c>
      <c r="I15" s="75">
        <v>8</v>
      </c>
      <c r="J15" s="75">
        <v>74305.59999999999</v>
      </c>
      <c r="K15" s="75">
        <v>32918.38</v>
      </c>
      <c r="L15" s="76">
        <f t="shared" si="0"/>
      </c>
      <c r="M15" s="77">
        <f t="shared" si="1"/>
      </c>
      <c r="N15" s="78">
        <f t="shared" si="2"/>
      </c>
      <c r="O15" s="86" t="s">
        <v>111</v>
      </c>
      <c r="P15" s="79">
        <v>10</v>
      </c>
      <c r="Q15" s="80"/>
    </row>
    <row hidden="true" r="16">
      <c r="A16" s="81">
        <v>46298</v>
      </c>
      <c r="B16" s="82"/>
      <c r="C16" s="83"/>
      <c r="D16" s="83">
        <f>SUM(D12:D15)</f>
      </c>
      <c r="E16" s="83">
        <f>SUM(E12:E15)</f>
      </c>
      <c r="F16" s="83">
        <f>SUM(F12:F15)</f>
      </c>
      <c r="G16" s="83">
        <f>SUM(G12:G15)</f>
      </c>
      <c r="H16" s="83">
        <f>SUM(H12:H15)</f>
      </c>
      <c r="I16" s="83">
        <f>SUM(I12:I15)</f>
      </c>
      <c r="J16" s="83">
        <f>SUM(J12:J15)</f>
      </c>
      <c r="K16" s="83">
        <f>SUM(K12:K15)</f>
      </c>
      <c r="L16" s="84">
        <f t="shared" si="0"/>
      </c>
      <c r="M16" s="84">
        <f t="shared" si="1"/>
      </c>
      <c r="N16" s="84">
        <f t="shared" si="2"/>
      </c>
      <c r="O16" s="83"/>
      <c r="P16" s="83">
        <f>SUM(P12:P15)</f>
      </c>
      <c r="Q16" s="83"/>
    </row>
    <row hidden="true" r="17">
      <c r="A17" s="60">
        <v>46299</v>
      </c>
      <c r="B17" s="61" t="s">
        <v>112</v>
      </c>
      <c r="C17" s="62" t="s">
        <v>99</v>
      </c>
      <c r="D17" s="63">
        <v>5</v>
      </c>
      <c r="E17" s="61">
        <v>44</v>
      </c>
      <c r="F17" s="64">
        <v>34</v>
      </c>
      <c r="G17" s="65">
        <v>27</v>
      </c>
      <c r="H17" s="65">
        <v>20</v>
      </c>
      <c r="I17" s="65">
        <v>3</v>
      </c>
      <c r="J17" s="65">
        <v>31728.6</v>
      </c>
      <c r="K17" s="65">
        <v>21850.46</v>
      </c>
      <c r="L17" s="66">
        <f t="shared" si="0"/>
      </c>
      <c r="M17" s="67">
        <f t="shared" si="1"/>
      </c>
      <c r="N17" s="68">
        <f t="shared" si="2"/>
      </c>
      <c r="O17" s="61" t="s">
        <v>108</v>
      </c>
      <c r="P17" s="61">
        <v>10</v>
      </c>
      <c r="Q17" s="69"/>
    </row>
    <row hidden="true" r="18">
      <c r="A18" s="60">
        <v>46299</v>
      </c>
      <c r="B18" s="61" t="s">
        <v>105</v>
      </c>
      <c r="C18" s="62" t="s">
        <v>102</v>
      </c>
      <c r="D18" s="70">
        <v>5</v>
      </c>
      <c r="E18" s="65">
        <v>38</v>
      </c>
      <c r="F18" s="65">
        <v>28</v>
      </c>
      <c r="G18" s="65">
        <v>20</v>
      </c>
      <c r="H18" s="65">
        <v>18</v>
      </c>
      <c r="I18" s="65">
        <v>5</v>
      </c>
      <c r="J18" s="65">
        <v>30558.400000000012</v>
      </c>
      <c r="K18" s="65">
        <v>16275.61</v>
      </c>
      <c r="L18" s="66">
        <f t="shared" si="0"/>
      </c>
      <c r="M18" s="67">
        <f t="shared" si="1"/>
      </c>
      <c r="N18" s="68">
        <f t="shared" si="2"/>
      </c>
      <c r="O18" s="71"/>
      <c r="P18" s="71"/>
      <c r="Q18" s="72"/>
    </row>
    <row hidden="true" r="19">
      <c r="A19" s="60">
        <v>46299</v>
      </c>
      <c r="B19" s="86" t="s">
        <v>109</v>
      </c>
      <c r="C19" s="62" t="s">
        <v>104</v>
      </c>
      <c r="D19" s="63">
        <v>5</v>
      </c>
      <c r="E19" s="65">
        <v>27</v>
      </c>
      <c r="F19" s="65">
        <v>15</v>
      </c>
      <c r="G19" s="65">
        <v>11</v>
      </c>
      <c r="H19" s="65">
        <v>6</v>
      </c>
      <c r="I19" s="65">
        <v>0</v>
      </c>
      <c r="J19" s="65">
        <v>19630.399999999994</v>
      </c>
      <c r="K19" s="65">
        <v>12470.14</v>
      </c>
      <c r="L19" s="66">
        <f t="shared" si="0"/>
      </c>
      <c r="M19" s="67">
        <f t="shared" si="1"/>
      </c>
      <c r="N19" s="68">
        <f t="shared" si="2"/>
      </c>
      <c r="O19" s="73"/>
      <c r="P19" s="73"/>
      <c r="Q19" s="72"/>
    </row>
    <row hidden="true" r="20">
      <c r="A20" s="60">
        <v>46299</v>
      </c>
      <c r="B20" s="61" t="s">
        <v>110</v>
      </c>
      <c r="C20" s="74" t="s">
        <v>106</v>
      </c>
      <c r="D20" s="70">
        <v>5</v>
      </c>
      <c r="E20" s="75">
        <v>48</v>
      </c>
      <c r="F20" s="75">
        <v>35</v>
      </c>
      <c r="G20" s="75">
        <v>25</v>
      </c>
      <c r="H20" s="75">
        <v>18</v>
      </c>
      <c r="I20" s="75">
        <v>2</v>
      </c>
      <c r="J20" s="75">
        <v>42378.20000000002</v>
      </c>
      <c r="K20" s="75">
        <v>16677.65</v>
      </c>
      <c r="L20" s="76">
        <f t="shared" si="0"/>
      </c>
      <c r="M20" s="77">
        <f t="shared" si="1"/>
      </c>
      <c r="N20" s="78">
        <f t="shared" si="2"/>
      </c>
      <c r="O20" s="86" t="s">
        <v>111</v>
      </c>
      <c r="P20" s="79">
        <v>10</v>
      </c>
      <c r="Q20" s="80"/>
    </row>
    <row hidden="true" r="21">
      <c r="A21" s="81">
        <v>46299</v>
      </c>
      <c r="B21" s="82"/>
      <c r="C21" s="83"/>
      <c r="D21" s="83">
        <f>SUM(D17:D20)</f>
      </c>
      <c r="E21" s="83">
        <f>SUM(E17:E20)</f>
      </c>
      <c r="F21" s="83">
        <f>SUM(F17:F20)</f>
      </c>
      <c r="G21" s="83">
        <f>SUM(G17:G20)</f>
      </c>
      <c r="H21" s="83">
        <f>SUM(H17:H20)</f>
      </c>
      <c r="I21" s="83">
        <f>SUM(I17:I20)</f>
      </c>
      <c r="J21" s="83">
        <f>SUM(J17:J20)</f>
      </c>
      <c r="K21" s="83">
        <f>SUM(K17:K20)</f>
      </c>
      <c r="L21" s="84">
        <f t="shared" si="0"/>
      </c>
      <c r="M21" s="84">
        <f t="shared" si="1"/>
      </c>
      <c r="N21" s="84">
        <f t="shared" si="2"/>
      </c>
      <c r="O21" s="83"/>
      <c r="P21" s="83">
        <f>SUM(P17:P20)</f>
      </c>
      <c r="Q21" s="83"/>
    </row>
    <row hidden="true" r="22">
      <c r="A22" s="60">
        <v>46300</v>
      </c>
      <c r="B22" s="61" t="s">
        <v>101</v>
      </c>
      <c r="C22" s="62" t="s">
        <v>99</v>
      </c>
      <c r="D22" s="63">
        <v>5</v>
      </c>
      <c r="E22" s="61">
        <v>56</v>
      </c>
      <c r="F22" s="64">
        <v>41</v>
      </c>
      <c r="G22" s="65">
        <v>25</v>
      </c>
      <c r="H22" s="65">
        <v>22</v>
      </c>
      <c r="I22" s="65">
        <v>2</v>
      </c>
      <c r="J22" s="65">
        <v>55758.00000000001</v>
      </c>
      <c r="K22" s="65">
        <v>23827.99</v>
      </c>
      <c r="L22" s="66">
        <f t="shared" si="0"/>
      </c>
      <c r="M22" s="67">
        <f t="shared" si="1"/>
      </c>
      <c r="N22" s="68">
        <f t="shared" si="2"/>
      </c>
      <c r="O22" s="61" t="s">
        <v>108</v>
      </c>
      <c r="P22" s="61">
        <v>10</v>
      </c>
      <c r="Q22" s="69"/>
    </row>
    <row hidden="true" r="23">
      <c r="A23" s="60">
        <v>46300</v>
      </c>
      <c r="B23" s="61" t="s">
        <v>105</v>
      </c>
      <c r="C23" s="62" t="s">
        <v>102</v>
      </c>
      <c r="D23" s="70">
        <v>5</v>
      </c>
      <c r="E23" s="65">
        <v>51</v>
      </c>
      <c r="F23" s="65">
        <v>39</v>
      </c>
      <c r="G23" s="65">
        <v>34</v>
      </c>
      <c r="H23" s="65">
        <v>24</v>
      </c>
      <c r="I23" s="65">
        <v>3</v>
      </c>
      <c r="J23" s="65">
        <v>38339.399999999994</v>
      </c>
      <c r="K23" s="65">
        <v>29049.91</v>
      </c>
      <c r="L23" s="66">
        <f t="shared" si="0"/>
      </c>
      <c r="M23" s="67">
        <f t="shared" si="1"/>
      </c>
      <c r="N23" s="68">
        <f t="shared" si="2"/>
      </c>
      <c r="O23" s="71"/>
      <c r="P23" s="71"/>
      <c r="Q23" s="72"/>
    </row>
    <row hidden="true" r="24">
      <c r="A24" s="60">
        <v>46300</v>
      </c>
      <c r="B24" s="86" t="s">
        <v>110</v>
      </c>
      <c r="C24" s="62" t="s">
        <v>104</v>
      </c>
      <c r="D24" s="63">
        <v>5</v>
      </c>
      <c r="E24" s="65">
        <v>42</v>
      </c>
      <c r="F24" s="65">
        <v>27</v>
      </c>
      <c r="G24" s="65">
        <v>15</v>
      </c>
      <c r="H24" s="65">
        <v>20</v>
      </c>
      <c r="I24" s="65">
        <v>3</v>
      </c>
      <c r="J24" s="65">
        <v>30094.000000000007</v>
      </c>
      <c r="K24" s="65">
        <v>20035.79</v>
      </c>
      <c r="L24" s="66">
        <f t="shared" si="0"/>
      </c>
      <c r="M24" s="67">
        <f t="shared" si="1"/>
      </c>
      <c r="N24" s="68">
        <f t="shared" si="2"/>
      </c>
      <c r="O24" s="73"/>
      <c r="P24" s="73"/>
      <c r="Q24" s="72"/>
    </row>
    <row hidden="true" r="25">
      <c r="A25" s="60">
        <v>46300</v>
      </c>
      <c r="B25" s="61" t="s">
        <v>112</v>
      </c>
      <c r="C25" s="74" t="s">
        <v>106</v>
      </c>
      <c r="D25" s="70">
        <v>5</v>
      </c>
      <c r="E25" s="75">
        <v>33</v>
      </c>
      <c r="F25" s="75">
        <v>22</v>
      </c>
      <c r="G25" s="75">
        <v>15</v>
      </c>
      <c r="H25" s="75">
        <v>13</v>
      </c>
      <c r="I25" s="75">
        <v>1</v>
      </c>
      <c r="J25" s="75">
        <v>28226.59999999999</v>
      </c>
      <c r="K25" s="75">
        <v>15786.22</v>
      </c>
      <c r="L25" s="76">
        <f t="shared" si="0"/>
      </c>
      <c r="M25" s="77">
        <f t="shared" si="1"/>
      </c>
      <c r="N25" s="78">
        <f t="shared" si="2"/>
      </c>
      <c r="O25" s="86" t="s">
        <v>113</v>
      </c>
      <c r="P25" s="79">
        <v>10</v>
      </c>
      <c r="Q25" s="80"/>
    </row>
    <row hidden="true" r="26">
      <c r="A26" s="81">
        <v>46300</v>
      </c>
      <c r="B26" s="82"/>
      <c r="C26" s="83"/>
      <c r="D26" s="83">
        <f>SUM(D22:D25)</f>
      </c>
      <c r="E26" s="83">
        <f>SUM(E22:E25)</f>
      </c>
      <c r="F26" s="83">
        <f>SUM(F22:F25)</f>
      </c>
      <c r="G26" s="83">
        <f>SUM(G22:G25)</f>
      </c>
      <c r="H26" s="83">
        <f>SUM(H22:H25)</f>
      </c>
      <c r="I26" s="83">
        <f>SUM(I22:I25)</f>
      </c>
      <c r="J26" s="83">
        <f>SUM(J22:J25)</f>
      </c>
      <c r="K26" s="83">
        <f>SUM(K22:K25)</f>
      </c>
      <c r="L26" s="84">
        <f t="shared" si="0"/>
      </c>
      <c r="M26" s="84">
        <f t="shared" si="1"/>
      </c>
      <c r="N26" s="84">
        <f t="shared" si="2"/>
      </c>
      <c r="O26" s="83"/>
      <c r="P26" s="83">
        <f>SUM(P22:P25)</f>
      </c>
      <c r="Q26" s="83"/>
    </row>
    <row hidden="true" r="27">
      <c r="A27" s="60">
        <v>46301</v>
      </c>
      <c r="B27" s="61" t="s">
        <v>101</v>
      </c>
      <c r="C27" s="62" t="s">
        <v>99</v>
      </c>
      <c r="D27" s="63">
        <v>5</v>
      </c>
      <c r="E27" s="61">
        <v>60</v>
      </c>
      <c r="F27" s="64">
        <v>33</v>
      </c>
      <c r="G27" s="65">
        <v>28</v>
      </c>
      <c r="H27" s="65">
        <v>23</v>
      </c>
      <c r="I27" s="65">
        <v>3</v>
      </c>
      <c r="J27" s="65">
        <v>39907.6</v>
      </c>
      <c r="K27" s="65">
        <v>24301.97</v>
      </c>
      <c r="L27" s="66">
        <f t="shared" si="0"/>
      </c>
      <c r="M27" s="67">
        <f t="shared" si="1"/>
      </c>
      <c r="N27" s="68">
        <f t="shared" si="2"/>
      </c>
      <c r="O27" s="61" t="s">
        <v>108</v>
      </c>
      <c r="P27" s="61">
        <v>10</v>
      </c>
      <c r="Q27" s="69"/>
    </row>
    <row hidden="true" r="28">
      <c r="A28" s="60">
        <v>46301</v>
      </c>
      <c r="B28" s="86" t="s">
        <v>110</v>
      </c>
      <c r="C28" s="62" t="s">
        <v>102</v>
      </c>
      <c r="D28" s="70">
        <v>5</v>
      </c>
      <c r="E28" s="65">
        <v>23</v>
      </c>
      <c r="F28" s="65">
        <v>14</v>
      </c>
      <c r="G28" s="65">
        <v>13</v>
      </c>
      <c r="H28" s="65">
        <v>9</v>
      </c>
      <c r="I28" s="65">
        <v>0</v>
      </c>
      <c r="J28" s="65">
        <v>17802.799999999996</v>
      </c>
      <c r="K28" s="65">
        <v>12714.579999999998</v>
      </c>
      <c r="L28" s="66">
        <f t="shared" si="0"/>
      </c>
      <c r="M28" s="67">
        <f t="shared" si="1"/>
      </c>
      <c r="N28" s="68">
        <f t="shared" si="2"/>
      </c>
      <c r="O28" s="71"/>
      <c r="P28" s="71"/>
      <c r="Q28" s="72"/>
    </row>
    <row hidden="true" r="29">
      <c r="A29" s="60">
        <v>46301</v>
      </c>
      <c r="B29" s="86" t="s">
        <v>98</v>
      </c>
      <c r="C29" s="62" t="s">
        <v>104</v>
      </c>
      <c r="D29" s="63">
        <v>5</v>
      </c>
      <c r="E29" s="65">
        <v>21</v>
      </c>
      <c r="F29" s="65">
        <v>17</v>
      </c>
      <c r="G29" s="65">
        <v>9</v>
      </c>
      <c r="H29" s="65">
        <v>11</v>
      </c>
      <c r="I29" s="65">
        <v>2</v>
      </c>
      <c r="J29" s="65">
        <v>19006.8</v>
      </c>
      <c r="K29" s="65">
        <v>12098.07</v>
      </c>
      <c r="L29" s="66">
        <f t="shared" si="0"/>
      </c>
      <c r="M29" s="67">
        <f t="shared" si="1"/>
      </c>
      <c r="N29" s="68">
        <f t="shared" si="2"/>
      </c>
      <c r="O29" s="73"/>
      <c r="P29" s="73"/>
      <c r="Q29" s="72"/>
    </row>
    <row hidden="true" r="30">
      <c r="A30" s="60">
        <v>46301</v>
      </c>
      <c r="B30" s="61" t="s">
        <v>112</v>
      </c>
      <c r="C30" s="74" t="s">
        <v>106</v>
      </c>
      <c r="D30" s="70">
        <v>5</v>
      </c>
      <c r="E30" s="75">
        <v>35</v>
      </c>
      <c r="F30" s="75">
        <v>27</v>
      </c>
      <c r="G30" s="75">
        <v>15</v>
      </c>
      <c r="H30" s="75">
        <v>17</v>
      </c>
      <c r="I30" s="75">
        <v>4</v>
      </c>
      <c r="J30" s="75">
        <v>19952.399999999998</v>
      </c>
      <c r="K30" s="75">
        <v>12191.17</v>
      </c>
      <c r="L30" s="76">
        <f t="shared" si="0"/>
      </c>
      <c r="M30" s="77">
        <f t="shared" si="1"/>
      </c>
      <c r="N30" s="78">
        <f t="shared" si="2"/>
      </c>
      <c r="O30" s="86" t="s">
        <v>111</v>
      </c>
      <c r="P30" s="79">
        <v>10</v>
      </c>
      <c r="Q30" s="80"/>
    </row>
    <row hidden="true" r="31">
      <c r="A31" s="81">
        <v>46301</v>
      </c>
      <c r="B31" s="82"/>
      <c r="C31" s="83"/>
      <c r="D31" s="83">
        <f>SUM(D27:D30)</f>
      </c>
      <c r="E31" s="83">
        <f>SUM(E27:E30)</f>
      </c>
      <c r="F31" s="83">
        <f>SUM(F27:F30)</f>
      </c>
      <c r="G31" s="83">
        <f>SUM(G27:G30)</f>
      </c>
      <c r="H31" s="83">
        <f>SUM(H27:H30)</f>
      </c>
      <c r="I31" s="83">
        <f>SUM(I27:I30)</f>
      </c>
      <c r="J31" s="83">
        <f>SUM(J27:J30)</f>
      </c>
      <c r="K31" s="83">
        <f>SUM(K27:K30)</f>
      </c>
      <c r="L31" s="84">
        <f t="shared" si="0"/>
      </c>
      <c r="M31" s="84">
        <f t="shared" si="1"/>
      </c>
      <c r="N31" s="84">
        <f t="shared" si="2"/>
      </c>
      <c r="O31" s="83"/>
      <c r="P31" s="83">
        <f>SUM(P27:P30)</f>
      </c>
      <c r="Q31" s="83"/>
    </row>
    <row hidden="true" r="32">
      <c r="A32" s="60">
        <v>46302</v>
      </c>
      <c r="B32" s="61" t="s">
        <v>101</v>
      </c>
      <c r="C32" s="62" t="s">
        <v>99</v>
      </c>
      <c r="D32" s="63">
        <v>5</v>
      </c>
      <c r="E32" s="61">
        <v>58</v>
      </c>
      <c r="F32" s="64">
        <v>46</v>
      </c>
      <c r="G32" s="65">
        <v>32</v>
      </c>
      <c r="H32" s="65">
        <v>32</v>
      </c>
      <c r="I32" s="65">
        <v>4</v>
      </c>
      <c r="J32" s="65">
        <v>43839.40000000001</v>
      </c>
      <c r="K32" s="65">
        <v>27162.31</v>
      </c>
      <c r="L32" s="66">
        <f t="shared" si="0"/>
      </c>
      <c r="M32" s="67">
        <f t="shared" si="1"/>
      </c>
      <c r="N32" s="68">
        <f t="shared" si="2"/>
      </c>
      <c r="O32" s="61" t="s">
        <v>108</v>
      </c>
      <c r="P32" s="61">
        <v>10</v>
      </c>
      <c r="Q32" s="69"/>
    </row>
    <row hidden="true" r="33">
      <c r="A33" s="60">
        <v>46302</v>
      </c>
      <c r="B33" s="86" t="s">
        <v>98</v>
      </c>
      <c r="C33" s="62" t="s">
        <v>102</v>
      </c>
      <c r="D33" s="70">
        <v>5</v>
      </c>
      <c r="E33" s="65">
        <v>38</v>
      </c>
      <c r="F33" s="65">
        <v>27</v>
      </c>
      <c r="G33" s="65">
        <v>34</v>
      </c>
      <c r="H33" s="65">
        <v>20</v>
      </c>
      <c r="I33" s="65">
        <v>4</v>
      </c>
      <c r="J33" s="65">
        <v>26756.4</v>
      </c>
      <c r="K33" s="65">
        <v>21275.89</v>
      </c>
      <c r="L33" s="66">
        <f t="shared" si="0"/>
      </c>
      <c r="M33" s="67">
        <f t="shared" si="1"/>
      </c>
      <c r="N33" s="68">
        <f t="shared" si="2"/>
      </c>
      <c r="O33" s="71"/>
      <c r="P33" s="71"/>
      <c r="Q33" s="72"/>
    </row>
    <row hidden="true" r="34">
      <c r="A34" s="60">
        <v>46302</v>
      </c>
      <c r="B34" s="86" t="s">
        <v>103</v>
      </c>
      <c r="C34" s="62" t="s">
        <v>104</v>
      </c>
      <c r="D34" s="63">
        <v>5</v>
      </c>
      <c r="E34" s="65">
        <v>28</v>
      </c>
      <c r="F34" s="65">
        <v>16</v>
      </c>
      <c r="G34" s="65">
        <v>12</v>
      </c>
      <c r="H34" s="65">
        <v>10</v>
      </c>
      <c r="I34" s="65">
        <v>0</v>
      </c>
      <c r="J34" s="65">
        <v>15446.599999999999</v>
      </c>
      <c r="K34" s="65">
        <v>15822.949999999999</v>
      </c>
      <c r="L34" s="66">
        <f t="shared" si="0"/>
      </c>
      <c r="M34" s="67">
        <f t="shared" si="1"/>
      </c>
      <c r="N34" s="68">
        <f t="shared" si="2"/>
      </c>
      <c r="O34" s="73"/>
      <c r="P34" s="73"/>
      <c r="Q34" s="72"/>
    </row>
    <row hidden="true" r="35">
      <c r="A35" s="60">
        <v>46302</v>
      </c>
      <c r="B35" s="61" t="s">
        <v>112</v>
      </c>
      <c r="C35" s="74" t="s">
        <v>106</v>
      </c>
      <c r="D35" s="70">
        <v>5</v>
      </c>
      <c r="E35" s="75">
        <v>35</v>
      </c>
      <c r="F35" s="75">
        <v>22</v>
      </c>
      <c r="G35" s="75">
        <v>15</v>
      </c>
      <c r="H35" s="75">
        <v>14</v>
      </c>
      <c r="I35" s="75">
        <v>2</v>
      </c>
      <c r="J35" s="75">
        <v>21942</v>
      </c>
      <c r="K35" s="75">
        <v>12667.230000000001</v>
      </c>
      <c r="L35" s="76">
        <f t="shared" si="0"/>
      </c>
      <c r="M35" s="77">
        <f t="shared" si="1"/>
      </c>
      <c r="N35" s="78">
        <f t="shared" si="2"/>
      </c>
      <c r="O35" s="79" t="s">
        <v>111</v>
      </c>
      <c r="P35" s="79">
        <v>10</v>
      </c>
      <c r="Q35" s="80"/>
    </row>
    <row hidden="true" r="36">
      <c r="A36" s="81">
        <v>46302</v>
      </c>
      <c r="B36" s="82"/>
      <c r="C36" s="83"/>
      <c r="D36" s="83">
        <f>SUM(D32:D35)</f>
      </c>
      <c r="E36" s="83">
        <f>SUM(E32:E35)</f>
      </c>
      <c r="F36" s="83">
        <f>SUM(F32:F35)</f>
      </c>
      <c r="G36" s="83">
        <f>SUM(G32:G35)</f>
      </c>
      <c r="H36" s="83">
        <f>SUM(H32:H35)</f>
      </c>
      <c r="I36" s="83">
        <f>SUM(I32:I35)</f>
      </c>
      <c r="J36" s="83">
        <f>SUM(J32:J35)</f>
      </c>
      <c r="K36" s="83">
        <f>SUM(K32:K35)</f>
      </c>
      <c r="L36" s="84">
        <f t="shared" si="0"/>
      </c>
      <c r="M36" s="84">
        <f t="shared" si="1"/>
      </c>
      <c r="N36" s="84">
        <f t="shared" si="2"/>
      </c>
      <c r="O36" s="83"/>
      <c r="P36" s="83">
        <f>SUM(P32:P35)</f>
      </c>
      <c r="Q36" s="83"/>
    </row>
    <row hidden="true" r="37">
      <c r="A37" s="60">
        <v>46303</v>
      </c>
      <c r="B37" s="61" t="s">
        <v>101</v>
      </c>
      <c r="C37" s="62" t="s">
        <v>99</v>
      </c>
      <c r="D37" s="63">
        <v>5</v>
      </c>
      <c r="E37" s="61">
        <v>26</v>
      </c>
      <c r="F37" s="64">
        <v>18</v>
      </c>
      <c r="G37" s="65">
        <v>15</v>
      </c>
      <c r="H37" s="65">
        <v>9</v>
      </c>
      <c r="I37" s="65">
        <v>1</v>
      </c>
      <c r="J37" s="65">
        <v>15583.599999999999</v>
      </c>
      <c r="K37" s="65">
        <v>13686.220000000001</v>
      </c>
      <c r="L37" s="66">
        <f t="shared" si="0"/>
      </c>
      <c r="M37" s="67">
        <f t="shared" si="1"/>
      </c>
      <c r="N37" s="68">
        <f t="shared" si="2"/>
      </c>
      <c r="O37" s="61" t="s">
        <v>114</v>
      </c>
      <c r="P37" s="61">
        <v>10</v>
      </c>
      <c r="Q37" s="69"/>
    </row>
    <row hidden="true" r="38">
      <c r="A38" s="60">
        <v>46303</v>
      </c>
      <c r="B38" s="86" t="s">
        <v>98</v>
      </c>
      <c r="C38" s="62" t="s">
        <v>102</v>
      </c>
      <c r="D38" s="70">
        <v>5</v>
      </c>
      <c r="E38" s="65">
        <v>18</v>
      </c>
      <c r="F38" s="65">
        <v>12</v>
      </c>
      <c r="G38" s="65">
        <v>11</v>
      </c>
      <c r="H38" s="65">
        <v>11</v>
      </c>
      <c r="I38" s="65">
        <v>0</v>
      </c>
      <c r="J38" s="65">
        <v>8950.8</v>
      </c>
      <c r="K38" s="65">
        <v>12025.09</v>
      </c>
      <c r="L38" s="66">
        <f t="shared" si="0"/>
      </c>
      <c r="M38" s="67">
        <f t="shared" si="1"/>
      </c>
      <c r="N38" s="68">
        <f t="shared" si="2"/>
      </c>
      <c r="O38" s="71"/>
      <c r="P38" s="71"/>
      <c r="Q38" s="72"/>
    </row>
    <row hidden="true" r="39">
      <c r="A39" s="60">
        <v>46303</v>
      </c>
      <c r="B39" s="61" t="s">
        <v>112</v>
      </c>
      <c r="C39" s="62" t="s">
        <v>104</v>
      </c>
      <c r="D39" s="63">
        <v>5</v>
      </c>
      <c r="E39" s="65">
        <v>31</v>
      </c>
      <c r="F39" s="65">
        <v>19</v>
      </c>
      <c r="G39" s="65">
        <v>12</v>
      </c>
      <c r="H39" s="65">
        <v>14</v>
      </c>
      <c r="I39" s="65">
        <v>2</v>
      </c>
      <c r="J39" s="65">
        <v>22799.2</v>
      </c>
      <c r="K39" s="65">
        <v>11292.869999999999</v>
      </c>
      <c r="L39" s="66">
        <f t="shared" si="0"/>
      </c>
      <c r="M39" s="67">
        <f t="shared" si="1"/>
      </c>
      <c r="N39" s="68">
        <f t="shared" si="2"/>
      </c>
      <c r="O39" s="73"/>
      <c r="P39" s="73"/>
      <c r="Q39" s="72"/>
    </row>
    <row hidden="true" r="40">
      <c r="A40" s="60">
        <v>46303</v>
      </c>
      <c r="B40" s="86" t="s">
        <v>105</v>
      </c>
      <c r="C40" s="74" t="s">
        <v>106</v>
      </c>
      <c r="D40" s="70">
        <v>5</v>
      </c>
      <c r="E40" s="75">
        <v>41</v>
      </c>
      <c r="F40" s="75">
        <v>23</v>
      </c>
      <c r="G40" s="75">
        <v>15</v>
      </c>
      <c r="H40" s="75">
        <v>18</v>
      </c>
      <c r="I40" s="75">
        <v>2</v>
      </c>
      <c r="J40" s="75">
        <v>26720.800000000003</v>
      </c>
      <c r="K40" s="75">
        <v>13133.7</v>
      </c>
      <c r="L40" s="76">
        <f t="shared" si="0"/>
      </c>
      <c r="M40" s="77">
        <f t="shared" si="1"/>
      </c>
      <c r="N40" s="78">
        <f t="shared" si="2"/>
      </c>
      <c r="O40" s="79" t="s">
        <v>111</v>
      </c>
      <c r="P40" s="79">
        <v>10</v>
      </c>
      <c r="Q40" s="80"/>
    </row>
    <row hidden="true" r="41">
      <c r="A41" s="81">
        <v>46303</v>
      </c>
      <c r="B41" s="82"/>
      <c r="C41" s="83"/>
      <c r="D41" s="83">
        <f>SUM(D37:D40)</f>
      </c>
      <c r="E41" s="83">
        <f>SUM(E37:E40)</f>
      </c>
      <c r="F41" s="83">
        <f>SUM(F37:F40)</f>
      </c>
      <c r="G41" s="83">
        <f>SUM(G37:G40)</f>
      </c>
      <c r="H41" s="83">
        <f>SUM(H37:H40)</f>
      </c>
      <c r="I41" s="83">
        <f>SUM(I37:I40)</f>
      </c>
      <c r="J41" s="83">
        <f>SUM(J37:J40)</f>
      </c>
      <c r="K41" s="83">
        <f>SUM(K37:K40)</f>
      </c>
      <c r="L41" s="84">
        <f t="shared" si="0"/>
      </c>
      <c r="M41" s="84">
        <f t="shared" si="1"/>
      </c>
      <c r="N41" s="84">
        <f t="shared" si="2"/>
      </c>
      <c r="O41" s="83"/>
      <c r="P41" s="83">
        <f>SUM(P37:P40)</f>
      </c>
      <c r="Q41" s="83"/>
    </row>
    <row hidden="true" r="42">
      <c r="A42" s="60">
        <v>46304</v>
      </c>
      <c r="B42" s="61" t="s">
        <v>98</v>
      </c>
      <c r="C42" s="62" t="s">
        <v>99</v>
      </c>
      <c r="D42" s="63">
        <v>5</v>
      </c>
      <c r="E42" s="61">
        <v>46</v>
      </c>
      <c r="F42" s="64">
        <v>28</v>
      </c>
      <c r="G42" s="65">
        <v>22</v>
      </c>
      <c r="H42" s="65">
        <v>16</v>
      </c>
      <c r="I42" s="65">
        <v>3</v>
      </c>
      <c r="J42" s="65">
        <v>28603.400000000005</v>
      </c>
      <c r="K42" s="65">
        <v>16432.530000000002</v>
      </c>
      <c r="L42" s="66">
        <f t="shared" si="0"/>
      </c>
      <c r="M42" s="67">
        <f t="shared" si="1"/>
      </c>
      <c r="N42" s="68">
        <f t="shared" si="2"/>
      </c>
      <c r="O42" s="61" t="s">
        <v>108</v>
      </c>
      <c r="P42" s="61">
        <v>10</v>
      </c>
      <c r="Q42" s="69"/>
    </row>
    <row hidden="true" r="43">
      <c r="A43" s="60">
        <v>46304</v>
      </c>
      <c r="B43" s="86" t="s">
        <v>110</v>
      </c>
      <c r="C43" s="62" t="s">
        <v>115</v>
      </c>
      <c r="D43" s="70">
        <v>4</v>
      </c>
      <c r="E43" s="65">
        <v>37</v>
      </c>
      <c r="F43" s="65">
        <v>30</v>
      </c>
      <c r="G43" s="65">
        <v>22</v>
      </c>
      <c r="H43" s="65">
        <v>15</v>
      </c>
      <c r="I43" s="65">
        <v>3</v>
      </c>
      <c r="J43" s="65">
        <v>35540.8</v>
      </c>
      <c r="K43" s="65">
        <v>17635.35</v>
      </c>
      <c r="L43" s="66">
        <f t="shared" si="0"/>
      </c>
      <c r="M43" s="67">
        <f t="shared" si="1"/>
      </c>
      <c r="N43" s="68">
        <f t="shared" si="2"/>
      </c>
      <c r="O43" s="71"/>
      <c r="P43" s="71"/>
      <c r="Q43" s="72"/>
    </row>
    <row customHeight="true" hidden="true" ht="16.071428571428573" r="44">
      <c r="A44" s="60">
        <v>46304</v>
      </c>
      <c r="B44" s="86" t="s">
        <v>109</v>
      </c>
      <c r="C44" s="62" t="s">
        <v>116</v>
      </c>
      <c r="D44" s="70">
        <v>3</v>
      </c>
      <c r="E44" s="65">
        <v>14</v>
      </c>
      <c r="F44" s="65">
        <v>12</v>
      </c>
      <c r="G44" s="65">
        <v>8</v>
      </c>
      <c r="H44" s="65">
        <v>6</v>
      </c>
      <c r="I44" s="65">
        <v>2</v>
      </c>
      <c r="J44" s="65">
        <v>14136.000000000007</v>
      </c>
      <c r="K44" s="65">
        <v>8666.91</v>
      </c>
      <c r="L44" s="66">
        <f t="shared" si="0"/>
      </c>
      <c r="M44" s="67">
        <f t="shared" si="1"/>
      </c>
      <c r="N44" s="68">
        <f t="shared" si="2"/>
      </c>
      <c r="O44" s="71"/>
      <c r="P44" s="71"/>
      <c r="Q44" s="72"/>
    </row>
    <row hidden="true" r="45">
      <c r="A45" s="60">
        <v>46304</v>
      </c>
      <c r="B45" s="61" t="s">
        <v>101</v>
      </c>
      <c r="C45" s="62" t="s">
        <v>117</v>
      </c>
      <c r="D45" s="63">
        <v>4</v>
      </c>
      <c r="E45" s="65">
        <v>29</v>
      </c>
      <c r="F45" s="65">
        <v>21</v>
      </c>
      <c r="G45" s="65">
        <v>16</v>
      </c>
      <c r="H45" s="65">
        <v>13</v>
      </c>
      <c r="I45" s="65">
        <v>2</v>
      </c>
      <c r="J45" s="65">
        <v>29979.59999999999</v>
      </c>
      <c r="K45" s="65">
        <v>11207.46</v>
      </c>
      <c r="L45" s="66">
        <f t="shared" si="0"/>
      </c>
      <c r="M45" s="67">
        <f t="shared" si="1"/>
      </c>
      <c r="N45" s="68">
        <f t="shared" si="2"/>
      </c>
      <c r="O45" s="73"/>
      <c r="P45" s="73"/>
      <c r="Q45" s="72"/>
    </row>
    <row hidden="true" r="46">
      <c r="A46" s="60">
        <v>46304</v>
      </c>
      <c r="B46" s="86" t="s">
        <v>112</v>
      </c>
      <c r="C46" s="74" t="s">
        <v>118</v>
      </c>
      <c r="D46" s="70">
        <v>4</v>
      </c>
      <c r="E46" s="75">
        <v>34</v>
      </c>
      <c r="F46" s="75">
        <v>25</v>
      </c>
      <c r="G46" s="75">
        <v>18</v>
      </c>
      <c r="H46" s="75">
        <v>17</v>
      </c>
      <c r="I46" s="75">
        <v>2</v>
      </c>
      <c r="J46" s="75">
        <v>23985</v>
      </c>
      <c r="K46" s="75">
        <v>10754.380000000001</v>
      </c>
      <c r="L46" s="76">
        <f t="shared" si="0"/>
      </c>
      <c r="M46" s="77">
        <f t="shared" si="1"/>
      </c>
      <c r="N46" s="78">
        <f t="shared" si="2"/>
      </c>
      <c r="O46" s="86" t="s">
        <v>113</v>
      </c>
      <c r="P46" s="79">
        <v>10</v>
      </c>
      <c r="Q46" s="80"/>
    </row>
    <row hidden="true" r="47">
      <c r="A47" s="81">
        <v>46304</v>
      </c>
      <c r="B47" s="82"/>
      <c r="C47" s="83"/>
      <c r="D47" s="83">
        <f>SUM(D42:D46)</f>
      </c>
      <c r="E47" s="83">
        <f>SUM(E42:E46)</f>
      </c>
      <c r="F47" s="83">
        <f>SUM(F42:F46)</f>
      </c>
      <c r="G47" s="83">
        <f>SUM(G42:G46)</f>
      </c>
      <c r="H47" s="83">
        <f>SUM(H42:H46)</f>
      </c>
      <c r="I47" s="83">
        <f>SUM(I42:I46)</f>
      </c>
      <c r="J47" s="83">
        <f>SUM(J42:J46)</f>
      </c>
      <c r="K47" s="83">
        <f>SUM(K42:K46)</f>
      </c>
      <c r="L47" s="84">
        <f t="shared" si="0"/>
      </c>
      <c r="M47" s="84">
        <f t="shared" si="1"/>
      </c>
      <c r="N47" s="84">
        <f t="shared" si="2"/>
      </c>
      <c r="O47" s="83"/>
      <c r="P47" s="83">
        <f>SUM(P42:P46)</f>
      </c>
      <c r="Q47" s="83"/>
    </row>
    <row hidden="true" r="48">
      <c r="A48" s="60">
        <v>46305</v>
      </c>
      <c r="B48" s="61" t="s">
        <v>98</v>
      </c>
      <c r="C48" s="62" t="s">
        <v>99</v>
      </c>
      <c r="D48" s="63">
        <v>5</v>
      </c>
      <c r="E48" s="61">
        <v>34</v>
      </c>
      <c r="F48" s="64">
        <v>20</v>
      </c>
      <c r="G48" s="65">
        <v>17</v>
      </c>
      <c r="H48" s="65">
        <v>10</v>
      </c>
      <c r="I48" s="65">
        <v>1</v>
      </c>
      <c r="J48" s="65">
        <v>26477.000000000004</v>
      </c>
      <c r="K48" s="65">
        <v>23280.47</v>
      </c>
      <c r="L48" s="66">
        <f t="shared" si="0"/>
      </c>
      <c r="M48" s="67">
        <f t="shared" si="1"/>
      </c>
      <c r="N48" s="68">
        <f t="shared" si="2"/>
      </c>
      <c r="O48" s="61" t="s">
        <v>108</v>
      </c>
      <c r="P48" s="61">
        <v>10</v>
      </c>
      <c r="Q48" s="69"/>
    </row>
    <row hidden="true" r="49">
      <c r="A49" s="60">
        <v>46305</v>
      </c>
      <c r="B49" s="86" t="s">
        <v>110</v>
      </c>
      <c r="C49" s="62" t="s">
        <v>115</v>
      </c>
      <c r="D49" s="70">
        <v>4</v>
      </c>
      <c r="E49" s="65">
        <v>34</v>
      </c>
      <c r="F49" s="65">
        <v>23</v>
      </c>
      <c r="G49" s="65">
        <v>13</v>
      </c>
      <c r="H49" s="65">
        <v>19</v>
      </c>
      <c r="I49" s="65">
        <v>5</v>
      </c>
      <c r="J49" s="65">
        <v>31804.000000000007</v>
      </c>
      <c r="K49" s="65">
        <v>11992.5</v>
      </c>
      <c r="L49" s="66">
        <f t="shared" si="0"/>
      </c>
      <c r="M49" s="67">
        <f t="shared" si="1"/>
      </c>
      <c r="N49" s="68">
        <f t="shared" si="2"/>
      </c>
      <c r="O49" s="71"/>
      <c r="P49" s="71"/>
      <c r="Q49" s="72"/>
    </row>
    <row hidden="true" r="50">
      <c r="A50" s="60">
        <v>46305</v>
      </c>
      <c r="B50" s="86" t="s">
        <v>105</v>
      </c>
      <c r="C50" s="62" t="s">
        <v>116</v>
      </c>
      <c r="D50" s="70">
        <v>3</v>
      </c>
      <c r="E50" s="65">
        <v>14</v>
      </c>
      <c r="F50" s="65">
        <v>11</v>
      </c>
      <c r="G50" s="65">
        <v>9</v>
      </c>
      <c r="H50" s="65">
        <v>5</v>
      </c>
      <c r="I50" s="65">
        <v>1</v>
      </c>
      <c r="J50" s="65">
        <v>17605.199999999997</v>
      </c>
      <c r="K50" s="65">
        <v>7737.71</v>
      </c>
      <c r="L50" s="66">
        <f t="shared" si="0"/>
      </c>
      <c r="M50" s="67">
        <f t="shared" si="1"/>
      </c>
      <c r="N50" s="68">
        <f t="shared" si="2"/>
      </c>
      <c r="O50" s="71"/>
      <c r="P50" s="71"/>
      <c r="Q50" s="72"/>
    </row>
    <row hidden="true" r="51">
      <c r="A51" s="60">
        <v>46305</v>
      </c>
      <c r="B51" s="61" t="s">
        <v>101</v>
      </c>
      <c r="C51" s="62" t="s">
        <v>117</v>
      </c>
      <c r="D51" s="63">
        <v>4</v>
      </c>
      <c r="E51" s="65">
        <v>31</v>
      </c>
      <c r="F51" s="65">
        <v>24</v>
      </c>
      <c r="G51" s="65">
        <v>14</v>
      </c>
      <c r="H51" s="65">
        <v>12</v>
      </c>
      <c r="I51" s="65">
        <v>2</v>
      </c>
      <c r="J51" s="65">
        <v>31105.6</v>
      </c>
      <c r="K51" s="65">
        <v>12289</v>
      </c>
      <c r="L51" s="66">
        <f t="shared" si="0"/>
      </c>
      <c r="M51" s="67">
        <f t="shared" si="1"/>
      </c>
      <c r="N51" s="68">
        <f t="shared" si="2"/>
      </c>
      <c r="O51" s="73"/>
      <c r="P51" s="73"/>
      <c r="Q51" s="72"/>
    </row>
    <row hidden="true" r="52">
      <c r="A52" s="60">
        <v>46305</v>
      </c>
      <c r="B52" s="86" t="s">
        <v>112</v>
      </c>
      <c r="C52" s="74" t="s">
        <v>118</v>
      </c>
      <c r="D52" s="70">
        <v>4</v>
      </c>
      <c r="E52" s="75">
        <v>32</v>
      </c>
      <c r="F52" s="75">
        <v>20</v>
      </c>
      <c r="G52" s="75">
        <v>19</v>
      </c>
      <c r="H52" s="75">
        <v>10</v>
      </c>
      <c r="I52" s="75">
        <v>2</v>
      </c>
      <c r="J52" s="75">
        <v>20103.600000000013</v>
      </c>
      <c r="K52" s="75">
        <v>17147.46</v>
      </c>
      <c r="L52" s="76">
        <f t="shared" si="0"/>
      </c>
      <c r="M52" s="77">
        <f t="shared" si="1"/>
      </c>
      <c r="N52" s="78">
        <f t="shared" si="2"/>
      </c>
      <c r="O52" s="86" t="s">
        <v>113</v>
      </c>
      <c r="P52" s="79">
        <v>10</v>
      </c>
      <c r="Q52" s="80"/>
    </row>
    <row hidden="true" r="53">
      <c r="A53" s="81">
        <v>46305</v>
      </c>
      <c r="B53" s="82"/>
      <c r="C53" s="83"/>
      <c r="D53" s="83">
        <f>SUM(D48:D52)</f>
      </c>
      <c r="E53" s="83">
        <f>SUM(E48:E52)</f>
      </c>
      <c r="F53" s="83">
        <f>SUM(F48:F52)</f>
      </c>
      <c r="G53" s="83">
        <f>SUM(G48:G52)</f>
      </c>
      <c r="H53" s="83">
        <f>SUM(H48:H52)</f>
      </c>
      <c r="I53" s="83">
        <f>SUM(I48:I52)</f>
      </c>
      <c r="J53" s="83">
        <f>SUM(J48:J52)</f>
      </c>
      <c r="K53" s="83">
        <f>SUM(K48:K52)</f>
      </c>
      <c r="L53" s="84">
        <f t="shared" si="0"/>
      </c>
      <c r="M53" s="84">
        <f t="shared" si="1"/>
      </c>
      <c r="N53" s="84">
        <f t="shared" si="2"/>
      </c>
      <c r="O53" s="83"/>
      <c r="P53" s="83">
        <f>SUM(P48:P52)</f>
      </c>
      <c r="Q53" s="83"/>
    </row>
    <row hidden="true" r="54">
      <c r="A54" s="60">
        <v>46306</v>
      </c>
      <c r="B54" s="61" t="s">
        <v>98</v>
      </c>
      <c r="C54" s="62" t="s">
        <v>99</v>
      </c>
      <c r="D54" s="63">
        <v>5</v>
      </c>
      <c r="E54" s="61">
        <v>33</v>
      </c>
      <c r="F54" s="64">
        <v>21</v>
      </c>
      <c r="G54" s="65">
        <v>11</v>
      </c>
      <c r="H54" s="65">
        <v>17</v>
      </c>
      <c r="I54" s="65">
        <v>3</v>
      </c>
      <c r="J54" s="65">
        <v>21573.199999999997</v>
      </c>
      <c r="K54" s="65">
        <v>17186.74</v>
      </c>
      <c r="L54" s="66">
        <f t="shared" si="0"/>
      </c>
      <c r="M54" s="67">
        <f t="shared" si="1"/>
      </c>
      <c r="N54" s="68">
        <f t="shared" si="2"/>
      </c>
      <c r="O54" s="61" t="s">
        <v>108</v>
      </c>
      <c r="P54" s="61">
        <v>10</v>
      </c>
      <c r="Q54" s="69"/>
    </row>
    <row hidden="true" r="55">
      <c r="A55" s="60">
        <v>46306</v>
      </c>
      <c r="B55" s="86" t="s">
        <v>101</v>
      </c>
      <c r="C55" s="62" t="s">
        <v>115</v>
      </c>
      <c r="D55" s="70">
        <v>4</v>
      </c>
      <c r="E55" s="65">
        <v>20</v>
      </c>
      <c r="F55" s="65">
        <v>14</v>
      </c>
      <c r="G55" s="65">
        <v>9</v>
      </c>
      <c r="H55" s="65">
        <v>5</v>
      </c>
      <c r="I55" s="65">
        <v>1</v>
      </c>
      <c r="J55" s="65">
        <v>18704.5</v>
      </c>
      <c r="K55" s="65">
        <v>7635.99</v>
      </c>
      <c r="L55" s="66">
        <f t="shared" si="0"/>
      </c>
      <c r="M55" s="67">
        <f t="shared" si="1"/>
      </c>
      <c r="N55" s="68">
        <f t="shared" si="2"/>
      </c>
      <c r="O55" s="71"/>
      <c r="P55" s="71"/>
      <c r="Q55" s="72"/>
    </row>
    <row hidden="true" r="56">
      <c r="A56" s="60">
        <v>46306</v>
      </c>
      <c r="B56" s="86" t="s">
        <v>105</v>
      </c>
      <c r="C56" s="62" t="s">
        <v>116</v>
      </c>
      <c r="D56" s="70">
        <v>3</v>
      </c>
      <c r="E56" s="65">
        <v>6</v>
      </c>
      <c r="F56" s="65">
        <v>4</v>
      </c>
      <c r="G56" s="65">
        <v>2</v>
      </c>
      <c r="H56" s="65">
        <v>1</v>
      </c>
      <c r="I56" s="65">
        <v>1</v>
      </c>
      <c r="J56" s="65">
        <v>2464.5</v>
      </c>
      <c r="K56" s="65">
        <v>4420.17</v>
      </c>
      <c r="L56" s="66">
        <f t="shared" si="0"/>
      </c>
      <c r="M56" s="67">
        <f t="shared" si="1"/>
      </c>
      <c r="N56" s="68">
        <f t="shared" si="2"/>
      </c>
      <c r="O56" s="71"/>
      <c r="P56" s="71"/>
      <c r="Q56" s="72"/>
    </row>
    <row hidden="true" r="57">
      <c r="A57" s="60">
        <v>46306</v>
      </c>
      <c r="B57" s="61" t="s">
        <v>112</v>
      </c>
      <c r="C57" s="62" t="s">
        <v>117</v>
      </c>
      <c r="D57" s="63">
        <v>4</v>
      </c>
      <c r="E57" s="65">
        <v>8</v>
      </c>
      <c r="F57" s="65">
        <v>5</v>
      </c>
      <c r="G57" s="65">
        <v>4</v>
      </c>
      <c r="H57" s="65">
        <v>2</v>
      </c>
      <c r="I57" s="65">
        <v>0</v>
      </c>
      <c r="J57" s="65">
        <v>9424.800000000003</v>
      </c>
      <c r="K57" s="65">
        <v>5674.799999999999</v>
      </c>
      <c r="L57" s="66">
        <f t="shared" si="0"/>
      </c>
      <c r="M57" s="67">
        <f t="shared" si="1"/>
      </c>
      <c r="N57" s="68">
        <f t="shared" si="2"/>
      </c>
      <c r="O57" s="73"/>
      <c r="P57" s="73"/>
      <c r="Q57" s="72"/>
    </row>
    <row hidden="true" r="58">
      <c r="A58" s="60">
        <v>46306</v>
      </c>
      <c r="B58" s="86" t="s">
        <v>110</v>
      </c>
      <c r="C58" s="74" t="s">
        <v>118</v>
      </c>
      <c r="D58" s="70">
        <v>4</v>
      </c>
      <c r="E58" s="75">
        <v>24</v>
      </c>
      <c r="F58" s="75">
        <v>19</v>
      </c>
      <c r="G58" s="75">
        <v>9</v>
      </c>
      <c r="H58" s="75">
        <v>9</v>
      </c>
      <c r="I58" s="75">
        <v>2</v>
      </c>
      <c r="J58" s="75">
        <v>24887.8</v>
      </c>
      <c r="K58" s="75">
        <v>7331.140000000001</v>
      </c>
      <c r="L58" s="76">
        <f t="shared" si="0"/>
      </c>
      <c r="M58" s="77">
        <f t="shared" si="1"/>
      </c>
      <c r="N58" s="78">
        <f t="shared" si="2"/>
      </c>
      <c r="O58" s="86" t="s">
        <v>113</v>
      </c>
      <c r="P58" s="79">
        <v>10</v>
      </c>
      <c r="Q58" s="80"/>
    </row>
    <row hidden="true" r="59">
      <c r="A59" s="81">
        <v>46306</v>
      </c>
      <c r="B59" s="82"/>
      <c r="C59" s="83"/>
      <c r="D59" s="83">
        <f>SUM(D54:D58)</f>
      </c>
      <c r="E59" s="83">
        <f>SUM(E54:E58)</f>
      </c>
      <c r="F59" s="83">
        <f>SUM(F54:F58)</f>
      </c>
      <c r="G59" s="83">
        <f>SUM(G54:G58)</f>
      </c>
      <c r="H59" s="83">
        <f>SUM(H54:H58)</f>
      </c>
      <c r="I59" s="83">
        <f>SUM(I54:I58)</f>
      </c>
      <c r="J59" s="83">
        <f>SUM(J54:J58)</f>
      </c>
      <c r="K59" s="83">
        <f>SUM(K54:K58)</f>
      </c>
      <c r="L59" s="84">
        <f t="shared" si="0"/>
      </c>
      <c r="M59" s="84">
        <f t="shared" si="1"/>
      </c>
      <c r="N59" s="84">
        <f t="shared" si="2"/>
      </c>
      <c r="O59" s="83"/>
      <c r="P59" s="83">
        <f>SUM(P54:P58)</f>
      </c>
      <c r="Q59" s="83"/>
    </row>
    <row hidden="true" r="60">
      <c r="A60" s="60">
        <v>46307</v>
      </c>
      <c r="B60" s="61" t="s">
        <v>101</v>
      </c>
      <c r="C60" s="62" t="s">
        <v>99</v>
      </c>
      <c r="D60" s="63">
        <v>5</v>
      </c>
      <c r="E60" s="61">
        <v>24</v>
      </c>
      <c r="F60" s="64">
        <v>18</v>
      </c>
      <c r="G60" s="65">
        <v>9</v>
      </c>
      <c r="H60" s="65">
        <v>13</v>
      </c>
      <c r="I60" s="65">
        <v>5</v>
      </c>
      <c r="J60" s="65">
        <v>22503.600000000002</v>
      </c>
      <c r="K60" s="65">
        <v>9558.820000000002</v>
      </c>
      <c r="L60" s="66">
        <f t="shared" si="0"/>
      </c>
      <c r="M60" s="67">
        <f t="shared" si="1"/>
      </c>
      <c r="N60" s="68">
        <f t="shared" si="2"/>
      </c>
      <c r="O60" s="61" t="s">
        <v>108</v>
      </c>
      <c r="P60" s="61">
        <v>10</v>
      </c>
      <c r="Q60" s="69"/>
    </row>
    <row hidden="true" r="61">
      <c r="A61" s="60">
        <v>46307</v>
      </c>
      <c r="B61" s="61" t="s">
        <v>109</v>
      </c>
      <c r="C61" s="62" t="s">
        <v>102</v>
      </c>
      <c r="D61" s="70">
        <v>5</v>
      </c>
      <c r="E61" s="65">
        <v>31</v>
      </c>
      <c r="F61" s="65">
        <v>23</v>
      </c>
      <c r="G61" s="65">
        <v>19</v>
      </c>
      <c r="H61" s="65">
        <v>16</v>
      </c>
      <c r="I61" s="65">
        <v>1</v>
      </c>
      <c r="J61" s="65">
        <v>21777.400000000005</v>
      </c>
      <c r="K61" s="65">
        <v>15831.060000000001</v>
      </c>
      <c r="L61" s="66">
        <f t="shared" si="0"/>
      </c>
      <c r="M61" s="67">
        <f t="shared" si="1"/>
      </c>
      <c r="N61" s="68">
        <f t="shared" si="2"/>
      </c>
      <c r="O61" s="71"/>
      <c r="P61" s="71"/>
      <c r="Q61" s="72"/>
    </row>
    <row hidden="true" r="62">
      <c r="A62" s="60">
        <v>46307</v>
      </c>
      <c r="B62" s="61" t="s">
        <v>112</v>
      </c>
      <c r="C62" s="62" t="s">
        <v>104</v>
      </c>
      <c r="D62" s="63">
        <v>5</v>
      </c>
      <c r="E62" s="65">
        <v>44</v>
      </c>
      <c r="F62" s="65">
        <v>29</v>
      </c>
      <c r="G62" s="65">
        <v>23</v>
      </c>
      <c r="H62" s="65">
        <v>24</v>
      </c>
      <c r="I62" s="65">
        <v>7</v>
      </c>
      <c r="J62" s="65">
        <v>32381.600000000002</v>
      </c>
      <c r="K62" s="65">
        <v>17321.02</v>
      </c>
      <c r="L62" s="66">
        <f t="shared" si="0"/>
      </c>
      <c r="M62" s="67">
        <f t="shared" si="1"/>
      </c>
      <c r="N62" s="68">
        <f t="shared" si="2"/>
      </c>
      <c r="O62" s="71"/>
      <c r="P62" s="73"/>
      <c r="Q62" s="72"/>
    </row>
    <row hidden="true" r="63">
      <c r="A63" s="60">
        <v>46307</v>
      </c>
      <c r="B63" s="61" t="s">
        <v>110</v>
      </c>
      <c r="C63" s="74" t="s">
        <v>106</v>
      </c>
      <c r="D63" s="70">
        <v>5</v>
      </c>
      <c r="E63" s="75">
        <v>40</v>
      </c>
      <c r="F63" s="75">
        <v>23</v>
      </c>
      <c r="G63" s="75">
        <v>18</v>
      </c>
      <c r="H63" s="75">
        <v>14</v>
      </c>
      <c r="I63" s="75">
        <v>1</v>
      </c>
      <c r="J63" s="75">
        <v>27079.399999999994</v>
      </c>
      <c r="K63" s="75">
        <v>14589.140000000001</v>
      </c>
      <c r="L63" s="76">
        <f t="shared" si="0"/>
      </c>
      <c r="M63" s="77">
        <f t="shared" si="1"/>
      </c>
      <c r="N63" s="78">
        <f t="shared" si="2"/>
      </c>
      <c r="O63" s="86" t="s">
        <v>113</v>
      </c>
      <c r="P63" s="79">
        <v>10</v>
      </c>
      <c r="Q63" s="80"/>
    </row>
    <row hidden="true" r="64">
      <c r="A64" s="81">
        <v>46307</v>
      </c>
      <c r="B64" s="82"/>
      <c r="C64" s="83"/>
      <c r="D64" s="83">
        <f>SUM(D60:D63)</f>
      </c>
      <c r="E64" s="83">
        <f>SUM(E60:E63)</f>
      </c>
      <c r="F64" s="83">
        <f>SUM(F60:F63)</f>
      </c>
      <c r="G64" s="83">
        <f>SUM(G60:G63)</f>
      </c>
      <c r="H64" s="83">
        <f>SUM(H60:H63)</f>
      </c>
      <c r="I64" s="83">
        <f>SUM(I60:I63)</f>
      </c>
      <c r="J64" s="83">
        <f>SUM(J60:J63)</f>
      </c>
      <c r="K64" s="83">
        <f>SUM(K60:K63)</f>
      </c>
      <c r="L64" s="84">
        <f t="shared" si="0"/>
      </c>
      <c r="M64" s="84">
        <f t="shared" si="1"/>
      </c>
      <c r="N64" s="84">
        <f t="shared" si="2"/>
      </c>
      <c r="O64" s="83"/>
      <c r="P64" s="83">
        <f>SUM(P60:P63)</f>
      </c>
      <c r="Q64" s="83"/>
    </row>
    <row hidden="true" r="65">
      <c r="A65" s="60">
        <v>46308</v>
      </c>
      <c r="B65" s="61" t="s">
        <v>101</v>
      </c>
      <c r="C65" s="62" t="s">
        <v>99</v>
      </c>
      <c r="D65" s="63">
        <v>5</v>
      </c>
      <c r="E65" s="61">
        <v>31</v>
      </c>
      <c r="F65" s="64">
        <v>16</v>
      </c>
      <c r="G65" s="65">
        <v>12</v>
      </c>
      <c r="H65" s="65">
        <v>10</v>
      </c>
      <c r="I65" s="65">
        <v>2</v>
      </c>
      <c r="J65" s="65">
        <v>17053</v>
      </c>
      <c r="K65" s="65">
        <v>14061.25</v>
      </c>
      <c r="L65" s="66">
        <f t="shared" si="0"/>
      </c>
      <c r="M65" s="67">
        <f t="shared" si="1"/>
      </c>
      <c r="N65" s="68">
        <f t="shared" si="2"/>
      </c>
      <c r="O65" s="61" t="s">
        <v>108</v>
      </c>
      <c r="P65" s="61">
        <v>10</v>
      </c>
      <c r="Q65" s="69"/>
    </row>
    <row hidden="true" r="66">
      <c r="A66" s="60">
        <v>46308</v>
      </c>
      <c r="B66" s="61" t="s">
        <v>112</v>
      </c>
      <c r="C66" s="62" t="s">
        <v>102</v>
      </c>
      <c r="D66" s="70">
        <v>5</v>
      </c>
      <c r="E66" s="65">
        <v>23</v>
      </c>
      <c r="F66" s="65">
        <v>14</v>
      </c>
      <c r="G66" s="65">
        <v>8</v>
      </c>
      <c r="H66" s="65">
        <v>8</v>
      </c>
      <c r="I66" s="65">
        <v>2</v>
      </c>
      <c r="J66" s="65">
        <v>12658.800000000001</v>
      </c>
      <c r="K66" s="65">
        <v>8270.41</v>
      </c>
      <c r="L66" s="66">
        <f t="shared" si="0"/>
      </c>
      <c r="M66" s="67">
        <f t="shared" si="1"/>
      </c>
      <c r="N66" s="68">
        <f t="shared" si="2"/>
      </c>
      <c r="O66" s="71"/>
      <c r="P66" s="71"/>
      <c r="Q66" s="72"/>
    </row>
    <row hidden="true" r="67">
      <c r="A67" s="60">
        <v>46308</v>
      </c>
      <c r="B67" s="61" t="s">
        <v>105</v>
      </c>
      <c r="C67" s="62" t="s">
        <v>104</v>
      </c>
      <c r="D67" s="63">
        <v>5</v>
      </c>
      <c r="E67" s="65">
        <v>20</v>
      </c>
      <c r="F67" s="65">
        <v>10</v>
      </c>
      <c r="G67" s="65">
        <v>9</v>
      </c>
      <c r="H67" s="65">
        <v>7</v>
      </c>
      <c r="I67" s="65">
        <v>1</v>
      </c>
      <c r="J67" s="65">
        <v>7065.6</v>
      </c>
      <c r="K67" s="65">
        <v>8819.74</v>
      </c>
      <c r="L67" s="66">
        <f t="shared" si="0"/>
      </c>
      <c r="M67" s="67">
        <f t="shared" si="1"/>
      </c>
      <c r="N67" s="68">
        <f t="shared" si="2"/>
      </c>
      <c r="O67" s="71"/>
      <c r="P67" s="73"/>
      <c r="Q67" s="72"/>
    </row>
    <row hidden="true" r="68">
      <c r="A68" s="60">
        <v>46308</v>
      </c>
      <c r="B68" s="61" t="s">
        <v>110</v>
      </c>
      <c r="C68" s="74" t="s">
        <v>106</v>
      </c>
      <c r="D68" s="70">
        <v>5</v>
      </c>
      <c r="E68" s="75">
        <v>26</v>
      </c>
      <c r="F68" s="75">
        <v>20</v>
      </c>
      <c r="G68" s="75">
        <v>7</v>
      </c>
      <c r="H68" s="75">
        <v>12</v>
      </c>
      <c r="I68" s="75">
        <v>1</v>
      </c>
      <c r="J68" s="75">
        <v>21184.800000000003</v>
      </c>
      <c r="K68" s="75">
        <v>8229.67</v>
      </c>
      <c r="L68" s="76">
        <f t="shared" si="0"/>
      </c>
      <c r="M68" s="77">
        <f t="shared" si="1"/>
      </c>
      <c r="N68" s="78">
        <f t="shared" si="2"/>
      </c>
      <c r="O68" s="86" t="s">
        <v>113</v>
      </c>
      <c r="P68" s="79">
        <v>10</v>
      </c>
      <c r="Q68" s="80"/>
    </row>
    <row hidden="true" r="69">
      <c r="A69" s="81">
        <v>46308</v>
      </c>
      <c r="B69" s="82"/>
      <c r="C69" s="83"/>
      <c r="D69" s="83">
        <f>SUM(D65:D68)</f>
      </c>
      <c r="E69" s="83">
        <f>SUM(E65:E68)</f>
      </c>
      <c r="F69" s="83">
        <f>SUM(F65:F68)</f>
      </c>
      <c r="G69" s="83">
        <f>SUM(G65:G68)</f>
      </c>
      <c r="H69" s="83">
        <f>SUM(H65:H68)</f>
      </c>
      <c r="I69" s="83">
        <f>SUM(I65:I68)</f>
      </c>
      <c r="J69" s="83">
        <f>SUM(J65:J68)</f>
      </c>
      <c r="K69" s="83">
        <f>SUM(K65:K68)</f>
      </c>
      <c r="L69" s="84">
        <f t="shared" si="0"/>
      </c>
      <c r="M69" s="84">
        <f t="shared" si="1"/>
      </c>
      <c r="N69" s="84">
        <f t="shared" si="2"/>
      </c>
      <c r="O69" s="83"/>
      <c r="P69" s="83">
        <f>SUM(P65:P68)</f>
      </c>
      <c r="Q69" s="83"/>
    </row>
    <row hidden="true" r="70">
      <c r="A70" s="60">
        <v>46309</v>
      </c>
      <c r="B70" s="61" t="s">
        <v>101</v>
      </c>
      <c r="C70" s="62" t="s">
        <v>99</v>
      </c>
      <c r="D70" s="63">
        <v>5</v>
      </c>
      <c r="E70" s="61">
        <v>31</v>
      </c>
      <c r="F70" s="64">
        <v>25</v>
      </c>
      <c r="G70" s="65">
        <v>15</v>
      </c>
      <c r="H70" s="65">
        <v>21</v>
      </c>
      <c r="I70" s="65">
        <v>4</v>
      </c>
      <c r="J70" s="65">
        <v>25643.4</v>
      </c>
      <c r="K70" s="65">
        <v>13455.04</v>
      </c>
      <c r="L70" s="66">
        <f t="shared" si="0"/>
      </c>
      <c r="M70" s="67">
        <f t="shared" si="1"/>
      </c>
      <c r="N70" s="68">
        <f t="shared" si="2"/>
      </c>
      <c r="O70" s="61" t="s">
        <v>108</v>
      </c>
      <c r="P70" s="61">
        <v>10</v>
      </c>
      <c r="Q70" s="69"/>
    </row>
    <row hidden="true" r="71">
      <c r="A71" s="60">
        <v>46309</v>
      </c>
      <c r="B71" s="61" t="s">
        <v>105</v>
      </c>
      <c r="C71" s="62" t="s">
        <v>102</v>
      </c>
      <c r="D71" s="70">
        <v>5</v>
      </c>
      <c r="E71" s="65">
        <v>16</v>
      </c>
      <c r="F71" s="65">
        <v>13</v>
      </c>
      <c r="G71" s="65">
        <v>12</v>
      </c>
      <c r="H71" s="65">
        <v>9</v>
      </c>
      <c r="I71" s="65">
        <v>0</v>
      </c>
      <c r="J71" s="65">
        <v>13048.800000000003</v>
      </c>
      <c r="K71" s="65">
        <v>9955.77</v>
      </c>
      <c r="L71" s="66">
        <f t="shared" si="0"/>
      </c>
      <c r="M71" s="67">
        <f t="shared" si="1"/>
      </c>
      <c r="N71" s="68">
        <f t="shared" si="2"/>
      </c>
      <c r="O71" s="71"/>
      <c r="P71" s="71"/>
      <c r="Q71" s="72"/>
    </row>
    <row hidden="true" r="72">
      <c r="A72" s="60">
        <v>46309</v>
      </c>
      <c r="B72" s="61" t="s">
        <v>109</v>
      </c>
      <c r="C72" s="62" t="s">
        <v>104</v>
      </c>
      <c r="D72" s="63">
        <v>5</v>
      </c>
      <c r="E72" s="65">
        <v>25</v>
      </c>
      <c r="F72" s="65">
        <v>18</v>
      </c>
      <c r="G72" s="65">
        <v>13</v>
      </c>
      <c r="H72" s="65">
        <v>12</v>
      </c>
      <c r="I72" s="65">
        <v>1</v>
      </c>
      <c r="J72" s="65">
        <v>18543.199999999993</v>
      </c>
      <c r="K72" s="65">
        <v>10270.2</v>
      </c>
      <c r="L72" s="66">
        <f t="shared" si="0"/>
      </c>
      <c r="M72" s="67">
        <f t="shared" si="1"/>
      </c>
      <c r="N72" s="68">
        <f t="shared" si="2"/>
      </c>
      <c r="O72" s="71"/>
      <c r="P72" s="73"/>
      <c r="Q72" s="72"/>
    </row>
    <row hidden="true" r="73">
      <c r="A73" s="60">
        <v>46309</v>
      </c>
      <c r="B73" s="61" t="s">
        <v>110</v>
      </c>
      <c r="C73" s="74" t="s">
        <v>106</v>
      </c>
      <c r="D73" s="70">
        <v>5</v>
      </c>
      <c r="E73" s="75">
        <v>31</v>
      </c>
      <c r="F73" s="75">
        <v>22</v>
      </c>
      <c r="G73" s="75">
        <v>11</v>
      </c>
      <c r="H73" s="75">
        <v>13</v>
      </c>
      <c r="I73" s="75">
        <v>2</v>
      </c>
      <c r="J73" s="75">
        <v>24232.199999999993</v>
      </c>
      <c r="K73" s="75">
        <v>12539.349999999999</v>
      </c>
      <c r="L73" s="76">
        <f t="shared" si="0"/>
      </c>
      <c r="M73" s="77">
        <f t="shared" si="1"/>
      </c>
      <c r="N73" s="78">
        <f t="shared" si="2"/>
      </c>
      <c r="O73" s="86" t="s">
        <v>113</v>
      </c>
      <c r="P73" s="79">
        <v>10</v>
      </c>
      <c r="Q73" s="80"/>
    </row>
    <row hidden="true" r="74">
      <c r="A74" s="81">
        <v>46309</v>
      </c>
      <c r="B74" s="82"/>
      <c r="C74" s="83"/>
      <c r="D74" s="83">
        <f>SUM(D70:D73)</f>
      </c>
      <c r="E74" s="83">
        <f>SUM(E70:E73)</f>
      </c>
      <c r="F74" s="83">
        <f>SUM(F70:F73)</f>
      </c>
      <c r="G74" s="83">
        <f>SUM(G70:G73)</f>
      </c>
      <c r="H74" s="83">
        <f>SUM(H70:H73)</f>
      </c>
      <c r="I74" s="83">
        <f>SUM(I70:I73)</f>
      </c>
      <c r="J74" s="83">
        <f>SUM(J70:J73)</f>
      </c>
      <c r="K74" s="83">
        <f>SUM(K70:K73)</f>
      </c>
      <c r="L74" s="84">
        <f t="shared" si="0"/>
      </c>
      <c r="M74" s="84">
        <f t="shared" si="1"/>
      </c>
      <c r="N74" s="84">
        <f t="shared" si="2"/>
      </c>
      <c r="O74" s="83"/>
      <c r="P74" s="83">
        <f>SUM(P70:P73)</f>
      </c>
      <c r="Q74" s="83"/>
    </row>
    <row hidden="true" r="75">
      <c r="A75" s="60">
        <v>46310</v>
      </c>
      <c r="B75" s="61" t="s">
        <v>101</v>
      </c>
      <c r="C75" s="62" t="s">
        <v>99</v>
      </c>
      <c r="D75" s="63">
        <v>5</v>
      </c>
      <c r="E75" s="61">
        <v>31</v>
      </c>
      <c r="F75" s="64">
        <v>19</v>
      </c>
      <c r="G75" s="65">
        <v>14</v>
      </c>
      <c r="H75" s="65">
        <v>11</v>
      </c>
      <c r="I75" s="65">
        <v>2</v>
      </c>
      <c r="J75" s="65">
        <v>25779.4</v>
      </c>
      <c r="K75" s="65">
        <v>11235.76</v>
      </c>
      <c r="L75" s="66">
        <f t="shared" si="0"/>
      </c>
      <c r="M75" s="67">
        <f t="shared" si="1"/>
      </c>
      <c r="N75" s="68">
        <f t="shared" si="2"/>
      </c>
      <c r="O75" s="61" t="s">
        <v>119</v>
      </c>
      <c r="P75" s="61">
        <v>10</v>
      </c>
      <c r="Q75" s="69"/>
    </row>
    <row hidden="true" r="76">
      <c r="A76" s="60">
        <v>46310</v>
      </c>
      <c r="B76" s="61" t="s">
        <v>112</v>
      </c>
      <c r="C76" s="62" t="s">
        <v>102</v>
      </c>
      <c r="D76" s="70">
        <v>5</v>
      </c>
      <c r="E76" s="65">
        <v>38</v>
      </c>
      <c r="F76" s="65">
        <v>23</v>
      </c>
      <c r="G76" s="65">
        <v>18</v>
      </c>
      <c r="H76" s="65">
        <v>20</v>
      </c>
      <c r="I76" s="65">
        <v>2</v>
      </c>
      <c r="J76" s="65">
        <v>20563.600000000006</v>
      </c>
      <c r="K76" s="65">
        <v>15704.850000000002</v>
      </c>
      <c r="L76" s="66">
        <f t="shared" si="0"/>
      </c>
      <c r="M76" s="67">
        <f t="shared" si="1"/>
      </c>
      <c r="N76" s="68">
        <f t="shared" si="2"/>
      </c>
      <c r="O76" s="71"/>
      <c r="P76" s="71"/>
      <c r="Q76" s="72"/>
    </row>
    <row hidden="true" r="77">
      <c r="A77" s="60">
        <v>46310</v>
      </c>
      <c r="B77" s="61" t="s">
        <v>105</v>
      </c>
      <c r="C77" s="62" t="s">
        <v>104</v>
      </c>
      <c r="D77" s="63">
        <v>5</v>
      </c>
      <c r="E77" s="65">
        <v>23</v>
      </c>
      <c r="F77" s="65">
        <v>18</v>
      </c>
      <c r="G77" s="65">
        <v>15</v>
      </c>
      <c r="H77" s="65">
        <v>14</v>
      </c>
      <c r="I77" s="65">
        <v>0</v>
      </c>
      <c r="J77" s="65">
        <v>14288</v>
      </c>
      <c r="K77" s="65">
        <v>13613.259999999998</v>
      </c>
      <c r="L77" s="66">
        <f t="shared" si="0"/>
      </c>
      <c r="M77" s="67">
        <f t="shared" si="1"/>
      </c>
      <c r="N77" s="68">
        <f t="shared" si="2"/>
      </c>
      <c r="O77" s="71"/>
      <c r="P77" s="73"/>
      <c r="Q77" s="72"/>
    </row>
    <row hidden="true" r="78">
      <c r="A78" s="60">
        <v>46310</v>
      </c>
      <c r="B78" s="61" t="s">
        <v>110</v>
      </c>
      <c r="C78" s="74" t="s">
        <v>106</v>
      </c>
      <c r="D78" s="70">
        <v>5</v>
      </c>
      <c r="E78" s="75">
        <v>21</v>
      </c>
      <c r="F78" s="75">
        <v>18</v>
      </c>
      <c r="G78" s="75">
        <v>10</v>
      </c>
      <c r="H78" s="75">
        <v>10</v>
      </c>
      <c r="I78" s="75">
        <v>2</v>
      </c>
      <c r="J78" s="75">
        <v>17848.799999999996</v>
      </c>
      <c r="K78" s="75">
        <v>10387.84</v>
      </c>
      <c r="L78" s="76">
        <f t="shared" si="0"/>
      </c>
      <c r="M78" s="77">
        <f t="shared" si="1"/>
      </c>
      <c r="N78" s="78">
        <f t="shared" si="2"/>
      </c>
      <c r="O78" s="86" t="s">
        <v>113</v>
      </c>
      <c r="P78" s="79">
        <v>10</v>
      </c>
      <c r="Q78" s="80"/>
    </row>
    <row hidden="true" r="79">
      <c r="A79" s="81">
        <v>46310</v>
      </c>
      <c r="B79" s="82"/>
      <c r="C79" s="83"/>
      <c r="D79" s="83">
        <f>SUM(D75:D78)</f>
      </c>
      <c r="E79" s="83">
        <f>SUM(E75:E78)</f>
      </c>
      <c r="F79" s="83">
        <f>SUM(F75:F78)</f>
      </c>
      <c r="G79" s="83">
        <f>SUM(G75:G78)</f>
      </c>
      <c r="H79" s="83">
        <f>SUM(H75:H78)</f>
      </c>
      <c r="I79" s="83">
        <f>SUM(I75:I78)</f>
      </c>
      <c r="J79" s="87">
        <f>SUM(J75:J78)</f>
      </c>
      <c r="K79" s="87">
        <f>SUM(K75:K78)</f>
      </c>
      <c r="L79" s="84">
        <f t="shared" si="0"/>
      </c>
      <c r="M79" s="84">
        <f t="shared" si="1"/>
      </c>
      <c r="N79" s="84">
        <f t="shared" si="2"/>
      </c>
      <c r="O79" s="83"/>
      <c r="P79" s="83">
        <f>SUM(P75:P78)</f>
      </c>
      <c r="Q79" s="83"/>
    </row>
    <row hidden="true" r="80">
      <c r="A80" s="60">
        <v>46311</v>
      </c>
      <c r="B80" s="61" t="s">
        <v>101</v>
      </c>
      <c r="C80" s="62" t="s">
        <v>99</v>
      </c>
      <c r="D80" s="63">
        <v>5</v>
      </c>
      <c r="E80" s="61">
        <v>20</v>
      </c>
      <c r="F80" s="64">
        <v>15</v>
      </c>
      <c r="G80" s="65">
        <v>10</v>
      </c>
      <c r="H80" s="65">
        <v>8</v>
      </c>
      <c r="I80" s="65">
        <v>1</v>
      </c>
      <c r="J80" s="65">
        <v>26320.800000000003</v>
      </c>
      <c r="K80" s="65">
        <v>8800.98</v>
      </c>
      <c r="L80" s="66">
        <f t="shared" si="0"/>
      </c>
      <c r="M80" s="67">
        <f t="shared" si="1"/>
      </c>
      <c r="N80" s="68">
        <f t="shared" si="2"/>
      </c>
      <c r="O80" s="61" t="s">
        <v>119</v>
      </c>
      <c r="P80" s="61">
        <v>10</v>
      </c>
      <c r="Q80" s="69"/>
    </row>
    <row hidden="true" r="81">
      <c r="A81" s="60">
        <v>46311</v>
      </c>
      <c r="B81" s="61" t="s">
        <v>105</v>
      </c>
      <c r="C81" s="62" t="s">
        <v>102</v>
      </c>
      <c r="D81" s="70">
        <v>5</v>
      </c>
      <c r="E81" s="65">
        <v>21</v>
      </c>
      <c r="F81" s="65">
        <v>17</v>
      </c>
      <c r="G81" s="65">
        <v>14</v>
      </c>
      <c r="H81" s="65">
        <v>11</v>
      </c>
      <c r="I81" s="65">
        <v>0</v>
      </c>
      <c r="J81" s="65">
        <v>18246</v>
      </c>
      <c r="K81" s="65">
        <v>10139.48</v>
      </c>
      <c r="L81" s="66">
        <f t="shared" si="0"/>
      </c>
      <c r="M81" s="67">
        <f t="shared" si="1"/>
      </c>
      <c r="N81" s="68">
        <f t="shared" si="2"/>
      </c>
      <c r="O81" s="71"/>
      <c r="P81" s="71"/>
      <c r="Q81" s="72"/>
    </row>
    <row hidden="true" r="82">
      <c r="A82" s="60">
        <v>46311</v>
      </c>
      <c r="B82" s="61" t="s">
        <v>110</v>
      </c>
      <c r="C82" s="62" t="s">
        <v>104</v>
      </c>
      <c r="D82" s="63">
        <v>5</v>
      </c>
      <c r="E82" s="65">
        <v>36</v>
      </c>
      <c r="F82" s="65">
        <v>28</v>
      </c>
      <c r="G82" s="65">
        <v>10</v>
      </c>
      <c r="H82" s="65">
        <v>14</v>
      </c>
      <c r="I82" s="65">
        <v>4</v>
      </c>
      <c r="J82" s="65">
        <v>29024</v>
      </c>
      <c r="K82" s="65">
        <v>8512.740000000002</v>
      </c>
      <c r="L82" s="66">
        <f t="shared" si="0"/>
      </c>
      <c r="M82" s="67">
        <f t="shared" si="1"/>
      </c>
      <c r="N82" s="68">
        <f t="shared" si="2"/>
      </c>
      <c r="O82" s="71"/>
      <c r="P82" s="73"/>
      <c r="Q82" s="72"/>
    </row>
    <row hidden="true" r="83">
      <c r="A83" s="60">
        <v>46311</v>
      </c>
      <c r="B83" s="61" t="s">
        <v>112</v>
      </c>
      <c r="C83" s="74" t="s">
        <v>106</v>
      </c>
      <c r="D83" s="70">
        <v>5</v>
      </c>
      <c r="E83" s="75">
        <v>64</v>
      </c>
      <c r="F83" s="75">
        <v>53</v>
      </c>
      <c r="G83" s="75">
        <v>35</v>
      </c>
      <c r="H83" s="75">
        <v>30</v>
      </c>
      <c r="I83" s="75">
        <v>7</v>
      </c>
      <c r="J83" s="75">
        <v>59746.800000000025</v>
      </c>
      <c r="K83" s="75">
        <v>19680.4</v>
      </c>
      <c r="L83" s="76">
        <f t="shared" si="0"/>
      </c>
      <c r="M83" s="77">
        <f t="shared" si="1"/>
      </c>
      <c r="N83" s="78">
        <f t="shared" si="2"/>
      </c>
      <c r="O83" s="86" t="s">
        <v>113</v>
      </c>
      <c r="P83" s="79">
        <v>10</v>
      </c>
      <c r="Q83" s="80"/>
    </row>
    <row hidden="true" r="84">
      <c r="A84" s="81">
        <v>46311</v>
      </c>
      <c r="B84" s="82"/>
      <c r="C84" s="83"/>
      <c r="D84" s="83">
        <f>SUM(D80:D83)</f>
      </c>
      <c r="E84" s="83">
        <f>SUM(E80:E83)</f>
      </c>
      <c r="F84" s="83">
        <f>SUM(F80:F83)</f>
      </c>
      <c r="G84" s="83">
        <f>SUM(G80:G83)</f>
      </c>
      <c r="H84" s="83">
        <f>SUM(H80:H83)</f>
      </c>
      <c r="I84" s="83">
        <f>SUM(I80:I83)</f>
      </c>
      <c r="J84" s="87">
        <f>SUM(J80:J83)</f>
      </c>
      <c r="K84" s="87">
        <f>SUM(K80:K83)</f>
      </c>
      <c r="L84" s="84">
        <f t="shared" si="0"/>
      </c>
      <c r="M84" s="84">
        <f t="shared" si="1"/>
      </c>
      <c r="N84" s="84">
        <f t="shared" si="2"/>
      </c>
      <c r="O84" s="83"/>
      <c r="P84" s="83">
        <f>SUM(P80:P83)</f>
      </c>
      <c r="Q84" s="83"/>
    </row>
    <row hidden="true" r="85">
      <c r="A85" s="60">
        <v>46312</v>
      </c>
      <c r="B85" s="61" t="s">
        <v>101</v>
      </c>
      <c r="C85" s="62" t="s">
        <v>99</v>
      </c>
      <c r="D85" s="63">
        <v>5</v>
      </c>
      <c r="E85" s="61">
        <v>44</v>
      </c>
      <c r="F85" s="64">
        <v>30</v>
      </c>
      <c r="G85" s="65">
        <v>18</v>
      </c>
      <c r="H85" s="65">
        <v>20</v>
      </c>
      <c r="I85" s="65">
        <v>4</v>
      </c>
      <c r="J85" s="65">
        <v>35244.6</v>
      </c>
      <c r="K85" s="65">
        <v>18934.300000000003</v>
      </c>
      <c r="L85" s="66">
        <f t="shared" si="0"/>
      </c>
      <c r="M85" s="67">
        <f t="shared" si="1"/>
      </c>
      <c r="N85" s="68">
        <f t="shared" si="2"/>
      </c>
      <c r="O85" s="61" t="s">
        <v>108</v>
      </c>
      <c r="P85" s="61">
        <v>10</v>
      </c>
      <c r="Q85" s="69"/>
    </row>
    <row hidden="true" r="86">
      <c r="A86" s="60">
        <v>46312</v>
      </c>
      <c r="B86" s="61" t="s">
        <v>110</v>
      </c>
      <c r="C86" s="62" t="s">
        <v>102</v>
      </c>
      <c r="D86" s="70">
        <v>5</v>
      </c>
      <c r="E86" s="65">
        <v>22</v>
      </c>
      <c r="F86" s="65">
        <v>14</v>
      </c>
      <c r="G86" s="65">
        <v>11</v>
      </c>
      <c r="H86" s="65">
        <v>10</v>
      </c>
      <c r="I86" s="65">
        <v>3</v>
      </c>
      <c r="J86" s="65">
        <v>13186.4</v>
      </c>
      <c r="K86" s="65">
        <v>11462.939999999999</v>
      </c>
      <c r="L86" s="66">
        <f t="shared" si="0"/>
      </c>
      <c r="M86" s="67">
        <f t="shared" si="1"/>
      </c>
      <c r="N86" s="68">
        <f t="shared" si="2"/>
      </c>
      <c r="O86" s="71"/>
      <c r="P86" s="71"/>
      <c r="Q86" s="72"/>
    </row>
    <row hidden="true" r="87">
      <c r="A87" s="60">
        <v>46312</v>
      </c>
      <c r="B87" s="61" t="s">
        <v>109</v>
      </c>
      <c r="C87" s="62" t="s">
        <v>104</v>
      </c>
      <c r="D87" s="63">
        <v>5</v>
      </c>
      <c r="E87" s="65">
        <v>28</v>
      </c>
      <c r="F87" s="65">
        <v>17</v>
      </c>
      <c r="G87" s="65">
        <v>12</v>
      </c>
      <c r="H87" s="65">
        <v>6</v>
      </c>
      <c r="I87" s="65">
        <v>1</v>
      </c>
      <c r="J87" s="65">
        <v>17482.4</v>
      </c>
      <c r="K87" s="65">
        <v>11962</v>
      </c>
      <c r="L87" s="66">
        <f t="shared" si="0"/>
      </c>
      <c r="M87" s="67">
        <f t="shared" si="1"/>
      </c>
      <c r="N87" s="68">
        <f t="shared" si="2"/>
      </c>
      <c r="O87" s="71"/>
      <c r="P87" s="73"/>
      <c r="Q87" s="72"/>
    </row>
    <row hidden="true" r="88">
      <c r="A88" s="60">
        <v>46312</v>
      </c>
      <c r="B88" s="61" t="s">
        <v>112</v>
      </c>
      <c r="C88" s="74" t="s">
        <v>106</v>
      </c>
      <c r="D88" s="70">
        <v>5</v>
      </c>
      <c r="E88" s="75">
        <v>43</v>
      </c>
      <c r="F88" s="75">
        <v>35</v>
      </c>
      <c r="G88" s="75">
        <v>33</v>
      </c>
      <c r="H88" s="75">
        <v>22</v>
      </c>
      <c r="I88" s="75">
        <v>1</v>
      </c>
      <c r="J88" s="75">
        <v>43722.200000000004</v>
      </c>
      <c r="K88" s="75">
        <v>20268.96</v>
      </c>
      <c r="L88" s="76">
        <f t="shared" si="0"/>
      </c>
      <c r="M88" s="77">
        <f t="shared" si="1"/>
      </c>
      <c r="N88" s="78">
        <f t="shared" si="2"/>
      </c>
      <c r="O88" s="86" t="s">
        <v>113</v>
      </c>
      <c r="P88" s="79">
        <v>10</v>
      </c>
      <c r="Q88" s="80"/>
    </row>
    <row hidden="true" r="89">
      <c r="A89" s="81">
        <v>46312</v>
      </c>
      <c r="B89" s="82"/>
      <c r="C89" s="83"/>
      <c r="D89" s="83">
        <f>SUM(D85:D88)</f>
      </c>
      <c r="E89" s="83">
        <f>SUM(E85:E88)</f>
      </c>
      <c r="F89" s="83">
        <f>SUM(F85:F88)</f>
      </c>
      <c r="G89" s="83">
        <f>SUM(G85:G88)</f>
      </c>
      <c r="H89" s="83">
        <f>SUM(H85:H88)</f>
      </c>
      <c r="I89" s="83">
        <f>SUM(I85:I88)</f>
      </c>
      <c r="J89" s="87">
        <f>SUM(J85:J88)</f>
      </c>
      <c r="K89" s="87">
        <f>SUM(K85:K88)</f>
      </c>
      <c r="L89" s="84">
        <f t="shared" si="0"/>
      </c>
      <c r="M89" s="84">
        <f t="shared" si="1"/>
      </c>
      <c r="N89" s="84">
        <f t="shared" si="2"/>
      </c>
      <c r="O89" s="83"/>
      <c r="P89" s="83">
        <f>SUM(P85:P88)</f>
      </c>
      <c r="Q89" s="83"/>
    </row>
    <row hidden="true" r="90">
      <c r="A90" s="60">
        <v>46313</v>
      </c>
      <c r="B90" s="61" t="s">
        <v>101</v>
      </c>
      <c r="C90" s="62" t="s">
        <v>99</v>
      </c>
      <c r="D90" s="63">
        <v>5</v>
      </c>
      <c r="E90" s="61">
        <v>42</v>
      </c>
      <c r="F90" s="64">
        <v>35</v>
      </c>
      <c r="G90" s="65">
        <v>27</v>
      </c>
      <c r="H90" s="65">
        <v>18</v>
      </c>
      <c r="I90" s="65">
        <v>5</v>
      </c>
      <c r="J90" s="65">
        <v>40487.8</v>
      </c>
      <c r="K90" s="65">
        <v>20945.36</v>
      </c>
      <c r="L90" s="66">
        <f t="shared" si="0"/>
      </c>
      <c r="M90" s="67">
        <f t="shared" si="1"/>
      </c>
      <c r="N90" s="68">
        <f t="shared" si="2"/>
      </c>
      <c r="O90" s="61" t="s">
        <v>108</v>
      </c>
      <c r="P90" s="61">
        <v>10</v>
      </c>
      <c r="Q90" s="69"/>
    </row>
    <row hidden="true" r="91">
      <c r="A91" s="60">
        <v>46313</v>
      </c>
      <c r="B91" s="61" t="s">
        <v>105</v>
      </c>
      <c r="C91" s="62" t="s">
        <v>102</v>
      </c>
      <c r="D91" s="70">
        <v>5</v>
      </c>
      <c r="E91" s="65">
        <v>31</v>
      </c>
      <c r="F91" s="65">
        <v>19</v>
      </c>
      <c r="G91" s="65">
        <v>17</v>
      </c>
      <c r="H91" s="65">
        <v>14</v>
      </c>
      <c r="I91" s="65">
        <v>0</v>
      </c>
      <c r="J91" s="65">
        <v>22122</v>
      </c>
      <c r="K91" s="65">
        <v>16836.5</v>
      </c>
      <c r="L91" s="66">
        <f t="shared" si="0"/>
      </c>
      <c r="M91" s="67">
        <f t="shared" si="1"/>
      </c>
      <c r="N91" s="68">
        <f t="shared" si="2"/>
      </c>
      <c r="O91" s="71"/>
      <c r="P91" s="71"/>
      <c r="Q91" s="72"/>
    </row>
    <row hidden="true" r="92">
      <c r="A92" s="60">
        <v>46313</v>
      </c>
      <c r="B92" s="61" t="s">
        <v>110</v>
      </c>
      <c r="C92" s="62" t="s">
        <v>104</v>
      </c>
      <c r="D92" s="63">
        <v>5</v>
      </c>
      <c r="E92" s="65">
        <v>34</v>
      </c>
      <c r="F92" s="65">
        <v>25</v>
      </c>
      <c r="G92" s="65">
        <v>19</v>
      </c>
      <c r="H92" s="65">
        <v>14</v>
      </c>
      <c r="I92" s="65">
        <v>1</v>
      </c>
      <c r="J92" s="65">
        <v>26681.6</v>
      </c>
      <c r="K92" s="65">
        <v>18307.4</v>
      </c>
      <c r="L92" s="66">
        <f t="shared" si="0"/>
      </c>
      <c r="M92" s="67">
        <f t="shared" si="1"/>
      </c>
      <c r="N92" s="68">
        <f t="shared" si="2"/>
      </c>
      <c r="O92" s="71"/>
      <c r="P92" s="73"/>
      <c r="Q92" s="72"/>
    </row>
    <row hidden="true" r="93">
      <c r="A93" s="60">
        <v>46313</v>
      </c>
      <c r="B93" s="61" t="s">
        <v>112</v>
      </c>
      <c r="C93" s="74" t="s">
        <v>106</v>
      </c>
      <c r="D93" s="70">
        <v>5</v>
      </c>
      <c r="E93" s="75">
        <v>44</v>
      </c>
      <c r="F93" s="75">
        <v>31</v>
      </c>
      <c r="G93" s="75">
        <v>24</v>
      </c>
      <c r="H93" s="75">
        <v>19</v>
      </c>
      <c r="I93" s="75">
        <v>2</v>
      </c>
      <c r="J93" s="75">
        <v>30092.4</v>
      </c>
      <c r="K93" s="75">
        <v>17627.02</v>
      </c>
      <c r="L93" s="76">
        <f t="shared" si="0"/>
      </c>
      <c r="M93" s="77">
        <f t="shared" si="1"/>
      </c>
      <c r="N93" s="78">
        <f t="shared" si="2"/>
      </c>
      <c r="O93" s="86" t="s">
        <v>113</v>
      </c>
      <c r="P93" s="79">
        <v>10</v>
      </c>
      <c r="Q93" s="80"/>
    </row>
    <row hidden="true" r="94">
      <c r="A94" s="81">
        <v>46313</v>
      </c>
      <c r="B94" s="82"/>
      <c r="C94" s="83"/>
      <c r="D94" s="83">
        <f>SUM(D90:D93)</f>
      </c>
      <c r="E94" s="83">
        <f>SUM(E90:E93)</f>
      </c>
      <c r="F94" s="83">
        <f>SUM(F90:F93)</f>
      </c>
      <c r="G94" s="83">
        <f>SUM(G90:G93)</f>
      </c>
      <c r="H94" s="83">
        <f>SUM(H90:H93)</f>
      </c>
      <c r="I94" s="83">
        <f>SUM(I90:I93)</f>
      </c>
      <c r="J94" s="87">
        <f>SUM(J90:J93)</f>
      </c>
      <c r="K94" s="87">
        <f>SUM(K90:K93)</f>
      </c>
      <c r="L94" s="84">
        <f t="shared" si="0"/>
      </c>
      <c r="M94" s="84">
        <f t="shared" si="1"/>
      </c>
      <c r="N94" s="84">
        <f t="shared" si="2"/>
      </c>
      <c r="O94" s="83"/>
      <c r="P94" s="83">
        <f>SUM(P90:P93)</f>
      </c>
      <c r="Q94" s="83"/>
    </row>
    <row r="95">
      <c r="A95" s="88">
        <v>46314</v>
      </c>
      <c r="B95" s="89" t="s">
        <v>101</v>
      </c>
      <c r="C95" s="90" t="s">
        <v>99</v>
      </c>
      <c r="D95" s="91">
        <v>5</v>
      </c>
      <c r="E95" s="89">
        <v>27</v>
      </c>
      <c r="F95" s="92">
        <v>16</v>
      </c>
      <c r="G95" s="93">
        <v>12</v>
      </c>
      <c r="H95" s="93">
        <v>11</v>
      </c>
      <c r="I95" s="93">
        <v>2</v>
      </c>
      <c r="J95" s="93">
        <v>21127.2</v>
      </c>
      <c r="K95" s="93">
        <v>15492.64</v>
      </c>
      <c r="L95" s="94">
        <f t="shared" si="0"/>
      </c>
      <c r="M95" s="95">
        <f t="shared" si="1"/>
      </c>
      <c r="N95" s="96">
        <f t="shared" si="2"/>
      </c>
      <c r="O95" s="89" t="s">
        <v>108</v>
      </c>
      <c r="P95" s="89">
        <v>10</v>
      </c>
      <c r="Q95" s="97"/>
    </row>
    <row r="96">
      <c r="A96" s="88">
        <v>46314</v>
      </c>
      <c r="B96" s="89" t="s">
        <v>110</v>
      </c>
      <c r="C96" s="90" t="s">
        <v>102</v>
      </c>
      <c r="D96" s="98">
        <v>5</v>
      </c>
      <c r="E96" s="93"/>
      <c r="F96" s="93"/>
      <c r="G96" s="93"/>
      <c r="H96" s="93"/>
      <c r="I96" s="93"/>
      <c r="J96" s="93"/>
      <c r="K96" s="93"/>
      <c r="L96" s="94">
        <f t="shared" si="0"/>
      </c>
      <c r="M96" s="95">
        <f t="shared" si="1"/>
      </c>
      <c r="N96" s="96">
        <f t="shared" si="2"/>
      </c>
      <c r="O96" s="99"/>
      <c r="P96" s="99"/>
      <c r="Q96" s="100"/>
    </row>
    <row r="97">
      <c r="A97" s="88">
        <v>46314</v>
      </c>
      <c r="B97" s="89" t="s">
        <v>109</v>
      </c>
      <c r="C97" s="90" t="s">
        <v>104</v>
      </c>
      <c r="D97" s="91">
        <v>5</v>
      </c>
      <c r="E97" s="93"/>
      <c r="F97" s="93"/>
      <c r="G97" s="93"/>
      <c r="H97" s="93"/>
      <c r="I97" s="93"/>
      <c r="J97" s="93"/>
      <c r="K97" s="93"/>
      <c r="L97" s="94">
        <f t="shared" si="0"/>
      </c>
      <c r="M97" s="95">
        <f t="shared" si="1"/>
      </c>
      <c r="N97" s="96">
        <f t="shared" si="2"/>
      </c>
      <c r="O97" s="99"/>
      <c r="P97" s="101"/>
      <c r="Q97" s="100"/>
    </row>
    <row r="98">
      <c r="A98" s="88">
        <v>46314</v>
      </c>
      <c r="B98" s="89" t="s">
        <v>112</v>
      </c>
      <c r="C98" s="102" t="s">
        <v>106</v>
      </c>
      <c r="D98" s="98">
        <v>5</v>
      </c>
      <c r="E98" s="103"/>
      <c r="F98" s="103"/>
      <c r="G98" s="103"/>
      <c r="H98" s="103"/>
      <c r="I98" s="103"/>
      <c r="J98" s="103"/>
      <c r="K98" s="103"/>
      <c r="L98" s="104">
        <f t="shared" si="0"/>
      </c>
      <c r="M98" s="105">
        <f t="shared" si="1"/>
      </c>
      <c r="N98" s="106">
        <f t="shared" si="2"/>
      </c>
      <c r="O98" s="107" t="s">
        <v>113</v>
      </c>
      <c r="P98" s="108">
        <v>10</v>
      </c>
      <c r="Q98" s="109"/>
    </row>
    <row r="99">
      <c r="A99" s="110">
        <v>46314</v>
      </c>
      <c r="B99" s="111"/>
      <c r="C99" s="112"/>
      <c r="D99" s="112">
        <f>SUM(D95:D98)</f>
      </c>
      <c r="E99" s="112">
        <f>SUM(E95:E98)</f>
      </c>
      <c r="F99" s="112">
        <f>SUM(F95:F98)</f>
      </c>
      <c r="G99" s="112">
        <f>SUM(G95:G98)</f>
      </c>
      <c r="H99" s="112">
        <f>SUM(H95:H98)</f>
      </c>
      <c r="I99" s="112">
        <f>SUM(I95:I98)</f>
      </c>
      <c r="J99" s="113">
        <f>SUM(J95:J98)</f>
      </c>
      <c r="K99" s="113">
        <f>SUM(K95:K98)</f>
      </c>
      <c r="L99" s="114">
        <f t="shared" si="0"/>
      </c>
      <c r="M99" s="114">
        <f t="shared" si="1"/>
      </c>
      <c r="N99" s="114">
        <f t="shared" si="2"/>
      </c>
      <c r="O99" s="112"/>
      <c r="P99" s="112">
        <f>SUM(P95:P98)</f>
      </c>
      <c r="Q99" s="112"/>
    </row>
  </sheetData>
  <autoFilter ref="A1:Q99">
    <filterColumn colId="0">
      <filters>
        <dateGroupItem dateTimeGrouping="day" day="19" month="10" year="2026"/>
      </filters>
    </filterColumn>
  </autoFilter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6.106514084507044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6.106514084507044"/>
    <col collapsed="false" customWidth="true" hidden="false" max="14" min="14" style="0" width="16.106514084507044"/>
  </cols>
  <sheetData>
    <row r="1">
      <c r="A1" s="115" t="s">
        <v>120</v>
      </c>
      <c r="B1" s="116" t="s">
        <v>121</v>
      </c>
      <c r="C1" s="116" t="s">
        <v>122</v>
      </c>
      <c r="D1" s="116" t="s">
        <v>123</v>
      </c>
      <c r="E1" s="116" t="s">
        <v>124</v>
      </c>
      <c r="F1" s="116" t="s">
        <v>125</v>
      </c>
      <c r="G1" s="117" t="s">
        <v>126</v>
      </c>
      <c r="H1" s="118" t="s">
        <v>127</v>
      </c>
      <c r="I1" s="116" t="s">
        <v>128</v>
      </c>
      <c r="J1" s="116" t="s">
        <v>129</v>
      </c>
      <c r="K1" s="116" t="s">
        <v>130</v>
      </c>
      <c r="L1" s="119" t="s">
        <v>131</v>
      </c>
      <c r="M1" s="119" t="s">
        <v>132</v>
      </c>
      <c r="N1" s="119" t="s">
        <v>133</v>
      </c>
      <c r="O1" s="116" t="s">
        <v>134</v>
      </c>
      <c r="P1" s="116" t="s">
        <v>135</v>
      </c>
      <c r="Q1" s="120" t="s">
        <v>136</v>
      </c>
    </row>
    <row hidden="true" r="2">
      <c r="A2" s="121">
        <v>46266</v>
      </c>
      <c r="B2" s="122" t="s">
        <v>137</v>
      </c>
      <c r="C2" s="123" t="s">
        <v>138</v>
      </c>
      <c r="D2" s="124">
        <v>5</v>
      </c>
      <c r="E2" s="122">
        <v>25</v>
      </c>
      <c r="F2" s="125">
        <v>22</v>
      </c>
      <c r="G2" s="126">
        <v>14</v>
      </c>
      <c r="H2" s="126">
        <v>16</v>
      </c>
      <c r="I2" s="126">
        <v>3</v>
      </c>
      <c r="J2" s="126">
        <v>24878.5</v>
      </c>
      <c r="K2" s="126">
        <v>18512.699999999997</v>
      </c>
      <c r="L2" s="127">
        <f t="shared" ref="L2:L163" si="1">J2/K2</f>
      </c>
      <c r="M2" s="128">
        <f t="shared" ref="M2:M163" si="4">J2/F2</f>
      </c>
      <c r="N2" s="129">
        <f t="shared" ref="N2:N163" si="2">K2/F2</f>
      </c>
      <c r="O2" s="122" t="s">
        <v>139</v>
      </c>
      <c r="P2" s="122">
        <v>10</v>
      </c>
      <c r="Q2" s="130"/>
    </row>
    <row r="3">
      <c r="A3" s="121">
        <v>46266</v>
      </c>
      <c r="B3" s="131" t="s">
        <v>140</v>
      </c>
      <c r="C3" s="132" t="s">
        <v>141</v>
      </c>
      <c r="D3" s="133">
        <v>5</v>
      </c>
      <c r="E3" s="126">
        <v>30</v>
      </c>
      <c r="F3" s="126">
        <v>22</v>
      </c>
      <c r="G3" s="126">
        <v>18</v>
      </c>
      <c r="H3" s="126">
        <v>12</v>
      </c>
      <c r="I3" s="126">
        <v>1</v>
      </c>
      <c r="J3" s="126">
        <v>21647.599999999995</v>
      </c>
      <c r="K3" s="126">
        <v>12900.28</v>
      </c>
      <c r="L3" s="127">
        <f t="shared" si="1"/>
      </c>
      <c r="M3" s="128">
        <f t="shared" si="4"/>
      </c>
      <c r="N3" s="129">
        <f t="shared" si="2"/>
      </c>
      <c r="O3" s="134"/>
      <c r="P3" s="134"/>
      <c r="Q3" s="135"/>
    </row>
    <row hidden="true" r="4">
      <c r="A4" s="121">
        <v>46266</v>
      </c>
      <c r="B4" s="131" t="s">
        <v>142</v>
      </c>
      <c r="C4" s="123" t="s">
        <v>143</v>
      </c>
      <c r="D4" s="133">
        <v>5</v>
      </c>
      <c r="E4" s="126">
        <v>33</v>
      </c>
      <c r="F4" s="126">
        <v>25</v>
      </c>
      <c r="G4" s="126">
        <v>23</v>
      </c>
      <c r="H4" s="126">
        <v>17</v>
      </c>
      <c r="I4" s="126">
        <v>1</v>
      </c>
      <c r="J4" s="126">
        <v>28414.399999999994</v>
      </c>
      <c r="K4" s="126">
        <v>15603.67</v>
      </c>
      <c r="L4" s="127">
        <f t="shared" si="1"/>
      </c>
      <c r="M4" s="128">
        <f t="shared" si="4"/>
      </c>
      <c r="N4" s="129">
        <f t="shared" si="2"/>
      </c>
      <c r="O4" s="136"/>
      <c r="P4" s="136"/>
      <c r="Q4" s="135"/>
    </row>
    <row hidden="true" r="5">
      <c r="A5" s="137">
        <v>46266</v>
      </c>
      <c r="B5" s="131" t="s">
        <v>144</v>
      </c>
      <c r="C5" s="138" t="s">
        <v>145</v>
      </c>
      <c r="D5" s="139">
        <v>5</v>
      </c>
      <c r="E5" s="140">
        <v>46</v>
      </c>
      <c r="F5" s="140">
        <v>29</v>
      </c>
      <c r="G5" s="140">
        <v>19</v>
      </c>
      <c r="H5" s="140">
        <v>23</v>
      </c>
      <c r="I5" s="140">
        <v>0</v>
      </c>
      <c r="J5" s="140">
        <v>30480.000000000007</v>
      </c>
      <c r="K5" s="140">
        <v>17082.44</v>
      </c>
      <c r="L5" s="141">
        <f t="shared" si="1"/>
      </c>
      <c r="M5" s="142">
        <f t="shared" si="4"/>
      </c>
      <c r="N5" s="143">
        <f t="shared" si="2"/>
      </c>
      <c r="O5" s="144" t="s">
        <v>146</v>
      </c>
      <c r="P5" s="144">
        <v>10</v>
      </c>
      <c r="Q5" s="145"/>
    </row>
    <row hidden="true" r="6">
      <c r="A6" s="146">
        <v>46266</v>
      </c>
      <c r="B6" s="147"/>
      <c r="C6" s="147"/>
      <c r="D6" s="147">
        <f>SUM(D2:D5)</f>
      </c>
      <c r="E6" s="147">
        <f>SUM(E2:E5)</f>
      </c>
      <c r="F6" s="147">
        <f>SUM(F2:F5)</f>
      </c>
      <c r="G6" s="147">
        <f>SUM(G2:G5)</f>
      </c>
      <c r="H6" s="147">
        <f>SUM(H2:H5)</f>
      </c>
      <c r="I6" s="147">
        <f>SUM(I2:I5)</f>
      </c>
      <c r="J6" s="147">
        <f>SUM(J2:J5)</f>
      </c>
      <c r="K6" s="147">
        <f>SUM(K2:K5)</f>
      </c>
      <c r="L6" s="148">
        <f t="shared" si="1"/>
      </c>
      <c r="M6" s="148">
        <f t="shared" si="4"/>
      </c>
      <c r="N6" s="148">
        <f t="shared" si="2"/>
      </c>
      <c r="O6" s="147"/>
      <c r="P6" s="147">
        <f>SUM(P2:P5)</f>
      </c>
      <c r="Q6" s="147"/>
      <c r="R6" s="149"/>
    </row>
    <row hidden="true" r="7">
      <c r="A7" s="121">
        <v>46267</v>
      </c>
      <c r="B7" s="131" t="s">
        <v>142</v>
      </c>
      <c r="C7" s="123" t="s">
        <v>138</v>
      </c>
      <c r="D7" s="124">
        <v>5</v>
      </c>
      <c r="E7" s="122">
        <v>65</v>
      </c>
      <c r="F7" s="125">
        <v>52</v>
      </c>
      <c r="G7" s="126">
        <v>37</v>
      </c>
      <c r="H7" s="126">
        <v>32</v>
      </c>
      <c r="I7" s="126">
        <v>6</v>
      </c>
      <c r="J7" s="126">
        <v>54117.7</v>
      </c>
      <c r="K7" s="126">
        <v>24990.98</v>
      </c>
      <c r="L7" s="127">
        <f t="shared" si="1"/>
      </c>
      <c r="M7" s="128">
        <f t="shared" si="4"/>
      </c>
      <c r="N7" s="129">
        <f t="shared" si="2"/>
      </c>
      <c r="O7" s="122" t="s">
        <v>139</v>
      </c>
      <c r="P7" s="122">
        <v>10</v>
      </c>
      <c r="Q7" s="130"/>
    </row>
    <row r="8">
      <c r="A8" s="121">
        <v>46267</v>
      </c>
      <c r="B8" s="131" t="s">
        <v>140</v>
      </c>
      <c r="C8" s="132" t="s">
        <v>141</v>
      </c>
      <c r="D8" s="133">
        <v>5</v>
      </c>
      <c r="E8" s="126">
        <v>67</v>
      </c>
      <c r="F8" s="126">
        <v>50</v>
      </c>
      <c r="G8" s="126">
        <v>33</v>
      </c>
      <c r="H8" s="126">
        <v>34</v>
      </c>
      <c r="I8" s="126">
        <v>6</v>
      </c>
      <c r="J8" s="126">
        <v>47477.20000000001</v>
      </c>
      <c r="K8" s="126">
        <v>27306</v>
      </c>
      <c r="L8" s="127">
        <f t="shared" si="1"/>
      </c>
      <c r="M8" s="128">
        <f t="shared" si="4"/>
      </c>
      <c r="N8" s="129">
        <f t="shared" si="2"/>
      </c>
      <c r="O8" s="134"/>
      <c r="P8" s="134"/>
      <c r="Q8" s="135"/>
    </row>
    <row hidden="true" r="9">
      <c r="A9" s="121">
        <v>46267</v>
      </c>
      <c r="B9" s="131" t="s">
        <v>147</v>
      </c>
      <c r="C9" s="123" t="s">
        <v>143</v>
      </c>
      <c r="D9" s="133">
        <v>5</v>
      </c>
      <c r="E9" s="126">
        <v>45</v>
      </c>
      <c r="F9" s="126">
        <v>34</v>
      </c>
      <c r="G9" s="126">
        <v>18</v>
      </c>
      <c r="H9" s="126">
        <v>25</v>
      </c>
      <c r="I9" s="126">
        <v>3</v>
      </c>
      <c r="J9" s="126">
        <v>40501.4</v>
      </c>
      <c r="K9" s="126">
        <v>19624.55</v>
      </c>
      <c r="L9" s="127">
        <f t="shared" si="1"/>
      </c>
      <c r="M9" s="128">
        <f t="shared" si="4"/>
      </c>
      <c r="N9" s="129">
        <f t="shared" si="2"/>
      </c>
      <c r="O9" s="136"/>
      <c r="P9" s="136"/>
      <c r="Q9" s="135"/>
    </row>
    <row hidden="true" r="10">
      <c r="A10" s="121">
        <v>46267</v>
      </c>
      <c r="B10" s="122" t="s">
        <v>137</v>
      </c>
      <c r="C10" s="138" t="s">
        <v>145</v>
      </c>
      <c r="D10" s="139">
        <v>5</v>
      </c>
      <c r="E10" s="140">
        <v>42</v>
      </c>
      <c r="F10" s="140">
        <v>30</v>
      </c>
      <c r="G10" s="140">
        <v>25</v>
      </c>
      <c r="H10" s="140">
        <v>20</v>
      </c>
      <c r="I10" s="140">
        <v>2</v>
      </c>
      <c r="J10" s="140">
        <v>30691.59999999999</v>
      </c>
      <c r="K10" s="140">
        <v>17213.73</v>
      </c>
      <c r="L10" s="141">
        <f t="shared" si="1"/>
      </c>
      <c r="M10" s="142">
        <f t="shared" si="4"/>
      </c>
      <c r="N10" s="143">
        <f t="shared" si="2"/>
      </c>
      <c r="O10" s="144" t="s">
        <v>146</v>
      </c>
      <c r="P10" s="144">
        <v>10</v>
      </c>
      <c r="Q10" s="145"/>
    </row>
    <row hidden="true" r="11">
      <c r="A11" s="146">
        <v>46267</v>
      </c>
      <c r="B11" s="147"/>
      <c r="C11" s="147"/>
      <c r="D11" s="147">
        <f>SUM(D7:D10)</f>
      </c>
      <c r="E11" s="147">
        <f>SUM(E7:E10)</f>
      </c>
      <c r="F11" s="147">
        <f>SUM(F7:F10)</f>
      </c>
      <c r="G11" s="147">
        <f>SUM(G7:G10)</f>
      </c>
      <c r="H11" s="147">
        <f>SUM(H7:H10)</f>
      </c>
      <c r="I11" s="147">
        <f>SUM(I7:I10)</f>
      </c>
      <c r="J11" s="147">
        <f>SUM(J7:J10)</f>
      </c>
      <c r="K11" s="147">
        <f>SUM(K7:K10)</f>
      </c>
      <c r="L11" s="148">
        <f t="shared" si="1"/>
      </c>
      <c r="M11" s="148">
        <f t="shared" si="4"/>
      </c>
      <c r="N11" s="148">
        <f t="shared" si="2"/>
      </c>
      <c r="O11" s="147"/>
      <c r="P11" s="147">
        <f>SUM(P7:P10)</f>
      </c>
      <c r="Q11" s="147"/>
      <c r="R11" s="149"/>
    </row>
    <row hidden="true" r="12">
      <c r="A12" s="121">
        <v>46268</v>
      </c>
      <c r="B12" s="131" t="s">
        <v>142</v>
      </c>
      <c r="C12" s="123" t="s">
        <v>138</v>
      </c>
      <c r="D12" s="124">
        <v>5</v>
      </c>
      <c r="E12" s="122">
        <v>62</v>
      </c>
      <c r="F12" s="125">
        <v>45</v>
      </c>
      <c r="G12" s="126">
        <v>34</v>
      </c>
      <c r="H12" s="126">
        <v>26</v>
      </c>
      <c r="I12" s="126">
        <v>3</v>
      </c>
      <c r="J12" s="126">
        <v>44801.200000000004</v>
      </c>
      <c r="K12" s="126">
        <v>25506.86</v>
      </c>
      <c r="L12" s="127">
        <f t="shared" si="1"/>
      </c>
      <c r="M12" s="128">
        <f t="shared" si="4"/>
      </c>
      <c r="N12" s="129">
        <f t="shared" si="2"/>
      </c>
      <c r="O12" s="122" t="s">
        <v>139</v>
      </c>
      <c r="P12" s="122">
        <v>10</v>
      </c>
      <c r="Q12" s="130"/>
    </row>
    <row r="13">
      <c r="A13" s="121">
        <v>46268</v>
      </c>
      <c r="B13" s="131" t="s">
        <v>140</v>
      </c>
      <c r="C13" s="132" t="s">
        <v>141</v>
      </c>
      <c r="D13" s="133">
        <v>5</v>
      </c>
      <c r="E13" s="126">
        <v>47</v>
      </c>
      <c r="F13" s="126">
        <v>36</v>
      </c>
      <c r="G13" s="126">
        <v>27</v>
      </c>
      <c r="H13" s="126">
        <v>29</v>
      </c>
      <c r="I13" s="126">
        <v>1</v>
      </c>
      <c r="J13" s="126">
        <v>35290.3</v>
      </c>
      <c r="K13" s="126">
        <v>21138.71</v>
      </c>
      <c r="L13" s="127">
        <f t="shared" si="1"/>
      </c>
      <c r="M13" s="128">
        <f t="shared" si="4"/>
      </c>
      <c r="N13" s="129">
        <f t="shared" si="2"/>
      </c>
      <c r="O13" s="134"/>
      <c r="P13" s="134"/>
      <c r="Q13" s="135"/>
    </row>
    <row hidden="true" r="14">
      <c r="A14" s="121">
        <v>46268</v>
      </c>
      <c r="B14" s="131" t="s">
        <v>144</v>
      </c>
      <c r="C14" s="123" t="s">
        <v>143</v>
      </c>
      <c r="D14" s="133">
        <v>5</v>
      </c>
      <c r="E14" s="126">
        <v>45</v>
      </c>
      <c r="F14" s="126">
        <v>31</v>
      </c>
      <c r="G14" s="126">
        <v>13</v>
      </c>
      <c r="H14" s="126">
        <v>25</v>
      </c>
      <c r="I14" s="126">
        <v>3</v>
      </c>
      <c r="J14" s="126">
        <v>29562.199999999997</v>
      </c>
      <c r="K14" s="126">
        <v>13467.049999999997</v>
      </c>
      <c r="L14" s="127">
        <f t="shared" si="1"/>
      </c>
      <c r="M14" s="128">
        <f t="shared" si="4"/>
      </c>
      <c r="N14" s="129">
        <f t="shared" si="2"/>
      </c>
      <c r="O14" s="136"/>
      <c r="P14" s="136"/>
      <c r="Q14" s="135"/>
    </row>
    <row hidden="true" r="15">
      <c r="A15" s="121">
        <v>46268</v>
      </c>
      <c r="B15" s="122" t="s">
        <v>137</v>
      </c>
      <c r="C15" s="138" t="s">
        <v>145</v>
      </c>
      <c r="D15" s="139">
        <v>5</v>
      </c>
      <c r="E15" s="140">
        <v>50</v>
      </c>
      <c r="F15" s="140">
        <v>40</v>
      </c>
      <c r="G15" s="140">
        <v>25</v>
      </c>
      <c r="H15" s="140">
        <v>29</v>
      </c>
      <c r="I15" s="140">
        <v>3</v>
      </c>
      <c r="J15" s="140">
        <v>43240.6</v>
      </c>
      <c r="K15" s="140">
        <v>16751.54</v>
      </c>
      <c r="L15" s="141">
        <f t="shared" si="1"/>
      </c>
      <c r="M15" s="142">
        <f t="shared" si="4"/>
      </c>
      <c r="N15" s="143">
        <f t="shared" si="2"/>
      </c>
      <c r="O15" s="144" t="s">
        <v>146</v>
      </c>
      <c r="P15" s="144">
        <v>10</v>
      </c>
      <c r="Q15" s="145"/>
    </row>
    <row hidden="true" r="16">
      <c r="A16" s="146">
        <v>46268</v>
      </c>
      <c r="B16" s="147"/>
      <c r="C16" s="147"/>
      <c r="D16" s="147">
        <f>SUM(D12:D15)</f>
      </c>
      <c r="E16" s="147">
        <f>SUM(E12:E15)</f>
      </c>
      <c r="F16" s="147">
        <f>SUM(F12:F15)</f>
      </c>
      <c r="G16" s="147">
        <f>SUM(G12:G15)</f>
      </c>
      <c r="H16" s="147">
        <f>SUM(H12:H15)</f>
      </c>
      <c r="I16" s="147">
        <f>SUM(I12:I15)</f>
      </c>
      <c r="J16" s="147">
        <f>SUM(J12:J15)</f>
      </c>
      <c r="K16" s="147">
        <f>SUM(K12:K15)</f>
      </c>
      <c r="L16" s="148">
        <f t="shared" si="1"/>
      </c>
      <c r="M16" s="148">
        <f t="shared" si="4"/>
      </c>
      <c r="N16" s="148">
        <f t="shared" si="2"/>
      </c>
      <c r="O16" s="147"/>
      <c r="P16" s="147">
        <f>SUM(P12:P15)</f>
      </c>
      <c r="Q16" s="147"/>
      <c r="R16" s="149"/>
    </row>
    <row hidden="true" r="17">
      <c r="A17" s="121">
        <v>46269</v>
      </c>
      <c r="B17" s="131" t="s">
        <v>142</v>
      </c>
      <c r="C17" s="123" t="s">
        <v>138</v>
      </c>
      <c r="D17" s="124">
        <v>5</v>
      </c>
      <c r="E17" s="122">
        <v>56</v>
      </c>
      <c r="F17" s="125">
        <v>39</v>
      </c>
      <c r="G17" s="126">
        <v>26</v>
      </c>
      <c r="H17" s="126">
        <v>27</v>
      </c>
      <c r="I17" s="126">
        <v>3</v>
      </c>
      <c r="J17" s="126">
        <v>38366.20000000001</v>
      </c>
      <c r="K17" s="126">
        <v>27547.659999999996</v>
      </c>
      <c r="L17" s="127">
        <f t="shared" si="1"/>
      </c>
      <c r="M17" s="128">
        <f t="shared" si="4"/>
      </c>
      <c r="N17" s="129">
        <f t="shared" si="2"/>
      </c>
      <c r="O17" s="122" t="s">
        <v>148</v>
      </c>
      <c r="P17" s="122">
        <v>10</v>
      </c>
      <c r="Q17" s="130"/>
    </row>
    <row r="18">
      <c r="A18" s="121">
        <v>46269</v>
      </c>
      <c r="B18" s="131" t="s">
        <v>140</v>
      </c>
      <c r="C18" s="132" t="s">
        <v>141</v>
      </c>
      <c r="D18" s="133">
        <v>5</v>
      </c>
      <c r="E18" s="126">
        <v>65</v>
      </c>
      <c r="F18" s="126">
        <v>50</v>
      </c>
      <c r="G18" s="126">
        <v>25</v>
      </c>
      <c r="H18" s="126">
        <v>33</v>
      </c>
      <c r="I18" s="126">
        <v>6</v>
      </c>
      <c r="J18" s="126">
        <v>47680.100000000006</v>
      </c>
      <c r="K18" s="126">
        <v>20244.54</v>
      </c>
      <c r="L18" s="127">
        <f t="shared" si="1"/>
      </c>
      <c r="M18" s="128">
        <f t="shared" si="4"/>
      </c>
      <c r="N18" s="129">
        <f t="shared" si="2"/>
      </c>
      <c r="O18" s="134"/>
      <c r="P18" s="134"/>
      <c r="Q18" s="135"/>
    </row>
    <row hidden="true" r="19">
      <c r="A19" s="121">
        <v>46269</v>
      </c>
      <c r="B19" s="131" t="s">
        <v>144</v>
      </c>
      <c r="C19" s="123" t="s">
        <v>143</v>
      </c>
      <c r="D19" s="133">
        <v>5</v>
      </c>
      <c r="E19" s="126">
        <v>37</v>
      </c>
      <c r="F19" s="126">
        <v>28</v>
      </c>
      <c r="G19" s="126">
        <v>14</v>
      </c>
      <c r="H19" s="126">
        <v>14</v>
      </c>
      <c r="I19" s="126">
        <v>4</v>
      </c>
      <c r="J19" s="126">
        <v>36220.8</v>
      </c>
      <c r="K19" s="126">
        <v>15307.529999999999</v>
      </c>
      <c r="L19" s="127">
        <f t="shared" si="1"/>
      </c>
      <c r="M19" s="128">
        <f t="shared" si="4"/>
      </c>
      <c r="N19" s="129">
        <f t="shared" si="2"/>
      </c>
      <c r="O19" s="136"/>
      <c r="P19" s="136"/>
      <c r="Q19" s="135"/>
    </row>
    <row hidden="true" r="20">
      <c r="A20" s="121">
        <v>46269</v>
      </c>
      <c r="B20" s="122" t="s">
        <v>137</v>
      </c>
      <c r="C20" s="138" t="s">
        <v>145</v>
      </c>
      <c r="D20" s="139">
        <v>5</v>
      </c>
      <c r="E20" s="140">
        <v>38</v>
      </c>
      <c r="F20" s="140">
        <v>22</v>
      </c>
      <c r="G20" s="140">
        <v>16</v>
      </c>
      <c r="H20" s="140">
        <v>16</v>
      </c>
      <c r="I20" s="140">
        <v>2</v>
      </c>
      <c r="J20" s="140">
        <v>22353.79999999998</v>
      </c>
      <c r="K20" s="140">
        <v>17646.699999999997</v>
      </c>
      <c r="L20" s="141">
        <f t="shared" si="1"/>
      </c>
      <c r="M20" s="142">
        <f t="shared" si="4"/>
      </c>
      <c r="N20" s="143">
        <f t="shared" si="2"/>
      </c>
      <c r="O20" s="144" t="s">
        <v>146</v>
      </c>
      <c r="P20" s="144">
        <v>10</v>
      </c>
      <c r="Q20" s="145"/>
    </row>
    <row hidden="true" r="21">
      <c r="A21" s="146">
        <v>46269</v>
      </c>
      <c r="B21" s="147"/>
      <c r="C21" s="147"/>
      <c r="D21" s="147">
        <f>SUM(D17:D20)</f>
      </c>
      <c r="E21" s="147">
        <f>SUM(E17:E20)</f>
      </c>
      <c r="F21" s="147">
        <f>SUM(F17:F20)</f>
      </c>
      <c r="G21" s="147">
        <f>SUM(G17:G20)</f>
      </c>
      <c r="H21" s="147">
        <f>SUM(H17:H20)</f>
      </c>
      <c r="I21" s="147">
        <f>SUM(I17:I20)</f>
      </c>
      <c r="J21" s="147">
        <f>SUM(J17:J20)</f>
      </c>
      <c r="K21" s="147">
        <f>SUM(K17:K20)</f>
      </c>
      <c r="L21" s="148">
        <f t="shared" si="1"/>
      </c>
      <c r="M21" s="148">
        <f t="shared" si="4"/>
      </c>
      <c r="N21" s="148">
        <f t="shared" si="2"/>
      </c>
      <c r="O21" s="147"/>
      <c r="P21" s="147">
        <f>SUM(P17:P20)</f>
      </c>
      <c r="Q21" s="147"/>
      <c r="R21" s="149"/>
    </row>
    <row hidden="true" r="22">
      <c r="A22" s="121">
        <v>46270</v>
      </c>
      <c r="B22" s="131" t="s">
        <v>142</v>
      </c>
      <c r="C22" s="123" t="s">
        <v>138</v>
      </c>
      <c r="D22" s="124">
        <v>5</v>
      </c>
      <c r="E22" s="122">
        <v>32</v>
      </c>
      <c r="F22" s="125">
        <v>23</v>
      </c>
      <c r="G22" s="126">
        <v>15</v>
      </c>
      <c r="H22" s="126">
        <v>15</v>
      </c>
      <c r="I22" s="126">
        <v>6</v>
      </c>
      <c r="J22" s="126">
        <v>28734.000000000007</v>
      </c>
      <c r="K22" s="126">
        <v>14687.98</v>
      </c>
      <c r="L22" s="127">
        <f t="shared" si="1"/>
      </c>
      <c r="M22" s="128">
        <f t="shared" si="4"/>
      </c>
      <c r="N22" s="129">
        <f t="shared" si="2"/>
      </c>
      <c r="O22" s="122" t="s">
        <v>139</v>
      </c>
      <c r="P22" s="122">
        <v>10</v>
      </c>
      <c r="Q22" s="130"/>
    </row>
    <row r="23">
      <c r="A23" s="121">
        <v>46270</v>
      </c>
      <c r="B23" s="131" t="s">
        <v>140</v>
      </c>
      <c r="C23" s="132" t="s">
        <v>141</v>
      </c>
      <c r="D23" s="133">
        <v>5</v>
      </c>
      <c r="E23" s="126">
        <v>20</v>
      </c>
      <c r="F23" s="126">
        <v>12</v>
      </c>
      <c r="G23" s="126">
        <v>10</v>
      </c>
      <c r="H23" s="126">
        <v>4</v>
      </c>
      <c r="I23" s="126">
        <v>1</v>
      </c>
      <c r="J23" s="126">
        <v>11577.599999999997</v>
      </c>
      <c r="K23" s="126">
        <v>12354.13</v>
      </c>
      <c r="L23" s="127">
        <f t="shared" si="1"/>
      </c>
      <c r="M23" s="128">
        <f t="shared" si="4"/>
      </c>
      <c r="N23" s="129">
        <f t="shared" si="2"/>
      </c>
      <c r="O23" s="134"/>
      <c r="P23" s="134"/>
      <c r="Q23" s="135"/>
    </row>
    <row hidden="true" r="24">
      <c r="A24" s="121">
        <v>46270</v>
      </c>
      <c r="B24" s="131" t="s">
        <v>147</v>
      </c>
      <c r="C24" s="123" t="s">
        <v>143</v>
      </c>
      <c r="D24" s="133">
        <v>5</v>
      </c>
      <c r="E24" s="126">
        <v>32</v>
      </c>
      <c r="F24" s="126">
        <v>22</v>
      </c>
      <c r="G24" s="126">
        <v>14</v>
      </c>
      <c r="H24" s="126">
        <v>14</v>
      </c>
      <c r="I24" s="126">
        <v>1</v>
      </c>
      <c r="J24" s="126">
        <v>26664.199999999997</v>
      </c>
      <c r="K24" s="126">
        <v>9495.02</v>
      </c>
      <c r="L24" s="127">
        <f t="shared" si="1"/>
      </c>
      <c r="M24" s="128">
        <f t="shared" si="4"/>
      </c>
      <c r="N24" s="129">
        <f t="shared" si="2"/>
      </c>
      <c r="O24" s="136"/>
      <c r="P24" s="136"/>
      <c r="Q24" s="135"/>
    </row>
    <row hidden="true" r="25">
      <c r="A25" s="121">
        <v>46270</v>
      </c>
      <c r="B25" s="122" t="s">
        <v>137</v>
      </c>
      <c r="C25" s="138" t="s">
        <v>145</v>
      </c>
      <c r="D25" s="139">
        <v>5</v>
      </c>
      <c r="E25" s="140">
        <v>49</v>
      </c>
      <c r="F25" s="140">
        <v>39</v>
      </c>
      <c r="G25" s="140">
        <v>25</v>
      </c>
      <c r="H25" s="140">
        <v>21</v>
      </c>
      <c r="I25" s="140">
        <v>4</v>
      </c>
      <c r="J25" s="140">
        <v>51542.8</v>
      </c>
      <c r="K25" s="140">
        <v>13521.33</v>
      </c>
      <c r="L25" s="141">
        <f t="shared" si="1"/>
      </c>
      <c r="M25" s="142">
        <f t="shared" si="4"/>
      </c>
      <c r="N25" s="143">
        <f t="shared" si="2"/>
      </c>
      <c r="O25" s="144" t="s">
        <v>146</v>
      </c>
      <c r="P25" s="144">
        <v>10</v>
      </c>
      <c r="Q25" s="145"/>
    </row>
    <row hidden="true" r="26">
      <c r="A26" s="146">
        <v>46270</v>
      </c>
      <c r="B26" s="147"/>
      <c r="C26" s="147"/>
      <c r="D26" s="147">
        <f>SUM(D22:D25)</f>
      </c>
      <c r="E26" s="147">
        <f>SUM(E22:E25)</f>
      </c>
      <c r="F26" s="147">
        <f>SUM(F22:F25)</f>
      </c>
      <c r="G26" s="147">
        <f>SUM(G22:G25)</f>
      </c>
      <c r="H26" s="147">
        <f>SUM(H22:H25)</f>
      </c>
      <c r="I26" s="147">
        <f>SUM(I22:I25)</f>
      </c>
      <c r="J26" s="147">
        <f>SUM(J22:J25)</f>
      </c>
      <c r="K26" s="147">
        <f>SUM(K22:K25)</f>
      </c>
      <c r="L26" s="148">
        <f t="shared" si="1"/>
      </c>
      <c r="M26" s="148">
        <f t="shared" si="4"/>
      </c>
      <c r="N26" s="148">
        <f t="shared" si="2"/>
      </c>
      <c r="O26" s="147"/>
      <c r="P26" s="147">
        <f>SUM(P22:P25)</f>
      </c>
      <c r="Q26" s="147"/>
      <c r="R26" s="149"/>
    </row>
    <row hidden="true" r="27">
      <c r="A27" s="121">
        <v>46271</v>
      </c>
      <c r="B27" s="131" t="s">
        <v>142</v>
      </c>
      <c r="C27" s="123" t="s">
        <v>138</v>
      </c>
      <c r="D27" s="124">
        <v>5</v>
      </c>
      <c r="E27" s="122">
        <v>73</v>
      </c>
      <c r="F27" s="125">
        <v>57</v>
      </c>
      <c r="G27" s="126">
        <v>31</v>
      </c>
      <c r="H27" s="126">
        <v>35</v>
      </c>
      <c r="I27" s="126">
        <v>10</v>
      </c>
      <c r="J27" s="126">
        <v>73975.4</v>
      </c>
      <c r="K27" s="126">
        <v>22470.84</v>
      </c>
      <c r="L27" s="127">
        <f t="shared" si="1"/>
      </c>
      <c r="M27" s="128">
        <f t="shared" si="4"/>
      </c>
      <c r="N27" s="129">
        <f t="shared" si="2"/>
      </c>
      <c r="O27" s="122" t="s">
        <v>139</v>
      </c>
      <c r="P27" s="122">
        <v>10</v>
      </c>
      <c r="Q27" s="130"/>
    </row>
    <row r="28">
      <c r="A28" s="121">
        <v>46271</v>
      </c>
      <c r="B28" s="131" t="s">
        <v>140</v>
      </c>
      <c r="C28" s="132" t="s">
        <v>141</v>
      </c>
      <c r="D28" s="133">
        <v>5</v>
      </c>
      <c r="E28" s="126">
        <v>47</v>
      </c>
      <c r="F28" s="126">
        <v>40</v>
      </c>
      <c r="G28" s="126">
        <v>22</v>
      </c>
      <c r="H28" s="126">
        <v>28</v>
      </c>
      <c r="I28" s="126">
        <v>4</v>
      </c>
      <c r="J28" s="126">
        <v>49648.800000000025</v>
      </c>
      <c r="K28" s="126">
        <v>15578.15</v>
      </c>
      <c r="L28" s="127">
        <f t="shared" si="1"/>
      </c>
      <c r="M28" s="128">
        <f t="shared" si="4"/>
      </c>
      <c r="N28" s="129">
        <f t="shared" si="2"/>
      </c>
      <c r="O28" s="134"/>
      <c r="P28" s="134"/>
      <c r="Q28" s="135"/>
    </row>
    <row hidden="true" r="29">
      <c r="A29" s="121">
        <v>46271</v>
      </c>
      <c r="B29" s="131" t="s">
        <v>144</v>
      </c>
      <c r="C29" s="123" t="s">
        <v>143</v>
      </c>
      <c r="D29" s="133">
        <v>5</v>
      </c>
      <c r="E29" s="126">
        <v>38</v>
      </c>
      <c r="F29" s="126">
        <v>28</v>
      </c>
      <c r="G29" s="126">
        <v>20</v>
      </c>
      <c r="H29" s="126">
        <v>21</v>
      </c>
      <c r="I29" s="126">
        <v>2</v>
      </c>
      <c r="J29" s="126">
        <v>29281.199999999983</v>
      </c>
      <c r="K29" s="126">
        <v>15970.27</v>
      </c>
      <c r="L29" s="127">
        <f t="shared" si="1"/>
      </c>
      <c r="M29" s="128">
        <f t="shared" si="4"/>
      </c>
      <c r="N29" s="129">
        <f t="shared" si="2"/>
      </c>
      <c r="O29" s="136"/>
      <c r="P29" s="136"/>
      <c r="Q29" s="135"/>
    </row>
    <row hidden="true" r="30">
      <c r="A30" s="121">
        <v>46271</v>
      </c>
      <c r="B30" s="131" t="s">
        <v>147</v>
      </c>
      <c r="C30" s="138" t="s">
        <v>145</v>
      </c>
      <c r="D30" s="139">
        <v>5</v>
      </c>
      <c r="E30" s="140">
        <v>36</v>
      </c>
      <c r="F30" s="140">
        <v>36</v>
      </c>
      <c r="G30" s="140">
        <v>21</v>
      </c>
      <c r="H30" s="140">
        <v>9</v>
      </c>
      <c r="I30" s="140">
        <v>2</v>
      </c>
      <c r="J30" s="140">
        <v>32145.500000000015</v>
      </c>
      <c r="K30" s="140">
        <v>15368.57</v>
      </c>
      <c r="L30" s="141">
        <f t="shared" si="1"/>
      </c>
      <c r="M30" s="142">
        <f t="shared" si="4"/>
      </c>
      <c r="N30" s="143">
        <f t="shared" si="2"/>
      </c>
      <c r="O30" s="144" t="s">
        <v>146</v>
      </c>
      <c r="P30" s="144">
        <v>10</v>
      </c>
      <c r="Q30" s="145"/>
    </row>
    <row hidden="true" r="31">
      <c r="A31" s="146">
        <v>46271</v>
      </c>
      <c r="B31" s="147"/>
      <c r="C31" s="147"/>
      <c r="D31" s="147">
        <f>SUM(D27:D30)</f>
      </c>
      <c r="E31" s="147">
        <f>SUM(E27:E30)</f>
      </c>
      <c r="F31" s="147">
        <f>SUM(F27:F30)</f>
      </c>
      <c r="G31" s="147">
        <f>SUM(G27:G30)</f>
      </c>
      <c r="H31" s="147">
        <f>SUM(H27:H30)</f>
      </c>
      <c r="I31" s="147">
        <f>SUM(I27:I30)</f>
      </c>
      <c r="J31" s="147">
        <f>SUM(J27:J30)</f>
      </c>
      <c r="K31" s="147">
        <f>SUM(K27:K30)</f>
      </c>
      <c r="L31" s="148">
        <f t="shared" si="1"/>
      </c>
      <c r="M31" s="148">
        <f t="shared" si="4"/>
      </c>
      <c r="N31" s="148">
        <f t="shared" si="2"/>
      </c>
      <c r="O31" s="147"/>
      <c r="P31" s="147">
        <f>SUM(P27:P30)</f>
      </c>
      <c r="Q31" s="147"/>
      <c r="R31" s="149"/>
    </row>
    <row hidden="true" r="32">
      <c r="A32" s="121">
        <v>46272</v>
      </c>
      <c r="B32" s="131" t="s">
        <v>142</v>
      </c>
      <c r="C32" s="123" t="s">
        <v>138</v>
      </c>
      <c r="D32" s="124">
        <v>5</v>
      </c>
      <c r="E32" s="122">
        <v>65</v>
      </c>
      <c r="F32" s="125">
        <v>50</v>
      </c>
      <c r="G32" s="126">
        <v>36</v>
      </c>
      <c r="H32" s="126">
        <v>35</v>
      </c>
      <c r="I32" s="126">
        <v>6</v>
      </c>
      <c r="J32" s="126">
        <v>59217.399999999994</v>
      </c>
      <c r="K32" s="126">
        <v>23556.800000000003</v>
      </c>
      <c r="L32" s="127">
        <f t="shared" si="1"/>
      </c>
      <c r="M32" s="128">
        <f t="shared" si="4"/>
      </c>
      <c r="N32" s="129">
        <f t="shared" si="2"/>
      </c>
      <c r="O32" s="122" t="s">
        <v>149</v>
      </c>
      <c r="P32" s="122">
        <v>10</v>
      </c>
      <c r="Q32" s="130"/>
    </row>
    <row hidden="true" r="33">
      <c r="A33" s="121">
        <v>46272</v>
      </c>
      <c r="B33" s="131" t="s">
        <v>147</v>
      </c>
      <c r="C33" s="132" t="s">
        <v>141</v>
      </c>
      <c r="D33" s="133">
        <v>5</v>
      </c>
      <c r="E33" s="126">
        <v>63</v>
      </c>
      <c r="F33" s="126">
        <v>33</v>
      </c>
      <c r="G33" s="126">
        <v>31</v>
      </c>
      <c r="H33" s="126">
        <v>21</v>
      </c>
      <c r="I33" s="126">
        <v>3</v>
      </c>
      <c r="J33" s="126">
        <v>35671.6</v>
      </c>
      <c r="K33" s="126">
        <v>33156.060000000005</v>
      </c>
      <c r="L33" s="127">
        <f t="shared" si="1"/>
      </c>
      <c r="M33" s="128">
        <f t="shared" si="4"/>
      </c>
      <c r="N33" s="129">
        <f t="shared" si="2"/>
      </c>
      <c r="O33" s="134"/>
      <c r="P33" s="134"/>
      <c r="Q33" s="135"/>
    </row>
    <row hidden="true" r="34">
      <c r="A34" s="121">
        <v>46272</v>
      </c>
      <c r="B34" s="131" t="s">
        <v>144</v>
      </c>
      <c r="C34" s="123" t="s">
        <v>143</v>
      </c>
      <c r="D34" s="133">
        <v>5</v>
      </c>
      <c r="E34" s="126">
        <v>39</v>
      </c>
      <c r="F34" s="126">
        <v>24</v>
      </c>
      <c r="G34" s="126">
        <v>13</v>
      </c>
      <c r="H34" s="126">
        <v>18</v>
      </c>
      <c r="I34" s="126">
        <v>1</v>
      </c>
      <c r="J34" s="126">
        <v>20763.6</v>
      </c>
      <c r="K34" s="126">
        <v>17426.94</v>
      </c>
      <c r="L34" s="127">
        <f t="shared" si="1"/>
      </c>
      <c r="M34" s="128">
        <f t="shared" si="4"/>
      </c>
      <c r="N34" s="129">
        <f t="shared" si="2"/>
      </c>
      <c r="O34" s="136"/>
      <c r="P34" s="136"/>
      <c r="Q34" s="135"/>
    </row>
    <row hidden="true" r="35">
      <c r="A35" s="121">
        <v>46272</v>
      </c>
      <c r="B35" s="122" t="s">
        <v>137</v>
      </c>
      <c r="C35" s="138" t="s">
        <v>145</v>
      </c>
      <c r="D35" s="139">
        <v>5</v>
      </c>
      <c r="E35" s="140">
        <v>60</v>
      </c>
      <c r="F35" s="140">
        <v>42</v>
      </c>
      <c r="G35" s="140">
        <v>32</v>
      </c>
      <c r="H35" s="140">
        <v>33</v>
      </c>
      <c r="I35" s="140">
        <v>6</v>
      </c>
      <c r="J35" s="140">
        <v>52202.20000000001</v>
      </c>
      <c r="K35" s="140">
        <v>20495.059999999998</v>
      </c>
      <c r="L35" s="141">
        <f t="shared" si="1"/>
      </c>
      <c r="M35" s="142">
        <f t="shared" si="4"/>
      </c>
      <c r="N35" s="143">
        <f t="shared" si="2"/>
      </c>
      <c r="O35" s="144" t="s">
        <v>146</v>
      </c>
      <c r="P35" s="144">
        <v>10</v>
      </c>
      <c r="Q35" s="145"/>
    </row>
    <row hidden="true" r="36">
      <c r="A36" s="146">
        <v>46272</v>
      </c>
      <c r="B36" s="147"/>
      <c r="C36" s="147"/>
      <c r="D36" s="147">
        <f>SUM(D32:D35)</f>
      </c>
      <c r="E36" s="147">
        <f>SUM(E32:E35)</f>
      </c>
      <c r="F36" s="147">
        <f>SUM(F32:F35)</f>
      </c>
      <c r="G36" s="147">
        <f>SUM(G32:G35)</f>
      </c>
      <c r="H36" s="147">
        <f>SUM(H32:H35)</f>
      </c>
      <c r="I36" s="147">
        <f>SUM(I32:I35)</f>
      </c>
      <c r="J36" s="147">
        <f>SUM(J32:J35)</f>
      </c>
      <c r="K36" s="147">
        <f>SUM(K32:K35)</f>
      </c>
      <c r="L36" s="148">
        <f t="shared" si="1"/>
      </c>
      <c r="M36" s="148">
        <f t="shared" si="4"/>
      </c>
      <c r="N36" s="148">
        <f t="shared" si="2"/>
      </c>
      <c r="O36" s="147"/>
      <c r="P36" s="147">
        <f>SUM(P32:P35)</f>
      </c>
      <c r="Q36" s="147"/>
      <c r="R36" s="149"/>
    </row>
    <row hidden="true" r="37">
      <c r="A37" s="121">
        <v>46273</v>
      </c>
      <c r="B37" s="131" t="s">
        <v>142</v>
      </c>
      <c r="C37" s="123" t="s">
        <v>138</v>
      </c>
      <c r="D37" s="124">
        <v>5</v>
      </c>
      <c r="E37" s="122">
        <v>66</v>
      </c>
      <c r="F37" s="125">
        <v>49</v>
      </c>
      <c r="G37" s="126">
        <v>30</v>
      </c>
      <c r="H37" s="126">
        <v>30</v>
      </c>
      <c r="I37" s="126">
        <v>7</v>
      </c>
      <c r="J37" s="126">
        <v>49583.399999999994</v>
      </c>
      <c r="K37" s="126">
        <v>24005.53</v>
      </c>
      <c r="L37" s="127">
        <f t="shared" si="1"/>
      </c>
      <c r="M37" s="128">
        <f t="shared" si="4"/>
      </c>
      <c r="N37" s="129">
        <f t="shared" si="2"/>
      </c>
      <c r="O37" s="122" t="s">
        <v>139</v>
      </c>
      <c r="P37" s="122">
        <v>10</v>
      </c>
      <c r="Q37" s="130"/>
    </row>
    <row r="38">
      <c r="A38" s="121">
        <v>46273</v>
      </c>
      <c r="B38" s="150" t="s">
        <v>140</v>
      </c>
      <c r="C38" s="123" t="s">
        <v>141</v>
      </c>
      <c r="D38" s="133">
        <v>5</v>
      </c>
      <c r="E38" s="126">
        <v>65</v>
      </c>
      <c r="F38" s="126">
        <v>54</v>
      </c>
      <c r="G38" s="126">
        <v>37</v>
      </c>
      <c r="H38" s="126">
        <v>33</v>
      </c>
      <c r="I38" s="126">
        <v>8</v>
      </c>
      <c r="J38" s="126">
        <v>54941.00000000001</v>
      </c>
      <c r="K38" s="126">
        <v>27434.14</v>
      </c>
      <c r="L38" s="127">
        <f t="shared" si="1"/>
      </c>
      <c r="M38" s="128">
        <f t="shared" si="4"/>
      </c>
      <c r="N38" s="129">
        <f t="shared" si="2"/>
      </c>
      <c r="O38" s="134"/>
      <c r="P38" s="134"/>
      <c r="Q38" s="135"/>
    </row>
    <row hidden="true" r="39">
      <c r="A39" s="121">
        <v>46273</v>
      </c>
      <c r="B39" s="151" t="s">
        <v>137</v>
      </c>
      <c r="C39" s="123" t="s">
        <v>143</v>
      </c>
      <c r="D39" s="133">
        <v>5</v>
      </c>
      <c r="E39" s="126">
        <v>24</v>
      </c>
      <c r="F39" s="126">
        <v>11</v>
      </c>
      <c r="G39" s="126">
        <v>9</v>
      </c>
      <c r="H39" s="126">
        <v>5</v>
      </c>
      <c r="I39" s="126">
        <v>0</v>
      </c>
      <c r="J39" s="126">
        <v>11224.599999999999</v>
      </c>
      <c r="K39" s="126">
        <v>17635.88</v>
      </c>
      <c r="L39" s="127">
        <f t="shared" si="1"/>
      </c>
      <c r="M39" s="128">
        <f t="shared" si="4"/>
      </c>
      <c r="N39" s="129">
        <f t="shared" si="2"/>
      </c>
      <c r="O39" s="136"/>
      <c r="P39" s="136"/>
      <c r="Q39" s="135"/>
    </row>
    <row hidden="true" r="40">
      <c r="A40" s="121">
        <v>46273</v>
      </c>
      <c r="B40" s="131" t="s">
        <v>147</v>
      </c>
      <c r="C40" s="138" t="s">
        <v>145</v>
      </c>
      <c r="D40" s="139">
        <v>5</v>
      </c>
      <c r="E40" s="140">
        <v>37</v>
      </c>
      <c r="F40" s="140">
        <v>29</v>
      </c>
      <c r="G40" s="140">
        <v>19</v>
      </c>
      <c r="H40" s="140">
        <v>19</v>
      </c>
      <c r="I40" s="140">
        <v>3</v>
      </c>
      <c r="J40" s="140">
        <v>27914.59999999999</v>
      </c>
      <c r="K40" s="140">
        <v>15472.140000000001</v>
      </c>
      <c r="L40" s="141">
        <f t="shared" si="1"/>
      </c>
      <c r="M40" s="142">
        <f t="shared" si="4"/>
      </c>
      <c r="N40" s="143">
        <f t="shared" si="2"/>
      </c>
      <c r="O40" s="144" t="s">
        <v>146</v>
      </c>
      <c r="P40" s="144">
        <v>10</v>
      </c>
      <c r="Q40" s="145"/>
    </row>
    <row hidden="true" r="41">
      <c r="A41" s="146">
        <v>46273</v>
      </c>
      <c r="B41" s="147"/>
      <c r="C41" s="147"/>
      <c r="D41" s="147">
        <f>SUM(D37:D40)</f>
      </c>
      <c r="E41" s="147">
        <f>SUM(E37:E40)</f>
      </c>
      <c r="F41" s="147">
        <f>SUM(F37:F40)</f>
      </c>
      <c r="G41" s="147">
        <f>SUM(G37:G40)</f>
      </c>
      <c r="H41" s="147">
        <f>SUM(H37:H40)</f>
      </c>
      <c r="I41" s="147">
        <f>SUM(I37:I40)</f>
      </c>
      <c r="J41" s="147">
        <f>SUM(J37:J40)</f>
      </c>
      <c r="K41" s="147">
        <f>SUM(K37:K40)</f>
      </c>
      <c r="L41" s="148">
        <f t="shared" si="1"/>
      </c>
      <c r="M41" s="148">
        <f t="shared" si="4"/>
      </c>
      <c r="N41" s="148">
        <f t="shared" si="2"/>
      </c>
      <c r="O41" s="147"/>
      <c r="P41" s="147">
        <f>SUM(P37:P40)</f>
      </c>
      <c r="Q41" s="147"/>
      <c r="R41" s="149"/>
    </row>
    <row r="42">
      <c r="A42" s="121">
        <v>46274</v>
      </c>
      <c r="B42" s="131" t="s">
        <v>140</v>
      </c>
      <c r="C42" s="123" t="s">
        <v>138</v>
      </c>
      <c r="D42" s="124">
        <v>5</v>
      </c>
      <c r="E42" s="122">
        <v>40</v>
      </c>
      <c r="F42" s="125">
        <v>34</v>
      </c>
      <c r="G42" s="126">
        <v>25</v>
      </c>
      <c r="H42" s="126">
        <v>25</v>
      </c>
      <c r="I42" s="126">
        <v>3</v>
      </c>
      <c r="J42" s="126">
        <v>31096.600000000006</v>
      </c>
      <c r="K42" s="126">
        <v>23375.41</v>
      </c>
      <c r="L42" s="127">
        <f t="shared" si="1"/>
      </c>
      <c r="M42" s="128">
        <f t="shared" si="4"/>
      </c>
      <c r="N42" s="129">
        <f t="shared" si="2"/>
      </c>
      <c r="O42" s="122" t="s">
        <v>139</v>
      </c>
      <c r="P42" s="122">
        <v>10</v>
      </c>
      <c r="Q42" s="130"/>
    </row>
    <row hidden="true" r="43">
      <c r="A43" s="121">
        <v>46274</v>
      </c>
      <c r="B43" s="150" t="s">
        <v>137</v>
      </c>
      <c r="C43" s="123" t="s">
        <v>141</v>
      </c>
      <c r="D43" s="133">
        <v>5</v>
      </c>
      <c r="E43" s="126">
        <v>54</v>
      </c>
      <c r="F43" s="126">
        <v>45</v>
      </c>
      <c r="G43" s="126">
        <v>24</v>
      </c>
      <c r="H43" s="126">
        <v>29</v>
      </c>
      <c r="I43" s="126">
        <v>8</v>
      </c>
      <c r="J43" s="126">
        <v>46675.799999999996</v>
      </c>
      <c r="K43" s="126">
        <v>19486.170000000002</v>
      </c>
      <c r="L43" s="127">
        <f t="shared" si="1"/>
      </c>
      <c r="M43" s="128">
        <f t="shared" si="4"/>
      </c>
      <c r="N43" s="129">
        <f t="shared" si="2"/>
      </c>
      <c r="O43" s="134"/>
      <c r="P43" s="134"/>
      <c r="Q43" s="135"/>
    </row>
    <row hidden="true" r="44">
      <c r="A44" s="121">
        <v>46274</v>
      </c>
      <c r="B44" s="151" t="s">
        <v>144</v>
      </c>
      <c r="C44" s="123" t="s">
        <v>143</v>
      </c>
      <c r="D44" s="133">
        <v>5</v>
      </c>
      <c r="E44" s="126">
        <v>28</v>
      </c>
      <c r="F44" s="126">
        <v>19</v>
      </c>
      <c r="G44" s="126">
        <v>15</v>
      </c>
      <c r="H44" s="126">
        <v>11</v>
      </c>
      <c r="I44" s="126">
        <v>0</v>
      </c>
      <c r="J44" s="126">
        <v>23154</v>
      </c>
      <c r="K44" s="126">
        <v>14336.51</v>
      </c>
      <c r="L44" s="127">
        <f t="shared" si="1"/>
      </c>
      <c r="M44" s="128">
        <f t="shared" si="4"/>
      </c>
      <c r="N44" s="129">
        <f t="shared" si="2"/>
      </c>
      <c r="O44" s="136"/>
      <c r="P44" s="136"/>
      <c r="Q44" s="135"/>
    </row>
    <row hidden="true" r="45">
      <c r="A45" s="121">
        <v>46274</v>
      </c>
      <c r="B45" s="131" t="s">
        <v>150</v>
      </c>
      <c r="C45" s="138" t="s">
        <v>145</v>
      </c>
      <c r="D45" s="139">
        <v>5</v>
      </c>
      <c r="E45" s="140">
        <v>32</v>
      </c>
      <c r="F45" s="140">
        <v>22</v>
      </c>
      <c r="G45" s="140">
        <v>15</v>
      </c>
      <c r="H45" s="140">
        <v>12</v>
      </c>
      <c r="I45" s="140">
        <v>1</v>
      </c>
      <c r="J45" s="140">
        <v>22694.6</v>
      </c>
      <c r="K45" s="140">
        <v>12674.43</v>
      </c>
      <c r="L45" s="141">
        <f t="shared" si="1"/>
      </c>
      <c r="M45" s="142">
        <f t="shared" si="4"/>
      </c>
      <c r="N45" s="143">
        <f t="shared" si="2"/>
      </c>
      <c r="O45" s="144" t="s">
        <v>146</v>
      </c>
      <c r="P45" s="144">
        <v>10</v>
      </c>
      <c r="Q45" s="145"/>
    </row>
    <row hidden="true" r="46">
      <c r="A46" s="146">
        <v>46274</v>
      </c>
      <c r="B46" s="147"/>
      <c r="C46" s="147"/>
      <c r="D46" s="147">
        <f>SUM(D42:D45)</f>
      </c>
      <c r="E46" s="147">
        <f>SUM(E42:E45)</f>
      </c>
      <c r="F46" s="147">
        <f>SUM(F42:F45)</f>
      </c>
      <c r="G46" s="147">
        <f>SUM(G42:G45)</f>
      </c>
      <c r="H46" s="147">
        <f>SUM(H42:H45)</f>
      </c>
      <c r="I46" s="147">
        <f>SUM(I42:I45)</f>
      </c>
      <c r="J46" s="147">
        <f>SUM(J42:J45)</f>
      </c>
      <c r="K46" s="147">
        <f>SUM(K42:K45)</f>
      </c>
      <c r="L46" s="148">
        <f t="shared" si="1"/>
      </c>
      <c r="M46" s="148">
        <f t="shared" si="4"/>
      </c>
      <c r="N46" s="148">
        <f t="shared" si="2"/>
      </c>
      <c r="O46" s="147"/>
      <c r="P46" s="147">
        <f>SUM(P42:P45)</f>
      </c>
      <c r="Q46" s="147"/>
      <c r="R46" s="149"/>
    </row>
    <row hidden="true" r="47">
      <c r="A47" s="121">
        <v>46275</v>
      </c>
      <c r="B47" s="122" t="s">
        <v>142</v>
      </c>
      <c r="C47" s="123" t="s">
        <v>138</v>
      </c>
      <c r="D47" s="124">
        <v>5</v>
      </c>
      <c r="E47" s="122">
        <v>47</v>
      </c>
      <c r="F47" s="125">
        <v>43</v>
      </c>
      <c r="G47" s="126">
        <v>24</v>
      </c>
      <c r="H47" s="126">
        <v>24</v>
      </c>
      <c r="I47" s="126">
        <v>7</v>
      </c>
      <c r="J47" s="126">
        <v>44743.2</v>
      </c>
      <c r="K47" s="126">
        <v>19409.5</v>
      </c>
      <c r="L47" s="127">
        <f t="shared" si="1"/>
      </c>
      <c r="M47" s="128">
        <f t="shared" si="4"/>
      </c>
      <c r="N47" s="129">
        <f t="shared" si="2"/>
      </c>
      <c r="O47" s="122" t="s">
        <v>139</v>
      </c>
      <c r="P47" s="122">
        <v>10</v>
      </c>
      <c r="Q47" s="130"/>
    </row>
    <row r="48">
      <c r="A48" s="121">
        <v>46275</v>
      </c>
      <c r="B48" s="122" t="s">
        <v>140</v>
      </c>
      <c r="C48" s="123" t="s">
        <v>141</v>
      </c>
      <c r="D48" s="133">
        <v>5</v>
      </c>
      <c r="E48" s="126">
        <v>44</v>
      </c>
      <c r="F48" s="126">
        <v>37</v>
      </c>
      <c r="G48" s="126">
        <v>26</v>
      </c>
      <c r="H48" s="126">
        <v>25</v>
      </c>
      <c r="I48" s="126">
        <v>5</v>
      </c>
      <c r="J48" s="126">
        <v>40155.40000000001</v>
      </c>
      <c r="K48" s="126">
        <v>20168.18</v>
      </c>
      <c r="L48" s="127">
        <f t="shared" si="1"/>
      </c>
      <c r="M48" s="128">
        <f t="shared" si="4"/>
      </c>
      <c r="N48" s="129">
        <f t="shared" si="2"/>
      </c>
      <c r="O48" s="134"/>
      <c r="P48" s="134"/>
      <c r="Q48" s="135"/>
    </row>
    <row hidden="true" r="49">
      <c r="A49" s="121">
        <v>46275</v>
      </c>
      <c r="B49" s="122" t="s">
        <v>147</v>
      </c>
      <c r="C49" s="123" t="s">
        <v>143</v>
      </c>
      <c r="D49" s="133">
        <v>5</v>
      </c>
      <c r="E49" s="126">
        <v>19</v>
      </c>
      <c r="F49" s="126">
        <v>17</v>
      </c>
      <c r="G49" s="126">
        <v>12</v>
      </c>
      <c r="H49" s="126">
        <v>7</v>
      </c>
      <c r="I49" s="126">
        <v>0</v>
      </c>
      <c r="J49" s="126">
        <v>22127</v>
      </c>
      <c r="K49" s="126">
        <v>10015.55</v>
      </c>
      <c r="L49" s="127">
        <f t="shared" si="1"/>
      </c>
      <c r="M49" s="128">
        <f t="shared" si="4"/>
      </c>
      <c r="N49" s="129">
        <f t="shared" si="2"/>
      </c>
      <c r="O49" s="136"/>
      <c r="P49" s="136"/>
      <c r="Q49" s="135"/>
    </row>
    <row hidden="true" r="50">
      <c r="A50" s="121">
        <v>46275</v>
      </c>
      <c r="B50" s="122" t="s">
        <v>150</v>
      </c>
      <c r="C50" s="138" t="s">
        <v>145</v>
      </c>
      <c r="D50" s="139">
        <v>5</v>
      </c>
      <c r="E50" s="140">
        <v>49</v>
      </c>
      <c r="F50" s="140">
        <v>32</v>
      </c>
      <c r="G50" s="140">
        <v>20</v>
      </c>
      <c r="H50" s="140">
        <v>14</v>
      </c>
      <c r="I50" s="140">
        <v>5</v>
      </c>
      <c r="J50" s="140">
        <v>31554.699999999983</v>
      </c>
      <c r="K50" s="140">
        <v>15435.36</v>
      </c>
      <c r="L50" s="141">
        <f t="shared" si="1"/>
      </c>
      <c r="M50" s="142">
        <f t="shared" si="4"/>
      </c>
      <c r="N50" s="143">
        <f t="shared" si="2"/>
      </c>
      <c r="O50" s="144" t="s">
        <v>151</v>
      </c>
      <c r="P50" s="144">
        <v>10</v>
      </c>
      <c r="Q50" s="145"/>
    </row>
    <row hidden="true" r="51">
      <c r="A51" s="146">
        <v>46275</v>
      </c>
      <c r="B51" s="152"/>
      <c r="C51" s="147"/>
      <c r="D51" s="147">
        <f>SUM(D47:D50)</f>
      </c>
      <c r="E51" s="147">
        <f>SUM(E47:E50)</f>
      </c>
      <c r="F51" s="147">
        <f>SUM(F47:F50)</f>
      </c>
      <c r="G51" s="147">
        <f>SUM(G47:G50)</f>
      </c>
      <c r="H51" s="147">
        <f>SUM(H47:H50)</f>
      </c>
      <c r="I51" s="147">
        <f>SUM(I47:I50)</f>
      </c>
      <c r="J51" s="147">
        <f>SUM(J47:J50)</f>
      </c>
      <c r="K51" s="147">
        <f>SUM(K47:K50)</f>
      </c>
      <c r="L51" s="148">
        <f t="shared" si="1"/>
      </c>
      <c r="M51" s="148">
        <f t="shared" si="4"/>
      </c>
      <c r="N51" s="148">
        <f t="shared" si="2"/>
      </c>
      <c r="O51" s="147"/>
      <c r="P51" s="147">
        <f>SUM(P47:P50)</f>
      </c>
      <c r="Q51" s="147"/>
      <c r="R51" s="149"/>
    </row>
    <row hidden="true" r="52">
      <c r="A52" s="121">
        <v>46276</v>
      </c>
      <c r="B52" s="122" t="s">
        <v>142</v>
      </c>
      <c r="C52" s="153" t="s">
        <v>138</v>
      </c>
      <c r="D52" s="154">
        <v>5</v>
      </c>
      <c r="E52" s="122">
        <v>30</v>
      </c>
      <c r="F52" s="125">
        <v>23</v>
      </c>
      <c r="G52" s="126">
        <v>16</v>
      </c>
      <c r="H52" s="126">
        <v>9</v>
      </c>
      <c r="I52" s="126">
        <v>2</v>
      </c>
      <c r="J52" s="126">
        <v>35916.40000000001</v>
      </c>
      <c r="K52" s="126">
        <v>15197.310000000001</v>
      </c>
      <c r="L52" s="127">
        <f t="shared" si="1"/>
      </c>
      <c r="M52" s="128">
        <f t="shared" si="4"/>
      </c>
      <c r="N52" s="129">
        <f t="shared" si="2"/>
      </c>
      <c r="O52" s="122" t="s">
        <v>152</v>
      </c>
      <c r="P52" s="122">
        <v>10</v>
      </c>
      <c r="Q52" s="130"/>
    </row>
    <row hidden="true" r="53">
      <c r="A53" s="121">
        <v>46276</v>
      </c>
      <c r="B53" s="122" t="s">
        <v>137</v>
      </c>
      <c r="C53" s="153" t="s">
        <v>153</v>
      </c>
      <c r="D53" s="155">
        <v>4</v>
      </c>
      <c r="E53" s="126">
        <v>24</v>
      </c>
      <c r="F53" s="126">
        <v>19</v>
      </c>
      <c r="G53" s="126">
        <v>10</v>
      </c>
      <c r="H53" s="126">
        <v>9</v>
      </c>
      <c r="I53" s="126">
        <v>5</v>
      </c>
      <c r="J53" s="126">
        <v>20952.500000000004</v>
      </c>
      <c r="K53" s="126">
        <v>9005.820000000002</v>
      </c>
      <c r="L53" s="127">
        <f t="shared" si="1"/>
      </c>
      <c r="M53" s="128">
        <f t="shared" si="4"/>
      </c>
      <c r="N53" s="129">
        <f t="shared" si="2"/>
      </c>
      <c r="O53" s="134"/>
      <c r="P53" s="134"/>
      <c r="Q53" s="135"/>
    </row>
    <row hidden="true" r="54">
      <c r="A54" s="121">
        <v>46276</v>
      </c>
      <c r="B54" s="122" t="s">
        <v>144</v>
      </c>
      <c r="C54" s="153" t="s">
        <v>154</v>
      </c>
      <c r="D54" s="155">
        <v>4</v>
      </c>
      <c r="E54" s="126">
        <v>24</v>
      </c>
      <c r="F54" s="126">
        <v>20</v>
      </c>
      <c r="G54" s="126">
        <v>13</v>
      </c>
      <c r="H54" s="126">
        <v>8</v>
      </c>
      <c r="I54" s="126">
        <v>1</v>
      </c>
      <c r="J54" s="126">
        <v>24903.800000000003</v>
      </c>
      <c r="K54" s="126">
        <v>9373.23</v>
      </c>
      <c r="L54" s="127">
        <f t="shared" si="1"/>
      </c>
      <c r="M54" s="128">
        <f t="shared" si="4"/>
      </c>
      <c r="N54" s="129">
        <f t="shared" si="2"/>
      </c>
      <c r="O54" s="136"/>
      <c r="P54" s="136"/>
      <c r="Q54" s="135"/>
    </row>
    <row customHeight="true" hidden="true" ht="16.071428571428573" r="55">
      <c r="A55" s="121">
        <v>46276</v>
      </c>
      <c r="B55" s="122" t="s">
        <v>155</v>
      </c>
      <c r="C55" s="156" t="s">
        <v>156</v>
      </c>
      <c r="D55" s="131">
        <v>2</v>
      </c>
      <c r="E55" s="140">
        <v>14</v>
      </c>
      <c r="F55" s="140">
        <v>11</v>
      </c>
      <c r="G55" s="140">
        <v>12</v>
      </c>
      <c r="H55" s="140">
        <v>7</v>
      </c>
      <c r="I55" s="140">
        <v>0</v>
      </c>
      <c r="J55" s="140">
        <v>12324</v>
      </c>
      <c r="K55" s="140">
        <v>7985.33</v>
      </c>
      <c r="L55" s="141">
        <f t="shared" si="1"/>
      </c>
      <c r="M55" s="142">
        <f t="shared" si="4"/>
      </c>
      <c r="N55" s="143">
        <f t="shared" si="2"/>
      </c>
      <c r="O55" s="144"/>
      <c r="P55" s="144"/>
      <c r="Q55" s="145"/>
    </row>
    <row hidden="true" r="56">
      <c r="A56" s="121">
        <v>46276</v>
      </c>
      <c r="B56" s="122" t="s">
        <v>150</v>
      </c>
      <c r="C56" s="138" t="s">
        <v>145</v>
      </c>
      <c r="D56" s="139">
        <v>5</v>
      </c>
      <c r="E56" s="140">
        <v>58</v>
      </c>
      <c r="F56" s="140">
        <v>43</v>
      </c>
      <c r="G56" s="140">
        <v>26</v>
      </c>
      <c r="H56" s="140">
        <v>20</v>
      </c>
      <c r="I56" s="140">
        <v>6</v>
      </c>
      <c r="J56" s="140">
        <v>37982.100000000006</v>
      </c>
      <c r="K56" s="140">
        <v>22719.83</v>
      </c>
      <c r="L56" s="141">
        <f t="shared" si="1"/>
      </c>
      <c r="M56" s="142">
        <f t="shared" si="4"/>
      </c>
      <c r="N56" s="143">
        <f t="shared" si="2"/>
      </c>
      <c r="O56" s="144" t="s">
        <v>151</v>
      </c>
      <c r="P56" s="144">
        <v>10</v>
      </c>
      <c r="Q56" s="145"/>
    </row>
    <row hidden="true" r="57">
      <c r="A57" s="146">
        <v>46276</v>
      </c>
      <c r="B57" s="152"/>
      <c r="C57" s="147"/>
      <c r="D57" s="147">
        <f>SUM(D52:D56)</f>
      </c>
      <c r="E57" s="147">
        <f>SUM(E52:E56)</f>
      </c>
      <c r="F57" s="147">
        <f>SUM(F52:F56)</f>
      </c>
      <c r="G57" s="147">
        <f>SUM(G52:G56)</f>
      </c>
      <c r="H57" s="147">
        <f>SUM(H52:H56)</f>
      </c>
      <c r="I57" s="147">
        <f>SUM(I52:I56)</f>
      </c>
      <c r="J57" s="147">
        <f>SUM(J52:J56)</f>
      </c>
      <c r="K57" s="147">
        <f>SUM(K52:K56)</f>
      </c>
      <c r="L57" s="148">
        <f t="shared" si="1"/>
      </c>
      <c r="M57" s="148">
        <f t="shared" si="4"/>
      </c>
      <c r="N57" s="148">
        <f t="shared" si="2"/>
      </c>
      <c r="O57" s="147"/>
      <c r="P57" s="147">
        <f>SUM(P52:P56)</f>
      </c>
      <c r="Q57" s="147"/>
      <c r="R57" s="149"/>
    </row>
    <row hidden="true" r="58">
      <c r="A58" s="121">
        <v>46277</v>
      </c>
      <c r="B58" s="122" t="s">
        <v>137</v>
      </c>
      <c r="C58" s="153" t="s">
        <v>138</v>
      </c>
      <c r="D58" s="154">
        <v>5</v>
      </c>
      <c r="E58" s="122">
        <v>35</v>
      </c>
      <c r="F58" s="125">
        <v>27</v>
      </c>
      <c r="G58" s="126">
        <v>25</v>
      </c>
      <c r="H58" s="126">
        <v>14</v>
      </c>
      <c r="I58" s="126">
        <v>3</v>
      </c>
      <c r="J58" s="126">
        <v>26967</v>
      </c>
      <c r="K58" s="126">
        <v>19645.56</v>
      </c>
      <c r="L58" s="127">
        <f t="shared" si="1"/>
      </c>
      <c r="M58" s="128">
        <f t="shared" si="4"/>
      </c>
      <c r="N58" s="129">
        <f t="shared" si="2"/>
      </c>
      <c r="O58" s="122" t="s">
        <v>139</v>
      </c>
      <c r="P58" s="122">
        <v>10</v>
      </c>
      <c r="Q58" s="130"/>
    </row>
    <row hidden="true" r="59">
      <c r="A59" s="121">
        <v>46277</v>
      </c>
      <c r="B59" s="122" t="s">
        <v>144</v>
      </c>
      <c r="C59" s="153" t="s">
        <v>153</v>
      </c>
      <c r="D59" s="155">
        <v>4</v>
      </c>
      <c r="E59" s="126">
        <v>32</v>
      </c>
      <c r="F59" s="126">
        <v>20</v>
      </c>
      <c r="G59" s="126">
        <v>17</v>
      </c>
      <c r="H59" s="126">
        <v>13</v>
      </c>
      <c r="I59" s="126">
        <v>0</v>
      </c>
      <c r="J59" s="126">
        <v>20688.800000000003</v>
      </c>
      <c r="K59" s="126">
        <v>14860.94</v>
      </c>
      <c r="L59" s="127">
        <f t="shared" si="1"/>
      </c>
      <c r="M59" s="128">
        <f t="shared" si="4"/>
      </c>
      <c r="N59" s="129">
        <f t="shared" si="2"/>
      </c>
      <c r="O59" s="134"/>
      <c r="P59" s="134"/>
      <c r="Q59" s="135"/>
    </row>
    <row hidden="true" r="60">
      <c r="A60" s="121">
        <v>46277</v>
      </c>
      <c r="B60" s="122" t="s">
        <v>147</v>
      </c>
      <c r="C60" s="153" t="s">
        <v>154</v>
      </c>
      <c r="D60" s="155">
        <v>4</v>
      </c>
      <c r="E60" s="126">
        <v>26</v>
      </c>
      <c r="F60" s="126">
        <v>19</v>
      </c>
      <c r="G60" s="126">
        <v>16</v>
      </c>
      <c r="H60" s="126">
        <v>9</v>
      </c>
      <c r="I60" s="126">
        <v>0</v>
      </c>
      <c r="J60" s="126">
        <v>15730.999999999996</v>
      </c>
      <c r="K60" s="126">
        <v>15312.399999999998</v>
      </c>
      <c r="L60" s="127">
        <f t="shared" si="1"/>
      </c>
      <c r="M60" s="128">
        <f t="shared" si="4"/>
      </c>
      <c r="N60" s="129">
        <f t="shared" si="2"/>
      </c>
      <c r="O60" s="136"/>
      <c r="P60" s="136"/>
      <c r="Q60" s="135"/>
    </row>
    <row hidden="true" r="61">
      <c r="A61" s="121">
        <v>46277</v>
      </c>
      <c r="B61" s="122" t="s">
        <v>155</v>
      </c>
      <c r="C61" s="156" t="s">
        <v>156</v>
      </c>
      <c r="D61" s="131">
        <v>2</v>
      </c>
      <c r="E61" s="140">
        <v>7</v>
      </c>
      <c r="F61" s="140">
        <v>4</v>
      </c>
      <c r="G61" s="140">
        <v>4</v>
      </c>
      <c r="H61" s="140">
        <v>2</v>
      </c>
      <c r="I61" s="140">
        <v>0</v>
      </c>
      <c r="J61" s="140">
        <v>4442.399999999998</v>
      </c>
      <c r="K61" s="140">
        <v>5442.33</v>
      </c>
      <c r="L61" s="141">
        <f t="shared" si="1"/>
      </c>
      <c r="M61" s="142">
        <f t="shared" si="4"/>
      </c>
      <c r="N61" s="143">
        <f t="shared" si="2"/>
      </c>
      <c r="O61" s="144"/>
      <c r="P61" s="144"/>
      <c r="Q61" s="145"/>
    </row>
    <row hidden="true" r="62">
      <c r="A62" s="121">
        <v>46277</v>
      </c>
      <c r="B62" s="122" t="s">
        <v>150</v>
      </c>
      <c r="C62" s="138" t="s">
        <v>145</v>
      </c>
      <c r="D62" s="139">
        <v>5</v>
      </c>
      <c r="E62" s="140">
        <v>41</v>
      </c>
      <c r="F62" s="140">
        <v>32</v>
      </c>
      <c r="G62" s="140">
        <v>23</v>
      </c>
      <c r="H62" s="140">
        <v>19</v>
      </c>
      <c r="I62" s="140">
        <v>3</v>
      </c>
      <c r="J62" s="140">
        <v>33427.400000000016</v>
      </c>
      <c r="K62" s="140">
        <v>16505.06</v>
      </c>
      <c r="L62" s="141">
        <f t="shared" si="1"/>
      </c>
      <c r="M62" s="142">
        <f t="shared" si="4"/>
      </c>
      <c r="N62" s="143">
        <f t="shared" si="2"/>
      </c>
      <c r="O62" s="144" t="s">
        <v>151</v>
      </c>
      <c r="P62" s="144">
        <v>10</v>
      </c>
      <c r="Q62" s="145"/>
    </row>
    <row hidden="true" r="63">
      <c r="A63" s="146">
        <v>46277</v>
      </c>
      <c r="B63" s="152"/>
      <c r="C63" s="147"/>
      <c r="D63" s="147">
        <f>SUM(D58:D62)</f>
      </c>
      <c r="E63" s="147">
        <f>SUM(E58:E62)</f>
      </c>
      <c r="F63" s="147">
        <f>SUM(F58:F62)</f>
      </c>
      <c r="G63" s="147">
        <f>SUM(G58:G62)</f>
      </c>
      <c r="H63" s="147">
        <f>SUM(H58:H62)</f>
      </c>
      <c r="I63" s="147">
        <f>SUM(I58:I62)</f>
      </c>
      <c r="J63" s="147">
        <f>SUM(J58:J62)</f>
      </c>
      <c r="K63" s="147">
        <f>SUM(K58:K62)</f>
      </c>
      <c r="L63" s="148">
        <f t="shared" si="1"/>
      </c>
      <c r="M63" s="148">
        <f t="shared" si="4"/>
      </c>
      <c r="N63" s="148">
        <f t="shared" si="2"/>
      </c>
      <c r="O63" s="147"/>
      <c r="P63" s="147">
        <f>SUM(P58:P62)</f>
      </c>
      <c r="Q63" s="147"/>
      <c r="R63" s="149"/>
    </row>
    <row hidden="true" r="64">
      <c r="A64" s="121">
        <v>46278</v>
      </c>
      <c r="B64" s="122" t="s">
        <v>137</v>
      </c>
      <c r="C64" s="153" t="s">
        <v>138</v>
      </c>
      <c r="D64" s="154">
        <v>5</v>
      </c>
      <c r="E64" s="122">
        <v>53</v>
      </c>
      <c r="F64" s="125">
        <v>42</v>
      </c>
      <c r="G64" s="126">
        <v>27</v>
      </c>
      <c r="H64" s="126">
        <v>20</v>
      </c>
      <c r="I64" s="126">
        <v>5</v>
      </c>
      <c r="J64" s="126">
        <v>46772</v>
      </c>
      <c r="K64" s="126">
        <v>25849.79</v>
      </c>
      <c r="L64" s="127">
        <f t="shared" si="1"/>
      </c>
      <c r="M64" s="128">
        <f t="shared" si="4"/>
      </c>
      <c r="N64" s="129">
        <f t="shared" si="2"/>
      </c>
      <c r="O64" s="122" t="s">
        <v>139</v>
      </c>
      <c r="P64" s="122">
        <v>10</v>
      </c>
      <c r="Q64" s="130"/>
    </row>
    <row hidden="true" r="65">
      <c r="A65" s="121">
        <v>46278</v>
      </c>
      <c r="B65" s="122" t="s">
        <v>142</v>
      </c>
      <c r="C65" s="153" t="s">
        <v>153</v>
      </c>
      <c r="D65" s="155">
        <v>4</v>
      </c>
      <c r="E65" s="126">
        <v>33</v>
      </c>
      <c r="F65" s="126">
        <v>26</v>
      </c>
      <c r="G65" s="126">
        <v>18</v>
      </c>
      <c r="H65" s="126">
        <v>15</v>
      </c>
      <c r="I65" s="126">
        <v>2</v>
      </c>
      <c r="J65" s="126">
        <v>24337.8</v>
      </c>
      <c r="K65" s="126">
        <v>14860.61</v>
      </c>
      <c r="L65" s="127">
        <f t="shared" si="1"/>
      </c>
      <c r="M65" s="128">
        <f t="shared" si="4"/>
      </c>
      <c r="N65" s="129">
        <f t="shared" si="2"/>
      </c>
      <c r="O65" s="134"/>
      <c r="P65" s="134"/>
      <c r="Q65" s="135"/>
    </row>
    <row hidden="true" r="66">
      <c r="A66" s="121">
        <v>46278</v>
      </c>
      <c r="B66" s="122" t="s">
        <v>144</v>
      </c>
      <c r="C66" s="153" t="s">
        <v>154</v>
      </c>
      <c r="D66" s="155">
        <v>4</v>
      </c>
      <c r="E66" s="126">
        <v>38</v>
      </c>
      <c r="F66" s="126">
        <v>31</v>
      </c>
      <c r="G66" s="126">
        <v>24</v>
      </c>
      <c r="H66" s="126">
        <v>16</v>
      </c>
      <c r="I66" s="126">
        <v>3</v>
      </c>
      <c r="J66" s="126">
        <v>35466.6</v>
      </c>
      <c r="K66" s="126">
        <v>16253.130000000001</v>
      </c>
      <c r="L66" s="127">
        <f t="shared" si="1"/>
      </c>
      <c r="M66" s="128">
        <f t="shared" si="4"/>
      </c>
      <c r="N66" s="129">
        <f t="shared" si="2"/>
      </c>
      <c r="O66" s="136"/>
      <c r="P66" s="136"/>
      <c r="Q66" s="135"/>
    </row>
    <row hidden="true" r="67">
      <c r="A67" s="121">
        <v>46278</v>
      </c>
      <c r="B67" s="122" t="s">
        <v>155</v>
      </c>
      <c r="C67" s="156" t="s">
        <v>156</v>
      </c>
      <c r="D67" s="131">
        <v>2</v>
      </c>
      <c r="E67" s="140">
        <v>17</v>
      </c>
      <c r="F67" s="140">
        <v>15</v>
      </c>
      <c r="G67" s="140">
        <v>9</v>
      </c>
      <c r="H67" s="140">
        <v>10</v>
      </c>
      <c r="I67" s="140">
        <v>2</v>
      </c>
      <c r="J67" s="140">
        <v>17553.6</v>
      </c>
      <c r="K67" s="140">
        <v>9156.9</v>
      </c>
      <c r="L67" s="141">
        <f t="shared" si="1"/>
      </c>
      <c r="M67" s="142">
        <f t="shared" si="4"/>
      </c>
      <c r="N67" s="143">
        <f t="shared" si="2"/>
      </c>
      <c r="O67" s="144"/>
      <c r="P67" s="144"/>
      <c r="Q67" s="145"/>
    </row>
    <row hidden="true" r="68">
      <c r="A68" s="121">
        <v>46278</v>
      </c>
      <c r="B68" s="122" t="s">
        <v>150</v>
      </c>
      <c r="C68" s="138" t="s">
        <v>145</v>
      </c>
      <c r="D68" s="139">
        <v>5</v>
      </c>
      <c r="E68" s="140">
        <v>82</v>
      </c>
      <c r="F68" s="140">
        <v>51</v>
      </c>
      <c r="G68" s="140">
        <v>45</v>
      </c>
      <c r="H68" s="140">
        <v>29</v>
      </c>
      <c r="I68" s="140">
        <v>5</v>
      </c>
      <c r="J68" s="140">
        <v>60614.800000000025</v>
      </c>
      <c r="K68" s="140">
        <v>32889.14</v>
      </c>
      <c r="L68" s="141">
        <f t="shared" si="1"/>
      </c>
      <c r="M68" s="142">
        <f t="shared" si="4"/>
      </c>
      <c r="N68" s="143">
        <f t="shared" si="2"/>
      </c>
      <c r="O68" s="144" t="s">
        <v>151</v>
      </c>
      <c r="P68" s="144">
        <v>10</v>
      </c>
      <c r="Q68" s="145"/>
    </row>
    <row hidden="true" r="69">
      <c r="A69" s="146">
        <v>46278</v>
      </c>
      <c r="B69" s="152"/>
      <c r="C69" s="147"/>
      <c r="D69" s="147">
        <f>SUM(D64:D68)</f>
      </c>
      <c r="E69" s="147">
        <f>SUM(E64:E68)</f>
      </c>
      <c r="F69" s="147">
        <f>SUM(F64:F68)</f>
      </c>
      <c r="G69" s="147">
        <f>SUM(G64:G68)</f>
      </c>
      <c r="H69" s="147">
        <f>SUM(H64:H68)</f>
      </c>
      <c r="I69" s="147">
        <f>SUM(I64:I68)</f>
      </c>
      <c r="J69" s="147">
        <f>SUM(J64:J68)</f>
      </c>
      <c r="K69" s="147">
        <f>SUM(K64:K68)</f>
      </c>
      <c r="L69" s="148">
        <f t="shared" si="1"/>
      </c>
      <c r="M69" s="148">
        <f t="shared" si="4"/>
      </c>
      <c r="N69" s="148">
        <f t="shared" si="2"/>
      </c>
      <c r="O69" s="147"/>
      <c r="P69" s="147">
        <f>SUM(P64:P68)</f>
      </c>
      <c r="Q69" s="147"/>
      <c r="R69" s="149"/>
    </row>
    <row hidden="true" r="70">
      <c r="A70" s="121">
        <v>46279</v>
      </c>
      <c r="B70" s="122" t="s">
        <v>142</v>
      </c>
      <c r="C70" s="153" t="s">
        <v>138</v>
      </c>
      <c r="D70" s="154">
        <v>5</v>
      </c>
      <c r="E70" s="122">
        <v>51</v>
      </c>
      <c r="F70" s="125">
        <v>41</v>
      </c>
      <c r="G70" s="126">
        <v>26</v>
      </c>
      <c r="H70" s="126">
        <v>24</v>
      </c>
      <c r="I70" s="126">
        <v>5</v>
      </c>
      <c r="J70" s="126">
        <v>42371.00000000001</v>
      </c>
      <c r="K70" s="126">
        <v>22986.07</v>
      </c>
      <c r="L70" s="127">
        <f t="shared" si="1"/>
      </c>
      <c r="M70" s="128">
        <f t="shared" si="4"/>
      </c>
      <c r="N70" s="129">
        <f t="shared" si="2"/>
      </c>
      <c r="O70" s="122" t="s">
        <v>139</v>
      </c>
      <c r="P70" s="122">
        <v>10</v>
      </c>
      <c r="Q70" s="130"/>
    </row>
    <row r="71">
      <c r="A71" s="121">
        <v>46279</v>
      </c>
      <c r="B71" s="122" t="s">
        <v>140</v>
      </c>
      <c r="C71" s="153" t="s">
        <v>153</v>
      </c>
      <c r="D71" s="155">
        <v>4</v>
      </c>
      <c r="E71" s="126">
        <v>52</v>
      </c>
      <c r="F71" s="126">
        <v>37</v>
      </c>
      <c r="G71" s="126">
        <v>31</v>
      </c>
      <c r="H71" s="126">
        <v>24</v>
      </c>
      <c r="I71" s="126">
        <v>3</v>
      </c>
      <c r="J71" s="126">
        <v>41806.00000000001</v>
      </c>
      <c r="K71" s="126">
        <v>24060.430000000004</v>
      </c>
      <c r="L71" s="127">
        <f t="shared" si="1"/>
      </c>
      <c r="M71" s="128">
        <f t="shared" si="4"/>
      </c>
      <c r="N71" s="129">
        <f t="shared" si="2"/>
      </c>
      <c r="O71" s="134"/>
      <c r="P71" s="134"/>
      <c r="Q71" s="135"/>
    </row>
    <row hidden="true" r="72">
      <c r="A72" s="121">
        <v>46279</v>
      </c>
      <c r="B72" s="122" t="s">
        <v>147</v>
      </c>
      <c r="C72" s="153" t="s">
        <v>154</v>
      </c>
      <c r="D72" s="155">
        <v>4</v>
      </c>
      <c r="E72" s="126">
        <v>20</v>
      </c>
      <c r="F72" s="126">
        <v>12</v>
      </c>
      <c r="G72" s="126">
        <v>11</v>
      </c>
      <c r="H72" s="126">
        <v>8</v>
      </c>
      <c r="I72" s="126">
        <v>0</v>
      </c>
      <c r="J72" s="126">
        <v>15203.999999999993</v>
      </c>
      <c r="K72" s="126">
        <v>13287.839999999998</v>
      </c>
      <c r="L72" s="127">
        <f t="shared" si="1"/>
      </c>
      <c r="M72" s="128">
        <f t="shared" si="4"/>
      </c>
      <c r="N72" s="129">
        <f t="shared" si="2"/>
      </c>
      <c r="O72" s="136"/>
      <c r="P72" s="136"/>
      <c r="Q72" s="135"/>
    </row>
    <row hidden="true" r="73">
      <c r="A73" s="121">
        <v>46279</v>
      </c>
      <c r="B73" s="122" t="s">
        <v>155</v>
      </c>
      <c r="C73" s="156" t="s">
        <v>156</v>
      </c>
      <c r="D73" s="131">
        <v>2</v>
      </c>
      <c r="E73" s="140">
        <v>24</v>
      </c>
      <c r="F73" s="140">
        <v>16</v>
      </c>
      <c r="G73" s="140">
        <v>11</v>
      </c>
      <c r="H73" s="140">
        <v>10</v>
      </c>
      <c r="I73" s="140">
        <v>2</v>
      </c>
      <c r="J73" s="140">
        <v>15340.80000000001</v>
      </c>
      <c r="K73" s="140">
        <v>8791.960000000001</v>
      </c>
      <c r="L73" s="141">
        <f t="shared" si="1"/>
      </c>
      <c r="M73" s="142">
        <f t="shared" si="4"/>
      </c>
      <c r="N73" s="143">
        <f t="shared" si="2"/>
      </c>
      <c r="O73" s="144"/>
      <c r="P73" s="144"/>
      <c r="Q73" s="145"/>
    </row>
    <row hidden="true" r="74">
      <c r="A74" s="121">
        <v>46279</v>
      </c>
      <c r="B74" s="122" t="s">
        <v>150</v>
      </c>
      <c r="C74" s="138" t="s">
        <v>145</v>
      </c>
      <c r="D74" s="139">
        <v>5</v>
      </c>
      <c r="E74" s="140">
        <v>53</v>
      </c>
      <c r="F74" s="140">
        <v>38</v>
      </c>
      <c r="G74" s="140">
        <v>30</v>
      </c>
      <c r="H74" s="140">
        <v>27</v>
      </c>
      <c r="I74" s="140">
        <v>2</v>
      </c>
      <c r="J74" s="140">
        <v>47475.2</v>
      </c>
      <c r="K74" s="140">
        <v>20584.37</v>
      </c>
      <c r="L74" s="141">
        <f t="shared" si="1"/>
      </c>
      <c r="M74" s="142">
        <f t="shared" si="4"/>
      </c>
      <c r="N74" s="143">
        <f t="shared" si="2"/>
      </c>
      <c r="O74" s="144" t="s">
        <v>151</v>
      </c>
      <c r="P74" s="144">
        <v>10</v>
      </c>
      <c r="Q74" s="145"/>
    </row>
    <row hidden="true" r="75">
      <c r="A75" s="146">
        <v>46279</v>
      </c>
      <c r="B75" s="152"/>
      <c r="C75" s="147"/>
      <c r="D75" s="147">
        <f>SUM(D70:D74)</f>
      </c>
      <c r="E75" s="147">
        <f>SUM(E70:E74)</f>
      </c>
      <c r="F75" s="147">
        <f>SUM(F70:F74)</f>
      </c>
      <c r="G75" s="147">
        <f>SUM(G70:G74)</f>
      </c>
      <c r="H75" s="147">
        <f>SUM(H70:H74)</f>
      </c>
      <c r="I75" s="147">
        <f>SUM(I70:I74)</f>
      </c>
      <c r="J75" s="147">
        <f>SUM(J70:J74)</f>
      </c>
      <c r="K75" s="147">
        <f>SUM(K70:K74)</f>
      </c>
      <c r="L75" s="148">
        <f t="shared" si="1"/>
      </c>
      <c r="M75" s="148">
        <f t="shared" si="4"/>
      </c>
      <c r="N75" s="148">
        <f t="shared" si="2"/>
      </c>
      <c r="O75" s="147"/>
      <c r="P75" s="147">
        <f>SUM(P70:P74)</f>
      </c>
      <c r="Q75" s="147"/>
      <c r="R75" s="149"/>
    </row>
    <row hidden="true" r="76">
      <c r="A76" s="121">
        <v>46280</v>
      </c>
      <c r="B76" s="122" t="s">
        <v>142</v>
      </c>
      <c r="C76" s="153" t="s">
        <v>138</v>
      </c>
      <c r="D76" s="154">
        <v>5</v>
      </c>
      <c r="E76" s="122">
        <v>31</v>
      </c>
      <c r="F76" s="125">
        <v>18</v>
      </c>
      <c r="G76" s="126">
        <v>14</v>
      </c>
      <c r="H76" s="126">
        <v>7</v>
      </c>
      <c r="I76" s="126">
        <v>0</v>
      </c>
      <c r="J76" s="126">
        <v>17070</v>
      </c>
      <c r="K76" s="126">
        <v>20853.7</v>
      </c>
      <c r="L76" s="127">
        <f t="shared" si="1"/>
      </c>
      <c r="M76" s="128">
        <f t="shared" si="4"/>
      </c>
      <c r="N76" s="129">
        <f t="shared" si="2"/>
      </c>
      <c r="O76" s="122" t="s">
        <v>139</v>
      </c>
      <c r="P76" s="122">
        <v>10</v>
      </c>
      <c r="Q76" s="130"/>
    </row>
    <row hidden="true" r="77">
      <c r="A77" s="121">
        <v>46280</v>
      </c>
      <c r="B77" s="122" t="s">
        <v>144</v>
      </c>
      <c r="C77" s="153" t="s">
        <v>153</v>
      </c>
      <c r="D77" s="155">
        <v>4</v>
      </c>
      <c r="E77" s="126">
        <v>34</v>
      </c>
      <c r="F77" s="126">
        <v>28</v>
      </c>
      <c r="G77" s="126">
        <v>19</v>
      </c>
      <c r="H77" s="126">
        <v>17</v>
      </c>
      <c r="I77" s="126">
        <v>3</v>
      </c>
      <c r="J77" s="126">
        <v>30347.399999999998</v>
      </c>
      <c r="K77" s="126">
        <v>13983.349999999999</v>
      </c>
      <c r="L77" s="127">
        <f t="shared" si="1"/>
      </c>
      <c r="M77" s="128">
        <f t="shared" si="4"/>
      </c>
      <c r="N77" s="129">
        <f t="shared" si="2"/>
      </c>
      <c r="O77" s="134"/>
      <c r="P77" s="134"/>
      <c r="Q77" s="135"/>
    </row>
    <row hidden="true" r="78">
      <c r="A78" s="121">
        <v>46280</v>
      </c>
      <c r="B78" s="122" t="s">
        <v>147</v>
      </c>
      <c r="C78" s="153" t="s">
        <v>154</v>
      </c>
      <c r="D78" s="155">
        <v>4</v>
      </c>
      <c r="E78" s="126">
        <v>36</v>
      </c>
      <c r="F78" s="126">
        <v>26</v>
      </c>
      <c r="G78" s="126">
        <v>19</v>
      </c>
      <c r="H78" s="126">
        <v>20</v>
      </c>
      <c r="I78" s="126">
        <v>1</v>
      </c>
      <c r="J78" s="126">
        <v>21905.28</v>
      </c>
      <c r="K78" s="126">
        <v>13854.779999999999</v>
      </c>
      <c r="L78" s="127">
        <f t="shared" si="1"/>
      </c>
      <c r="M78" s="128">
        <f t="shared" si="4"/>
      </c>
      <c r="N78" s="129">
        <f t="shared" si="2"/>
      </c>
      <c r="O78" s="136"/>
      <c r="P78" s="136"/>
      <c r="Q78" s="135"/>
    </row>
    <row hidden="true" r="79">
      <c r="A79" s="121">
        <v>46280</v>
      </c>
      <c r="B79" s="122" t="s">
        <v>155</v>
      </c>
      <c r="C79" s="156" t="s">
        <v>156</v>
      </c>
      <c r="D79" s="131">
        <v>2</v>
      </c>
      <c r="E79" s="140">
        <v>9</v>
      </c>
      <c r="F79" s="140">
        <v>7</v>
      </c>
      <c r="G79" s="140">
        <v>5</v>
      </c>
      <c r="H79" s="140">
        <v>4</v>
      </c>
      <c r="I79" s="140">
        <v>0</v>
      </c>
      <c r="J79" s="140">
        <v>8034.000000000007</v>
      </c>
      <c r="K79" s="140">
        <v>6858.86</v>
      </c>
      <c r="L79" s="141">
        <f t="shared" si="1"/>
      </c>
      <c r="M79" s="142">
        <f t="shared" si="4"/>
      </c>
      <c r="N79" s="143">
        <f t="shared" si="2"/>
      </c>
      <c r="O79" s="144"/>
      <c r="P79" s="144"/>
      <c r="Q79" s="145"/>
    </row>
    <row r="80">
      <c r="A80" s="121">
        <v>46280</v>
      </c>
      <c r="B80" s="122" t="s">
        <v>140</v>
      </c>
      <c r="C80" s="138" t="s">
        <v>145</v>
      </c>
      <c r="D80" s="139">
        <v>5</v>
      </c>
      <c r="E80" s="140">
        <v>48</v>
      </c>
      <c r="F80" s="140">
        <v>33</v>
      </c>
      <c r="G80" s="140">
        <v>23</v>
      </c>
      <c r="H80" s="140">
        <v>19</v>
      </c>
      <c r="I80" s="140">
        <v>2</v>
      </c>
      <c r="J80" s="140">
        <v>30362.800000000003</v>
      </c>
      <c r="K80" s="140">
        <v>15368.060000000001</v>
      </c>
      <c r="L80" s="141">
        <f t="shared" si="1"/>
      </c>
      <c r="M80" s="142">
        <f t="shared" si="4"/>
      </c>
      <c r="N80" s="143">
        <f t="shared" si="2"/>
      </c>
      <c r="O80" s="144" t="s">
        <v>151</v>
      </c>
      <c r="P80" s="144">
        <v>10</v>
      </c>
      <c r="Q80" s="145"/>
    </row>
    <row hidden="true" r="81">
      <c r="A81" s="146">
        <v>46280</v>
      </c>
      <c r="B81" s="152"/>
      <c r="C81" s="147"/>
      <c r="D81" s="147">
        <f>SUM(D76:D80)</f>
      </c>
      <c r="E81" s="147">
        <f>SUM(E76:E80)</f>
      </c>
      <c r="F81" s="147">
        <f>SUM(F76:F80)</f>
      </c>
      <c r="G81" s="147">
        <f>SUM(G76:G80)</f>
      </c>
      <c r="H81" s="147">
        <f>SUM(H76:H80)</f>
      </c>
      <c r="I81" s="147">
        <f>SUM(I76:I80)</f>
      </c>
      <c r="J81" s="147">
        <f>SUM(J76:J80)</f>
      </c>
      <c r="K81" s="147">
        <f>SUM(K76:K80)</f>
      </c>
      <c r="L81" s="148">
        <f t="shared" si="1"/>
      </c>
      <c r="M81" s="148">
        <f t="shared" si="4"/>
      </c>
      <c r="N81" s="148">
        <f t="shared" si="2"/>
      </c>
      <c r="O81" s="147"/>
      <c r="P81" s="147">
        <f>SUM(P76:P80)</f>
      </c>
      <c r="Q81" s="147"/>
      <c r="R81" s="149"/>
    </row>
    <row hidden="true" r="82">
      <c r="A82" s="121">
        <v>46281</v>
      </c>
      <c r="B82" s="122" t="s">
        <v>142</v>
      </c>
      <c r="C82" s="153" t="s">
        <v>138</v>
      </c>
      <c r="D82" s="154">
        <v>5</v>
      </c>
      <c r="E82" s="122">
        <v>34</v>
      </c>
      <c r="F82" s="125">
        <v>25</v>
      </c>
      <c r="G82" s="126">
        <v>16</v>
      </c>
      <c r="H82" s="126">
        <v>11</v>
      </c>
      <c r="I82" s="126">
        <v>1</v>
      </c>
      <c r="J82" s="126">
        <v>33464.40000000001</v>
      </c>
      <c r="K82" s="126">
        <v>20526.82</v>
      </c>
      <c r="L82" s="127">
        <f t="shared" si="1"/>
      </c>
      <c r="M82" s="128">
        <f t="shared" si="4"/>
      </c>
      <c r="N82" s="129">
        <f t="shared" si="2"/>
      </c>
      <c r="O82" s="122" t="s">
        <v>148</v>
      </c>
      <c r="P82" s="122">
        <v>10</v>
      </c>
      <c r="Q82" s="130"/>
    </row>
    <row hidden="true" r="83">
      <c r="A83" s="121">
        <v>46281</v>
      </c>
      <c r="B83" s="122" t="s">
        <v>137</v>
      </c>
      <c r="C83" s="153" t="s">
        <v>153</v>
      </c>
      <c r="D83" s="155">
        <v>4</v>
      </c>
      <c r="E83" s="126">
        <v>17</v>
      </c>
      <c r="F83" s="126">
        <v>12</v>
      </c>
      <c r="G83" s="126">
        <v>9</v>
      </c>
      <c r="H83" s="126">
        <v>9</v>
      </c>
      <c r="I83" s="126">
        <v>1</v>
      </c>
      <c r="J83" s="126">
        <v>11138.599999999999</v>
      </c>
      <c r="K83" s="126">
        <v>9646.119999999999</v>
      </c>
      <c r="L83" s="127">
        <f t="shared" si="1"/>
      </c>
      <c r="M83" s="128">
        <f t="shared" si="4"/>
      </c>
      <c r="N83" s="129">
        <f t="shared" si="2"/>
      </c>
      <c r="O83" s="134"/>
      <c r="P83" s="134"/>
      <c r="Q83" s="135"/>
    </row>
    <row hidden="true" r="84">
      <c r="A84" s="121">
        <v>46281</v>
      </c>
      <c r="B84" s="122" t="s">
        <v>147</v>
      </c>
      <c r="C84" s="153" t="s">
        <v>154</v>
      </c>
      <c r="D84" s="155">
        <v>4</v>
      </c>
      <c r="E84" s="126">
        <v>16</v>
      </c>
      <c r="F84" s="126">
        <v>11</v>
      </c>
      <c r="G84" s="126">
        <v>6</v>
      </c>
      <c r="H84" s="126">
        <v>5</v>
      </c>
      <c r="I84" s="126">
        <v>2</v>
      </c>
      <c r="J84" s="126">
        <v>15465.600000000002</v>
      </c>
      <c r="K84" s="126">
        <v>7369.959999999999</v>
      </c>
      <c r="L84" s="127">
        <f t="shared" si="1"/>
      </c>
      <c r="M84" s="128">
        <f t="shared" si="4"/>
      </c>
      <c r="N84" s="129">
        <f t="shared" si="2"/>
      </c>
      <c r="O84" s="136"/>
      <c r="P84" s="136"/>
      <c r="Q84" s="135"/>
    </row>
    <row hidden="true" r="85">
      <c r="A85" s="121">
        <v>46281</v>
      </c>
      <c r="B85" s="122" t="s">
        <v>155</v>
      </c>
      <c r="C85" s="156" t="s">
        <v>156</v>
      </c>
      <c r="D85" s="131">
        <v>2</v>
      </c>
      <c r="E85" s="140">
        <v>16</v>
      </c>
      <c r="F85" s="140">
        <v>14</v>
      </c>
      <c r="G85" s="140">
        <v>11</v>
      </c>
      <c r="H85" s="140">
        <v>6</v>
      </c>
      <c r="I85" s="140">
        <v>3</v>
      </c>
      <c r="J85" s="140">
        <v>22304.88</v>
      </c>
      <c r="K85" s="140">
        <v>7901.609999999999</v>
      </c>
      <c r="L85" s="141">
        <f t="shared" si="1"/>
      </c>
      <c r="M85" s="142">
        <f t="shared" si="4"/>
      </c>
      <c r="N85" s="143">
        <f t="shared" si="2"/>
      </c>
      <c r="O85" s="144"/>
      <c r="P85" s="144"/>
      <c r="Q85" s="145"/>
    </row>
    <row r="86">
      <c r="A86" s="121">
        <v>46281</v>
      </c>
      <c r="B86" s="122" t="s">
        <v>140</v>
      </c>
      <c r="C86" s="138" t="s">
        <v>145</v>
      </c>
      <c r="D86" s="139">
        <v>5</v>
      </c>
      <c r="E86" s="140">
        <v>43</v>
      </c>
      <c r="F86" s="140">
        <v>25</v>
      </c>
      <c r="G86" s="140">
        <v>22</v>
      </c>
      <c r="H86" s="140">
        <v>14</v>
      </c>
      <c r="I86" s="140">
        <v>2</v>
      </c>
      <c r="J86" s="140">
        <v>26370.700000000004</v>
      </c>
      <c r="K86" s="140">
        <v>14481.930000000002</v>
      </c>
      <c r="L86" s="141">
        <f t="shared" si="1"/>
      </c>
      <c r="M86" s="142">
        <f t="shared" si="4"/>
      </c>
      <c r="N86" s="143">
        <f t="shared" si="2"/>
      </c>
      <c r="O86" s="144" t="s">
        <v>151</v>
      </c>
      <c r="P86" s="144">
        <v>10</v>
      </c>
      <c r="Q86" s="145"/>
    </row>
    <row hidden="true" r="87">
      <c r="A87" s="146">
        <v>46281</v>
      </c>
      <c r="B87" s="152"/>
      <c r="C87" s="147"/>
      <c r="D87" s="147">
        <f>SUM(D82:D86)</f>
      </c>
      <c r="E87" s="147">
        <f>SUM(E82:E86)</f>
      </c>
      <c r="F87" s="147">
        <f>SUM(F82:F86)</f>
      </c>
      <c r="G87" s="147">
        <f>SUM(G82:G86)</f>
      </c>
      <c r="H87" s="147">
        <f>SUM(H82:H86)</f>
      </c>
      <c r="I87" s="147">
        <f>SUM(I82:I86)</f>
      </c>
      <c r="J87" s="147">
        <f>SUM(J82:J86)</f>
      </c>
      <c r="K87" s="147">
        <f>SUM(K82:K86)</f>
      </c>
      <c r="L87" s="148">
        <f t="shared" si="1"/>
      </c>
      <c r="M87" s="148">
        <f t="shared" si="4"/>
      </c>
      <c r="N87" s="148">
        <f t="shared" si="2"/>
      </c>
      <c r="O87" s="147"/>
      <c r="P87" s="147">
        <f>SUM(P82:P86)</f>
      </c>
      <c r="Q87" s="147"/>
      <c r="R87" s="149"/>
    </row>
    <row hidden="true" r="88">
      <c r="A88" s="121">
        <v>46282</v>
      </c>
      <c r="B88" s="122" t="s">
        <v>142</v>
      </c>
      <c r="C88" s="153" t="s">
        <v>138</v>
      </c>
      <c r="D88" s="154">
        <v>5</v>
      </c>
      <c r="E88" s="122">
        <v>46</v>
      </c>
      <c r="F88" s="125">
        <v>39</v>
      </c>
      <c r="G88" s="126">
        <v>29</v>
      </c>
      <c r="H88" s="126">
        <v>22</v>
      </c>
      <c r="I88" s="126">
        <v>4</v>
      </c>
      <c r="J88" s="126">
        <v>44595.00000000001</v>
      </c>
      <c r="K88" s="126">
        <v>25799.27</v>
      </c>
      <c r="L88" s="127">
        <f t="shared" si="1"/>
      </c>
      <c r="M88" s="128">
        <f t="shared" si="4"/>
      </c>
      <c r="N88" s="129">
        <f t="shared" si="2"/>
      </c>
      <c r="O88" s="122" t="s">
        <v>139</v>
      </c>
      <c r="P88" s="122">
        <v>10</v>
      </c>
      <c r="Q88" s="130"/>
    </row>
    <row hidden="true" r="89">
      <c r="A89" s="121">
        <v>46282</v>
      </c>
      <c r="B89" s="122" t="s">
        <v>137</v>
      </c>
      <c r="C89" s="153" t="s">
        <v>153</v>
      </c>
      <c r="D89" s="155">
        <v>4</v>
      </c>
      <c r="E89" s="126">
        <v>27</v>
      </c>
      <c r="F89" s="126">
        <v>20</v>
      </c>
      <c r="G89" s="126">
        <v>14</v>
      </c>
      <c r="H89" s="126">
        <v>12</v>
      </c>
      <c r="I89" s="126">
        <v>1</v>
      </c>
      <c r="J89" s="126">
        <v>19421.999999999996</v>
      </c>
      <c r="K89" s="126">
        <v>12632.880000000001</v>
      </c>
      <c r="L89" s="127">
        <f t="shared" si="1"/>
      </c>
      <c r="M89" s="128">
        <f t="shared" si="4"/>
      </c>
      <c r="N89" s="129">
        <f t="shared" si="2"/>
      </c>
      <c r="O89" s="134"/>
      <c r="P89" s="134"/>
      <c r="Q89" s="135"/>
    </row>
    <row hidden="true" r="90">
      <c r="A90" s="121">
        <v>46282</v>
      </c>
      <c r="B90" s="122" t="s">
        <v>144</v>
      </c>
      <c r="C90" s="153" t="s">
        <v>154</v>
      </c>
      <c r="D90" s="155">
        <v>4</v>
      </c>
      <c r="E90" s="126">
        <v>30</v>
      </c>
      <c r="F90" s="126">
        <v>21</v>
      </c>
      <c r="G90" s="126">
        <v>13</v>
      </c>
      <c r="H90" s="126">
        <v>12</v>
      </c>
      <c r="I90" s="126">
        <v>2</v>
      </c>
      <c r="J90" s="126">
        <v>23279.800000000003</v>
      </c>
      <c r="K90" s="126">
        <v>10889.81</v>
      </c>
      <c r="L90" s="127">
        <f t="shared" si="1"/>
      </c>
      <c r="M90" s="128">
        <f t="shared" si="4"/>
      </c>
      <c r="N90" s="129">
        <f t="shared" si="2"/>
      </c>
      <c r="O90" s="136"/>
      <c r="P90" s="136"/>
      <c r="Q90" s="135"/>
    </row>
    <row hidden="true" r="91">
      <c r="A91" s="121">
        <v>46282</v>
      </c>
      <c r="B91" s="122" t="s">
        <v>155</v>
      </c>
      <c r="C91" s="156" t="s">
        <v>156</v>
      </c>
      <c r="D91" s="131">
        <v>2</v>
      </c>
      <c r="E91" s="140">
        <v>9</v>
      </c>
      <c r="F91" s="140">
        <v>6</v>
      </c>
      <c r="G91" s="140">
        <v>5</v>
      </c>
      <c r="H91" s="140">
        <v>4</v>
      </c>
      <c r="I91" s="140">
        <v>1</v>
      </c>
      <c r="J91" s="140">
        <v>6195.5999999999985</v>
      </c>
      <c r="K91" s="140">
        <v>5445.79</v>
      </c>
      <c r="L91" s="141">
        <f t="shared" si="1"/>
      </c>
      <c r="M91" s="142">
        <f t="shared" si="4"/>
      </c>
      <c r="N91" s="143">
        <f t="shared" si="2"/>
      </c>
      <c r="O91" s="144"/>
      <c r="P91" s="144"/>
      <c r="Q91" s="145"/>
    </row>
    <row hidden="true" r="92">
      <c r="A92" s="121">
        <v>46282</v>
      </c>
      <c r="B92" s="122" t="s">
        <v>150</v>
      </c>
      <c r="C92" s="138" t="s">
        <v>145</v>
      </c>
      <c r="D92" s="139">
        <v>5</v>
      </c>
      <c r="E92" s="140">
        <v>46</v>
      </c>
      <c r="F92" s="140">
        <v>37</v>
      </c>
      <c r="G92" s="140">
        <v>29</v>
      </c>
      <c r="H92" s="140">
        <v>23</v>
      </c>
      <c r="I92" s="140">
        <v>3</v>
      </c>
      <c r="J92" s="140">
        <v>46582.99999999999</v>
      </c>
      <c r="K92" s="140">
        <v>15833.4</v>
      </c>
      <c r="L92" s="141">
        <f t="shared" si="1"/>
      </c>
      <c r="M92" s="142">
        <f t="shared" si="4"/>
      </c>
      <c r="N92" s="143">
        <f t="shared" si="2"/>
      </c>
      <c r="O92" s="144" t="s">
        <v>151</v>
      </c>
      <c r="P92" s="144">
        <v>10</v>
      </c>
      <c r="Q92" s="145"/>
    </row>
    <row hidden="true" r="93">
      <c r="A93" s="146">
        <v>46282</v>
      </c>
      <c r="B93" s="152"/>
      <c r="C93" s="147"/>
      <c r="D93" s="147">
        <f>SUM(D88:D92)</f>
      </c>
      <c r="E93" s="147">
        <f>SUM(E88:E92)</f>
      </c>
      <c r="F93" s="147">
        <f>SUM(F88:F92)</f>
      </c>
      <c r="G93" s="147">
        <f>SUM(G88:G92)</f>
      </c>
      <c r="H93" s="147">
        <f>SUM(H88:H92)</f>
      </c>
      <c r="I93" s="147">
        <f>SUM(I88:I92)</f>
      </c>
      <c r="J93" s="147">
        <f>SUM(J88:J92)</f>
      </c>
      <c r="K93" s="147">
        <f>SUM(K88:K92)</f>
      </c>
      <c r="L93" s="148">
        <f t="shared" si="1"/>
      </c>
      <c r="M93" s="148">
        <f t="shared" si="4"/>
      </c>
      <c r="N93" s="148">
        <f t="shared" si="2"/>
      </c>
      <c r="O93" s="147"/>
      <c r="P93" s="147">
        <f>SUM(P88:P92)</f>
      </c>
      <c r="Q93" s="147"/>
      <c r="R93" s="149"/>
    </row>
    <row hidden="true" r="94">
      <c r="A94" s="121">
        <v>46283</v>
      </c>
      <c r="B94" s="122" t="s">
        <v>142</v>
      </c>
      <c r="C94" s="153" t="s">
        <v>138</v>
      </c>
      <c r="D94" s="154">
        <v>5</v>
      </c>
      <c r="E94" s="122">
        <v>38</v>
      </c>
      <c r="F94" s="125">
        <v>30</v>
      </c>
      <c r="G94" s="126">
        <v>19</v>
      </c>
      <c r="H94" s="126">
        <v>22</v>
      </c>
      <c r="I94" s="126">
        <v>4</v>
      </c>
      <c r="J94" s="126">
        <v>36631.2</v>
      </c>
      <c r="K94" s="126">
        <v>17453.37</v>
      </c>
      <c r="L94" s="127">
        <f t="shared" si="1"/>
      </c>
      <c r="M94" s="128">
        <f t="shared" si="4"/>
      </c>
      <c r="N94" s="129">
        <f t="shared" si="2"/>
      </c>
      <c r="O94" s="122" t="s">
        <v>139</v>
      </c>
      <c r="P94" s="122">
        <v>11</v>
      </c>
      <c r="Q94" s="130"/>
    </row>
    <row hidden="true" r="95">
      <c r="A95" s="121">
        <v>46283</v>
      </c>
      <c r="B95" s="122" t="s">
        <v>150</v>
      </c>
      <c r="C95" s="153" t="s">
        <v>141</v>
      </c>
      <c r="D95" s="155">
        <v>5</v>
      </c>
      <c r="E95" s="126">
        <v>22</v>
      </c>
      <c r="F95" s="126">
        <v>11</v>
      </c>
      <c r="G95" s="126">
        <v>8</v>
      </c>
      <c r="H95" s="126">
        <v>3</v>
      </c>
      <c r="I95" s="126">
        <v>0</v>
      </c>
      <c r="J95" s="126">
        <v>13100.2</v>
      </c>
      <c r="K95" s="126">
        <v>14860.710000000001</v>
      </c>
      <c r="L95" s="127">
        <f t="shared" si="1"/>
      </c>
      <c r="M95" s="128">
        <f t="shared" si="4"/>
      </c>
      <c r="N95" s="129">
        <f t="shared" si="2"/>
      </c>
      <c r="O95" s="134"/>
      <c r="P95" s="134"/>
      <c r="Q95" s="135"/>
    </row>
    <row hidden="true" r="96">
      <c r="A96" s="121">
        <v>46283</v>
      </c>
      <c r="B96" s="122" t="s">
        <v>137</v>
      </c>
      <c r="C96" s="153" t="s">
        <v>143</v>
      </c>
      <c r="D96" s="154">
        <v>5</v>
      </c>
      <c r="E96" s="126">
        <v>27</v>
      </c>
      <c r="F96" s="126">
        <v>14</v>
      </c>
      <c r="G96" s="126">
        <v>15</v>
      </c>
      <c r="H96" s="126">
        <v>8</v>
      </c>
      <c r="I96" s="126">
        <v>0</v>
      </c>
      <c r="J96" s="126">
        <v>16257.200000000004</v>
      </c>
      <c r="K96" s="126">
        <v>11590.039999999999</v>
      </c>
      <c r="L96" s="127">
        <f t="shared" si="1"/>
      </c>
      <c r="M96" s="128">
        <f t="shared" si="4"/>
      </c>
      <c r="N96" s="129">
        <f t="shared" si="2"/>
      </c>
      <c r="O96" s="136"/>
      <c r="P96" s="136"/>
      <c r="Q96" s="135"/>
    </row>
    <row r="97">
      <c r="A97" s="121">
        <v>46283</v>
      </c>
      <c r="B97" s="122" t="s">
        <v>140</v>
      </c>
      <c r="C97" s="156" t="s">
        <v>145</v>
      </c>
      <c r="D97" s="155">
        <v>5</v>
      </c>
      <c r="E97" s="140">
        <v>69</v>
      </c>
      <c r="F97" s="140">
        <v>48</v>
      </c>
      <c r="G97" s="140">
        <v>37</v>
      </c>
      <c r="H97" s="140">
        <v>26</v>
      </c>
      <c r="I97" s="140">
        <v>4</v>
      </c>
      <c r="J97" s="140">
        <v>55555.3</v>
      </c>
      <c r="K97" s="140">
        <v>27665.319999999996</v>
      </c>
      <c r="L97" s="141">
        <f t="shared" si="1"/>
      </c>
      <c r="M97" s="142">
        <f t="shared" si="4"/>
      </c>
      <c r="N97" s="143">
        <f t="shared" si="2"/>
      </c>
      <c r="O97" s="144" t="s">
        <v>151</v>
      </c>
      <c r="P97" s="144">
        <v>9</v>
      </c>
      <c r="Q97" s="145"/>
    </row>
    <row hidden="true" r="98">
      <c r="A98" s="146">
        <v>46283</v>
      </c>
      <c r="B98" s="152"/>
      <c r="C98" s="147"/>
      <c r="D98" s="147">
        <f>SUM(D94:D97)</f>
      </c>
      <c r="E98" s="147">
        <f>SUM(E94:E97)</f>
      </c>
      <c r="F98" s="147">
        <f>SUM(F94:F97)</f>
      </c>
      <c r="G98" s="147">
        <f>SUM(G94:G97)</f>
      </c>
      <c r="H98" s="147">
        <f>SUM(H94:H97)</f>
      </c>
      <c r="I98" s="147">
        <f>SUM(I94:I97)</f>
      </c>
      <c r="J98" s="147">
        <f>SUM(J94:J97)</f>
      </c>
      <c r="K98" s="147">
        <f>SUM(K94:K97)</f>
      </c>
      <c r="L98" s="148">
        <f t="shared" si="1"/>
      </c>
      <c r="M98" s="148">
        <f t="shared" si="4"/>
      </c>
      <c r="N98" s="148">
        <f t="shared" si="2"/>
      </c>
      <c r="O98" s="147"/>
      <c r="P98" s="147">
        <f>SUM(P94:P97)</f>
      </c>
      <c r="Q98" s="147"/>
      <c r="R98" s="149"/>
    </row>
    <row hidden="true" r="99">
      <c r="A99" s="121">
        <v>46284</v>
      </c>
      <c r="B99" s="122" t="s">
        <v>142</v>
      </c>
      <c r="C99" s="153" t="s">
        <v>138</v>
      </c>
      <c r="D99" s="154">
        <v>5</v>
      </c>
      <c r="E99" s="122">
        <v>42</v>
      </c>
      <c r="F99" s="125">
        <v>34</v>
      </c>
      <c r="G99" s="126">
        <v>24</v>
      </c>
      <c r="H99" s="126">
        <v>23</v>
      </c>
      <c r="I99" s="126">
        <v>5</v>
      </c>
      <c r="J99" s="126">
        <v>35845.8</v>
      </c>
      <c r="K99" s="126">
        <v>18238.89</v>
      </c>
      <c r="L99" s="127">
        <f t="shared" si="1"/>
      </c>
      <c r="M99" s="128">
        <f t="shared" si="4"/>
      </c>
      <c r="N99" s="129">
        <f t="shared" si="2"/>
      </c>
      <c r="O99" s="122" t="s">
        <v>139</v>
      </c>
      <c r="P99" s="122">
        <v>10</v>
      </c>
      <c r="Q99" s="130"/>
    </row>
    <row hidden="true" r="100">
      <c r="A100" s="121">
        <v>46284</v>
      </c>
      <c r="B100" s="122" t="s">
        <v>137</v>
      </c>
      <c r="C100" s="153" t="s">
        <v>153</v>
      </c>
      <c r="D100" s="155">
        <v>4</v>
      </c>
      <c r="E100" s="126">
        <v>23</v>
      </c>
      <c r="F100" s="126">
        <v>19</v>
      </c>
      <c r="G100" s="126">
        <v>15</v>
      </c>
      <c r="H100" s="126">
        <v>10</v>
      </c>
      <c r="I100" s="126">
        <v>2</v>
      </c>
      <c r="J100" s="126">
        <v>22312.600000000006</v>
      </c>
      <c r="K100" s="126">
        <v>14532.69</v>
      </c>
      <c r="L100" s="127">
        <f t="shared" si="1"/>
      </c>
      <c r="M100" s="128">
        <f t="shared" si="4"/>
      </c>
      <c r="N100" s="129">
        <f t="shared" si="2"/>
      </c>
      <c r="O100" s="134"/>
      <c r="P100" s="134"/>
      <c r="Q100" s="135"/>
    </row>
    <row hidden="true" r="101">
      <c r="A101" s="121">
        <v>46284</v>
      </c>
      <c r="B101" s="122" t="s">
        <v>155</v>
      </c>
      <c r="C101" s="153" t="s">
        <v>157</v>
      </c>
      <c r="D101" s="155">
        <v>3</v>
      </c>
      <c r="E101" s="126">
        <v>10</v>
      </c>
      <c r="F101" s="126">
        <v>8</v>
      </c>
      <c r="G101" s="126">
        <v>2</v>
      </c>
      <c r="H101" s="126">
        <v>4</v>
      </c>
      <c r="I101" s="126">
        <v>0</v>
      </c>
      <c r="J101" s="126">
        <v>10963.800000000001</v>
      </c>
      <c r="K101" s="126">
        <v>7092.860000000001</v>
      </c>
      <c r="L101" s="127">
        <f t="shared" si="1"/>
      </c>
      <c r="M101" s="128">
        <f t="shared" si="4"/>
      </c>
      <c r="N101" s="129">
        <f t="shared" si="2"/>
      </c>
      <c r="O101" s="136"/>
      <c r="P101" s="136"/>
      <c r="Q101" s="135"/>
    </row>
    <row hidden="true" r="102">
      <c r="A102" s="121">
        <v>46284</v>
      </c>
      <c r="B102" s="122" t="s">
        <v>147</v>
      </c>
      <c r="C102" s="156" t="s">
        <v>158</v>
      </c>
      <c r="D102" s="131">
        <v>4</v>
      </c>
      <c r="E102" s="140">
        <v>20</v>
      </c>
      <c r="F102" s="140">
        <v>13</v>
      </c>
      <c r="G102" s="140">
        <v>10</v>
      </c>
      <c r="H102" s="140">
        <v>6</v>
      </c>
      <c r="I102" s="140">
        <v>1</v>
      </c>
      <c r="J102" s="140">
        <v>15259.599999999999</v>
      </c>
      <c r="K102" s="140">
        <v>8003.97</v>
      </c>
      <c r="L102" s="141">
        <f t="shared" si="1"/>
      </c>
      <c r="M102" s="142">
        <f t="shared" si="4"/>
      </c>
      <c r="N102" s="143">
        <f t="shared" si="2"/>
      </c>
      <c r="O102" s="144"/>
      <c r="P102" s="144"/>
      <c r="Q102" s="145"/>
    </row>
    <row r="103">
      <c r="A103" s="121">
        <v>46284</v>
      </c>
      <c r="B103" s="122" t="s">
        <v>140</v>
      </c>
      <c r="C103" s="138" t="s">
        <v>145</v>
      </c>
      <c r="D103" s="131">
        <v>4</v>
      </c>
      <c r="E103" s="140">
        <v>18</v>
      </c>
      <c r="F103" s="140">
        <v>14</v>
      </c>
      <c r="G103" s="140">
        <v>11</v>
      </c>
      <c r="H103" s="140">
        <v>8</v>
      </c>
      <c r="I103" s="140">
        <v>1</v>
      </c>
      <c r="J103" s="140">
        <v>18862.800000000003</v>
      </c>
      <c r="K103" s="140">
        <v>9203.5</v>
      </c>
      <c r="L103" s="141">
        <f t="shared" si="1"/>
      </c>
      <c r="M103" s="142">
        <f t="shared" si="4"/>
      </c>
      <c r="N103" s="143">
        <f t="shared" si="2"/>
      </c>
      <c r="O103" s="144" t="s">
        <v>151</v>
      </c>
      <c r="P103" s="144">
        <v>10</v>
      </c>
      <c r="Q103" s="145"/>
    </row>
    <row hidden="true" r="104">
      <c r="A104" s="146">
        <v>46284</v>
      </c>
      <c r="B104" s="152"/>
      <c r="C104" s="147"/>
      <c r="D104" s="147">
        <f>SUM(D99:D103)</f>
      </c>
      <c r="E104" s="147">
        <f>SUM(E99:E103)</f>
      </c>
      <c r="F104" s="147">
        <f>SUM(F99:F103)</f>
      </c>
      <c r="G104" s="147">
        <f>SUM(G99:G103)</f>
      </c>
      <c r="H104" s="147">
        <f>SUM(H99:H103)</f>
      </c>
      <c r="I104" s="147">
        <f>SUM(I99:I103)</f>
      </c>
      <c r="J104" s="147">
        <f>SUM(J99:J103)</f>
      </c>
      <c r="K104" s="147">
        <f>SUM(K99:K103)</f>
      </c>
      <c r="L104" s="148">
        <f t="shared" si="1"/>
      </c>
      <c r="M104" s="148">
        <f t="shared" si="4"/>
      </c>
      <c r="N104" s="148">
        <f t="shared" si="2"/>
      </c>
      <c r="O104" s="147"/>
      <c r="P104" s="147">
        <f>SUM(P99:P103)</f>
      </c>
      <c r="Q104" s="147"/>
      <c r="R104" s="149"/>
    </row>
    <row hidden="true" r="105">
      <c r="A105" s="121">
        <v>46285</v>
      </c>
      <c r="B105" s="122" t="s">
        <v>142</v>
      </c>
      <c r="C105" s="153" t="s">
        <v>138</v>
      </c>
      <c r="D105" s="154">
        <v>5</v>
      </c>
      <c r="E105" s="122">
        <v>33</v>
      </c>
      <c r="F105" s="125">
        <v>26</v>
      </c>
      <c r="G105" s="126">
        <v>17</v>
      </c>
      <c r="H105" s="126">
        <v>17</v>
      </c>
      <c r="I105" s="126">
        <v>2</v>
      </c>
      <c r="J105" s="126">
        <v>22524.04</v>
      </c>
      <c r="K105" s="126">
        <v>16946.34</v>
      </c>
      <c r="L105" s="127">
        <f t="shared" si="1"/>
      </c>
      <c r="M105" s="128">
        <f t="shared" si="4"/>
      </c>
      <c r="N105" s="129">
        <f t="shared" si="2"/>
      </c>
      <c r="O105" s="122" t="s">
        <v>139</v>
      </c>
      <c r="P105" s="122">
        <v>10</v>
      </c>
      <c r="Q105" s="130"/>
    </row>
    <row hidden="true" r="106">
      <c r="A106" s="121">
        <v>46285</v>
      </c>
      <c r="B106" s="122" t="s">
        <v>155</v>
      </c>
      <c r="C106" s="153" t="s">
        <v>141</v>
      </c>
      <c r="D106" s="155">
        <v>5</v>
      </c>
      <c r="E106" s="126">
        <v>27</v>
      </c>
      <c r="F106" s="126">
        <v>17</v>
      </c>
      <c r="G106" s="126">
        <v>12</v>
      </c>
      <c r="H106" s="126">
        <v>13</v>
      </c>
      <c r="I106" s="126">
        <v>1</v>
      </c>
      <c r="J106" s="126">
        <v>16231.000000000002</v>
      </c>
      <c r="K106" s="126">
        <v>13114.21</v>
      </c>
      <c r="L106" s="127">
        <f t="shared" si="1"/>
      </c>
      <c r="M106" s="128">
        <f t="shared" si="4"/>
      </c>
      <c r="N106" s="129">
        <f t="shared" si="2"/>
      </c>
      <c r="O106" s="134"/>
      <c r="P106" s="134"/>
      <c r="Q106" s="135"/>
    </row>
    <row hidden="true" r="107">
      <c r="A107" s="121">
        <v>46285</v>
      </c>
      <c r="B107" s="122" t="s">
        <v>144</v>
      </c>
      <c r="C107" s="153" t="s">
        <v>143</v>
      </c>
      <c r="D107" s="154">
        <v>5</v>
      </c>
      <c r="E107" s="126">
        <v>29</v>
      </c>
      <c r="F107" s="126">
        <v>24</v>
      </c>
      <c r="G107" s="126">
        <v>21</v>
      </c>
      <c r="H107" s="126">
        <v>14</v>
      </c>
      <c r="I107" s="126">
        <v>4</v>
      </c>
      <c r="J107" s="126">
        <v>25899.799999999996</v>
      </c>
      <c r="K107" s="126">
        <v>15142.86</v>
      </c>
      <c r="L107" s="127">
        <f t="shared" si="1"/>
      </c>
      <c r="M107" s="128">
        <f t="shared" si="4"/>
      </c>
      <c r="N107" s="129">
        <f t="shared" si="2"/>
      </c>
      <c r="O107" s="136"/>
      <c r="P107" s="136"/>
      <c r="Q107" s="135"/>
    </row>
    <row hidden="true" r="108">
      <c r="A108" s="121">
        <v>46285</v>
      </c>
      <c r="B108" s="122" t="s">
        <v>150</v>
      </c>
      <c r="C108" s="156" t="s">
        <v>145</v>
      </c>
      <c r="D108" s="155">
        <v>5</v>
      </c>
      <c r="E108" s="140">
        <v>56</v>
      </c>
      <c r="F108" s="140">
        <v>42</v>
      </c>
      <c r="G108" s="140">
        <v>32</v>
      </c>
      <c r="H108" s="140">
        <v>23</v>
      </c>
      <c r="I108" s="140">
        <v>5</v>
      </c>
      <c r="J108" s="140">
        <v>52182.8</v>
      </c>
      <c r="K108" s="140">
        <v>21499.79</v>
      </c>
      <c r="L108" s="141">
        <f t="shared" si="1"/>
      </c>
      <c r="M108" s="142">
        <f t="shared" si="4"/>
      </c>
      <c r="N108" s="143">
        <f t="shared" si="2"/>
      </c>
      <c r="O108" s="144" t="s">
        <v>159</v>
      </c>
      <c r="P108" s="144">
        <v>10</v>
      </c>
      <c r="Q108" s="145"/>
    </row>
    <row hidden="true" r="109">
      <c r="A109" s="146">
        <v>46285</v>
      </c>
      <c r="B109" s="152"/>
      <c r="C109" s="147"/>
      <c r="D109" s="147">
        <f>SUM(D105:D108)</f>
      </c>
      <c r="E109" s="147">
        <f>SUM(E105:E108)</f>
      </c>
      <c r="F109" s="147">
        <f>SUM(F105:F108)</f>
      </c>
      <c r="G109" s="147">
        <f>SUM(G105:G108)</f>
      </c>
      <c r="H109" s="147">
        <f>SUM(H105:H108)</f>
      </c>
      <c r="I109" s="147">
        <f>SUM(I105:I108)</f>
      </c>
      <c r="J109" s="147">
        <f>SUM(J105:J108)</f>
      </c>
      <c r="K109" s="147">
        <f>SUM(K105:K108)</f>
      </c>
      <c r="L109" s="148">
        <f t="shared" si="1"/>
      </c>
      <c r="M109" s="148">
        <f t="shared" si="4"/>
      </c>
      <c r="N109" s="148">
        <f t="shared" si="2"/>
      </c>
      <c r="O109" s="147"/>
      <c r="P109" s="147">
        <f>SUM(P105:P108)</f>
      </c>
      <c r="Q109" s="147"/>
      <c r="R109" s="149"/>
    </row>
    <row hidden="true" r="110">
      <c r="A110" s="121">
        <v>46286</v>
      </c>
      <c r="B110" s="122" t="s">
        <v>142</v>
      </c>
      <c r="C110" s="153" t="s">
        <v>138</v>
      </c>
      <c r="D110" s="154">
        <v>5</v>
      </c>
      <c r="E110" s="122">
        <v>52</v>
      </c>
      <c r="F110" s="125">
        <v>42</v>
      </c>
      <c r="G110" s="126">
        <v>28</v>
      </c>
      <c r="H110" s="126">
        <v>25</v>
      </c>
      <c r="I110" s="126">
        <v>6</v>
      </c>
      <c r="J110" s="126">
        <v>45023.700000000004</v>
      </c>
      <c r="K110" s="126">
        <v>17899.809999999998</v>
      </c>
      <c r="L110" s="127">
        <f t="shared" si="1"/>
      </c>
      <c r="M110" s="128">
        <f t="shared" si="4"/>
      </c>
      <c r="N110" s="129">
        <f t="shared" si="2"/>
      </c>
      <c r="O110" s="122" t="s">
        <v>139</v>
      </c>
      <c r="P110" s="122">
        <v>10</v>
      </c>
      <c r="Q110" s="130"/>
    </row>
    <row hidden="true" r="111">
      <c r="A111" s="121">
        <v>46286</v>
      </c>
      <c r="B111" s="122" t="s">
        <v>137</v>
      </c>
      <c r="C111" s="153" t="s">
        <v>141</v>
      </c>
      <c r="D111" s="155">
        <v>5</v>
      </c>
      <c r="E111" s="126">
        <v>18</v>
      </c>
      <c r="F111" s="126">
        <v>13</v>
      </c>
      <c r="G111" s="126">
        <v>6</v>
      </c>
      <c r="H111" s="126">
        <v>11</v>
      </c>
      <c r="I111" s="126">
        <v>3</v>
      </c>
      <c r="J111" s="126">
        <v>18236.4</v>
      </c>
      <c r="K111" s="126">
        <v>12409.990000000002</v>
      </c>
      <c r="L111" s="127">
        <f t="shared" si="1"/>
      </c>
      <c r="M111" s="128">
        <f t="shared" si="4"/>
      </c>
      <c r="N111" s="129">
        <f t="shared" si="2"/>
      </c>
      <c r="O111" s="134"/>
      <c r="P111" s="134"/>
      <c r="Q111" s="135"/>
    </row>
    <row hidden="true" r="112">
      <c r="A112" s="121">
        <v>46286</v>
      </c>
      <c r="B112" s="122" t="s">
        <v>144</v>
      </c>
      <c r="C112" s="153" t="s">
        <v>143</v>
      </c>
      <c r="D112" s="154">
        <v>5</v>
      </c>
      <c r="E112" s="126">
        <v>18</v>
      </c>
      <c r="F112" s="126">
        <v>16</v>
      </c>
      <c r="G112" s="126">
        <v>7</v>
      </c>
      <c r="H112" s="126">
        <v>10</v>
      </c>
      <c r="I112" s="126">
        <v>6</v>
      </c>
      <c r="J112" s="126">
        <v>17459.2</v>
      </c>
      <c r="K112" s="126">
        <v>8345.19</v>
      </c>
      <c r="L112" s="127">
        <f t="shared" si="1"/>
      </c>
      <c r="M112" s="128">
        <f t="shared" si="4"/>
      </c>
      <c r="N112" s="129">
        <f t="shared" si="2"/>
      </c>
      <c r="O112" s="136"/>
      <c r="P112" s="136"/>
      <c r="Q112" s="135"/>
    </row>
    <row hidden="true" r="113">
      <c r="A113" s="121">
        <v>46286</v>
      </c>
      <c r="B113" s="122" t="s">
        <v>150</v>
      </c>
      <c r="C113" s="156" t="s">
        <v>145</v>
      </c>
      <c r="D113" s="155">
        <v>5</v>
      </c>
      <c r="E113" s="140">
        <v>31</v>
      </c>
      <c r="F113" s="140">
        <v>25</v>
      </c>
      <c r="G113" s="140">
        <v>17</v>
      </c>
      <c r="H113" s="140">
        <v>18</v>
      </c>
      <c r="I113" s="140">
        <v>2</v>
      </c>
      <c r="J113" s="140">
        <v>21579.200000000004</v>
      </c>
      <c r="K113" s="140">
        <v>13645.550000000001</v>
      </c>
      <c r="L113" s="141">
        <f t="shared" si="1"/>
      </c>
      <c r="M113" s="142">
        <f t="shared" si="4"/>
      </c>
      <c r="N113" s="143">
        <f t="shared" si="2"/>
      </c>
      <c r="O113" s="144" t="s">
        <v>146</v>
      </c>
      <c r="P113" s="144">
        <v>10</v>
      </c>
      <c r="Q113" s="145"/>
    </row>
    <row hidden="true" r="114">
      <c r="A114" s="146">
        <v>46286</v>
      </c>
      <c r="B114" s="152"/>
      <c r="C114" s="147"/>
      <c r="D114" s="147">
        <f>SUM(D110:D113)</f>
      </c>
      <c r="E114" s="147">
        <f>SUM(E110:E113)</f>
      </c>
      <c r="F114" s="147">
        <f>SUM(F110:F113)</f>
      </c>
      <c r="G114" s="147">
        <f>SUM(G110:G113)</f>
      </c>
      <c r="H114" s="147">
        <f>SUM(H110:H113)</f>
      </c>
      <c r="I114" s="147">
        <f>SUM(I110:I113)</f>
      </c>
      <c r="J114" s="147">
        <f>SUM(J110:J113)</f>
      </c>
      <c r="K114" s="147">
        <f>SUM(K110:K113)</f>
      </c>
      <c r="L114" s="148">
        <f t="shared" si="1"/>
      </c>
      <c r="M114" s="148">
        <f t="shared" si="4"/>
      </c>
      <c r="N114" s="148">
        <f t="shared" si="2"/>
      </c>
      <c r="O114" s="147"/>
      <c r="P114" s="147">
        <f>SUM(P110:P113)</f>
      </c>
      <c r="Q114" s="147"/>
      <c r="R114" s="149"/>
    </row>
    <row hidden="true" r="115">
      <c r="A115" s="121">
        <v>46287</v>
      </c>
      <c r="B115" s="122" t="s">
        <v>142</v>
      </c>
      <c r="C115" s="153" t="s">
        <v>138</v>
      </c>
      <c r="D115" s="154">
        <v>5</v>
      </c>
      <c r="E115" s="122">
        <v>64</v>
      </c>
      <c r="F115" s="125">
        <v>47</v>
      </c>
      <c r="G115" s="126">
        <v>32</v>
      </c>
      <c r="H115" s="126">
        <v>30</v>
      </c>
      <c r="I115" s="126">
        <v>6</v>
      </c>
      <c r="J115" s="126">
        <v>54965.30000000001</v>
      </c>
      <c r="K115" s="126">
        <v>29602.12</v>
      </c>
      <c r="L115" s="127">
        <f t="shared" si="1"/>
      </c>
      <c r="M115" s="128">
        <f t="shared" si="4"/>
      </c>
      <c r="N115" s="129">
        <f t="shared" si="2"/>
      </c>
      <c r="O115" s="122" t="s">
        <v>139</v>
      </c>
      <c r="P115" s="122">
        <v>10</v>
      </c>
      <c r="Q115" s="130"/>
    </row>
    <row hidden="true" r="116">
      <c r="A116" s="121">
        <v>46287</v>
      </c>
      <c r="B116" s="122" t="s">
        <v>137</v>
      </c>
      <c r="C116" s="153" t="s">
        <v>141</v>
      </c>
      <c r="D116" s="155">
        <v>5</v>
      </c>
      <c r="E116" s="126">
        <v>23</v>
      </c>
      <c r="F116" s="126">
        <v>16</v>
      </c>
      <c r="G116" s="126">
        <v>15</v>
      </c>
      <c r="H116" s="126">
        <v>9</v>
      </c>
      <c r="I116" s="126">
        <v>2</v>
      </c>
      <c r="J116" s="126">
        <v>15649.199999999997</v>
      </c>
      <c r="K116" s="126">
        <v>10930.31</v>
      </c>
      <c r="L116" s="127">
        <f t="shared" si="1"/>
      </c>
      <c r="M116" s="128">
        <f t="shared" si="4"/>
      </c>
      <c r="N116" s="129">
        <f t="shared" si="2"/>
      </c>
      <c r="O116" s="134"/>
      <c r="P116" s="134"/>
      <c r="Q116" s="135"/>
    </row>
    <row hidden="true" r="117">
      <c r="A117" s="121">
        <v>46287</v>
      </c>
      <c r="B117" s="122" t="s">
        <v>144</v>
      </c>
      <c r="C117" s="153" t="s">
        <v>143</v>
      </c>
      <c r="D117" s="154">
        <v>5</v>
      </c>
      <c r="E117" s="126">
        <v>21</v>
      </c>
      <c r="F117" s="126">
        <v>14</v>
      </c>
      <c r="G117" s="126">
        <v>10</v>
      </c>
      <c r="H117" s="126">
        <v>9</v>
      </c>
      <c r="I117" s="126">
        <v>2</v>
      </c>
      <c r="J117" s="126">
        <v>10995.80000000001</v>
      </c>
      <c r="K117" s="126">
        <v>7490.039999999999</v>
      </c>
      <c r="L117" s="127">
        <f t="shared" si="1"/>
      </c>
      <c r="M117" s="128">
        <f t="shared" si="4"/>
      </c>
      <c r="N117" s="129">
        <f t="shared" si="2"/>
      </c>
      <c r="O117" s="136"/>
      <c r="P117" s="136"/>
      <c r="Q117" s="135"/>
    </row>
    <row hidden="true" r="118">
      <c r="A118" s="121">
        <v>46287</v>
      </c>
      <c r="B118" s="122" t="s">
        <v>150</v>
      </c>
      <c r="C118" s="156" t="s">
        <v>145</v>
      </c>
      <c r="D118" s="155">
        <v>5</v>
      </c>
      <c r="E118" s="140">
        <v>27</v>
      </c>
      <c r="F118" s="140">
        <v>14</v>
      </c>
      <c r="G118" s="140">
        <v>12</v>
      </c>
      <c r="H118" s="140">
        <v>10</v>
      </c>
      <c r="I118" s="140">
        <v>0</v>
      </c>
      <c r="J118" s="140">
        <v>12960.799999999996</v>
      </c>
      <c r="K118" s="140">
        <v>12580.63</v>
      </c>
      <c r="L118" s="141">
        <f t="shared" si="1"/>
      </c>
      <c r="M118" s="142">
        <f t="shared" si="4"/>
      </c>
      <c r="N118" s="143">
        <f t="shared" si="2"/>
      </c>
      <c r="O118" s="144" t="s">
        <v>146</v>
      </c>
      <c r="P118" s="144">
        <v>10</v>
      </c>
      <c r="Q118" s="145"/>
    </row>
    <row hidden="true" r="119">
      <c r="A119" s="146">
        <v>46287</v>
      </c>
      <c r="B119" s="152"/>
      <c r="C119" s="147"/>
      <c r="D119" s="147">
        <f>SUM(D115:D118)</f>
      </c>
      <c r="E119" s="147">
        <f>SUM(E115:E118)</f>
      </c>
      <c r="F119" s="147">
        <f>SUM(F115:F118)</f>
      </c>
      <c r="G119" s="147">
        <f>SUM(G115:G118)</f>
      </c>
      <c r="H119" s="147">
        <f>SUM(H115:H118)</f>
      </c>
      <c r="I119" s="147">
        <f>SUM(I115:I118)</f>
      </c>
      <c r="J119" s="147">
        <f>SUM(J115:J118)</f>
      </c>
      <c r="K119" s="147">
        <f>SUM(K115:K118)</f>
      </c>
      <c r="L119" s="148">
        <f t="shared" si="1"/>
      </c>
      <c r="M119" s="148">
        <f t="shared" si="4"/>
      </c>
      <c r="N119" s="148">
        <f t="shared" si="2"/>
      </c>
      <c r="O119" s="147"/>
      <c r="P119" s="147">
        <f>SUM(P115:P118)</f>
      </c>
      <c r="Q119" s="147"/>
      <c r="R119" s="149"/>
    </row>
    <row hidden="true" r="120">
      <c r="A120" s="121">
        <v>46288</v>
      </c>
      <c r="B120" s="122" t="s">
        <v>142</v>
      </c>
      <c r="C120" s="153" t="s">
        <v>138</v>
      </c>
      <c r="D120" s="154">
        <v>5</v>
      </c>
      <c r="E120" s="122">
        <v>33</v>
      </c>
      <c r="F120" s="125">
        <v>29</v>
      </c>
      <c r="G120" s="126">
        <v>20</v>
      </c>
      <c r="H120" s="126">
        <v>14</v>
      </c>
      <c r="I120" s="126">
        <v>6</v>
      </c>
      <c r="J120" s="126">
        <v>26743.9</v>
      </c>
      <c r="K120" s="126">
        <v>16194.82</v>
      </c>
      <c r="L120" s="127">
        <f t="shared" si="1"/>
      </c>
      <c r="M120" s="128">
        <f t="shared" si="4"/>
      </c>
      <c r="N120" s="129">
        <f t="shared" si="2"/>
      </c>
      <c r="O120" s="144" t="s">
        <v>149</v>
      </c>
      <c r="P120" s="122">
        <v>10</v>
      </c>
      <c r="Q120" s="130"/>
    </row>
    <row hidden="true" r="121">
      <c r="A121" s="121">
        <v>46288</v>
      </c>
      <c r="B121" s="122" t="s">
        <v>137</v>
      </c>
      <c r="C121" s="153" t="s">
        <v>153</v>
      </c>
      <c r="D121" s="155">
        <v>4</v>
      </c>
      <c r="E121" s="126">
        <v>16</v>
      </c>
      <c r="F121" s="126">
        <v>12</v>
      </c>
      <c r="G121" s="126">
        <v>9</v>
      </c>
      <c r="H121" s="126">
        <v>7</v>
      </c>
      <c r="I121" s="126">
        <v>1</v>
      </c>
      <c r="J121" s="126">
        <v>11145.999999999996</v>
      </c>
      <c r="K121" s="126">
        <v>9352.36</v>
      </c>
      <c r="L121" s="127">
        <f t="shared" si="1"/>
      </c>
      <c r="M121" s="128">
        <f t="shared" si="4"/>
      </c>
      <c r="N121" s="129">
        <f t="shared" si="2"/>
      </c>
      <c r="O121" s="134"/>
      <c r="P121" s="134"/>
      <c r="Q121" s="135"/>
    </row>
    <row hidden="true" r="122">
      <c r="A122" s="121">
        <v>46288</v>
      </c>
      <c r="B122" s="122" t="s">
        <v>155</v>
      </c>
      <c r="C122" s="153" t="s">
        <v>157</v>
      </c>
      <c r="D122" s="155">
        <v>3</v>
      </c>
      <c r="E122" s="126">
        <v>8</v>
      </c>
      <c r="F122" s="126">
        <v>5</v>
      </c>
      <c r="G122" s="126">
        <v>4</v>
      </c>
      <c r="H122" s="126">
        <v>2</v>
      </c>
      <c r="I122" s="126">
        <v>0</v>
      </c>
      <c r="J122" s="126">
        <v>4352.000000000004</v>
      </c>
      <c r="K122" s="126">
        <v>5641.56</v>
      </c>
      <c r="L122" s="127">
        <f t="shared" si="1"/>
      </c>
      <c r="M122" s="128">
        <f t="shared" si="4"/>
      </c>
      <c r="N122" s="129">
        <f t="shared" si="2"/>
      </c>
      <c r="O122" s="136"/>
      <c r="P122" s="136"/>
      <c r="Q122" s="135"/>
    </row>
    <row hidden="true" r="123">
      <c r="A123" s="121">
        <v>46288</v>
      </c>
      <c r="B123" s="122" t="s">
        <v>147</v>
      </c>
      <c r="C123" s="156" t="s">
        <v>158</v>
      </c>
      <c r="D123" s="131">
        <v>4</v>
      </c>
      <c r="E123" s="140">
        <v>23</v>
      </c>
      <c r="F123" s="140">
        <v>16</v>
      </c>
      <c r="G123" s="140">
        <v>11</v>
      </c>
      <c r="H123" s="140">
        <v>12</v>
      </c>
      <c r="I123" s="140">
        <v>2</v>
      </c>
      <c r="J123" s="140">
        <v>16012.199999999997</v>
      </c>
      <c r="K123" s="140">
        <v>7893.7</v>
      </c>
      <c r="L123" s="141">
        <f t="shared" si="1"/>
      </c>
      <c r="M123" s="142">
        <f t="shared" si="4"/>
      </c>
      <c r="N123" s="143">
        <f t="shared" si="2"/>
      </c>
      <c r="O123" s="144"/>
      <c r="P123" s="144"/>
      <c r="Q123" s="145"/>
    </row>
    <row r="124">
      <c r="A124" s="121">
        <v>46288</v>
      </c>
      <c r="B124" s="122" t="s">
        <v>140</v>
      </c>
      <c r="C124" s="157" t="s">
        <v>160</v>
      </c>
      <c r="D124" s="131">
        <v>4</v>
      </c>
      <c r="E124" s="140">
        <v>47</v>
      </c>
      <c r="F124" s="140">
        <v>34</v>
      </c>
      <c r="G124" s="140">
        <v>26</v>
      </c>
      <c r="H124" s="140">
        <v>16</v>
      </c>
      <c r="I124" s="140">
        <v>3</v>
      </c>
      <c r="J124" s="140">
        <v>35078.600000000006</v>
      </c>
      <c r="K124" s="140">
        <v>13168.24</v>
      </c>
      <c r="L124" s="141">
        <f t="shared" si="1"/>
      </c>
      <c r="M124" s="142">
        <f t="shared" si="4"/>
      </c>
      <c r="N124" s="143">
        <f t="shared" si="2"/>
      </c>
      <c r="O124" s="144" t="s">
        <v>146</v>
      </c>
      <c r="P124" s="144">
        <v>10</v>
      </c>
      <c r="Q124" s="145"/>
    </row>
    <row hidden="true" r="125">
      <c r="A125" s="146">
        <v>46288</v>
      </c>
      <c r="B125" s="152"/>
      <c r="C125" s="147"/>
      <c r="D125" s="147">
        <f>SUM(D120:D124)</f>
      </c>
      <c r="E125" s="147">
        <f>SUM(E120:E124)</f>
      </c>
      <c r="F125" s="147">
        <f>SUM(F120:F124)</f>
      </c>
      <c r="G125" s="147">
        <f>SUM(G120:G124)</f>
      </c>
      <c r="H125" s="147">
        <f>SUM(H120:H124)</f>
      </c>
      <c r="I125" s="147">
        <f>SUM(I120:I124)</f>
      </c>
      <c r="J125" s="147">
        <f>SUM(J120:J124)</f>
      </c>
      <c r="K125" s="147">
        <f>SUM(K120:K124)</f>
      </c>
      <c r="L125" s="148">
        <f t="shared" si="1"/>
      </c>
      <c r="M125" s="148">
        <f t="shared" si="4"/>
      </c>
      <c r="N125" s="148">
        <f t="shared" si="2"/>
      </c>
      <c r="O125" s="147"/>
      <c r="P125" s="147">
        <f>SUM(P120:P124)</f>
      </c>
      <c r="Q125" s="147"/>
    </row>
    <row hidden="true" r="126">
      <c r="A126" s="158">
        <v>46289</v>
      </c>
      <c r="B126" s="122" t="s">
        <v>142</v>
      </c>
      <c r="C126" s="157" t="s">
        <v>138</v>
      </c>
      <c r="D126" s="122">
        <v>5</v>
      </c>
      <c r="E126" s="122">
        <v>50</v>
      </c>
      <c r="F126" s="122">
        <v>40</v>
      </c>
      <c r="G126" s="122">
        <v>32</v>
      </c>
      <c r="H126" s="122">
        <v>23</v>
      </c>
      <c r="I126" s="122">
        <v>3</v>
      </c>
      <c r="J126" s="122">
        <v>46183.44</v>
      </c>
      <c r="K126" s="122">
        <v>24811.94</v>
      </c>
      <c r="L126" s="129">
        <f t="shared" si="1"/>
      </c>
      <c r="M126" s="129">
        <f t="shared" si="4"/>
      </c>
      <c r="N126" s="129">
        <f t="shared" si="2"/>
      </c>
      <c r="O126" s="122" t="s">
        <v>149</v>
      </c>
      <c r="P126" s="122">
        <v>10</v>
      </c>
      <c r="Q126" s="130"/>
    </row>
    <row hidden="true" r="127">
      <c r="A127" s="158">
        <v>46289</v>
      </c>
      <c r="B127" s="122" t="s">
        <v>137</v>
      </c>
      <c r="C127" s="157" t="s">
        <v>153</v>
      </c>
      <c r="D127" s="122">
        <v>4</v>
      </c>
      <c r="E127" s="122">
        <v>33</v>
      </c>
      <c r="F127" s="122">
        <v>22</v>
      </c>
      <c r="G127" s="122">
        <v>15</v>
      </c>
      <c r="H127" s="122">
        <v>14</v>
      </c>
      <c r="I127" s="122">
        <v>1</v>
      </c>
      <c r="J127" s="122">
        <v>16129.600000000002</v>
      </c>
      <c r="K127" s="122">
        <v>14549.25</v>
      </c>
      <c r="L127" s="129">
        <f t="shared" si="1"/>
      </c>
      <c r="M127" s="129">
        <f t="shared" si="4"/>
      </c>
      <c r="N127" s="129">
        <f t="shared" si="2"/>
      </c>
      <c r="O127" s="134"/>
      <c r="P127" s="134"/>
      <c r="Q127" s="135"/>
    </row>
    <row hidden="true" r="128">
      <c r="A128" s="158">
        <v>46289</v>
      </c>
      <c r="B128" s="122" t="s">
        <v>155</v>
      </c>
      <c r="C128" s="157" t="s">
        <v>157</v>
      </c>
      <c r="D128" s="122">
        <v>3</v>
      </c>
      <c r="E128" s="122">
        <v>13</v>
      </c>
      <c r="F128" s="122">
        <v>8</v>
      </c>
      <c r="G128" s="122">
        <v>7</v>
      </c>
      <c r="H128" s="122">
        <v>7</v>
      </c>
      <c r="I128" s="122">
        <v>0</v>
      </c>
      <c r="J128" s="122">
        <v>9526</v>
      </c>
      <c r="K128" s="122">
        <v>7688.39</v>
      </c>
      <c r="L128" s="129">
        <f t="shared" si="1"/>
      </c>
      <c r="M128" s="129">
        <f t="shared" si="4"/>
      </c>
      <c r="N128" s="129">
        <f t="shared" si="2"/>
      </c>
      <c r="O128" s="136"/>
      <c r="P128" s="136"/>
      <c r="Q128" s="135"/>
    </row>
    <row r="129">
      <c r="A129" s="158">
        <v>46289</v>
      </c>
      <c r="B129" s="122" t="s">
        <v>140</v>
      </c>
      <c r="C129" s="157" t="s">
        <v>158</v>
      </c>
      <c r="D129" s="122">
        <v>4</v>
      </c>
      <c r="E129" s="122">
        <v>18</v>
      </c>
      <c r="F129" s="122">
        <v>8</v>
      </c>
      <c r="G129" s="122">
        <v>6</v>
      </c>
      <c r="H129" s="122">
        <v>2</v>
      </c>
      <c r="I129" s="122">
        <v>0</v>
      </c>
      <c r="J129" s="122">
        <v>10922.400000000001</v>
      </c>
      <c r="K129" s="122">
        <v>8820.810000000001</v>
      </c>
      <c r="L129" s="129">
        <f t="shared" si="1"/>
      </c>
      <c r="M129" s="129">
        <f t="shared" si="4"/>
      </c>
      <c r="N129" s="129">
        <f t="shared" si="2"/>
      </c>
      <c r="O129" s="122"/>
      <c r="P129" s="122"/>
      <c r="Q129" s="145"/>
    </row>
    <row hidden="true" r="130">
      <c r="A130" s="158">
        <v>46289</v>
      </c>
      <c r="B130" s="122" t="s">
        <v>144</v>
      </c>
      <c r="C130" s="157" t="s">
        <v>160</v>
      </c>
      <c r="D130" s="122">
        <v>4</v>
      </c>
      <c r="E130" s="122">
        <v>28</v>
      </c>
      <c r="F130" s="122">
        <v>23</v>
      </c>
      <c r="G130" s="122">
        <v>15</v>
      </c>
      <c r="H130" s="122">
        <v>19</v>
      </c>
      <c r="I130" s="122">
        <v>0</v>
      </c>
      <c r="J130" s="122">
        <v>21106.200000000004</v>
      </c>
      <c r="K130" s="122">
        <v>8416.36</v>
      </c>
      <c r="L130" s="129">
        <f t="shared" si="1"/>
      </c>
      <c r="M130" s="129">
        <f t="shared" si="4"/>
      </c>
      <c r="N130" s="129">
        <f t="shared" si="2"/>
      </c>
      <c r="O130" s="122" t="s">
        <v>146</v>
      </c>
      <c r="P130" s="122">
        <v>10</v>
      </c>
      <c r="Q130" s="145"/>
    </row>
    <row hidden="true" r="131">
      <c r="A131" s="146">
        <v>46289</v>
      </c>
      <c r="B131" s="147"/>
      <c r="C131" s="147"/>
      <c r="D131" s="147">
        <f>SUM(D126:D130)</f>
      </c>
      <c r="E131" s="147">
        <f>SUM(E126:E130)</f>
      </c>
      <c r="F131" s="147">
        <f>SUM(F126:F130)</f>
      </c>
      <c r="G131" s="147">
        <f>SUM(G126:G130)</f>
      </c>
      <c r="H131" s="147">
        <f>SUM(H126:H130)</f>
      </c>
      <c r="I131" s="147">
        <f>SUM(I126:I130)</f>
      </c>
      <c r="J131" s="147">
        <f>SUM(J126:J130)</f>
      </c>
      <c r="K131" s="147">
        <f>SUM(K126:K130)</f>
      </c>
      <c r="L131" s="148">
        <f t="shared" si="1"/>
      </c>
      <c r="M131" s="148">
        <f t="shared" si="4"/>
      </c>
      <c r="N131" s="148">
        <f t="shared" si="2"/>
      </c>
      <c r="O131" s="147"/>
      <c r="P131" s="147">
        <f>SUM(P126:P130)</f>
      </c>
      <c r="Q131" s="159"/>
    </row>
    <row hidden="true" r="132">
      <c r="A132" s="158">
        <v>46290</v>
      </c>
      <c r="B132" s="122" t="s">
        <v>137</v>
      </c>
      <c r="C132" s="157" t="s">
        <v>138</v>
      </c>
      <c r="D132" s="122">
        <v>5</v>
      </c>
      <c r="E132" s="122">
        <v>59</v>
      </c>
      <c r="F132" s="122">
        <v>48</v>
      </c>
      <c r="G132" s="122">
        <v>34</v>
      </c>
      <c r="H132" s="122">
        <v>38</v>
      </c>
      <c r="I132" s="122">
        <v>7</v>
      </c>
      <c r="J132" s="122">
        <v>57706.8</v>
      </c>
      <c r="K132" s="122">
        <v>29560.6</v>
      </c>
      <c r="L132" s="129">
        <f t="shared" si="1"/>
      </c>
      <c r="M132" s="129">
        <f t="shared" si="4"/>
      </c>
      <c r="N132" s="129">
        <f t="shared" si="2"/>
      </c>
      <c r="O132" s="122" t="s">
        <v>149</v>
      </c>
      <c r="P132" s="122">
        <v>10</v>
      </c>
      <c r="Q132" s="130"/>
    </row>
    <row r="133">
      <c r="A133" s="158">
        <v>46290</v>
      </c>
      <c r="B133" s="122" t="s">
        <v>140</v>
      </c>
      <c r="C133" s="157" t="s">
        <v>153</v>
      </c>
      <c r="D133" s="122">
        <v>4</v>
      </c>
      <c r="E133" s="122">
        <v>23</v>
      </c>
      <c r="F133" s="122">
        <v>18</v>
      </c>
      <c r="G133" s="122">
        <v>15</v>
      </c>
      <c r="H133" s="122">
        <v>11</v>
      </c>
      <c r="I133" s="122">
        <v>1</v>
      </c>
      <c r="J133" s="122">
        <v>21669.199999999997</v>
      </c>
      <c r="K133" s="122">
        <v>13399.029999999999</v>
      </c>
      <c r="L133" s="129">
        <f t="shared" si="1"/>
      </c>
      <c r="M133" s="129">
        <f t="shared" si="4"/>
      </c>
      <c r="N133" s="129">
        <f t="shared" si="2"/>
      </c>
      <c r="O133" s="134"/>
      <c r="P133" s="134"/>
      <c r="Q133" s="135"/>
    </row>
    <row hidden="true" r="134">
      <c r="A134" s="158">
        <v>46290</v>
      </c>
      <c r="B134" s="122" t="s">
        <v>155</v>
      </c>
      <c r="C134" s="157" t="s">
        <v>157</v>
      </c>
      <c r="D134" s="122">
        <v>3</v>
      </c>
      <c r="E134" s="122">
        <v>25</v>
      </c>
      <c r="F134" s="122">
        <v>18</v>
      </c>
      <c r="G134" s="122">
        <v>15</v>
      </c>
      <c r="H134" s="122">
        <v>6</v>
      </c>
      <c r="I134" s="122">
        <v>2</v>
      </c>
      <c r="J134" s="122">
        <v>27856.799999999996</v>
      </c>
      <c r="K134" s="122">
        <v>12780.6</v>
      </c>
      <c r="L134" s="129">
        <f t="shared" si="1"/>
      </c>
      <c r="M134" s="129">
        <f t="shared" si="4"/>
      </c>
      <c r="N134" s="129">
        <f t="shared" si="2"/>
      </c>
      <c r="O134" s="136"/>
      <c r="P134" s="136"/>
      <c r="Q134" s="135"/>
    </row>
    <row hidden="true" r="135">
      <c r="A135" s="158">
        <v>46290</v>
      </c>
      <c r="B135" s="122" t="s">
        <v>144</v>
      </c>
      <c r="C135" s="157" t="s">
        <v>158</v>
      </c>
      <c r="D135" s="122">
        <v>4</v>
      </c>
      <c r="E135" s="122">
        <v>27</v>
      </c>
      <c r="F135" s="122">
        <v>19</v>
      </c>
      <c r="G135" s="122">
        <v>17</v>
      </c>
      <c r="H135" s="122">
        <v>9</v>
      </c>
      <c r="I135" s="122">
        <v>2</v>
      </c>
      <c r="J135" s="122">
        <v>23792.200000000004</v>
      </c>
      <c r="K135" s="122">
        <v>14658.22</v>
      </c>
      <c r="L135" s="129">
        <f t="shared" si="1"/>
      </c>
      <c r="M135" s="129">
        <f t="shared" si="4"/>
      </c>
      <c r="N135" s="129">
        <f t="shared" si="2"/>
      </c>
      <c r="O135" s="122"/>
      <c r="P135" s="122"/>
      <c r="Q135" s="145"/>
    </row>
    <row hidden="true" r="136">
      <c r="A136" s="158">
        <v>46290</v>
      </c>
      <c r="B136" s="122" t="s">
        <v>150</v>
      </c>
      <c r="C136" s="157" t="s">
        <v>160</v>
      </c>
      <c r="D136" s="122">
        <v>4</v>
      </c>
      <c r="E136" s="122">
        <v>36</v>
      </c>
      <c r="F136" s="122">
        <v>23</v>
      </c>
      <c r="G136" s="122">
        <v>15</v>
      </c>
      <c r="H136" s="122">
        <v>16</v>
      </c>
      <c r="I136" s="122">
        <v>4</v>
      </c>
      <c r="J136" s="122">
        <v>27412.19999999999</v>
      </c>
      <c r="K136" s="122">
        <v>13834.790000000003</v>
      </c>
      <c r="L136" s="129">
        <f t="shared" si="1"/>
      </c>
      <c r="M136" s="129">
        <f t="shared" si="4"/>
      </c>
      <c r="N136" s="129">
        <f t="shared" si="2"/>
      </c>
      <c r="O136" s="122" t="s">
        <v>146</v>
      </c>
      <c r="P136" s="122">
        <v>10</v>
      </c>
      <c r="Q136" s="145"/>
    </row>
    <row hidden="true" r="137">
      <c r="A137" s="146">
        <v>46290</v>
      </c>
      <c r="B137" s="147"/>
      <c r="C137" s="147"/>
      <c r="D137" s="147">
        <f>SUM(D132:D136)</f>
      </c>
      <c r="E137" s="147">
        <f>SUM(E132:E136)</f>
      </c>
      <c r="F137" s="147">
        <f>SUM(F132:F136)</f>
      </c>
      <c r="G137" s="147">
        <f>SUM(G132:G136)</f>
      </c>
      <c r="H137" s="147">
        <f>SUM(H132:H136)</f>
      </c>
      <c r="I137" s="147">
        <f>SUM(I132:I136)</f>
      </c>
      <c r="J137" s="147">
        <f>SUM(J132:J136)</f>
      </c>
      <c r="K137" s="147">
        <f>SUM(K132:K136)</f>
      </c>
      <c r="L137" s="148">
        <f t="shared" si="1"/>
      </c>
      <c r="M137" s="148">
        <f t="shared" si="4"/>
      </c>
      <c r="N137" s="148">
        <f t="shared" si="2"/>
      </c>
      <c r="O137" s="147"/>
      <c r="P137" s="147">
        <f>SUM(P132:P136)</f>
      </c>
      <c r="Q137" s="159"/>
    </row>
    <row r="138">
      <c r="A138" s="121">
        <v>46291</v>
      </c>
      <c r="B138" s="122" t="s">
        <v>140</v>
      </c>
      <c r="C138" s="153" t="s">
        <v>138</v>
      </c>
      <c r="D138" s="154">
        <v>5</v>
      </c>
      <c r="E138" s="122">
        <v>42</v>
      </c>
      <c r="F138" s="125">
        <v>25</v>
      </c>
      <c r="G138" s="126">
        <v>16</v>
      </c>
      <c r="H138" s="126">
        <v>19</v>
      </c>
      <c r="I138" s="126">
        <v>1</v>
      </c>
      <c r="J138" s="126">
        <v>28399</v>
      </c>
      <c r="K138" s="126">
        <v>17089.84</v>
      </c>
      <c r="L138" s="127">
        <f t="shared" si="1"/>
      </c>
      <c r="M138" s="128">
        <f t="shared" si="4"/>
      </c>
      <c r="N138" s="129">
        <f t="shared" si="2"/>
      </c>
      <c r="O138" s="122" t="s">
        <v>139</v>
      </c>
      <c r="P138" s="122">
        <v>10</v>
      </c>
      <c r="Q138" s="130"/>
    </row>
    <row hidden="true" r="139">
      <c r="A139" s="121">
        <v>46291</v>
      </c>
      <c r="B139" s="122" t="s">
        <v>144</v>
      </c>
      <c r="C139" s="153" t="s">
        <v>141</v>
      </c>
      <c r="D139" s="155">
        <v>5</v>
      </c>
      <c r="E139" s="126">
        <v>8</v>
      </c>
      <c r="F139" s="126">
        <v>7</v>
      </c>
      <c r="G139" s="126">
        <v>4</v>
      </c>
      <c r="H139" s="126">
        <v>2</v>
      </c>
      <c r="I139" s="126">
        <v>2</v>
      </c>
      <c r="J139" s="126">
        <v>8398.800000000001</v>
      </c>
      <c r="K139" s="126">
        <v>8261.36</v>
      </c>
      <c r="L139" s="127">
        <f t="shared" si="1"/>
      </c>
      <c r="M139" s="128">
        <f t="shared" si="4"/>
      </c>
      <c r="N139" s="129">
        <f t="shared" si="2"/>
      </c>
      <c r="O139" s="134"/>
      <c r="P139" s="134"/>
      <c r="Q139" s="135"/>
    </row>
    <row hidden="true" r="140">
      <c r="A140" s="121">
        <v>46291</v>
      </c>
      <c r="B140" s="122" t="s">
        <v>147</v>
      </c>
      <c r="C140" s="153" t="s">
        <v>143</v>
      </c>
      <c r="D140" s="154">
        <v>5</v>
      </c>
      <c r="E140" s="126">
        <v>21</v>
      </c>
      <c r="F140" s="126">
        <v>12</v>
      </c>
      <c r="G140" s="126">
        <v>9</v>
      </c>
      <c r="H140" s="126">
        <v>9</v>
      </c>
      <c r="I140" s="126">
        <v>1</v>
      </c>
      <c r="J140" s="126">
        <v>12631.200000000004</v>
      </c>
      <c r="K140" s="126">
        <v>7296.09</v>
      </c>
      <c r="L140" s="127">
        <f t="shared" si="1"/>
      </c>
      <c r="M140" s="128">
        <f t="shared" si="4"/>
      </c>
      <c r="N140" s="129">
        <f t="shared" si="2"/>
      </c>
      <c r="O140" s="136"/>
      <c r="P140" s="136"/>
      <c r="Q140" s="135"/>
    </row>
    <row hidden="true" r="141">
      <c r="A141" s="121">
        <v>46291</v>
      </c>
      <c r="B141" s="122" t="s">
        <v>150</v>
      </c>
      <c r="C141" s="156" t="s">
        <v>145</v>
      </c>
      <c r="D141" s="155">
        <v>5</v>
      </c>
      <c r="E141" s="140">
        <v>40</v>
      </c>
      <c r="F141" s="140">
        <v>28</v>
      </c>
      <c r="G141" s="140">
        <v>14</v>
      </c>
      <c r="H141" s="140">
        <v>17</v>
      </c>
      <c r="I141" s="140">
        <v>3</v>
      </c>
      <c r="J141" s="140">
        <v>37618</v>
      </c>
      <c r="K141" s="140">
        <v>13585.25</v>
      </c>
      <c r="L141" s="141">
        <f t="shared" si="1"/>
      </c>
      <c r="M141" s="142">
        <f t="shared" si="4"/>
      </c>
      <c r="N141" s="143">
        <f t="shared" si="2"/>
      </c>
      <c r="O141" s="144" t="s">
        <v>146</v>
      </c>
      <c r="P141" s="144">
        <v>10</v>
      </c>
      <c r="Q141" s="145"/>
    </row>
    <row hidden="true" r="142">
      <c r="A142" s="146">
        <v>46291</v>
      </c>
      <c r="B142" s="152"/>
      <c r="C142" s="147"/>
      <c r="D142" s="147">
        <f>SUM(D138:D141)</f>
      </c>
      <c r="E142" s="147">
        <f>SUM(E138:E141)</f>
      </c>
      <c r="F142" s="147">
        <f>SUM(F138:F141)</f>
      </c>
      <c r="G142" s="147">
        <f>SUM(G138:G141)</f>
      </c>
      <c r="H142" s="147">
        <f>SUM(H138:H141)</f>
      </c>
      <c r="I142" s="147">
        <f>SUM(I138:I141)</f>
      </c>
      <c r="J142" s="147">
        <f>SUM(J138:J141)</f>
      </c>
      <c r="K142" s="147">
        <f>SUM(K138:K141)</f>
      </c>
      <c r="L142" s="148">
        <f t="shared" si="1"/>
      </c>
      <c r="M142" s="148">
        <f t="shared" si="4"/>
      </c>
      <c r="N142" s="148">
        <f t="shared" si="2"/>
      </c>
      <c r="O142" s="147"/>
      <c r="P142" s="147">
        <f>SUM(P138:P141)</f>
      </c>
      <c r="Q142" s="147"/>
      <c r="R142" s="149"/>
    </row>
    <row hidden="true" r="143">
      <c r="A143" s="158">
        <v>46292</v>
      </c>
      <c r="B143" s="122" t="s">
        <v>142</v>
      </c>
      <c r="C143" s="157" t="s">
        <v>138</v>
      </c>
      <c r="D143" s="122">
        <v>5</v>
      </c>
      <c r="E143" s="122">
        <v>31</v>
      </c>
      <c r="F143" s="122">
        <v>24</v>
      </c>
      <c r="G143" s="122">
        <v>16</v>
      </c>
      <c r="H143" s="122">
        <v>12</v>
      </c>
      <c r="I143" s="122">
        <v>3</v>
      </c>
      <c r="J143" s="122">
        <v>29211.600000000006</v>
      </c>
      <c r="K143" s="122">
        <v>17183.25</v>
      </c>
      <c r="L143" s="129">
        <f t="shared" si="1"/>
      </c>
      <c r="M143" s="129">
        <f t="shared" si="4"/>
      </c>
      <c r="N143" s="129">
        <f t="shared" si="2"/>
      </c>
      <c r="O143" s="122" t="s">
        <v>139</v>
      </c>
      <c r="P143" s="122">
        <v>10</v>
      </c>
      <c r="Q143" s="130"/>
    </row>
    <row r="144">
      <c r="A144" s="158">
        <v>46292</v>
      </c>
      <c r="B144" s="122" t="s">
        <v>140</v>
      </c>
      <c r="C144" s="157" t="s">
        <v>153</v>
      </c>
      <c r="D144" s="122">
        <v>4</v>
      </c>
      <c r="E144" s="122">
        <v>16</v>
      </c>
      <c r="F144" s="122">
        <v>10</v>
      </c>
      <c r="G144" s="122">
        <v>13</v>
      </c>
      <c r="H144" s="122">
        <v>5</v>
      </c>
      <c r="I144" s="122">
        <v>0</v>
      </c>
      <c r="J144" s="122">
        <v>11522</v>
      </c>
      <c r="K144" s="122">
        <v>12619.2</v>
      </c>
      <c r="L144" s="129">
        <f t="shared" si="1"/>
      </c>
      <c r="M144" s="129">
        <f t="shared" si="4"/>
      </c>
      <c r="N144" s="129">
        <f t="shared" si="2"/>
      </c>
      <c r="O144" s="134"/>
      <c r="P144" s="134"/>
      <c r="Q144" s="135"/>
    </row>
    <row hidden="true" r="145">
      <c r="A145" s="158">
        <v>46292</v>
      </c>
      <c r="B145" s="122" t="s">
        <v>155</v>
      </c>
      <c r="C145" s="157" t="s">
        <v>157</v>
      </c>
      <c r="D145" s="122">
        <v>3</v>
      </c>
      <c r="E145" s="122">
        <v>10</v>
      </c>
      <c r="F145" s="122">
        <v>9</v>
      </c>
      <c r="G145" s="122">
        <v>7</v>
      </c>
      <c r="H145" s="122">
        <v>5</v>
      </c>
      <c r="I145" s="122">
        <v>1</v>
      </c>
      <c r="J145" s="122">
        <v>11373</v>
      </c>
      <c r="K145" s="122">
        <v>6754.290000000001</v>
      </c>
      <c r="L145" s="129">
        <f t="shared" si="1"/>
      </c>
      <c r="M145" s="129">
        <f t="shared" si="4"/>
      </c>
      <c r="N145" s="129">
        <f t="shared" si="2"/>
      </c>
      <c r="O145" s="136"/>
      <c r="P145" s="136"/>
      <c r="Q145" s="135"/>
    </row>
    <row hidden="true" r="146">
      <c r="A146" s="158">
        <v>46292</v>
      </c>
      <c r="B146" s="122" t="s">
        <v>144</v>
      </c>
      <c r="C146" s="157" t="s">
        <v>158</v>
      </c>
      <c r="D146" s="122">
        <v>4</v>
      </c>
      <c r="E146" s="122">
        <v>17</v>
      </c>
      <c r="F146" s="122">
        <v>12</v>
      </c>
      <c r="G146" s="122">
        <v>4</v>
      </c>
      <c r="H146" s="122">
        <v>10</v>
      </c>
      <c r="I146" s="122">
        <v>0</v>
      </c>
      <c r="J146" s="122">
        <v>9405.599999999999</v>
      </c>
      <c r="K146" s="122">
        <v>5434.129999999999</v>
      </c>
      <c r="L146" s="129">
        <f t="shared" si="1"/>
      </c>
      <c r="M146" s="129">
        <f t="shared" si="4"/>
      </c>
      <c r="N146" s="129">
        <f t="shared" si="2"/>
      </c>
      <c r="O146" s="122"/>
      <c r="P146" s="122"/>
      <c r="Q146" s="145"/>
    </row>
    <row hidden="true" r="147">
      <c r="A147" s="158">
        <v>46292</v>
      </c>
      <c r="B147" s="122" t="s">
        <v>150</v>
      </c>
      <c r="C147" s="157" t="s">
        <v>160</v>
      </c>
      <c r="D147" s="122">
        <v>4</v>
      </c>
      <c r="E147" s="122">
        <v>22</v>
      </c>
      <c r="F147" s="122">
        <v>16</v>
      </c>
      <c r="G147" s="122">
        <v>12</v>
      </c>
      <c r="H147" s="122">
        <v>10</v>
      </c>
      <c r="I147" s="122">
        <v>0</v>
      </c>
      <c r="J147" s="122">
        <v>15069.199999999997</v>
      </c>
      <c r="K147" s="122">
        <v>8392.66</v>
      </c>
      <c r="L147" s="129">
        <f t="shared" si="1"/>
      </c>
      <c r="M147" s="129">
        <f t="shared" si="4"/>
      </c>
      <c r="N147" s="129">
        <f t="shared" si="2"/>
      </c>
      <c r="O147" s="122" t="s">
        <v>146</v>
      </c>
      <c r="P147" s="122">
        <v>10</v>
      </c>
      <c r="Q147" s="145"/>
    </row>
    <row hidden="true" r="148">
      <c r="A148" s="146">
        <v>46292</v>
      </c>
      <c r="B148" s="147"/>
      <c r="C148" s="147"/>
      <c r="D148" s="147">
        <f>SUM(D143:D147)</f>
      </c>
      <c r="E148" s="147">
        <f>SUM(E143:E147)</f>
      </c>
      <c r="F148" s="147">
        <f>SUM(F143:F147)</f>
      </c>
      <c r="G148" s="147">
        <f>SUM(G143:G147)</f>
      </c>
      <c r="H148" s="147">
        <f>SUM(H143:H147)</f>
      </c>
      <c r="I148" s="147">
        <f>SUM(I143:I147)</f>
      </c>
      <c r="J148" s="147">
        <f>SUM(J143:J147)</f>
      </c>
      <c r="K148" s="147">
        <f>SUM(K143:K147)</f>
      </c>
      <c r="L148" s="148">
        <f t="shared" si="1"/>
      </c>
      <c r="M148" s="148">
        <f t="shared" si="4"/>
      </c>
      <c r="N148" s="148">
        <f t="shared" si="2"/>
      </c>
      <c r="O148" s="147"/>
      <c r="P148" s="147">
        <f>SUM(P143:P147)</f>
      </c>
      <c r="Q148" s="159"/>
    </row>
    <row hidden="true" r="149">
      <c r="A149" s="121">
        <v>46293</v>
      </c>
      <c r="B149" s="122" t="s">
        <v>142</v>
      </c>
      <c r="C149" s="153" t="s">
        <v>138</v>
      </c>
      <c r="D149" s="154">
        <v>5</v>
      </c>
      <c r="E149" s="122">
        <v>51</v>
      </c>
      <c r="F149" s="125">
        <v>39</v>
      </c>
      <c r="G149" s="126">
        <v>29</v>
      </c>
      <c r="H149" s="126">
        <v>25</v>
      </c>
      <c r="I149" s="126">
        <v>6</v>
      </c>
      <c r="J149" s="126">
        <v>40727.4</v>
      </c>
      <c r="K149" s="126">
        <v>24257.92</v>
      </c>
      <c r="L149" s="127">
        <f t="shared" si="1"/>
      </c>
      <c r="M149" s="128">
        <f t="shared" si="4"/>
      </c>
      <c r="N149" s="129">
        <f t="shared" si="2"/>
      </c>
      <c r="O149" s="122" t="s">
        <v>139</v>
      </c>
      <c r="P149" s="122">
        <v>10</v>
      </c>
      <c r="Q149" s="130"/>
    </row>
    <row hidden="true" r="150">
      <c r="A150" s="121">
        <v>46293</v>
      </c>
      <c r="B150" s="122" t="s">
        <v>137</v>
      </c>
      <c r="C150" s="153" t="s">
        <v>141</v>
      </c>
      <c r="D150" s="155">
        <v>5</v>
      </c>
      <c r="E150" s="126">
        <v>33</v>
      </c>
      <c r="F150" s="126">
        <v>25</v>
      </c>
      <c r="G150" s="126">
        <v>14</v>
      </c>
      <c r="H150" s="126">
        <v>18</v>
      </c>
      <c r="I150" s="126">
        <v>6</v>
      </c>
      <c r="J150" s="126">
        <v>24158.8</v>
      </c>
      <c r="K150" s="126">
        <v>13248.72</v>
      </c>
      <c r="L150" s="127">
        <f t="shared" si="1"/>
      </c>
      <c r="M150" s="128">
        <f t="shared" si="4"/>
      </c>
      <c r="N150" s="129">
        <f t="shared" si="2"/>
      </c>
      <c r="O150" s="134"/>
      <c r="P150" s="134"/>
      <c r="Q150" s="135"/>
    </row>
    <row hidden="true" r="151">
      <c r="A151" s="121">
        <v>46293</v>
      </c>
      <c r="B151" s="122" t="s">
        <v>147</v>
      </c>
      <c r="C151" s="153" t="s">
        <v>143</v>
      </c>
      <c r="D151" s="160">
        <f>5-0.25</f>
      </c>
      <c r="E151" s="126">
        <v>41</v>
      </c>
      <c r="F151" s="126">
        <v>24</v>
      </c>
      <c r="G151" s="126">
        <v>16</v>
      </c>
      <c r="H151" s="126">
        <v>20</v>
      </c>
      <c r="I151" s="126">
        <v>2</v>
      </c>
      <c r="J151" s="126">
        <v>24386.6</v>
      </c>
      <c r="K151" s="126">
        <v>12351.75</v>
      </c>
      <c r="L151" s="127">
        <f t="shared" si="1"/>
      </c>
      <c r="M151" s="128">
        <f t="shared" si="4"/>
      </c>
      <c r="N151" s="129">
        <f t="shared" si="2"/>
      </c>
      <c r="O151" s="136"/>
      <c r="P151" s="136"/>
      <c r="Q151" s="135"/>
    </row>
    <row hidden="true" r="152">
      <c r="A152" s="121">
        <v>46293</v>
      </c>
      <c r="B152" s="122" t="s">
        <v>150</v>
      </c>
      <c r="C152" s="156" t="s">
        <v>145</v>
      </c>
      <c r="D152" s="155">
        <v>5</v>
      </c>
      <c r="E152" s="140">
        <v>45</v>
      </c>
      <c r="F152" s="140">
        <v>34</v>
      </c>
      <c r="G152" s="140">
        <v>26</v>
      </c>
      <c r="H152" s="140">
        <v>24</v>
      </c>
      <c r="I152" s="140">
        <v>1</v>
      </c>
      <c r="J152" s="140">
        <v>32013.600000000006</v>
      </c>
      <c r="K152" s="140">
        <v>19226.48</v>
      </c>
      <c r="L152" s="141">
        <f t="shared" si="1"/>
      </c>
      <c r="M152" s="142">
        <f t="shared" si="4"/>
      </c>
      <c r="N152" s="143">
        <f t="shared" si="2"/>
      </c>
      <c r="O152" s="144" t="s">
        <v>146</v>
      </c>
      <c r="P152" s="144">
        <v>10</v>
      </c>
      <c r="Q152" s="145"/>
    </row>
    <row hidden="true" r="153">
      <c r="A153" s="146">
        <v>46293</v>
      </c>
      <c r="B153" s="152"/>
      <c r="C153" s="147"/>
      <c r="D153" s="147">
        <f>SUM(D149:D152)</f>
      </c>
      <c r="E153" s="147">
        <f>SUM(E149:E152)</f>
      </c>
      <c r="F153" s="147">
        <f>SUM(F149:F152)</f>
      </c>
      <c r="G153" s="147">
        <f>SUM(G149:G152)</f>
      </c>
      <c r="H153" s="147">
        <f>SUM(H149:H152)</f>
      </c>
      <c r="I153" s="147">
        <f>SUM(I149:I152)</f>
      </c>
      <c r="J153" s="147">
        <f>SUM(J149:J152)</f>
      </c>
      <c r="K153" s="147">
        <f>SUM(K149:K152)</f>
      </c>
      <c r="L153" s="148">
        <f t="shared" si="1"/>
      </c>
      <c r="M153" s="148">
        <f t="shared" si="4"/>
      </c>
      <c r="N153" s="148">
        <f t="shared" si="2"/>
      </c>
      <c r="O153" s="147"/>
      <c r="P153" s="147">
        <f>SUM(P149:P152)</f>
      </c>
      <c r="Q153" s="147"/>
      <c r="R153" s="149"/>
    </row>
    <row hidden="true" r="154">
      <c r="A154" s="121">
        <v>46294</v>
      </c>
      <c r="B154" s="122" t="s">
        <v>142</v>
      </c>
      <c r="C154" s="153" t="s">
        <v>138</v>
      </c>
      <c r="D154" s="154">
        <v>5</v>
      </c>
      <c r="E154" s="122">
        <v>42</v>
      </c>
      <c r="F154" s="125">
        <v>34</v>
      </c>
      <c r="G154" s="126">
        <v>24</v>
      </c>
      <c r="H154" s="126">
        <v>23</v>
      </c>
      <c r="I154" s="126">
        <v>4</v>
      </c>
      <c r="J154" s="126">
        <v>29092.400000000005</v>
      </c>
      <c r="K154" s="126">
        <v>18860.690000000002</v>
      </c>
      <c r="L154" s="127">
        <f t="shared" si="1"/>
      </c>
      <c r="M154" s="128">
        <f t="shared" si="4"/>
      </c>
      <c r="N154" s="129">
        <f t="shared" si="2"/>
      </c>
      <c r="O154" s="122" t="s">
        <v>139</v>
      </c>
      <c r="P154" s="122">
        <v>10</v>
      </c>
      <c r="Q154" s="130"/>
    </row>
    <row r="155">
      <c r="A155" s="121">
        <v>46294</v>
      </c>
      <c r="B155" s="122" t="s">
        <v>140</v>
      </c>
      <c r="C155" s="153" t="s">
        <v>141</v>
      </c>
      <c r="D155" s="155">
        <v>5</v>
      </c>
      <c r="E155" s="126">
        <v>32</v>
      </c>
      <c r="F155" s="126">
        <v>21</v>
      </c>
      <c r="G155" s="126">
        <v>20</v>
      </c>
      <c r="H155" s="126">
        <v>16</v>
      </c>
      <c r="I155" s="126">
        <v>1</v>
      </c>
      <c r="J155" s="126">
        <v>22688.199999999997</v>
      </c>
      <c r="K155" s="126">
        <v>18740.670000000002</v>
      </c>
      <c r="L155" s="127">
        <f t="shared" si="1"/>
      </c>
      <c r="M155" s="128">
        <f t="shared" si="4"/>
      </c>
      <c r="N155" s="129">
        <f t="shared" si="2"/>
      </c>
      <c r="O155" s="134"/>
      <c r="P155" s="134"/>
      <c r="Q155" s="135"/>
    </row>
    <row hidden="true" r="156">
      <c r="A156" s="121">
        <v>46294</v>
      </c>
      <c r="B156" s="122" t="s">
        <v>144</v>
      </c>
      <c r="C156" s="153" t="s">
        <v>143</v>
      </c>
      <c r="D156" s="154">
        <v>5</v>
      </c>
      <c r="E156" s="126">
        <v>38</v>
      </c>
      <c r="F156" s="126">
        <v>23</v>
      </c>
      <c r="G156" s="126">
        <v>20</v>
      </c>
      <c r="H156" s="126">
        <v>14</v>
      </c>
      <c r="I156" s="126">
        <v>1</v>
      </c>
      <c r="J156" s="126">
        <v>22433.800000000003</v>
      </c>
      <c r="K156" s="126">
        <v>17197.050000000003</v>
      </c>
      <c r="L156" s="127">
        <f t="shared" si="1"/>
      </c>
      <c r="M156" s="128">
        <f t="shared" si="4"/>
      </c>
      <c r="N156" s="129">
        <f t="shared" si="2"/>
      </c>
      <c r="O156" s="136"/>
      <c r="P156" s="136"/>
      <c r="Q156" s="135"/>
    </row>
    <row hidden="true" r="157">
      <c r="A157" s="121">
        <v>46294</v>
      </c>
      <c r="B157" s="122" t="s">
        <v>150</v>
      </c>
      <c r="C157" s="156" t="s">
        <v>145</v>
      </c>
      <c r="D157" s="155">
        <v>5</v>
      </c>
      <c r="E157" s="140">
        <v>30</v>
      </c>
      <c r="F157" s="140">
        <v>17</v>
      </c>
      <c r="G157" s="140">
        <v>17</v>
      </c>
      <c r="H157" s="140">
        <v>6</v>
      </c>
      <c r="I157" s="140">
        <v>1</v>
      </c>
      <c r="J157" s="140">
        <v>27423.999999999993</v>
      </c>
      <c r="K157" s="140">
        <v>15251.09</v>
      </c>
      <c r="L157" s="141">
        <f t="shared" si="1"/>
      </c>
      <c r="M157" s="142">
        <f t="shared" si="4"/>
      </c>
      <c r="N157" s="143">
        <f t="shared" si="2"/>
      </c>
      <c r="O157" s="144" t="s">
        <v>146</v>
      </c>
      <c r="P157" s="144">
        <v>10</v>
      </c>
      <c r="Q157" s="145"/>
    </row>
    <row hidden="true" r="158">
      <c r="A158" s="146">
        <v>46294</v>
      </c>
      <c r="B158" s="152"/>
      <c r="C158" s="147"/>
      <c r="D158" s="147">
        <f>SUM(D154:D157)</f>
      </c>
      <c r="E158" s="147">
        <f>SUM(E154:E157)</f>
      </c>
      <c r="F158" s="147">
        <f>SUM(F154:F157)</f>
      </c>
      <c r="G158" s="147">
        <f>SUM(G154:G157)</f>
      </c>
      <c r="H158" s="147">
        <f>SUM(H154:H157)</f>
      </c>
      <c r="I158" s="147">
        <f>SUM(I154:I157)</f>
      </c>
      <c r="J158" s="147">
        <f>SUM(J154:J157)</f>
      </c>
      <c r="K158" s="147">
        <f>SUM(K154:K157)</f>
      </c>
      <c r="L158" s="148">
        <f t="shared" si="1"/>
      </c>
      <c r="M158" s="148">
        <f t="shared" si="4"/>
      </c>
      <c r="N158" s="148">
        <f t="shared" si="2"/>
      </c>
      <c r="O158" s="147"/>
      <c r="P158" s="147">
        <f>SUM(P154:P157)</f>
      </c>
      <c r="Q158" s="147"/>
      <c r="R158" s="149"/>
    </row>
    <row customHeight="true" hidden="true" ht="16.071428571428573" r="159">
      <c r="A159" s="121">
        <v>46295</v>
      </c>
      <c r="B159" s="122" t="s">
        <v>142</v>
      </c>
      <c r="C159" s="153" t="s">
        <v>138</v>
      </c>
      <c r="D159" s="160">
        <f>5-0.75</f>
      </c>
      <c r="E159" s="122">
        <v>38</v>
      </c>
      <c r="F159" s="125">
        <v>19</v>
      </c>
      <c r="G159" s="126">
        <v>16</v>
      </c>
      <c r="H159" s="126">
        <v>12</v>
      </c>
      <c r="I159" s="126">
        <v>0</v>
      </c>
      <c r="J159" s="126">
        <v>27387.200000000004</v>
      </c>
      <c r="K159" s="126">
        <v>16151.01</v>
      </c>
      <c r="L159" s="127">
        <f t="shared" si="1"/>
      </c>
      <c r="M159" s="128">
        <f t="shared" si="4"/>
      </c>
      <c r="N159" s="129">
        <f t="shared" si="2"/>
      </c>
      <c r="O159" s="122" t="s">
        <v>139</v>
      </c>
      <c r="P159" s="122">
        <v>10</v>
      </c>
      <c r="Q159" s="130"/>
    </row>
    <row customHeight="true" hidden="true" ht="16.071428571428573" r="160">
      <c r="A160" s="121">
        <v>46295</v>
      </c>
      <c r="B160" s="122" t="s">
        <v>137</v>
      </c>
      <c r="C160" s="153" t="s">
        <v>141</v>
      </c>
      <c r="D160" s="161">
        <f>5-0.8</f>
      </c>
      <c r="E160" s="126">
        <v>55</v>
      </c>
      <c r="F160" s="126">
        <v>37</v>
      </c>
      <c r="G160" s="126">
        <v>27</v>
      </c>
      <c r="H160" s="126">
        <v>21</v>
      </c>
      <c r="I160" s="126">
        <v>4</v>
      </c>
      <c r="J160" s="126">
        <v>41911.6</v>
      </c>
      <c r="K160" s="126">
        <v>17661.01</v>
      </c>
      <c r="L160" s="127">
        <f t="shared" si="1"/>
      </c>
      <c r="M160" s="128">
        <f t="shared" si="4"/>
      </c>
      <c r="N160" s="129">
        <f t="shared" si="2"/>
      </c>
      <c r="O160" s="134"/>
      <c r="P160" s="134"/>
      <c r="Q160" s="135"/>
    </row>
    <row customHeight="true" hidden="true" ht="16.071428571428573" r="161">
      <c r="A161" s="121">
        <v>46295</v>
      </c>
      <c r="B161" s="122" t="s">
        <v>155</v>
      </c>
      <c r="C161" s="153" t="s">
        <v>143</v>
      </c>
      <c r="D161" s="160">
        <f>5-0.25</f>
      </c>
      <c r="E161" s="126">
        <v>46</v>
      </c>
      <c r="F161" s="126">
        <v>29</v>
      </c>
      <c r="G161" s="126">
        <v>23</v>
      </c>
      <c r="H161" s="126">
        <v>21</v>
      </c>
      <c r="I161" s="126">
        <v>3</v>
      </c>
      <c r="J161" s="126">
        <v>30602</v>
      </c>
      <c r="K161" s="126">
        <v>18261.73</v>
      </c>
      <c r="L161" s="127">
        <f t="shared" si="1"/>
      </c>
      <c r="M161" s="128">
        <f t="shared" si="4"/>
      </c>
      <c r="N161" s="129">
        <f t="shared" si="2"/>
      </c>
      <c r="O161" s="136"/>
      <c r="P161" s="136"/>
      <c r="Q161" s="135"/>
    </row>
    <row customHeight="true" hidden="true" ht="16.071428571428573" r="162">
      <c r="A162" s="121">
        <v>46295</v>
      </c>
      <c r="B162" s="122" t="s">
        <v>150</v>
      </c>
      <c r="C162" s="156" t="s">
        <v>145</v>
      </c>
      <c r="D162" s="155">
        <v>5</v>
      </c>
      <c r="E162" s="140">
        <v>37</v>
      </c>
      <c r="F162" s="140">
        <v>28</v>
      </c>
      <c r="G162" s="140">
        <v>25</v>
      </c>
      <c r="H162" s="140">
        <v>21</v>
      </c>
      <c r="I162" s="140">
        <v>4</v>
      </c>
      <c r="J162" s="140">
        <v>27619.8</v>
      </c>
      <c r="K162" s="140">
        <v>19922.57</v>
      </c>
      <c r="L162" s="141">
        <f t="shared" si="1"/>
      </c>
      <c r="M162" s="142">
        <f t="shared" si="4"/>
      </c>
      <c r="N162" s="143">
        <f t="shared" si="2"/>
      </c>
      <c r="O162" s="144" t="s">
        <v>161</v>
      </c>
      <c r="P162" s="144">
        <v>10</v>
      </c>
      <c r="Q162" s="145"/>
    </row>
    <row customHeight="true" hidden="true" ht="16.071428571428573" r="163">
      <c r="A163" s="146">
        <v>46295</v>
      </c>
      <c r="B163" s="152"/>
      <c r="C163" s="147"/>
      <c r="D163" s="147">
        <f>SUM(D159:D162)</f>
      </c>
      <c r="E163" s="147">
        <f>SUM(E159:E162)</f>
      </c>
      <c r="F163" s="147">
        <f>SUM(F159:F162)</f>
      </c>
      <c r="G163" s="147">
        <f>SUM(G159:G162)</f>
      </c>
      <c r="H163" s="147">
        <f>SUM(H159:H162)</f>
      </c>
      <c r="I163" s="147">
        <f>SUM(I159:I162)</f>
      </c>
      <c r="J163" s="147">
        <f>SUM(J159:J162)</f>
      </c>
      <c r="K163" s="147">
        <f>SUM(K159:K162)</f>
      </c>
      <c r="L163" s="148">
        <f t="shared" si="1"/>
      </c>
      <c r="M163" s="148">
        <f t="shared" si="4"/>
      </c>
      <c r="N163" s="148">
        <f t="shared" si="2"/>
      </c>
      <c r="O163" s="147"/>
      <c r="P163" s="147">
        <f>SUM(P159:P162)</f>
      </c>
      <c r="Q163" s="147"/>
      <c r="R163" s="149"/>
    </row>
    <row r="164"/>
    <row r="165"/>
    <row r="166"/>
    <row r="167">
      <c r="L167" t="s">
        <v>134</v>
      </c>
      <c r="M167" t="s">
        <v>162</v>
      </c>
    </row>
    <row r="168">
      <c r="I168" s="162" t="s">
        <v>163</v>
      </c>
      <c r="J168" s="162" t="s">
        <v>164</v>
      </c>
      <c r="L168" t="s">
        <v>146</v>
      </c>
      <c r="M168">
        <v>180</v>
      </c>
      <c r="N168">
        <v>18</v>
      </c>
    </row>
    <row r="169">
      <c r="I169" s="163">
        <f t="shared" ref="I169:I176" si="0">G169/H169</f>
      </c>
      <c r="J169" s="164">
        <f t="shared" ref="J169:J176" si="3">H169/F169</f>
      </c>
      <c r="L169" t="s">
        <v>159</v>
      </c>
      <c r="M169">
        <v>10</v>
      </c>
    </row>
    <row r="170">
      <c r="I170" s="163">
        <f t="shared" si="0"/>
      </c>
      <c r="J170" s="164">
        <f t="shared" si="3"/>
      </c>
      <c r="L170" t="s">
        <v>152</v>
      </c>
      <c r="M170">
        <v>10</v>
      </c>
    </row>
    <row r="171">
      <c r="I171" s="163">
        <f t="shared" si="0"/>
      </c>
      <c r="J171" s="164">
        <f t="shared" si="3"/>
      </c>
      <c r="L171" t="s">
        <v>148</v>
      </c>
      <c r="M171">
        <v>20</v>
      </c>
      <c r="N171">
        <v>2</v>
      </c>
    </row>
    <row r="172">
      <c r="I172" s="163">
        <f t="shared" si="0"/>
      </c>
      <c r="J172" s="164">
        <f t="shared" si="3"/>
      </c>
      <c r="L172" t="s">
        <v>151</v>
      </c>
      <c r="M172">
        <v>99</v>
      </c>
      <c r="N172">
        <v>10</v>
      </c>
    </row>
    <row r="173">
      <c r="I173" s="163">
        <f t="shared" si="0"/>
      </c>
      <c r="J173" s="164">
        <f t="shared" si="3"/>
      </c>
      <c r="L173" t="s">
        <v>149</v>
      </c>
      <c r="M173">
        <v>40</v>
      </c>
      <c r="N173">
        <v>4</v>
      </c>
    </row>
    <row r="174">
      <c r="I174" s="163">
        <f t="shared" si="0"/>
      </c>
      <c r="J174" s="164">
        <f t="shared" si="3"/>
      </c>
      <c r="L174" t="s">
        <v>139</v>
      </c>
      <c r="M174">
        <v>231</v>
      </c>
      <c r="N174">
        <v>23</v>
      </c>
    </row>
    <row r="175">
      <c r="I175" s="163">
        <f t="shared" si="0"/>
      </c>
      <c r="J175" s="164">
        <f t="shared" si="3"/>
      </c>
      <c r="L175" t="s">
        <v>161</v>
      </c>
      <c r="M175">
        <v>10</v>
      </c>
      <c r="N175">
        <v>1</v>
      </c>
    </row>
    <row r="176">
      <c r="I176" s="163">
        <f t="shared" si="0"/>
      </c>
      <c r="J176" s="164">
        <f t="shared" si="3"/>
      </c>
      <c r="L176" t="s">
        <v>165</v>
      </c>
      <c r="M176">
        <v>600</v>
      </c>
      <c r="N176">
        <f>SUM(N168:N175)</f>
      </c>
    </row>
    <row r="177"/>
    <row r="178"/>
    <row r="179"/>
    <row r="180"/>
    <row r="181"/>
    <row r="182">
      <c r="F182" t="s">
        <v>166</v>
      </c>
      <c r="G182" t="s">
        <v>167</v>
      </c>
      <c r="H182" t="s">
        <v>168</v>
      </c>
    </row>
    <row r="183">
      <c r="D183" s="165" t="s">
        <v>169</v>
      </c>
      <c r="E183" t="s">
        <v>140</v>
      </c>
      <c r="G183">
        <v>8502.8</v>
      </c>
      <c r="H183">
        <v>6328.118</v>
      </c>
    </row>
    <row r="184">
      <c r="E184" t="s">
        <v>155</v>
      </c>
      <c r="G184">
        <v>1414.8000000000002</v>
      </c>
      <c r="H184">
        <v>4531.225</v>
      </c>
    </row>
    <row r="185">
      <c r="E185" t="s">
        <v>144</v>
      </c>
      <c r="G185">
        <v>12585.6</v>
      </c>
      <c r="H185">
        <v>17228.82</v>
      </c>
    </row>
    <row r="186">
      <c r="E186" t="s">
        <v>137</v>
      </c>
      <c r="G186">
        <v>5592</v>
      </c>
      <c r="H186">
        <v>1324.076</v>
      </c>
    </row>
    <row r="187">
      <c r="E187" t="s">
        <v>147</v>
      </c>
      <c r="G187">
        <v>16181.4</v>
      </c>
      <c r="H187">
        <v>10139.995</v>
      </c>
    </row>
    <row r="188">
      <c r="E188" t="s">
        <v>150</v>
      </c>
      <c r="G188">
        <v>27475.2</v>
      </c>
      <c r="H188">
        <v>21283.546</v>
      </c>
    </row>
    <row r="189">
      <c r="E189" t="s">
        <v>140</v>
      </c>
      <c r="F189">
        <v>94</v>
      </c>
      <c r="G189">
        <v>642751.6</v>
      </c>
      <c r="H189">
        <v>355116.57</v>
      </c>
    </row>
    <row customHeight="true" ht="16.071428571428573" r="190">
      <c r="E190" t="s">
        <v>155</v>
      </c>
      <c r="F190">
        <v>39</v>
      </c>
      <c r="G190">
        <v>197099.88000000003</v>
      </c>
      <c r="H190">
        <v>122916.42</v>
      </c>
    </row>
    <row customHeight="true" ht="16.071428571428573" r="191">
      <c r="E191" t="s">
        <v>144</v>
      </c>
      <c r="F191">
        <v>87</v>
      </c>
      <c r="G191">
        <v>443639.5999999999</v>
      </c>
      <c r="H191">
        <v>243896.41000000003</v>
      </c>
    </row>
    <row customHeight="true" ht="16.071428571428573" r="192">
      <c r="E192" t="s">
        <v>137</v>
      </c>
      <c r="F192">
        <v>104</v>
      </c>
      <c r="G192">
        <v>631570.2000000001</v>
      </c>
      <c r="H192">
        <v>351878.24999999994</v>
      </c>
    </row>
    <row customHeight="true" ht="16.071428571428573" r="193">
      <c r="E193" t="s">
        <v>147</v>
      </c>
      <c r="F193">
        <v>64</v>
      </c>
      <c r="G193">
        <v>321619.77999999997</v>
      </c>
      <c r="H193">
        <v>188502.38</v>
      </c>
    </row>
    <row customHeight="true" ht="16.071428571428573" r="194">
      <c r="E194" t="s">
        <v>142</v>
      </c>
      <c r="F194">
        <v>129</v>
      </c>
      <c r="G194">
        <v>1014043.4800000001</v>
      </c>
      <c r="H194">
        <v>535603.76</v>
      </c>
    </row>
    <row customHeight="true" ht="16.071428571428573" r="195">
      <c r="E195" t="s">
        <v>150</v>
      </c>
      <c r="F195">
        <v>83</v>
      </c>
      <c r="G195">
        <v>547311.6000000001</v>
      </c>
      <c r="H195">
        <v>289441.11000000004</v>
      </c>
    </row>
    <row customHeight="true" ht="16.071428571428573" r="196"/>
    <row customHeight="true" ht="16.071428571428573" r="197"/>
    <row customHeight="true" ht="16.071428571428573" r="198"/>
    <row customHeight="true" ht="16.071428571428573" r="199"/>
    <row customHeight="true" ht="16.071428571428573" r="200"/>
    <row customHeight="true" ht="16.071428571428573" r="201"/>
    <row customHeight="true" ht="16.071428571428573" r="202"/>
    <row customHeight="true" ht="16.071428571428573" r="203"/>
    <row customHeight="true" ht="16.071428571428573" r="204"/>
    <row customHeight="true" ht="16.071428571428573" r="205"/>
    <row customHeight="true" ht="16.071428571428573" r="206"/>
    <row customHeight="true" ht="16.071428571428573" r="207"/>
    <row customHeight="true" ht="16.071428571428573" r="208"/>
    <row customHeight="true" ht="16.071428571428573" r="209"/>
    <row customHeight="true" ht="16.071428571428573" r="210"/>
    <row customHeight="true" ht="16.071428571428573" r="211"/>
    <row customHeight="true" ht="16.071428571428573" r="212"/>
    <row customHeight="true" ht="16.071428571428573" r="213"/>
    <row customHeight="true" ht="16.071428571428573" r="214"/>
    <row customHeight="true" ht="16.071428571428573" r="215"/>
    <row customHeight="true" ht="16.071428571428573" r="216"/>
    <row customHeight="true" ht="16.071428571428573" r="217"/>
    <row customHeight="true" ht="16.071428571428573" r="218"/>
    <row customHeight="true" ht="16.071428571428573" r="219"/>
    <row customHeight="true" ht="16.071428571428573" r="220"/>
    <row customHeight="true" ht="16.071428571428573" r="221"/>
    <row customHeight="true" ht="16.071428571428573" r="222"/>
    <row customHeight="true" ht="16.071428571428573" r="223"/>
    <row customHeight="true" ht="16.071428571428573" r="224"/>
    <row customHeight="true" ht="16.071428571428573" r="225"/>
    <row customHeight="true" ht="16.071428571428573" r="226"/>
    <row customHeight="true" ht="16.071428571428573" r="227"/>
    <row customHeight="true" ht="16.071428571428573" r="228"/>
    <row customHeight="true" ht="16.071428571428573" r="229"/>
    <row customHeight="true" ht="16.071428571428573" r="230"/>
    <row customHeight="true" ht="16.071428571428573" r="231"/>
    <row customHeight="true" ht="16.071428571428573" r="232"/>
    <row customHeight="true" ht="16.071428571428573" r="233"/>
    <row customHeight="true" ht="16.071428571428573" r="234"/>
    <row customHeight="true" ht="16.071428571428573" r="235"/>
    <row customHeight="true" ht="16.071428571428573" r="236"/>
    <row customHeight="true" ht="16.071428571428573" r="237"/>
    <row customHeight="true" ht="16.071428571428573" r="238"/>
    <row customHeight="true" ht="16.071428571428573" r="239"/>
    <row customHeight="true" ht="16.071428571428573" r="240"/>
    <row customHeight="true" ht="16.071428571428573" r="241"/>
    <row customHeight="true" ht="16.071428571428573" r="242"/>
    <row customHeight="true" ht="16.071428571428573" r="243"/>
    <row customHeight="true" ht="16.071428571428573" r="244"/>
    <row customHeight="true" ht="16.071428571428573" r="245"/>
    <row customHeight="true" ht="16.071428571428573" r="246"/>
    <row customHeight="true" ht="16.071428571428573" r="247"/>
    <row customHeight="true" ht="16.071428571428573" r="248"/>
    <row customHeight="true" ht="16.071428571428573" r="249"/>
    <row customHeight="true" ht="16.071428571428573" r="250"/>
    <row customHeight="true" ht="16.071428571428573" r="251"/>
    <row customHeight="true" ht="16.071428571428573" r="252"/>
    <row customHeight="true" ht="16.071428571428573" r="253"/>
    <row customHeight="true" ht="16.071428571428573" r="254"/>
    <row customHeight="true" ht="16.071428571428573" r="255"/>
    <row customHeight="true" ht="16.071428571428573" r="256"/>
    <row customHeight="true" ht="16.071428571428573" r="257"/>
    <row customHeight="true" ht="16.071428571428573" r="258"/>
    <row customHeight="true" ht="16.071428571428573" r="259"/>
    <row customHeight="true" ht="16.071428571428573" r="260"/>
    <row customHeight="true" ht="16.071428571428573" r="261"/>
    <row customHeight="true" ht="16.071428571428573" r="262"/>
    <row customHeight="true" ht="16.071428571428573" r="263"/>
    <row customHeight="true" ht="16.071428571428573" r="264"/>
    <row customHeight="true" ht="16.071428571428573" r="265"/>
    <row customHeight="true" ht="16.071428571428573" r="266"/>
    <row customHeight="true" ht="16.071428571428573" r="267"/>
    <row customHeight="true" ht="16.071428571428573" r="268"/>
    <row customHeight="true" ht="16.071428571428573" r="269"/>
    <row customHeight="true" ht="16.071428571428573" r="270"/>
    <row customHeight="true" ht="16.071428571428573" r="271"/>
    <row customHeight="true" ht="16.071428571428573" r="272"/>
    <row customHeight="true" ht="16.071428571428573" r="273"/>
    <row customHeight="true" ht="16.071428571428573" r="274"/>
    <row customHeight="true" ht="16.071428571428573" r="275"/>
    <row customHeight="true" ht="16.071428571428573" r="276"/>
    <row customHeight="true" ht="16.071428571428573" r="277"/>
    <row customHeight="true" ht="16.071428571428573" r="278"/>
    <row customHeight="true" ht="16.071428571428573" r="279"/>
    <row customHeight="true" ht="16.071428571428573" r="280"/>
    <row customHeight="true" ht="16.071428571428573" r="281"/>
    <row customHeight="true" ht="16.071428571428573" r="282"/>
    <row customHeight="true" ht="16.071428571428573" r="283"/>
    <row customHeight="true" ht="16.071428571428573" r="284"/>
    <row customHeight="true" ht="16.071428571428573" r="285"/>
    <row customHeight="true" ht="16.071428571428573" r="286"/>
    <row customHeight="true" ht="16.071428571428573" r="287"/>
    <row customHeight="true" ht="16.071428571428573" r="288"/>
    <row customHeight="true" ht="16.071428571428573" r="289"/>
    <row customHeight="true" ht="16.071428571428573" r="290"/>
  </sheetData>
  <autoFilter ref="A1:Q163">
    <filterColumn colId="1">
      <filters>
        <filter val="菅心茹"/>
      </filters>
    </filterColumn>
  </autoFilter>
  <mergeCells>
    <mergeCell ref="D183:D188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</cols>
  <sheetData>
    <row r="1">
      <c r="A1" s="166" t="s">
        <v>170</v>
      </c>
      <c r="B1" s="167" t="s">
        <v>171</v>
      </c>
      <c r="C1" s="167" t="s">
        <v>172</v>
      </c>
      <c r="D1" s="167" t="s">
        <v>173</v>
      </c>
      <c r="E1" s="167" t="s">
        <v>174</v>
      </c>
      <c r="F1" s="167" t="s">
        <v>175</v>
      </c>
      <c r="G1" s="168" t="s">
        <v>176</v>
      </c>
      <c r="H1" s="169" t="s">
        <v>177</v>
      </c>
      <c r="I1" s="167" t="s">
        <v>178</v>
      </c>
      <c r="J1" s="167" t="s">
        <v>179</v>
      </c>
      <c r="K1" s="167" t="s">
        <v>180</v>
      </c>
      <c r="L1" s="170" t="s">
        <v>181</v>
      </c>
      <c r="M1" s="170" t="s">
        <v>182</v>
      </c>
      <c r="N1" s="170" t="s">
        <v>183</v>
      </c>
      <c r="O1" s="171" t="s">
        <v>184</v>
      </c>
      <c r="P1" s="171" t="s">
        <v>185</v>
      </c>
      <c r="Q1" s="171" t="s">
        <v>186</v>
      </c>
    </row>
    <row r="2">
      <c r="A2" s="172">
        <v>46235</v>
      </c>
      <c r="B2" s="173" t="s">
        <v>187</v>
      </c>
      <c r="C2" s="174" t="s">
        <v>188</v>
      </c>
      <c r="D2" s="175">
        <v>5</v>
      </c>
      <c r="E2" s="173">
        <v>21</v>
      </c>
      <c r="F2" s="176">
        <v>14</v>
      </c>
      <c r="G2" s="177">
        <v>8</v>
      </c>
      <c r="H2" s="177">
        <v>8</v>
      </c>
      <c r="I2" s="177">
        <v>2</v>
      </c>
      <c r="J2" s="177">
        <v>15336</v>
      </c>
      <c r="K2" s="177">
        <v>9947.44</v>
      </c>
      <c r="L2" s="178">
        <f t="shared" ref="L2:L153" si="2">J2/K2</f>
      </c>
      <c r="M2" s="178">
        <f t="shared" ref="M2:M153" si="0">J2/F2</f>
      </c>
      <c r="N2" s="178">
        <f t="shared" ref="N2:N153" si="4">K2/F2</f>
      </c>
      <c r="O2" s="179" t="s">
        <v>189</v>
      </c>
      <c r="P2" s="177">
        <v>10</v>
      </c>
      <c r="Q2" s="180"/>
    </row>
    <row r="3">
      <c r="A3" s="172">
        <v>46235</v>
      </c>
      <c r="B3" s="181" t="s">
        <v>190</v>
      </c>
      <c r="C3" s="182" t="s">
        <v>191</v>
      </c>
      <c r="D3" s="183">
        <v>5</v>
      </c>
      <c r="E3" s="177">
        <v>16</v>
      </c>
      <c r="F3" s="177">
        <v>12</v>
      </c>
      <c r="G3" s="177">
        <v>10</v>
      </c>
      <c r="H3" s="177">
        <v>7</v>
      </c>
      <c r="I3" s="177">
        <v>0</v>
      </c>
      <c r="J3" s="184">
        <v>9089.2</v>
      </c>
      <c r="K3" s="184">
        <v>6532.59</v>
      </c>
      <c r="L3" s="178">
        <f t="shared" si="2"/>
      </c>
      <c r="M3" s="178">
        <f t="shared" si="0"/>
      </c>
      <c r="N3" s="178">
        <f t="shared" si="4"/>
      </c>
      <c r="O3" s="185"/>
      <c r="P3" s="185"/>
      <c r="Q3" s="186"/>
    </row>
    <row r="4">
      <c r="A4" s="172">
        <v>46235</v>
      </c>
      <c r="B4" s="187" t="s">
        <v>192</v>
      </c>
      <c r="C4" s="174" t="s">
        <v>193</v>
      </c>
      <c r="D4" s="183">
        <v>5</v>
      </c>
      <c r="E4" s="177">
        <v>12</v>
      </c>
      <c r="F4" s="177">
        <v>7</v>
      </c>
      <c r="G4" s="177">
        <v>6</v>
      </c>
      <c r="H4" s="177">
        <v>6</v>
      </c>
      <c r="I4" s="177">
        <v>0</v>
      </c>
      <c r="J4" s="184">
        <v>5906.799999999999</v>
      </c>
      <c r="K4" s="184">
        <v>5754.73</v>
      </c>
      <c r="L4" s="178">
        <f t="shared" si="2"/>
      </c>
      <c r="M4" s="178">
        <f t="shared" si="0"/>
      </c>
      <c r="N4" s="178">
        <f t="shared" si="4"/>
      </c>
      <c r="O4" s="179" t="s">
        <v>194</v>
      </c>
      <c r="P4" s="177">
        <v>10</v>
      </c>
      <c r="Q4" s="186"/>
    </row>
    <row r="5">
      <c r="A5" s="172">
        <v>46235</v>
      </c>
      <c r="B5" s="188" t="s">
        <v>195</v>
      </c>
      <c r="C5" s="182" t="s">
        <v>196</v>
      </c>
      <c r="D5" s="183">
        <v>5</v>
      </c>
      <c r="E5" s="177">
        <v>22</v>
      </c>
      <c r="F5" s="177">
        <v>13</v>
      </c>
      <c r="G5" s="177">
        <v>10</v>
      </c>
      <c r="H5" s="177">
        <v>10</v>
      </c>
      <c r="I5" s="177">
        <v>0</v>
      </c>
      <c r="J5" s="184">
        <v>11442.400000000001</v>
      </c>
      <c r="K5" s="184">
        <v>9475.98</v>
      </c>
      <c r="L5" s="178">
        <f t="shared" si="2"/>
      </c>
      <c r="M5" s="178">
        <f t="shared" si="0"/>
      </c>
      <c r="N5" s="178">
        <f t="shared" si="4"/>
      </c>
      <c r="O5" s="179"/>
      <c r="P5" s="177"/>
      <c r="Q5" s="186"/>
    </row>
    <row r="6">
      <c r="A6" s="189">
        <v>46235</v>
      </c>
      <c r="B6" s="190"/>
      <c r="C6" s="190"/>
      <c r="D6" s="190">
        <f>SUM(D2:D5)</f>
      </c>
      <c r="E6" s="190">
        <f>SUM(E2:E5)</f>
      </c>
      <c r="F6" s="190">
        <f>SUM(F2:F5)</f>
      </c>
      <c r="G6" s="190">
        <f>SUM(G2:G5)</f>
      </c>
      <c r="H6" s="190">
        <f>SUM(H2:H5)</f>
      </c>
      <c r="I6" s="190">
        <f>SUM(I2:I5)</f>
      </c>
      <c r="J6" s="190">
        <f>SUM(J2:J5)</f>
      </c>
      <c r="K6" s="190">
        <f>SUM(K2:K5)</f>
      </c>
      <c r="L6" s="191">
        <f t="shared" si="2"/>
      </c>
      <c r="M6" s="191">
        <f t="shared" si="0"/>
      </c>
      <c r="N6" s="191">
        <f t="shared" si="4"/>
      </c>
      <c r="O6" s="192"/>
      <c r="P6" s="190">
        <f>SUM(P2:P5)</f>
      </c>
      <c r="Q6" s="193"/>
    </row>
    <row r="7">
      <c r="A7" s="172">
        <v>46236</v>
      </c>
      <c r="B7" s="181" t="s">
        <v>190</v>
      </c>
      <c r="C7" s="174" t="s">
        <v>188</v>
      </c>
      <c r="D7" s="175">
        <v>5</v>
      </c>
      <c r="E7" s="173">
        <v>28</v>
      </c>
      <c r="F7" s="176">
        <v>17</v>
      </c>
      <c r="G7" s="177">
        <v>15</v>
      </c>
      <c r="H7" s="177">
        <v>11</v>
      </c>
      <c r="I7" s="177">
        <v>0</v>
      </c>
      <c r="J7" s="177">
        <v>16392.2</v>
      </c>
      <c r="K7" s="177">
        <v>12320.07</v>
      </c>
      <c r="L7" s="178">
        <f t="shared" si="2"/>
      </c>
      <c r="M7" s="178">
        <f t="shared" si="0"/>
      </c>
      <c r="N7" s="178">
        <f t="shared" si="4"/>
      </c>
      <c r="O7" s="179" t="s">
        <v>189</v>
      </c>
      <c r="P7" s="177">
        <v>10</v>
      </c>
      <c r="Q7" s="180"/>
    </row>
    <row r="8">
      <c r="A8" s="172">
        <v>46236</v>
      </c>
      <c r="B8" s="187" t="s">
        <v>197</v>
      </c>
      <c r="C8" s="182" t="s">
        <v>191</v>
      </c>
      <c r="D8" s="183">
        <v>5</v>
      </c>
      <c r="E8" s="177">
        <v>7</v>
      </c>
      <c r="F8" s="177">
        <v>5</v>
      </c>
      <c r="G8" s="177">
        <v>4</v>
      </c>
      <c r="H8" s="177">
        <v>3</v>
      </c>
      <c r="I8" s="177">
        <v>0</v>
      </c>
      <c r="J8" s="184">
        <v>4723.5999999999985</v>
      </c>
      <c r="K8" s="184">
        <v>6639.19</v>
      </c>
      <c r="L8" s="178">
        <f t="shared" si="2"/>
      </c>
      <c r="M8" s="178">
        <f t="shared" si="0"/>
      </c>
      <c r="N8" s="178">
        <f t="shared" si="4"/>
      </c>
      <c r="O8" s="185"/>
      <c r="P8" s="185"/>
      <c r="Q8" s="186"/>
    </row>
    <row r="9">
      <c r="A9" s="172">
        <v>46236</v>
      </c>
      <c r="B9" s="187" t="s">
        <v>192</v>
      </c>
      <c r="C9" s="174" t="s">
        <v>193</v>
      </c>
      <c r="D9" s="183">
        <v>5</v>
      </c>
      <c r="E9" s="177">
        <v>15</v>
      </c>
      <c r="F9" s="177">
        <v>12</v>
      </c>
      <c r="G9" s="177">
        <v>8</v>
      </c>
      <c r="H9" s="177">
        <v>9</v>
      </c>
      <c r="I9" s="177">
        <v>1</v>
      </c>
      <c r="J9" s="184">
        <v>8030.4</v>
      </c>
      <c r="K9" s="184">
        <v>5428.76</v>
      </c>
      <c r="L9" s="178">
        <f t="shared" si="2"/>
      </c>
      <c r="M9" s="178">
        <f t="shared" si="0"/>
      </c>
      <c r="N9" s="178">
        <f t="shared" si="4"/>
      </c>
      <c r="O9" s="179" t="s">
        <v>194</v>
      </c>
      <c r="P9" s="177">
        <v>10</v>
      </c>
      <c r="Q9" s="186"/>
    </row>
    <row r="10">
      <c r="A10" s="172">
        <v>46236</v>
      </c>
      <c r="B10" s="188" t="s">
        <v>195</v>
      </c>
      <c r="C10" s="182" t="s">
        <v>196</v>
      </c>
      <c r="D10" s="183">
        <v>5</v>
      </c>
      <c r="E10" s="177">
        <v>19</v>
      </c>
      <c r="F10" s="177">
        <v>13</v>
      </c>
      <c r="G10" s="177">
        <v>10</v>
      </c>
      <c r="H10" s="177">
        <v>8</v>
      </c>
      <c r="I10" s="177">
        <v>1</v>
      </c>
      <c r="J10" s="184">
        <v>15539.800000000007</v>
      </c>
      <c r="K10" s="184">
        <v>7973.72</v>
      </c>
      <c r="L10" s="178">
        <f t="shared" si="2"/>
      </c>
      <c r="M10" s="178">
        <f t="shared" si="0"/>
      </c>
      <c r="N10" s="178">
        <f t="shared" si="4"/>
      </c>
      <c r="O10" s="179"/>
      <c r="P10" s="177"/>
      <c r="Q10" s="186"/>
    </row>
    <row r="11">
      <c r="A11" s="189">
        <v>46236</v>
      </c>
      <c r="B11" s="190"/>
      <c r="C11" s="190"/>
      <c r="D11" s="190">
        <f>SUM(D7:D10)</f>
      </c>
      <c r="E11" s="190">
        <f>SUM(E7:E10)</f>
      </c>
      <c r="F11" s="190">
        <f>SUM(F7:F10)</f>
      </c>
      <c r="G11" s="190">
        <f>SUM(G7:G10)</f>
      </c>
      <c r="H11" s="190">
        <f>SUM(H7:H10)</f>
      </c>
      <c r="I11" s="190">
        <f>SUM(I7:I10)</f>
      </c>
      <c r="J11" s="190">
        <f>SUM(J7:J10)</f>
      </c>
      <c r="K11" s="190">
        <f>SUM(K7:K10)</f>
      </c>
      <c r="L11" s="191">
        <f t="shared" si="2"/>
      </c>
      <c r="M11" s="191">
        <f t="shared" si="0"/>
      </c>
      <c r="N11" s="191">
        <f t="shared" si="4"/>
      </c>
      <c r="O11" s="192"/>
      <c r="P11" s="190">
        <f>SUM(P7:P10)</f>
      </c>
      <c r="Q11" s="193"/>
    </row>
    <row r="12">
      <c r="A12" s="172">
        <v>46237</v>
      </c>
      <c r="B12" s="187" t="s">
        <v>197</v>
      </c>
      <c r="C12" s="174" t="s">
        <v>188</v>
      </c>
      <c r="D12" s="175">
        <v>5</v>
      </c>
      <c r="E12" s="173">
        <v>25</v>
      </c>
      <c r="F12" s="176">
        <v>19</v>
      </c>
      <c r="G12" s="177">
        <v>16</v>
      </c>
      <c r="H12" s="177">
        <v>10</v>
      </c>
      <c r="I12" s="177">
        <v>1</v>
      </c>
      <c r="J12" s="177">
        <v>16040.8</v>
      </c>
      <c r="K12" s="177">
        <v>9157.13</v>
      </c>
      <c r="L12" s="178">
        <f t="shared" si="2"/>
      </c>
      <c r="M12" s="178">
        <f t="shared" si="0"/>
      </c>
      <c r="N12" s="178">
        <f t="shared" si="4"/>
      </c>
      <c r="O12" s="179" t="s">
        <v>198</v>
      </c>
      <c r="P12" s="177">
        <v>10</v>
      </c>
      <c r="Q12" s="180"/>
    </row>
    <row r="13">
      <c r="A13" s="172">
        <v>46237</v>
      </c>
      <c r="B13" s="181" t="s">
        <v>190</v>
      </c>
      <c r="C13" s="182" t="s">
        <v>191</v>
      </c>
      <c r="D13" s="183">
        <v>5</v>
      </c>
      <c r="E13" s="177">
        <v>16</v>
      </c>
      <c r="F13" s="177">
        <v>13</v>
      </c>
      <c r="G13" s="177">
        <v>9</v>
      </c>
      <c r="H13" s="177">
        <v>10</v>
      </c>
      <c r="I13" s="177">
        <v>2</v>
      </c>
      <c r="J13" s="184">
        <v>14624</v>
      </c>
      <c r="K13" s="184">
        <v>6209.84</v>
      </c>
      <c r="L13" s="178">
        <f t="shared" si="2"/>
      </c>
      <c r="M13" s="178">
        <f t="shared" si="0"/>
      </c>
      <c r="N13" s="178">
        <f t="shared" si="4"/>
      </c>
      <c r="O13" s="185"/>
      <c r="P13" s="185"/>
      <c r="Q13" s="186"/>
    </row>
    <row r="14">
      <c r="A14" s="172">
        <v>46237</v>
      </c>
      <c r="B14" s="187" t="s">
        <v>192</v>
      </c>
      <c r="C14" s="174" t="s">
        <v>193</v>
      </c>
      <c r="D14" s="183">
        <v>5</v>
      </c>
      <c r="E14" s="177">
        <v>48</v>
      </c>
      <c r="F14" s="177">
        <v>33</v>
      </c>
      <c r="G14" s="177">
        <v>16</v>
      </c>
      <c r="H14" s="177">
        <v>22</v>
      </c>
      <c r="I14" s="177">
        <v>4</v>
      </c>
      <c r="J14" s="184">
        <v>37581.4</v>
      </c>
      <c r="K14" s="184">
        <v>13397.08</v>
      </c>
      <c r="L14" s="178">
        <f t="shared" si="2"/>
      </c>
      <c r="M14" s="178">
        <f t="shared" si="0"/>
      </c>
      <c r="N14" s="178">
        <f t="shared" si="4"/>
      </c>
      <c r="O14" s="179" t="s">
        <v>199</v>
      </c>
      <c r="P14" s="177">
        <v>10</v>
      </c>
      <c r="Q14" s="186"/>
    </row>
    <row r="15">
      <c r="A15" s="172">
        <v>46237</v>
      </c>
      <c r="B15" s="188" t="s">
        <v>195</v>
      </c>
      <c r="C15" s="182" t="s">
        <v>196</v>
      </c>
      <c r="D15" s="183">
        <v>5</v>
      </c>
      <c r="E15" s="177">
        <v>27</v>
      </c>
      <c r="F15" s="177">
        <v>21</v>
      </c>
      <c r="G15" s="177">
        <v>15</v>
      </c>
      <c r="H15" s="177">
        <v>16</v>
      </c>
      <c r="I15" s="177">
        <v>2</v>
      </c>
      <c r="J15" s="184">
        <v>21135.8</v>
      </c>
      <c r="K15" s="184">
        <v>9664.18</v>
      </c>
      <c r="L15" s="178">
        <f t="shared" si="2"/>
      </c>
      <c r="M15" s="178">
        <f t="shared" si="0"/>
      </c>
      <c r="N15" s="178">
        <f t="shared" si="4"/>
      </c>
      <c r="O15" s="179"/>
      <c r="P15" s="177"/>
      <c r="Q15" s="186"/>
    </row>
    <row r="16">
      <c r="A16" s="189">
        <v>46237</v>
      </c>
      <c r="B16" s="190"/>
      <c r="C16" s="190"/>
      <c r="D16" s="190">
        <f>SUM(D12:D15)</f>
      </c>
      <c r="E16" s="190">
        <f>SUM(E12:E15)</f>
      </c>
      <c r="F16" s="190">
        <f>SUM(F12:F15)</f>
      </c>
      <c r="G16" s="190">
        <f>SUM(G12:G15)</f>
      </c>
      <c r="H16" s="190">
        <f>SUM(H12:H15)</f>
      </c>
      <c r="I16" s="190">
        <f>SUM(I12:I15)</f>
      </c>
      <c r="J16" s="190">
        <f>SUM(J12:J15)</f>
      </c>
      <c r="K16" s="190">
        <f>SUM(K12:K15)</f>
      </c>
      <c r="L16" s="191">
        <f t="shared" si="2"/>
      </c>
      <c r="M16" s="191">
        <f t="shared" si="0"/>
      </c>
      <c r="N16" s="191">
        <f t="shared" si="4"/>
      </c>
      <c r="O16" s="192"/>
      <c r="P16" s="190">
        <f>SUM(P12:P15)</f>
      </c>
      <c r="Q16" s="193"/>
    </row>
    <row r="17">
      <c r="A17" s="172">
        <v>46238</v>
      </c>
      <c r="B17" s="187" t="s">
        <v>197</v>
      </c>
      <c r="C17" s="174" t="s">
        <v>188</v>
      </c>
      <c r="D17" s="175">
        <v>5</v>
      </c>
      <c r="E17" s="173">
        <v>28</v>
      </c>
      <c r="F17" s="176">
        <v>22</v>
      </c>
      <c r="G17" s="177">
        <v>12</v>
      </c>
      <c r="H17" s="177">
        <v>11</v>
      </c>
      <c r="I17" s="177">
        <v>4</v>
      </c>
      <c r="J17" s="177">
        <v>23518.8</v>
      </c>
      <c r="K17" s="177">
        <v>10119.55</v>
      </c>
      <c r="L17" s="178">
        <f t="shared" si="2"/>
      </c>
      <c r="M17" s="178">
        <f t="shared" si="0"/>
      </c>
      <c r="N17" s="178">
        <f t="shared" si="4"/>
      </c>
      <c r="O17" s="179" t="s">
        <v>198</v>
      </c>
      <c r="P17" s="177">
        <v>10</v>
      </c>
      <c r="Q17" s="180"/>
    </row>
    <row r="18">
      <c r="A18" s="172">
        <v>46238</v>
      </c>
      <c r="B18" s="173" t="s">
        <v>187</v>
      </c>
      <c r="C18" s="182" t="s">
        <v>191</v>
      </c>
      <c r="D18" s="183">
        <v>5</v>
      </c>
      <c r="E18" s="177">
        <v>20</v>
      </c>
      <c r="F18" s="177">
        <v>17</v>
      </c>
      <c r="G18" s="177">
        <v>10</v>
      </c>
      <c r="H18" s="177">
        <v>10</v>
      </c>
      <c r="I18" s="177">
        <v>1</v>
      </c>
      <c r="J18" s="184">
        <v>15602.9</v>
      </c>
      <c r="K18" s="184">
        <v>7647.010000000001</v>
      </c>
      <c r="L18" s="178">
        <f t="shared" si="2"/>
      </c>
      <c r="M18" s="178">
        <f t="shared" si="0"/>
      </c>
      <c r="N18" s="178">
        <f t="shared" si="4"/>
      </c>
      <c r="O18" s="185"/>
      <c r="P18" s="185"/>
      <c r="Q18" s="186"/>
    </row>
    <row r="19">
      <c r="A19" s="172">
        <v>46238</v>
      </c>
      <c r="B19" s="187" t="s">
        <v>192</v>
      </c>
      <c r="C19" s="174" t="s">
        <v>193</v>
      </c>
      <c r="D19" s="183">
        <v>5</v>
      </c>
      <c r="E19" s="177">
        <v>21</v>
      </c>
      <c r="F19" s="177">
        <v>19</v>
      </c>
      <c r="G19" s="177">
        <v>13</v>
      </c>
      <c r="H19" s="177">
        <v>9</v>
      </c>
      <c r="I19" s="177">
        <v>2</v>
      </c>
      <c r="J19" s="184">
        <v>22131.400000000005</v>
      </c>
      <c r="K19" s="184">
        <v>7787.07</v>
      </c>
      <c r="L19" s="178">
        <f t="shared" si="2"/>
      </c>
      <c r="M19" s="178">
        <f t="shared" si="0"/>
      </c>
      <c r="N19" s="178">
        <f t="shared" si="4"/>
      </c>
      <c r="O19" s="179" t="s">
        <v>194</v>
      </c>
      <c r="P19" s="177">
        <v>10</v>
      </c>
      <c r="Q19" s="186"/>
    </row>
    <row r="20">
      <c r="A20" s="172">
        <v>46238</v>
      </c>
      <c r="B20" s="188" t="s">
        <v>195</v>
      </c>
      <c r="C20" s="182" t="s">
        <v>196</v>
      </c>
      <c r="D20" s="183">
        <v>5</v>
      </c>
      <c r="E20" s="177">
        <v>33</v>
      </c>
      <c r="F20" s="177">
        <v>22</v>
      </c>
      <c r="G20" s="177">
        <v>17</v>
      </c>
      <c r="H20" s="177">
        <v>15</v>
      </c>
      <c r="I20" s="177">
        <v>1</v>
      </c>
      <c r="J20" s="184">
        <v>21377.999999999993</v>
      </c>
      <c r="K20" s="184">
        <v>12064.36</v>
      </c>
      <c r="L20" s="178">
        <f t="shared" si="2"/>
      </c>
      <c r="M20" s="178">
        <f t="shared" si="0"/>
      </c>
      <c r="N20" s="178">
        <f t="shared" si="4"/>
      </c>
      <c r="O20" s="179"/>
      <c r="P20" s="177"/>
      <c r="Q20" s="186"/>
    </row>
    <row r="21">
      <c r="A21" s="189">
        <v>46238</v>
      </c>
      <c r="B21" s="190"/>
      <c r="C21" s="190"/>
      <c r="D21" s="190">
        <f>SUM(D17:D20)</f>
      </c>
      <c r="E21" s="190">
        <f>SUM(E17:E20)</f>
      </c>
      <c r="F21" s="190">
        <f>SUM(F17:F20)</f>
      </c>
      <c r="G21" s="190">
        <f>SUM(G17:G20)</f>
      </c>
      <c r="H21" s="190">
        <f>SUM(H17:H20)</f>
      </c>
      <c r="I21" s="190">
        <f>SUM(I17:I20)</f>
      </c>
      <c r="J21" s="190">
        <f>SUM(J17:J20)</f>
      </c>
      <c r="K21" s="190">
        <f>SUM(K17:K20)</f>
      </c>
      <c r="L21" s="191">
        <f t="shared" si="2"/>
      </c>
      <c r="M21" s="191">
        <f t="shared" si="0"/>
      </c>
      <c r="N21" s="191">
        <f t="shared" si="4"/>
      </c>
      <c r="O21" s="192"/>
      <c r="P21" s="190">
        <f>SUM(P17:P20)</f>
      </c>
      <c r="Q21" s="193"/>
    </row>
    <row r="22">
      <c r="A22" s="172">
        <v>46239</v>
      </c>
      <c r="B22" s="173" t="s">
        <v>187</v>
      </c>
      <c r="C22" s="174" t="s">
        <v>188</v>
      </c>
      <c r="D22" s="175">
        <v>5</v>
      </c>
      <c r="E22" s="173">
        <v>29</v>
      </c>
      <c r="F22" s="176">
        <v>20</v>
      </c>
      <c r="G22" s="177">
        <v>14</v>
      </c>
      <c r="H22" s="177">
        <v>16</v>
      </c>
      <c r="I22" s="177">
        <v>1</v>
      </c>
      <c r="J22" s="177">
        <v>18925.6</v>
      </c>
      <c r="K22" s="177">
        <v>11196.849999999999</v>
      </c>
      <c r="L22" s="178">
        <f t="shared" si="2"/>
      </c>
      <c r="M22" s="178">
        <f t="shared" si="0"/>
      </c>
      <c r="N22" s="178">
        <f t="shared" si="4"/>
      </c>
      <c r="O22" s="179" t="s">
        <v>198</v>
      </c>
      <c r="P22" s="177">
        <v>10</v>
      </c>
      <c r="Q22" s="180"/>
    </row>
    <row r="23">
      <c r="A23" s="172">
        <v>46239</v>
      </c>
      <c r="B23" s="187" t="s">
        <v>197</v>
      </c>
      <c r="C23" s="182" t="s">
        <v>191</v>
      </c>
      <c r="D23" s="183">
        <v>5</v>
      </c>
      <c r="E23" s="177">
        <v>40</v>
      </c>
      <c r="F23" s="177">
        <v>30</v>
      </c>
      <c r="G23" s="177">
        <v>19</v>
      </c>
      <c r="H23" s="177">
        <v>20</v>
      </c>
      <c r="I23" s="177">
        <v>3</v>
      </c>
      <c r="J23" s="184">
        <v>26031.1</v>
      </c>
      <c r="K23" s="184">
        <v>13106.45</v>
      </c>
      <c r="L23" s="178">
        <f t="shared" si="2"/>
      </c>
      <c r="M23" s="178">
        <f t="shared" si="0"/>
      </c>
      <c r="N23" s="178">
        <f t="shared" si="4"/>
      </c>
      <c r="O23" s="185"/>
      <c r="P23" s="185"/>
      <c r="Q23" s="186"/>
    </row>
    <row r="24">
      <c r="A24" s="172">
        <v>46239</v>
      </c>
      <c r="B24" s="187" t="s">
        <v>192</v>
      </c>
      <c r="C24" s="174" t="s">
        <v>193</v>
      </c>
      <c r="D24" s="183">
        <v>5</v>
      </c>
      <c r="E24" s="177">
        <v>45</v>
      </c>
      <c r="F24" s="177">
        <v>35</v>
      </c>
      <c r="G24" s="177">
        <v>21</v>
      </c>
      <c r="H24" s="177">
        <v>28</v>
      </c>
      <c r="I24" s="177">
        <v>6</v>
      </c>
      <c r="J24" s="184">
        <v>33218.2</v>
      </c>
      <c r="K24" s="184">
        <v>18491.09</v>
      </c>
      <c r="L24" s="178">
        <f t="shared" si="2"/>
      </c>
      <c r="M24" s="178">
        <f t="shared" si="0"/>
      </c>
      <c r="N24" s="178">
        <f t="shared" si="4"/>
      </c>
      <c r="O24" s="179" t="s">
        <v>194</v>
      </c>
      <c r="P24" s="177">
        <v>10</v>
      </c>
      <c r="Q24" s="186"/>
    </row>
    <row r="25">
      <c r="A25" s="172">
        <v>46239</v>
      </c>
      <c r="B25" s="188" t="s">
        <v>195</v>
      </c>
      <c r="C25" s="182" t="s">
        <v>196</v>
      </c>
      <c r="D25" s="183">
        <v>5</v>
      </c>
      <c r="E25" s="177">
        <v>44</v>
      </c>
      <c r="F25" s="177">
        <v>34</v>
      </c>
      <c r="G25" s="177">
        <v>26</v>
      </c>
      <c r="H25" s="177">
        <v>21</v>
      </c>
      <c r="I25" s="177">
        <v>4</v>
      </c>
      <c r="J25" s="184">
        <v>37466.1</v>
      </c>
      <c r="K25" s="184">
        <v>18592.34</v>
      </c>
      <c r="L25" s="178">
        <f t="shared" si="2"/>
      </c>
      <c r="M25" s="178">
        <f t="shared" si="0"/>
      </c>
      <c r="N25" s="178">
        <f t="shared" si="4"/>
      </c>
      <c r="O25" s="179"/>
      <c r="P25" s="177"/>
      <c r="Q25" s="186"/>
    </row>
    <row r="26">
      <c r="A26" s="189">
        <v>46239</v>
      </c>
      <c r="B26" s="190"/>
      <c r="C26" s="190"/>
      <c r="D26" s="190">
        <f>SUM(D22:D25)</f>
      </c>
      <c r="E26" s="190">
        <f>SUM(E22:E25)</f>
      </c>
      <c r="F26" s="190">
        <f>SUM(F22:F25)</f>
      </c>
      <c r="G26" s="190">
        <f>SUM(G22:G25)</f>
      </c>
      <c r="H26" s="190">
        <f>SUM(H22:H25)</f>
      </c>
      <c r="I26" s="190">
        <f>SUM(I22:I25)</f>
      </c>
      <c r="J26" s="190">
        <f>SUM(J22:J25)</f>
      </c>
      <c r="K26" s="190">
        <f>SUM(K22:K25)</f>
      </c>
      <c r="L26" s="191">
        <f t="shared" si="2"/>
      </c>
      <c r="M26" s="191">
        <f t="shared" si="0"/>
      </c>
      <c r="N26" s="191">
        <f t="shared" si="4"/>
      </c>
      <c r="O26" s="192"/>
      <c r="P26" s="190">
        <f>SUM(P22:P25)</f>
      </c>
      <c r="Q26" s="193"/>
    </row>
    <row r="27">
      <c r="A27" s="172">
        <v>46240</v>
      </c>
      <c r="B27" s="187" t="s">
        <v>197</v>
      </c>
      <c r="C27" s="174" t="s">
        <v>188</v>
      </c>
      <c r="D27" s="175">
        <v>5</v>
      </c>
      <c r="E27" s="173">
        <v>35</v>
      </c>
      <c r="F27" s="176">
        <v>28</v>
      </c>
      <c r="G27" s="177">
        <v>10</v>
      </c>
      <c r="H27" s="177">
        <v>19</v>
      </c>
      <c r="I27" s="177">
        <v>6</v>
      </c>
      <c r="J27" s="177">
        <v>23584.4</v>
      </c>
      <c r="K27" s="177">
        <v>10096.359999999999</v>
      </c>
      <c r="L27" s="178">
        <f t="shared" si="2"/>
      </c>
      <c r="M27" s="178">
        <f t="shared" si="0"/>
      </c>
      <c r="N27" s="178">
        <f t="shared" si="4"/>
      </c>
      <c r="O27" s="179" t="s">
        <v>198</v>
      </c>
      <c r="P27" s="177">
        <v>9</v>
      </c>
      <c r="Q27" s="180"/>
    </row>
    <row r="28">
      <c r="A28" s="172">
        <v>46240</v>
      </c>
      <c r="B28" s="173" t="s">
        <v>187</v>
      </c>
      <c r="C28" s="182" t="s">
        <v>191</v>
      </c>
      <c r="D28" s="183">
        <v>5</v>
      </c>
      <c r="E28" s="177">
        <v>30</v>
      </c>
      <c r="F28" s="177">
        <v>18</v>
      </c>
      <c r="G28" s="177">
        <v>16</v>
      </c>
      <c r="H28" s="177">
        <v>14</v>
      </c>
      <c r="I28" s="177">
        <v>2</v>
      </c>
      <c r="J28" s="184">
        <v>19774.399999999998</v>
      </c>
      <c r="K28" s="184">
        <v>11777.829999999998</v>
      </c>
      <c r="L28" s="178">
        <f t="shared" si="2"/>
      </c>
      <c r="M28" s="178">
        <f t="shared" si="0"/>
      </c>
      <c r="N28" s="178">
        <f t="shared" si="4"/>
      </c>
      <c r="O28" s="185"/>
      <c r="P28" s="185"/>
      <c r="Q28" s="186"/>
    </row>
    <row r="29">
      <c r="A29" s="172">
        <v>46240</v>
      </c>
      <c r="B29" s="187" t="s">
        <v>192</v>
      </c>
      <c r="C29" s="174" t="s">
        <v>193</v>
      </c>
      <c r="D29" s="183">
        <v>5</v>
      </c>
      <c r="E29" s="177">
        <v>31</v>
      </c>
      <c r="F29" s="177">
        <v>27</v>
      </c>
      <c r="G29" s="177">
        <v>14</v>
      </c>
      <c r="H29" s="177">
        <v>18</v>
      </c>
      <c r="I29" s="177">
        <v>3</v>
      </c>
      <c r="J29" s="184">
        <v>21407</v>
      </c>
      <c r="K29" s="184">
        <v>10513.84</v>
      </c>
      <c r="L29" s="178">
        <f t="shared" si="2"/>
      </c>
      <c r="M29" s="178">
        <f t="shared" si="0"/>
      </c>
      <c r="N29" s="178">
        <f t="shared" si="4"/>
      </c>
      <c r="O29" s="179" t="s">
        <v>194</v>
      </c>
      <c r="P29" s="177">
        <v>11</v>
      </c>
      <c r="Q29" s="186"/>
    </row>
    <row r="30">
      <c r="A30" s="172">
        <v>46240</v>
      </c>
      <c r="B30" s="181" t="s">
        <v>190</v>
      </c>
      <c r="C30" s="182" t="s">
        <v>196</v>
      </c>
      <c r="D30" s="183">
        <v>5</v>
      </c>
      <c r="E30" s="177">
        <v>42</v>
      </c>
      <c r="F30" s="177">
        <v>36</v>
      </c>
      <c r="G30" s="177">
        <v>22</v>
      </c>
      <c r="H30" s="177">
        <v>30</v>
      </c>
      <c r="I30" s="177">
        <v>4</v>
      </c>
      <c r="J30" s="184">
        <v>33916.399999999994</v>
      </c>
      <c r="K30" s="184">
        <v>11497.91</v>
      </c>
      <c r="L30" s="178">
        <f t="shared" si="2"/>
      </c>
      <c r="M30" s="178">
        <f t="shared" si="0"/>
      </c>
      <c r="N30" s="178">
        <f t="shared" si="4"/>
      </c>
      <c r="O30" s="179"/>
      <c r="P30" s="177"/>
      <c r="Q30" s="186"/>
    </row>
    <row r="31">
      <c r="A31" s="189">
        <v>46240</v>
      </c>
      <c r="B31" s="190"/>
      <c r="C31" s="190"/>
      <c r="D31" s="190">
        <f>SUM(D27:D30)</f>
      </c>
      <c r="E31" s="190">
        <f>SUM(E27:E30)</f>
      </c>
      <c r="F31" s="190">
        <f>SUM(F27:F30)</f>
      </c>
      <c r="G31" s="190">
        <f>SUM(G27:G30)</f>
      </c>
      <c r="H31" s="190">
        <f>SUM(H27:H30)</f>
      </c>
      <c r="I31" s="190">
        <f>SUM(I27:I30)</f>
      </c>
      <c r="J31" s="190">
        <f>SUM(J27:J30)</f>
      </c>
      <c r="K31" s="190">
        <f>SUM(K27:K30)</f>
      </c>
      <c r="L31" s="191">
        <f t="shared" si="2"/>
      </c>
      <c r="M31" s="191">
        <f t="shared" si="0"/>
      </c>
      <c r="N31" s="191">
        <f t="shared" si="4"/>
      </c>
      <c r="O31" s="192"/>
      <c r="P31" s="190">
        <f>SUM(P27:P30)</f>
      </c>
      <c r="Q31" s="193"/>
    </row>
    <row r="32">
      <c r="A32" s="172">
        <v>46241</v>
      </c>
      <c r="B32" s="173" t="s">
        <v>187</v>
      </c>
      <c r="C32" s="174" t="s">
        <v>188</v>
      </c>
      <c r="D32" s="175">
        <v>5</v>
      </c>
      <c r="E32" s="173">
        <v>40</v>
      </c>
      <c r="F32" s="176">
        <v>32</v>
      </c>
      <c r="G32" s="177">
        <v>23</v>
      </c>
      <c r="H32" s="177">
        <v>20</v>
      </c>
      <c r="I32" s="177">
        <v>3</v>
      </c>
      <c r="J32" s="177">
        <v>36803.4</v>
      </c>
      <c r="K32" s="177">
        <v>19766.06</v>
      </c>
      <c r="L32" s="178">
        <f t="shared" si="2"/>
      </c>
      <c r="M32" s="178">
        <f t="shared" si="0"/>
      </c>
      <c r="N32" s="178">
        <f t="shared" si="4"/>
      </c>
      <c r="O32" s="179" t="s">
        <v>198</v>
      </c>
      <c r="P32" s="177">
        <v>10</v>
      </c>
      <c r="Q32" s="180"/>
    </row>
    <row r="33">
      <c r="A33" s="172">
        <v>46241</v>
      </c>
      <c r="B33" s="187" t="s">
        <v>197</v>
      </c>
      <c r="C33" s="182" t="s">
        <v>191</v>
      </c>
      <c r="D33" s="183">
        <v>5</v>
      </c>
      <c r="E33" s="177">
        <v>41</v>
      </c>
      <c r="F33" s="177">
        <v>33</v>
      </c>
      <c r="G33" s="177">
        <v>18</v>
      </c>
      <c r="H33" s="177">
        <v>22</v>
      </c>
      <c r="I33" s="177">
        <v>3</v>
      </c>
      <c r="J33" s="184">
        <v>29332.800000000003</v>
      </c>
      <c r="K33" s="184">
        <v>14353.64</v>
      </c>
      <c r="L33" s="178">
        <f t="shared" si="2"/>
      </c>
      <c r="M33" s="178">
        <f t="shared" si="0"/>
      </c>
      <c r="N33" s="178">
        <f t="shared" si="4"/>
      </c>
      <c r="O33" s="185"/>
      <c r="P33" s="185"/>
      <c r="Q33" s="186"/>
    </row>
    <row r="34">
      <c r="A34" s="172">
        <v>46241</v>
      </c>
      <c r="B34" s="187" t="s">
        <v>192</v>
      </c>
      <c r="C34" s="174" t="s">
        <v>193</v>
      </c>
      <c r="D34" s="183">
        <v>5</v>
      </c>
      <c r="E34" s="177">
        <v>14</v>
      </c>
      <c r="F34" s="177">
        <v>10</v>
      </c>
      <c r="G34" s="177">
        <v>4</v>
      </c>
      <c r="H34" s="177">
        <v>7</v>
      </c>
      <c r="I34" s="177">
        <v>1</v>
      </c>
      <c r="J34" s="184">
        <v>9054.399999999998</v>
      </c>
      <c r="K34" s="184">
        <v>8585.57</v>
      </c>
      <c r="L34" s="178">
        <f t="shared" si="2"/>
      </c>
      <c r="M34" s="178">
        <f t="shared" si="0"/>
      </c>
      <c r="N34" s="178">
        <f t="shared" si="4"/>
      </c>
      <c r="O34" s="179" t="s">
        <v>194</v>
      </c>
      <c r="P34" s="177">
        <v>10</v>
      </c>
      <c r="Q34" s="186"/>
    </row>
    <row r="35">
      <c r="A35" s="172">
        <v>46241</v>
      </c>
      <c r="B35" s="181" t="s">
        <v>190</v>
      </c>
      <c r="C35" s="182" t="s">
        <v>196</v>
      </c>
      <c r="D35" s="183">
        <v>5</v>
      </c>
      <c r="E35" s="177">
        <v>43</v>
      </c>
      <c r="F35" s="177">
        <v>32</v>
      </c>
      <c r="G35" s="177">
        <v>17</v>
      </c>
      <c r="H35" s="177">
        <v>18</v>
      </c>
      <c r="I35" s="177">
        <v>4</v>
      </c>
      <c r="J35" s="184">
        <v>37195.20000000002</v>
      </c>
      <c r="K35" s="184">
        <v>11900.45</v>
      </c>
      <c r="L35" s="178">
        <f t="shared" si="2"/>
      </c>
      <c r="M35" s="178">
        <f t="shared" si="0"/>
      </c>
      <c r="N35" s="178">
        <f t="shared" si="4"/>
      </c>
      <c r="O35" s="179"/>
      <c r="P35" s="177"/>
      <c r="Q35" s="186"/>
    </row>
    <row r="36">
      <c r="A36" s="189">
        <v>46241</v>
      </c>
      <c r="B36" s="190"/>
      <c r="C36" s="190"/>
      <c r="D36" s="190">
        <f>SUM(D32:D35)</f>
      </c>
      <c r="E36" s="190">
        <f>SUM(E32:E35)</f>
      </c>
      <c r="F36" s="190">
        <f>SUM(F32:F35)</f>
      </c>
      <c r="G36" s="190">
        <f>SUM(G32:G35)</f>
      </c>
      <c r="H36" s="190">
        <f>SUM(H32:H35)</f>
      </c>
      <c r="I36" s="190">
        <f>SUM(I32:I35)</f>
      </c>
      <c r="J36" s="190">
        <f>SUM(J32:J35)</f>
      </c>
      <c r="K36" s="190">
        <f>SUM(K32:K35)</f>
      </c>
      <c r="L36" s="191">
        <f t="shared" si="2"/>
      </c>
      <c r="M36" s="191">
        <f t="shared" si="0"/>
      </c>
      <c r="N36" s="191">
        <f t="shared" si="4"/>
      </c>
      <c r="O36" s="192"/>
      <c r="P36" s="190">
        <f>SUM(P32:P35)</f>
      </c>
      <c r="Q36" s="193"/>
    </row>
    <row r="37">
      <c r="A37" s="172">
        <v>46242</v>
      </c>
      <c r="B37" s="173" t="s">
        <v>187</v>
      </c>
      <c r="C37" s="174" t="s">
        <v>188</v>
      </c>
      <c r="D37" s="175">
        <v>5</v>
      </c>
      <c r="E37" s="173">
        <v>19</v>
      </c>
      <c r="F37" s="176">
        <v>14</v>
      </c>
      <c r="G37" s="177">
        <v>12</v>
      </c>
      <c r="H37" s="177">
        <v>8</v>
      </c>
      <c r="I37" s="177">
        <v>1</v>
      </c>
      <c r="J37" s="177">
        <v>14569.599999999999</v>
      </c>
      <c r="K37" s="177">
        <v>11853.470000000001</v>
      </c>
      <c r="L37" s="178">
        <f t="shared" si="2"/>
      </c>
      <c r="M37" s="178">
        <f t="shared" si="0"/>
      </c>
      <c r="N37" s="178">
        <f t="shared" si="4"/>
      </c>
      <c r="O37" s="179" t="s">
        <v>198</v>
      </c>
      <c r="P37" s="177">
        <v>10</v>
      </c>
      <c r="Q37" s="180"/>
    </row>
    <row r="38">
      <c r="A38" s="172">
        <v>46242</v>
      </c>
      <c r="B38" s="187" t="s">
        <v>197</v>
      </c>
      <c r="C38" s="182" t="s">
        <v>191</v>
      </c>
      <c r="D38" s="183">
        <v>5</v>
      </c>
      <c r="E38" s="177">
        <v>34</v>
      </c>
      <c r="F38" s="177">
        <v>28</v>
      </c>
      <c r="G38" s="177">
        <v>16</v>
      </c>
      <c r="H38" s="177">
        <v>15</v>
      </c>
      <c r="I38" s="177">
        <v>4</v>
      </c>
      <c r="J38" s="184">
        <v>27135.5</v>
      </c>
      <c r="K38" s="184">
        <v>11335.699999999999</v>
      </c>
      <c r="L38" s="178">
        <f t="shared" si="2"/>
      </c>
      <c r="M38" s="178">
        <f t="shared" si="0"/>
      </c>
      <c r="N38" s="178">
        <f t="shared" si="4"/>
      </c>
      <c r="O38" s="185"/>
      <c r="P38" s="185"/>
      <c r="Q38" s="186"/>
    </row>
    <row r="39">
      <c r="A39" s="172">
        <v>46242</v>
      </c>
      <c r="B39" s="187" t="s">
        <v>195</v>
      </c>
      <c r="C39" s="174" t="s">
        <v>193</v>
      </c>
      <c r="D39" s="183">
        <v>5</v>
      </c>
      <c r="E39" s="177">
        <v>27</v>
      </c>
      <c r="F39" s="177">
        <v>18</v>
      </c>
      <c r="G39" s="177">
        <v>14</v>
      </c>
      <c r="H39" s="177">
        <v>12</v>
      </c>
      <c r="I39" s="177">
        <v>0</v>
      </c>
      <c r="J39" s="184">
        <v>20558.6</v>
      </c>
      <c r="K39" s="184">
        <v>14276.95</v>
      </c>
      <c r="L39" s="178">
        <f t="shared" si="2"/>
      </c>
      <c r="M39" s="178">
        <f t="shared" si="0"/>
      </c>
      <c r="N39" s="178">
        <f t="shared" si="4"/>
      </c>
      <c r="O39" s="179" t="s">
        <v>194</v>
      </c>
      <c r="P39" s="177">
        <v>10</v>
      </c>
      <c r="Q39" s="186"/>
    </row>
    <row r="40">
      <c r="A40" s="172">
        <v>46242</v>
      </c>
      <c r="B40" s="181" t="s">
        <v>190</v>
      </c>
      <c r="C40" s="182" t="s">
        <v>196</v>
      </c>
      <c r="D40" s="183">
        <v>5</v>
      </c>
      <c r="E40" s="177">
        <v>32</v>
      </c>
      <c r="F40" s="177">
        <v>20</v>
      </c>
      <c r="G40" s="177">
        <v>12</v>
      </c>
      <c r="H40" s="177">
        <v>9</v>
      </c>
      <c r="I40" s="177">
        <v>2</v>
      </c>
      <c r="J40" s="184">
        <v>25916.4</v>
      </c>
      <c r="K40" s="184">
        <v>11789.35</v>
      </c>
      <c r="L40" s="178">
        <f t="shared" si="2"/>
      </c>
      <c r="M40" s="178">
        <f t="shared" si="0"/>
      </c>
      <c r="N40" s="178">
        <f t="shared" si="4"/>
      </c>
      <c r="O40" s="179"/>
      <c r="P40" s="177"/>
      <c r="Q40" s="186"/>
    </row>
    <row r="41">
      <c r="A41" s="189">
        <v>46242</v>
      </c>
      <c r="B41" s="190"/>
      <c r="C41" s="190"/>
      <c r="D41" s="190">
        <f>SUM(D37:D40)</f>
      </c>
      <c r="E41" s="190">
        <f>SUM(E37:E40)</f>
      </c>
      <c r="F41" s="190">
        <f>SUM(F37:F40)</f>
      </c>
      <c r="G41" s="190">
        <f>SUM(G37:G40)</f>
      </c>
      <c r="H41" s="190">
        <f>SUM(H37:H40)</f>
      </c>
      <c r="I41" s="190">
        <f>SUM(I37:I40)</f>
      </c>
      <c r="J41" s="190">
        <f>SUM(J37:J40)</f>
      </c>
      <c r="K41" s="190">
        <f>SUM(K37:K40)</f>
      </c>
      <c r="L41" s="191">
        <f t="shared" si="2"/>
      </c>
      <c r="M41" s="191">
        <f t="shared" si="0"/>
      </c>
      <c r="N41" s="191">
        <f t="shared" si="4"/>
      </c>
      <c r="O41" s="192"/>
      <c r="P41" s="190">
        <f>SUM(P37:P40)</f>
      </c>
      <c r="Q41" s="193"/>
    </row>
    <row customHeight="true" ht="16.071428571428573" r="42">
      <c r="A42" s="172">
        <v>46243</v>
      </c>
      <c r="B42" s="173" t="s">
        <v>197</v>
      </c>
      <c r="C42" s="174" t="s">
        <v>188</v>
      </c>
      <c r="D42" s="175">
        <v>5</v>
      </c>
      <c r="E42" s="173">
        <v>27</v>
      </c>
      <c r="F42" s="176">
        <v>14</v>
      </c>
      <c r="G42" s="177">
        <v>8</v>
      </c>
      <c r="H42" s="177">
        <v>10</v>
      </c>
      <c r="I42" s="177">
        <v>3</v>
      </c>
      <c r="J42" s="177">
        <v>18712.8</v>
      </c>
      <c r="K42" s="177">
        <v>11096.749999999998</v>
      </c>
      <c r="L42" s="178">
        <f t="shared" si="2"/>
      </c>
      <c r="M42" s="178">
        <f t="shared" si="0"/>
      </c>
      <c r="N42" s="178">
        <f t="shared" si="4"/>
      </c>
      <c r="O42" s="179" t="s">
        <v>198</v>
      </c>
      <c r="P42" s="177">
        <v>10</v>
      </c>
      <c r="Q42" s="180"/>
    </row>
    <row customHeight="true" ht="16.071428571428573" r="43">
      <c r="A43" s="172">
        <v>46243</v>
      </c>
      <c r="B43" s="173" t="s">
        <v>187</v>
      </c>
      <c r="C43" s="182" t="s">
        <v>191</v>
      </c>
      <c r="D43" s="183">
        <v>5</v>
      </c>
      <c r="E43" s="177">
        <v>10</v>
      </c>
      <c r="F43" s="177">
        <v>7</v>
      </c>
      <c r="G43" s="177">
        <v>4</v>
      </c>
      <c r="H43" s="177">
        <v>7</v>
      </c>
      <c r="I43" s="177">
        <v>1</v>
      </c>
      <c r="J43" s="184">
        <v>8152.799999999999</v>
      </c>
      <c r="K43" s="184">
        <v>7423.050000000001</v>
      </c>
      <c r="L43" s="178">
        <f t="shared" si="2"/>
      </c>
      <c r="M43" s="178">
        <f t="shared" si="0"/>
      </c>
      <c r="N43" s="178">
        <f t="shared" si="4"/>
      </c>
      <c r="O43" s="185"/>
      <c r="P43" s="185"/>
      <c r="Q43" s="186"/>
    </row>
    <row customHeight="true" ht="16.071428571428573" r="44">
      <c r="A44" s="172">
        <v>46243</v>
      </c>
      <c r="B44" s="187" t="s">
        <v>190</v>
      </c>
      <c r="C44" s="174" t="s">
        <v>193</v>
      </c>
      <c r="D44" s="183">
        <v>5</v>
      </c>
      <c r="E44" s="177">
        <v>13</v>
      </c>
      <c r="F44" s="177">
        <v>11</v>
      </c>
      <c r="G44" s="177">
        <v>8</v>
      </c>
      <c r="H44" s="177">
        <v>11</v>
      </c>
      <c r="I44" s="177">
        <v>0</v>
      </c>
      <c r="J44" s="184">
        <v>6976.800000000003</v>
      </c>
      <c r="K44" s="184">
        <v>5834.460000000001</v>
      </c>
      <c r="L44" s="178">
        <f t="shared" si="2"/>
      </c>
      <c r="M44" s="178">
        <f t="shared" si="0"/>
      </c>
      <c r="N44" s="178">
        <f t="shared" si="4"/>
      </c>
      <c r="O44" s="179" t="s">
        <v>200</v>
      </c>
      <c r="P44" s="177">
        <v>10</v>
      </c>
      <c r="Q44" s="186"/>
    </row>
    <row customHeight="true" ht="16.071428571428573" r="45">
      <c r="A45" s="172">
        <v>46243</v>
      </c>
      <c r="B45" s="187" t="s">
        <v>195</v>
      </c>
      <c r="C45" s="182" t="s">
        <v>196</v>
      </c>
      <c r="D45" s="183">
        <v>5</v>
      </c>
      <c r="E45" s="177">
        <v>29</v>
      </c>
      <c r="F45" s="177">
        <v>21</v>
      </c>
      <c r="G45" s="177">
        <v>18</v>
      </c>
      <c r="H45" s="177">
        <v>13</v>
      </c>
      <c r="I45" s="177">
        <v>1</v>
      </c>
      <c r="J45" s="184">
        <v>23506.599999999995</v>
      </c>
      <c r="K45" s="184">
        <v>10260.96</v>
      </c>
      <c r="L45" s="178">
        <f t="shared" si="2"/>
      </c>
      <c r="M45" s="178">
        <f t="shared" si="0"/>
      </c>
      <c r="N45" s="178">
        <f t="shared" si="4"/>
      </c>
      <c r="O45" s="179"/>
      <c r="P45" s="177"/>
      <c r="Q45" s="186"/>
    </row>
    <row customHeight="true" ht="16.071428571428573" r="46">
      <c r="A46" s="189">
        <v>46243</v>
      </c>
      <c r="B46" s="190"/>
      <c r="C46" s="190"/>
      <c r="D46" s="190">
        <f>SUM(D42:D45)</f>
      </c>
      <c r="E46" s="190">
        <f>SUM(E42:E45)</f>
      </c>
      <c r="F46" s="190">
        <f>SUM(F42:F45)</f>
      </c>
      <c r="G46" s="190">
        <f>SUM(G42:G45)</f>
      </c>
      <c r="H46" s="190">
        <f>SUM(H42:H45)</f>
      </c>
      <c r="I46" s="190">
        <f>SUM(I42:I45)</f>
      </c>
      <c r="J46" s="190">
        <f>SUM(J42:J45)</f>
      </c>
      <c r="K46" s="190">
        <f>SUM(K42:K45)</f>
      </c>
      <c r="L46" s="191">
        <f t="shared" si="2"/>
      </c>
      <c r="M46" s="191">
        <f t="shared" si="0"/>
      </c>
      <c r="N46" s="191">
        <f t="shared" si="4"/>
      </c>
      <c r="O46" s="192"/>
      <c r="P46" s="190">
        <f>SUM(P42:P45)</f>
      </c>
      <c r="Q46" s="193"/>
    </row>
    <row r="47">
      <c r="A47" s="172">
        <v>46244</v>
      </c>
      <c r="B47" s="173" t="s">
        <v>197</v>
      </c>
      <c r="C47" s="174" t="s">
        <v>188</v>
      </c>
      <c r="D47" s="175">
        <v>5</v>
      </c>
      <c r="E47" s="173">
        <v>42</v>
      </c>
      <c r="F47" s="176">
        <v>29</v>
      </c>
      <c r="G47" s="177">
        <v>18</v>
      </c>
      <c r="H47" s="177">
        <v>23</v>
      </c>
      <c r="I47" s="177">
        <v>4</v>
      </c>
      <c r="J47" s="177">
        <v>31599.600000000006</v>
      </c>
      <c r="K47" s="177">
        <v>17745.74</v>
      </c>
      <c r="L47" s="178">
        <f t="shared" si="2"/>
      </c>
      <c r="M47" s="178">
        <f t="shared" si="0"/>
      </c>
      <c r="N47" s="178">
        <f t="shared" si="4"/>
      </c>
      <c r="O47" s="179" t="s">
        <v>201</v>
      </c>
      <c r="P47" s="177">
        <v>9</v>
      </c>
      <c r="Q47" s="180"/>
    </row>
    <row r="48">
      <c r="A48" s="172">
        <v>46244</v>
      </c>
      <c r="B48" s="187" t="s">
        <v>190</v>
      </c>
      <c r="C48" s="182" t="s">
        <v>191</v>
      </c>
      <c r="D48" s="183">
        <v>5</v>
      </c>
      <c r="E48" s="177">
        <v>65</v>
      </c>
      <c r="F48" s="177">
        <v>55</v>
      </c>
      <c r="G48" s="177">
        <v>30</v>
      </c>
      <c r="H48" s="177">
        <v>44</v>
      </c>
      <c r="I48" s="177">
        <v>7</v>
      </c>
      <c r="J48" s="184">
        <v>51196.999999999985</v>
      </c>
      <c r="K48" s="184">
        <v>23831.36</v>
      </c>
      <c r="L48" s="178">
        <f t="shared" si="2"/>
      </c>
      <c r="M48" s="178">
        <f t="shared" si="0"/>
      </c>
      <c r="N48" s="178">
        <f t="shared" si="4"/>
      </c>
      <c r="O48" s="185"/>
      <c r="P48" s="185"/>
      <c r="Q48" s="186"/>
    </row>
    <row r="49">
      <c r="A49" s="172">
        <v>46244</v>
      </c>
      <c r="B49" s="187" t="s">
        <v>195</v>
      </c>
      <c r="C49" s="174" t="s">
        <v>193</v>
      </c>
      <c r="D49" s="183">
        <v>5</v>
      </c>
      <c r="E49" s="177">
        <v>35</v>
      </c>
      <c r="F49" s="177">
        <v>23</v>
      </c>
      <c r="G49" s="177">
        <v>17</v>
      </c>
      <c r="H49" s="177">
        <v>12</v>
      </c>
      <c r="I49" s="177">
        <v>2</v>
      </c>
      <c r="J49" s="184">
        <v>23879.399999999994</v>
      </c>
      <c r="K49" s="184">
        <v>21105.5</v>
      </c>
      <c r="L49" s="178">
        <f t="shared" si="2"/>
      </c>
      <c r="M49" s="178">
        <f t="shared" si="0"/>
      </c>
      <c r="N49" s="178">
        <f t="shared" si="4"/>
      </c>
      <c r="Q49" s="186"/>
    </row>
    <row r="50">
      <c r="A50" s="172">
        <v>46244</v>
      </c>
      <c r="B50" s="187" t="s">
        <v>192</v>
      </c>
      <c r="C50" s="182" t="s">
        <v>196</v>
      </c>
      <c r="D50" s="183">
        <v>5</v>
      </c>
      <c r="E50" s="177">
        <v>54</v>
      </c>
      <c r="F50" s="177">
        <v>37</v>
      </c>
      <c r="G50" s="177">
        <v>27</v>
      </c>
      <c r="H50" s="177">
        <v>18</v>
      </c>
      <c r="I50" s="177">
        <v>2</v>
      </c>
      <c r="J50" s="184">
        <v>45140.600000000006</v>
      </c>
      <c r="K50" s="184">
        <v>20568.68</v>
      </c>
      <c r="L50" s="178">
        <f t="shared" si="2"/>
      </c>
      <c r="M50" s="178">
        <f t="shared" si="0"/>
      </c>
      <c r="N50" s="178">
        <f t="shared" si="4"/>
      </c>
      <c r="O50" s="179" t="s">
        <v>194</v>
      </c>
      <c r="P50" s="177">
        <v>11</v>
      </c>
      <c r="Q50" s="186"/>
    </row>
    <row r="51">
      <c r="A51" s="189">
        <v>46244</v>
      </c>
      <c r="B51" s="190"/>
      <c r="C51" s="190"/>
      <c r="D51" s="190">
        <f>SUM(D47:D50)</f>
      </c>
      <c r="E51" s="190">
        <f>SUM(E47:E50)</f>
      </c>
      <c r="F51" s="190">
        <f>SUM(F47:F50)</f>
      </c>
      <c r="G51" s="190">
        <f>SUM(G47:G50)</f>
      </c>
      <c r="H51" s="190">
        <f>SUM(H47:H50)</f>
      </c>
      <c r="I51" s="190">
        <f>SUM(I47:I50)</f>
      </c>
      <c r="J51" s="190">
        <f>SUM(J47:J50)</f>
      </c>
      <c r="K51" s="190">
        <f>SUM(K47:K50)</f>
      </c>
      <c r="L51" s="191">
        <f t="shared" si="2"/>
      </c>
      <c r="M51" s="191">
        <f t="shared" si="0"/>
      </c>
      <c r="N51" s="191">
        <f t="shared" si="4"/>
      </c>
      <c r="O51" s="192"/>
      <c r="P51" s="190">
        <f>SUM(P47:P50)</f>
      </c>
      <c r="Q51" s="193"/>
    </row>
    <row r="52">
      <c r="A52" s="172">
        <v>46245</v>
      </c>
      <c r="B52" s="173" t="s">
        <v>197</v>
      </c>
      <c r="C52" s="174" t="s">
        <v>188</v>
      </c>
      <c r="D52" s="175">
        <v>5</v>
      </c>
      <c r="E52" s="173">
        <v>26</v>
      </c>
      <c r="F52" s="176">
        <v>18</v>
      </c>
      <c r="G52" s="177">
        <v>12</v>
      </c>
      <c r="H52" s="177">
        <v>8</v>
      </c>
      <c r="I52" s="177">
        <v>0</v>
      </c>
      <c r="J52" s="177">
        <v>24245.6</v>
      </c>
      <c r="K52" s="177">
        <v>15027.95</v>
      </c>
      <c r="L52" s="178">
        <f t="shared" si="2"/>
      </c>
      <c r="M52" s="178">
        <f t="shared" si="0"/>
      </c>
      <c r="N52" s="178">
        <f t="shared" si="4"/>
      </c>
      <c r="O52" s="179" t="s">
        <v>189</v>
      </c>
      <c r="P52" s="177">
        <v>9</v>
      </c>
      <c r="Q52" s="180"/>
    </row>
    <row r="53">
      <c r="A53" s="172">
        <v>46245</v>
      </c>
      <c r="B53" s="187" t="s">
        <v>190</v>
      </c>
      <c r="C53" s="182" t="s">
        <v>191</v>
      </c>
      <c r="D53" s="183">
        <v>5</v>
      </c>
      <c r="E53" s="177">
        <v>50</v>
      </c>
      <c r="F53" s="177">
        <v>34</v>
      </c>
      <c r="G53" s="177">
        <v>26</v>
      </c>
      <c r="H53" s="177">
        <v>23</v>
      </c>
      <c r="I53" s="177">
        <v>2</v>
      </c>
      <c r="J53" s="184">
        <v>40054.8</v>
      </c>
      <c r="K53" s="184">
        <v>18369.65</v>
      </c>
      <c r="L53" s="178">
        <f t="shared" si="2"/>
      </c>
      <c r="M53" s="178">
        <f t="shared" si="0"/>
      </c>
      <c r="N53" s="178">
        <f t="shared" si="4"/>
      </c>
      <c r="O53" s="185"/>
      <c r="P53" s="185"/>
      <c r="Q53" s="186"/>
    </row>
    <row r="54">
      <c r="A54" s="172">
        <v>46245</v>
      </c>
      <c r="B54" s="187" t="s">
        <v>192</v>
      </c>
      <c r="C54" s="174" t="s">
        <v>193</v>
      </c>
      <c r="D54" s="183">
        <v>5</v>
      </c>
      <c r="E54" s="177">
        <v>27</v>
      </c>
      <c r="F54" s="177">
        <v>17</v>
      </c>
      <c r="G54" s="177">
        <v>10</v>
      </c>
      <c r="H54" s="177">
        <v>8</v>
      </c>
      <c r="I54" s="177">
        <v>1</v>
      </c>
      <c r="J54" s="184">
        <v>17576.199999999993</v>
      </c>
      <c r="K54" s="184">
        <v>13109.650000000001</v>
      </c>
      <c r="L54" s="178">
        <f t="shared" si="2"/>
      </c>
      <c r="M54" s="178">
        <f t="shared" si="0"/>
      </c>
      <c r="N54" s="178">
        <f t="shared" si="4"/>
      </c>
      <c r="Q54" s="186"/>
    </row>
    <row r="55">
      <c r="A55" s="172">
        <v>46245</v>
      </c>
      <c r="B55" s="187" t="s">
        <v>195</v>
      </c>
      <c r="C55" s="182" t="s">
        <v>196</v>
      </c>
      <c r="D55" s="183">
        <v>5</v>
      </c>
      <c r="E55" s="177">
        <v>22</v>
      </c>
      <c r="F55" s="177">
        <v>14</v>
      </c>
      <c r="G55" s="177">
        <v>11</v>
      </c>
      <c r="H55" s="177">
        <v>13</v>
      </c>
      <c r="I55" s="177">
        <v>1</v>
      </c>
      <c r="J55" s="184">
        <v>12551.200000000012</v>
      </c>
      <c r="K55" s="184">
        <v>11022.990000000002</v>
      </c>
      <c r="L55" s="178">
        <f t="shared" si="2"/>
      </c>
      <c r="M55" s="178">
        <f t="shared" si="0"/>
      </c>
      <c r="N55" s="178">
        <f t="shared" si="4"/>
      </c>
      <c r="O55" s="179" t="s">
        <v>194</v>
      </c>
      <c r="P55" s="177">
        <v>11</v>
      </c>
      <c r="Q55" s="186"/>
    </row>
    <row r="56">
      <c r="A56" s="189">
        <v>46245</v>
      </c>
      <c r="B56" s="190"/>
      <c r="C56" s="190"/>
      <c r="D56" s="190">
        <f>SUM(D52:D55)</f>
      </c>
      <c r="E56" s="190">
        <f>SUM(E52:E55)</f>
      </c>
      <c r="F56" s="190">
        <f>SUM(F52:F55)</f>
      </c>
      <c r="G56" s="190">
        <f>SUM(G52:G55)</f>
      </c>
      <c r="H56" s="190">
        <f>SUM(H52:H55)</f>
      </c>
      <c r="I56" s="190">
        <f>SUM(I52:I55)</f>
      </c>
      <c r="J56" s="190">
        <f>SUM(J52:J55)</f>
      </c>
      <c r="K56" s="190">
        <f>SUM(K52:K55)</f>
      </c>
      <c r="L56" s="191">
        <f t="shared" si="2"/>
      </c>
      <c r="M56" s="191">
        <f t="shared" si="0"/>
      </c>
      <c r="N56" s="191">
        <f t="shared" si="4"/>
      </c>
      <c r="O56" s="192"/>
      <c r="P56" s="190">
        <f>SUM(P52:P55)</f>
      </c>
      <c r="Q56" s="193"/>
    </row>
    <row r="57">
      <c r="A57" s="172">
        <v>46246</v>
      </c>
      <c r="B57" s="173" t="s">
        <v>197</v>
      </c>
      <c r="C57" s="174" t="s">
        <v>188</v>
      </c>
      <c r="D57" s="175">
        <v>5</v>
      </c>
      <c r="E57" s="173">
        <v>28</v>
      </c>
      <c r="F57" s="176">
        <v>21</v>
      </c>
      <c r="G57" s="177">
        <v>14</v>
      </c>
      <c r="H57" s="177">
        <v>13</v>
      </c>
      <c r="I57" s="177">
        <v>2</v>
      </c>
      <c r="J57" s="177">
        <v>23365.2</v>
      </c>
      <c r="K57" s="177">
        <v>11679.27</v>
      </c>
      <c r="L57" s="178">
        <f t="shared" si="2"/>
      </c>
      <c r="M57" s="178">
        <f t="shared" si="0"/>
      </c>
      <c r="N57" s="178">
        <f t="shared" si="4"/>
      </c>
      <c r="O57" s="179" t="s">
        <v>189</v>
      </c>
      <c r="P57" s="177">
        <v>10</v>
      </c>
      <c r="Q57" s="180"/>
    </row>
    <row r="58">
      <c r="A58" s="172">
        <v>46246</v>
      </c>
      <c r="B58" s="187" t="s">
        <v>190</v>
      </c>
      <c r="C58" s="182" t="s">
        <v>191</v>
      </c>
      <c r="D58" s="183">
        <v>5</v>
      </c>
      <c r="E58" s="177">
        <v>37</v>
      </c>
      <c r="F58" s="177">
        <v>28</v>
      </c>
      <c r="G58" s="177">
        <v>19</v>
      </c>
      <c r="H58" s="177">
        <v>19</v>
      </c>
      <c r="I58" s="177">
        <v>2</v>
      </c>
      <c r="J58" s="184">
        <v>26656.800000000003</v>
      </c>
      <c r="K58" s="184">
        <v>14439.87</v>
      </c>
      <c r="L58" s="178">
        <f t="shared" si="2"/>
      </c>
      <c r="M58" s="178">
        <f t="shared" si="0"/>
      </c>
      <c r="N58" s="178">
        <f t="shared" si="4"/>
      </c>
      <c r="O58" s="185"/>
      <c r="P58" s="185"/>
      <c r="Q58" s="186"/>
    </row>
    <row r="59">
      <c r="A59" s="172">
        <v>46246</v>
      </c>
      <c r="B59" s="187" t="s">
        <v>192</v>
      </c>
      <c r="C59" s="174" t="s">
        <v>193</v>
      </c>
      <c r="D59" s="183">
        <v>5</v>
      </c>
      <c r="E59" s="177">
        <v>28</v>
      </c>
      <c r="F59" s="177">
        <v>19</v>
      </c>
      <c r="G59" s="177">
        <v>19</v>
      </c>
      <c r="H59" s="177">
        <v>14</v>
      </c>
      <c r="I59" s="177">
        <v>1</v>
      </c>
      <c r="J59" s="184">
        <v>13672.8</v>
      </c>
      <c r="K59" s="184">
        <v>16462.05</v>
      </c>
      <c r="L59" s="178">
        <f t="shared" si="2"/>
      </c>
      <c r="M59" s="178">
        <f t="shared" si="0"/>
      </c>
      <c r="N59" s="178">
        <f t="shared" si="4"/>
      </c>
      <c r="Q59" s="186"/>
    </row>
    <row r="60">
      <c r="A60" s="172">
        <v>46246</v>
      </c>
      <c r="B60" s="187" t="s">
        <v>195</v>
      </c>
      <c r="C60" s="182" t="s">
        <v>196</v>
      </c>
      <c r="D60" s="183">
        <v>5</v>
      </c>
      <c r="E60" s="177">
        <v>37</v>
      </c>
      <c r="F60" s="177">
        <v>25</v>
      </c>
      <c r="G60" s="177">
        <v>18</v>
      </c>
      <c r="H60" s="177">
        <v>16</v>
      </c>
      <c r="I60" s="177">
        <v>2</v>
      </c>
      <c r="J60" s="184">
        <v>25037.919999999995</v>
      </c>
      <c r="K60" s="184">
        <v>16412.72</v>
      </c>
      <c r="L60" s="178">
        <f t="shared" si="2"/>
      </c>
      <c r="M60" s="178">
        <f t="shared" si="0"/>
      </c>
      <c r="N60" s="178">
        <f t="shared" si="4"/>
      </c>
      <c r="O60" s="179" t="s">
        <v>194</v>
      </c>
      <c r="P60" s="177">
        <v>10</v>
      </c>
      <c r="Q60" s="186"/>
    </row>
    <row r="61">
      <c r="A61" s="189">
        <v>46246</v>
      </c>
      <c r="B61" s="190"/>
      <c r="C61" s="190"/>
      <c r="D61" s="190">
        <f>SUM(D57:D60)</f>
      </c>
      <c r="E61" s="190">
        <f>SUM(E57:E60)</f>
      </c>
      <c r="F61" s="190">
        <f>SUM(F57:F60)</f>
      </c>
      <c r="G61" s="190">
        <f>SUM(G57:G60)</f>
      </c>
      <c r="H61" s="190">
        <f>SUM(H57:H60)</f>
      </c>
      <c r="I61" s="190">
        <f>SUM(I57:I60)</f>
      </c>
      <c r="J61" s="190">
        <f>SUM(J57:J60)</f>
      </c>
      <c r="K61" s="190">
        <f>SUM(K57:K60)</f>
      </c>
      <c r="L61" s="191">
        <f t="shared" si="2"/>
      </c>
      <c r="M61" s="191">
        <f t="shared" si="0"/>
      </c>
      <c r="N61" s="191">
        <f t="shared" si="4"/>
      </c>
      <c r="O61" s="192"/>
      <c r="P61" s="190">
        <f>SUM(P57:P60)</f>
      </c>
      <c r="Q61" s="193"/>
    </row>
    <row r="62">
      <c r="A62" s="172">
        <v>46247</v>
      </c>
      <c r="B62" s="173" t="s">
        <v>187</v>
      </c>
      <c r="C62" s="174" t="s">
        <v>188</v>
      </c>
      <c r="D62" s="175">
        <v>5</v>
      </c>
      <c r="E62" s="173">
        <v>34</v>
      </c>
      <c r="F62" s="176">
        <v>28</v>
      </c>
      <c r="G62" s="177">
        <v>21</v>
      </c>
      <c r="H62" s="177">
        <v>15</v>
      </c>
      <c r="I62" s="177">
        <v>3</v>
      </c>
      <c r="J62" s="177">
        <v>31038</v>
      </c>
      <c r="K62" s="177">
        <v>13042.76</v>
      </c>
      <c r="L62" s="178">
        <f t="shared" si="2"/>
      </c>
      <c r="M62" s="178">
        <f t="shared" si="0"/>
      </c>
      <c r="N62" s="178">
        <f t="shared" si="4"/>
      </c>
      <c r="O62" s="179" t="s">
        <v>189</v>
      </c>
      <c r="P62" s="177">
        <v>10</v>
      </c>
      <c r="Q62" s="180"/>
    </row>
    <row r="63">
      <c r="A63" s="172">
        <v>46247</v>
      </c>
      <c r="B63" s="187" t="s">
        <v>192</v>
      </c>
      <c r="C63" s="182" t="s">
        <v>191</v>
      </c>
      <c r="D63" s="183">
        <v>5</v>
      </c>
      <c r="E63" s="177">
        <v>36</v>
      </c>
      <c r="F63" s="177">
        <v>24</v>
      </c>
      <c r="G63" s="177">
        <v>16</v>
      </c>
      <c r="H63" s="177">
        <v>17</v>
      </c>
      <c r="I63" s="177">
        <v>2</v>
      </c>
      <c r="J63" s="184">
        <v>23348.4</v>
      </c>
      <c r="K63" s="184">
        <v>12683.8</v>
      </c>
      <c r="L63" s="178">
        <f t="shared" si="2"/>
      </c>
      <c r="M63" s="178">
        <f t="shared" si="0"/>
      </c>
      <c r="N63" s="178">
        <f t="shared" si="4"/>
      </c>
      <c r="O63" s="194"/>
      <c r="P63" s="185"/>
      <c r="Q63" s="186"/>
    </row>
    <row r="64">
      <c r="A64" s="172">
        <v>46247</v>
      </c>
      <c r="B64" s="187" t="s">
        <v>190</v>
      </c>
      <c r="C64" s="195" t="s">
        <v>193</v>
      </c>
      <c r="D64" s="196">
        <v>4</v>
      </c>
      <c r="E64" s="177">
        <v>26</v>
      </c>
      <c r="F64" s="177">
        <v>16</v>
      </c>
      <c r="G64" s="177">
        <v>11</v>
      </c>
      <c r="H64" s="177">
        <v>8</v>
      </c>
      <c r="I64" s="177">
        <v>2</v>
      </c>
      <c r="J64" s="184">
        <v>14824.400000000001</v>
      </c>
      <c r="K64" s="184">
        <v>10554.62</v>
      </c>
      <c r="L64" s="178">
        <f t="shared" si="2"/>
      </c>
      <c r="M64" s="178">
        <f t="shared" si="0"/>
      </c>
      <c r="N64" s="197">
        <f t="shared" si="4"/>
      </c>
      <c r="O64" s="198"/>
      <c r="P64" s="199"/>
      <c r="Q64" s="186"/>
    </row>
    <row r="65">
      <c r="A65" s="172">
        <v>46247</v>
      </c>
      <c r="B65" s="187" t="s">
        <v>195</v>
      </c>
      <c r="C65" s="182" t="s">
        <v>196</v>
      </c>
      <c r="D65" s="183">
        <v>5</v>
      </c>
      <c r="E65" s="177">
        <v>27</v>
      </c>
      <c r="F65" s="177">
        <v>23</v>
      </c>
      <c r="G65" s="177">
        <v>17</v>
      </c>
      <c r="H65" s="177">
        <v>9</v>
      </c>
      <c r="I65" s="177">
        <v>2</v>
      </c>
      <c r="J65" s="184">
        <v>23137.09999999999</v>
      </c>
      <c r="K65" s="184">
        <v>16248.38</v>
      </c>
      <c r="L65" s="178">
        <f t="shared" si="2"/>
      </c>
      <c r="M65" s="178">
        <f t="shared" si="0"/>
      </c>
      <c r="N65" s="178">
        <f t="shared" si="4"/>
      </c>
      <c r="O65" s="200" t="s">
        <v>194</v>
      </c>
      <c r="P65" s="177">
        <v>9</v>
      </c>
      <c r="Q65" s="186"/>
    </row>
    <row r="66">
      <c r="A66" s="189">
        <v>46247</v>
      </c>
      <c r="B66" s="190"/>
      <c r="C66" s="190"/>
      <c r="D66" s="190">
        <f>SUM(D62:D65)</f>
      </c>
      <c r="E66" s="190">
        <f>SUM(E62:E65)</f>
      </c>
      <c r="F66" s="190">
        <f>SUM(F62:F65)</f>
      </c>
      <c r="G66" s="190">
        <f>SUM(G62:G65)</f>
      </c>
      <c r="H66" s="190">
        <f>SUM(H62:H65)</f>
      </c>
      <c r="I66" s="190">
        <f>SUM(I62:I65)</f>
      </c>
      <c r="J66" s="190">
        <f>SUM(J62:J65)</f>
      </c>
      <c r="K66" s="190">
        <f>SUM(K62:K65)</f>
      </c>
      <c r="L66" s="191">
        <f t="shared" si="2"/>
      </c>
      <c r="M66" s="191">
        <f t="shared" si="0"/>
      </c>
      <c r="N66" s="191">
        <f t="shared" si="4"/>
      </c>
      <c r="O66" s="192"/>
      <c r="P66" s="190">
        <f>SUM(P62:P65)</f>
      </c>
      <c r="Q66" s="193"/>
    </row>
    <row r="67">
      <c r="A67" s="172">
        <v>46248</v>
      </c>
      <c r="B67" s="187" t="s">
        <v>190</v>
      </c>
      <c r="C67" s="174" t="s">
        <v>188</v>
      </c>
      <c r="D67" s="175">
        <v>5</v>
      </c>
      <c r="E67" s="173">
        <v>42</v>
      </c>
      <c r="F67" s="176">
        <v>27</v>
      </c>
      <c r="G67" s="177">
        <v>20</v>
      </c>
      <c r="H67" s="177">
        <v>19</v>
      </c>
      <c r="I67" s="177">
        <v>2</v>
      </c>
      <c r="J67" s="177">
        <v>30810.6</v>
      </c>
      <c r="K67" s="177">
        <v>15085.21</v>
      </c>
      <c r="L67" s="178">
        <f t="shared" si="2"/>
      </c>
      <c r="M67" s="178">
        <f t="shared" si="0"/>
      </c>
      <c r="N67" s="178">
        <f t="shared" si="4"/>
      </c>
      <c r="O67" s="179" t="s">
        <v>201</v>
      </c>
      <c r="P67" s="177">
        <v>10</v>
      </c>
      <c r="Q67" s="180"/>
    </row>
    <row r="68">
      <c r="A68" s="172">
        <v>46248</v>
      </c>
      <c r="B68" s="187" t="s">
        <v>197</v>
      </c>
      <c r="C68" s="182" t="s">
        <v>191</v>
      </c>
      <c r="D68" s="183">
        <v>5</v>
      </c>
      <c r="E68" s="177">
        <v>38</v>
      </c>
      <c r="F68" s="177">
        <v>29</v>
      </c>
      <c r="G68" s="177">
        <v>16</v>
      </c>
      <c r="H68" s="177">
        <v>18</v>
      </c>
      <c r="I68" s="177">
        <v>3</v>
      </c>
      <c r="J68" s="184">
        <v>34527.2</v>
      </c>
      <c r="K68" s="184">
        <v>14818.81</v>
      </c>
      <c r="L68" s="178">
        <f t="shared" si="2"/>
      </c>
      <c r="M68" s="178">
        <f t="shared" si="0"/>
      </c>
      <c r="N68" s="178">
        <f t="shared" si="4"/>
      </c>
      <c r="O68" s="185"/>
      <c r="P68" s="185"/>
      <c r="Q68" s="186"/>
    </row>
    <row r="69">
      <c r="A69" s="172">
        <v>46248</v>
      </c>
      <c r="B69" s="187" t="s">
        <v>195</v>
      </c>
      <c r="C69" s="174" t="s">
        <v>193</v>
      </c>
      <c r="D69" s="183">
        <v>5</v>
      </c>
      <c r="E69" s="177">
        <v>26</v>
      </c>
      <c r="F69" s="177">
        <v>19</v>
      </c>
      <c r="G69" s="177">
        <v>15</v>
      </c>
      <c r="H69" s="177">
        <v>12</v>
      </c>
      <c r="I69" s="177">
        <v>1</v>
      </c>
      <c r="J69" s="184">
        <v>18370</v>
      </c>
      <c r="K69" s="184">
        <v>12003.22</v>
      </c>
      <c r="L69" s="178">
        <f t="shared" si="2"/>
      </c>
      <c r="M69" s="178">
        <f t="shared" si="0"/>
      </c>
      <c r="N69" s="178">
        <f t="shared" si="4"/>
      </c>
      <c r="Q69" s="186"/>
    </row>
    <row r="70">
      <c r="A70" s="172">
        <v>46248</v>
      </c>
      <c r="B70" s="187" t="s">
        <v>192</v>
      </c>
      <c r="C70" s="182" t="s">
        <v>196</v>
      </c>
      <c r="D70" s="183">
        <v>5</v>
      </c>
      <c r="E70" s="177">
        <v>48</v>
      </c>
      <c r="F70" s="177">
        <v>38</v>
      </c>
      <c r="G70" s="177">
        <v>18</v>
      </c>
      <c r="H70" s="177">
        <v>28</v>
      </c>
      <c r="I70" s="177">
        <v>9</v>
      </c>
      <c r="J70" s="184">
        <v>37177.4</v>
      </c>
      <c r="K70" s="184">
        <v>13248.84</v>
      </c>
      <c r="L70" s="178">
        <f t="shared" si="2"/>
      </c>
      <c r="M70" s="178">
        <f t="shared" si="0"/>
      </c>
      <c r="N70" s="178">
        <f t="shared" si="4"/>
      </c>
      <c r="O70" s="179" t="s">
        <v>199</v>
      </c>
      <c r="P70" s="177">
        <v>10</v>
      </c>
      <c r="Q70" s="186"/>
    </row>
    <row r="71">
      <c r="A71" s="189">
        <v>46248</v>
      </c>
      <c r="B71" s="190"/>
      <c r="C71" s="190"/>
      <c r="D71" s="190">
        <f>SUM(D67:D70)</f>
      </c>
      <c r="E71" s="190">
        <f>SUM(E67:E70)</f>
      </c>
      <c r="F71" s="190">
        <f>SUM(F67:F70)</f>
      </c>
      <c r="G71" s="190">
        <f>SUM(G67:G70)</f>
      </c>
      <c r="H71" s="190">
        <f>SUM(H67:H70)</f>
      </c>
      <c r="I71" s="190">
        <f>SUM(I67:I70)</f>
      </c>
      <c r="J71" s="190">
        <f>SUM(J67:J70)</f>
      </c>
      <c r="K71" s="190">
        <f>SUM(K67:K70)</f>
      </c>
      <c r="L71" s="191">
        <f t="shared" si="2"/>
      </c>
      <c r="M71" s="191">
        <f t="shared" si="0"/>
      </c>
      <c r="N71" s="191">
        <f t="shared" si="4"/>
      </c>
      <c r="O71" s="192"/>
      <c r="P71" s="190">
        <f>SUM(P67:P70)</f>
      </c>
      <c r="Q71" s="193"/>
    </row>
    <row r="72">
      <c r="A72" s="172">
        <v>46249</v>
      </c>
      <c r="B72" s="187" t="s">
        <v>197</v>
      </c>
      <c r="C72" s="174" t="s">
        <v>188</v>
      </c>
      <c r="D72" s="175">
        <v>5</v>
      </c>
      <c r="E72" s="173">
        <v>32</v>
      </c>
      <c r="F72" s="176">
        <v>22</v>
      </c>
      <c r="G72" s="177">
        <v>19</v>
      </c>
      <c r="H72" s="177">
        <v>17</v>
      </c>
      <c r="I72" s="177">
        <v>1</v>
      </c>
      <c r="J72" s="177">
        <v>22946.2</v>
      </c>
      <c r="K72" s="177">
        <v>16453.41</v>
      </c>
      <c r="L72" s="178">
        <f t="shared" si="2"/>
      </c>
      <c r="M72" s="178">
        <f t="shared" si="0"/>
      </c>
      <c r="N72" s="178">
        <f t="shared" si="4"/>
      </c>
      <c r="O72" s="179" t="s">
        <v>201</v>
      </c>
      <c r="P72" s="177">
        <v>10</v>
      </c>
      <c r="Q72" s="180"/>
    </row>
    <row r="73">
      <c r="A73" s="172">
        <v>46249</v>
      </c>
      <c r="B73" s="187" t="s">
        <v>190</v>
      </c>
      <c r="C73" s="182" t="s">
        <v>191</v>
      </c>
      <c r="D73" s="183">
        <v>5</v>
      </c>
      <c r="E73" s="177">
        <v>26</v>
      </c>
      <c r="F73" s="177">
        <v>16</v>
      </c>
      <c r="G73" s="177">
        <v>8</v>
      </c>
      <c r="H73" s="177">
        <v>13</v>
      </c>
      <c r="I73" s="177">
        <v>1</v>
      </c>
      <c r="J73" s="184">
        <v>15609.8</v>
      </c>
      <c r="K73" s="184">
        <v>9903.49</v>
      </c>
      <c r="L73" s="178">
        <f t="shared" si="2"/>
      </c>
      <c r="M73" s="178">
        <f t="shared" si="0"/>
      </c>
      <c r="N73" s="178">
        <f t="shared" si="4"/>
      </c>
      <c r="O73" s="185"/>
      <c r="P73" s="185"/>
      <c r="Q73" s="186"/>
    </row>
    <row r="74">
      <c r="A74" s="172">
        <v>46249</v>
      </c>
      <c r="B74" s="187" t="s">
        <v>195</v>
      </c>
      <c r="C74" s="174" t="s">
        <v>193</v>
      </c>
      <c r="D74" s="183">
        <v>5</v>
      </c>
      <c r="E74" s="177">
        <v>21</v>
      </c>
      <c r="F74" s="177">
        <v>18</v>
      </c>
      <c r="G74" s="177">
        <v>11</v>
      </c>
      <c r="H74" s="177">
        <v>8</v>
      </c>
      <c r="I74" s="177">
        <v>3</v>
      </c>
      <c r="J74" s="184">
        <v>19075.6</v>
      </c>
      <c r="K74" s="184">
        <v>8567.4</v>
      </c>
      <c r="L74" s="178">
        <f t="shared" si="2"/>
      </c>
      <c r="M74" s="178">
        <f t="shared" si="0"/>
      </c>
      <c r="N74" s="178">
        <f t="shared" si="4"/>
      </c>
      <c r="Q74" s="186"/>
    </row>
    <row r="75">
      <c r="A75" s="172">
        <v>46249</v>
      </c>
      <c r="B75" s="187" t="s">
        <v>192</v>
      </c>
      <c r="C75" s="182" t="s">
        <v>196</v>
      </c>
      <c r="D75" s="183">
        <v>5</v>
      </c>
      <c r="E75" s="177">
        <v>31</v>
      </c>
      <c r="F75" s="177">
        <v>25</v>
      </c>
      <c r="G75" s="177">
        <v>18</v>
      </c>
      <c r="H75" s="177">
        <v>17</v>
      </c>
      <c r="I75" s="177">
        <v>1</v>
      </c>
      <c r="J75" s="184">
        <v>28874.2</v>
      </c>
      <c r="K75" s="184">
        <v>12114.51</v>
      </c>
      <c r="L75" s="178">
        <f t="shared" si="2"/>
      </c>
      <c r="M75" s="178">
        <f t="shared" si="0"/>
      </c>
      <c r="N75" s="178">
        <f t="shared" si="4"/>
      </c>
      <c r="O75" s="179" t="s">
        <v>199</v>
      </c>
      <c r="P75" s="177">
        <v>10</v>
      </c>
      <c r="Q75" s="186"/>
    </row>
    <row r="76">
      <c r="A76" s="189">
        <v>46249</v>
      </c>
      <c r="B76" s="190"/>
      <c r="C76" s="190"/>
      <c r="D76" s="190">
        <f>SUM(D72:D75)</f>
      </c>
      <c r="E76" s="190">
        <f>SUM(E72:E75)</f>
      </c>
      <c r="F76" s="190">
        <f>SUM(F72:F75)</f>
      </c>
      <c r="G76" s="190">
        <f>SUM(G72:G75)</f>
      </c>
      <c r="H76" s="190">
        <f>SUM(H72:H75)</f>
      </c>
      <c r="I76" s="190">
        <f>SUM(I72:I75)</f>
      </c>
      <c r="J76" s="190">
        <f>SUM(J72:J75)</f>
      </c>
      <c r="K76" s="190">
        <f>SUM(K72:K75)</f>
      </c>
      <c r="L76" s="191">
        <f t="shared" si="2"/>
      </c>
      <c r="M76" s="191">
        <f t="shared" si="0"/>
      </c>
      <c r="N76" s="191">
        <f t="shared" si="4"/>
      </c>
      <c r="O76" s="192"/>
      <c r="P76" s="190">
        <f>SUM(P72:P75)</f>
      </c>
      <c r="Q76" s="193"/>
    </row>
    <row r="77">
      <c r="A77" s="172">
        <v>46250</v>
      </c>
      <c r="B77" s="187" t="s">
        <v>197</v>
      </c>
      <c r="C77" s="174" t="s">
        <v>188</v>
      </c>
      <c r="D77" s="175">
        <v>5</v>
      </c>
      <c r="E77" s="173">
        <v>34</v>
      </c>
      <c r="F77" s="176">
        <v>29</v>
      </c>
      <c r="G77" s="177">
        <v>20</v>
      </c>
      <c r="H77" s="177">
        <v>18</v>
      </c>
      <c r="I77" s="177">
        <v>3</v>
      </c>
      <c r="J77" s="177">
        <v>31345</v>
      </c>
      <c r="K77" s="177">
        <v>18166.57</v>
      </c>
      <c r="L77" s="178">
        <f t="shared" si="2"/>
      </c>
      <c r="M77" s="178">
        <f t="shared" si="0"/>
      </c>
      <c r="N77" s="178">
        <f t="shared" si="4"/>
      </c>
      <c r="O77" s="179" t="s">
        <v>201</v>
      </c>
      <c r="P77" s="177">
        <v>10</v>
      </c>
      <c r="Q77" s="180"/>
    </row>
    <row r="78">
      <c r="A78" s="172">
        <v>46250</v>
      </c>
      <c r="B78" s="181" t="s">
        <v>192</v>
      </c>
      <c r="C78" s="182" t="s">
        <v>191</v>
      </c>
      <c r="D78" s="183">
        <v>5</v>
      </c>
      <c r="E78" s="177">
        <v>26</v>
      </c>
      <c r="F78" s="177">
        <v>21</v>
      </c>
      <c r="G78" s="177">
        <v>17</v>
      </c>
      <c r="H78" s="177">
        <v>15</v>
      </c>
      <c r="I78" s="177">
        <v>0</v>
      </c>
      <c r="J78" s="184">
        <v>26204.399999999994</v>
      </c>
      <c r="K78" s="184">
        <v>15299.59</v>
      </c>
      <c r="L78" s="178">
        <f t="shared" si="2"/>
      </c>
      <c r="M78" s="178">
        <f t="shared" si="0"/>
      </c>
      <c r="N78" s="178">
        <f t="shared" si="4"/>
      </c>
      <c r="O78" s="185"/>
      <c r="P78" s="185"/>
      <c r="Q78" s="186"/>
    </row>
    <row r="79">
      <c r="A79" s="172">
        <v>46250</v>
      </c>
      <c r="B79" s="187" t="s">
        <v>190</v>
      </c>
      <c r="C79" s="174" t="s">
        <v>193</v>
      </c>
      <c r="D79" s="183">
        <v>5</v>
      </c>
      <c r="E79" s="177">
        <v>33</v>
      </c>
      <c r="F79" s="177">
        <v>26</v>
      </c>
      <c r="G79" s="177">
        <v>11</v>
      </c>
      <c r="H79" s="177">
        <v>15</v>
      </c>
      <c r="I79" s="177">
        <v>2</v>
      </c>
      <c r="J79" s="184">
        <v>32527.199999999997</v>
      </c>
      <c r="K79" s="184">
        <v>11267.56</v>
      </c>
      <c r="L79" s="178">
        <f t="shared" si="2"/>
      </c>
      <c r="M79" s="178">
        <f t="shared" si="0"/>
      </c>
      <c r="N79" s="178">
        <f t="shared" si="4"/>
      </c>
      <c r="Q79" s="186"/>
    </row>
    <row r="80">
      <c r="A80" s="172">
        <v>46250</v>
      </c>
      <c r="B80" s="187" t="s">
        <v>195</v>
      </c>
      <c r="C80" s="182" t="s">
        <v>196</v>
      </c>
      <c r="D80" s="183">
        <v>5</v>
      </c>
      <c r="E80" s="177">
        <v>42</v>
      </c>
      <c r="F80" s="177">
        <v>31</v>
      </c>
      <c r="G80" s="177">
        <v>26</v>
      </c>
      <c r="H80" s="177">
        <v>25</v>
      </c>
      <c r="I80" s="177">
        <v>1</v>
      </c>
      <c r="J80" s="184">
        <v>29557.199999999997</v>
      </c>
      <c r="K80" s="184">
        <v>17011.7</v>
      </c>
      <c r="L80" s="178">
        <f t="shared" si="2"/>
      </c>
      <c r="M80" s="178">
        <f t="shared" si="0"/>
      </c>
      <c r="N80" s="178">
        <f t="shared" si="4"/>
      </c>
      <c r="O80" s="179" t="s">
        <v>194</v>
      </c>
      <c r="P80" s="177">
        <v>10</v>
      </c>
      <c r="Q80" s="186"/>
    </row>
    <row r="81">
      <c r="A81" s="189">
        <v>46250</v>
      </c>
      <c r="B81" s="190"/>
      <c r="C81" s="190"/>
      <c r="D81" s="190">
        <f>SUM(D77:D80)</f>
      </c>
      <c r="E81" s="190">
        <f>SUM(E77:E80)</f>
      </c>
      <c r="F81" s="190">
        <f>SUM(F77:F80)</f>
      </c>
      <c r="G81" s="190">
        <f>SUM(G77:G80)</f>
      </c>
      <c r="H81" s="190">
        <f>SUM(H77:H80)</f>
      </c>
      <c r="I81" s="190">
        <f>SUM(I77:I80)</f>
      </c>
      <c r="J81" s="190">
        <f>SUM(J77:J80)</f>
      </c>
      <c r="K81" s="190">
        <f>SUM(K77:K80)</f>
      </c>
      <c r="L81" s="191">
        <f t="shared" si="2"/>
      </c>
      <c r="M81" s="191">
        <f t="shared" si="0"/>
      </c>
      <c r="N81" s="191">
        <f t="shared" si="4"/>
      </c>
      <c r="O81" s="192"/>
      <c r="P81" s="190">
        <f>SUM(P77:P80)</f>
      </c>
      <c r="Q81" s="193"/>
    </row>
    <row r="82">
      <c r="A82" s="172">
        <v>46251</v>
      </c>
      <c r="B82" s="187" t="s">
        <v>197</v>
      </c>
      <c r="C82" s="174" t="s">
        <v>188</v>
      </c>
      <c r="D82" s="175">
        <v>5</v>
      </c>
      <c r="E82" s="173">
        <v>46</v>
      </c>
      <c r="F82" s="176">
        <v>38</v>
      </c>
      <c r="G82" s="177">
        <v>27</v>
      </c>
      <c r="H82" s="177">
        <v>26</v>
      </c>
      <c r="I82" s="177">
        <v>5</v>
      </c>
      <c r="J82" s="177">
        <v>29662.2</v>
      </c>
      <c r="K82" s="177">
        <v>20923.219999999998</v>
      </c>
      <c r="L82" s="178">
        <f t="shared" si="2"/>
      </c>
      <c r="M82" s="178">
        <f t="shared" si="0"/>
      </c>
      <c r="N82" s="178">
        <f t="shared" si="4"/>
      </c>
      <c r="O82" s="179" t="s">
        <v>201</v>
      </c>
      <c r="P82" s="177">
        <v>10</v>
      </c>
      <c r="Q82" s="180"/>
    </row>
    <row r="83">
      <c r="A83" s="172">
        <v>46251</v>
      </c>
      <c r="B83" s="181" t="s">
        <v>192</v>
      </c>
      <c r="C83" s="182" t="s">
        <v>191</v>
      </c>
      <c r="D83" s="183">
        <v>5</v>
      </c>
      <c r="E83" s="177">
        <v>33</v>
      </c>
      <c r="F83" s="177">
        <v>25</v>
      </c>
      <c r="G83" s="177">
        <v>9</v>
      </c>
      <c r="H83" s="177">
        <v>13</v>
      </c>
      <c r="I83" s="177">
        <v>6</v>
      </c>
      <c r="J83" s="184">
        <v>25939.4</v>
      </c>
      <c r="K83" s="184">
        <v>13459.66</v>
      </c>
      <c r="L83" s="178">
        <f t="shared" si="2"/>
      </c>
      <c r="M83" s="178">
        <f t="shared" si="0"/>
      </c>
      <c r="N83" s="178">
        <f t="shared" si="4"/>
      </c>
      <c r="O83" s="185"/>
      <c r="P83" s="185"/>
      <c r="Q83" s="186"/>
    </row>
    <row r="84">
      <c r="A84" s="172">
        <v>46251</v>
      </c>
      <c r="B84" s="187" t="s">
        <v>190</v>
      </c>
      <c r="C84" s="174" t="s">
        <v>193</v>
      </c>
      <c r="D84" s="183">
        <v>5</v>
      </c>
      <c r="E84" s="177">
        <v>39</v>
      </c>
      <c r="F84" s="177">
        <v>28</v>
      </c>
      <c r="G84" s="177">
        <v>17</v>
      </c>
      <c r="H84" s="177">
        <v>15</v>
      </c>
      <c r="I84" s="177">
        <v>2</v>
      </c>
      <c r="J84" s="184">
        <v>32437.899999999998</v>
      </c>
      <c r="K84" s="184">
        <v>13149.09</v>
      </c>
      <c r="L84" s="178">
        <f t="shared" si="2"/>
      </c>
      <c r="M84" s="178">
        <f t="shared" si="0"/>
      </c>
      <c r="N84" s="178">
        <f t="shared" si="4"/>
      </c>
      <c r="Q84" s="186"/>
    </row>
    <row r="85">
      <c r="A85" s="172">
        <v>46251</v>
      </c>
      <c r="B85" s="187" t="s">
        <v>195</v>
      </c>
      <c r="C85" s="182" t="s">
        <v>196</v>
      </c>
      <c r="D85" s="183">
        <v>5</v>
      </c>
      <c r="E85" s="177">
        <v>38</v>
      </c>
      <c r="F85" s="177">
        <v>28</v>
      </c>
      <c r="G85" s="177">
        <v>22</v>
      </c>
      <c r="H85" s="177">
        <v>19</v>
      </c>
      <c r="I85" s="177">
        <v>1</v>
      </c>
      <c r="J85" s="184">
        <v>26956.80000000001</v>
      </c>
      <c r="K85" s="184">
        <v>21959.109999999997</v>
      </c>
      <c r="L85" s="178">
        <f t="shared" si="2"/>
      </c>
      <c r="M85" s="178">
        <f t="shared" si="0"/>
      </c>
      <c r="N85" s="178">
        <f t="shared" si="4"/>
      </c>
      <c r="O85" s="179" t="s">
        <v>194</v>
      </c>
      <c r="P85" s="177">
        <v>10</v>
      </c>
      <c r="Q85" s="186"/>
    </row>
    <row r="86">
      <c r="A86" s="189">
        <v>46251</v>
      </c>
      <c r="B86" s="190"/>
      <c r="C86" s="190"/>
      <c r="D86" s="190">
        <f>SUM(D82:D85)</f>
      </c>
      <c r="E86" s="190">
        <f>SUM(E82:E85)</f>
      </c>
      <c r="F86" s="190">
        <f>SUM(F82:F85)</f>
      </c>
      <c r="G86" s="190">
        <f>SUM(G82:G85)</f>
      </c>
      <c r="H86" s="190">
        <f>SUM(H82:H85)</f>
      </c>
      <c r="I86" s="190">
        <f>SUM(I82:I85)</f>
      </c>
      <c r="J86" s="190">
        <f>SUM(J82:J85)</f>
      </c>
      <c r="K86" s="190">
        <f>SUM(K82:K85)</f>
      </c>
      <c r="L86" s="191">
        <f t="shared" si="2"/>
      </c>
      <c r="M86" s="191">
        <f t="shared" si="0"/>
      </c>
      <c r="N86" s="191">
        <f t="shared" si="4"/>
      </c>
      <c r="O86" s="192"/>
      <c r="P86" s="190">
        <f>SUM(P82:P85)</f>
      </c>
      <c r="Q86" s="193"/>
    </row>
    <row r="87">
      <c r="A87" s="172">
        <v>46252</v>
      </c>
      <c r="B87" s="187" t="s">
        <v>197</v>
      </c>
      <c r="C87" s="174" t="s">
        <v>188</v>
      </c>
      <c r="D87" s="175">
        <v>5</v>
      </c>
      <c r="E87" s="173">
        <v>33</v>
      </c>
      <c r="F87" s="176">
        <v>25</v>
      </c>
      <c r="G87" s="177">
        <v>18</v>
      </c>
      <c r="H87" s="177">
        <v>17</v>
      </c>
      <c r="I87" s="177">
        <v>2</v>
      </c>
      <c r="J87" s="177">
        <v>26074.799999999996</v>
      </c>
      <c r="K87" s="177">
        <v>16388.73</v>
      </c>
      <c r="L87" s="178">
        <f t="shared" si="2"/>
      </c>
      <c r="M87" s="178">
        <f t="shared" si="0"/>
      </c>
      <c r="N87" s="178">
        <f t="shared" si="4"/>
      </c>
      <c r="O87" s="179" t="s">
        <v>201</v>
      </c>
      <c r="P87" s="177">
        <v>10</v>
      </c>
      <c r="Q87" s="180"/>
    </row>
    <row r="88">
      <c r="A88" s="172">
        <v>46252</v>
      </c>
      <c r="B88" s="181" t="s">
        <v>192</v>
      </c>
      <c r="C88" s="182" t="s">
        <v>191</v>
      </c>
      <c r="D88" s="183">
        <v>5</v>
      </c>
      <c r="E88" s="177">
        <v>18</v>
      </c>
      <c r="F88" s="177">
        <v>18</v>
      </c>
      <c r="G88" s="177">
        <v>5</v>
      </c>
      <c r="H88" s="177">
        <v>13</v>
      </c>
      <c r="I88" s="177">
        <v>3</v>
      </c>
      <c r="J88" s="184">
        <v>16377.599999999999</v>
      </c>
      <c r="K88" s="184">
        <v>8755.38</v>
      </c>
      <c r="L88" s="178">
        <f t="shared" si="2"/>
      </c>
      <c r="M88" s="178">
        <f t="shared" si="0"/>
      </c>
      <c r="N88" s="178">
        <f t="shared" si="4"/>
      </c>
      <c r="O88" s="185"/>
      <c r="P88" s="185"/>
      <c r="Q88" s="186"/>
    </row>
    <row r="89">
      <c r="A89" s="172">
        <v>46252</v>
      </c>
      <c r="B89" s="187" t="s">
        <v>190</v>
      </c>
      <c r="C89" s="174" t="s">
        <v>193</v>
      </c>
      <c r="D89" s="183">
        <v>5</v>
      </c>
      <c r="E89" s="177">
        <v>26</v>
      </c>
      <c r="F89" s="177">
        <v>22</v>
      </c>
      <c r="G89" s="177">
        <v>10</v>
      </c>
      <c r="H89" s="177">
        <v>13</v>
      </c>
      <c r="I89" s="177">
        <v>2</v>
      </c>
      <c r="J89" s="184">
        <v>20258.6</v>
      </c>
      <c r="K89" s="184">
        <v>9559.47</v>
      </c>
      <c r="L89" s="178">
        <f t="shared" si="2"/>
      </c>
      <c r="M89" s="178">
        <f t="shared" si="0"/>
      </c>
      <c r="N89" s="178">
        <f t="shared" si="4"/>
      </c>
      <c r="Q89" s="186"/>
    </row>
    <row r="90">
      <c r="A90" s="172">
        <v>46252</v>
      </c>
      <c r="B90" s="187" t="s">
        <v>195</v>
      </c>
      <c r="C90" s="182" t="s">
        <v>196</v>
      </c>
      <c r="D90" s="183">
        <v>5</v>
      </c>
      <c r="E90" s="177">
        <v>32</v>
      </c>
      <c r="F90" s="177">
        <v>28</v>
      </c>
      <c r="G90" s="177">
        <v>18</v>
      </c>
      <c r="H90" s="177">
        <v>18</v>
      </c>
      <c r="I90" s="177">
        <v>2</v>
      </c>
      <c r="J90" s="184">
        <v>34508</v>
      </c>
      <c r="K90" s="184">
        <v>12528.990000000002</v>
      </c>
      <c r="L90" s="178">
        <f t="shared" si="2"/>
      </c>
      <c r="M90" s="178">
        <f t="shared" si="0"/>
      </c>
      <c r="N90" s="178">
        <f t="shared" si="4"/>
      </c>
      <c r="O90" s="179" t="s">
        <v>194</v>
      </c>
      <c r="P90" s="177">
        <v>10</v>
      </c>
      <c r="Q90" s="186"/>
    </row>
    <row r="91">
      <c r="A91" s="189">
        <v>46252</v>
      </c>
      <c r="B91" s="190"/>
      <c r="C91" s="190"/>
      <c r="D91" s="190">
        <f>SUM(D87:D90)</f>
      </c>
      <c r="E91" s="190">
        <f>SUM(E87:E90)</f>
      </c>
      <c r="F91" s="190">
        <f>SUM(F87:F90)</f>
      </c>
      <c r="G91" s="190">
        <f>SUM(G87:G90)</f>
      </c>
      <c r="H91" s="190">
        <f>SUM(H87:H90)</f>
      </c>
      <c r="I91" s="190">
        <f>SUM(I87:I90)</f>
      </c>
      <c r="J91" s="190">
        <f>SUM(J87:J90)</f>
      </c>
      <c r="K91" s="190">
        <f>SUM(K87:K90)</f>
      </c>
      <c r="L91" s="191">
        <f t="shared" si="2"/>
      </c>
      <c r="M91" s="191">
        <f t="shared" si="0"/>
      </c>
      <c r="N91" s="191">
        <f t="shared" si="4"/>
      </c>
      <c r="O91" s="192"/>
      <c r="P91" s="190">
        <f>SUM(P87:P90)</f>
      </c>
      <c r="Q91" s="193"/>
    </row>
    <row r="92">
      <c r="A92" s="172">
        <v>46253</v>
      </c>
      <c r="B92" s="187" t="s">
        <v>197</v>
      </c>
      <c r="C92" s="174" t="s">
        <v>188</v>
      </c>
      <c r="D92" s="175">
        <v>5</v>
      </c>
      <c r="E92" s="173">
        <v>33</v>
      </c>
      <c r="F92" s="176">
        <v>27</v>
      </c>
      <c r="G92" s="177">
        <v>18</v>
      </c>
      <c r="H92" s="177">
        <v>21</v>
      </c>
      <c r="I92" s="177">
        <v>2</v>
      </c>
      <c r="J92" s="177">
        <v>24888.000000000007</v>
      </c>
      <c r="K92" s="177">
        <v>16112.91</v>
      </c>
      <c r="L92" s="178">
        <f t="shared" si="2"/>
      </c>
      <c r="M92" s="178">
        <f t="shared" si="0"/>
      </c>
      <c r="N92" s="178">
        <f t="shared" si="4"/>
      </c>
      <c r="O92" s="179" t="s">
        <v>201</v>
      </c>
      <c r="P92" s="177">
        <v>10</v>
      </c>
      <c r="Q92" s="180"/>
    </row>
    <row r="93">
      <c r="A93" s="172">
        <v>46253</v>
      </c>
      <c r="B93" s="187" t="s">
        <v>190</v>
      </c>
      <c r="C93" s="182" t="s">
        <v>191</v>
      </c>
      <c r="D93" s="183">
        <v>5</v>
      </c>
      <c r="E93" s="177">
        <v>55</v>
      </c>
      <c r="F93" s="177">
        <v>45</v>
      </c>
      <c r="G93" s="177">
        <v>26</v>
      </c>
      <c r="H93" s="177">
        <v>35</v>
      </c>
      <c r="I93" s="177">
        <v>6</v>
      </c>
      <c r="J93" s="184">
        <v>38236.9</v>
      </c>
      <c r="K93" s="184">
        <v>19764.829999999998</v>
      </c>
      <c r="L93" s="178">
        <f t="shared" si="2"/>
      </c>
      <c r="M93" s="178">
        <f t="shared" si="0"/>
      </c>
      <c r="N93" s="178">
        <f t="shared" si="4"/>
      </c>
      <c r="O93" s="194"/>
      <c r="P93" s="185"/>
      <c r="Q93" s="186"/>
    </row>
    <row r="94">
      <c r="A94" s="172">
        <v>46253</v>
      </c>
      <c r="B94" s="187" t="s">
        <v>192</v>
      </c>
      <c r="C94" s="174" t="s">
        <v>193</v>
      </c>
      <c r="D94" s="183">
        <v>5</v>
      </c>
      <c r="E94" s="177">
        <v>20</v>
      </c>
      <c r="F94" s="177">
        <v>13</v>
      </c>
      <c r="G94" s="177">
        <v>10</v>
      </c>
      <c r="H94" s="177">
        <v>10</v>
      </c>
      <c r="I94" s="177">
        <v>1</v>
      </c>
      <c r="J94" s="184">
        <v>13718.400000000001</v>
      </c>
      <c r="K94" s="184">
        <v>12457.53</v>
      </c>
      <c r="L94" s="178">
        <f t="shared" si="2"/>
      </c>
      <c r="M94" s="178">
        <f t="shared" si="0"/>
      </c>
      <c r="N94" s="197">
        <f t="shared" si="4"/>
      </c>
      <c r="O94" s="198"/>
      <c r="P94" s="199"/>
      <c r="Q94" s="186"/>
    </row>
    <row r="95">
      <c r="A95" s="172">
        <v>46253</v>
      </c>
      <c r="B95" s="187" t="s">
        <v>195</v>
      </c>
      <c r="C95" s="182" t="s">
        <v>196</v>
      </c>
      <c r="D95" s="183">
        <v>5</v>
      </c>
      <c r="E95" s="177">
        <v>30</v>
      </c>
      <c r="F95" s="177">
        <v>16</v>
      </c>
      <c r="G95" s="177">
        <v>14</v>
      </c>
      <c r="H95" s="177">
        <v>11</v>
      </c>
      <c r="I95" s="177">
        <v>1</v>
      </c>
      <c r="J95" s="184">
        <v>13696.399999999998</v>
      </c>
      <c r="K95" s="184">
        <v>15204.11</v>
      </c>
      <c r="L95" s="178">
        <f t="shared" si="2"/>
      </c>
      <c r="M95" s="178">
        <f t="shared" si="0"/>
      </c>
      <c r="N95" s="178">
        <f t="shared" si="4"/>
      </c>
      <c r="O95" s="200" t="s">
        <v>194</v>
      </c>
      <c r="P95" s="177">
        <v>10</v>
      </c>
      <c r="Q95" s="186"/>
    </row>
    <row r="96">
      <c r="A96" s="189">
        <v>46253</v>
      </c>
      <c r="B96" s="190"/>
      <c r="C96" s="190"/>
      <c r="D96" s="190">
        <f>SUM(D92:D95)</f>
      </c>
      <c r="E96" s="190">
        <f>SUM(E92:E95)</f>
      </c>
      <c r="F96" s="190">
        <f>SUM(F92:F95)</f>
      </c>
      <c r="G96" s="190">
        <f>SUM(G92:G95)</f>
      </c>
      <c r="H96" s="190">
        <f>SUM(H92:H95)</f>
      </c>
      <c r="I96" s="190">
        <f>SUM(I92:I95)</f>
      </c>
      <c r="J96" s="190">
        <f>SUM(J92:J95)</f>
      </c>
      <c r="K96" s="190">
        <f>SUM(K92:K95)</f>
      </c>
      <c r="L96" s="191">
        <f t="shared" si="2"/>
      </c>
      <c r="M96" s="191">
        <f t="shared" si="0"/>
      </c>
      <c r="N96" s="191">
        <f t="shared" si="4"/>
      </c>
      <c r="O96" s="192"/>
      <c r="P96" s="190">
        <f>SUM(P92:P95)</f>
      </c>
      <c r="Q96" s="193"/>
    </row>
    <row customHeight="true" ht="16.071428571428573" r="97">
      <c r="A97" s="172">
        <v>46254</v>
      </c>
      <c r="B97" s="181" t="s">
        <v>190</v>
      </c>
      <c r="C97" s="174" t="s">
        <v>188</v>
      </c>
      <c r="D97" s="175">
        <v>5</v>
      </c>
      <c r="E97" s="173">
        <v>41</v>
      </c>
      <c r="F97" s="176">
        <v>32</v>
      </c>
      <c r="G97" s="177">
        <v>20</v>
      </c>
      <c r="H97" s="177">
        <v>19</v>
      </c>
      <c r="I97" s="177">
        <v>5</v>
      </c>
      <c r="J97" s="177">
        <v>23469.4</v>
      </c>
      <c r="K97" s="177">
        <v>16617.64</v>
      </c>
      <c r="L97" s="178">
        <f t="shared" si="2"/>
      </c>
      <c r="M97" s="178">
        <f t="shared" si="0"/>
      </c>
      <c r="N97" s="178">
        <f t="shared" si="4"/>
      </c>
      <c r="O97" s="179" t="s">
        <v>201</v>
      </c>
      <c r="P97" s="177">
        <v>10</v>
      </c>
      <c r="Q97" s="180"/>
    </row>
    <row customHeight="true" ht="16.071428571428573" r="98">
      <c r="A98" s="172">
        <v>46254</v>
      </c>
      <c r="B98" s="181" t="s">
        <v>195</v>
      </c>
      <c r="C98" s="182" t="s">
        <v>191</v>
      </c>
      <c r="D98" s="183">
        <v>5</v>
      </c>
      <c r="E98" s="177">
        <v>32</v>
      </c>
      <c r="F98" s="177">
        <v>21</v>
      </c>
      <c r="G98" s="177">
        <v>12</v>
      </c>
      <c r="H98" s="177">
        <v>15</v>
      </c>
      <c r="I98" s="177">
        <v>2</v>
      </c>
      <c r="J98" s="184">
        <v>19814.4</v>
      </c>
      <c r="K98" s="184">
        <v>15140.51</v>
      </c>
      <c r="L98" s="178">
        <f t="shared" si="2"/>
      </c>
      <c r="M98" s="178">
        <f t="shared" si="0"/>
      </c>
      <c r="N98" s="178">
        <f t="shared" si="4"/>
      </c>
      <c r="O98" s="185"/>
      <c r="P98" s="185"/>
      <c r="Q98" s="186"/>
    </row>
    <row customHeight="true" ht="16.071428571428573" r="99">
      <c r="A99" s="172">
        <v>46254</v>
      </c>
      <c r="B99" s="187" t="s">
        <v>197</v>
      </c>
      <c r="C99" s="174" t="s">
        <v>193</v>
      </c>
      <c r="D99" s="183">
        <v>5</v>
      </c>
      <c r="E99" s="177">
        <v>68</v>
      </c>
      <c r="F99" s="177">
        <v>54</v>
      </c>
      <c r="G99" s="177">
        <v>24</v>
      </c>
      <c r="H99" s="177">
        <v>31</v>
      </c>
      <c r="I99" s="177">
        <v>6</v>
      </c>
      <c r="J99" s="184">
        <v>65007.20000000002</v>
      </c>
      <c r="K99" s="184">
        <v>17994.41</v>
      </c>
      <c r="L99" s="178">
        <f t="shared" si="2"/>
      </c>
      <c r="M99" s="178">
        <f t="shared" si="0"/>
      </c>
      <c r="N99" s="178">
        <f t="shared" si="4"/>
      </c>
      <c r="Q99" s="186"/>
    </row>
    <row customHeight="true" ht="16.071428571428573" r="100">
      <c r="A100" s="172">
        <v>46254</v>
      </c>
      <c r="B100" s="187" t="s">
        <v>192</v>
      </c>
      <c r="C100" s="182" t="s">
        <v>196</v>
      </c>
      <c r="D100" s="183">
        <v>5</v>
      </c>
      <c r="E100" s="177">
        <v>59</v>
      </c>
      <c r="F100" s="177">
        <v>40</v>
      </c>
      <c r="G100" s="177">
        <v>36</v>
      </c>
      <c r="H100" s="177">
        <v>28</v>
      </c>
      <c r="I100" s="177">
        <v>6</v>
      </c>
      <c r="J100" s="184">
        <v>45795.100000000006</v>
      </c>
      <c r="K100" s="184">
        <v>24670.31</v>
      </c>
      <c r="L100" s="178">
        <f t="shared" si="2"/>
      </c>
      <c r="M100" s="178">
        <f t="shared" si="0"/>
      </c>
      <c r="N100" s="178">
        <f t="shared" si="4"/>
      </c>
      <c r="O100" s="179" t="s">
        <v>194</v>
      </c>
      <c r="P100" s="177">
        <v>10</v>
      </c>
      <c r="Q100" s="186"/>
    </row>
    <row customHeight="true" ht="16.071428571428573" r="101">
      <c r="A101" s="189">
        <v>46254</v>
      </c>
      <c r="B101" s="190"/>
      <c r="C101" s="190"/>
      <c r="D101" s="190">
        <f>SUM(D97:D100)</f>
      </c>
      <c r="E101" s="190">
        <f>SUM(E97:E100)</f>
      </c>
      <c r="F101" s="190">
        <f>SUM(F97:F100)</f>
      </c>
      <c r="G101" s="190">
        <f>SUM(G97:G100)</f>
      </c>
      <c r="H101" s="190">
        <f>SUM(H97:H100)</f>
      </c>
      <c r="I101" s="190">
        <f>SUM(I97:I100)</f>
      </c>
      <c r="J101" s="190">
        <f>SUM(J97:J100)</f>
      </c>
      <c r="K101" s="190">
        <f>SUM(K97:K100)</f>
      </c>
      <c r="L101" s="191">
        <f t="shared" si="2"/>
      </c>
      <c r="M101" s="191">
        <f t="shared" si="0"/>
      </c>
      <c r="N101" s="191">
        <f t="shared" si="4"/>
      </c>
      <c r="O101" s="192"/>
      <c r="P101" s="190">
        <f>SUM(P97:P100)</f>
      </c>
      <c r="Q101" s="193"/>
    </row>
    <row customHeight="true" ht="16.071428571428573" r="102">
      <c r="A102" s="172">
        <v>46255</v>
      </c>
      <c r="B102" s="181" t="s">
        <v>190</v>
      </c>
      <c r="C102" s="174" t="s">
        <v>188</v>
      </c>
      <c r="D102" s="175">
        <v>5</v>
      </c>
      <c r="E102" s="173">
        <v>76</v>
      </c>
      <c r="F102" s="176">
        <v>54</v>
      </c>
      <c r="G102" s="177">
        <v>32</v>
      </c>
      <c r="H102" s="177">
        <v>31</v>
      </c>
      <c r="I102" s="177">
        <v>7</v>
      </c>
      <c r="J102" s="177">
        <v>51881.20000000001</v>
      </c>
      <c r="K102" s="177">
        <v>29836.600000000002</v>
      </c>
      <c r="L102" s="178">
        <f t="shared" si="2"/>
      </c>
      <c r="M102" s="178">
        <f t="shared" si="0"/>
      </c>
      <c r="N102" s="178">
        <f t="shared" si="4"/>
      </c>
      <c r="O102" s="179" t="s">
        <v>201</v>
      </c>
      <c r="P102" s="177">
        <v>10</v>
      </c>
      <c r="Q102" s="180"/>
    </row>
    <row customHeight="true" ht="16.071428571428573" r="103">
      <c r="A103" s="172">
        <v>46255</v>
      </c>
      <c r="B103" s="187" t="s">
        <v>197</v>
      </c>
      <c r="C103" s="182" t="s">
        <v>191</v>
      </c>
      <c r="D103" s="183">
        <v>5</v>
      </c>
      <c r="E103" s="177">
        <v>59</v>
      </c>
      <c r="F103" s="177">
        <v>53</v>
      </c>
      <c r="G103" s="177">
        <v>32</v>
      </c>
      <c r="H103" s="177">
        <v>35</v>
      </c>
      <c r="I103" s="177">
        <v>7</v>
      </c>
      <c r="J103" s="184">
        <v>50287.50000000001</v>
      </c>
      <c r="K103" s="184">
        <v>27886.12</v>
      </c>
      <c r="L103" s="178">
        <f t="shared" si="2"/>
      </c>
      <c r="M103" s="178">
        <f t="shared" si="0"/>
      </c>
      <c r="N103" s="178">
        <f t="shared" si="4"/>
      </c>
      <c r="O103" s="194"/>
      <c r="P103" s="185"/>
      <c r="Q103" s="186"/>
    </row>
    <row customHeight="true" ht="16.071428571428573" r="104">
      <c r="A104" s="172">
        <v>46255</v>
      </c>
      <c r="B104" s="187" t="s">
        <v>187</v>
      </c>
      <c r="C104" s="174" t="s">
        <v>193</v>
      </c>
      <c r="D104" s="183">
        <v>5</v>
      </c>
      <c r="E104" s="177">
        <v>43</v>
      </c>
      <c r="F104" s="177">
        <v>31</v>
      </c>
      <c r="G104" s="177">
        <v>27</v>
      </c>
      <c r="H104" s="177">
        <v>17</v>
      </c>
      <c r="I104" s="177">
        <v>2</v>
      </c>
      <c r="J104" s="184">
        <v>29385.4</v>
      </c>
      <c r="K104" s="184">
        <v>24722.379999999997</v>
      </c>
      <c r="L104" s="178">
        <f t="shared" si="2"/>
      </c>
      <c r="M104" s="178">
        <f t="shared" si="0"/>
      </c>
      <c r="N104" s="197">
        <f t="shared" si="4"/>
      </c>
      <c r="O104" s="198"/>
      <c r="P104" s="199"/>
      <c r="Q104" s="186"/>
    </row>
    <row customHeight="true" ht="16.071428571428573" r="105">
      <c r="A105" s="172">
        <v>46255</v>
      </c>
      <c r="B105" s="181" t="s">
        <v>195</v>
      </c>
      <c r="C105" s="182" t="s">
        <v>196</v>
      </c>
      <c r="D105" s="183">
        <v>5</v>
      </c>
      <c r="E105" s="177">
        <v>40</v>
      </c>
      <c r="F105" s="177">
        <v>26</v>
      </c>
      <c r="G105" s="177">
        <v>21</v>
      </c>
      <c r="H105" s="177">
        <v>17</v>
      </c>
      <c r="I105" s="177">
        <v>1</v>
      </c>
      <c r="J105" s="184">
        <v>30198.000000000015</v>
      </c>
      <c r="K105" s="184">
        <v>19425.07</v>
      </c>
      <c r="L105" s="178">
        <f t="shared" si="2"/>
      </c>
      <c r="M105" s="178">
        <f t="shared" si="0"/>
      </c>
      <c r="N105" s="178">
        <f t="shared" si="4"/>
      </c>
      <c r="O105" s="200" t="s">
        <v>194</v>
      </c>
      <c r="P105" s="177">
        <v>10</v>
      </c>
      <c r="Q105" s="186"/>
    </row>
    <row customHeight="true" ht="16.071428571428573" r="106">
      <c r="A106" s="189">
        <v>46255</v>
      </c>
      <c r="B106" s="190"/>
      <c r="C106" s="190"/>
      <c r="D106" s="190">
        <f>SUM(D102:D105)</f>
      </c>
      <c r="E106" s="190">
        <f>SUM(E102:E105)</f>
      </c>
      <c r="F106" s="190">
        <f>SUM(F102:F105)</f>
      </c>
      <c r="G106" s="190">
        <f>SUM(G102:G105)</f>
      </c>
      <c r="H106" s="190">
        <f>SUM(H102:H105)</f>
      </c>
      <c r="I106" s="190">
        <f>SUM(I102:I105)</f>
      </c>
      <c r="J106" s="190">
        <f>SUM(J102:J105)</f>
      </c>
      <c r="K106" s="190">
        <f>SUM(K102:K105)</f>
      </c>
      <c r="L106" s="191">
        <f t="shared" si="2"/>
      </c>
      <c r="M106" s="191">
        <f t="shared" si="0"/>
      </c>
      <c r="N106" s="191">
        <f t="shared" si="4"/>
      </c>
      <c r="O106" s="192"/>
      <c r="P106" s="190">
        <f>SUM(P102:P105)</f>
      </c>
      <c r="Q106" s="193"/>
    </row>
    <row customHeight="true" ht="16.071428571428573" r="107">
      <c r="A107" s="172">
        <v>46256</v>
      </c>
      <c r="B107" s="181" t="s">
        <v>187</v>
      </c>
      <c r="C107" s="174" t="s">
        <v>188</v>
      </c>
      <c r="D107" s="175">
        <v>5</v>
      </c>
      <c r="E107" s="173">
        <v>54</v>
      </c>
      <c r="F107" s="176">
        <v>38</v>
      </c>
      <c r="G107" s="177">
        <v>23</v>
      </c>
      <c r="H107" s="177">
        <v>27</v>
      </c>
      <c r="I107" s="177">
        <v>7</v>
      </c>
      <c r="J107" s="177">
        <v>40148.5</v>
      </c>
      <c r="K107" s="177">
        <v>18744.039999999997</v>
      </c>
      <c r="L107" s="178">
        <f t="shared" si="2"/>
      </c>
      <c r="M107" s="178">
        <f t="shared" si="0"/>
      </c>
      <c r="N107" s="178">
        <f t="shared" si="4"/>
      </c>
      <c r="O107" s="179" t="s">
        <v>201</v>
      </c>
      <c r="P107" s="177">
        <v>10</v>
      </c>
      <c r="Q107" s="180"/>
    </row>
    <row customHeight="true" ht="16.071428571428573" r="108">
      <c r="A108" s="172">
        <v>46256</v>
      </c>
      <c r="B108" s="181" t="s">
        <v>190</v>
      </c>
      <c r="C108" s="182" t="s">
        <v>191</v>
      </c>
      <c r="D108" s="183">
        <v>5</v>
      </c>
      <c r="E108" s="177">
        <v>62</v>
      </c>
      <c r="F108" s="177">
        <v>44</v>
      </c>
      <c r="G108" s="177">
        <v>32</v>
      </c>
      <c r="H108" s="177">
        <v>26</v>
      </c>
      <c r="I108" s="177">
        <v>3</v>
      </c>
      <c r="J108" s="184">
        <v>41840.600000000006</v>
      </c>
      <c r="K108" s="184">
        <v>21680.3</v>
      </c>
      <c r="L108" s="178">
        <f t="shared" si="2"/>
      </c>
      <c r="M108" s="178">
        <f t="shared" si="0"/>
      </c>
      <c r="N108" s="178">
        <f t="shared" si="4"/>
      </c>
      <c r="O108" s="185"/>
      <c r="P108" s="185"/>
      <c r="Q108" s="186"/>
    </row>
    <row customHeight="true" ht="16.071428571428573" r="109">
      <c r="A109" s="172">
        <v>46256</v>
      </c>
      <c r="B109" s="181" t="s">
        <v>195</v>
      </c>
      <c r="C109" s="174" t="s">
        <v>193</v>
      </c>
      <c r="D109" s="183">
        <v>5</v>
      </c>
      <c r="E109" s="177">
        <v>40</v>
      </c>
      <c r="F109" s="177">
        <v>26</v>
      </c>
      <c r="G109" s="177">
        <v>15</v>
      </c>
      <c r="H109" s="177">
        <v>17</v>
      </c>
      <c r="I109" s="177">
        <v>3</v>
      </c>
      <c r="J109" s="184">
        <v>34175.8</v>
      </c>
      <c r="K109" s="184">
        <v>17114.010000000002</v>
      </c>
      <c r="L109" s="178">
        <f t="shared" si="2"/>
      </c>
      <c r="M109" s="178">
        <f t="shared" si="0"/>
      </c>
      <c r="N109" s="178">
        <f t="shared" si="4"/>
      </c>
      <c r="Q109" s="186"/>
    </row>
    <row customHeight="true" ht="16.071428571428573" r="110">
      <c r="A110" s="172">
        <v>46256</v>
      </c>
      <c r="B110" s="187" t="s">
        <v>197</v>
      </c>
      <c r="C110" s="182" t="s">
        <v>196</v>
      </c>
      <c r="D110" s="183">
        <v>5</v>
      </c>
      <c r="E110" s="177">
        <v>60</v>
      </c>
      <c r="F110" s="177">
        <v>44</v>
      </c>
      <c r="G110" s="177">
        <v>31</v>
      </c>
      <c r="H110" s="177">
        <v>28</v>
      </c>
      <c r="I110" s="177">
        <v>4</v>
      </c>
      <c r="J110" s="184">
        <v>49298.40000000001</v>
      </c>
      <c r="K110" s="184">
        <v>23672.68</v>
      </c>
      <c r="L110" s="178">
        <f t="shared" si="2"/>
      </c>
      <c r="M110" s="178">
        <f t="shared" si="0"/>
      </c>
      <c r="N110" s="178">
        <f t="shared" si="4"/>
      </c>
      <c r="O110" s="179" t="s">
        <v>194</v>
      </c>
      <c r="P110" s="177">
        <v>10</v>
      </c>
      <c r="Q110" s="186"/>
    </row>
    <row customHeight="true" ht="16.071428571428573" r="111">
      <c r="A111" s="189">
        <v>46256</v>
      </c>
      <c r="B111" s="190"/>
      <c r="C111" s="190"/>
      <c r="D111" s="190">
        <f>SUM(D107:D110)</f>
      </c>
      <c r="E111" s="190">
        <f>SUM(E107:E110)</f>
      </c>
      <c r="F111" s="190">
        <f>SUM(F107:F110)</f>
      </c>
      <c r="G111" s="190">
        <f>SUM(G107:G110)</f>
      </c>
      <c r="H111" s="190">
        <f>SUM(H107:H110)</f>
      </c>
      <c r="I111" s="190">
        <f>SUM(I107:I110)</f>
      </c>
      <c r="J111" s="190">
        <f>SUM(J107:J110)</f>
      </c>
      <c r="K111" s="190">
        <f>SUM(K107:K110)</f>
      </c>
      <c r="L111" s="191">
        <f t="shared" si="2"/>
      </c>
      <c r="M111" s="191">
        <f t="shared" si="0"/>
      </c>
      <c r="N111" s="191">
        <f t="shared" si="4"/>
      </c>
      <c r="O111" s="192"/>
      <c r="P111" s="190">
        <f>SUM(P107:P110)</f>
      </c>
      <c r="Q111" s="193"/>
    </row>
    <row customHeight="true" ht="16.071428571428573" r="112">
      <c r="A112" s="172">
        <v>46257</v>
      </c>
      <c r="B112" s="181" t="s">
        <v>187</v>
      </c>
      <c r="C112" s="174" t="s">
        <v>188</v>
      </c>
      <c r="D112" s="175">
        <v>5</v>
      </c>
      <c r="E112" s="173">
        <v>39</v>
      </c>
      <c r="F112" s="176">
        <v>30</v>
      </c>
      <c r="G112" s="177">
        <v>19</v>
      </c>
      <c r="H112" s="177">
        <v>19</v>
      </c>
      <c r="I112" s="177">
        <v>3</v>
      </c>
      <c r="J112" s="177">
        <v>29437.399999999998</v>
      </c>
      <c r="K112" s="177">
        <v>19204.75</v>
      </c>
      <c r="L112" s="178">
        <f t="shared" si="2"/>
      </c>
      <c r="M112" s="178">
        <f t="shared" si="0"/>
      </c>
      <c r="N112" s="178">
        <f t="shared" si="4"/>
      </c>
      <c r="O112" s="179" t="s">
        <v>201</v>
      </c>
      <c r="P112" s="177">
        <v>10</v>
      </c>
      <c r="Q112" s="180"/>
    </row>
    <row r="113">
      <c r="A113" s="172">
        <v>46257</v>
      </c>
      <c r="B113" s="181" t="s">
        <v>190</v>
      </c>
      <c r="C113" s="182" t="s">
        <v>191</v>
      </c>
      <c r="D113" s="183">
        <v>5</v>
      </c>
      <c r="E113" s="177">
        <v>58</v>
      </c>
      <c r="F113" s="177">
        <v>34</v>
      </c>
      <c r="G113" s="177">
        <v>26</v>
      </c>
      <c r="H113" s="177">
        <v>21</v>
      </c>
      <c r="I113" s="177">
        <v>3</v>
      </c>
      <c r="J113" s="184">
        <v>37944.48000000001</v>
      </c>
      <c r="K113" s="184">
        <v>18555.33</v>
      </c>
      <c r="L113" s="178">
        <f t="shared" si="2"/>
      </c>
      <c r="M113" s="178">
        <f t="shared" si="0"/>
      </c>
      <c r="N113" s="178">
        <f t="shared" si="4"/>
      </c>
      <c r="O113" s="185"/>
      <c r="P113" s="185"/>
      <c r="Q113" s="186"/>
    </row>
    <row r="114">
      <c r="A114" s="172">
        <v>46257</v>
      </c>
      <c r="B114" s="187" t="s">
        <v>192</v>
      </c>
      <c r="C114" s="174" t="s">
        <v>193</v>
      </c>
      <c r="D114" s="183">
        <v>5</v>
      </c>
      <c r="E114" s="177">
        <v>20</v>
      </c>
      <c r="F114" s="177">
        <v>18</v>
      </c>
      <c r="G114" s="177">
        <v>8</v>
      </c>
      <c r="H114" s="177">
        <v>11</v>
      </c>
      <c r="I114" s="177">
        <v>4</v>
      </c>
      <c r="J114" s="184">
        <v>25281.399999999994</v>
      </c>
      <c r="K114" s="184">
        <v>5123.4400000000005</v>
      </c>
      <c r="L114" s="178">
        <f t="shared" si="2"/>
      </c>
      <c r="M114" s="178">
        <f t="shared" si="0"/>
      </c>
      <c r="N114" s="178">
        <f t="shared" si="4"/>
      </c>
      <c r="Q114" s="186"/>
    </row>
    <row r="115">
      <c r="A115" s="172">
        <v>46257</v>
      </c>
      <c r="B115" s="187" t="s">
        <v>197</v>
      </c>
      <c r="C115" s="182" t="s">
        <v>196</v>
      </c>
      <c r="D115" s="183">
        <v>5</v>
      </c>
      <c r="E115" s="177">
        <v>21</v>
      </c>
      <c r="F115" s="177">
        <v>17</v>
      </c>
      <c r="G115" s="177">
        <v>12</v>
      </c>
      <c r="H115" s="177">
        <v>9</v>
      </c>
      <c r="I115" s="177">
        <v>3</v>
      </c>
      <c r="J115" s="184">
        <v>24993.000000000007</v>
      </c>
      <c r="K115" s="184">
        <v>7034.799999999999</v>
      </c>
      <c r="L115" s="178">
        <f t="shared" si="2"/>
      </c>
      <c r="M115" s="178">
        <f t="shared" si="0"/>
      </c>
      <c r="N115" s="178">
        <f t="shared" si="4"/>
      </c>
      <c r="O115" s="179" t="s">
        <v>194</v>
      </c>
      <c r="P115" s="177">
        <v>10</v>
      </c>
      <c r="Q115" s="186"/>
    </row>
    <row r="116">
      <c r="A116" s="189">
        <v>46257</v>
      </c>
      <c r="B116" s="190"/>
      <c r="C116" s="190"/>
      <c r="D116" s="190">
        <f>SUM(D112:D115)</f>
      </c>
      <c r="E116" s="190">
        <f>SUM(E112:E115)</f>
      </c>
      <c r="F116" s="190">
        <f>SUM(F112:F115)</f>
      </c>
      <c r="G116" s="190">
        <f>SUM(G112:G115)</f>
      </c>
      <c r="H116" s="190">
        <f>SUM(H112:H115)</f>
      </c>
      <c r="I116" s="190">
        <f>SUM(I112:I115)</f>
      </c>
      <c r="J116" s="190">
        <f>SUM(J112:J115)</f>
      </c>
      <c r="K116" s="190">
        <f>SUM(K112:K115)</f>
      </c>
      <c r="L116" s="191">
        <f t="shared" si="2"/>
      </c>
      <c r="M116" s="191">
        <f t="shared" si="0"/>
      </c>
      <c r="N116" s="191">
        <f t="shared" si="4"/>
      </c>
      <c r="O116" s="192"/>
      <c r="P116" s="190">
        <f>SUM(P112:P115)</f>
      </c>
      <c r="Q116" s="193"/>
    </row>
    <row customHeight="true" ht="16.071428571428573" r="117">
      <c r="A117" s="172">
        <v>46258</v>
      </c>
      <c r="B117" s="181" t="s">
        <v>187</v>
      </c>
      <c r="C117" s="174" t="s">
        <v>188</v>
      </c>
      <c r="D117" s="175">
        <v>5</v>
      </c>
      <c r="E117" s="173">
        <v>21</v>
      </c>
      <c r="F117" s="176">
        <v>16</v>
      </c>
      <c r="G117" s="177">
        <v>15</v>
      </c>
      <c r="H117" s="177">
        <v>12</v>
      </c>
      <c r="I117" s="177">
        <v>0</v>
      </c>
      <c r="J117" s="177">
        <v>15941.999999999998</v>
      </c>
      <c r="K117" s="177">
        <v>13628.019999999999</v>
      </c>
      <c r="L117" s="178">
        <f t="shared" si="2"/>
      </c>
      <c r="M117" s="178">
        <f t="shared" si="0"/>
      </c>
      <c r="N117" s="178">
        <f t="shared" si="4"/>
      </c>
      <c r="O117" s="179" t="s">
        <v>198</v>
      </c>
      <c r="P117" s="177">
        <v>10</v>
      </c>
      <c r="Q117" s="180"/>
    </row>
    <row customHeight="true" ht="16.071428571428573" r="118">
      <c r="A118" s="172">
        <v>46258</v>
      </c>
      <c r="B118" s="181" t="s">
        <v>190</v>
      </c>
      <c r="C118" s="182" t="s">
        <v>191</v>
      </c>
      <c r="D118" s="183">
        <v>5</v>
      </c>
      <c r="E118" s="177">
        <v>40</v>
      </c>
      <c r="F118" s="177">
        <v>26</v>
      </c>
      <c r="G118" s="177">
        <v>21</v>
      </c>
      <c r="H118" s="177">
        <v>18</v>
      </c>
      <c r="I118" s="177">
        <v>2</v>
      </c>
      <c r="J118" s="184">
        <v>25860</v>
      </c>
      <c r="K118" s="184">
        <v>15358.61</v>
      </c>
      <c r="L118" s="178">
        <f t="shared" si="2"/>
      </c>
      <c r="M118" s="178">
        <f t="shared" si="0"/>
      </c>
      <c r="N118" s="178">
        <f t="shared" si="4"/>
      </c>
      <c r="O118" s="185"/>
      <c r="P118" s="185"/>
      <c r="Q118" s="186"/>
    </row>
    <row customHeight="true" ht="16.071428571428573" r="119">
      <c r="A119" s="172">
        <v>46258</v>
      </c>
      <c r="B119" s="187" t="s">
        <v>192</v>
      </c>
      <c r="C119" s="174" t="s">
        <v>193</v>
      </c>
      <c r="D119" s="183">
        <v>5</v>
      </c>
      <c r="E119" s="177">
        <v>39</v>
      </c>
      <c r="F119" s="177">
        <v>25</v>
      </c>
      <c r="G119" s="177">
        <v>19</v>
      </c>
      <c r="H119" s="177">
        <v>15</v>
      </c>
      <c r="I119" s="177">
        <v>4</v>
      </c>
      <c r="J119" s="184">
        <v>27571.200000000004</v>
      </c>
      <c r="K119" s="184">
        <v>15911.32</v>
      </c>
      <c r="L119" s="178">
        <f t="shared" si="2"/>
      </c>
      <c r="M119" s="178">
        <f t="shared" si="0"/>
      </c>
      <c r="N119" s="178">
        <f t="shared" si="4"/>
      </c>
      <c r="Q119" s="186"/>
    </row>
    <row customHeight="true" ht="16.071428571428573" r="120">
      <c r="A120" s="172">
        <v>46258</v>
      </c>
      <c r="B120" s="187" t="s">
        <v>197</v>
      </c>
      <c r="C120" s="182" t="s">
        <v>196</v>
      </c>
      <c r="D120" s="183">
        <v>5</v>
      </c>
      <c r="E120" s="177">
        <v>59</v>
      </c>
      <c r="F120" s="177">
        <v>44</v>
      </c>
      <c r="G120" s="177">
        <v>23</v>
      </c>
      <c r="H120" s="177">
        <v>23</v>
      </c>
      <c r="I120" s="177">
        <v>7</v>
      </c>
      <c r="J120" s="184">
        <v>57446.39999999999</v>
      </c>
      <c r="K120" s="184">
        <v>16633.95</v>
      </c>
      <c r="L120" s="178">
        <f t="shared" si="2"/>
      </c>
      <c r="M120" s="178">
        <f t="shared" si="0"/>
      </c>
      <c r="N120" s="178">
        <f t="shared" si="4"/>
      </c>
      <c r="O120" s="179" t="s">
        <v>194</v>
      </c>
      <c r="P120" s="177">
        <v>10</v>
      </c>
      <c r="Q120" s="186"/>
    </row>
    <row customHeight="true" ht="16.071428571428573" r="121">
      <c r="A121" s="189">
        <v>46258</v>
      </c>
      <c r="B121" s="190"/>
      <c r="C121" s="190"/>
      <c r="D121" s="190">
        <f>SUM(D117:D120)</f>
      </c>
      <c r="E121" s="190">
        <f>SUM(E117:E120)</f>
      </c>
      <c r="F121" s="190">
        <f>SUM(F117:F120)</f>
      </c>
      <c r="G121" s="190">
        <f>SUM(G117:G120)</f>
      </c>
      <c r="H121" s="190">
        <f>SUM(H117:H120)</f>
      </c>
      <c r="I121" s="190">
        <f>SUM(I117:I120)</f>
      </c>
      <c r="J121" s="190">
        <f>SUM(J117:J120)</f>
      </c>
      <c r="K121" s="190">
        <f>SUM(K117:K120)</f>
      </c>
      <c r="L121" s="191">
        <f t="shared" si="2"/>
      </c>
      <c r="M121" s="191">
        <f t="shared" si="0"/>
      </c>
      <c r="N121" s="191">
        <f t="shared" si="4"/>
      </c>
      <c r="O121" s="192"/>
      <c r="P121" s="190">
        <f>SUM(P117:P120)</f>
      </c>
      <c r="Q121" s="193"/>
    </row>
    <row r="122">
      <c r="A122" s="172">
        <v>46259</v>
      </c>
      <c r="B122" s="181" t="s">
        <v>187</v>
      </c>
      <c r="C122" s="195" t="s">
        <v>202</v>
      </c>
      <c r="D122" s="201">
        <v>4</v>
      </c>
      <c r="E122" s="173">
        <v>25</v>
      </c>
      <c r="F122" s="176">
        <v>19</v>
      </c>
      <c r="G122" s="177">
        <v>12</v>
      </c>
      <c r="H122" s="177">
        <v>12</v>
      </c>
      <c r="I122" s="177">
        <v>3</v>
      </c>
      <c r="J122" s="177">
        <v>16779.8</v>
      </c>
      <c r="K122" s="177">
        <v>11487.48</v>
      </c>
      <c r="L122" s="178">
        <f t="shared" si="2"/>
      </c>
      <c r="M122" s="178">
        <f t="shared" si="0"/>
      </c>
      <c r="N122" s="178">
        <f t="shared" si="4"/>
      </c>
      <c r="O122" s="179" t="s">
        <v>203</v>
      </c>
      <c r="P122" s="177">
        <v>9</v>
      </c>
      <c r="Q122" s="180"/>
    </row>
    <row r="123">
      <c r="A123" s="202">
        <v>46259</v>
      </c>
      <c r="B123" s="187" t="s">
        <v>192</v>
      </c>
      <c r="C123" s="203" t="s">
        <v>191</v>
      </c>
      <c r="D123" s="181">
        <v>5</v>
      </c>
      <c r="E123" s="204">
        <v>37</v>
      </c>
      <c r="F123" s="204">
        <v>24</v>
      </c>
      <c r="G123" s="204">
        <v>16</v>
      </c>
      <c r="H123" s="204">
        <v>13</v>
      </c>
      <c r="I123" s="204">
        <v>2</v>
      </c>
      <c r="J123" s="205">
        <v>24576.6</v>
      </c>
      <c r="K123" s="205">
        <v>14571.439999999999</v>
      </c>
      <c r="L123" s="206">
        <f t="shared" si="2"/>
      </c>
      <c r="M123" s="206">
        <f t="shared" si="0"/>
      </c>
      <c r="N123" s="206">
        <f t="shared" si="4"/>
      </c>
      <c r="O123" s="194"/>
      <c r="P123" s="194"/>
      <c r="Q123" s="207"/>
      <c r="R123" s="199"/>
      <c r="S123" s="199"/>
      <c r="T123" s="199"/>
      <c r="U123" s="199"/>
      <c r="V123" s="199"/>
      <c r="W123" s="199"/>
      <c r="X123" s="199"/>
    </row>
    <row r="124">
      <c r="A124" s="208">
        <v>46259</v>
      </c>
      <c r="B124" s="209" t="s">
        <v>195</v>
      </c>
      <c r="C124" s="210" t="s">
        <v>204</v>
      </c>
      <c r="D124" s="173">
        <v>1</v>
      </c>
      <c r="E124" s="173">
        <v>0</v>
      </c>
      <c r="F124" s="173">
        <v>0</v>
      </c>
      <c r="G124" s="173">
        <v>0</v>
      </c>
      <c r="H124" s="173">
        <v>0</v>
      </c>
      <c r="I124" s="173">
        <v>0</v>
      </c>
      <c r="J124" s="211">
        <v>0</v>
      </c>
      <c r="K124" s="211">
        <v>1835.63</v>
      </c>
      <c r="L124" s="212">
        <f t="shared" si="2"/>
      </c>
      <c r="M124" s="212">
        <f t="shared" si="0"/>
      </c>
      <c r="N124" s="212">
        <f t="shared" si="4"/>
      </c>
      <c r="O124" s="213" t="s">
        <v>205</v>
      </c>
      <c r="P124" s="213">
        <v>1</v>
      </c>
      <c r="Q124" s="214"/>
      <c r="R124" s="199"/>
      <c r="S124" s="199"/>
      <c r="T124" s="199"/>
      <c r="U124" s="199"/>
      <c r="V124" s="199"/>
      <c r="W124" s="199"/>
      <c r="X124" s="199"/>
    </row>
    <row r="125">
      <c r="A125" s="215">
        <v>46259</v>
      </c>
      <c r="B125" s="216"/>
      <c r="C125" s="216"/>
      <c r="D125" s="216">
        <f>SUM(D122:D124)</f>
      </c>
      <c r="E125" s="216">
        <f>SUM(E122:E124)</f>
      </c>
      <c r="F125" s="216">
        <f>SUM(F122:F124)</f>
      </c>
      <c r="G125" s="216">
        <f>SUM(G122:G124)</f>
      </c>
      <c r="H125" s="216">
        <f>SUM(H122:H124)</f>
      </c>
      <c r="I125" s="216">
        <f>SUM(I122:I124)</f>
      </c>
      <c r="J125" s="216">
        <f>SUM(J122:J124)</f>
      </c>
      <c r="K125" s="216">
        <f>SUM(K122:K124)</f>
      </c>
      <c r="L125" s="217">
        <f t="shared" si="2"/>
      </c>
      <c r="M125" s="217">
        <f t="shared" si="0"/>
      </c>
      <c r="N125" s="217">
        <f t="shared" si="4"/>
      </c>
      <c r="O125" s="216"/>
      <c r="P125" s="216">
        <f>SUM(P122:P124)</f>
      </c>
      <c r="Q125" s="216"/>
      <c r="R125" s="199"/>
      <c r="S125" s="199"/>
      <c r="T125" s="199"/>
      <c r="U125" s="199"/>
      <c r="V125" s="199"/>
      <c r="W125" s="199"/>
      <c r="X125" s="199"/>
    </row>
    <row r="126">
      <c r="A126" s="208">
        <v>46260</v>
      </c>
      <c r="B126" s="173" t="s">
        <v>192</v>
      </c>
      <c r="C126" s="210" t="s">
        <v>206</v>
      </c>
      <c r="D126" s="173">
        <v>3.5</v>
      </c>
      <c r="E126" s="173">
        <v>44</v>
      </c>
      <c r="F126" s="173">
        <v>19</v>
      </c>
      <c r="G126" s="173">
        <v>13</v>
      </c>
      <c r="H126" s="173">
        <v>11</v>
      </c>
      <c r="I126" s="173">
        <v>5</v>
      </c>
      <c r="J126" s="173">
        <v>17351.6</v>
      </c>
      <c r="K126" s="173">
        <v>10379.83</v>
      </c>
      <c r="L126" s="212">
        <f t="shared" si="2"/>
      </c>
      <c r="M126" s="212">
        <f t="shared" si="0"/>
      </c>
      <c r="N126" s="212">
        <f t="shared" si="4"/>
      </c>
      <c r="O126" s="173" t="s">
        <v>207</v>
      </c>
      <c r="P126" s="173">
        <v>8.5</v>
      </c>
      <c r="Q126" s="209"/>
      <c r="R126" s="199"/>
      <c r="S126" s="199"/>
      <c r="T126" s="199"/>
      <c r="U126" s="199"/>
      <c r="V126" s="199"/>
      <c r="W126" s="199"/>
      <c r="X126" s="199"/>
    </row>
    <row r="127">
      <c r="A127" s="208">
        <v>46260</v>
      </c>
      <c r="B127" s="173" t="s">
        <v>197</v>
      </c>
      <c r="C127" s="210" t="s">
        <v>196</v>
      </c>
      <c r="D127" s="173">
        <v>5</v>
      </c>
      <c r="E127" s="173">
        <v>43</v>
      </c>
      <c r="F127" s="173">
        <v>31</v>
      </c>
      <c r="G127" s="173">
        <v>24</v>
      </c>
      <c r="H127" s="173">
        <v>22</v>
      </c>
      <c r="I127" s="173">
        <v>7</v>
      </c>
      <c r="J127" s="211">
        <v>43523.4</v>
      </c>
      <c r="K127" s="211">
        <v>15768.03</v>
      </c>
      <c r="L127" s="212">
        <f t="shared" si="2"/>
      </c>
      <c r="M127" s="212">
        <f t="shared" si="0"/>
      </c>
      <c r="N127" s="212">
        <f t="shared" si="4"/>
      </c>
      <c r="O127" s="213"/>
      <c r="P127" s="213"/>
      <c r="Q127" s="214"/>
      <c r="R127" s="199"/>
      <c r="S127" s="199"/>
      <c r="T127" s="199"/>
      <c r="U127" s="199"/>
      <c r="V127" s="199"/>
      <c r="W127" s="199"/>
      <c r="X127" s="199"/>
    </row>
    <row r="128">
      <c r="A128" s="218">
        <v>46260</v>
      </c>
      <c r="B128" s="219"/>
      <c r="C128" s="219"/>
      <c r="D128" s="219">
        <f>SUM(D126:D127)</f>
      </c>
      <c r="E128" s="219">
        <f>SUM(E126:E127)</f>
      </c>
      <c r="F128" s="219">
        <f>SUM(F126:F127)</f>
      </c>
      <c r="G128" s="219">
        <f>SUM(G126:G127)</f>
      </c>
      <c r="H128" s="219">
        <f>SUM(H126:H127)</f>
      </c>
      <c r="I128" s="219">
        <f>SUM(I126:I127)</f>
      </c>
      <c r="J128" s="219">
        <f>SUM(J126:J127)</f>
      </c>
      <c r="K128" s="219">
        <f>SUM(K126:K127)</f>
      </c>
      <c r="L128" s="191">
        <f t="shared" si="2"/>
      </c>
      <c r="M128" s="191">
        <f t="shared" si="0"/>
      </c>
      <c r="N128" s="191">
        <f t="shared" si="4"/>
      </c>
      <c r="O128" s="220"/>
      <c r="P128" s="219">
        <f>SUM(P126:P127)</f>
      </c>
      <c r="Q128" s="221"/>
      <c r="R128" s="199"/>
      <c r="S128" s="199"/>
      <c r="T128" s="199"/>
      <c r="U128" s="199"/>
      <c r="V128" s="199"/>
      <c r="W128" s="199"/>
      <c r="X128" s="199"/>
    </row>
    <row r="129">
      <c r="A129" s="172">
        <v>46261</v>
      </c>
      <c r="B129" s="181" t="s">
        <v>190</v>
      </c>
      <c r="C129" s="174" t="s">
        <v>188</v>
      </c>
      <c r="D129" s="175">
        <v>5</v>
      </c>
      <c r="E129" s="173">
        <v>13</v>
      </c>
      <c r="F129" s="176">
        <v>7</v>
      </c>
      <c r="G129" s="177">
        <v>6</v>
      </c>
      <c r="H129" s="177">
        <v>5</v>
      </c>
      <c r="I129" s="177">
        <v>0</v>
      </c>
      <c r="J129" s="177">
        <v>7903.200000000001</v>
      </c>
      <c r="K129" s="177">
        <v>8092.12</v>
      </c>
      <c r="L129" s="178">
        <f t="shared" si="2"/>
      </c>
      <c r="M129" s="178">
        <f t="shared" si="0"/>
      </c>
      <c r="N129" s="178">
        <f t="shared" si="4"/>
      </c>
      <c r="O129" s="179" t="s">
        <v>208</v>
      </c>
      <c r="P129" s="177">
        <v>10</v>
      </c>
      <c r="Q129" s="180"/>
    </row>
    <row r="130">
      <c r="A130" s="172">
        <v>46261</v>
      </c>
      <c r="B130" s="213" t="s">
        <v>195</v>
      </c>
      <c r="C130" s="182" t="s">
        <v>191</v>
      </c>
      <c r="D130" s="183">
        <v>5</v>
      </c>
      <c r="E130" s="177">
        <v>14</v>
      </c>
      <c r="F130" s="177">
        <v>7</v>
      </c>
      <c r="G130" s="177">
        <v>5</v>
      </c>
      <c r="H130" s="177">
        <v>6</v>
      </c>
      <c r="I130" s="177">
        <v>2</v>
      </c>
      <c r="J130" s="184">
        <v>5356.8</v>
      </c>
      <c r="K130" s="184">
        <v>5578</v>
      </c>
      <c r="L130" s="178">
        <f t="shared" si="2"/>
      </c>
      <c r="M130" s="178">
        <f t="shared" si="0"/>
      </c>
      <c r="N130" s="178">
        <f t="shared" si="4"/>
      </c>
      <c r="O130" s="185"/>
      <c r="P130" s="185"/>
      <c r="Q130" s="186"/>
    </row>
    <row r="131">
      <c r="A131" s="172">
        <v>46261</v>
      </c>
      <c r="B131" s="187" t="s">
        <v>192</v>
      </c>
      <c r="C131" s="174" t="s">
        <v>193</v>
      </c>
      <c r="D131" s="183">
        <v>5</v>
      </c>
      <c r="E131" s="177">
        <v>12</v>
      </c>
      <c r="F131" s="177">
        <v>9</v>
      </c>
      <c r="G131" s="177">
        <v>7</v>
      </c>
      <c r="H131" s="177">
        <v>7</v>
      </c>
      <c r="I131" s="177">
        <v>1</v>
      </c>
      <c r="J131" s="184">
        <v>7490.4</v>
      </c>
      <c r="K131" s="184">
        <v>5799.04</v>
      </c>
      <c r="L131" s="178">
        <f t="shared" si="2"/>
      </c>
      <c r="M131" s="178">
        <f t="shared" si="0"/>
      </c>
      <c r="N131" s="178">
        <f t="shared" si="4"/>
      </c>
      <c r="Q131" s="186"/>
    </row>
    <row r="132">
      <c r="A132" s="172">
        <v>46261</v>
      </c>
      <c r="B132" s="181" t="s">
        <v>197</v>
      </c>
      <c r="C132" s="174" t="s">
        <v>196</v>
      </c>
      <c r="D132" s="183">
        <v>5</v>
      </c>
      <c r="E132" s="177">
        <v>15</v>
      </c>
      <c r="F132" s="177">
        <v>9</v>
      </c>
      <c r="G132" s="177">
        <v>9</v>
      </c>
      <c r="H132" s="177">
        <v>6</v>
      </c>
      <c r="I132" s="177">
        <v>0</v>
      </c>
      <c r="J132" s="184">
        <v>8619.6</v>
      </c>
      <c r="K132" s="184">
        <v>6072.64</v>
      </c>
      <c r="L132" s="178">
        <f t="shared" si="2"/>
      </c>
      <c r="M132" s="178">
        <f t="shared" si="0"/>
      </c>
      <c r="N132" s="178">
        <f t="shared" si="4"/>
      </c>
      <c r="O132" s="179" t="s">
        <v>199</v>
      </c>
      <c r="P132" s="177">
        <v>10</v>
      </c>
      <c r="Q132" s="186"/>
    </row>
    <row r="133">
      <c r="A133" s="189">
        <v>46261</v>
      </c>
      <c r="B133" s="219"/>
      <c r="C133" s="190"/>
      <c r="D133" s="190">
        <f>SUM(D129:D132)</f>
      </c>
      <c r="E133" s="190">
        <f>SUM(E129:E132)</f>
      </c>
      <c r="F133" s="190">
        <f>SUM(F129:F132)</f>
      </c>
      <c r="G133" s="190">
        <f>SUM(G129:G132)</f>
      </c>
      <c r="H133" s="190">
        <f>SUM(H129:H132)</f>
      </c>
      <c r="I133" s="190">
        <f>SUM(I129:I132)</f>
      </c>
      <c r="J133" s="190">
        <f>SUM(J129:J132)</f>
      </c>
      <c r="K133" s="190">
        <f>SUM(K129:K132)</f>
      </c>
      <c r="L133" s="191">
        <f t="shared" si="2"/>
      </c>
      <c r="M133" s="191">
        <f t="shared" si="0"/>
      </c>
      <c r="N133" s="191">
        <f t="shared" si="4"/>
      </c>
      <c r="O133" s="192"/>
      <c r="P133" s="190">
        <f>SUM(P129:P132)</f>
      </c>
      <c r="Q133" s="193"/>
    </row>
    <row r="134">
      <c r="A134" s="172">
        <v>46262</v>
      </c>
      <c r="B134" s="187" t="s">
        <v>187</v>
      </c>
      <c r="C134" s="174" t="s">
        <v>188</v>
      </c>
      <c r="D134" s="175">
        <v>5</v>
      </c>
      <c r="E134" s="173">
        <v>32</v>
      </c>
      <c r="F134" s="176">
        <v>22</v>
      </c>
      <c r="G134" s="177">
        <v>16</v>
      </c>
      <c r="H134" s="177">
        <v>16</v>
      </c>
      <c r="I134" s="177">
        <v>2</v>
      </c>
      <c r="J134" s="177">
        <v>21585</v>
      </c>
      <c r="K134" s="177">
        <v>13545.32</v>
      </c>
      <c r="L134" s="178">
        <f t="shared" si="2"/>
      </c>
      <c r="M134" s="178">
        <f t="shared" si="0"/>
      </c>
      <c r="N134" s="178">
        <f t="shared" si="4"/>
      </c>
      <c r="O134" s="179" t="s">
        <v>208</v>
      </c>
      <c r="P134" s="177">
        <v>10</v>
      </c>
      <c r="Q134" s="180"/>
    </row>
    <row r="135">
      <c r="A135" s="172">
        <v>46262</v>
      </c>
      <c r="B135" s="181" t="s">
        <v>190</v>
      </c>
      <c r="C135" s="182" t="s">
        <v>191</v>
      </c>
      <c r="D135" s="183">
        <v>5</v>
      </c>
      <c r="E135" s="177">
        <v>23</v>
      </c>
      <c r="F135" s="177">
        <v>17</v>
      </c>
      <c r="G135" s="177">
        <v>11</v>
      </c>
      <c r="H135" s="177">
        <v>10</v>
      </c>
      <c r="I135" s="177">
        <v>2</v>
      </c>
      <c r="J135" s="184">
        <v>17508.9</v>
      </c>
      <c r="K135" s="184">
        <v>7439.279999999999</v>
      </c>
      <c r="L135" s="178">
        <f t="shared" si="2"/>
      </c>
      <c r="M135" s="178">
        <f t="shared" si="0"/>
      </c>
      <c r="N135" s="178">
        <f t="shared" si="4"/>
      </c>
      <c r="O135" s="185"/>
      <c r="P135" s="185"/>
      <c r="Q135" s="186"/>
    </row>
    <row r="136">
      <c r="A136" s="172">
        <v>46262</v>
      </c>
      <c r="B136" s="187" t="s">
        <v>192</v>
      </c>
      <c r="C136" s="174" t="s">
        <v>193</v>
      </c>
      <c r="D136" s="183">
        <v>5</v>
      </c>
      <c r="E136" s="177">
        <v>55</v>
      </c>
      <c r="F136" s="177">
        <v>37</v>
      </c>
      <c r="G136" s="177">
        <v>21</v>
      </c>
      <c r="H136" s="177">
        <v>20</v>
      </c>
      <c r="I136" s="177">
        <v>6</v>
      </c>
      <c r="J136" s="184">
        <v>38095.7</v>
      </c>
      <c r="K136" s="184">
        <v>16559.19</v>
      </c>
      <c r="L136" s="178">
        <f t="shared" si="2"/>
      </c>
      <c r="M136" s="178">
        <f t="shared" si="0"/>
      </c>
      <c r="N136" s="178">
        <f t="shared" si="4"/>
      </c>
      <c r="Q136" s="186"/>
    </row>
    <row r="137">
      <c r="A137" s="172">
        <v>46262</v>
      </c>
      <c r="B137" s="209" t="s">
        <v>197</v>
      </c>
      <c r="C137" s="174" t="s">
        <v>196</v>
      </c>
      <c r="D137" s="183">
        <v>5</v>
      </c>
      <c r="E137" s="177">
        <v>40</v>
      </c>
      <c r="F137" s="177">
        <v>33</v>
      </c>
      <c r="G137" s="177">
        <v>28</v>
      </c>
      <c r="H137" s="177">
        <v>19</v>
      </c>
      <c r="I137" s="177">
        <v>3</v>
      </c>
      <c r="J137" s="184">
        <v>39064.40000000001</v>
      </c>
      <c r="K137" s="184">
        <v>14597.89</v>
      </c>
      <c r="L137" s="178">
        <f t="shared" si="2"/>
      </c>
      <c r="M137" s="178">
        <f t="shared" si="0"/>
      </c>
      <c r="N137" s="178">
        <f t="shared" si="4"/>
      </c>
      <c r="O137" s="179" t="s">
        <v>207</v>
      </c>
      <c r="P137" s="177">
        <v>10</v>
      </c>
      <c r="Q137" s="186"/>
    </row>
    <row r="138">
      <c r="A138" s="189">
        <v>46262</v>
      </c>
      <c r="B138" s="219"/>
      <c r="C138" s="190"/>
      <c r="D138" s="190">
        <f>SUM(D134:D137)</f>
      </c>
      <c r="E138" s="190">
        <f>SUM(E134:E137)</f>
      </c>
      <c r="F138" s="190">
        <f>SUM(F134:F137)</f>
      </c>
      <c r="G138" s="190">
        <f>SUM(G134:G137)</f>
      </c>
      <c r="H138" s="190">
        <f>SUM(H134:H137)</f>
      </c>
      <c r="I138" s="190">
        <f>SUM(I134:I137)</f>
      </c>
      <c r="J138" s="190">
        <f>SUM(J134:J137)</f>
      </c>
      <c r="K138" s="190">
        <f>SUM(K134:K137)</f>
      </c>
      <c r="L138" s="191">
        <f t="shared" si="2"/>
      </c>
      <c r="M138" s="191">
        <f t="shared" si="0"/>
      </c>
      <c r="N138" s="191">
        <f t="shared" si="4"/>
      </c>
      <c r="O138" s="192"/>
      <c r="P138" s="190">
        <f>SUM(P134:P137)</f>
      </c>
      <c r="Q138" s="193"/>
    </row>
    <row r="139">
      <c r="A139" s="172">
        <v>46263</v>
      </c>
      <c r="B139" s="187" t="s">
        <v>187</v>
      </c>
      <c r="C139" s="174" t="s">
        <v>188</v>
      </c>
      <c r="D139" s="175">
        <v>5</v>
      </c>
      <c r="E139" s="173">
        <v>70</v>
      </c>
      <c r="F139" s="176">
        <v>47</v>
      </c>
      <c r="G139" s="177">
        <v>39</v>
      </c>
      <c r="H139" s="177">
        <v>26</v>
      </c>
      <c r="I139" s="177">
        <v>1</v>
      </c>
      <c r="J139" s="177">
        <v>48577.20000000001</v>
      </c>
      <c r="K139" s="177">
        <v>35405.35</v>
      </c>
      <c r="L139" s="178">
        <f t="shared" si="2"/>
      </c>
      <c r="M139" s="197">
        <f t="shared" si="0"/>
      </c>
      <c r="N139" s="212">
        <f t="shared" si="4"/>
      </c>
      <c r="O139" s="173" t="s">
        <v>208</v>
      </c>
      <c r="P139" s="173">
        <v>10</v>
      </c>
      <c r="Q139" s="222"/>
    </row>
    <row r="140">
      <c r="A140" s="172">
        <v>46263</v>
      </c>
      <c r="B140" s="181" t="s">
        <v>190</v>
      </c>
      <c r="C140" s="182" t="s">
        <v>191</v>
      </c>
      <c r="D140" s="183">
        <v>5</v>
      </c>
      <c r="E140" s="177">
        <v>37</v>
      </c>
      <c r="F140" s="177">
        <v>29</v>
      </c>
      <c r="G140" s="177">
        <v>22</v>
      </c>
      <c r="H140" s="177">
        <v>14</v>
      </c>
      <c r="I140" s="177">
        <v>3</v>
      </c>
      <c r="J140" s="184">
        <v>25320.600000000006</v>
      </c>
      <c r="K140" s="184">
        <v>15695.72</v>
      </c>
      <c r="L140" s="178">
        <f t="shared" si="2"/>
      </c>
      <c r="M140" s="197">
        <f t="shared" si="0"/>
      </c>
      <c r="N140" s="212">
        <f t="shared" si="4"/>
      </c>
      <c r="O140" s="223"/>
      <c r="P140" s="223"/>
      <c r="Q140" s="224"/>
    </row>
    <row r="141">
      <c r="A141" s="172">
        <v>46263</v>
      </c>
      <c r="B141" s="187" t="s">
        <v>195</v>
      </c>
      <c r="C141" s="174" t="s">
        <v>193</v>
      </c>
      <c r="D141" s="183">
        <v>5</v>
      </c>
      <c r="E141" s="177">
        <v>35</v>
      </c>
      <c r="F141" s="177">
        <v>26</v>
      </c>
      <c r="G141" s="177">
        <v>18</v>
      </c>
      <c r="H141" s="177">
        <v>20</v>
      </c>
      <c r="I141" s="177">
        <v>1</v>
      </c>
      <c r="J141" s="184">
        <v>23612.399999999994</v>
      </c>
      <c r="K141" s="184">
        <v>16541.78</v>
      </c>
      <c r="L141" s="178">
        <f t="shared" si="2"/>
      </c>
      <c r="M141" s="197">
        <f t="shared" si="0"/>
      </c>
      <c r="N141" s="212">
        <f t="shared" si="4"/>
      </c>
      <c r="O141" s="198"/>
      <c r="P141" s="198"/>
      <c r="Q141" s="224"/>
    </row>
    <row r="142">
      <c r="A142" s="172">
        <v>46263</v>
      </c>
      <c r="B142" s="209" t="s">
        <v>197</v>
      </c>
      <c r="C142" s="174" t="s">
        <v>196</v>
      </c>
      <c r="D142" s="183">
        <v>5</v>
      </c>
      <c r="E142" s="177">
        <v>50</v>
      </c>
      <c r="F142" s="177">
        <v>41</v>
      </c>
      <c r="G142" s="177">
        <v>30</v>
      </c>
      <c r="H142" s="177">
        <v>25</v>
      </c>
      <c r="I142" s="177">
        <v>5</v>
      </c>
      <c r="J142" s="184">
        <v>46598.600000000006</v>
      </c>
      <c r="K142" s="184">
        <v>18082.82</v>
      </c>
      <c r="L142" s="178">
        <f t="shared" si="2"/>
      </c>
      <c r="M142" s="197">
        <f t="shared" si="0"/>
      </c>
      <c r="N142" s="212">
        <f t="shared" si="4"/>
      </c>
      <c r="O142" s="173" t="s">
        <v>207</v>
      </c>
      <c r="P142" s="173">
        <v>10</v>
      </c>
      <c r="Q142" s="224"/>
    </row>
    <row r="143">
      <c r="A143" s="189">
        <v>46263</v>
      </c>
      <c r="B143" s="219"/>
      <c r="C143" s="190"/>
      <c r="D143" s="190">
        <f>SUM(D139:D142)</f>
      </c>
      <c r="E143" s="190">
        <f>SUM(E139:E142)</f>
      </c>
      <c r="F143" s="190">
        <f>SUM(F139:F142)</f>
      </c>
      <c r="G143" s="190">
        <f>SUM(G139:G142)</f>
      </c>
      <c r="H143" s="190">
        <f>SUM(H139:H142)</f>
      </c>
      <c r="I143" s="190">
        <f>SUM(I139:I142)</f>
      </c>
      <c r="J143" s="190">
        <f>SUM(J139:J142)</f>
      </c>
      <c r="K143" s="190">
        <f>SUM(K139:K142)</f>
      </c>
      <c r="L143" s="191">
        <f t="shared" si="2"/>
      </c>
      <c r="M143" s="191">
        <f t="shared" si="0"/>
      </c>
      <c r="N143" s="191">
        <f t="shared" si="4"/>
      </c>
      <c r="O143" s="220"/>
      <c r="P143" s="219">
        <f>SUM(P139:P142)</f>
      </c>
      <c r="Q143" s="193"/>
    </row>
    <row r="144">
      <c r="A144" s="172">
        <v>46264</v>
      </c>
      <c r="B144" s="209" t="s">
        <v>197</v>
      </c>
      <c r="C144" s="174" t="s">
        <v>188</v>
      </c>
      <c r="D144" s="175">
        <v>5</v>
      </c>
      <c r="E144" s="173">
        <v>54</v>
      </c>
      <c r="F144" s="176">
        <v>39</v>
      </c>
      <c r="G144" s="177">
        <v>28</v>
      </c>
      <c r="H144" s="177">
        <v>16</v>
      </c>
      <c r="I144" s="177">
        <v>3</v>
      </c>
      <c r="J144" s="177">
        <v>40512.40000000001</v>
      </c>
      <c r="K144" s="177">
        <v>27918.480000000003</v>
      </c>
      <c r="L144" s="178">
        <f t="shared" si="2"/>
      </c>
      <c r="M144" s="197">
        <f t="shared" si="0"/>
      </c>
      <c r="N144" s="212">
        <f t="shared" si="4"/>
      </c>
      <c r="O144" s="173" t="s">
        <v>208</v>
      </c>
      <c r="P144" s="173">
        <v>10</v>
      </c>
      <c r="Q144" s="222"/>
    </row>
    <row r="145">
      <c r="A145" s="172">
        <v>46264</v>
      </c>
      <c r="B145" s="187" t="s">
        <v>187</v>
      </c>
      <c r="C145" s="182" t="s">
        <v>191</v>
      </c>
      <c r="D145" s="225">
        <f>5-0.25</f>
      </c>
      <c r="E145" s="177">
        <v>33</v>
      </c>
      <c r="F145" s="177">
        <v>27</v>
      </c>
      <c r="G145" s="177">
        <v>17</v>
      </c>
      <c r="H145" s="177">
        <v>15</v>
      </c>
      <c r="I145" s="177">
        <v>3</v>
      </c>
      <c r="J145" s="177">
        <v>30489.4</v>
      </c>
      <c r="K145" s="177">
        <v>14119.7</v>
      </c>
      <c r="L145" s="178">
        <f t="shared" si="2"/>
      </c>
      <c r="M145" s="197">
        <f t="shared" si="0"/>
      </c>
      <c r="N145" s="212">
        <f t="shared" si="4"/>
      </c>
      <c r="O145" s="223"/>
      <c r="P145" s="223"/>
      <c r="Q145" s="224"/>
    </row>
    <row r="146">
      <c r="A146" s="172">
        <v>46264</v>
      </c>
      <c r="B146" s="187" t="s">
        <v>192</v>
      </c>
      <c r="C146" s="174" t="s">
        <v>193</v>
      </c>
      <c r="D146" s="183">
        <v>5</v>
      </c>
      <c r="E146" s="177">
        <v>37</v>
      </c>
      <c r="F146" s="177">
        <v>30</v>
      </c>
      <c r="G146" s="177">
        <v>15</v>
      </c>
      <c r="H146" s="177">
        <v>19</v>
      </c>
      <c r="I146" s="177">
        <v>6</v>
      </c>
      <c r="J146" s="177">
        <v>39572.40000000001</v>
      </c>
      <c r="K146" s="177">
        <v>12572.72</v>
      </c>
      <c r="L146" s="178">
        <f t="shared" si="2"/>
      </c>
      <c r="M146" s="197">
        <f t="shared" si="0"/>
      </c>
      <c r="N146" s="212">
        <f t="shared" si="4"/>
      </c>
      <c r="O146" s="198"/>
      <c r="P146" s="198"/>
      <c r="Q146" s="224"/>
    </row>
    <row r="147">
      <c r="A147" s="172">
        <v>46264</v>
      </c>
      <c r="B147" s="173" t="s">
        <v>195</v>
      </c>
      <c r="C147" s="174" t="s">
        <v>196</v>
      </c>
      <c r="D147" s="183">
        <v>5</v>
      </c>
      <c r="E147" s="177">
        <v>35</v>
      </c>
      <c r="F147" s="177">
        <v>31</v>
      </c>
      <c r="G147" s="177">
        <v>23</v>
      </c>
      <c r="H147" s="177">
        <v>21</v>
      </c>
      <c r="I147" s="177">
        <v>1</v>
      </c>
      <c r="J147" s="177">
        <v>30149.399999999987</v>
      </c>
      <c r="K147" s="177">
        <v>16091.15</v>
      </c>
      <c r="L147" s="178">
        <f t="shared" si="2"/>
      </c>
      <c r="M147" s="197">
        <f t="shared" si="0"/>
      </c>
      <c r="N147" s="212">
        <f t="shared" si="4"/>
      </c>
      <c r="O147" s="173" t="s">
        <v>207</v>
      </c>
      <c r="P147" s="173">
        <v>10</v>
      </c>
      <c r="Q147" s="224"/>
    </row>
    <row r="148">
      <c r="A148" s="189">
        <v>46264</v>
      </c>
      <c r="B148" s="219"/>
      <c r="C148" s="190"/>
      <c r="D148" s="190">
        <f>SUM(D144:D147)</f>
      </c>
      <c r="E148" s="190">
        <f>SUM(E144:E147)</f>
      </c>
      <c r="F148" s="190">
        <f>SUM(F144:F147)</f>
      </c>
      <c r="G148" s="190">
        <f>SUM(G144:G147)</f>
      </c>
      <c r="H148" s="190">
        <f>SUM(H144:H147)</f>
      </c>
      <c r="I148" s="190">
        <f>SUM(I144:I147)</f>
      </c>
      <c r="J148" s="190">
        <f>SUM(J144:J147)</f>
      </c>
      <c r="K148" s="190">
        <f>SUM(K144:K147)</f>
      </c>
      <c r="L148" s="191">
        <f t="shared" si="2"/>
      </c>
      <c r="M148" s="191">
        <f t="shared" si="0"/>
      </c>
      <c r="N148" s="191">
        <f t="shared" si="4"/>
      </c>
      <c r="O148" s="220"/>
      <c r="P148" s="219">
        <f>SUM(P144:P147)</f>
      </c>
      <c r="Q148" s="193"/>
    </row>
    <row r="149">
      <c r="A149" s="172">
        <v>46265</v>
      </c>
      <c r="B149" s="209" t="s">
        <v>197</v>
      </c>
      <c r="C149" s="174" t="s">
        <v>188</v>
      </c>
      <c r="D149" s="226">
        <f>5-1</f>
      </c>
      <c r="E149" s="173">
        <v>50</v>
      </c>
      <c r="F149" s="176">
        <v>40</v>
      </c>
      <c r="G149" s="177">
        <v>23</v>
      </c>
      <c r="H149" s="177">
        <v>25</v>
      </c>
      <c r="I149" s="177">
        <v>5</v>
      </c>
      <c r="J149" s="177">
        <v>48396.200000000004</v>
      </c>
      <c r="K149" s="177">
        <v>22460.969999999998</v>
      </c>
      <c r="L149" s="178">
        <f t="shared" si="2"/>
      </c>
      <c r="M149" s="197">
        <f t="shared" si="0"/>
      </c>
      <c r="N149" s="212">
        <f t="shared" si="4"/>
      </c>
      <c r="O149" s="173" t="s">
        <v>208</v>
      </c>
      <c r="P149" s="173">
        <v>10</v>
      </c>
      <c r="Q149" s="222"/>
    </row>
    <row r="150">
      <c r="A150" s="172">
        <v>46265</v>
      </c>
      <c r="B150" s="187" t="s">
        <v>190</v>
      </c>
      <c r="C150" s="182" t="s">
        <v>191</v>
      </c>
      <c r="D150" s="227">
        <f>5-0.5</f>
      </c>
      <c r="E150" s="177">
        <v>26</v>
      </c>
      <c r="F150" s="177">
        <v>16</v>
      </c>
      <c r="G150" s="177">
        <v>12</v>
      </c>
      <c r="H150" s="177">
        <v>8</v>
      </c>
      <c r="I150" s="177">
        <v>3</v>
      </c>
      <c r="J150" s="177">
        <v>18112.800000000003</v>
      </c>
      <c r="K150" s="177">
        <v>12842.849999999999</v>
      </c>
      <c r="L150" s="178">
        <f t="shared" si="2"/>
      </c>
      <c r="M150" s="197">
        <f t="shared" si="0"/>
      </c>
      <c r="N150" s="212">
        <f t="shared" si="4"/>
      </c>
      <c r="O150" s="223"/>
      <c r="P150" s="223"/>
      <c r="Q150" s="224"/>
    </row>
    <row r="151">
      <c r="A151" s="172">
        <v>46265</v>
      </c>
      <c r="B151" s="187" t="s">
        <v>192</v>
      </c>
      <c r="C151" s="174" t="s">
        <v>193</v>
      </c>
      <c r="D151" s="183">
        <v>5</v>
      </c>
      <c r="E151" s="177">
        <v>25</v>
      </c>
      <c r="F151" s="177">
        <v>14</v>
      </c>
      <c r="G151" s="177">
        <v>11</v>
      </c>
      <c r="H151" s="177">
        <v>13</v>
      </c>
      <c r="I151" s="177">
        <v>0</v>
      </c>
      <c r="J151" s="177">
        <v>14991.599999999999</v>
      </c>
      <c r="K151" s="177">
        <v>16467.3</v>
      </c>
      <c r="L151" s="178">
        <f t="shared" si="2"/>
      </c>
      <c r="M151" s="197">
        <f t="shared" si="0"/>
      </c>
      <c r="N151" s="212">
        <f t="shared" si="4"/>
      </c>
      <c r="O151" s="198"/>
      <c r="P151" s="198"/>
      <c r="Q151" s="224"/>
    </row>
    <row r="152">
      <c r="A152" s="172">
        <v>46265</v>
      </c>
      <c r="B152" s="173" t="s">
        <v>195</v>
      </c>
      <c r="C152" s="174" t="s">
        <v>196</v>
      </c>
      <c r="D152" s="227">
        <f>5-0.25</f>
      </c>
      <c r="E152" s="177">
        <v>26</v>
      </c>
      <c r="F152" s="177">
        <v>22</v>
      </c>
      <c r="G152" s="177">
        <v>13</v>
      </c>
      <c r="H152" s="177">
        <v>19</v>
      </c>
      <c r="I152" s="177">
        <v>3</v>
      </c>
      <c r="J152" s="177">
        <v>20594.4</v>
      </c>
      <c r="K152" s="177">
        <v>13175.16</v>
      </c>
      <c r="L152" s="178">
        <f t="shared" si="2"/>
      </c>
      <c r="M152" s="197">
        <f t="shared" si="0"/>
      </c>
      <c r="N152" s="212">
        <f t="shared" si="4"/>
      </c>
      <c r="O152" s="173" t="s">
        <v>207</v>
      </c>
      <c r="P152" s="173">
        <v>10</v>
      </c>
      <c r="Q152" s="224"/>
    </row>
    <row r="153">
      <c r="A153" s="189">
        <v>46265</v>
      </c>
      <c r="B153" s="219"/>
      <c r="C153" s="190"/>
      <c r="D153" s="190">
        <f>SUM(D149:D152)</f>
      </c>
      <c r="E153" s="190">
        <f>SUM(E149:E152)</f>
      </c>
      <c r="F153" s="190">
        <f>SUM(F149:F152)</f>
      </c>
      <c r="G153" s="190">
        <f>SUM(G149:G152)</f>
      </c>
      <c r="H153" s="190">
        <f>SUM(H149:H152)</f>
      </c>
      <c r="I153" s="190">
        <f>SUM(I149:I152)</f>
      </c>
      <c r="J153" s="190">
        <f>SUM(J149:J152)</f>
      </c>
      <c r="K153" s="190">
        <f>SUM(K149:K152)</f>
      </c>
      <c r="L153" s="191">
        <f t="shared" si="2"/>
      </c>
      <c r="M153" s="191">
        <f t="shared" si="0"/>
      </c>
      <c r="N153" s="191">
        <f t="shared" si="4"/>
      </c>
      <c r="O153" s="220"/>
      <c r="P153" s="219">
        <f>SUM(P149:P152)</f>
      </c>
      <c r="Q153" s="193"/>
    </row>
    <row r="154"/>
    <row r="155">
      <c r="F155" s="228"/>
    </row>
    <row r="156"/>
    <row r="157"/>
    <row r="158">
      <c r="H158" s="229"/>
    </row>
    <row r="159">
      <c r="H159" s="230"/>
    </row>
    <row r="160">
      <c r="H160" s="230"/>
    </row>
    <row r="161">
      <c r="H161" s="230"/>
    </row>
    <row r="162">
      <c r="H162" s="230"/>
      <c r="L162" s="230"/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>
      <c r="A188" s="166" t="s">
        <v>170</v>
      </c>
      <c r="B188" s="167" t="s">
        <v>171</v>
      </c>
      <c r="C188" s="167" t="s">
        <v>172</v>
      </c>
      <c r="D188" s="167" t="s">
        <v>173</v>
      </c>
      <c r="E188" s="167" t="s">
        <v>174</v>
      </c>
      <c r="F188" s="167" t="s">
        <v>175</v>
      </c>
      <c r="G188" s="168" t="s">
        <v>176</v>
      </c>
      <c r="H188" s="169" t="s">
        <v>177</v>
      </c>
      <c r="I188" s="167" t="s">
        <v>178</v>
      </c>
      <c r="J188" s="167" t="s">
        <v>179</v>
      </c>
      <c r="K188" s="167" t="s">
        <v>180</v>
      </c>
      <c r="L188" s="170" t="s">
        <v>181</v>
      </c>
      <c r="M188" s="170" t="s">
        <v>182</v>
      </c>
      <c r="N188" s="170" t="s">
        <v>183</v>
      </c>
      <c r="O188" s="171" t="s">
        <v>184</v>
      </c>
      <c r="P188" s="171" t="s">
        <v>185</v>
      </c>
      <c r="Q188" s="171" t="s">
        <v>186</v>
      </c>
    </row>
    <row r="189">
      <c r="A189" s="172">
        <v>46235</v>
      </c>
      <c r="B189" s="188" t="s">
        <v>195</v>
      </c>
      <c r="C189" s="182" t="s">
        <v>196</v>
      </c>
      <c r="D189" s="183">
        <v>5</v>
      </c>
      <c r="E189" s="177">
        <v>22</v>
      </c>
      <c r="F189" s="177">
        <v>13</v>
      </c>
      <c r="G189" s="177">
        <v>10</v>
      </c>
      <c r="H189" s="177">
        <v>10</v>
      </c>
      <c r="I189" s="177">
        <v>0</v>
      </c>
      <c r="J189" s="184">
        <v>11442.400000000001</v>
      </c>
      <c r="K189" s="184">
        <v>9475.98</v>
      </c>
      <c r="L189" s="178">
        <f t="shared" ref="L189:L214" si="3">J189/K189</f>
      </c>
      <c r="M189" s="178">
        <f t="shared" ref="M189:M214" si="1">J189/F189</f>
      </c>
      <c r="N189" s="178">
        <f t="shared" ref="N189:N214" si="5">K189/F189</f>
      </c>
      <c r="O189" s="179"/>
      <c r="P189" s="177"/>
      <c r="Q189" s="186"/>
    </row>
    <row r="190">
      <c r="A190" s="172">
        <v>46236</v>
      </c>
      <c r="B190" s="188" t="s">
        <v>195</v>
      </c>
      <c r="C190" s="182" t="s">
        <v>196</v>
      </c>
      <c r="D190" s="183">
        <v>5</v>
      </c>
      <c r="E190" s="177">
        <v>19</v>
      </c>
      <c r="F190" s="177">
        <v>13</v>
      </c>
      <c r="G190" s="177">
        <v>10</v>
      </c>
      <c r="H190" s="177">
        <v>8</v>
      </c>
      <c r="I190" s="177">
        <v>1</v>
      </c>
      <c r="J190" s="184">
        <v>15539.800000000007</v>
      </c>
      <c r="K190" s="184">
        <v>7973.72</v>
      </c>
      <c r="L190" s="178">
        <f t="shared" si="3"/>
      </c>
      <c r="M190" s="178">
        <f t="shared" si="1"/>
      </c>
      <c r="N190" s="178">
        <f t="shared" si="5"/>
      </c>
      <c r="O190" s="179"/>
      <c r="P190" s="177"/>
      <c r="Q190" s="186"/>
    </row>
    <row r="191">
      <c r="A191" s="172">
        <v>46237</v>
      </c>
      <c r="B191" s="188" t="s">
        <v>195</v>
      </c>
      <c r="C191" s="182" t="s">
        <v>196</v>
      </c>
      <c r="D191" s="183">
        <v>5</v>
      </c>
      <c r="E191" s="177">
        <v>27</v>
      </c>
      <c r="F191" s="177">
        <v>21</v>
      </c>
      <c r="G191" s="177">
        <v>15</v>
      </c>
      <c r="H191" s="177">
        <v>16</v>
      </c>
      <c r="I191" s="177">
        <v>2</v>
      </c>
      <c r="J191" s="184">
        <v>21135.8</v>
      </c>
      <c r="K191" s="184">
        <v>9664.18</v>
      </c>
      <c r="L191" s="178">
        <f t="shared" si="3"/>
      </c>
      <c r="M191" s="178">
        <f t="shared" si="1"/>
      </c>
      <c r="N191" s="178">
        <f t="shared" si="5"/>
      </c>
      <c r="O191" s="179"/>
      <c r="P191" s="177"/>
      <c r="Q191" s="186"/>
    </row>
    <row r="192">
      <c r="A192" s="172">
        <v>46238</v>
      </c>
      <c r="B192" s="188" t="s">
        <v>195</v>
      </c>
      <c r="C192" s="182" t="s">
        <v>196</v>
      </c>
      <c r="D192" s="183">
        <v>5</v>
      </c>
      <c r="E192" s="177">
        <v>33</v>
      </c>
      <c r="F192" s="177">
        <v>22</v>
      </c>
      <c r="G192" s="177">
        <v>17</v>
      </c>
      <c r="H192" s="177">
        <v>15</v>
      </c>
      <c r="I192" s="177">
        <v>1</v>
      </c>
      <c r="J192" s="184">
        <v>21377.999999999993</v>
      </c>
      <c r="K192" s="184">
        <v>12064.36</v>
      </c>
      <c r="L192" s="178">
        <f t="shared" si="3"/>
      </c>
      <c r="M192" s="178">
        <f t="shared" si="1"/>
      </c>
      <c r="N192" s="178">
        <f t="shared" si="5"/>
      </c>
      <c r="O192" s="179"/>
      <c r="P192" s="177"/>
      <c r="Q192" s="186"/>
    </row>
    <row r="193">
      <c r="A193" s="172">
        <v>46239</v>
      </c>
      <c r="B193" s="188" t="s">
        <v>195</v>
      </c>
      <c r="C193" s="182" t="s">
        <v>196</v>
      </c>
      <c r="D193" s="183">
        <v>5</v>
      </c>
      <c r="E193" s="177">
        <v>44</v>
      </c>
      <c r="F193" s="177">
        <v>34</v>
      </c>
      <c r="G193" s="177">
        <v>26</v>
      </c>
      <c r="H193" s="177">
        <v>21</v>
      </c>
      <c r="I193" s="177">
        <v>4</v>
      </c>
      <c r="J193" s="184">
        <v>37466.1</v>
      </c>
      <c r="K193" s="184">
        <v>18592.34</v>
      </c>
      <c r="L193" s="178">
        <f t="shared" si="3"/>
      </c>
      <c r="M193" s="178">
        <f t="shared" si="1"/>
      </c>
      <c r="N193" s="178">
        <f t="shared" si="5"/>
      </c>
      <c r="O193" s="179"/>
      <c r="P193" s="177"/>
      <c r="Q193" s="186"/>
    </row>
    <row r="194">
      <c r="A194" s="172">
        <v>46242</v>
      </c>
      <c r="B194" s="187" t="s">
        <v>195</v>
      </c>
      <c r="C194" s="174" t="s">
        <v>193</v>
      </c>
      <c r="D194" s="183">
        <v>5</v>
      </c>
      <c r="E194" s="177">
        <v>27</v>
      </c>
      <c r="F194" s="177">
        <v>18</v>
      </c>
      <c r="G194" s="177">
        <v>14</v>
      </c>
      <c r="H194" s="177">
        <v>12</v>
      </c>
      <c r="I194" s="177">
        <v>0</v>
      </c>
      <c r="J194" s="184">
        <v>20558.6</v>
      </c>
      <c r="K194" s="184">
        <v>14276.95</v>
      </c>
      <c r="L194" s="178">
        <f t="shared" si="3"/>
      </c>
      <c r="M194" s="178">
        <f t="shared" si="1"/>
      </c>
      <c r="N194" s="178">
        <f t="shared" si="5"/>
      </c>
      <c r="O194" s="179" t="s">
        <v>194</v>
      </c>
      <c r="P194" s="177">
        <v>10</v>
      </c>
      <c r="Q194" s="186"/>
    </row>
    <row r="195">
      <c r="A195" s="172">
        <v>46243</v>
      </c>
      <c r="B195" s="187" t="s">
        <v>195</v>
      </c>
      <c r="C195" s="182" t="s">
        <v>196</v>
      </c>
      <c r="D195" s="183">
        <v>5</v>
      </c>
      <c r="E195" s="177">
        <v>29</v>
      </c>
      <c r="F195" s="177">
        <v>21</v>
      </c>
      <c r="G195" s="177">
        <v>18</v>
      </c>
      <c r="H195" s="177">
        <v>13</v>
      </c>
      <c r="I195" s="177">
        <v>1</v>
      </c>
      <c r="J195" s="184">
        <v>23506.599999999995</v>
      </c>
      <c r="K195" s="184">
        <v>10260.96</v>
      </c>
      <c r="L195" s="178">
        <f t="shared" si="3"/>
      </c>
      <c r="M195" s="178">
        <f t="shared" si="1"/>
      </c>
      <c r="N195" s="178">
        <f t="shared" si="5"/>
      </c>
      <c r="O195" s="179"/>
      <c r="P195" s="177"/>
      <c r="Q195" s="186"/>
    </row>
    <row r="196">
      <c r="A196" s="172">
        <v>46244</v>
      </c>
      <c r="B196" s="187" t="s">
        <v>195</v>
      </c>
      <c r="C196" s="174" t="s">
        <v>193</v>
      </c>
      <c r="D196" s="183">
        <v>5</v>
      </c>
      <c r="E196" s="177">
        <v>35</v>
      </c>
      <c r="F196" s="177">
        <v>23</v>
      </c>
      <c r="G196" s="177">
        <v>17</v>
      </c>
      <c r="H196" s="177">
        <v>12</v>
      </c>
      <c r="I196" s="177">
        <v>2</v>
      </c>
      <c r="J196" s="184">
        <v>23879.399999999994</v>
      </c>
      <c r="K196" s="184">
        <v>21105.5</v>
      </c>
      <c r="L196" s="178">
        <f t="shared" si="3"/>
      </c>
      <c r="M196" s="178">
        <f t="shared" si="1"/>
      </c>
      <c r="N196" s="178">
        <f t="shared" si="5"/>
      </c>
      <c r="Q196" s="186"/>
    </row>
    <row r="197">
      <c r="A197" s="172">
        <v>46245</v>
      </c>
      <c r="B197" s="187" t="s">
        <v>195</v>
      </c>
      <c r="C197" s="182" t="s">
        <v>196</v>
      </c>
      <c r="D197" s="183">
        <v>5</v>
      </c>
      <c r="E197" s="177">
        <v>22</v>
      </c>
      <c r="F197" s="177">
        <v>14</v>
      </c>
      <c r="G197" s="177">
        <v>11</v>
      </c>
      <c r="H197" s="177">
        <v>13</v>
      </c>
      <c r="I197" s="177">
        <v>1</v>
      </c>
      <c r="J197" s="184">
        <v>12551.200000000012</v>
      </c>
      <c r="K197" s="184">
        <v>11022.990000000002</v>
      </c>
      <c r="L197" s="178">
        <f t="shared" si="3"/>
      </c>
      <c r="M197" s="178">
        <f t="shared" si="1"/>
      </c>
      <c r="N197" s="178">
        <f t="shared" si="5"/>
      </c>
      <c r="O197" s="179" t="s">
        <v>194</v>
      </c>
      <c r="P197" s="177">
        <v>11</v>
      </c>
      <c r="Q197" s="186"/>
    </row>
    <row r="198">
      <c r="A198" s="172">
        <v>46246</v>
      </c>
      <c r="B198" s="187" t="s">
        <v>195</v>
      </c>
      <c r="C198" s="182" t="s">
        <v>196</v>
      </c>
      <c r="D198" s="183">
        <v>5</v>
      </c>
      <c r="E198" s="177">
        <v>37</v>
      </c>
      <c r="F198" s="177">
        <v>25</v>
      </c>
      <c r="G198" s="177">
        <v>18</v>
      </c>
      <c r="H198" s="177">
        <v>16</v>
      </c>
      <c r="I198" s="177">
        <v>2</v>
      </c>
      <c r="J198" s="184">
        <v>25037.919999999995</v>
      </c>
      <c r="K198" s="184">
        <v>16412.72</v>
      </c>
      <c r="L198" s="178">
        <f t="shared" si="3"/>
      </c>
      <c r="M198" s="178">
        <f t="shared" si="1"/>
      </c>
      <c r="N198" s="178">
        <f t="shared" si="5"/>
      </c>
      <c r="O198" s="179" t="s">
        <v>194</v>
      </c>
      <c r="P198" s="177">
        <v>10</v>
      </c>
      <c r="Q198" s="186"/>
    </row>
    <row r="199">
      <c r="A199" s="172">
        <v>46247</v>
      </c>
      <c r="B199" s="187" t="s">
        <v>195</v>
      </c>
      <c r="C199" s="182" t="s">
        <v>196</v>
      </c>
      <c r="D199" s="183">
        <v>5</v>
      </c>
      <c r="E199" s="177">
        <v>27</v>
      </c>
      <c r="F199" s="177">
        <v>23</v>
      </c>
      <c r="G199" s="177">
        <v>17</v>
      </c>
      <c r="H199" s="177">
        <v>9</v>
      </c>
      <c r="I199" s="177">
        <v>2</v>
      </c>
      <c r="J199" s="184">
        <v>23137.09999999999</v>
      </c>
      <c r="K199" s="184">
        <v>16248.38</v>
      </c>
      <c r="L199" s="178">
        <f t="shared" si="3"/>
      </c>
      <c r="M199" s="178">
        <f t="shared" si="1"/>
      </c>
      <c r="N199" s="178">
        <f t="shared" si="5"/>
      </c>
      <c r="O199" s="200" t="s">
        <v>194</v>
      </c>
      <c r="P199" s="177">
        <v>9</v>
      </c>
      <c r="Q199" s="186"/>
    </row>
    <row r="200">
      <c r="A200" s="172">
        <v>46248</v>
      </c>
      <c r="B200" s="187" t="s">
        <v>195</v>
      </c>
      <c r="C200" s="174" t="s">
        <v>193</v>
      </c>
      <c r="D200" s="183">
        <v>5</v>
      </c>
      <c r="E200" s="177">
        <v>26</v>
      </c>
      <c r="F200" s="177">
        <v>19</v>
      </c>
      <c r="G200" s="177">
        <v>15</v>
      </c>
      <c r="H200" s="177">
        <v>12</v>
      </c>
      <c r="I200" s="177">
        <v>1</v>
      </c>
      <c r="J200" s="184">
        <v>18370</v>
      </c>
      <c r="K200" s="184">
        <v>12003.22</v>
      </c>
      <c r="L200" s="178">
        <f t="shared" si="3"/>
      </c>
      <c r="M200" s="178">
        <f t="shared" si="1"/>
      </c>
      <c r="N200" s="178">
        <f t="shared" si="5"/>
      </c>
      <c r="Q200" s="186"/>
    </row>
    <row r="201">
      <c r="A201" s="172">
        <v>46249</v>
      </c>
      <c r="B201" s="187" t="s">
        <v>195</v>
      </c>
      <c r="C201" s="174" t="s">
        <v>193</v>
      </c>
      <c r="D201" s="183">
        <v>5</v>
      </c>
      <c r="E201" s="177">
        <v>21</v>
      </c>
      <c r="F201" s="177">
        <v>18</v>
      </c>
      <c r="G201" s="177">
        <v>11</v>
      </c>
      <c r="H201" s="177">
        <v>8</v>
      </c>
      <c r="I201" s="177">
        <v>3</v>
      </c>
      <c r="J201" s="184">
        <v>19075.6</v>
      </c>
      <c r="K201" s="184">
        <v>8567.4</v>
      </c>
      <c r="L201" s="178">
        <f t="shared" si="3"/>
      </c>
      <c r="M201" s="178">
        <f t="shared" si="1"/>
      </c>
      <c r="N201" s="178">
        <f t="shared" si="5"/>
      </c>
      <c r="Q201" s="186"/>
    </row>
    <row r="202">
      <c r="A202" s="172">
        <v>46250</v>
      </c>
      <c r="B202" s="187" t="s">
        <v>195</v>
      </c>
      <c r="C202" s="182" t="s">
        <v>196</v>
      </c>
      <c r="D202" s="183">
        <v>5</v>
      </c>
      <c r="E202" s="177">
        <v>42</v>
      </c>
      <c r="F202" s="177">
        <v>31</v>
      </c>
      <c r="G202" s="177">
        <v>26</v>
      </c>
      <c r="H202" s="177">
        <v>25</v>
      </c>
      <c r="I202" s="177">
        <v>1</v>
      </c>
      <c r="J202" s="184">
        <v>29557.199999999997</v>
      </c>
      <c r="K202" s="184">
        <v>17011.7</v>
      </c>
      <c r="L202" s="178">
        <f t="shared" si="3"/>
      </c>
      <c r="M202" s="178">
        <f t="shared" si="1"/>
      </c>
      <c r="N202" s="178">
        <f t="shared" si="5"/>
      </c>
      <c r="O202" s="179" t="s">
        <v>194</v>
      </c>
      <c r="P202" s="177">
        <v>10</v>
      </c>
      <c r="Q202" s="186"/>
    </row>
    <row r="203">
      <c r="A203" s="172">
        <v>46251</v>
      </c>
      <c r="B203" s="187" t="s">
        <v>195</v>
      </c>
      <c r="C203" s="182" t="s">
        <v>196</v>
      </c>
      <c r="D203" s="183">
        <v>5</v>
      </c>
      <c r="E203" s="177">
        <v>38</v>
      </c>
      <c r="F203" s="177">
        <v>28</v>
      </c>
      <c r="G203" s="177">
        <v>22</v>
      </c>
      <c r="H203" s="177">
        <v>19</v>
      </c>
      <c r="I203" s="177">
        <v>1</v>
      </c>
      <c r="J203" s="184">
        <v>26956.80000000001</v>
      </c>
      <c r="K203" s="184">
        <v>21959.109999999997</v>
      </c>
      <c r="L203" s="178">
        <f t="shared" si="3"/>
      </c>
      <c r="M203" s="178">
        <f t="shared" si="1"/>
      </c>
      <c r="N203" s="178">
        <f t="shared" si="5"/>
      </c>
      <c r="O203" s="179" t="s">
        <v>194</v>
      </c>
      <c r="P203" s="177">
        <v>10</v>
      </c>
      <c r="Q203" s="186"/>
    </row>
    <row r="204">
      <c r="A204" s="172">
        <v>46252</v>
      </c>
      <c r="B204" s="187" t="s">
        <v>195</v>
      </c>
      <c r="C204" s="182" t="s">
        <v>196</v>
      </c>
      <c r="D204" s="183">
        <v>5</v>
      </c>
      <c r="E204" s="177">
        <v>32</v>
      </c>
      <c r="F204" s="177">
        <v>28</v>
      </c>
      <c r="G204" s="177">
        <v>18</v>
      </c>
      <c r="H204" s="177">
        <v>18</v>
      </c>
      <c r="I204" s="177">
        <v>2</v>
      </c>
      <c r="J204" s="184">
        <v>34508</v>
      </c>
      <c r="K204" s="184">
        <v>12528.990000000002</v>
      </c>
      <c r="L204" s="178">
        <f t="shared" si="3"/>
      </c>
      <c r="M204" s="178">
        <f t="shared" si="1"/>
      </c>
      <c r="N204" s="178">
        <f t="shared" si="5"/>
      </c>
      <c r="O204" s="179" t="s">
        <v>194</v>
      </c>
      <c r="P204" s="177">
        <v>10</v>
      </c>
      <c r="Q204" s="186"/>
    </row>
    <row r="205">
      <c r="A205" s="172">
        <v>46253</v>
      </c>
      <c r="B205" s="187" t="s">
        <v>195</v>
      </c>
      <c r="C205" s="182" t="s">
        <v>196</v>
      </c>
      <c r="D205" s="183">
        <v>5</v>
      </c>
      <c r="E205" s="177">
        <v>30</v>
      </c>
      <c r="F205" s="177">
        <v>16</v>
      </c>
      <c r="G205" s="177">
        <v>14</v>
      </c>
      <c r="H205" s="177">
        <v>11</v>
      </c>
      <c r="I205" s="177">
        <v>1</v>
      </c>
      <c r="J205" s="184">
        <v>13696.399999999998</v>
      </c>
      <c r="K205" s="184">
        <v>15204.11</v>
      </c>
      <c r="L205" s="178">
        <f t="shared" si="3"/>
      </c>
      <c r="M205" s="178">
        <f t="shared" si="1"/>
      </c>
      <c r="N205" s="178">
        <f t="shared" si="5"/>
      </c>
      <c r="O205" s="200" t="s">
        <v>194</v>
      </c>
      <c r="P205" s="177">
        <v>10</v>
      </c>
      <c r="Q205" s="186"/>
    </row>
    <row r="206">
      <c r="A206" s="172">
        <v>46254</v>
      </c>
      <c r="B206" s="181" t="s">
        <v>195</v>
      </c>
      <c r="C206" s="182" t="s">
        <v>191</v>
      </c>
      <c r="D206" s="183">
        <v>5</v>
      </c>
      <c r="E206" s="177">
        <v>32</v>
      </c>
      <c r="F206" s="177">
        <v>21</v>
      </c>
      <c r="G206" s="177">
        <v>12</v>
      </c>
      <c r="H206" s="177">
        <v>15</v>
      </c>
      <c r="I206" s="177">
        <v>2</v>
      </c>
      <c r="J206" s="184">
        <v>19814.4</v>
      </c>
      <c r="K206" s="184">
        <v>15140.51</v>
      </c>
      <c r="L206" s="178">
        <f t="shared" si="3"/>
      </c>
      <c r="M206" s="178">
        <f t="shared" si="1"/>
      </c>
      <c r="N206" s="178">
        <f t="shared" si="5"/>
      </c>
      <c r="O206" s="185"/>
      <c r="P206" s="185"/>
      <c r="Q206" s="186"/>
    </row>
    <row r="207">
      <c r="A207" s="172">
        <v>46255</v>
      </c>
      <c r="B207" s="181" t="s">
        <v>195</v>
      </c>
      <c r="C207" s="182" t="s">
        <v>196</v>
      </c>
      <c r="D207" s="183">
        <v>5</v>
      </c>
      <c r="E207" s="177">
        <v>40</v>
      </c>
      <c r="F207" s="177">
        <v>26</v>
      </c>
      <c r="G207" s="177">
        <v>21</v>
      </c>
      <c r="H207" s="177">
        <v>17</v>
      </c>
      <c r="I207" s="177">
        <v>1</v>
      </c>
      <c r="J207" s="184">
        <v>30198.000000000015</v>
      </c>
      <c r="K207" s="184">
        <v>19425.07</v>
      </c>
      <c r="L207" s="178">
        <f t="shared" si="3"/>
      </c>
      <c r="M207" s="178">
        <f t="shared" si="1"/>
      </c>
      <c r="N207" s="178">
        <f t="shared" si="5"/>
      </c>
      <c r="O207" s="200" t="s">
        <v>194</v>
      </c>
      <c r="P207" s="177">
        <v>10</v>
      </c>
      <c r="Q207" s="186"/>
    </row>
    <row r="208">
      <c r="A208" s="172">
        <v>46256</v>
      </c>
      <c r="B208" s="181" t="s">
        <v>195</v>
      </c>
      <c r="C208" s="174" t="s">
        <v>193</v>
      </c>
      <c r="D208" s="183">
        <v>5</v>
      </c>
      <c r="E208" s="177">
        <v>40</v>
      </c>
      <c r="F208" s="177">
        <v>26</v>
      </c>
      <c r="G208" s="177">
        <v>15</v>
      </c>
      <c r="H208" s="177">
        <v>17</v>
      </c>
      <c r="I208" s="177">
        <v>3</v>
      </c>
      <c r="J208" s="184">
        <v>34175.8</v>
      </c>
      <c r="K208" s="184">
        <v>17114.010000000002</v>
      </c>
      <c r="L208" s="178">
        <f t="shared" si="3"/>
      </c>
      <c r="M208" s="178">
        <f t="shared" si="1"/>
      </c>
      <c r="N208" s="178">
        <f t="shared" si="5"/>
      </c>
      <c r="Q208" s="186"/>
    </row>
    <row r="209">
      <c r="A209" s="208">
        <v>46259</v>
      </c>
      <c r="B209" s="209" t="s">
        <v>195</v>
      </c>
      <c r="C209" s="210" t="s">
        <v>204</v>
      </c>
      <c r="D209" s="173">
        <v>1</v>
      </c>
      <c r="E209" s="173">
        <v>0</v>
      </c>
      <c r="F209" s="173">
        <v>0</v>
      </c>
      <c r="G209" s="173">
        <v>0</v>
      </c>
      <c r="H209" s="173">
        <v>0</v>
      </c>
      <c r="I209" s="173">
        <v>0</v>
      </c>
      <c r="J209" s="211">
        <v>0</v>
      </c>
      <c r="K209" s="211">
        <v>1835.63</v>
      </c>
      <c r="L209" s="212">
        <f t="shared" si="3"/>
      </c>
      <c r="M209" s="212">
        <f t="shared" si="1"/>
      </c>
      <c r="N209" s="212">
        <f t="shared" si="5"/>
      </c>
      <c r="O209" s="213" t="s">
        <v>205</v>
      </c>
      <c r="P209" s="213">
        <v>1</v>
      </c>
      <c r="Q209" s="214"/>
      <c r="R209" s="199"/>
      <c r="S209" s="199"/>
      <c r="T209" s="199"/>
      <c r="U209" s="199"/>
      <c r="V209" s="199"/>
      <c r="W209" s="199"/>
      <c r="X209" s="199"/>
    </row>
    <row r="210">
      <c r="A210" s="172">
        <v>46261</v>
      </c>
      <c r="B210" s="213" t="s">
        <v>195</v>
      </c>
      <c r="C210" s="182" t="s">
        <v>191</v>
      </c>
      <c r="D210" s="183">
        <v>5</v>
      </c>
      <c r="E210" s="177">
        <v>14</v>
      </c>
      <c r="F210" s="177">
        <v>7</v>
      </c>
      <c r="G210" s="177">
        <v>5</v>
      </c>
      <c r="H210" s="177">
        <v>6</v>
      </c>
      <c r="I210" s="177">
        <v>2</v>
      </c>
      <c r="J210" s="184">
        <v>5356.8</v>
      </c>
      <c r="K210" s="184">
        <v>5578</v>
      </c>
      <c r="L210" s="178">
        <f t="shared" si="3"/>
      </c>
      <c r="M210" s="178">
        <f t="shared" si="1"/>
      </c>
      <c r="N210" s="178">
        <f t="shared" si="5"/>
      </c>
      <c r="O210" s="185"/>
      <c r="P210" s="185"/>
      <c r="Q210" s="186"/>
    </row>
    <row r="211">
      <c r="A211" s="172">
        <v>46263</v>
      </c>
      <c r="B211" s="187" t="s">
        <v>195</v>
      </c>
      <c r="C211" s="174" t="s">
        <v>193</v>
      </c>
      <c r="D211" s="183">
        <v>5</v>
      </c>
      <c r="E211" s="177">
        <v>35</v>
      </c>
      <c r="F211" s="177">
        <v>26</v>
      </c>
      <c r="G211" s="177">
        <v>18</v>
      </c>
      <c r="H211" s="177">
        <v>20</v>
      </c>
      <c r="I211" s="177">
        <v>1</v>
      </c>
      <c r="J211" s="184">
        <v>23612.399999999994</v>
      </c>
      <c r="K211" s="184">
        <v>16541.78</v>
      </c>
      <c r="L211" s="178">
        <f t="shared" si="3"/>
      </c>
      <c r="M211" s="197">
        <f t="shared" si="1"/>
      </c>
      <c r="N211" s="212">
        <f t="shared" si="5"/>
      </c>
      <c r="O211" s="198"/>
      <c r="P211" s="198"/>
      <c r="Q211" s="224"/>
    </row>
    <row r="212">
      <c r="A212" s="172">
        <v>46264</v>
      </c>
      <c r="B212" s="173" t="s">
        <v>195</v>
      </c>
      <c r="C212" s="174" t="s">
        <v>196</v>
      </c>
      <c r="D212" s="183">
        <v>5</v>
      </c>
      <c r="E212" s="177">
        <v>35</v>
      </c>
      <c r="F212" s="177">
        <v>31</v>
      </c>
      <c r="G212" s="177">
        <v>23</v>
      </c>
      <c r="H212" s="177">
        <v>21</v>
      </c>
      <c r="I212" s="177">
        <v>1</v>
      </c>
      <c r="J212" s="177">
        <v>30149.399999999987</v>
      </c>
      <c r="K212" s="177">
        <v>16091.15</v>
      </c>
      <c r="L212" s="178">
        <f t="shared" si="3"/>
      </c>
      <c r="M212" s="197">
        <f t="shared" si="1"/>
      </c>
      <c r="N212" s="212">
        <f t="shared" si="5"/>
      </c>
      <c r="O212" s="173" t="s">
        <v>207</v>
      </c>
      <c r="P212" s="173">
        <v>10</v>
      </c>
      <c r="Q212" s="224"/>
    </row>
    <row r="213">
      <c r="A213" s="172">
        <v>46265</v>
      </c>
      <c r="B213" s="173" t="s">
        <v>195</v>
      </c>
      <c r="C213" s="174" t="s">
        <v>196</v>
      </c>
      <c r="D213" s="183">
        <v>5</v>
      </c>
      <c r="E213" s="177">
        <v>26</v>
      </c>
      <c r="F213" s="177">
        <v>22</v>
      </c>
      <c r="G213" s="177">
        <v>13</v>
      </c>
      <c r="H213" s="177">
        <v>19</v>
      </c>
      <c r="I213" s="177">
        <v>3</v>
      </c>
      <c r="J213" s="177">
        <v>20594.4</v>
      </c>
      <c r="K213" s="177">
        <v>13175.16</v>
      </c>
      <c r="L213" s="178">
        <f t="shared" si="3"/>
      </c>
      <c r="M213" s="197">
        <f t="shared" si="1"/>
      </c>
      <c r="N213" s="212">
        <f t="shared" si="5"/>
      </c>
      <c r="O213" s="173" t="s">
        <v>207</v>
      </c>
      <c r="P213" s="173">
        <v>10</v>
      </c>
      <c r="Q213" s="224"/>
    </row>
    <row r="214">
      <c r="A214" s="189"/>
      <c r="B214" s="219"/>
      <c r="C214" s="190"/>
      <c r="D214" s="190">
        <f>SUM(D189:D213)</f>
      </c>
      <c r="E214" s="190">
        <f>SUM(E189:E213)</f>
      </c>
      <c r="F214" s="190">
        <f>SUM(F189:F213)</f>
      </c>
      <c r="G214" s="190">
        <f>SUM(G189:G213)</f>
      </c>
      <c r="H214" s="190">
        <f>SUM(H189:H213)</f>
      </c>
      <c r="I214" s="190">
        <f>SUM(I189:I213)</f>
      </c>
      <c r="J214" s="190">
        <f>SUM(J189:J213)</f>
      </c>
      <c r="K214" s="190">
        <f>SUM(K189:K213)</f>
      </c>
      <c r="L214" s="191">
        <f t="shared" si="3"/>
      </c>
      <c r="M214" s="231">
        <f t="shared" si="1"/>
      </c>
      <c r="N214" s="231">
        <f t="shared" si="5"/>
      </c>
    </row>
    <row r="215"/>
    <row r="216"/>
    <row r="217"/>
    <row r="218"/>
    <row r="219"/>
    <row r="220">
      <c r="J220" s="232"/>
      <c r="K220" s="228"/>
      <c r="L220" s="178"/>
    </row>
    <row r="221">
      <c r="K221" s="229"/>
    </row>
    <row r="222">
      <c r="K222" s="229"/>
    </row>
    <row r="223">
      <c r="K223" s="229"/>
    </row>
    <row r="224">
      <c r="K224" s="229"/>
    </row>
    <row r="225">
      <c r="K225" s="229"/>
    </row>
    <row r="226">
      <c r="K226" s="229"/>
    </row>
    <row r="227">
      <c r="K227" s="229"/>
    </row>
    <row r="228">
      <c r="K228" s="229"/>
    </row>
    <row r="229">
      <c r="K229" s="229"/>
    </row>
    <row r="230">
      <c r="K230" s="229"/>
    </row>
    <row r="231">
      <c r="K231" s="229"/>
    </row>
    <row r="232">
      <c r="K232" s="229"/>
    </row>
    <row r="233">
      <c r="K233" s="229"/>
    </row>
    <row r="234">
      <c r="K234" s="229"/>
    </row>
    <row r="235">
      <c r="K235" s="229"/>
    </row>
    <row r="236">
      <c r="K236" s="229"/>
    </row>
    <row r="237">
      <c r="G237" s="228"/>
      <c r="K237" s="229"/>
    </row>
    <row r="238">
      <c r="K238" s="229"/>
    </row>
    <row r="239">
      <c r="K239" s="229"/>
    </row>
    <row r="240">
      <c r="K240" s="229"/>
    </row>
    <row r="241">
      <c r="K241" s="229"/>
    </row>
  </sheetData>
  <autoFilter ref="A1:Q153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1" min="1" style="0" width="11.211267605633802"/>
  </cols>
  <sheetData>
    <row r="1">
      <c r="A1" s="233" t="s">
        <v>209</v>
      </c>
      <c r="B1" s="234" t="s">
        <v>210</v>
      </c>
      <c r="C1" s="234" t="s">
        <v>211</v>
      </c>
      <c r="D1" s="234" t="s">
        <v>212</v>
      </c>
      <c r="E1" s="234" t="s">
        <v>213</v>
      </c>
      <c r="F1" s="234" t="s">
        <v>214</v>
      </c>
      <c r="G1" s="235" t="s">
        <v>215</v>
      </c>
      <c r="H1" s="236" t="s">
        <v>216</v>
      </c>
      <c r="I1" s="234" t="s">
        <v>217</v>
      </c>
      <c r="J1" s="234" t="s">
        <v>218</v>
      </c>
      <c r="K1" s="234" t="s">
        <v>219</v>
      </c>
      <c r="L1" s="237" t="s">
        <v>220</v>
      </c>
      <c r="M1" s="237" t="s">
        <v>221</v>
      </c>
      <c r="N1" s="237" t="s">
        <v>222</v>
      </c>
      <c r="O1" s="238" t="s">
        <v>223</v>
      </c>
      <c r="P1" s="238" t="s">
        <v>224</v>
      </c>
      <c r="Q1" s="238" t="s">
        <v>225</v>
      </c>
    </row>
    <row r="2">
      <c r="A2" s="239">
        <v>46204</v>
      </c>
      <c r="B2" s="240" t="s">
        <v>226</v>
      </c>
      <c r="C2" s="241" t="s">
        <v>227</v>
      </c>
      <c r="D2" s="242">
        <v>5</v>
      </c>
      <c r="E2" s="243">
        <v>123</v>
      </c>
      <c r="F2" s="244">
        <v>96</v>
      </c>
      <c r="G2" s="245">
        <v>72</v>
      </c>
      <c r="H2" s="245">
        <v>65</v>
      </c>
      <c r="I2" s="245">
        <v>7</v>
      </c>
      <c r="J2" s="246">
        <v>83535.00000000001</v>
      </c>
      <c r="K2" s="245">
        <v>49726.16</v>
      </c>
      <c r="L2" s="247">
        <f t="shared" ref="L2:L137" si="0">J2/K2</f>
      </c>
      <c r="M2" s="247">
        <f t="shared" ref="M2:M137" si="12">J2/F2</f>
      </c>
      <c r="N2" s="247">
        <f t="shared" ref="N2:N55" si="1">K2/F2</f>
      </c>
      <c r="O2" s="248" t="s">
        <v>228</v>
      </c>
      <c r="P2" s="245">
        <v>10</v>
      </c>
      <c r="Q2" s="243"/>
    </row>
    <row r="3">
      <c r="A3" s="249">
        <v>46204</v>
      </c>
      <c r="B3" s="250" t="s">
        <v>229</v>
      </c>
      <c r="C3" s="251" t="s">
        <v>230</v>
      </c>
      <c r="D3" s="245">
        <v>5</v>
      </c>
      <c r="E3" s="252">
        <v>86</v>
      </c>
      <c r="F3" s="252">
        <v>69</v>
      </c>
      <c r="G3" s="252">
        <v>54</v>
      </c>
      <c r="H3" s="252">
        <v>50</v>
      </c>
      <c r="I3" s="252">
        <v>9</v>
      </c>
      <c r="J3" s="253">
        <v>59648.6</v>
      </c>
      <c r="K3" s="253">
        <v>42324.22</v>
      </c>
      <c r="L3" s="247">
        <f t="shared" si="0"/>
      </c>
      <c r="M3" s="247">
        <f t="shared" si="12"/>
      </c>
      <c r="N3" s="247">
        <f t="shared" si="1"/>
      </c>
      <c r="O3" s="254"/>
      <c r="P3" s="254"/>
      <c r="Q3" s="255"/>
    </row>
    <row r="4">
      <c r="A4" s="239">
        <v>46204</v>
      </c>
      <c r="B4" s="252" t="s">
        <v>231</v>
      </c>
      <c r="C4" s="251" t="s">
        <v>232</v>
      </c>
      <c r="D4" s="245">
        <v>5</v>
      </c>
      <c r="E4" s="252">
        <v>66</v>
      </c>
      <c r="F4" s="252">
        <v>52</v>
      </c>
      <c r="G4" s="252">
        <v>41</v>
      </c>
      <c r="H4" s="252">
        <v>39</v>
      </c>
      <c r="I4" s="252">
        <v>4</v>
      </c>
      <c r="J4" s="253">
        <v>51900</v>
      </c>
      <c r="K4" s="253">
        <v>34444.6</v>
      </c>
      <c r="L4" s="247">
        <f t="shared" si="0"/>
      </c>
      <c r="M4" s="247">
        <f t="shared" si="12"/>
      </c>
      <c r="N4" s="247">
        <f t="shared" si="1"/>
      </c>
      <c r="O4" s="242"/>
      <c r="P4" s="245"/>
      <c r="Q4" s="255"/>
    </row>
    <row r="5">
      <c r="A5" s="239">
        <v>46204</v>
      </c>
      <c r="B5" s="252" t="s">
        <v>233</v>
      </c>
      <c r="C5" s="251" t="s">
        <v>234</v>
      </c>
      <c r="D5" s="245">
        <v>5</v>
      </c>
      <c r="E5" s="252">
        <v>85</v>
      </c>
      <c r="F5" s="252">
        <v>59</v>
      </c>
      <c r="G5" s="252">
        <v>43</v>
      </c>
      <c r="H5" s="252">
        <v>35</v>
      </c>
      <c r="I5" s="252">
        <v>7</v>
      </c>
      <c r="J5" s="253">
        <v>65817.4</v>
      </c>
      <c r="K5" s="253">
        <v>32524.77</v>
      </c>
      <c r="L5" s="247">
        <f t="shared" si="0"/>
      </c>
      <c r="M5" s="247">
        <f t="shared" si="12"/>
      </c>
      <c r="N5" s="247">
        <f t="shared" si="1"/>
      </c>
      <c r="O5" s="248" t="s">
        <v>235</v>
      </c>
      <c r="P5" s="245">
        <v>10</v>
      </c>
      <c r="Q5" s="254"/>
    </row>
    <row r="6">
      <c r="A6" s="256">
        <v>46204</v>
      </c>
      <c r="B6" s="257"/>
      <c r="C6" s="257"/>
      <c r="D6" s="257">
        <f>SUM(D2:D5)</f>
      </c>
      <c r="E6" s="257">
        <f>SUM(E2:E5)</f>
      </c>
      <c r="F6" s="257">
        <f>SUM(F2:F5)</f>
      </c>
      <c r="G6" s="257">
        <f>SUM(G2:G5)</f>
      </c>
      <c r="H6" s="257">
        <f>SUM(H2:H5)</f>
      </c>
      <c r="I6" s="257">
        <f>SUM(I2:I5)</f>
      </c>
      <c r="J6" s="257">
        <f>SUM(J2:J5)</f>
      </c>
      <c r="K6" s="257">
        <f>SUM(K2:K5)</f>
      </c>
      <c r="L6" s="258">
        <f t="shared" si="0"/>
      </c>
      <c r="M6" s="258">
        <f t="shared" si="12"/>
      </c>
      <c r="N6" s="258">
        <f t="shared" si="1"/>
      </c>
      <c r="O6" s="259"/>
      <c r="P6" s="257">
        <f>P2+P3+P4+P5</f>
      </c>
      <c r="Q6" s="259"/>
    </row>
    <row r="7">
      <c r="A7" s="239">
        <v>46205</v>
      </c>
      <c r="B7" s="240" t="s">
        <v>226</v>
      </c>
      <c r="C7" s="241" t="s">
        <v>227</v>
      </c>
      <c r="D7" s="242">
        <v>5</v>
      </c>
      <c r="E7" s="243">
        <v>98</v>
      </c>
      <c r="F7" s="244">
        <v>74</v>
      </c>
      <c r="G7" s="245">
        <v>61</v>
      </c>
      <c r="H7" s="245">
        <v>50</v>
      </c>
      <c r="I7" s="245">
        <v>3</v>
      </c>
      <c r="J7" s="246">
        <v>75585.40000000002</v>
      </c>
      <c r="K7" s="245">
        <v>45179.32000000001</v>
      </c>
      <c r="L7" s="247">
        <f t="shared" si="0"/>
      </c>
      <c r="M7" s="247">
        <f t="shared" si="12"/>
      </c>
      <c r="N7" s="247">
        <f t="shared" si="1"/>
      </c>
      <c r="O7" s="248" t="s">
        <v>228</v>
      </c>
      <c r="P7" s="245">
        <v>10</v>
      </c>
      <c r="Q7" s="243"/>
    </row>
    <row r="8">
      <c r="A8" s="249">
        <v>46205</v>
      </c>
      <c r="B8" s="260" t="s">
        <v>231</v>
      </c>
      <c r="C8" s="251" t="s">
        <v>230</v>
      </c>
      <c r="D8" s="245">
        <v>5</v>
      </c>
      <c r="E8" s="252">
        <v>93</v>
      </c>
      <c r="F8" s="252">
        <v>74</v>
      </c>
      <c r="G8" s="252">
        <v>60</v>
      </c>
      <c r="H8" s="252">
        <v>49</v>
      </c>
      <c r="I8" s="252">
        <v>7</v>
      </c>
      <c r="J8" s="253">
        <v>81945.4</v>
      </c>
      <c r="K8" s="253">
        <v>38830.93</v>
      </c>
      <c r="L8" s="247">
        <f t="shared" si="0"/>
      </c>
      <c r="M8" s="247">
        <f t="shared" si="12"/>
      </c>
      <c r="N8" s="247">
        <f t="shared" si="1"/>
      </c>
      <c r="O8" s="254"/>
      <c r="P8" s="254"/>
      <c r="Q8" s="255"/>
    </row>
    <row r="9">
      <c r="A9" s="239">
        <v>46205</v>
      </c>
      <c r="B9" s="240" t="s">
        <v>229</v>
      </c>
      <c r="C9" s="241" t="s">
        <v>232</v>
      </c>
      <c r="D9" s="245">
        <v>5</v>
      </c>
      <c r="E9" s="252">
        <v>99</v>
      </c>
      <c r="F9" s="252">
        <v>83</v>
      </c>
      <c r="G9" s="252">
        <v>55</v>
      </c>
      <c r="H9" s="252">
        <v>48</v>
      </c>
      <c r="I9" s="252">
        <v>11</v>
      </c>
      <c r="J9" s="253">
        <v>81839.6</v>
      </c>
      <c r="K9" s="253">
        <v>39952.96</v>
      </c>
      <c r="L9" s="247">
        <f t="shared" si="0"/>
      </c>
      <c r="M9" s="247">
        <f t="shared" si="12"/>
      </c>
      <c r="N9" s="247">
        <f t="shared" si="1"/>
      </c>
      <c r="O9" s="242"/>
      <c r="P9" s="245"/>
      <c r="Q9" s="255"/>
    </row>
    <row r="10">
      <c r="A10" s="249">
        <v>46205</v>
      </c>
      <c r="B10" s="261" t="s">
        <v>233</v>
      </c>
      <c r="C10" s="251" t="s">
        <v>234</v>
      </c>
      <c r="D10" s="245">
        <v>5</v>
      </c>
      <c r="E10" s="252">
        <v>78</v>
      </c>
      <c r="F10" s="252">
        <v>65</v>
      </c>
      <c r="G10" s="252">
        <v>56</v>
      </c>
      <c r="H10" s="252">
        <v>39</v>
      </c>
      <c r="I10" s="252">
        <v>7</v>
      </c>
      <c r="J10" s="253">
        <v>62078.8</v>
      </c>
      <c r="K10" s="253">
        <v>37153.98</v>
      </c>
      <c r="L10" s="247">
        <f t="shared" si="0"/>
      </c>
      <c r="M10" s="247">
        <f t="shared" si="12"/>
      </c>
      <c r="N10" s="247">
        <f t="shared" si="1"/>
      </c>
      <c r="O10" s="248" t="s">
        <v>236</v>
      </c>
      <c r="P10" s="245">
        <v>10</v>
      </c>
      <c r="Q10" s="254"/>
    </row>
    <row r="11">
      <c r="A11" s="256">
        <v>46205</v>
      </c>
      <c r="B11" s="257"/>
      <c r="C11" s="257"/>
      <c r="D11" s="257">
        <f>SUM(D7:D10)</f>
      </c>
      <c r="E11" s="257">
        <f>SUM(E7:E10)</f>
      </c>
      <c r="F11" s="257">
        <f>SUM(F7:F10)</f>
      </c>
      <c r="G11" s="257">
        <f>SUM(G7:G10)</f>
      </c>
      <c r="H11" s="257">
        <f>SUM(H7:H10)</f>
      </c>
      <c r="I11" s="257">
        <f>SUM(I7:I10)</f>
      </c>
      <c r="J11" s="257">
        <f>SUM(J7:J10)</f>
      </c>
      <c r="K11" s="257">
        <f>SUM(K7:K10)</f>
      </c>
      <c r="L11" s="258">
        <f t="shared" si="0"/>
      </c>
      <c r="M11" s="258">
        <f t="shared" si="12"/>
      </c>
      <c r="N11" s="258">
        <f t="shared" si="1"/>
      </c>
      <c r="O11" s="259"/>
      <c r="P11" s="257">
        <f>P7+P8+P9+P10</f>
      </c>
      <c r="Q11" s="259"/>
    </row>
    <row r="12">
      <c r="A12" s="239">
        <v>46206</v>
      </c>
      <c r="B12" s="243" t="s">
        <v>229</v>
      </c>
      <c r="C12" s="241" t="s">
        <v>227</v>
      </c>
      <c r="D12" s="242">
        <v>5</v>
      </c>
      <c r="E12" s="243">
        <v>108</v>
      </c>
      <c r="F12" s="244">
        <v>85</v>
      </c>
      <c r="G12" s="245">
        <v>64</v>
      </c>
      <c r="H12" s="245">
        <v>56</v>
      </c>
      <c r="I12" s="245">
        <v>9</v>
      </c>
      <c r="J12" s="246">
        <v>77220.70000000001</v>
      </c>
      <c r="K12" s="245">
        <v>49932.76</v>
      </c>
      <c r="L12" s="247">
        <f t="shared" si="0"/>
      </c>
      <c r="M12" s="247">
        <f t="shared" si="12"/>
      </c>
      <c r="N12" s="247">
        <f t="shared" si="1"/>
      </c>
      <c r="O12" s="248" t="s">
        <v>228</v>
      </c>
      <c r="P12" s="245">
        <v>10</v>
      </c>
      <c r="Q12" s="243"/>
    </row>
    <row r="13">
      <c r="A13" s="249">
        <v>46206</v>
      </c>
      <c r="B13" s="262" t="s">
        <v>226</v>
      </c>
      <c r="C13" s="251" t="s">
        <v>230</v>
      </c>
      <c r="D13" s="245">
        <v>5</v>
      </c>
      <c r="E13" s="252">
        <v>68</v>
      </c>
      <c r="F13" s="252">
        <v>48</v>
      </c>
      <c r="G13" s="252">
        <v>39</v>
      </c>
      <c r="H13" s="252">
        <v>33</v>
      </c>
      <c r="I13" s="252">
        <v>4</v>
      </c>
      <c r="J13" s="253">
        <v>38561.2</v>
      </c>
      <c r="K13" s="253">
        <v>33192.06</v>
      </c>
      <c r="L13" s="247">
        <f t="shared" si="0"/>
      </c>
      <c r="M13" s="247">
        <f t="shared" si="12"/>
      </c>
      <c r="N13" s="247">
        <f t="shared" si="1"/>
      </c>
      <c r="O13" s="254"/>
      <c r="P13" s="254"/>
      <c r="Q13" s="255"/>
    </row>
    <row r="14">
      <c r="A14" s="239">
        <v>46206</v>
      </c>
      <c r="B14" s="263" t="s">
        <v>237</v>
      </c>
      <c r="C14" s="241" t="s">
        <v>232</v>
      </c>
      <c r="D14" s="245">
        <v>5</v>
      </c>
      <c r="E14" s="252">
        <v>42</v>
      </c>
      <c r="F14" s="252">
        <v>33</v>
      </c>
      <c r="G14" s="252">
        <v>31</v>
      </c>
      <c r="H14" s="252">
        <v>22</v>
      </c>
      <c r="I14" s="252">
        <v>1</v>
      </c>
      <c r="J14" s="253">
        <v>31250</v>
      </c>
      <c r="K14" s="253">
        <v>20074.87</v>
      </c>
      <c r="L14" s="247">
        <f t="shared" si="0"/>
      </c>
      <c r="M14" s="247">
        <f t="shared" si="12"/>
      </c>
      <c r="N14" s="247">
        <f t="shared" si="1"/>
      </c>
      <c r="O14" s="242"/>
      <c r="P14" s="245"/>
      <c r="Q14" s="255"/>
    </row>
    <row r="15">
      <c r="A15" s="239">
        <v>46206</v>
      </c>
      <c r="B15" s="264" t="s">
        <v>233</v>
      </c>
      <c r="C15" s="251" t="s">
        <v>234</v>
      </c>
      <c r="D15" s="245">
        <v>5</v>
      </c>
      <c r="E15" s="252">
        <v>71</v>
      </c>
      <c r="F15" s="252">
        <v>61</v>
      </c>
      <c r="G15" s="252">
        <v>45</v>
      </c>
      <c r="H15" s="252">
        <v>38</v>
      </c>
      <c r="I15" s="252">
        <v>2</v>
      </c>
      <c r="J15" s="253">
        <v>65882</v>
      </c>
      <c r="K15" s="253">
        <v>29699.71</v>
      </c>
      <c r="L15" s="247">
        <f t="shared" si="0"/>
      </c>
      <c r="M15" s="247">
        <f t="shared" si="12"/>
      </c>
      <c r="N15" s="247">
        <f t="shared" si="1"/>
      </c>
      <c r="O15" s="248" t="s">
        <v>236</v>
      </c>
      <c r="P15" s="245">
        <v>10</v>
      </c>
      <c r="Q15" s="254"/>
    </row>
    <row r="16">
      <c r="A16" s="256">
        <v>46206</v>
      </c>
      <c r="B16" s="257"/>
      <c r="C16" s="257"/>
      <c r="D16" s="257">
        <f>SUM(D12:D15)</f>
      </c>
      <c r="E16" s="257">
        <f>SUM(E12:E15)</f>
      </c>
      <c r="F16" s="257">
        <f>SUM(F12:F15)</f>
      </c>
      <c r="G16" s="257">
        <f>SUM(G12:G15)</f>
      </c>
      <c r="H16" s="257">
        <f>SUM(H12:H15)</f>
      </c>
      <c r="I16" s="257">
        <f>SUM(I12:I15)</f>
      </c>
      <c r="J16" s="257">
        <f>SUM(J12:J15)</f>
      </c>
      <c r="K16" s="257">
        <f>SUM(K12:K15)</f>
      </c>
      <c r="L16" s="258">
        <f t="shared" si="0"/>
      </c>
      <c r="M16" s="258">
        <f t="shared" si="12"/>
      </c>
      <c r="N16" s="258">
        <f t="shared" si="1"/>
      </c>
      <c r="O16" s="259"/>
      <c r="P16" s="257">
        <f>P12+P13+P14+P15</f>
      </c>
      <c r="Q16" s="259"/>
    </row>
    <row r="17">
      <c r="A17" s="239">
        <v>46207</v>
      </c>
      <c r="B17" s="243" t="s">
        <v>229</v>
      </c>
      <c r="C17" s="241" t="s">
        <v>227</v>
      </c>
      <c r="D17" s="242">
        <v>5</v>
      </c>
      <c r="E17" s="265">
        <v>104</v>
      </c>
      <c r="F17" s="266">
        <v>75</v>
      </c>
      <c r="G17" s="252">
        <v>57</v>
      </c>
      <c r="H17" s="252">
        <v>51</v>
      </c>
      <c r="I17" s="252">
        <v>5</v>
      </c>
      <c r="J17" s="253">
        <v>68984.40000000002</v>
      </c>
      <c r="K17" s="245">
        <v>48493.72</v>
      </c>
      <c r="L17" s="247">
        <f t="shared" si="0"/>
      </c>
      <c r="M17" s="247">
        <f t="shared" si="12"/>
      </c>
      <c r="N17" s="247">
        <f t="shared" si="1"/>
      </c>
      <c r="O17" s="248" t="s">
        <v>228</v>
      </c>
      <c r="P17" s="245">
        <v>10</v>
      </c>
      <c r="Q17" s="243"/>
    </row>
    <row r="18">
      <c r="A18" s="239">
        <v>46207</v>
      </c>
      <c r="B18" s="262" t="s">
        <v>226</v>
      </c>
      <c r="C18" s="251" t="s">
        <v>230</v>
      </c>
      <c r="D18" s="245">
        <v>5</v>
      </c>
      <c r="E18" s="252">
        <v>88</v>
      </c>
      <c r="F18" s="252">
        <v>65</v>
      </c>
      <c r="G18" s="252">
        <v>49</v>
      </c>
      <c r="H18" s="252">
        <v>47</v>
      </c>
      <c r="I18" s="252">
        <v>5</v>
      </c>
      <c r="J18" s="253">
        <v>70960.20000000001</v>
      </c>
      <c r="K18" s="253">
        <v>36269.729999999996</v>
      </c>
      <c r="L18" s="247">
        <f t="shared" si="0"/>
      </c>
      <c r="M18" s="247">
        <f t="shared" si="12"/>
      </c>
      <c r="N18" s="247">
        <f t="shared" si="1"/>
      </c>
      <c r="O18" s="254"/>
      <c r="P18" s="254"/>
      <c r="Q18" s="255"/>
    </row>
    <row r="19">
      <c r="A19" s="239">
        <v>46207</v>
      </c>
      <c r="B19" s="263" t="s">
        <v>237</v>
      </c>
      <c r="C19" s="241" t="s">
        <v>232</v>
      </c>
      <c r="D19" s="245">
        <v>5</v>
      </c>
      <c r="E19" s="252">
        <v>66</v>
      </c>
      <c r="F19" s="252">
        <v>54</v>
      </c>
      <c r="G19" s="252">
        <v>50</v>
      </c>
      <c r="H19" s="252">
        <v>34</v>
      </c>
      <c r="I19" s="252">
        <v>3</v>
      </c>
      <c r="J19" s="253">
        <v>46858.90000000001</v>
      </c>
      <c r="K19" s="253">
        <v>38589.85</v>
      </c>
      <c r="L19" s="247">
        <f t="shared" si="0"/>
      </c>
      <c r="M19" s="247">
        <f t="shared" si="12"/>
      </c>
      <c r="N19" s="247">
        <f t="shared" si="1"/>
      </c>
      <c r="O19" s="242"/>
      <c r="P19" s="245"/>
      <c r="Q19" s="255"/>
    </row>
    <row r="20">
      <c r="A20" s="239">
        <v>46207</v>
      </c>
      <c r="B20" s="260" t="s">
        <v>231</v>
      </c>
      <c r="C20" s="251" t="s">
        <v>234</v>
      </c>
      <c r="D20" s="245">
        <v>5</v>
      </c>
      <c r="E20" s="252">
        <v>84</v>
      </c>
      <c r="F20" s="252">
        <v>72</v>
      </c>
      <c r="G20" s="252">
        <v>51</v>
      </c>
      <c r="H20" s="252">
        <v>39</v>
      </c>
      <c r="I20" s="252">
        <v>9</v>
      </c>
      <c r="J20" s="253">
        <v>58817.30000000003</v>
      </c>
      <c r="K20" s="253">
        <v>34193.09</v>
      </c>
      <c r="L20" s="247">
        <f t="shared" si="0"/>
      </c>
      <c r="M20" s="247">
        <f t="shared" si="12"/>
      </c>
      <c r="N20" s="247">
        <f t="shared" si="1"/>
      </c>
      <c r="O20" s="248" t="s">
        <v>238</v>
      </c>
      <c r="P20" s="245">
        <v>10</v>
      </c>
      <c r="Q20" s="254"/>
    </row>
    <row r="21">
      <c r="A21" s="256">
        <v>46207</v>
      </c>
      <c r="B21" s="257"/>
      <c r="C21" s="257"/>
      <c r="D21" s="257">
        <f>SUM(D17:D20)</f>
      </c>
      <c r="E21" s="257">
        <f>SUM(E17:E20)</f>
      </c>
      <c r="F21" s="257">
        <f>SUM(F17:F20)</f>
      </c>
      <c r="G21" s="257">
        <f>SUM(G17:G20)</f>
      </c>
      <c r="H21" s="257">
        <f>SUM(H17:H20)</f>
      </c>
      <c r="I21" s="257">
        <f>SUM(I17:I20)</f>
      </c>
      <c r="J21" s="257">
        <f>SUM(J17:J20)</f>
      </c>
      <c r="K21" s="257">
        <f>SUM(K17:K20)</f>
      </c>
      <c r="L21" s="258">
        <f t="shared" si="0"/>
      </c>
      <c r="M21" s="258">
        <f t="shared" si="12"/>
      </c>
      <c r="N21" s="258">
        <f t="shared" si="1"/>
      </c>
      <c r="O21" s="259"/>
      <c r="P21" s="257">
        <f>P17+P18+P19+P20</f>
      </c>
      <c r="Q21" s="259"/>
    </row>
    <row r="22">
      <c r="A22" s="239">
        <v>46208</v>
      </c>
      <c r="B22" s="262" t="s">
        <v>226</v>
      </c>
      <c r="C22" s="241" t="s">
        <v>227</v>
      </c>
      <c r="D22" s="242">
        <v>5</v>
      </c>
      <c r="E22" s="265">
        <v>105</v>
      </c>
      <c r="F22" s="266">
        <v>88</v>
      </c>
      <c r="G22" s="252">
        <v>65</v>
      </c>
      <c r="H22" s="252">
        <v>51</v>
      </c>
      <c r="I22" s="252">
        <v>7</v>
      </c>
      <c r="J22" s="253">
        <v>108350.90000000002</v>
      </c>
      <c r="K22" s="245">
        <v>49868.840000000004</v>
      </c>
      <c r="L22" s="247">
        <f t="shared" si="0"/>
      </c>
      <c r="M22" s="247">
        <f t="shared" si="12"/>
      </c>
      <c r="N22" s="247">
        <f t="shared" si="1"/>
      </c>
      <c r="O22" s="248" t="s">
        <v>228</v>
      </c>
      <c r="P22" s="245">
        <v>10</v>
      </c>
      <c r="Q22" s="243"/>
    </row>
    <row r="23">
      <c r="A23" s="239">
        <v>46208</v>
      </c>
      <c r="B23" s="260" t="s">
        <v>231</v>
      </c>
      <c r="C23" s="251" t="s">
        <v>230</v>
      </c>
      <c r="D23" s="245">
        <v>5</v>
      </c>
      <c r="E23" s="252">
        <v>72</v>
      </c>
      <c r="F23" s="252">
        <v>55</v>
      </c>
      <c r="G23" s="252">
        <v>39</v>
      </c>
      <c r="H23" s="252">
        <v>38</v>
      </c>
      <c r="I23" s="252">
        <v>7</v>
      </c>
      <c r="J23" s="253">
        <v>54906.40000000001</v>
      </c>
      <c r="K23" s="253">
        <v>34876.149999999994</v>
      </c>
      <c r="L23" s="247">
        <f t="shared" si="0"/>
      </c>
      <c r="M23" s="247">
        <f t="shared" si="12"/>
      </c>
      <c r="N23" s="247">
        <f t="shared" si="1"/>
      </c>
      <c r="O23" s="254"/>
      <c r="P23" s="254"/>
      <c r="Q23" s="255"/>
    </row>
    <row r="24">
      <c r="A24" s="239">
        <v>46208</v>
      </c>
      <c r="B24" s="263" t="s">
        <v>237</v>
      </c>
      <c r="C24" s="241" t="s">
        <v>232</v>
      </c>
      <c r="D24" s="245">
        <v>5</v>
      </c>
      <c r="E24" s="252">
        <v>37</v>
      </c>
      <c r="F24" s="252">
        <v>25</v>
      </c>
      <c r="G24" s="252">
        <v>21</v>
      </c>
      <c r="H24" s="252">
        <v>17</v>
      </c>
      <c r="I24" s="252">
        <v>2</v>
      </c>
      <c r="J24" s="253">
        <v>22197</v>
      </c>
      <c r="K24" s="253">
        <v>18359.89</v>
      </c>
      <c r="L24" s="247">
        <f t="shared" si="0"/>
      </c>
      <c r="M24" s="247">
        <f t="shared" si="12"/>
      </c>
      <c r="N24" s="247">
        <f t="shared" si="1"/>
      </c>
      <c r="O24" s="242"/>
      <c r="P24" s="245"/>
      <c r="Q24" s="255"/>
    </row>
    <row r="25">
      <c r="A25" s="239">
        <v>46208</v>
      </c>
      <c r="B25" s="264" t="s">
        <v>233</v>
      </c>
      <c r="C25" s="251" t="s">
        <v>234</v>
      </c>
      <c r="D25" s="245">
        <v>5</v>
      </c>
      <c r="E25" s="252">
        <v>53</v>
      </c>
      <c r="F25" s="252">
        <v>39</v>
      </c>
      <c r="G25" s="252">
        <v>35</v>
      </c>
      <c r="H25" s="252">
        <v>26</v>
      </c>
      <c r="I25" s="252">
        <v>3</v>
      </c>
      <c r="J25" s="253">
        <v>31830.399999999994</v>
      </c>
      <c r="K25" s="253">
        <v>30233.689999999995</v>
      </c>
      <c r="L25" s="247">
        <f t="shared" si="0"/>
      </c>
      <c r="M25" s="247">
        <f t="shared" si="12"/>
      </c>
      <c r="N25" s="247">
        <f t="shared" si="1"/>
      </c>
      <c r="O25" s="248" t="s">
        <v>238</v>
      </c>
      <c r="P25" s="245">
        <v>10</v>
      </c>
      <c r="Q25" s="254"/>
    </row>
    <row r="26">
      <c r="A26" s="256">
        <v>46208</v>
      </c>
      <c r="B26" s="257"/>
      <c r="C26" s="257"/>
      <c r="D26" s="257">
        <f>SUM(D22:D25)</f>
      </c>
      <c r="E26" s="257">
        <f>SUM(E22:E25)</f>
      </c>
      <c r="F26" s="257">
        <f>SUM(F22:F25)</f>
      </c>
      <c r="G26" s="257">
        <f>SUM(G22:G25)</f>
      </c>
      <c r="H26" s="257">
        <f>SUM(H22:H25)</f>
      </c>
      <c r="I26" s="257">
        <f>SUM(I22:I25)</f>
      </c>
      <c r="J26" s="257">
        <f>SUM(J22:J25)</f>
      </c>
      <c r="K26" s="257">
        <f>SUM(K22:K25)</f>
      </c>
      <c r="L26" s="258">
        <f t="shared" si="0"/>
      </c>
      <c r="M26" s="258">
        <f t="shared" si="12"/>
      </c>
      <c r="N26" s="258">
        <f t="shared" si="1"/>
      </c>
      <c r="O26" s="259"/>
      <c r="P26" s="257">
        <f>P22+P23+P24+P25</f>
      </c>
      <c r="Q26" s="259"/>
    </row>
    <row r="27">
      <c r="A27" s="239">
        <v>46209</v>
      </c>
      <c r="B27" s="262" t="s">
        <v>229</v>
      </c>
      <c r="C27" s="241" t="s">
        <v>227</v>
      </c>
      <c r="D27" s="242">
        <v>5</v>
      </c>
      <c r="E27" s="265">
        <v>74</v>
      </c>
      <c r="F27" s="266">
        <v>56</v>
      </c>
      <c r="G27" s="252">
        <v>46</v>
      </c>
      <c r="H27" s="252">
        <v>32</v>
      </c>
      <c r="I27" s="252">
        <v>2</v>
      </c>
      <c r="J27" s="253">
        <v>59280.8</v>
      </c>
      <c r="K27" s="252">
        <v>29040.33</v>
      </c>
      <c r="L27" s="247">
        <f t="shared" si="0"/>
      </c>
      <c r="M27" s="247">
        <f t="shared" si="12"/>
      </c>
      <c r="N27" s="247">
        <f t="shared" si="1"/>
      </c>
      <c r="O27" s="248" t="s">
        <v>239</v>
      </c>
      <c r="P27" s="252">
        <v>8</v>
      </c>
      <c r="Q27" s="243"/>
    </row>
    <row r="28">
      <c r="A28" s="239">
        <v>46209</v>
      </c>
      <c r="B28" s="267" t="s">
        <v>226</v>
      </c>
      <c r="C28" s="251" t="s">
        <v>230</v>
      </c>
      <c r="D28" s="245">
        <v>5</v>
      </c>
      <c r="E28" s="252">
        <v>61</v>
      </c>
      <c r="F28" s="252">
        <v>40</v>
      </c>
      <c r="G28" s="252">
        <v>38</v>
      </c>
      <c r="H28" s="252">
        <v>30</v>
      </c>
      <c r="I28" s="252">
        <v>3</v>
      </c>
      <c r="J28" s="253">
        <v>36973.600000000006</v>
      </c>
      <c r="K28" s="253">
        <v>29384.35</v>
      </c>
      <c r="L28" s="247">
        <f t="shared" si="0"/>
      </c>
      <c r="M28" s="247">
        <f t="shared" si="12"/>
      </c>
      <c r="N28" s="247">
        <f t="shared" si="1"/>
      </c>
      <c r="O28" s="248" t="s">
        <v>240</v>
      </c>
      <c r="P28" s="268">
        <v>2</v>
      </c>
      <c r="Q28" s="255"/>
    </row>
    <row r="29">
      <c r="A29" s="239">
        <v>46209</v>
      </c>
      <c r="B29" s="263" t="s">
        <v>237</v>
      </c>
      <c r="C29" s="241" t="s">
        <v>232</v>
      </c>
      <c r="D29" s="245">
        <v>5</v>
      </c>
      <c r="E29" s="252">
        <v>60</v>
      </c>
      <c r="F29" s="252">
        <v>51</v>
      </c>
      <c r="G29" s="252">
        <v>36</v>
      </c>
      <c r="H29" s="252">
        <v>29</v>
      </c>
      <c r="I29" s="252">
        <v>10</v>
      </c>
      <c r="J29" s="253">
        <v>47995</v>
      </c>
      <c r="K29" s="253">
        <v>23415.36</v>
      </c>
      <c r="L29" s="247">
        <f t="shared" si="0"/>
      </c>
      <c r="M29" s="247">
        <f t="shared" si="12"/>
      </c>
      <c r="N29" s="247">
        <f t="shared" si="1"/>
      </c>
      <c r="O29" s="242"/>
      <c r="P29" s="245"/>
      <c r="Q29" s="255"/>
    </row>
    <row r="30">
      <c r="A30" s="239">
        <v>46209</v>
      </c>
      <c r="B30" s="264" t="s">
        <v>233</v>
      </c>
      <c r="C30" s="251" t="s">
        <v>234</v>
      </c>
      <c r="D30" s="245">
        <v>5</v>
      </c>
      <c r="E30" s="252">
        <v>53</v>
      </c>
      <c r="F30" s="252">
        <v>41</v>
      </c>
      <c r="G30" s="252">
        <v>31</v>
      </c>
      <c r="H30" s="252">
        <v>29</v>
      </c>
      <c r="I30" s="252">
        <v>5</v>
      </c>
      <c r="J30" s="253">
        <v>38615.20000000001</v>
      </c>
      <c r="K30" s="253">
        <v>26914.46</v>
      </c>
      <c r="L30" s="247">
        <f t="shared" si="0"/>
      </c>
      <c r="M30" s="247">
        <f t="shared" si="12"/>
      </c>
      <c r="N30" s="247">
        <f t="shared" si="1"/>
      </c>
      <c r="O30" s="248" t="s">
        <v>238</v>
      </c>
      <c r="P30" s="245">
        <v>10</v>
      </c>
      <c r="Q30" s="254"/>
    </row>
    <row r="31">
      <c r="A31" s="256">
        <v>46209</v>
      </c>
      <c r="B31" s="257"/>
      <c r="C31" s="257"/>
      <c r="D31" s="257">
        <f>SUM(D27:D30)</f>
      </c>
      <c r="E31" s="257">
        <f>SUM(E27:E30)</f>
      </c>
      <c r="F31" s="257">
        <f>SUM(F27:F30)</f>
      </c>
      <c r="G31" s="257">
        <f>SUM(G27:G30)</f>
      </c>
      <c r="H31" s="257">
        <f>SUM(H27:H30)</f>
      </c>
      <c r="I31" s="257">
        <f>SUM(I27:I30)</f>
      </c>
      <c r="J31" s="257">
        <f>SUM(J27:J30)</f>
      </c>
      <c r="K31" s="257">
        <f>SUM(K27:K30)</f>
      </c>
      <c r="L31" s="258">
        <f t="shared" si="0"/>
      </c>
      <c r="M31" s="258">
        <f t="shared" si="12"/>
      </c>
      <c r="N31" s="258">
        <f t="shared" si="1"/>
      </c>
      <c r="O31" s="259"/>
      <c r="P31" s="257">
        <f>P27+P28+P29+P30</f>
      </c>
      <c r="Q31" s="259"/>
    </row>
    <row r="32">
      <c r="A32" s="239">
        <v>46210</v>
      </c>
      <c r="B32" s="262" t="s">
        <v>229</v>
      </c>
      <c r="C32" s="241" t="s">
        <v>227</v>
      </c>
      <c r="D32" s="242">
        <v>5</v>
      </c>
      <c r="E32" s="265">
        <v>43</v>
      </c>
      <c r="F32" s="266">
        <v>31</v>
      </c>
      <c r="G32" s="252">
        <v>22</v>
      </c>
      <c r="H32" s="252">
        <v>22</v>
      </c>
      <c r="I32" s="252">
        <v>3</v>
      </c>
      <c r="J32" s="253">
        <v>31680.199999999997</v>
      </c>
      <c r="K32" s="252">
        <v>25686.12</v>
      </c>
      <c r="L32" s="247">
        <f t="shared" si="0"/>
      </c>
      <c r="M32" s="247">
        <f t="shared" si="12"/>
      </c>
      <c r="N32" s="247">
        <f t="shared" si="1"/>
      </c>
      <c r="O32" s="248" t="s">
        <v>239</v>
      </c>
      <c r="P32" s="252">
        <v>10</v>
      </c>
      <c r="Q32" s="243"/>
    </row>
    <row r="33">
      <c r="A33" s="239">
        <v>46210</v>
      </c>
      <c r="B33" s="260" t="s">
        <v>231</v>
      </c>
      <c r="C33" s="251" t="s">
        <v>230</v>
      </c>
      <c r="D33" s="245">
        <v>5</v>
      </c>
      <c r="E33" s="252">
        <v>36</v>
      </c>
      <c r="F33" s="252">
        <v>22</v>
      </c>
      <c r="G33" s="252">
        <v>13</v>
      </c>
      <c r="H33" s="252">
        <v>14</v>
      </c>
      <c r="I33" s="252">
        <v>3</v>
      </c>
      <c r="J33" s="253">
        <v>20556.199999999997</v>
      </c>
      <c r="K33" s="253">
        <v>17873.42</v>
      </c>
      <c r="L33" s="247">
        <f t="shared" si="0"/>
      </c>
      <c r="M33" s="247">
        <f t="shared" si="12"/>
      </c>
      <c r="N33" s="247">
        <f t="shared" si="1"/>
      </c>
      <c r="O33" s="248"/>
      <c r="P33" s="268"/>
      <c r="Q33" s="255"/>
    </row>
    <row r="34">
      <c r="A34" s="239">
        <v>46210</v>
      </c>
      <c r="B34" s="263" t="s">
        <v>237</v>
      </c>
      <c r="C34" s="241" t="s">
        <v>232</v>
      </c>
      <c r="D34" s="245">
        <v>5</v>
      </c>
      <c r="E34" s="252">
        <v>47</v>
      </c>
      <c r="F34" s="252">
        <v>41</v>
      </c>
      <c r="G34" s="252">
        <v>31</v>
      </c>
      <c r="H34" s="252">
        <v>29</v>
      </c>
      <c r="I34" s="252">
        <v>5</v>
      </c>
      <c r="J34" s="253">
        <v>28720.6</v>
      </c>
      <c r="K34" s="253">
        <v>16996.26</v>
      </c>
      <c r="L34" s="247">
        <f t="shared" si="0"/>
      </c>
      <c r="M34" s="247">
        <f t="shared" si="12"/>
      </c>
      <c r="N34" s="247">
        <f t="shared" si="1"/>
      </c>
      <c r="O34" s="242"/>
      <c r="P34" s="245"/>
      <c r="Q34" s="255"/>
    </row>
    <row r="35">
      <c r="A35" s="239">
        <v>46210</v>
      </c>
      <c r="B35" s="264" t="s">
        <v>233</v>
      </c>
      <c r="C35" s="251" t="s">
        <v>234</v>
      </c>
      <c r="D35" s="245">
        <v>5</v>
      </c>
      <c r="E35" s="252">
        <v>52</v>
      </c>
      <c r="F35" s="252">
        <v>38</v>
      </c>
      <c r="G35" s="252">
        <v>32</v>
      </c>
      <c r="H35" s="252">
        <v>24</v>
      </c>
      <c r="I35" s="252">
        <v>2</v>
      </c>
      <c r="J35" s="253">
        <v>32295.600000000006</v>
      </c>
      <c r="K35" s="253">
        <v>22817.16</v>
      </c>
      <c r="L35" s="247">
        <f t="shared" si="0"/>
      </c>
      <c r="M35" s="247">
        <f t="shared" si="12"/>
      </c>
      <c r="N35" s="247">
        <f t="shared" si="1"/>
      </c>
      <c r="O35" s="248" t="s">
        <v>238</v>
      </c>
      <c r="P35" s="245">
        <v>10</v>
      </c>
      <c r="Q35" s="254"/>
    </row>
    <row r="36">
      <c r="A36" s="256">
        <v>46210</v>
      </c>
      <c r="B36" s="257"/>
      <c r="C36" s="257"/>
      <c r="D36" s="257">
        <f>SUM(D32:D35)</f>
      </c>
      <c r="E36" s="257">
        <f>SUM(E32:E35)</f>
      </c>
      <c r="F36" s="257">
        <f>SUM(F32:F35)</f>
      </c>
      <c r="G36" s="257">
        <f>SUM(G32:G35)</f>
      </c>
      <c r="H36" s="257">
        <f>SUM(H32:H35)</f>
      </c>
      <c r="I36" s="257">
        <f>SUM(I32:I35)</f>
      </c>
      <c r="J36" s="257">
        <f>SUM(J32:J35)</f>
      </c>
      <c r="K36" s="257">
        <f>SUM(K32:K35)</f>
      </c>
      <c r="L36" s="258">
        <f t="shared" si="0"/>
      </c>
      <c r="M36" s="258">
        <f t="shared" si="12"/>
      </c>
      <c r="N36" s="258">
        <f t="shared" si="1"/>
      </c>
      <c r="O36" s="259"/>
      <c r="P36" s="257">
        <f>P32+P33+P34+P35</f>
      </c>
      <c r="Q36" s="259"/>
    </row>
    <row r="37">
      <c r="A37" s="239">
        <v>46211</v>
      </c>
      <c r="B37" s="262" t="s">
        <v>229</v>
      </c>
      <c r="C37" s="241" t="s">
        <v>227</v>
      </c>
      <c r="D37" s="242">
        <v>5</v>
      </c>
      <c r="E37" s="265">
        <v>29</v>
      </c>
      <c r="F37" s="266">
        <v>21</v>
      </c>
      <c r="G37" s="252">
        <v>15</v>
      </c>
      <c r="H37" s="252">
        <v>16</v>
      </c>
      <c r="I37" s="252">
        <v>2</v>
      </c>
      <c r="J37" s="253">
        <v>20434.800000000003</v>
      </c>
      <c r="K37" s="252">
        <v>18371.57</v>
      </c>
      <c r="L37" s="247">
        <f t="shared" si="0"/>
      </c>
      <c r="M37" s="247">
        <f t="shared" si="12"/>
      </c>
      <c r="N37" s="247">
        <f t="shared" si="1"/>
      </c>
      <c r="O37" s="248" t="s">
        <v>239</v>
      </c>
      <c r="P37" s="252">
        <v>10</v>
      </c>
      <c r="Q37" s="243"/>
    </row>
    <row r="38">
      <c r="A38" s="239">
        <v>46211</v>
      </c>
      <c r="B38" s="260" t="s">
        <v>231</v>
      </c>
      <c r="C38" s="251" t="s">
        <v>230</v>
      </c>
      <c r="D38" s="245">
        <v>5</v>
      </c>
      <c r="E38" s="252">
        <v>56</v>
      </c>
      <c r="F38" s="252">
        <v>46</v>
      </c>
      <c r="G38" s="252">
        <v>35</v>
      </c>
      <c r="H38" s="252">
        <v>29</v>
      </c>
      <c r="I38" s="252">
        <v>4</v>
      </c>
      <c r="J38" s="253">
        <v>47549.400000000016</v>
      </c>
      <c r="K38" s="253">
        <v>20135.989999999998</v>
      </c>
      <c r="L38" s="247">
        <f t="shared" si="0"/>
      </c>
      <c r="M38" s="247">
        <f t="shared" si="12"/>
      </c>
      <c r="N38" s="247">
        <f t="shared" si="1"/>
      </c>
      <c r="O38" s="248"/>
      <c r="P38" s="268"/>
      <c r="Q38" s="255"/>
    </row>
    <row r="39">
      <c r="A39" s="239">
        <v>46211</v>
      </c>
      <c r="B39" s="263" t="s">
        <v>237</v>
      </c>
      <c r="C39" s="241" t="s">
        <v>232</v>
      </c>
      <c r="D39" s="245">
        <v>5</v>
      </c>
      <c r="E39" s="252">
        <v>27</v>
      </c>
      <c r="F39" s="252">
        <v>20</v>
      </c>
      <c r="G39" s="252">
        <v>16</v>
      </c>
      <c r="H39" s="252">
        <v>10</v>
      </c>
      <c r="I39" s="252">
        <v>0</v>
      </c>
      <c r="J39" s="253">
        <v>16023.39999999999</v>
      </c>
      <c r="K39" s="253">
        <v>16321.219999999998</v>
      </c>
      <c r="L39" s="247">
        <f t="shared" si="0"/>
      </c>
      <c r="M39" s="247">
        <f t="shared" si="12"/>
      </c>
      <c r="N39" s="247">
        <f t="shared" si="1"/>
      </c>
      <c r="O39" s="242"/>
      <c r="P39" s="245"/>
      <c r="Q39" s="255"/>
    </row>
    <row r="40">
      <c r="A40" s="239">
        <v>46211</v>
      </c>
      <c r="B40" s="264" t="s">
        <v>233</v>
      </c>
      <c r="C40" s="251" t="s">
        <v>234</v>
      </c>
      <c r="D40" s="245">
        <v>5</v>
      </c>
      <c r="E40" s="252">
        <v>55</v>
      </c>
      <c r="F40" s="252">
        <v>45</v>
      </c>
      <c r="G40" s="252">
        <v>41</v>
      </c>
      <c r="H40" s="252">
        <v>25</v>
      </c>
      <c r="I40" s="252">
        <v>2</v>
      </c>
      <c r="J40" s="253">
        <v>42821.50000000001</v>
      </c>
      <c r="K40" s="253">
        <v>21998.91</v>
      </c>
      <c r="L40" s="247">
        <f t="shared" si="0"/>
      </c>
      <c r="M40" s="247">
        <f t="shared" si="12"/>
      </c>
      <c r="N40" s="247">
        <f t="shared" si="1"/>
      </c>
      <c r="O40" s="248" t="s">
        <v>238</v>
      </c>
      <c r="P40" s="245">
        <v>10</v>
      </c>
      <c r="Q40" s="254"/>
    </row>
    <row r="41">
      <c r="A41" s="256">
        <v>46211</v>
      </c>
      <c r="B41" s="257"/>
      <c r="C41" s="257"/>
      <c r="D41" s="257">
        <f>SUM(D37:D40)</f>
      </c>
      <c r="E41" s="257">
        <f>SUM(E37:E40)</f>
      </c>
      <c r="F41" s="257">
        <f>SUM(F37:F40)</f>
      </c>
      <c r="G41" s="257">
        <f>SUM(G37:G40)</f>
      </c>
      <c r="H41" s="257">
        <f>SUM(H37:H40)</f>
      </c>
      <c r="I41" s="257">
        <f>SUM(I37:I40)</f>
      </c>
      <c r="J41" s="257">
        <f>SUM(J37:J40)</f>
      </c>
      <c r="K41" s="257">
        <f>SUM(K37:K40)</f>
      </c>
      <c r="L41" s="258">
        <f t="shared" si="0"/>
      </c>
      <c r="M41" s="258">
        <f t="shared" si="12"/>
      </c>
      <c r="N41" s="258">
        <f t="shared" si="1"/>
      </c>
      <c r="O41" s="259"/>
      <c r="P41" s="257">
        <f>P37+P38+P39+P40</f>
      </c>
      <c r="Q41" s="259"/>
    </row>
    <row r="42">
      <c r="A42" s="239">
        <v>46212</v>
      </c>
      <c r="B42" s="262" t="s">
        <v>226</v>
      </c>
      <c r="C42" s="241" t="s">
        <v>227</v>
      </c>
      <c r="D42" s="242">
        <v>5</v>
      </c>
      <c r="E42" s="265">
        <v>66</v>
      </c>
      <c r="F42" s="266">
        <v>48</v>
      </c>
      <c r="G42" s="252">
        <v>35</v>
      </c>
      <c r="H42" s="252">
        <v>29</v>
      </c>
      <c r="I42" s="252">
        <v>6</v>
      </c>
      <c r="J42" s="253">
        <v>42082.4</v>
      </c>
      <c r="K42" s="252">
        <v>27723.64</v>
      </c>
      <c r="L42" s="247">
        <f t="shared" si="0"/>
      </c>
      <c r="M42" s="247">
        <f t="shared" si="12"/>
      </c>
      <c r="N42" s="247">
        <f t="shared" si="1"/>
      </c>
      <c r="O42" s="248" t="s">
        <v>228</v>
      </c>
      <c r="P42" s="252">
        <v>10</v>
      </c>
      <c r="Q42" s="243"/>
    </row>
    <row r="43">
      <c r="A43" s="239">
        <v>46212</v>
      </c>
      <c r="B43" s="269" t="s">
        <v>233</v>
      </c>
      <c r="C43" s="241" t="s">
        <v>230</v>
      </c>
      <c r="D43" s="245">
        <v>5</v>
      </c>
      <c r="E43" s="252">
        <v>50</v>
      </c>
      <c r="F43" s="252">
        <v>43</v>
      </c>
      <c r="G43" s="252">
        <v>39</v>
      </c>
      <c r="H43" s="252">
        <v>22</v>
      </c>
      <c r="I43" s="252">
        <v>2</v>
      </c>
      <c r="J43" s="253">
        <v>46230</v>
      </c>
      <c r="K43" s="253">
        <v>24594.86</v>
      </c>
      <c r="L43" s="247">
        <f t="shared" si="0"/>
      </c>
      <c r="M43" s="247">
        <f t="shared" si="12"/>
      </c>
      <c r="N43" s="247">
        <f t="shared" si="1"/>
      </c>
      <c r="O43" s="248"/>
      <c r="P43" s="268"/>
      <c r="Q43" s="255"/>
    </row>
    <row r="44">
      <c r="A44" s="239">
        <v>46212</v>
      </c>
      <c r="B44" s="270" t="s">
        <v>231</v>
      </c>
      <c r="C44" s="241" t="s">
        <v>232</v>
      </c>
      <c r="D44" s="245">
        <v>5</v>
      </c>
      <c r="E44" s="252">
        <v>54</v>
      </c>
      <c r="F44" s="252">
        <v>44</v>
      </c>
      <c r="G44" s="252">
        <v>36</v>
      </c>
      <c r="H44" s="252">
        <v>26</v>
      </c>
      <c r="I44" s="252">
        <v>7</v>
      </c>
      <c r="J44" s="253">
        <v>38667.3</v>
      </c>
      <c r="K44" s="253">
        <v>25383.43</v>
      </c>
      <c r="L44" s="247">
        <f t="shared" si="0"/>
      </c>
      <c r="M44" s="247">
        <f t="shared" si="12"/>
      </c>
      <c r="N44" s="247">
        <f t="shared" si="1"/>
      </c>
      <c r="O44" s="242"/>
      <c r="P44" s="245"/>
      <c r="Q44" s="255"/>
    </row>
    <row r="45">
      <c r="A45" s="239">
        <v>46212</v>
      </c>
      <c r="B45" s="267" t="s">
        <v>237</v>
      </c>
      <c r="C45" s="251" t="s">
        <v>234</v>
      </c>
      <c r="D45" s="245">
        <v>5</v>
      </c>
      <c r="E45" s="252">
        <v>66</v>
      </c>
      <c r="F45" s="252">
        <v>45</v>
      </c>
      <c r="G45" s="252">
        <v>41</v>
      </c>
      <c r="H45" s="252">
        <v>26</v>
      </c>
      <c r="I45" s="252">
        <v>3</v>
      </c>
      <c r="J45" s="253">
        <v>45149.700000000004</v>
      </c>
      <c r="K45" s="253">
        <v>29710.71</v>
      </c>
      <c r="L45" s="247">
        <f t="shared" si="0"/>
      </c>
      <c r="M45" s="247">
        <f t="shared" si="12"/>
      </c>
      <c r="N45" s="247">
        <f t="shared" si="1"/>
      </c>
      <c r="O45" s="248" t="s">
        <v>238</v>
      </c>
      <c r="P45" s="245">
        <v>10</v>
      </c>
      <c r="Q45" s="254"/>
    </row>
    <row r="46">
      <c r="A46" s="256">
        <v>46212</v>
      </c>
      <c r="B46" s="257"/>
      <c r="C46" s="257"/>
      <c r="D46" s="257">
        <f>SUM(D42:D45)</f>
      </c>
      <c r="E46" s="257">
        <f>SUM(E42:E45)</f>
      </c>
      <c r="F46" s="257">
        <f>SUM(F42:F45)</f>
      </c>
      <c r="G46" s="257">
        <f>SUM(G42:G45)</f>
      </c>
      <c r="H46" s="257">
        <f>SUM(H42:H45)</f>
      </c>
      <c r="I46" s="257">
        <f>SUM(I42:I45)</f>
      </c>
      <c r="J46" s="257">
        <f>SUM(J42:J45)</f>
      </c>
      <c r="K46" s="257">
        <f>SUM(K42:K45)</f>
      </c>
      <c r="L46" s="258">
        <f t="shared" si="0"/>
      </c>
      <c r="M46" s="258">
        <f t="shared" si="12"/>
      </c>
      <c r="N46" s="258">
        <f t="shared" si="1"/>
      </c>
      <c r="O46" s="259"/>
      <c r="P46" s="257">
        <f>P42+P43+P44+P45</f>
      </c>
      <c r="Q46" s="259"/>
    </row>
    <row customHeight="true" ht="16.071428571428573" r="47">
      <c r="A47" s="239">
        <v>46213</v>
      </c>
      <c r="B47" s="262" t="s">
        <v>226</v>
      </c>
      <c r="C47" s="241" t="s">
        <v>227</v>
      </c>
      <c r="D47" s="242">
        <v>5</v>
      </c>
      <c r="E47" s="265">
        <v>42</v>
      </c>
      <c r="F47" s="266">
        <v>32</v>
      </c>
      <c r="G47" s="252">
        <v>23</v>
      </c>
      <c r="H47" s="252">
        <v>19</v>
      </c>
      <c r="I47" s="252">
        <v>3</v>
      </c>
      <c r="J47" s="253">
        <v>33869.600000000006</v>
      </c>
      <c r="K47" s="252">
        <v>20774.609999999997</v>
      </c>
      <c r="L47" s="247">
        <f t="shared" si="0"/>
      </c>
      <c r="M47" s="247">
        <f t="shared" si="12"/>
      </c>
      <c r="N47" s="247">
        <f t="shared" si="1"/>
      </c>
      <c r="O47" s="248" t="s">
        <v>239</v>
      </c>
      <c r="P47" s="252">
        <v>10</v>
      </c>
      <c r="Q47" s="243"/>
    </row>
    <row customHeight="true" ht="16.071428571428573" r="48">
      <c r="A48" s="239">
        <v>46213</v>
      </c>
      <c r="B48" s="269" t="s">
        <v>231</v>
      </c>
      <c r="C48" s="241" t="s">
        <v>230</v>
      </c>
      <c r="D48" s="245">
        <v>5</v>
      </c>
      <c r="E48" s="252">
        <v>55</v>
      </c>
      <c r="F48" s="252">
        <v>45</v>
      </c>
      <c r="G48" s="252">
        <v>35</v>
      </c>
      <c r="H48" s="252">
        <v>32</v>
      </c>
      <c r="I48" s="252">
        <v>3</v>
      </c>
      <c r="J48" s="253">
        <v>41247.2</v>
      </c>
      <c r="K48" s="253">
        <v>24971.75</v>
      </c>
      <c r="L48" s="247">
        <f t="shared" si="0"/>
      </c>
      <c r="M48" s="247">
        <f t="shared" si="12"/>
      </c>
      <c r="N48" s="247">
        <f t="shared" si="1"/>
      </c>
      <c r="O48" s="248" t="s">
        <v>241</v>
      </c>
      <c r="P48" s="268">
        <v>1</v>
      </c>
      <c r="Q48" s="255"/>
    </row>
    <row customHeight="true" ht="16.071428571428573" r="49">
      <c r="A49" s="239">
        <v>46213</v>
      </c>
      <c r="B49" s="270" t="s">
        <v>233</v>
      </c>
      <c r="C49" s="241" t="s">
        <v>232</v>
      </c>
      <c r="D49" s="245">
        <v>5</v>
      </c>
      <c r="E49" s="252">
        <v>45</v>
      </c>
      <c r="F49" s="252">
        <v>32</v>
      </c>
      <c r="G49" s="252">
        <v>17</v>
      </c>
      <c r="H49" s="252">
        <v>21</v>
      </c>
      <c r="I49" s="252">
        <v>4</v>
      </c>
      <c r="J49" s="253">
        <v>29018.4</v>
      </c>
      <c r="K49" s="253">
        <v>17781.01</v>
      </c>
      <c r="L49" s="247">
        <f t="shared" si="0"/>
      </c>
      <c r="M49" s="247">
        <f t="shared" si="12"/>
      </c>
      <c r="N49" s="247">
        <f t="shared" si="1"/>
      </c>
      <c r="O49" s="248" t="s">
        <v>242</v>
      </c>
      <c r="P49" s="252">
        <v>7</v>
      </c>
      <c r="Q49" s="255"/>
    </row>
    <row customHeight="true" ht="16.071428571428573" r="50">
      <c r="A50" s="239">
        <v>46213</v>
      </c>
      <c r="B50" s="267" t="s">
        <v>237</v>
      </c>
      <c r="C50" s="251" t="s">
        <v>234</v>
      </c>
      <c r="D50" s="245">
        <v>5</v>
      </c>
      <c r="E50" s="252">
        <v>78</v>
      </c>
      <c r="F50" s="252">
        <v>55</v>
      </c>
      <c r="G50" s="252">
        <v>37</v>
      </c>
      <c r="H50" s="252">
        <v>46</v>
      </c>
      <c r="I50" s="252">
        <v>6</v>
      </c>
      <c r="J50" s="253">
        <v>42283</v>
      </c>
      <c r="K50" s="253">
        <v>26663.04</v>
      </c>
      <c r="L50" s="247">
        <f t="shared" si="0"/>
      </c>
      <c r="M50" s="247">
        <f t="shared" si="12"/>
      </c>
      <c r="N50" s="247">
        <f t="shared" si="1"/>
      </c>
      <c r="O50" s="248" t="s">
        <v>236</v>
      </c>
      <c r="P50" s="252">
        <v>2</v>
      </c>
      <c r="Q50" s="254"/>
    </row>
    <row customHeight="true" ht="16.071428571428573" r="51">
      <c r="A51" s="256">
        <v>46213</v>
      </c>
      <c r="B51" s="257"/>
      <c r="C51" s="257"/>
      <c r="D51" s="257">
        <f>SUM(D47:D50)</f>
      </c>
      <c r="E51" s="257">
        <f>SUM(E47:E50)</f>
      </c>
      <c r="F51" s="257">
        <f>SUM(F47:F50)</f>
      </c>
      <c r="G51" s="257">
        <f>SUM(G47:G50)</f>
      </c>
      <c r="H51" s="257">
        <f>SUM(H47:H50)</f>
      </c>
      <c r="I51" s="257">
        <f>SUM(I47:I50)</f>
      </c>
      <c r="J51" s="257">
        <f>SUM(J47:J50)</f>
      </c>
      <c r="K51" s="257">
        <f>SUM(K47:K50)</f>
      </c>
      <c r="L51" s="258">
        <f t="shared" si="0"/>
      </c>
      <c r="M51" s="258">
        <f t="shared" si="12"/>
      </c>
      <c r="N51" s="258">
        <f t="shared" si="1"/>
      </c>
      <c r="O51" s="259"/>
      <c r="P51" s="257">
        <f>P47+P48+P49+P50</f>
      </c>
      <c r="Q51" s="259"/>
      <c r="R51" s="271"/>
      <c r="S51" s="271"/>
      <c r="T51" s="271"/>
      <c r="U51" s="271"/>
      <c r="V51" s="271"/>
      <c r="W51" s="271"/>
      <c r="X51" s="271"/>
    </row>
    <row r="52">
      <c r="A52" s="272">
        <v>46214</v>
      </c>
      <c r="B52" s="273" t="s">
        <v>226</v>
      </c>
      <c r="C52" s="274" t="s">
        <v>227</v>
      </c>
      <c r="D52" s="275">
        <v>5</v>
      </c>
      <c r="E52" s="240">
        <v>93</v>
      </c>
      <c r="F52" s="276">
        <v>73</v>
      </c>
      <c r="G52" s="277">
        <v>53</v>
      </c>
      <c r="H52" s="277">
        <v>46</v>
      </c>
      <c r="I52" s="277">
        <v>10</v>
      </c>
      <c r="J52" s="278">
        <v>77713.20000000003</v>
      </c>
      <c r="K52" s="277">
        <v>38489.74</v>
      </c>
      <c r="L52" s="279">
        <f t="shared" si="0"/>
      </c>
      <c r="M52" s="279">
        <f t="shared" si="12"/>
      </c>
      <c r="N52" s="279">
        <f t="shared" si="1"/>
      </c>
      <c r="O52" s="275" t="s">
        <v>243</v>
      </c>
      <c r="P52" s="277">
        <v>10</v>
      </c>
      <c r="Q52" s="280"/>
      <c r="R52" s="281"/>
      <c r="S52" s="281"/>
      <c r="T52" s="281"/>
      <c r="U52" s="281"/>
      <c r="V52" s="281"/>
      <c r="W52" s="281"/>
      <c r="X52" s="281"/>
    </row>
    <row r="53">
      <c r="A53" s="272">
        <v>46214</v>
      </c>
      <c r="B53" s="240" t="s">
        <v>231</v>
      </c>
      <c r="C53" s="274" t="s">
        <v>244</v>
      </c>
      <c r="D53" s="277">
        <v>4</v>
      </c>
      <c r="E53" s="277">
        <v>41</v>
      </c>
      <c r="F53" s="277">
        <v>29</v>
      </c>
      <c r="G53" s="277">
        <v>24</v>
      </c>
      <c r="H53" s="277">
        <v>18</v>
      </c>
      <c r="I53" s="277">
        <v>2</v>
      </c>
      <c r="J53" s="278">
        <v>30071.5</v>
      </c>
      <c r="K53" s="278">
        <v>22740.510000000002</v>
      </c>
      <c r="L53" s="279">
        <f t="shared" si="0"/>
      </c>
      <c r="M53" s="279">
        <f t="shared" si="12"/>
      </c>
      <c r="N53" s="279">
        <f t="shared" si="1"/>
      </c>
      <c r="O53" s="282"/>
      <c r="P53" s="282"/>
      <c r="Q53" s="283"/>
      <c r="R53" s="284"/>
      <c r="S53" s="284"/>
      <c r="T53" s="284"/>
      <c r="U53" s="284"/>
      <c r="V53" s="284"/>
      <c r="W53" s="284"/>
      <c r="X53" s="284"/>
    </row>
    <row r="54">
      <c r="A54" s="272">
        <v>46214</v>
      </c>
      <c r="B54" s="273" t="s">
        <v>245</v>
      </c>
      <c r="C54" s="285" t="s">
        <v>246</v>
      </c>
      <c r="D54" s="277">
        <v>3</v>
      </c>
      <c r="E54" s="277">
        <v>23</v>
      </c>
      <c r="F54" s="277">
        <v>17</v>
      </c>
      <c r="G54" s="277">
        <v>12</v>
      </c>
      <c r="H54" s="277">
        <v>16</v>
      </c>
      <c r="I54" s="277">
        <v>1</v>
      </c>
      <c r="J54" s="278">
        <v>10182.199999999997</v>
      </c>
      <c r="K54" s="278">
        <v>12392.130000000001</v>
      </c>
      <c r="L54" s="279">
        <f t="shared" si="0"/>
      </c>
      <c r="M54" s="279">
        <f t="shared" si="12"/>
      </c>
      <c r="N54" s="279">
        <f t="shared" si="1"/>
      </c>
      <c r="O54" s="286"/>
      <c r="P54" s="287"/>
      <c r="Q54" s="283"/>
      <c r="R54" s="284"/>
      <c r="S54" s="284"/>
      <c r="T54" s="284"/>
      <c r="U54" s="284"/>
      <c r="V54" s="284"/>
      <c r="W54" s="284"/>
      <c r="X54" s="284"/>
    </row>
    <row r="55">
      <c r="A55" s="272">
        <v>46214</v>
      </c>
      <c r="B55" s="273" t="s">
        <v>233</v>
      </c>
      <c r="C55" s="285" t="s">
        <v>247</v>
      </c>
      <c r="D55" s="277">
        <v>4</v>
      </c>
      <c r="E55" s="277">
        <v>42</v>
      </c>
      <c r="F55" s="277">
        <v>34</v>
      </c>
      <c r="G55" s="277">
        <v>25</v>
      </c>
      <c r="H55" s="277">
        <v>26</v>
      </c>
      <c r="I55" s="277">
        <v>6</v>
      </c>
      <c r="J55" s="278">
        <v>34089.200000000004</v>
      </c>
      <c r="K55" s="278">
        <v>16327.66</v>
      </c>
      <c r="L55" s="279">
        <f t="shared" si="0"/>
      </c>
      <c r="M55" s="279">
        <f t="shared" si="12"/>
      </c>
      <c r="N55" s="279">
        <f t="shared" si="1"/>
      </c>
      <c r="O55" s="286"/>
      <c r="P55" s="287"/>
      <c r="Q55" s="283"/>
      <c r="R55" s="284"/>
      <c r="S55" s="284"/>
      <c r="T55" s="284"/>
      <c r="U55" s="284"/>
      <c r="V55" s="284"/>
      <c r="W55" s="284"/>
      <c r="X55" s="284"/>
    </row>
    <row r="56">
      <c r="A56" s="272">
        <v>46214</v>
      </c>
      <c r="B56" s="273" t="s">
        <v>237</v>
      </c>
      <c r="C56" s="285" t="s">
        <v>248</v>
      </c>
      <c r="D56" s="277">
        <v>4</v>
      </c>
      <c r="E56" s="277">
        <v>45</v>
      </c>
      <c r="F56" s="277">
        <v>31</v>
      </c>
      <c r="G56" s="277">
        <v>21</v>
      </c>
      <c r="H56" s="277">
        <v>14</v>
      </c>
      <c r="I56" s="277">
        <v>5</v>
      </c>
      <c r="J56" s="278">
        <v>34428.599999999984</v>
      </c>
      <c r="K56" s="278">
        <v>19034.43</v>
      </c>
      <c r="L56" s="279">
        <f t="shared" si="0"/>
      </c>
      <c r="M56" s="279">
        <f t="shared" si="12"/>
      </c>
      <c r="N56" s="279">
        <f>K56/H56</f>
      </c>
      <c r="O56" s="275" t="s">
        <v>249</v>
      </c>
      <c r="P56" s="277">
        <v>10</v>
      </c>
      <c r="Q56" s="288"/>
      <c r="R56" s="289"/>
      <c r="S56" s="289"/>
      <c r="T56" s="289"/>
      <c r="U56" s="289"/>
      <c r="V56" s="289"/>
      <c r="W56" s="289"/>
      <c r="X56" s="289"/>
    </row>
    <row r="57">
      <c r="A57" s="290">
        <v>46214</v>
      </c>
      <c r="B57" s="291"/>
      <c r="C57" s="291"/>
      <c r="D57" s="291">
        <f>SUM(D52:D56)</f>
      </c>
      <c r="E57" s="291">
        <f>SUM(E52:E56)</f>
      </c>
      <c r="F57" s="291">
        <f>SUM(F52:F56)</f>
      </c>
      <c r="G57" s="291">
        <f>SUM(G52:G56)</f>
      </c>
      <c r="H57" s="291">
        <f>SUM(H52:H56)</f>
      </c>
      <c r="I57" s="291">
        <f>SUM(I52:I56)</f>
      </c>
      <c r="J57" s="291">
        <f>SUM(J52:J56)</f>
      </c>
      <c r="K57" s="291">
        <f>SUM(K52:K56)</f>
      </c>
      <c r="L57" s="292">
        <f t="shared" si="0"/>
      </c>
      <c r="M57" s="292">
        <f t="shared" si="12"/>
      </c>
      <c r="N57" s="292">
        <f t="shared" ref="N57:N61" si="2">K57/F57</f>
      </c>
      <c r="O57" s="293"/>
      <c r="P57" s="291">
        <f>P52+P53+P55+P56</f>
      </c>
      <c r="Q57" s="294"/>
      <c r="R57" s="284"/>
      <c r="S57" s="284"/>
      <c r="T57" s="284"/>
      <c r="U57" s="284"/>
      <c r="V57" s="284"/>
      <c r="W57" s="284"/>
      <c r="X57" s="284"/>
    </row>
    <row r="58">
      <c r="A58" s="272">
        <v>46215</v>
      </c>
      <c r="B58" s="273" t="s">
        <v>226</v>
      </c>
      <c r="C58" s="274" t="s">
        <v>227</v>
      </c>
      <c r="D58" s="275">
        <v>5</v>
      </c>
      <c r="E58" s="240">
        <v>77</v>
      </c>
      <c r="F58" s="276">
        <v>49</v>
      </c>
      <c r="G58" s="277">
        <v>38</v>
      </c>
      <c r="H58" s="277">
        <v>38</v>
      </c>
      <c r="I58" s="277">
        <v>3</v>
      </c>
      <c r="J58" s="278">
        <v>40337.7</v>
      </c>
      <c r="K58" s="277">
        <v>30240.07</v>
      </c>
      <c r="L58" s="279">
        <f t="shared" si="0"/>
      </c>
      <c r="M58" s="279">
        <f t="shared" si="12"/>
      </c>
      <c r="N58" s="279">
        <f t="shared" si="2"/>
      </c>
      <c r="O58" s="275" t="s">
        <v>243</v>
      </c>
      <c r="P58" s="277">
        <v>10</v>
      </c>
      <c r="Q58" s="280"/>
      <c r="R58" s="271"/>
      <c r="S58" s="271"/>
      <c r="T58" s="271"/>
      <c r="U58" s="271"/>
      <c r="V58" s="271"/>
      <c r="W58" s="271"/>
      <c r="X58" s="271"/>
    </row>
    <row r="59">
      <c r="A59" s="272">
        <v>46215</v>
      </c>
      <c r="B59" s="240" t="s">
        <v>231</v>
      </c>
      <c r="C59" s="274" t="s">
        <v>244</v>
      </c>
      <c r="D59" s="277">
        <v>4</v>
      </c>
      <c r="E59" s="277">
        <v>59</v>
      </c>
      <c r="F59" s="277">
        <v>50</v>
      </c>
      <c r="G59" s="277">
        <v>38</v>
      </c>
      <c r="H59" s="277">
        <v>30</v>
      </c>
      <c r="I59" s="277">
        <v>6</v>
      </c>
      <c r="J59" s="278">
        <v>59528.60000000001</v>
      </c>
      <c r="K59" s="278">
        <v>22597.62</v>
      </c>
      <c r="L59" s="279">
        <f t="shared" si="0"/>
      </c>
      <c r="M59" s="279">
        <f t="shared" si="12"/>
      </c>
      <c r="N59" s="279">
        <f t="shared" si="2"/>
      </c>
      <c r="O59" s="282"/>
      <c r="P59" s="282"/>
      <c r="Q59" s="283"/>
    </row>
    <row r="60">
      <c r="A60" s="272">
        <v>46215</v>
      </c>
      <c r="B60" s="273" t="s">
        <v>245</v>
      </c>
      <c r="C60" s="285" t="s">
        <v>246</v>
      </c>
      <c r="D60" s="277">
        <v>3</v>
      </c>
      <c r="E60" s="277">
        <v>28</v>
      </c>
      <c r="F60" s="277">
        <v>20</v>
      </c>
      <c r="G60" s="277">
        <v>15</v>
      </c>
      <c r="H60" s="277">
        <v>16</v>
      </c>
      <c r="I60" s="277">
        <v>3</v>
      </c>
      <c r="J60" s="278">
        <v>16254</v>
      </c>
      <c r="K60" s="278">
        <v>14469.32</v>
      </c>
      <c r="L60" s="279">
        <f t="shared" si="0"/>
      </c>
      <c r="M60" s="279">
        <f t="shared" si="12"/>
      </c>
      <c r="N60" s="279">
        <f t="shared" si="2"/>
      </c>
      <c r="O60" s="286"/>
      <c r="P60" s="287"/>
      <c r="Q60" s="283"/>
    </row>
    <row r="61">
      <c r="A61" s="272">
        <v>46215</v>
      </c>
      <c r="B61" s="273" t="s">
        <v>233</v>
      </c>
      <c r="C61" s="285" t="s">
        <v>247</v>
      </c>
      <c r="D61" s="277">
        <v>4</v>
      </c>
      <c r="E61" s="277">
        <v>32</v>
      </c>
      <c r="F61" s="277">
        <v>24</v>
      </c>
      <c r="G61" s="277">
        <v>17</v>
      </c>
      <c r="H61" s="277">
        <v>16</v>
      </c>
      <c r="I61" s="277">
        <v>0</v>
      </c>
      <c r="J61" s="278">
        <v>23715.799999999996</v>
      </c>
      <c r="K61" s="278">
        <v>15955.68</v>
      </c>
      <c r="L61" s="279">
        <f t="shared" si="0"/>
      </c>
      <c r="M61" s="279">
        <f t="shared" si="12"/>
      </c>
      <c r="N61" s="279">
        <f t="shared" si="2"/>
      </c>
      <c r="O61" s="286"/>
      <c r="P61" s="287"/>
      <c r="Q61" s="283"/>
    </row>
    <row r="62">
      <c r="A62" s="272">
        <v>46215</v>
      </c>
      <c r="B62" s="273" t="s">
        <v>237</v>
      </c>
      <c r="C62" s="285" t="s">
        <v>248</v>
      </c>
      <c r="D62" s="277">
        <v>4</v>
      </c>
      <c r="E62" s="277">
        <v>44</v>
      </c>
      <c r="F62" s="277">
        <v>35</v>
      </c>
      <c r="G62" s="277">
        <v>27</v>
      </c>
      <c r="H62" s="277">
        <v>28</v>
      </c>
      <c r="I62" s="277">
        <v>5</v>
      </c>
      <c r="J62" s="278">
        <v>28472.600000000006</v>
      </c>
      <c r="K62" s="278">
        <v>17549.2</v>
      </c>
      <c r="L62" s="279">
        <f t="shared" si="0"/>
      </c>
      <c r="M62" s="279">
        <f t="shared" si="12"/>
      </c>
      <c r="N62" s="279">
        <f>K62/H62</f>
      </c>
      <c r="O62" s="275" t="s">
        <v>249</v>
      </c>
      <c r="P62" s="277">
        <v>10</v>
      </c>
      <c r="Q62" s="288"/>
    </row>
    <row r="63">
      <c r="A63" s="290">
        <v>46215</v>
      </c>
      <c r="B63" s="291"/>
      <c r="C63" s="291"/>
      <c r="D63" s="291">
        <f>SUM(D58:D62)</f>
      </c>
      <c r="E63" s="291">
        <f>SUM(E58:E62)</f>
      </c>
      <c r="F63" s="291">
        <f>SUM(F58:F62)</f>
      </c>
      <c r="G63" s="291">
        <f>SUM(G58:G62)</f>
      </c>
      <c r="H63" s="291">
        <f>SUM(H58:H62)</f>
      </c>
      <c r="I63" s="291">
        <f>SUM(I58:I62)</f>
      </c>
      <c r="J63" s="291">
        <f>SUM(J58:J62)</f>
      </c>
      <c r="K63" s="291">
        <f>SUM(K58:K62)</f>
      </c>
      <c r="L63" s="292">
        <f t="shared" si="0"/>
      </c>
      <c r="M63" s="292">
        <f t="shared" si="12"/>
      </c>
      <c r="N63" s="292">
        <f t="shared" ref="N63:N67" si="3">K63/F63</f>
      </c>
      <c r="O63" s="293"/>
      <c r="P63" s="291">
        <f>P58+P59+P61+P62</f>
      </c>
      <c r="Q63" s="294"/>
    </row>
    <row r="64">
      <c r="A64" s="272">
        <v>46216</v>
      </c>
      <c r="B64" s="240" t="s">
        <v>231</v>
      </c>
      <c r="C64" s="274" t="s">
        <v>227</v>
      </c>
      <c r="D64" s="275">
        <v>5</v>
      </c>
      <c r="E64" s="240">
        <v>47</v>
      </c>
      <c r="F64" s="276">
        <v>33</v>
      </c>
      <c r="G64" s="277">
        <v>23</v>
      </c>
      <c r="H64" s="277">
        <v>21</v>
      </c>
      <c r="I64" s="277">
        <v>3</v>
      </c>
      <c r="J64" s="278">
        <v>34351.4</v>
      </c>
      <c r="K64" s="277">
        <v>22130.56</v>
      </c>
      <c r="L64" s="279">
        <f t="shared" si="0"/>
      </c>
      <c r="M64" s="279">
        <f t="shared" si="12"/>
      </c>
      <c r="N64" s="279">
        <f t="shared" si="3"/>
      </c>
      <c r="O64" s="275" t="s">
        <v>243</v>
      </c>
      <c r="P64" s="277">
        <v>11.5</v>
      </c>
      <c r="Q64" s="280"/>
    </row>
    <row r="65">
      <c r="A65" s="272">
        <v>46216</v>
      </c>
      <c r="B65" s="240" t="s">
        <v>226</v>
      </c>
      <c r="C65" s="274" t="s">
        <v>244</v>
      </c>
      <c r="D65" s="277">
        <v>4</v>
      </c>
      <c r="E65" s="277">
        <v>50</v>
      </c>
      <c r="F65" s="277">
        <v>36</v>
      </c>
      <c r="G65" s="277">
        <v>30</v>
      </c>
      <c r="H65" s="277">
        <v>21</v>
      </c>
      <c r="I65" s="277">
        <v>3</v>
      </c>
      <c r="J65" s="278">
        <v>31184.2</v>
      </c>
      <c r="K65" s="278">
        <v>21141.31</v>
      </c>
      <c r="L65" s="279">
        <f t="shared" si="0"/>
      </c>
      <c r="M65" s="279">
        <f t="shared" si="12"/>
      </c>
      <c r="N65" s="279">
        <f t="shared" si="3"/>
      </c>
      <c r="O65" s="282"/>
      <c r="P65" s="282"/>
      <c r="Q65" s="283"/>
    </row>
    <row r="66">
      <c r="A66" s="272">
        <v>46216</v>
      </c>
      <c r="B66" s="273" t="s">
        <v>245</v>
      </c>
      <c r="C66" s="285" t="s">
        <v>246</v>
      </c>
      <c r="D66" s="277">
        <v>3</v>
      </c>
      <c r="E66" s="277">
        <v>24</v>
      </c>
      <c r="F66" s="277">
        <v>19</v>
      </c>
      <c r="G66" s="277">
        <v>13</v>
      </c>
      <c r="H66" s="277">
        <v>8</v>
      </c>
      <c r="I66" s="277">
        <v>1</v>
      </c>
      <c r="J66" s="278">
        <v>17415.4</v>
      </c>
      <c r="K66" s="278">
        <v>11279.66</v>
      </c>
      <c r="L66" s="279">
        <f t="shared" si="0"/>
      </c>
      <c r="M66" s="279">
        <f t="shared" si="12"/>
      </c>
      <c r="N66" s="279">
        <f t="shared" si="3"/>
      </c>
      <c r="O66" s="275" t="s">
        <v>250</v>
      </c>
      <c r="P66" s="277">
        <v>0.5</v>
      </c>
      <c r="Q66" s="283"/>
    </row>
    <row r="67">
      <c r="A67" s="272">
        <v>46216</v>
      </c>
      <c r="B67" s="273" t="s">
        <v>233</v>
      </c>
      <c r="C67" s="285" t="s">
        <v>247</v>
      </c>
      <c r="D67" s="277">
        <v>4</v>
      </c>
      <c r="E67" s="277">
        <v>21</v>
      </c>
      <c r="F67" s="277">
        <v>18</v>
      </c>
      <c r="G67" s="277">
        <v>12</v>
      </c>
      <c r="H67" s="277">
        <v>9</v>
      </c>
      <c r="I67" s="277">
        <v>1</v>
      </c>
      <c r="J67" s="278">
        <v>17444.80000000001</v>
      </c>
      <c r="K67" s="278">
        <v>11603.289999999999</v>
      </c>
      <c r="L67" s="279">
        <f t="shared" si="0"/>
      </c>
      <c r="M67" s="279">
        <f t="shared" si="12"/>
      </c>
      <c r="N67" s="279">
        <f t="shared" si="3"/>
      </c>
      <c r="O67" s="286"/>
      <c r="P67" s="287"/>
      <c r="Q67" s="283"/>
    </row>
    <row r="68">
      <c r="A68" s="272">
        <v>46216</v>
      </c>
      <c r="B68" s="273" t="s">
        <v>237</v>
      </c>
      <c r="C68" s="285" t="s">
        <v>248</v>
      </c>
      <c r="D68" s="277">
        <v>4</v>
      </c>
      <c r="E68" s="277">
        <v>32</v>
      </c>
      <c r="F68" s="277">
        <v>23</v>
      </c>
      <c r="G68" s="277">
        <v>14</v>
      </c>
      <c r="H68" s="277">
        <v>15</v>
      </c>
      <c r="I68" s="277">
        <v>1</v>
      </c>
      <c r="J68" s="278">
        <v>23840.6</v>
      </c>
      <c r="K68" s="278">
        <v>11712.740000000002</v>
      </c>
      <c r="L68" s="279">
        <f t="shared" si="0"/>
      </c>
      <c r="M68" s="279">
        <f t="shared" si="12"/>
      </c>
      <c r="N68" s="279">
        <f>K68/H68</f>
      </c>
      <c r="O68" s="275" t="s">
        <v>249</v>
      </c>
      <c r="P68" s="277">
        <v>8</v>
      </c>
      <c r="Q68" s="288"/>
    </row>
    <row r="69">
      <c r="A69" s="290">
        <v>46216</v>
      </c>
      <c r="B69" s="291"/>
      <c r="C69" s="291"/>
      <c r="D69" s="291">
        <f>SUM(D64:D68)</f>
      </c>
      <c r="E69" s="291">
        <f>SUM(E64:E68)</f>
      </c>
      <c r="F69" s="291">
        <f>SUM(F64:F68)</f>
      </c>
      <c r="G69" s="291">
        <f>SUM(G64:G68)</f>
      </c>
      <c r="H69" s="291">
        <f>SUM(H64:H68)</f>
      </c>
      <c r="I69" s="291">
        <f>SUM(I64:I68)</f>
      </c>
      <c r="J69" s="291">
        <f>SUM(J64:J68)</f>
      </c>
      <c r="K69" s="291">
        <f>SUM(K64:K68)</f>
      </c>
      <c r="L69" s="292">
        <f t="shared" si="0"/>
      </c>
      <c r="M69" s="292">
        <f t="shared" si="12"/>
      </c>
      <c r="N69" s="292">
        <f t="shared" ref="N69:N73" si="4">K69/F69</f>
      </c>
      <c r="O69" s="293"/>
      <c r="P69" s="291">
        <f>SUM(P64:P68)</f>
      </c>
      <c r="Q69" s="294"/>
    </row>
    <row r="70">
      <c r="A70" s="272">
        <v>46217</v>
      </c>
      <c r="B70" s="240" t="s">
        <v>231</v>
      </c>
      <c r="C70" s="274" t="s">
        <v>251</v>
      </c>
      <c r="D70" s="275">
        <v>4</v>
      </c>
      <c r="E70" s="240">
        <v>15</v>
      </c>
      <c r="F70" s="276">
        <v>8</v>
      </c>
      <c r="G70" s="277">
        <v>6</v>
      </c>
      <c r="H70" s="277">
        <v>3</v>
      </c>
      <c r="I70" s="277">
        <v>1</v>
      </c>
      <c r="J70" s="278">
        <v>9010.8</v>
      </c>
      <c r="K70" s="277">
        <v>12755.44</v>
      </c>
      <c r="L70" s="279">
        <f t="shared" si="0"/>
      </c>
      <c r="M70" s="279">
        <f t="shared" si="12"/>
      </c>
      <c r="N70" s="279">
        <f t="shared" si="4"/>
      </c>
      <c r="O70" s="275" t="s">
        <v>243</v>
      </c>
      <c r="P70" s="277">
        <v>10</v>
      </c>
      <c r="Q70" s="280"/>
    </row>
    <row r="71">
      <c r="A71" s="272">
        <v>46217</v>
      </c>
      <c r="B71" s="240" t="s">
        <v>226</v>
      </c>
      <c r="C71" s="274" t="s">
        <v>252</v>
      </c>
      <c r="D71" s="277">
        <v>4</v>
      </c>
      <c r="E71" s="277">
        <v>36</v>
      </c>
      <c r="F71" s="277">
        <v>27</v>
      </c>
      <c r="G71" s="277">
        <v>19</v>
      </c>
      <c r="H71" s="277">
        <v>17</v>
      </c>
      <c r="I71" s="277">
        <v>4</v>
      </c>
      <c r="J71" s="278">
        <v>23749.9</v>
      </c>
      <c r="K71" s="278">
        <v>15892.77</v>
      </c>
      <c r="L71" s="279">
        <f t="shared" si="0"/>
      </c>
      <c r="M71" s="279">
        <f t="shared" si="12"/>
      </c>
      <c r="N71" s="279">
        <f t="shared" si="4"/>
      </c>
      <c r="O71" s="282"/>
      <c r="P71" s="282"/>
      <c r="Q71" s="283"/>
    </row>
    <row r="72">
      <c r="A72" s="272">
        <v>46217</v>
      </c>
      <c r="B72" s="273" t="s">
        <v>245</v>
      </c>
      <c r="C72" s="285" t="s">
        <v>253</v>
      </c>
      <c r="D72" s="277">
        <v>3</v>
      </c>
      <c r="E72" s="277">
        <v>35</v>
      </c>
      <c r="F72" s="277">
        <v>31</v>
      </c>
      <c r="G72" s="277">
        <v>17</v>
      </c>
      <c r="H72" s="277">
        <v>17</v>
      </c>
      <c r="I72" s="277">
        <v>4</v>
      </c>
      <c r="J72" s="278">
        <v>29543.4</v>
      </c>
      <c r="K72" s="278">
        <v>9382.25</v>
      </c>
      <c r="L72" s="279">
        <f t="shared" si="0"/>
      </c>
      <c r="M72" s="279">
        <f t="shared" si="12"/>
      </c>
      <c r="N72" s="279">
        <f t="shared" si="4"/>
      </c>
      <c r="O72" s="275"/>
      <c r="P72" s="277"/>
      <c r="Q72" s="283"/>
    </row>
    <row r="73">
      <c r="A73" s="272">
        <v>46217</v>
      </c>
      <c r="B73" s="273" t="s">
        <v>229</v>
      </c>
      <c r="C73" s="285" t="s">
        <v>254</v>
      </c>
      <c r="D73" s="277">
        <v>4</v>
      </c>
      <c r="E73" s="277">
        <v>65</v>
      </c>
      <c r="F73" s="277">
        <v>49</v>
      </c>
      <c r="G73" s="277">
        <v>40</v>
      </c>
      <c r="H73" s="277">
        <v>25</v>
      </c>
      <c r="I73" s="277">
        <v>4</v>
      </c>
      <c r="J73" s="278">
        <v>50235</v>
      </c>
      <c r="K73" s="278">
        <v>21139.29</v>
      </c>
      <c r="L73" s="279">
        <f t="shared" si="0"/>
      </c>
      <c r="M73" s="279">
        <f t="shared" si="12"/>
      </c>
      <c r="N73" s="279">
        <f t="shared" si="4"/>
      </c>
      <c r="O73" s="286"/>
      <c r="P73" s="287"/>
      <c r="Q73" s="283"/>
    </row>
    <row r="74">
      <c r="A74" s="272">
        <v>46217</v>
      </c>
      <c r="B74" s="273" t="s">
        <v>233</v>
      </c>
      <c r="C74" s="285" t="s">
        <v>234</v>
      </c>
      <c r="D74" s="277">
        <v>5</v>
      </c>
      <c r="E74" s="277">
        <v>57</v>
      </c>
      <c r="F74" s="277">
        <v>48</v>
      </c>
      <c r="G74" s="277">
        <v>38</v>
      </c>
      <c r="H74" s="277">
        <v>26</v>
      </c>
      <c r="I74" s="277">
        <v>3</v>
      </c>
      <c r="J74" s="278">
        <v>53044.20000000001</v>
      </c>
      <c r="K74" s="278">
        <v>34356.58</v>
      </c>
      <c r="L74" s="279">
        <f t="shared" si="0"/>
      </c>
      <c r="M74" s="279">
        <f t="shared" si="12"/>
      </c>
      <c r="N74" s="279">
        <f>K74/H74</f>
      </c>
      <c r="O74" s="275" t="s">
        <v>249</v>
      </c>
      <c r="P74" s="277">
        <v>10</v>
      </c>
      <c r="Q74" s="288"/>
    </row>
    <row r="75">
      <c r="A75" s="290">
        <v>46217</v>
      </c>
      <c r="B75" s="291"/>
      <c r="C75" s="291"/>
      <c r="D75" s="291">
        <f>SUM(D70:D74)</f>
      </c>
      <c r="E75" s="291">
        <f>SUM(E70:E74)</f>
      </c>
      <c r="F75" s="291">
        <f>SUM(F70:F74)</f>
      </c>
      <c r="G75" s="291">
        <f>SUM(G70:G74)</f>
      </c>
      <c r="H75" s="291">
        <f>SUM(H70:H74)</f>
      </c>
      <c r="I75" s="291">
        <f>SUM(I70:I74)</f>
      </c>
      <c r="J75" s="291">
        <f>SUM(J70:J74)</f>
      </c>
      <c r="K75" s="291">
        <f>SUM(K70:K74)</f>
      </c>
      <c r="L75" s="292">
        <f t="shared" si="0"/>
      </c>
      <c r="M75" s="292">
        <f t="shared" si="12"/>
      </c>
      <c r="N75" s="292">
        <f t="shared" ref="N75:N79" si="5">K75/F75</f>
      </c>
      <c r="O75" s="293"/>
      <c r="P75" s="291">
        <f>SUM(P70:P74)</f>
      </c>
      <c r="Q75" s="294"/>
    </row>
    <row r="76">
      <c r="A76" s="239">
        <v>46218</v>
      </c>
      <c r="B76" s="243" t="s">
        <v>226</v>
      </c>
      <c r="C76" s="241" t="s">
        <v>251</v>
      </c>
      <c r="D76" s="242">
        <v>4</v>
      </c>
      <c r="E76" s="265">
        <v>28</v>
      </c>
      <c r="F76" s="266">
        <v>18</v>
      </c>
      <c r="G76" s="252">
        <v>13</v>
      </c>
      <c r="H76" s="252">
        <v>13</v>
      </c>
      <c r="I76" s="252">
        <v>1</v>
      </c>
      <c r="J76" s="246">
        <v>20920</v>
      </c>
      <c r="K76" s="245">
        <v>13423.420000000002</v>
      </c>
      <c r="L76" s="247">
        <f t="shared" si="0"/>
      </c>
      <c r="M76" s="247">
        <f t="shared" si="12"/>
      </c>
      <c r="N76" s="247">
        <f t="shared" si="5"/>
      </c>
      <c r="O76" s="242" t="s">
        <v>243</v>
      </c>
      <c r="P76" s="245">
        <v>10</v>
      </c>
      <c r="Q76" s="243"/>
    </row>
    <row r="77">
      <c r="A77" s="295">
        <v>46218</v>
      </c>
      <c r="B77" s="265" t="s">
        <v>237</v>
      </c>
      <c r="C77" s="241" t="s">
        <v>252</v>
      </c>
      <c r="D77" s="245">
        <v>4</v>
      </c>
      <c r="E77" s="252">
        <v>24</v>
      </c>
      <c r="F77" s="252">
        <v>18</v>
      </c>
      <c r="G77" s="252">
        <v>10</v>
      </c>
      <c r="H77" s="252">
        <v>5</v>
      </c>
      <c r="I77" s="252">
        <v>0</v>
      </c>
      <c r="J77" s="246">
        <v>18575.2</v>
      </c>
      <c r="K77" s="246">
        <v>9283.17</v>
      </c>
      <c r="L77" s="247">
        <f t="shared" si="0"/>
      </c>
      <c r="M77" s="247">
        <f t="shared" si="12"/>
      </c>
      <c r="N77" s="247">
        <f t="shared" si="5"/>
      </c>
      <c r="O77" s="254"/>
      <c r="P77" s="254"/>
      <c r="Q77" s="255"/>
    </row>
    <row r="78">
      <c r="A78" s="295">
        <v>46218</v>
      </c>
      <c r="B78" s="296" t="s">
        <v>245</v>
      </c>
      <c r="C78" s="251" t="s">
        <v>253</v>
      </c>
      <c r="D78" s="245">
        <v>3</v>
      </c>
      <c r="E78" s="252">
        <v>19</v>
      </c>
      <c r="F78" s="252">
        <v>15</v>
      </c>
      <c r="G78" s="252">
        <v>11</v>
      </c>
      <c r="H78" s="252">
        <v>7</v>
      </c>
      <c r="I78" s="252">
        <v>0</v>
      </c>
      <c r="J78" s="253">
        <v>15420.8</v>
      </c>
      <c r="K78" s="253">
        <v>7696.99</v>
      </c>
      <c r="L78" s="247">
        <f t="shared" si="0"/>
      </c>
      <c r="M78" s="247">
        <f t="shared" si="12"/>
      </c>
      <c r="N78" s="247">
        <f t="shared" si="5"/>
      </c>
      <c r="O78" s="242"/>
      <c r="P78" s="245"/>
      <c r="Q78" s="255"/>
    </row>
    <row r="79">
      <c r="A79" s="295">
        <v>46218</v>
      </c>
      <c r="B79" s="296" t="s">
        <v>229</v>
      </c>
      <c r="C79" s="251" t="s">
        <v>254</v>
      </c>
      <c r="D79" s="245">
        <v>4</v>
      </c>
      <c r="E79" s="252">
        <v>38</v>
      </c>
      <c r="F79" s="252">
        <v>29</v>
      </c>
      <c r="G79" s="252">
        <v>21</v>
      </c>
      <c r="H79" s="252">
        <v>12</v>
      </c>
      <c r="I79" s="252">
        <v>3</v>
      </c>
      <c r="J79" s="253">
        <v>30564</v>
      </c>
      <c r="K79" s="253">
        <v>13390.07</v>
      </c>
      <c r="L79" s="247">
        <f t="shared" si="0"/>
      </c>
      <c r="M79" s="247">
        <f t="shared" si="12"/>
      </c>
      <c r="N79" s="247">
        <f t="shared" si="5"/>
      </c>
      <c r="O79" s="242"/>
      <c r="P79" s="245"/>
      <c r="Q79" s="255"/>
    </row>
    <row r="80">
      <c r="A80" s="295">
        <v>46218</v>
      </c>
      <c r="B80" s="296" t="s">
        <v>233</v>
      </c>
      <c r="C80" s="251" t="s">
        <v>234</v>
      </c>
      <c r="D80" s="245">
        <v>5</v>
      </c>
      <c r="E80" s="252">
        <v>51</v>
      </c>
      <c r="F80" s="252">
        <v>33</v>
      </c>
      <c r="G80" s="252">
        <v>28</v>
      </c>
      <c r="H80" s="252">
        <v>15</v>
      </c>
      <c r="I80" s="252">
        <v>3</v>
      </c>
      <c r="J80" s="253">
        <v>32990.9</v>
      </c>
      <c r="K80" s="253">
        <v>22570.84</v>
      </c>
      <c r="L80" s="247">
        <f t="shared" si="0"/>
      </c>
      <c r="M80" s="247">
        <f t="shared" si="12"/>
      </c>
      <c r="N80" s="247">
        <f>K80/H80</f>
      </c>
      <c r="O80" s="248" t="s">
        <v>235</v>
      </c>
      <c r="P80" s="245">
        <v>10</v>
      </c>
      <c r="Q80" s="254"/>
    </row>
    <row r="81">
      <c r="A81" s="297">
        <v>46218</v>
      </c>
      <c r="B81" s="257"/>
      <c r="C81" s="257"/>
      <c r="D81" s="257">
        <f>SUM(D76:D80)</f>
      </c>
      <c r="E81" s="257">
        <f>SUM(E76:E80)</f>
      </c>
      <c r="F81" s="257">
        <f>SUM(F76:F80)</f>
      </c>
      <c r="G81" s="257">
        <f>SUM(G76:G80)</f>
      </c>
      <c r="H81" s="257">
        <f>SUM(H76:H80)</f>
      </c>
      <c r="I81" s="257">
        <f>SUM(I76:I80)</f>
      </c>
      <c r="J81" s="257">
        <f>SUM(J76:J80)</f>
      </c>
      <c r="K81" s="257">
        <f>SUM(K76:K80)</f>
      </c>
      <c r="L81" s="258">
        <f t="shared" si="0"/>
      </c>
      <c r="M81" s="258">
        <f t="shared" si="12"/>
      </c>
      <c r="N81" s="258">
        <f t="shared" ref="N81:N85" si="6">K81/F81</f>
      </c>
      <c r="O81" s="259"/>
      <c r="P81" s="257">
        <f>SUM(P76:P80)</f>
      </c>
      <c r="Q81" s="298"/>
    </row>
    <row r="82">
      <c r="A82" s="272">
        <v>46219</v>
      </c>
      <c r="B82" s="273" t="s">
        <v>226</v>
      </c>
      <c r="C82" s="274" t="s">
        <v>227</v>
      </c>
      <c r="D82" s="275">
        <v>5</v>
      </c>
      <c r="E82" s="240">
        <v>51</v>
      </c>
      <c r="F82" s="276">
        <v>43</v>
      </c>
      <c r="G82" s="277">
        <v>36</v>
      </c>
      <c r="H82" s="277">
        <v>27</v>
      </c>
      <c r="I82" s="277">
        <v>1</v>
      </c>
      <c r="J82" s="278">
        <v>41666.8</v>
      </c>
      <c r="K82" s="277">
        <v>26141.31</v>
      </c>
      <c r="L82" s="279">
        <f t="shared" si="0"/>
      </c>
      <c r="M82" s="279">
        <f t="shared" si="12"/>
      </c>
      <c r="N82" s="279">
        <f t="shared" si="6"/>
      </c>
      <c r="O82" s="275" t="s">
        <v>243</v>
      </c>
      <c r="P82" s="277">
        <v>10</v>
      </c>
      <c r="Q82" s="280"/>
    </row>
    <row r="83">
      <c r="A83" s="272">
        <v>46219</v>
      </c>
      <c r="B83" s="240" t="s">
        <v>229</v>
      </c>
      <c r="C83" s="274" t="s">
        <v>244</v>
      </c>
      <c r="D83" s="277">
        <v>4</v>
      </c>
      <c r="E83" s="277">
        <v>45</v>
      </c>
      <c r="F83" s="277">
        <v>35</v>
      </c>
      <c r="G83" s="277">
        <v>25</v>
      </c>
      <c r="H83" s="277">
        <v>21</v>
      </c>
      <c r="I83" s="277">
        <v>3</v>
      </c>
      <c r="J83" s="278">
        <v>31047</v>
      </c>
      <c r="K83" s="278">
        <v>22140.33</v>
      </c>
      <c r="L83" s="279">
        <f t="shared" si="0"/>
      </c>
      <c r="M83" s="279">
        <f t="shared" si="12"/>
      </c>
      <c r="N83" s="279">
        <f t="shared" si="6"/>
      </c>
      <c r="O83" s="282"/>
      <c r="P83" s="282"/>
      <c r="Q83" s="283"/>
    </row>
    <row r="84">
      <c r="A84" s="272">
        <v>46219</v>
      </c>
      <c r="B84" s="273" t="s">
        <v>245</v>
      </c>
      <c r="C84" s="285" t="s">
        <v>246</v>
      </c>
      <c r="D84" s="277">
        <v>3</v>
      </c>
      <c r="E84" s="277">
        <v>17</v>
      </c>
      <c r="F84" s="277">
        <v>15</v>
      </c>
      <c r="G84" s="277">
        <v>13</v>
      </c>
      <c r="H84" s="277">
        <v>10</v>
      </c>
      <c r="I84" s="277">
        <v>2</v>
      </c>
      <c r="J84" s="278">
        <v>15773.5</v>
      </c>
      <c r="K84" s="278">
        <v>11282.37</v>
      </c>
      <c r="L84" s="279">
        <f t="shared" si="0"/>
      </c>
      <c r="M84" s="279">
        <f t="shared" si="12"/>
      </c>
      <c r="N84" s="279">
        <f t="shared" si="6"/>
      </c>
      <c r="O84" s="286"/>
      <c r="P84" s="287"/>
      <c r="Q84" s="283"/>
    </row>
    <row r="85">
      <c r="A85" s="272">
        <v>46219</v>
      </c>
      <c r="B85" s="240" t="s">
        <v>231</v>
      </c>
      <c r="C85" s="285" t="s">
        <v>247</v>
      </c>
      <c r="D85" s="277">
        <v>4</v>
      </c>
      <c r="E85" s="277">
        <v>33</v>
      </c>
      <c r="F85" s="277">
        <v>24</v>
      </c>
      <c r="G85" s="277">
        <v>16</v>
      </c>
      <c r="H85" s="277">
        <v>18</v>
      </c>
      <c r="I85" s="277">
        <v>2</v>
      </c>
      <c r="J85" s="278">
        <v>20591.000000000007</v>
      </c>
      <c r="K85" s="278">
        <v>12492.17</v>
      </c>
      <c r="L85" s="279">
        <f t="shared" si="0"/>
      </c>
      <c r="M85" s="279">
        <f t="shared" si="12"/>
      </c>
      <c r="N85" s="279">
        <f t="shared" si="6"/>
      </c>
      <c r="O85" s="286"/>
      <c r="P85" s="287"/>
      <c r="Q85" s="283"/>
    </row>
    <row r="86">
      <c r="A86" s="272">
        <v>46219</v>
      </c>
      <c r="B86" s="273" t="s">
        <v>237</v>
      </c>
      <c r="C86" s="285" t="s">
        <v>248</v>
      </c>
      <c r="D86" s="277">
        <v>4</v>
      </c>
      <c r="E86" s="277">
        <v>34</v>
      </c>
      <c r="F86" s="277">
        <v>28</v>
      </c>
      <c r="G86" s="277">
        <v>18</v>
      </c>
      <c r="H86" s="277">
        <v>21</v>
      </c>
      <c r="I86" s="277">
        <v>4</v>
      </c>
      <c r="J86" s="278">
        <v>27249.69999999999</v>
      </c>
      <c r="K86" s="278">
        <v>10298.880000000001</v>
      </c>
      <c r="L86" s="279">
        <f t="shared" si="0"/>
      </c>
      <c r="M86" s="279">
        <f t="shared" si="12"/>
      </c>
      <c r="N86" s="279">
        <f>K86/H86</f>
      </c>
      <c r="O86" s="275" t="s">
        <v>249</v>
      </c>
      <c r="P86" s="277">
        <v>10</v>
      </c>
      <c r="Q86" s="288"/>
    </row>
    <row r="87">
      <c r="A87" s="290">
        <v>46219</v>
      </c>
      <c r="B87" s="291"/>
      <c r="C87" s="291"/>
      <c r="D87" s="291">
        <f>SUM(D82:D86)</f>
      </c>
      <c r="E87" s="291">
        <f>SUM(E82:E86)</f>
      </c>
      <c r="F87" s="291">
        <f>SUM(F82:F86)</f>
      </c>
      <c r="G87" s="291">
        <f>SUM(G82:G86)</f>
      </c>
      <c r="H87" s="291">
        <f>SUM(H82:H86)</f>
      </c>
      <c r="I87" s="291">
        <f>SUM(I82:I86)</f>
      </c>
      <c r="J87" s="291">
        <f>SUM(J82:J86)</f>
      </c>
      <c r="K87" s="291">
        <f>SUM(K82:K86)</f>
      </c>
      <c r="L87" s="292">
        <f t="shared" si="0"/>
      </c>
      <c r="M87" s="292">
        <f t="shared" si="12"/>
      </c>
      <c r="N87" s="292">
        <f t="shared" ref="N87:N91" si="7">K87/F87</f>
      </c>
      <c r="O87" s="293"/>
      <c r="P87" s="291">
        <f>P82+P83+P85+P86</f>
      </c>
      <c r="Q87" s="294"/>
    </row>
    <row r="88">
      <c r="A88" s="272">
        <v>46220</v>
      </c>
      <c r="B88" s="240" t="s">
        <v>226</v>
      </c>
      <c r="C88" s="274" t="s">
        <v>251</v>
      </c>
      <c r="D88" s="275">
        <v>4</v>
      </c>
      <c r="E88" s="240">
        <v>51</v>
      </c>
      <c r="F88" s="276">
        <v>36</v>
      </c>
      <c r="G88" s="277">
        <v>29</v>
      </c>
      <c r="H88" s="277">
        <v>20</v>
      </c>
      <c r="I88" s="277">
        <v>5</v>
      </c>
      <c r="J88" s="278">
        <v>43508.799999999996</v>
      </c>
      <c r="K88" s="277">
        <v>23471.31</v>
      </c>
      <c r="L88" s="279">
        <f t="shared" si="0"/>
      </c>
      <c r="M88" s="279">
        <f t="shared" si="12"/>
      </c>
      <c r="N88" s="279">
        <f t="shared" si="7"/>
      </c>
      <c r="O88" s="275" t="s">
        <v>243</v>
      </c>
      <c r="P88" s="277">
        <v>10</v>
      </c>
      <c r="Q88" s="280"/>
    </row>
    <row r="89">
      <c r="A89" s="272">
        <v>46220</v>
      </c>
      <c r="B89" s="240" t="s">
        <v>229</v>
      </c>
      <c r="C89" s="274" t="s">
        <v>252</v>
      </c>
      <c r="D89" s="277">
        <v>4</v>
      </c>
      <c r="E89" s="277">
        <v>35</v>
      </c>
      <c r="F89" s="277">
        <v>29</v>
      </c>
      <c r="G89" s="277">
        <v>22</v>
      </c>
      <c r="H89" s="277">
        <v>20</v>
      </c>
      <c r="I89" s="277">
        <v>3</v>
      </c>
      <c r="J89" s="278">
        <v>25930.499999999996</v>
      </c>
      <c r="K89" s="278">
        <v>20670.800000000003</v>
      </c>
      <c r="L89" s="279">
        <f t="shared" si="0"/>
      </c>
      <c r="M89" s="279">
        <f t="shared" si="12"/>
      </c>
      <c r="N89" s="279">
        <f t="shared" si="7"/>
      </c>
      <c r="O89" s="282"/>
      <c r="P89" s="282"/>
      <c r="Q89" s="283"/>
    </row>
    <row r="90">
      <c r="A90" s="272">
        <v>46220</v>
      </c>
      <c r="B90" s="273" t="s">
        <v>245</v>
      </c>
      <c r="C90" s="285" t="s">
        <v>253</v>
      </c>
      <c r="D90" s="277">
        <v>3</v>
      </c>
      <c r="E90" s="277">
        <v>18</v>
      </c>
      <c r="F90" s="277">
        <v>12</v>
      </c>
      <c r="G90" s="277">
        <v>7</v>
      </c>
      <c r="H90" s="277">
        <v>8</v>
      </c>
      <c r="I90" s="277">
        <v>1</v>
      </c>
      <c r="J90" s="278">
        <v>10171.400000000001</v>
      </c>
      <c r="K90" s="278">
        <v>10185.880000000001</v>
      </c>
      <c r="L90" s="279">
        <f t="shared" si="0"/>
      </c>
      <c r="M90" s="279">
        <f t="shared" si="12"/>
      </c>
      <c r="N90" s="279">
        <f t="shared" si="7"/>
      </c>
      <c r="O90" s="275"/>
      <c r="P90" s="277"/>
      <c r="Q90" s="283"/>
    </row>
    <row r="91">
      <c r="A91" s="272">
        <v>46220</v>
      </c>
      <c r="B91" s="273" t="s">
        <v>233</v>
      </c>
      <c r="C91" s="285" t="s">
        <v>254</v>
      </c>
      <c r="D91" s="277">
        <v>4</v>
      </c>
      <c r="E91" s="277">
        <v>52</v>
      </c>
      <c r="F91" s="277">
        <v>41</v>
      </c>
      <c r="G91" s="277">
        <v>24</v>
      </c>
      <c r="H91" s="277">
        <v>16</v>
      </c>
      <c r="I91" s="277">
        <v>5</v>
      </c>
      <c r="J91" s="278">
        <v>50948.20000000001</v>
      </c>
      <c r="K91" s="278">
        <v>11596.71</v>
      </c>
      <c r="L91" s="279">
        <f t="shared" si="0"/>
      </c>
      <c r="M91" s="279">
        <f t="shared" si="12"/>
      </c>
      <c r="N91" s="279">
        <f t="shared" si="7"/>
      </c>
      <c r="O91" s="286"/>
      <c r="P91" s="287"/>
      <c r="Q91" s="283"/>
    </row>
    <row r="92">
      <c r="A92" s="272">
        <v>46220</v>
      </c>
      <c r="B92" s="240" t="s">
        <v>231</v>
      </c>
      <c r="C92" s="285" t="s">
        <v>234</v>
      </c>
      <c r="D92" s="277">
        <v>5</v>
      </c>
      <c r="E92" s="277">
        <v>55</v>
      </c>
      <c r="F92" s="277">
        <v>40</v>
      </c>
      <c r="G92" s="277">
        <v>27</v>
      </c>
      <c r="H92" s="277">
        <v>27</v>
      </c>
      <c r="I92" s="277">
        <v>6</v>
      </c>
      <c r="J92" s="278">
        <v>36130.5</v>
      </c>
      <c r="K92" s="278">
        <v>18769.78</v>
      </c>
      <c r="L92" s="279">
        <f t="shared" si="0"/>
      </c>
      <c r="M92" s="279">
        <f t="shared" si="12"/>
      </c>
      <c r="N92" s="279">
        <f>K92/H92</f>
      </c>
      <c r="O92" s="275" t="s">
        <v>249</v>
      </c>
      <c r="P92" s="277">
        <v>10</v>
      </c>
      <c r="Q92" s="288"/>
    </row>
    <row r="93">
      <c r="A93" s="290">
        <v>46220</v>
      </c>
      <c r="B93" s="291"/>
      <c r="C93" s="291"/>
      <c r="D93" s="291">
        <f>SUM(D88:D92)</f>
      </c>
      <c r="E93" s="291">
        <f>SUM(E88:E92)</f>
      </c>
      <c r="F93" s="291">
        <f>SUM(F88:F92)</f>
      </c>
      <c r="G93" s="291">
        <f>SUM(G88:G92)</f>
      </c>
      <c r="H93" s="291">
        <f>SUM(H88:H92)</f>
      </c>
      <c r="I93" s="291">
        <f>SUM(I88:I92)</f>
      </c>
      <c r="J93" s="291">
        <f>SUM(J88:J92)</f>
      </c>
      <c r="K93" s="291">
        <f>SUM(K88:K92)</f>
      </c>
      <c r="L93" s="292">
        <f t="shared" si="0"/>
      </c>
      <c r="M93" s="292">
        <f t="shared" si="12"/>
      </c>
      <c r="N93" s="292">
        <f t="shared" ref="N93:N97" si="8">K93/F93</f>
      </c>
      <c r="O93" s="293"/>
      <c r="P93" s="291">
        <f>SUM(P88:P92)</f>
      </c>
      <c r="Q93" s="294"/>
    </row>
    <row r="94">
      <c r="A94" s="272">
        <v>46221</v>
      </c>
      <c r="B94" s="240" t="s">
        <v>229</v>
      </c>
      <c r="C94" s="274" t="s">
        <v>227</v>
      </c>
      <c r="D94" s="275">
        <v>5</v>
      </c>
      <c r="E94" s="240">
        <v>40</v>
      </c>
      <c r="F94" s="276">
        <v>33</v>
      </c>
      <c r="G94" s="277">
        <v>25</v>
      </c>
      <c r="H94" s="277">
        <v>16</v>
      </c>
      <c r="I94" s="277">
        <v>4</v>
      </c>
      <c r="J94" s="278">
        <v>35283.00000000001</v>
      </c>
      <c r="K94" s="277">
        <v>22846.14</v>
      </c>
      <c r="L94" s="279">
        <f t="shared" si="0"/>
      </c>
      <c r="M94" s="279">
        <f t="shared" si="12"/>
      </c>
      <c r="N94" s="279">
        <f t="shared" si="8"/>
      </c>
      <c r="O94" s="275" t="s">
        <v>243</v>
      </c>
      <c r="P94" s="277">
        <v>10</v>
      </c>
      <c r="Q94" s="280"/>
    </row>
    <row r="95">
      <c r="A95" s="272">
        <v>46221</v>
      </c>
      <c r="B95" s="240" t="s">
        <v>233</v>
      </c>
      <c r="C95" s="274" t="s">
        <v>244</v>
      </c>
      <c r="D95" s="277">
        <v>4</v>
      </c>
      <c r="E95" s="277">
        <v>37</v>
      </c>
      <c r="F95" s="277">
        <v>26</v>
      </c>
      <c r="G95" s="277">
        <v>15</v>
      </c>
      <c r="H95" s="277">
        <v>19</v>
      </c>
      <c r="I95" s="277">
        <v>3</v>
      </c>
      <c r="J95" s="278">
        <v>24758.199999999993</v>
      </c>
      <c r="K95" s="278">
        <v>13285.18</v>
      </c>
      <c r="L95" s="279">
        <f t="shared" si="0"/>
      </c>
      <c r="M95" s="279">
        <f t="shared" si="12"/>
      </c>
      <c r="N95" s="279">
        <f t="shared" si="8"/>
      </c>
      <c r="O95" s="282"/>
      <c r="P95" s="282"/>
      <c r="Q95" s="283"/>
    </row>
    <row r="96">
      <c r="A96" s="272">
        <v>46221</v>
      </c>
      <c r="B96" s="273" t="s">
        <v>245</v>
      </c>
      <c r="C96" s="285" t="s">
        <v>246</v>
      </c>
      <c r="D96" s="277">
        <v>3</v>
      </c>
      <c r="E96" s="277">
        <v>33</v>
      </c>
      <c r="F96" s="277">
        <v>25</v>
      </c>
      <c r="G96" s="277">
        <v>13</v>
      </c>
      <c r="H96" s="277">
        <v>13</v>
      </c>
      <c r="I96" s="277">
        <v>1</v>
      </c>
      <c r="J96" s="278">
        <v>27814.800000000003</v>
      </c>
      <c r="K96" s="278">
        <v>9376.59</v>
      </c>
      <c r="L96" s="279">
        <f t="shared" si="0"/>
      </c>
      <c r="M96" s="279">
        <f t="shared" si="12"/>
      </c>
      <c r="N96" s="279">
        <f t="shared" si="8"/>
      </c>
      <c r="O96" s="275"/>
      <c r="P96" s="277"/>
      <c r="Q96" s="283"/>
    </row>
    <row r="97">
      <c r="A97" s="272">
        <v>46221</v>
      </c>
      <c r="B97" s="240" t="s">
        <v>237</v>
      </c>
      <c r="C97" s="285" t="s">
        <v>247</v>
      </c>
      <c r="D97" s="277">
        <v>4</v>
      </c>
      <c r="E97" s="277">
        <v>30</v>
      </c>
      <c r="F97" s="277">
        <v>19</v>
      </c>
      <c r="G97" s="277">
        <v>18</v>
      </c>
      <c r="H97" s="277">
        <v>12</v>
      </c>
      <c r="I97" s="277">
        <v>1</v>
      </c>
      <c r="J97" s="278">
        <v>26585.800000000003</v>
      </c>
      <c r="K97" s="278">
        <v>13776.050000000003</v>
      </c>
      <c r="L97" s="279">
        <f t="shared" si="0"/>
      </c>
      <c r="M97" s="279">
        <f t="shared" si="12"/>
      </c>
      <c r="N97" s="279">
        <f t="shared" si="8"/>
      </c>
      <c r="O97" s="286"/>
      <c r="P97" s="287"/>
      <c r="Q97" s="283"/>
    </row>
    <row r="98">
      <c r="A98" s="272">
        <v>46221</v>
      </c>
      <c r="B98" s="240" t="s">
        <v>231</v>
      </c>
      <c r="C98" s="285" t="s">
        <v>248</v>
      </c>
      <c r="D98" s="277">
        <v>4</v>
      </c>
      <c r="E98" s="277">
        <v>30</v>
      </c>
      <c r="F98" s="277">
        <v>20</v>
      </c>
      <c r="G98" s="277">
        <v>16</v>
      </c>
      <c r="H98" s="277">
        <v>15</v>
      </c>
      <c r="I98" s="277">
        <v>3</v>
      </c>
      <c r="J98" s="278">
        <v>20979.899999999998</v>
      </c>
      <c r="K98" s="278">
        <v>10619.32</v>
      </c>
      <c r="L98" s="279">
        <f t="shared" si="0"/>
      </c>
      <c r="M98" s="279">
        <f t="shared" si="12"/>
      </c>
      <c r="N98" s="279">
        <f>K98/H98</f>
      </c>
      <c r="O98" s="275" t="s">
        <v>249</v>
      </c>
      <c r="P98" s="277">
        <v>10</v>
      </c>
      <c r="Q98" s="288"/>
    </row>
    <row r="99">
      <c r="A99" s="290">
        <v>46221</v>
      </c>
      <c r="B99" s="291"/>
      <c r="C99" s="291"/>
      <c r="D99" s="291">
        <f>SUM(D94:D98)</f>
      </c>
      <c r="E99" s="291">
        <f>SUM(E94:E98)</f>
      </c>
      <c r="F99" s="291">
        <f>SUM(F94:F98)</f>
      </c>
      <c r="G99" s="291">
        <f>SUM(G94:G98)</f>
      </c>
      <c r="H99" s="291">
        <f>SUM(H94:H98)</f>
      </c>
      <c r="I99" s="291">
        <f>SUM(I94:I98)</f>
      </c>
      <c r="J99" s="291">
        <f>SUM(J94:J98)</f>
      </c>
      <c r="K99" s="291">
        <f>SUM(K94:K98)</f>
      </c>
      <c r="L99" s="292">
        <f t="shared" si="0"/>
      </c>
      <c r="M99" s="292">
        <f t="shared" si="12"/>
      </c>
      <c r="N99" s="292">
        <f t="shared" ref="N99:N103" si="9">K99/F99</f>
      </c>
      <c r="O99" s="293"/>
      <c r="P99" s="291">
        <f>SUM(P94:P98)</f>
      </c>
      <c r="Q99" s="294"/>
    </row>
    <row r="100">
      <c r="A100" s="272">
        <v>46222</v>
      </c>
      <c r="B100" s="240" t="s">
        <v>229</v>
      </c>
      <c r="C100" s="274" t="s">
        <v>227</v>
      </c>
      <c r="D100" s="275">
        <v>5</v>
      </c>
      <c r="E100" s="240">
        <v>60</v>
      </c>
      <c r="F100" s="276">
        <v>49</v>
      </c>
      <c r="G100" s="277">
        <v>29</v>
      </c>
      <c r="H100" s="277">
        <v>26</v>
      </c>
      <c r="I100" s="277">
        <v>7</v>
      </c>
      <c r="J100" s="277">
        <v>61772.200000000004</v>
      </c>
      <c r="K100" s="277">
        <v>20227.059999999998</v>
      </c>
      <c r="L100" s="279">
        <f t="shared" si="0"/>
      </c>
      <c r="M100" s="279">
        <f t="shared" si="12"/>
      </c>
      <c r="N100" s="279">
        <f t="shared" si="9"/>
      </c>
      <c r="O100" s="275" t="s">
        <v>243</v>
      </c>
      <c r="P100" s="277">
        <v>10</v>
      </c>
      <c r="Q100" s="280"/>
    </row>
    <row r="101">
      <c r="A101" s="272">
        <v>46222</v>
      </c>
      <c r="B101" s="240" t="s">
        <v>233</v>
      </c>
      <c r="C101" s="274" t="s">
        <v>244</v>
      </c>
      <c r="D101" s="277">
        <v>4</v>
      </c>
      <c r="E101" s="277">
        <v>46</v>
      </c>
      <c r="F101" s="277">
        <v>30</v>
      </c>
      <c r="G101" s="277">
        <v>14</v>
      </c>
      <c r="H101" s="277">
        <v>17</v>
      </c>
      <c r="I101" s="277">
        <v>5</v>
      </c>
      <c r="J101" s="278">
        <v>25396.4</v>
      </c>
      <c r="K101" s="278">
        <v>13981.990000000002</v>
      </c>
      <c r="L101" s="279">
        <f t="shared" si="0"/>
      </c>
      <c r="M101" s="279">
        <f t="shared" si="12"/>
      </c>
      <c r="N101" s="279">
        <f t="shared" si="9"/>
      </c>
      <c r="O101" s="282"/>
      <c r="P101" s="282"/>
      <c r="Q101" s="283"/>
    </row>
    <row r="102">
      <c r="A102" s="272">
        <v>46222</v>
      </c>
      <c r="B102" s="273" t="s">
        <v>245</v>
      </c>
      <c r="C102" s="285" t="s">
        <v>246</v>
      </c>
      <c r="D102" s="277">
        <v>3</v>
      </c>
      <c r="E102" s="277">
        <v>28</v>
      </c>
      <c r="F102" s="277">
        <v>20</v>
      </c>
      <c r="G102" s="277">
        <v>20</v>
      </c>
      <c r="H102" s="277">
        <v>12</v>
      </c>
      <c r="I102" s="277">
        <v>0</v>
      </c>
      <c r="J102" s="278">
        <v>17041</v>
      </c>
      <c r="K102" s="278">
        <v>11555.01</v>
      </c>
      <c r="L102" s="279">
        <f t="shared" si="0"/>
      </c>
      <c r="M102" s="279">
        <f t="shared" si="12"/>
      </c>
      <c r="N102" s="279">
        <f t="shared" si="9"/>
      </c>
      <c r="O102" s="275"/>
      <c r="P102" s="277"/>
      <c r="Q102" s="283"/>
    </row>
    <row r="103">
      <c r="A103" s="272">
        <v>46222</v>
      </c>
      <c r="B103" s="240" t="s">
        <v>237</v>
      </c>
      <c r="C103" s="285" t="s">
        <v>247</v>
      </c>
      <c r="D103" s="277">
        <v>4</v>
      </c>
      <c r="E103" s="277">
        <v>48</v>
      </c>
      <c r="F103" s="277">
        <v>30</v>
      </c>
      <c r="G103" s="277">
        <v>19</v>
      </c>
      <c r="H103" s="277">
        <v>21</v>
      </c>
      <c r="I103" s="277">
        <v>4</v>
      </c>
      <c r="J103" s="278">
        <v>36505.2</v>
      </c>
      <c r="K103" s="278">
        <v>18180.28</v>
      </c>
      <c r="L103" s="279">
        <f t="shared" si="0"/>
      </c>
      <c r="M103" s="279">
        <f t="shared" si="12"/>
      </c>
      <c r="N103" s="279">
        <f t="shared" si="9"/>
      </c>
      <c r="O103" s="286"/>
      <c r="P103" s="287"/>
      <c r="Q103" s="283"/>
    </row>
    <row r="104">
      <c r="A104" s="272">
        <v>46222</v>
      </c>
      <c r="B104" s="240" t="s">
        <v>231</v>
      </c>
      <c r="C104" s="285" t="s">
        <v>248</v>
      </c>
      <c r="D104" s="277">
        <v>4</v>
      </c>
      <c r="E104" s="277">
        <v>42</v>
      </c>
      <c r="F104" s="277">
        <v>35</v>
      </c>
      <c r="G104" s="277">
        <v>24</v>
      </c>
      <c r="H104" s="277">
        <v>21</v>
      </c>
      <c r="I104" s="277">
        <v>6</v>
      </c>
      <c r="J104" s="278">
        <v>35343.79999999999</v>
      </c>
      <c r="K104" s="278">
        <v>15018.41</v>
      </c>
      <c r="L104" s="279">
        <f t="shared" si="0"/>
      </c>
      <c r="M104" s="279">
        <f t="shared" si="12"/>
      </c>
      <c r="N104" s="279">
        <f>K104/H104</f>
      </c>
      <c r="O104" s="275" t="s">
        <v>249</v>
      </c>
      <c r="P104" s="277">
        <v>10</v>
      </c>
      <c r="Q104" s="288"/>
    </row>
    <row r="105">
      <c r="A105" s="290">
        <v>46222</v>
      </c>
      <c r="B105" s="291"/>
      <c r="C105" s="291"/>
      <c r="D105" s="291">
        <f>SUM(D100:D104)</f>
      </c>
      <c r="E105" s="291">
        <f>SUM(E100:E104)</f>
      </c>
      <c r="F105" s="291">
        <f>SUM(F100:F104)</f>
      </c>
      <c r="G105" s="291">
        <f>SUM(G100:G104)</f>
      </c>
      <c r="H105" s="291">
        <f>SUM(H100:H104)</f>
      </c>
      <c r="I105" s="291">
        <f>SUM(I100:I104)</f>
      </c>
      <c r="J105" s="291">
        <f>SUM(J100:J104)</f>
      </c>
      <c r="K105" s="291">
        <f>SUM(K100:K104)</f>
      </c>
      <c r="L105" s="292">
        <f t="shared" si="0"/>
      </c>
      <c r="M105" s="292">
        <f t="shared" si="12"/>
      </c>
      <c r="N105" s="292">
        <f t="shared" ref="N105:N109" si="10">K105/F105</f>
      </c>
      <c r="O105" s="293"/>
      <c r="P105" s="291">
        <f>SUM(P100:P104)</f>
      </c>
      <c r="Q105" s="294"/>
    </row>
    <row r="106">
      <c r="A106" s="272">
        <v>46223</v>
      </c>
      <c r="B106" s="240" t="s">
        <v>226</v>
      </c>
      <c r="C106" s="274" t="s">
        <v>251</v>
      </c>
      <c r="D106" s="275">
        <v>4</v>
      </c>
      <c r="E106" s="240">
        <v>29</v>
      </c>
      <c r="F106" s="276">
        <v>24</v>
      </c>
      <c r="G106" s="277">
        <v>17</v>
      </c>
      <c r="H106" s="277">
        <v>15</v>
      </c>
      <c r="I106" s="277">
        <v>2</v>
      </c>
      <c r="J106" s="277">
        <v>23848.6</v>
      </c>
      <c r="K106" s="277">
        <v>10962.19</v>
      </c>
      <c r="L106" s="279">
        <f t="shared" si="0"/>
      </c>
      <c r="M106" s="279">
        <f t="shared" si="12"/>
      </c>
      <c r="N106" s="279">
        <f t="shared" si="10"/>
      </c>
      <c r="O106" s="275" t="s">
        <v>255</v>
      </c>
      <c r="P106" s="277">
        <v>10</v>
      </c>
      <c r="Q106" s="280"/>
    </row>
    <row r="107">
      <c r="A107" s="272">
        <v>46223</v>
      </c>
      <c r="B107" s="240" t="s">
        <v>231</v>
      </c>
      <c r="C107" s="274" t="s">
        <v>252</v>
      </c>
      <c r="D107" s="277">
        <v>4</v>
      </c>
      <c r="E107" s="277">
        <v>26</v>
      </c>
      <c r="F107" s="277">
        <v>21</v>
      </c>
      <c r="G107" s="277">
        <v>16</v>
      </c>
      <c r="H107" s="277">
        <v>13</v>
      </c>
      <c r="I107" s="277">
        <v>1</v>
      </c>
      <c r="J107" s="278">
        <v>22067.2</v>
      </c>
      <c r="K107" s="278">
        <v>12727.02</v>
      </c>
      <c r="L107" s="279">
        <f t="shared" si="0"/>
      </c>
      <c r="M107" s="279">
        <f t="shared" si="12"/>
      </c>
      <c r="N107" s="279">
        <f t="shared" si="10"/>
      </c>
      <c r="O107" s="282"/>
      <c r="P107" s="282"/>
      <c r="Q107" s="283"/>
    </row>
    <row r="108">
      <c r="A108" s="272">
        <v>46223</v>
      </c>
      <c r="B108" s="273" t="s">
        <v>245</v>
      </c>
      <c r="C108" s="285" t="s">
        <v>253</v>
      </c>
      <c r="D108" s="277">
        <v>3</v>
      </c>
      <c r="E108" s="277">
        <v>15</v>
      </c>
      <c r="F108" s="277">
        <v>12</v>
      </c>
      <c r="G108" s="277">
        <v>8</v>
      </c>
      <c r="H108" s="277">
        <v>5</v>
      </c>
      <c r="I108" s="277">
        <v>1</v>
      </c>
      <c r="J108" s="278">
        <v>22264.800000000003</v>
      </c>
      <c r="K108" s="278">
        <v>6896.16</v>
      </c>
      <c r="L108" s="279">
        <f t="shared" si="0"/>
      </c>
      <c r="M108" s="279">
        <f t="shared" si="12"/>
      </c>
      <c r="N108" s="279">
        <f t="shared" si="10"/>
      </c>
      <c r="O108" s="275"/>
      <c r="P108" s="277"/>
      <c r="Q108" s="283"/>
    </row>
    <row r="109">
      <c r="A109" s="272">
        <v>46223</v>
      </c>
      <c r="B109" s="243" t="s">
        <v>229</v>
      </c>
      <c r="C109" s="285" t="s">
        <v>256</v>
      </c>
      <c r="D109" s="277">
        <v>5</v>
      </c>
      <c r="E109" s="277">
        <v>53</v>
      </c>
      <c r="F109" s="277">
        <v>46</v>
      </c>
      <c r="G109" s="277">
        <v>26</v>
      </c>
      <c r="H109" s="277">
        <v>26</v>
      </c>
      <c r="I109" s="277">
        <v>6</v>
      </c>
      <c r="J109" s="278">
        <v>44582.30000000002</v>
      </c>
      <c r="K109" s="278">
        <v>18033.19</v>
      </c>
      <c r="L109" s="279">
        <f t="shared" si="0"/>
      </c>
      <c r="M109" s="279">
        <f t="shared" si="12"/>
      </c>
      <c r="N109" s="279">
        <f t="shared" si="10"/>
      </c>
      <c r="O109" s="286"/>
      <c r="P109" s="287"/>
      <c r="Q109" s="283"/>
    </row>
    <row r="110">
      <c r="A110" s="272">
        <v>46223</v>
      </c>
      <c r="B110" s="240" t="s">
        <v>237</v>
      </c>
      <c r="C110" s="285" t="s">
        <v>248</v>
      </c>
      <c r="D110" s="277">
        <v>4</v>
      </c>
      <c r="E110" s="277">
        <v>34</v>
      </c>
      <c r="F110" s="277">
        <v>29</v>
      </c>
      <c r="G110" s="277">
        <v>21</v>
      </c>
      <c r="H110" s="277">
        <v>19</v>
      </c>
      <c r="I110" s="277">
        <v>2</v>
      </c>
      <c r="J110" s="278">
        <v>37626.00000000001</v>
      </c>
      <c r="K110" s="278">
        <v>12974.970000000001</v>
      </c>
      <c r="L110" s="279">
        <f t="shared" si="0"/>
      </c>
      <c r="M110" s="279">
        <f t="shared" si="12"/>
      </c>
      <c r="N110" s="279">
        <f>K110/H110</f>
      </c>
      <c r="O110" s="275" t="s">
        <v>249</v>
      </c>
      <c r="P110" s="277">
        <v>10</v>
      </c>
      <c r="Q110" s="288"/>
    </row>
    <row r="111">
      <c r="A111" s="290">
        <v>46223</v>
      </c>
      <c r="B111" s="291"/>
      <c r="C111" s="291"/>
      <c r="D111" s="291">
        <f>SUM(D106:D110)</f>
      </c>
      <c r="E111" s="291">
        <f>SUM(E106:E110)</f>
      </c>
      <c r="F111" s="291">
        <f>SUM(F106:F110)</f>
      </c>
      <c r="G111" s="291">
        <f>SUM(G106:G110)</f>
      </c>
      <c r="H111" s="291">
        <f>SUM(H106:H110)</f>
      </c>
      <c r="I111" s="291">
        <f>SUM(I106:I110)</f>
      </c>
      <c r="J111" s="291">
        <f>SUM(J106:J110)</f>
      </c>
      <c r="K111" s="291">
        <f>SUM(K106:K110)</f>
      </c>
      <c r="L111" s="292">
        <f t="shared" si="0"/>
      </c>
      <c r="M111" s="292">
        <f t="shared" si="12"/>
      </c>
      <c r="N111" s="292">
        <f t="shared" ref="N111:N137" si="11">K111/F111</f>
      </c>
      <c r="O111" s="293"/>
      <c r="P111" s="291">
        <f>SUM(P106:P110)</f>
      </c>
      <c r="Q111" s="294"/>
    </row>
    <row r="112">
      <c r="A112" s="272">
        <v>46224</v>
      </c>
      <c r="B112" s="240" t="s">
        <v>226</v>
      </c>
      <c r="C112" s="274" t="s">
        <v>227</v>
      </c>
      <c r="D112" s="275">
        <v>5</v>
      </c>
      <c r="E112" s="240">
        <v>55</v>
      </c>
      <c r="F112" s="276">
        <v>46</v>
      </c>
      <c r="G112" s="277">
        <v>38</v>
      </c>
      <c r="H112" s="277">
        <v>24</v>
      </c>
      <c r="I112" s="277">
        <v>3</v>
      </c>
      <c r="J112" s="277">
        <v>53111.8</v>
      </c>
      <c r="K112" s="277">
        <v>24913.93</v>
      </c>
      <c r="L112" s="279">
        <f t="shared" si="0"/>
      </c>
      <c r="M112" s="279">
        <f t="shared" si="12"/>
      </c>
      <c r="N112" s="279">
        <f t="shared" si="11"/>
      </c>
      <c r="O112" s="275" t="s">
        <v>257</v>
      </c>
      <c r="P112" s="277">
        <v>10</v>
      </c>
      <c r="Q112" s="280"/>
    </row>
    <row r="113">
      <c r="A113" s="272">
        <v>46224</v>
      </c>
      <c r="B113" s="243" t="s">
        <v>229</v>
      </c>
      <c r="C113" s="274" t="s">
        <v>230</v>
      </c>
      <c r="D113" s="277">
        <v>5</v>
      </c>
      <c r="E113" s="277">
        <v>62</v>
      </c>
      <c r="F113" s="277">
        <v>44</v>
      </c>
      <c r="G113" s="277">
        <v>28</v>
      </c>
      <c r="H113" s="277">
        <v>26</v>
      </c>
      <c r="I113" s="277">
        <v>3</v>
      </c>
      <c r="J113" s="278">
        <v>46986.20000000001</v>
      </c>
      <c r="K113" s="278">
        <v>23686.370000000003</v>
      </c>
      <c r="L113" s="279">
        <f t="shared" si="0"/>
      </c>
      <c r="M113" s="279">
        <f t="shared" si="12"/>
      </c>
      <c r="N113" s="279">
        <f t="shared" si="11"/>
      </c>
      <c r="O113" s="282"/>
      <c r="P113" s="282"/>
      <c r="Q113" s="283"/>
    </row>
    <row r="114">
      <c r="A114" s="272">
        <v>46224</v>
      </c>
      <c r="B114" s="273" t="s">
        <v>245</v>
      </c>
      <c r="C114" s="285" t="s">
        <v>232</v>
      </c>
      <c r="D114" s="277">
        <v>5</v>
      </c>
      <c r="E114" s="277">
        <v>41</v>
      </c>
      <c r="F114" s="277">
        <v>30</v>
      </c>
      <c r="G114" s="277">
        <v>13</v>
      </c>
      <c r="H114" s="277">
        <v>20</v>
      </c>
      <c r="I114" s="277">
        <v>3</v>
      </c>
      <c r="J114" s="278">
        <v>35482.79999999999</v>
      </c>
      <c r="K114" s="278">
        <v>16405.07</v>
      </c>
      <c r="L114" s="279">
        <f t="shared" si="0"/>
      </c>
      <c r="M114" s="279">
        <f t="shared" si="12"/>
      </c>
      <c r="N114" s="279">
        <f t="shared" si="11"/>
      </c>
      <c r="O114" s="275"/>
      <c r="P114" s="277"/>
      <c r="Q114" s="283"/>
    </row>
    <row r="115">
      <c r="A115" s="272">
        <v>46224</v>
      </c>
      <c r="B115" s="240" t="s">
        <v>231</v>
      </c>
      <c r="C115" s="285" t="s">
        <v>234</v>
      </c>
      <c r="D115" s="277">
        <v>5</v>
      </c>
      <c r="E115" s="277">
        <v>47</v>
      </c>
      <c r="F115" s="277">
        <v>33</v>
      </c>
      <c r="G115" s="277">
        <v>25</v>
      </c>
      <c r="H115" s="277">
        <v>16</v>
      </c>
      <c r="I115" s="277">
        <v>5</v>
      </c>
      <c r="J115" s="278">
        <v>44587.10000000002</v>
      </c>
      <c r="K115" s="278">
        <v>17576.52</v>
      </c>
      <c r="L115" s="279">
        <f t="shared" si="0"/>
      </c>
      <c r="M115" s="279">
        <f t="shared" si="12"/>
      </c>
      <c r="N115" s="279">
        <f t="shared" si="11"/>
      </c>
      <c r="O115" s="275" t="s">
        <v>249</v>
      </c>
      <c r="P115" s="277">
        <v>10</v>
      </c>
      <c r="Q115" s="283"/>
    </row>
    <row r="116">
      <c r="A116" s="290">
        <v>46224</v>
      </c>
      <c r="B116" s="291"/>
      <c r="C116" s="291"/>
      <c r="D116" s="291">
        <f>SUM(D112:D115)</f>
      </c>
      <c r="E116" s="291">
        <f>SUM(E112:E115)</f>
      </c>
      <c r="F116" s="291">
        <f>SUM(F112:F115)</f>
      </c>
      <c r="G116" s="291">
        <f>SUM(G112:G115)</f>
      </c>
      <c r="H116" s="291">
        <f>SUM(H112:H115)</f>
      </c>
      <c r="I116" s="291">
        <f>SUM(I112:I115)</f>
      </c>
      <c r="J116" s="291">
        <f>SUM(J112:J115)</f>
      </c>
      <c r="K116" s="291">
        <f>SUM(K112:K115)</f>
      </c>
      <c r="L116" s="292">
        <f t="shared" si="0"/>
      </c>
      <c r="M116" s="292">
        <f t="shared" si="12"/>
      </c>
      <c r="N116" s="292">
        <f t="shared" si="11"/>
      </c>
      <c r="O116" s="293"/>
      <c r="P116" s="291">
        <f>SUM(P112:P115)</f>
      </c>
      <c r="Q116" s="294"/>
    </row>
    <row r="117">
      <c r="A117" s="272">
        <v>46225</v>
      </c>
      <c r="B117" s="240" t="s">
        <v>229</v>
      </c>
      <c r="C117" s="274" t="s">
        <v>227</v>
      </c>
      <c r="D117" s="275">
        <v>5</v>
      </c>
      <c r="E117" s="240">
        <v>37</v>
      </c>
      <c r="F117" s="276">
        <v>23</v>
      </c>
      <c r="G117" s="277">
        <v>15</v>
      </c>
      <c r="H117" s="277">
        <v>13</v>
      </c>
      <c r="I117" s="277">
        <v>1</v>
      </c>
      <c r="J117" s="277">
        <v>30178</v>
      </c>
      <c r="K117" s="277">
        <v>15942.49</v>
      </c>
      <c r="L117" s="279">
        <f t="shared" si="0"/>
      </c>
      <c r="M117" s="279">
        <f t="shared" si="12"/>
      </c>
      <c r="N117" s="279">
        <f t="shared" si="11"/>
      </c>
      <c r="O117" s="275" t="s">
        <v>257</v>
      </c>
      <c r="P117" s="277">
        <v>10</v>
      </c>
      <c r="Q117" s="280"/>
    </row>
    <row r="118">
      <c r="A118" s="272">
        <v>46225</v>
      </c>
      <c r="B118" s="265" t="s">
        <v>226</v>
      </c>
      <c r="C118" s="274" t="s">
        <v>230</v>
      </c>
      <c r="D118" s="277">
        <v>5</v>
      </c>
      <c r="E118" s="277">
        <v>39</v>
      </c>
      <c r="F118" s="277">
        <v>29</v>
      </c>
      <c r="G118" s="277">
        <v>17</v>
      </c>
      <c r="H118" s="277">
        <v>23</v>
      </c>
      <c r="I118" s="277">
        <v>5</v>
      </c>
      <c r="J118" s="278">
        <v>34153.8</v>
      </c>
      <c r="K118" s="278">
        <v>13848.47</v>
      </c>
      <c r="L118" s="279">
        <f t="shared" si="0"/>
      </c>
      <c r="M118" s="279">
        <f t="shared" si="12"/>
      </c>
      <c r="N118" s="279">
        <f t="shared" si="11"/>
      </c>
      <c r="O118" s="282"/>
      <c r="P118" s="282"/>
      <c r="Q118" s="283"/>
    </row>
    <row r="119">
      <c r="A119" s="272">
        <v>46225</v>
      </c>
      <c r="B119" s="273" t="s">
        <v>245</v>
      </c>
      <c r="C119" s="285" t="s">
        <v>232</v>
      </c>
      <c r="D119" s="277">
        <v>5</v>
      </c>
      <c r="E119" s="277">
        <v>40</v>
      </c>
      <c r="F119" s="277">
        <v>32</v>
      </c>
      <c r="G119" s="277">
        <v>22</v>
      </c>
      <c r="H119" s="277">
        <v>23</v>
      </c>
      <c r="I119" s="277">
        <v>3</v>
      </c>
      <c r="J119" s="278">
        <v>31301.199999999997</v>
      </c>
      <c r="K119" s="278">
        <v>17920.61</v>
      </c>
      <c r="L119" s="279">
        <f t="shared" si="0"/>
      </c>
      <c r="M119" s="279">
        <f t="shared" si="12"/>
      </c>
      <c r="N119" s="279">
        <f t="shared" si="11"/>
      </c>
      <c r="O119" s="275" t="s">
        <v>258</v>
      </c>
      <c r="P119" s="277">
        <v>5</v>
      </c>
      <c r="Q119" s="283"/>
    </row>
    <row r="120">
      <c r="A120" s="290">
        <v>46225</v>
      </c>
      <c r="B120" s="291"/>
      <c r="C120" s="291"/>
      <c r="D120" s="291">
        <f>SUM(D117:D119)</f>
      </c>
      <c r="E120" s="291">
        <f>SUM(E117:E119)</f>
      </c>
      <c r="F120" s="291">
        <f>SUM(F117:F119)</f>
      </c>
      <c r="G120" s="291">
        <f>SUM(G117:G119)</f>
      </c>
      <c r="H120" s="291">
        <f>SUM(H117:H119)</f>
      </c>
      <c r="I120" s="291">
        <f>SUM(I117:I119)</f>
      </c>
      <c r="J120" s="291">
        <f>SUM(J117:J119)</f>
      </c>
      <c r="K120" s="291">
        <f>SUM(K117:K119)</f>
      </c>
      <c r="L120" s="292">
        <f t="shared" si="0"/>
      </c>
      <c r="M120" s="292">
        <f t="shared" si="12"/>
      </c>
      <c r="N120" s="292">
        <f t="shared" si="11"/>
      </c>
      <c r="O120" s="293"/>
      <c r="P120" s="291">
        <f>SUM(P117:P119)</f>
      </c>
      <c r="Q120" s="294"/>
    </row>
    <row r="121">
      <c r="A121" s="272">
        <v>46226</v>
      </c>
      <c r="B121" s="243" t="s">
        <v>229</v>
      </c>
      <c r="C121" s="274" t="s">
        <v>227</v>
      </c>
      <c r="D121" s="275">
        <v>5</v>
      </c>
      <c r="E121" s="240">
        <v>51</v>
      </c>
      <c r="F121" s="276">
        <v>32</v>
      </c>
      <c r="G121" s="277">
        <v>21</v>
      </c>
      <c r="H121" s="277">
        <v>19</v>
      </c>
      <c r="I121" s="277">
        <v>2</v>
      </c>
      <c r="J121" s="277">
        <v>40702</v>
      </c>
      <c r="K121" s="277">
        <v>18657.81</v>
      </c>
      <c r="L121" s="279">
        <f t="shared" si="0"/>
      </c>
      <c r="M121" s="279">
        <f t="shared" si="12"/>
      </c>
      <c r="N121" s="279">
        <f t="shared" si="11"/>
      </c>
      <c r="O121" s="275" t="s">
        <v>259</v>
      </c>
      <c r="P121" s="277">
        <v>6.5</v>
      </c>
      <c r="Q121" s="280"/>
    </row>
    <row r="122">
      <c r="A122" s="272">
        <v>46226</v>
      </c>
      <c r="B122" s="243" t="s">
        <v>226</v>
      </c>
      <c r="C122" s="274" t="s">
        <v>260</v>
      </c>
      <c r="D122" s="277">
        <v>1.5</v>
      </c>
      <c r="E122" s="277">
        <v>10</v>
      </c>
      <c r="F122" s="277">
        <v>4</v>
      </c>
      <c r="G122" s="277">
        <v>4</v>
      </c>
      <c r="H122" s="277">
        <v>2</v>
      </c>
      <c r="I122" s="277">
        <v>0</v>
      </c>
      <c r="J122" s="278">
        <v>4609.2</v>
      </c>
      <c r="K122" s="278">
        <v>3047.05</v>
      </c>
      <c r="L122" s="279">
        <f t="shared" si="0"/>
      </c>
      <c r="M122" s="279">
        <f t="shared" si="12"/>
      </c>
      <c r="N122" s="279">
        <f t="shared" si="11"/>
      </c>
      <c r="O122" s="282"/>
      <c r="P122" s="282"/>
      <c r="Q122" s="283"/>
    </row>
    <row r="123">
      <c r="A123" s="290">
        <v>46226</v>
      </c>
      <c r="B123" s="291"/>
      <c r="C123" s="291"/>
      <c r="D123" s="291">
        <f>SUM(D121:D122)</f>
      </c>
      <c r="E123" s="291">
        <f>SUM(E121:E122)</f>
      </c>
      <c r="F123" s="291">
        <f>SUM(F121:F122)</f>
      </c>
      <c r="G123" s="291">
        <f>SUM(G121:G122)</f>
      </c>
      <c r="H123" s="291">
        <f>SUM(H121:H122)</f>
      </c>
      <c r="I123" s="291">
        <f>SUM(I121:I122)</f>
      </c>
      <c r="J123" s="291">
        <f>SUM(J121:J122)</f>
      </c>
      <c r="K123" s="291">
        <f>SUM(K121:K122)</f>
      </c>
      <c r="L123" s="292">
        <f t="shared" si="0"/>
      </c>
      <c r="M123" s="292">
        <f t="shared" si="12"/>
      </c>
      <c r="N123" s="292">
        <f t="shared" si="11"/>
      </c>
      <c r="O123" s="293"/>
      <c r="P123" s="291">
        <f>SUM(P121:P122)</f>
      </c>
      <c r="Q123" s="294"/>
    </row>
    <row r="124">
      <c r="A124" s="272">
        <v>46232</v>
      </c>
      <c r="B124" s="240" t="s">
        <v>231</v>
      </c>
      <c r="C124" s="274" t="s">
        <v>261</v>
      </c>
      <c r="D124" s="275">
        <v>4</v>
      </c>
      <c r="E124" s="240">
        <v>28</v>
      </c>
      <c r="F124" s="276">
        <v>15</v>
      </c>
      <c r="G124" s="277">
        <v>10</v>
      </c>
      <c r="H124" s="277">
        <v>11</v>
      </c>
      <c r="I124" s="277">
        <v>2</v>
      </c>
      <c r="J124" s="277">
        <v>17105.36</v>
      </c>
      <c r="K124" s="277">
        <v>6736.700000000001</v>
      </c>
      <c r="L124" s="279">
        <f t="shared" si="0"/>
      </c>
      <c r="M124" s="279">
        <f t="shared" si="12"/>
      </c>
      <c r="N124" s="279">
        <f t="shared" si="11"/>
      </c>
      <c r="O124" s="275"/>
      <c r="P124" s="277"/>
      <c r="Q124" s="280"/>
    </row>
    <row r="125">
      <c r="A125" s="272">
        <v>46232</v>
      </c>
      <c r="B125" s="265" t="s">
        <v>245</v>
      </c>
      <c r="C125" s="274" t="s">
        <v>247</v>
      </c>
      <c r="D125" s="277">
        <v>4</v>
      </c>
      <c r="E125" s="277">
        <v>18</v>
      </c>
      <c r="F125" s="277">
        <v>11</v>
      </c>
      <c r="G125" s="277">
        <v>7</v>
      </c>
      <c r="H125" s="277">
        <v>4</v>
      </c>
      <c r="I125" s="277">
        <v>0</v>
      </c>
      <c r="J125" s="278">
        <v>12082.800000000001</v>
      </c>
      <c r="K125" s="278">
        <v>6684.099999999999</v>
      </c>
      <c r="L125" s="279">
        <f t="shared" si="0"/>
      </c>
      <c r="M125" s="279">
        <f t="shared" si="12"/>
      </c>
      <c r="N125" s="279">
        <f t="shared" si="11"/>
      </c>
      <c r="O125" s="282"/>
      <c r="P125" s="282"/>
      <c r="Q125" s="283"/>
    </row>
    <row r="126">
      <c r="A126" s="272">
        <v>46232</v>
      </c>
      <c r="B126" s="273" t="s">
        <v>237</v>
      </c>
      <c r="C126" s="285" t="s">
        <v>248</v>
      </c>
      <c r="D126" s="277">
        <v>4</v>
      </c>
      <c r="E126" s="277">
        <v>20</v>
      </c>
      <c r="F126" s="277">
        <v>10</v>
      </c>
      <c r="G126" s="277">
        <v>8</v>
      </c>
      <c r="H126" s="277">
        <v>5</v>
      </c>
      <c r="I126" s="277">
        <v>1</v>
      </c>
      <c r="J126" s="278">
        <v>12546.000000000004</v>
      </c>
      <c r="K126" s="278">
        <v>8637.2</v>
      </c>
      <c r="L126" s="279">
        <f t="shared" si="0"/>
      </c>
      <c r="M126" s="279">
        <f t="shared" si="12"/>
      </c>
      <c r="N126" s="279">
        <f t="shared" si="11"/>
      </c>
      <c r="O126" s="275" t="s">
        <v>249</v>
      </c>
      <c r="P126" s="277">
        <v>12</v>
      </c>
      <c r="Q126" s="283"/>
    </row>
    <row r="127">
      <c r="A127" s="290">
        <v>46232</v>
      </c>
      <c r="B127" s="291"/>
      <c r="C127" s="291"/>
      <c r="D127" s="291">
        <f>SUM(D124:D126)</f>
      </c>
      <c r="E127" s="291">
        <f>SUM(E124:E126)</f>
      </c>
      <c r="F127" s="291">
        <f>SUM(F124:F126)</f>
      </c>
      <c r="G127" s="291">
        <f>SUM(G124:G126)</f>
      </c>
      <c r="H127" s="291">
        <f>SUM(H124:H126)</f>
      </c>
      <c r="I127" s="291">
        <f>SUM(I124:I126)</f>
      </c>
      <c r="J127" s="291">
        <f>SUM(J124:J126)</f>
      </c>
      <c r="K127" s="291">
        <f>SUM(K124:K126)</f>
      </c>
      <c r="L127" s="292">
        <f t="shared" si="0"/>
      </c>
      <c r="M127" s="292">
        <f t="shared" si="12"/>
      </c>
      <c r="N127" s="292">
        <f t="shared" si="11"/>
      </c>
      <c r="O127" s="293"/>
      <c r="P127" s="291">
        <f>SUM(P124:P126)</f>
      </c>
      <c r="Q127" s="294"/>
    </row>
    <row r="128">
      <c r="A128" s="272">
        <v>46233</v>
      </c>
      <c r="B128" s="240" t="s">
        <v>226</v>
      </c>
      <c r="C128" s="241" t="s">
        <v>227</v>
      </c>
      <c r="D128" s="242">
        <v>5</v>
      </c>
      <c r="E128" s="240">
        <v>21</v>
      </c>
      <c r="F128" s="276">
        <v>13</v>
      </c>
      <c r="G128" s="277">
        <v>9</v>
      </c>
      <c r="H128" s="277">
        <v>8</v>
      </c>
      <c r="I128" s="277">
        <v>1</v>
      </c>
      <c r="J128" s="277">
        <v>14756.4</v>
      </c>
      <c r="K128" s="277">
        <v>9441.69</v>
      </c>
      <c r="L128" s="279">
        <f t="shared" si="0"/>
      </c>
      <c r="M128" s="279">
        <f t="shared" si="12"/>
      </c>
      <c r="N128" s="279">
        <f t="shared" si="11"/>
      </c>
      <c r="O128" s="275" t="s">
        <v>257</v>
      </c>
      <c r="P128" s="277">
        <v>10</v>
      </c>
      <c r="Q128" s="280"/>
    </row>
    <row r="129">
      <c r="A129" s="272">
        <v>46233</v>
      </c>
      <c r="B129" s="260" t="s">
        <v>231</v>
      </c>
      <c r="C129" s="251" t="s">
        <v>230</v>
      </c>
      <c r="D129" s="245">
        <v>5</v>
      </c>
      <c r="E129" s="277">
        <v>26</v>
      </c>
      <c r="F129" s="277">
        <v>15</v>
      </c>
      <c r="G129" s="277">
        <v>11</v>
      </c>
      <c r="H129" s="277">
        <v>10</v>
      </c>
      <c r="I129" s="277">
        <v>0</v>
      </c>
      <c r="J129" s="278">
        <v>16872</v>
      </c>
      <c r="K129" s="278">
        <v>8302.050000000001</v>
      </c>
      <c r="L129" s="279">
        <f t="shared" si="0"/>
      </c>
      <c r="M129" s="279">
        <f t="shared" si="12"/>
      </c>
      <c r="N129" s="279">
        <f t="shared" si="11"/>
      </c>
      <c r="O129" s="282"/>
      <c r="P129" s="282"/>
      <c r="Q129" s="283"/>
    </row>
    <row r="130">
      <c r="A130" s="272">
        <v>46233</v>
      </c>
      <c r="B130" s="273" t="s">
        <v>229</v>
      </c>
      <c r="C130" s="241" t="s">
        <v>232</v>
      </c>
      <c r="D130" s="245">
        <v>5</v>
      </c>
      <c r="E130" s="277">
        <v>23</v>
      </c>
      <c r="F130" s="277">
        <v>18</v>
      </c>
      <c r="G130" s="277">
        <v>11</v>
      </c>
      <c r="H130" s="277">
        <v>13</v>
      </c>
      <c r="I130" s="277">
        <v>2</v>
      </c>
      <c r="J130" s="278">
        <v>16287.6</v>
      </c>
      <c r="K130" s="278">
        <v>7588.54</v>
      </c>
      <c r="L130" s="279">
        <f t="shared" si="0"/>
      </c>
      <c r="M130" s="279">
        <f t="shared" si="12"/>
      </c>
      <c r="N130" s="279">
        <f t="shared" si="11"/>
      </c>
      <c r="O130" s="275" t="s">
        <v>249</v>
      </c>
      <c r="P130" s="277">
        <v>10</v>
      </c>
      <c r="Q130" s="283"/>
    </row>
    <row customHeight="true" ht="16.071428571428573" r="131">
      <c r="A131" s="272">
        <v>46233</v>
      </c>
      <c r="B131" s="273" t="s">
        <v>245</v>
      </c>
      <c r="C131" s="251" t="s">
        <v>234</v>
      </c>
      <c r="D131" s="245">
        <v>5</v>
      </c>
      <c r="E131" s="277">
        <v>31</v>
      </c>
      <c r="F131" s="277">
        <v>23</v>
      </c>
      <c r="G131" s="277">
        <v>15</v>
      </c>
      <c r="H131" s="277">
        <v>20</v>
      </c>
      <c r="I131" s="277">
        <v>2</v>
      </c>
      <c r="J131" s="278">
        <v>15476.800000000003</v>
      </c>
      <c r="K131" s="278">
        <v>12085.33</v>
      </c>
      <c r="L131" s="279">
        <f t="shared" si="0"/>
      </c>
      <c r="M131" s="279">
        <f t="shared" si="12"/>
      </c>
      <c r="N131" s="279">
        <f t="shared" si="11"/>
      </c>
      <c r="O131" s="275"/>
      <c r="P131" s="277"/>
      <c r="Q131" s="283"/>
    </row>
    <row r="132">
      <c r="A132" s="290">
        <v>46233</v>
      </c>
      <c r="B132" s="291"/>
      <c r="C132" s="291"/>
      <c r="D132" s="291">
        <f>SUM(D128:D131)</f>
      </c>
      <c r="E132" s="291">
        <f>SUM(E128:E131)</f>
      </c>
      <c r="F132" s="291">
        <f>SUM(F128:F131)</f>
      </c>
      <c r="G132" s="291">
        <f>SUM(G128:G131)</f>
      </c>
      <c r="H132" s="291">
        <f>SUM(H128:H131)</f>
      </c>
      <c r="I132" s="291">
        <f>SUM(I128:I131)</f>
      </c>
      <c r="J132" s="291">
        <f>SUM(J128:J131)</f>
      </c>
      <c r="K132" s="291">
        <f>SUM(K128:K131)</f>
      </c>
      <c r="L132" s="292">
        <f t="shared" si="0"/>
      </c>
      <c r="M132" s="292">
        <f t="shared" si="12"/>
      </c>
      <c r="N132" s="292">
        <f t="shared" si="11"/>
      </c>
      <c r="O132" s="293"/>
      <c r="P132" s="291">
        <f>SUM(P128:P130)</f>
      </c>
      <c r="Q132" s="294"/>
    </row>
    <row r="133">
      <c r="A133" s="272">
        <v>46234</v>
      </c>
      <c r="B133" s="240" t="s">
        <v>229</v>
      </c>
      <c r="C133" s="241" t="s">
        <v>227</v>
      </c>
      <c r="D133" s="299">
        <f>5-0.25</f>
      </c>
      <c r="E133" s="240">
        <v>27</v>
      </c>
      <c r="F133" s="276">
        <v>17</v>
      </c>
      <c r="G133" s="277">
        <v>7</v>
      </c>
      <c r="H133" s="277">
        <v>13</v>
      </c>
      <c r="I133" s="277">
        <v>2</v>
      </c>
      <c r="J133" s="277">
        <v>16115.600000000002</v>
      </c>
      <c r="K133" s="277">
        <v>8767.349999999999</v>
      </c>
      <c r="L133" s="279">
        <f t="shared" si="0"/>
      </c>
      <c r="M133" s="279">
        <f t="shared" si="12"/>
      </c>
      <c r="N133" s="279">
        <f t="shared" si="11"/>
      </c>
      <c r="O133" s="275" t="s">
        <v>257</v>
      </c>
      <c r="P133" s="277">
        <v>10</v>
      </c>
      <c r="Q133" s="280"/>
    </row>
    <row r="134">
      <c r="A134" s="272">
        <v>46234</v>
      </c>
      <c r="B134" s="240" t="s">
        <v>226</v>
      </c>
      <c r="C134" s="251" t="s">
        <v>230</v>
      </c>
      <c r="D134" s="300">
        <f>5-0.5</f>
      </c>
      <c r="E134" s="277">
        <v>13</v>
      </c>
      <c r="F134" s="277">
        <v>9</v>
      </c>
      <c r="G134" s="277">
        <v>3</v>
      </c>
      <c r="H134" s="277">
        <v>7</v>
      </c>
      <c r="I134" s="277">
        <v>1</v>
      </c>
      <c r="J134" s="278">
        <v>8564.8</v>
      </c>
      <c r="K134" s="278">
        <v>6345.61</v>
      </c>
      <c r="L134" s="279">
        <f t="shared" si="0"/>
      </c>
      <c r="M134" s="279">
        <f t="shared" si="12"/>
      </c>
      <c r="N134" s="279">
        <f t="shared" si="11"/>
      </c>
      <c r="O134" s="282"/>
      <c r="P134" s="282"/>
      <c r="Q134" s="283"/>
    </row>
    <row r="135">
      <c r="A135" s="272">
        <v>46234</v>
      </c>
      <c r="B135" s="260" t="s">
        <v>231</v>
      </c>
      <c r="C135" s="241" t="s">
        <v>232</v>
      </c>
      <c r="D135" s="245">
        <v>5</v>
      </c>
      <c r="E135" s="277">
        <v>11</v>
      </c>
      <c r="F135" s="277">
        <v>4</v>
      </c>
      <c r="G135" s="277">
        <v>4</v>
      </c>
      <c r="H135" s="277">
        <v>3</v>
      </c>
      <c r="I135" s="277">
        <v>0</v>
      </c>
      <c r="J135" s="278">
        <v>4650</v>
      </c>
      <c r="K135" s="278">
        <v>5137.65</v>
      </c>
      <c r="L135" s="279">
        <f t="shared" si="0"/>
      </c>
      <c r="M135" s="279">
        <f t="shared" si="12"/>
      </c>
      <c r="N135" s="279">
        <f t="shared" si="11"/>
      </c>
      <c r="O135" s="275" t="s">
        <v>249</v>
      </c>
      <c r="P135" s="277">
        <v>10</v>
      </c>
      <c r="Q135" s="283"/>
    </row>
    <row r="136">
      <c r="A136" s="272">
        <v>46234</v>
      </c>
      <c r="B136" s="273" t="s">
        <v>237</v>
      </c>
      <c r="C136" s="251" t="s">
        <v>234</v>
      </c>
      <c r="D136" s="245">
        <v>5</v>
      </c>
      <c r="E136" s="277">
        <v>22</v>
      </c>
      <c r="F136" s="277">
        <v>15</v>
      </c>
      <c r="G136" s="277">
        <v>12</v>
      </c>
      <c r="H136" s="277">
        <v>11</v>
      </c>
      <c r="I136" s="277">
        <v>0</v>
      </c>
      <c r="J136" s="278">
        <v>15296.599999999999</v>
      </c>
      <c r="K136" s="278">
        <v>8089.91</v>
      </c>
      <c r="L136" s="279">
        <f t="shared" si="0"/>
      </c>
      <c r="M136" s="279">
        <f t="shared" si="12"/>
      </c>
      <c r="N136" s="279">
        <f t="shared" si="11"/>
      </c>
      <c r="O136" s="275"/>
      <c r="P136" s="277"/>
      <c r="Q136" s="283"/>
    </row>
    <row r="137">
      <c r="A137" s="290">
        <v>46234</v>
      </c>
      <c r="B137" s="291"/>
      <c r="C137" s="291"/>
      <c r="D137" s="291">
        <f>SUM(D133:D136)</f>
      </c>
      <c r="E137" s="291">
        <f>SUM(E133:E136)</f>
      </c>
      <c r="F137" s="291">
        <f>SUM(F133:F136)</f>
      </c>
      <c r="G137" s="291">
        <f>SUM(G133:G136)</f>
      </c>
      <c r="H137" s="291">
        <f>SUM(H133:H136)</f>
      </c>
      <c r="I137" s="291">
        <f>SUM(I133:I136)</f>
      </c>
      <c r="J137" s="291">
        <f>SUM(J133:J136)</f>
      </c>
      <c r="K137" s="291">
        <f>SUM(K133:K136)</f>
      </c>
      <c r="L137" s="292">
        <f t="shared" si="0"/>
      </c>
      <c r="M137" s="292">
        <f t="shared" si="12"/>
      </c>
      <c r="N137" s="292">
        <f t="shared" si="11"/>
      </c>
      <c r="O137" s="293"/>
      <c r="P137" s="291">
        <f>SUM(P133:P135)</f>
      </c>
      <c r="Q137" s="294"/>
    </row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>
      <c r="J202" s="253"/>
      <c r="K202" s="253"/>
    </row>
    <row r="203">
      <c r="J203" s="301"/>
      <c r="K203" s="301"/>
      <c r="L203" s="247"/>
    </row>
    <row r="204">
      <c r="L204" s="247"/>
    </row>
    <row r="205">
      <c r="J205" s="301"/>
      <c r="K205" s="301"/>
      <c r="L205" s="247"/>
    </row>
    <row r="206">
      <c r="J206" s="301"/>
      <c r="K206" s="301"/>
      <c r="L206" s="279"/>
    </row>
    <row r="207">
      <c r="J207" s="301"/>
      <c r="K207" s="301"/>
      <c r="L207" s="279"/>
    </row>
    <row r="208">
      <c r="J208" s="301"/>
      <c r="K208" s="301"/>
      <c r="L208" s="279"/>
    </row>
    <row r="209">
      <c r="J209" s="301"/>
      <c r="K209" s="302"/>
      <c r="L209" s="279"/>
    </row>
    <row r="210">
      <c r="J210" s="301"/>
      <c r="K210" s="302"/>
      <c r="L210" s="279"/>
    </row>
    <row r="211">
      <c r="D211" s="303"/>
      <c r="J211" s="301"/>
      <c r="K211" s="302"/>
      <c r="L211" s="279"/>
    </row>
  </sheetData>
  <autoFilter ref="A1:T210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7" min="17" style="0" width="11.211267605633802"/>
  </cols>
  <sheetData>
    <row r="1">
      <c r="A1" s="304" t="s">
        <v>262</v>
      </c>
      <c r="B1" s="305" t="s">
        <v>263</v>
      </c>
      <c r="C1" s="305" t="s">
        <v>264</v>
      </c>
      <c r="D1" s="305" t="s">
        <v>265</v>
      </c>
      <c r="E1" s="305" t="s">
        <v>266</v>
      </c>
      <c r="F1" s="305" t="s">
        <v>267</v>
      </c>
      <c r="G1" s="306" t="s">
        <v>268</v>
      </c>
      <c r="H1" s="307" t="s">
        <v>269</v>
      </c>
      <c r="I1" s="305" t="s">
        <v>270</v>
      </c>
      <c r="J1" s="305" t="s">
        <v>271</v>
      </c>
      <c r="K1" s="305" t="s">
        <v>272</v>
      </c>
      <c r="L1" s="308" t="s">
        <v>273</v>
      </c>
      <c r="M1" s="308" t="s">
        <v>274</v>
      </c>
      <c r="N1" s="308" t="s">
        <v>275</v>
      </c>
      <c r="O1" s="309" t="s">
        <v>276</v>
      </c>
      <c r="P1" s="309" t="s">
        <v>277</v>
      </c>
      <c r="Q1" s="309" t="s">
        <v>278</v>
      </c>
      <c r="R1" s="310"/>
      <c r="S1" s="310"/>
      <c r="T1" s="310"/>
      <c r="U1" s="310"/>
      <c r="V1" s="310"/>
      <c r="W1" s="310"/>
      <c r="X1" s="310"/>
    </row>
    <row hidden="true" r="2">
      <c r="A2" s="311">
        <v>46174</v>
      </c>
      <c r="B2" s="312" t="s">
        <v>279</v>
      </c>
      <c r="C2" s="313" t="s">
        <v>280</v>
      </c>
      <c r="D2" s="314">
        <v>5</v>
      </c>
      <c r="E2" s="315">
        <v>43</v>
      </c>
      <c r="F2" s="316">
        <v>31</v>
      </c>
      <c r="G2" s="317">
        <v>22</v>
      </c>
      <c r="H2" s="317">
        <v>20</v>
      </c>
      <c r="I2" s="317">
        <v>2</v>
      </c>
      <c r="J2" s="318">
        <v>28967.2</v>
      </c>
      <c r="K2" s="317">
        <v>15408.78</v>
      </c>
      <c r="L2" s="319">
        <f t="shared" ref="L2:L162" si="0">J2/K2</f>
      </c>
      <c r="M2" s="319">
        <f t="shared" ref="M2:M162" si="20">J2/F2</f>
      </c>
      <c r="N2" s="319">
        <f t="shared" ref="N2:N5" si="1">K2/F2</f>
      </c>
      <c r="O2" s="314" t="s">
        <v>281</v>
      </c>
      <c r="P2" s="317">
        <v>10</v>
      </c>
      <c r="Q2" s="320"/>
      <c r="R2" s="321"/>
      <c r="S2" s="321"/>
      <c r="T2" s="321"/>
      <c r="U2" s="321"/>
      <c r="V2" s="321"/>
      <c r="W2" s="321"/>
      <c r="X2" s="321"/>
    </row>
    <row hidden="true" r="3">
      <c r="A3" s="311">
        <v>46174</v>
      </c>
      <c r="B3" s="312" t="s">
        <v>282</v>
      </c>
      <c r="C3" s="313" t="s">
        <v>283</v>
      </c>
      <c r="D3" s="317">
        <v>3</v>
      </c>
      <c r="E3" s="317">
        <v>18</v>
      </c>
      <c r="F3" s="317">
        <v>10</v>
      </c>
      <c r="G3" s="317">
        <v>8</v>
      </c>
      <c r="H3" s="317">
        <v>6</v>
      </c>
      <c r="I3" s="317">
        <v>1</v>
      </c>
      <c r="J3" s="318">
        <v>15050.799999999997</v>
      </c>
      <c r="K3" s="318">
        <v>7429.5199999999995</v>
      </c>
      <c r="L3" s="319">
        <f t="shared" si="0"/>
      </c>
      <c r="M3" s="319">
        <f t="shared" si="20"/>
      </c>
      <c r="N3" s="319">
        <f t="shared" si="1"/>
      </c>
      <c r="O3" s="322"/>
      <c r="P3" s="322"/>
      <c r="Q3" s="323"/>
      <c r="R3" s="324"/>
      <c r="S3" s="324"/>
      <c r="T3" s="324"/>
      <c r="U3" s="324"/>
      <c r="V3" s="324"/>
      <c r="W3" s="324"/>
      <c r="X3" s="324"/>
    </row>
    <row hidden="true" r="4">
      <c r="A4" s="311">
        <v>46174</v>
      </c>
      <c r="B4" s="315" t="s">
        <v>284</v>
      </c>
      <c r="C4" s="325" t="s">
        <v>285</v>
      </c>
      <c r="D4" s="317">
        <v>5</v>
      </c>
      <c r="E4" s="317">
        <v>38</v>
      </c>
      <c r="F4" s="317">
        <v>36</v>
      </c>
      <c r="G4" s="317">
        <v>30</v>
      </c>
      <c r="H4" s="317">
        <v>23</v>
      </c>
      <c r="I4" s="317">
        <v>2</v>
      </c>
      <c r="J4" s="318">
        <v>32907.59999999999</v>
      </c>
      <c r="K4" s="318">
        <v>16671.5</v>
      </c>
      <c r="L4" s="319">
        <f t="shared" si="0"/>
      </c>
      <c r="M4" s="319">
        <f t="shared" si="20"/>
      </c>
      <c r="N4" s="319">
        <f t="shared" si="1"/>
      </c>
      <c r="O4" s="326"/>
      <c r="P4" s="327"/>
      <c r="Q4" s="323"/>
      <c r="R4" s="324"/>
      <c r="S4" s="324"/>
      <c r="T4" s="324"/>
      <c r="U4" s="324"/>
      <c r="V4" s="324"/>
      <c r="W4" s="324"/>
      <c r="X4" s="324"/>
    </row>
    <row hidden="true" r="5">
      <c r="A5" s="311">
        <v>46174</v>
      </c>
      <c r="B5" s="312" t="s">
        <v>286</v>
      </c>
      <c r="C5" s="325" t="s">
        <v>287</v>
      </c>
      <c r="D5" s="317">
        <v>2</v>
      </c>
      <c r="E5" s="317">
        <v>15</v>
      </c>
      <c r="F5" s="317">
        <v>12</v>
      </c>
      <c r="G5" s="317">
        <v>9</v>
      </c>
      <c r="H5" s="317">
        <v>7</v>
      </c>
      <c r="I5" s="317">
        <v>1</v>
      </c>
      <c r="J5" s="318">
        <v>9148.599999999999</v>
      </c>
      <c r="K5" s="318">
        <v>6554.34</v>
      </c>
      <c r="L5" s="319">
        <f t="shared" si="0"/>
      </c>
      <c r="M5" s="319">
        <f t="shared" si="20"/>
      </c>
      <c r="N5" s="319">
        <f t="shared" si="1"/>
      </c>
      <c r="O5" s="326"/>
      <c r="P5" s="327"/>
      <c r="Q5" s="323"/>
      <c r="R5" s="324"/>
      <c r="S5" s="324"/>
      <c r="T5" s="324"/>
      <c r="U5" s="324"/>
      <c r="V5" s="324"/>
      <c r="W5" s="324"/>
      <c r="X5" s="324"/>
    </row>
    <row hidden="true" r="6">
      <c r="A6" s="311">
        <v>46174</v>
      </c>
      <c r="B6" s="312" t="s">
        <v>288</v>
      </c>
      <c r="C6" s="325" t="s">
        <v>289</v>
      </c>
      <c r="D6" s="317">
        <v>5</v>
      </c>
      <c r="E6" s="317">
        <v>43</v>
      </c>
      <c r="F6" s="317">
        <v>37</v>
      </c>
      <c r="G6" s="317">
        <v>35</v>
      </c>
      <c r="H6" s="317">
        <v>20</v>
      </c>
      <c r="I6" s="317">
        <v>2</v>
      </c>
      <c r="J6" s="318">
        <v>29203</v>
      </c>
      <c r="K6" s="318">
        <v>19844.4</v>
      </c>
      <c r="L6" s="319">
        <f t="shared" si="0"/>
      </c>
      <c r="M6" s="319">
        <f t="shared" si="20"/>
      </c>
      <c r="N6" s="319">
        <f>K6/H6</f>
      </c>
      <c r="O6" s="314" t="s">
        <v>290</v>
      </c>
      <c r="P6" s="317">
        <v>10</v>
      </c>
      <c r="Q6" s="322"/>
      <c r="R6" s="328"/>
      <c r="S6" s="328"/>
      <c r="T6" s="328"/>
      <c r="U6" s="328"/>
      <c r="V6" s="328"/>
      <c r="W6" s="328"/>
      <c r="X6" s="328"/>
    </row>
    <row r="7">
      <c r="A7" s="329">
        <v>46174</v>
      </c>
      <c r="B7" s="330"/>
      <c r="C7" s="330"/>
      <c r="D7" s="330">
        <f>SUM(D2:D6)</f>
      </c>
      <c r="E7" s="330">
        <f>SUM(E2:E6)</f>
      </c>
      <c r="F7" s="330">
        <f>SUM(F2:F6)</f>
      </c>
      <c r="G7" s="330">
        <f>SUM(G2:G6)</f>
      </c>
      <c r="H7" s="330">
        <f>SUM(H2:H6)</f>
      </c>
      <c r="I7" s="330">
        <f>SUM(I2:I6)</f>
      </c>
      <c r="J7" s="330">
        <f>SUM(J2:J6)</f>
      </c>
      <c r="K7" s="330">
        <f>SUM(K2:K6)</f>
      </c>
      <c r="L7" s="331">
        <f t="shared" si="0"/>
      </c>
      <c r="M7" s="331">
        <f t="shared" si="20"/>
      </c>
      <c r="N7" s="331">
        <f t="shared" ref="N7:N11" si="2">K7/F7</f>
      </c>
      <c r="O7" s="332"/>
      <c r="P7" s="330">
        <f>P2+P3+P5+P6</f>
      </c>
      <c r="Q7" s="332"/>
      <c r="R7" s="333"/>
      <c r="S7" s="333"/>
      <c r="T7" s="333"/>
      <c r="U7" s="333"/>
      <c r="V7" s="333"/>
      <c r="W7" s="333"/>
      <c r="X7" s="333"/>
    </row>
    <row hidden="true" r="8">
      <c r="A8" s="311">
        <v>46175</v>
      </c>
      <c r="B8" s="312" t="s">
        <v>279</v>
      </c>
      <c r="C8" s="313" t="s">
        <v>280</v>
      </c>
      <c r="D8" s="314">
        <v>5</v>
      </c>
      <c r="E8" s="315">
        <v>32</v>
      </c>
      <c r="F8" s="316">
        <v>26</v>
      </c>
      <c r="G8" s="317">
        <v>25</v>
      </c>
      <c r="H8" s="317">
        <v>14</v>
      </c>
      <c r="I8" s="317">
        <v>1</v>
      </c>
      <c r="J8" s="318">
        <v>21664.999999999996</v>
      </c>
      <c r="K8" s="317">
        <v>18027.56</v>
      </c>
      <c r="L8" s="319">
        <f t="shared" si="0"/>
      </c>
      <c r="M8" s="319">
        <f t="shared" si="20"/>
      </c>
      <c r="N8" s="319">
        <f t="shared" si="2"/>
      </c>
      <c r="O8" s="314" t="s">
        <v>291</v>
      </c>
      <c r="P8" s="317">
        <v>10</v>
      </c>
      <c r="Q8" s="320"/>
      <c r="R8" s="321"/>
      <c r="S8" s="321"/>
      <c r="T8" s="321"/>
      <c r="U8" s="321"/>
      <c r="V8" s="321"/>
      <c r="W8" s="321"/>
      <c r="X8" s="321"/>
    </row>
    <row hidden="true" r="9">
      <c r="A9" s="311">
        <v>46175</v>
      </c>
      <c r="B9" s="315" t="s">
        <v>284</v>
      </c>
      <c r="C9" s="313" t="s">
        <v>292</v>
      </c>
      <c r="D9" s="317">
        <v>4</v>
      </c>
      <c r="E9" s="317">
        <v>38</v>
      </c>
      <c r="F9" s="317">
        <v>28</v>
      </c>
      <c r="G9" s="317">
        <v>26</v>
      </c>
      <c r="H9" s="317">
        <v>13</v>
      </c>
      <c r="I9" s="317">
        <v>0</v>
      </c>
      <c r="J9" s="318">
        <v>25837</v>
      </c>
      <c r="K9" s="318">
        <v>20538.96</v>
      </c>
      <c r="L9" s="319">
        <f t="shared" si="0"/>
      </c>
      <c r="M9" s="319">
        <f t="shared" si="20"/>
      </c>
      <c r="N9" s="319">
        <f t="shared" si="2"/>
      </c>
      <c r="O9" s="322"/>
      <c r="P9" s="322"/>
      <c r="Q9" s="323"/>
      <c r="R9" s="324"/>
      <c r="S9" s="324"/>
      <c r="T9" s="324"/>
      <c r="U9" s="324"/>
      <c r="V9" s="324"/>
      <c r="W9" s="324"/>
      <c r="X9" s="324"/>
    </row>
    <row hidden="true" r="10">
      <c r="A10" s="311">
        <v>46175</v>
      </c>
      <c r="B10" s="312" t="s">
        <v>288</v>
      </c>
      <c r="C10" s="325" t="s">
        <v>293</v>
      </c>
      <c r="D10" s="317">
        <v>4</v>
      </c>
      <c r="E10" s="317">
        <v>26</v>
      </c>
      <c r="F10" s="317">
        <v>21</v>
      </c>
      <c r="G10" s="317">
        <v>17</v>
      </c>
      <c r="H10" s="317">
        <v>12</v>
      </c>
      <c r="I10" s="317">
        <v>2</v>
      </c>
      <c r="J10" s="318">
        <v>23568.200000000004</v>
      </c>
      <c r="K10" s="318">
        <v>12942.640000000001</v>
      </c>
      <c r="L10" s="319">
        <f t="shared" si="0"/>
      </c>
      <c r="M10" s="319">
        <f t="shared" si="20"/>
      </c>
      <c r="N10" s="319">
        <f t="shared" si="2"/>
      </c>
      <c r="O10" s="326"/>
      <c r="P10" s="327"/>
      <c r="Q10" s="323"/>
      <c r="R10" s="324"/>
      <c r="S10" s="324"/>
      <c r="T10" s="324"/>
      <c r="U10" s="324"/>
      <c r="V10" s="324"/>
      <c r="W10" s="324"/>
      <c r="X10" s="324"/>
    </row>
    <row hidden="true" r="11">
      <c r="A11" s="311">
        <v>46175</v>
      </c>
      <c r="B11" s="312" t="s">
        <v>286</v>
      </c>
      <c r="C11" s="325" t="s">
        <v>287</v>
      </c>
      <c r="D11" s="317">
        <v>2</v>
      </c>
      <c r="E11" s="317">
        <v>11</v>
      </c>
      <c r="F11" s="317">
        <v>11</v>
      </c>
      <c r="G11" s="317">
        <v>9</v>
      </c>
      <c r="H11" s="317">
        <v>8</v>
      </c>
      <c r="I11" s="317">
        <v>0</v>
      </c>
      <c r="J11" s="318">
        <v>12866.400000000001</v>
      </c>
      <c r="K11" s="318">
        <v>5839.0599999999995</v>
      </c>
      <c r="L11" s="319">
        <f t="shared" si="0"/>
      </c>
      <c r="M11" s="319">
        <f t="shared" si="20"/>
      </c>
      <c r="N11" s="319">
        <f t="shared" si="2"/>
      </c>
      <c r="O11" s="326"/>
      <c r="P11" s="327"/>
      <c r="Q11" s="323"/>
      <c r="R11" s="324"/>
      <c r="S11" s="324"/>
      <c r="T11" s="324"/>
      <c r="U11" s="324"/>
      <c r="V11" s="324"/>
      <c r="W11" s="324"/>
      <c r="X11" s="324"/>
    </row>
    <row hidden="true" r="12">
      <c r="A12" s="311">
        <v>46175</v>
      </c>
      <c r="B12" s="312" t="s">
        <v>282</v>
      </c>
      <c r="C12" s="325" t="s">
        <v>289</v>
      </c>
      <c r="D12" s="317">
        <v>5</v>
      </c>
      <c r="E12" s="317">
        <v>18</v>
      </c>
      <c r="F12" s="317">
        <v>12</v>
      </c>
      <c r="G12" s="317">
        <v>11</v>
      </c>
      <c r="H12" s="317">
        <v>10</v>
      </c>
      <c r="I12" s="317">
        <v>0</v>
      </c>
      <c r="J12" s="318">
        <v>8672.399999999987</v>
      </c>
      <c r="K12" s="318">
        <v>11848.630000000001</v>
      </c>
      <c r="L12" s="319">
        <f t="shared" si="0"/>
      </c>
      <c r="M12" s="319">
        <f t="shared" si="20"/>
      </c>
      <c r="N12" s="319">
        <f>K12/H12</f>
      </c>
      <c r="O12" s="314" t="s">
        <v>290</v>
      </c>
      <c r="P12" s="317">
        <v>10</v>
      </c>
      <c r="Q12" s="322"/>
      <c r="R12" s="328"/>
      <c r="S12" s="328"/>
      <c r="T12" s="328"/>
      <c r="U12" s="328"/>
      <c r="V12" s="328"/>
      <c r="W12" s="328"/>
      <c r="X12" s="328"/>
    </row>
    <row r="13">
      <c r="A13" s="329">
        <v>46175</v>
      </c>
      <c r="B13" s="330"/>
      <c r="C13" s="330"/>
      <c r="D13" s="330">
        <f>SUM(D8:D12)</f>
      </c>
      <c r="E13" s="330">
        <f>SUM(E8:E12)</f>
      </c>
      <c r="F13" s="330">
        <f>SUM(F8:F12)</f>
      </c>
      <c r="G13" s="330">
        <f>SUM(G8:G12)</f>
      </c>
      <c r="H13" s="330">
        <f>SUM(H8:H12)</f>
      </c>
      <c r="I13" s="330">
        <f>SUM(I8:I12)</f>
      </c>
      <c r="J13" s="330">
        <f>SUM(J8:J12)</f>
      </c>
      <c r="K13" s="330">
        <f>SUM(K8:K12)</f>
      </c>
      <c r="L13" s="331">
        <f t="shared" si="0"/>
      </c>
      <c r="M13" s="331">
        <f t="shared" si="20"/>
      </c>
      <c r="N13" s="331">
        <f t="shared" ref="N13:N17" si="3">K13/F13</f>
      </c>
      <c r="O13" s="332"/>
      <c r="P13" s="330">
        <f>P8+P9+P11+P12</f>
      </c>
      <c r="Q13" s="332"/>
      <c r="R13" s="333"/>
      <c r="S13" s="333"/>
      <c r="T13" s="333"/>
      <c r="U13" s="333"/>
      <c r="V13" s="333"/>
      <c r="W13" s="333"/>
      <c r="X13" s="333"/>
    </row>
    <row hidden="true" r="14">
      <c r="A14" s="311">
        <v>46176</v>
      </c>
      <c r="B14" s="312" t="s">
        <v>288</v>
      </c>
      <c r="C14" s="313" t="s">
        <v>280</v>
      </c>
      <c r="D14" s="314">
        <v>5</v>
      </c>
      <c r="E14" s="315">
        <v>64</v>
      </c>
      <c r="F14" s="316">
        <v>56</v>
      </c>
      <c r="G14" s="317">
        <v>44</v>
      </c>
      <c r="H14" s="317">
        <v>40</v>
      </c>
      <c r="I14" s="317">
        <v>1</v>
      </c>
      <c r="J14" s="318">
        <v>43365.20000000001</v>
      </c>
      <c r="K14" s="317">
        <v>26861.379999999997</v>
      </c>
      <c r="L14" s="319">
        <f t="shared" si="0"/>
      </c>
      <c r="M14" s="319">
        <f t="shared" si="20"/>
      </c>
      <c r="N14" s="319">
        <f t="shared" si="3"/>
      </c>
      <c r="O14" s="314" t="s">
        <v>281</v>
      </c>
      <c r="P14" s="317">
        <v>10</v>
      </c>
      <c r="Q14" s="320"/>
      <c r="R14" s="321"/>
      <c r="S14" s="321"/>
      <c r="T14" s="321"/>
      <c r="U14" s="321"/>
      <c r="V14" s="321"/>
      <c r="W14" s="321"/>
      <c r="X14" s="321"/>
    </row>
    <row hidden="true" r="15">
      <c r="A15" s="311">
        <v>46176</v>
      </c>
      <c r="B15" s="315" t="s">
        <v>284</v>
      </c>
      <c r="C15" s="313" t="s">
        <v>292</v>
      </c>
      <c r="D15" s="317">
        <v>4</v>
      </c>
      <c r="E15" s="317">
        <v>55</v>
      </c>
      <c r="F15" s="317">
        <v>45</v>
      </c>
      <c r="G15" s="317">
        <v>37</v>
      </c>
      <c r="H15" s="317">
        <v>32</v>
      </c>
      <c r="I15" s="317">
        <v>1</v>
      </c>
      <c r="J15" s="318">
        <v>38015.40000000001</v>
      </c>
      <c r="K15" s="318">
        <v>26928.92</v>
      </c>
      <c r="L15" s="319">
        <f t="shared" si="0"/>
      </c>
      <c r="M15" s="319">
        <f t="shared" si="20"/>
      </c>
      <c r="N15" s="319">
        <f t="shared" si="3"/>
      </c>
      <c r="O15" s="322"/>
      <c r="P15" s="322"/>
      <c r="Q15" s="323"/>
      <c r="R15" s="324"/>
      <c r="S15" s="324"/>
      <c r="T15" s="324"/>
      <c r="U15" s="324"/>
      <c r="V15" s="324"/>
      <c r="W15" s="324"/>
      <c r="X15" s="324"/>
    </row>
    <row hidden="true" r="16">
      <c r="A16" s="311">
        <v>46176</v>
      </c>
      <c r="B16" s="312" t="s">
        <v>286</v>
      </c>
      <c r="C16" s="325" t="s">
        <v>294</v>
      </c>
      <c r="D16" s="317">
        <v>3</v>
      </c>
      <c r="E16" s="317">
        <v>33</v>
      </c>
      <c r="F16" s="317">
        <v>24</v>
      </c>
      <c r="G16" s="317">
        <v>25</v>
      </c>
      <c r="H16" s="317">
        <v>15</v>
      </c>
      <c r="I16" s="317">
        <v>2</v>
      </c>
      <c r="J16" s="318">
        <v>19228.4</v>
      </c>
      <c r="K16" s="318">
        <v>15959.81</v>
      </c>
      <c r="L16" s="319">
        <f t="shared" si="0"/>
      </c>
      <c r="M16" s="319">
        <f t="shared" si="20"/>
      </c>
      <c r="N16" s="319">
        <f t="shared" si="3"/>
      </c>
      <c r="O16" s="326"/>
      <c r="P16" s="327"/>
      <c r="Q16" s="323"/>
      <c r="R16" s="324"/>
      <c r="S16" s="324"/>
      <c r="T16" s="324"/>
      <c r="U16" s="324"/>
      <c r="V16" s="324"/>
      <c r="W16" s="324"/>
      <c r="X16" s="324"/>
    </row>
    <row hidden="true" r="17">
      <c r="A17" s="311">
        <v>46176</v>
      </c>
      <c r="B17" s="312" t="s">
        <v>282</v>
      </c>
      <c r="C17" s="325" t="s">
        <v>295</v>
      </c>
      <c r="D17" s="317">
        <v>3</v>
      </c>
      <c r="E17" s="317">
        <v>29</v>
      </c>
      <c r="F17" s="317">
        <v>20</v>
      </c>
      <c r="G17" s="317">
        <v>15</v>
      </c>
      <c r="H17" s="317">
        <v>12</v>
      </c>
      <c r="I17" s="317">
        <v>5</v>
      </c>
      <c r="J17" s="318">
        <v>19662.19999999999</v>
      </c>
      <c r="K17" s="318">
        <v>14972.4</v>
      </c>
      <c r="L17" s="319">
        <f t="shared" si="0"/>
      </c>
      <c r="M17" s="319">
        <f t="shared" si="20"/>
      </c>
      <c r="N17" s="319">
        <f t="shared" si="3"/>
      </c>
      <c r="O17" s="326"/>
      <c r="P17" s="327"/>
      <c r="Q17" s="323"/>
      <c r="R17" s="324"/>
      <c r="S17" s="324"/>
      <c r="T17" s="324"/>
      <c r="U17" s="324"/>
      <c r="V17" s="324"/>
      <c r="W17" s="324"/>
      <c r="X17" s="324"/>
    </row>
    <row hidden="true" r="18">
      <c r="A18" s="311">
        <v>46176</v>
      </c>
      <c r="B18" s="312" t="s">
        <v>296</v>
      </c>
      <c r="C18" s="325" t="s">
        <v>289</v>
      </c>
      <c r="D18" s="317">
        <v>5</v>
      </c>
      <c r="E18" s="317">
        <v>27</v>
      </c>
      <c r="F18" s="317">
        <v>20</v>
      </c>
      <c r="G18" s="317">
        <v>15</v>
      </c>
      <c r="H18" s="317">
        <v>18</v>
      </c>
      <c r="I18" s="317">
        <v>1</v>
      </c>
      <c r="J18" s="318">
        <v>14236.400000000001</v>
      </c>
      <c r="K18" s="318">
        <v>14660.529999999999</v>
      </c>
      <c r="L18" s="319">
        <f t="shared" si="0"/>
      </c>
      <c r="M18" s="319">
        <f t="shared" si="20"/>
      </c>
      <c r="N18" s="319">
        <f>K18/H18</f>
      </c>
      <c r="O18" s="314" t="s">
        <v>290</v>
      </c>
      <c r="P18" s="317">
        <v>10</v>
      </c>
      <c r="Q18" s="322"/>
      <c r="R18" s="328"/>
      <c r="S18" s="328"/>
      <c r="T18" s="328"/>
      <c r="U18" s="328"/>
      <c r="V18" s="328"/>
      <c r="W18" s="328"/>
      <c r="X18" s="328"/>
    </row>
    <row r="19">
      <c r="A19" s="329">
        <v>46176</v>
      </c>
      <c r="B19" s="330"/>
      <c r="C19" s="330"/>
      <c r="D19" s="330">
        <f>SUM(D14:D18)</f>
      </c>
      <c r="E19" s="330">
        <f>SUM(E14:E18)</f>
      </c>
      <c r="F19" s="330">
        <f>SUM(F14:F18)</f>
      </c>
      <c r="G19" s="330">
        <f>SUM(G14:G18)</f>
      </c>
      <c r="H19" s="330">
        <f>SUM(H14:H18)</f>
      </c>
      <c r="I19" s="330">
        <f>SUM(I14:I18)</f>
      </c>
      <c r="J19" s="330">
        <f>SUM(J14:J18)</f>
      </c>
      <c r="K19" s="330">
        <f>SUM(K14:K18)</f>
      </c>
      <c r="L19" s="331">
        <f t="shared" si="0"/>
      </c>
      <c r="M19" s="331">
        <f t="shared" si="20"/>
      </c>
      <c r="N19" s="331">
        <f t="shared" ref="N19:N22" si="4">K19/F19</f>
      </c>
      <c r="O19" s="332"/>
      <c r="P19" s="330">
        <f>P14+P15+P17+P18</f>
      </c>
      <c r="Q19" s="332"/>
      <c r="R19" s="333"/>
      <c r="S19" s="333"/>
      <c r="T19" s="333"/>
      <c r="U19" s="333"/>
      <c r="V19" s="333"/>
      <c r="W19" s="333"/>
      <c r="X19" s="333"/>
    </row>
    <row hidden="true" r="20">
      <c r="A20" s="311">
        <v>46177</v>
      </c>
      <c r="B20" s="312" t="s">
        <v>288</v>
      </c>
      <c r="C20" s="313" t="s">
        <v>280</v>
      </c>
      <c r="D20" s="314">
        <v>5</v>
      </c>
      <c r="E20" s="315">
        <v>68</v>
      </c>
      <c r="F20" s="316">
        <v>55</v>
      </c>
      <c r="G20" s="317">
        <v>45</v>
      </c>
      <c r="H20" s="317">
        <v>40</v>
      </c>
      <c r="I20" s="317">
        <v>5</v>
      </c>
      <c r="J20" s="318">
        <v>49481.300000000025</v>
      </c>
      <c r="K20" s="317">
        <v>28282.15</v>
      </c>
      <c r="L20" s="319">
        <f t="shared" si="0"/>
      </c>
      <c r="M20" s="319">
        <f t="shared" si="20"/>
      </c>
      <c r="N20" s="319">
        <f t="shared" si="4"/>
      </c>
      <c r="O20" s="314" t="s">
        <v>281</v>
      </c>
      <c r="P20" s="317">
        <v>10</v>
      </c>
      <c r="Q20" s="320"/>
      <c r="R20" s="321"/>
      <c r="S20" s="321"/>
      <c r="T20" s="321"/>
      <c r="U20" s="321"/>
      <c r="V20" s="321"/>
      <c r="W20" s="321"/>
      <c r="X20" s="321"/>
    </row>
    <row hidden="true" r="21">
      <c r="A21" s="311">
        <v>46177</v>
      </c>
      <c r="B21" s="312" t="s">
        <v>282</v>
      </c>
      <c r="C21" s="313" t="s">
        <v>297</v>
      </c>
      <c r="D21" s="317">
        <v>5</v>
      </c>
      <c r="E21" s="317">
        <v>36</v>
      </c>
      <c r="F21" s="317">
        <v>29</v>
      </c>
      <c r="G21" s="317">
        <v>28</v>
      </c>
      <c r="H21" s="317">
        <v>20</v>
      </c>
      <c r="I21" s="317">
        <v>0</v>
      </c>
      <c r="J21" s="318">
        <v>25429.599999999995</v>
      </c>
      <c r="K21" s="318">
        <v>20416.350000000002</v>
      </c>
      <c r="L21" s="319">
        <f t="shared" si="0"/>
      </c>
      <c r="M21" s="319">
        <f t="shared" si="20"/>
      </c>
      <c r="N21" s="319">
        <f t="shared" si="4"/>
      </c>
      <c r="O21" s="322"/>
      <c r="P21" s="322"/>
      <c r="Q21" s="323"/>
      <c r="R21" s="324"/>
      <c r="S21" s="324"/>
      <c r="T21" s="324"/>
      <c r="U21" s="324"/>
      <c r="V21" s="324"/>
      <c r="W21" s="324"/>
      <c r="X21" s="324"/>
    </row>
    <row hidden="true" r="22">
      <c r="A22" s="311">
        <v>46177</v>
      </c>
      <c r="B22" s="312" t="s">
        <v>284</v>
      </c>
      <c r="C22" s="325" t="s">
        <v>298</v>
      </c>
      <c r="D22" s="317">
        <v>5</v>
      </c>
      <c r="E22" s="317">
        <v>38</v>
      </c>
      <c r="F22" s="317">
        <v>30</v>
      </c>
      <c r="G22" s="317">
        <v>28</v>
      </c>
      <c r="H22" s="317">
        <v>22</v>
      </c>
      <c r="I22" s="317">
        <v>1</v>
      </c>
      <c r="J22" s="318">
        <v>21810.2</v>
      </c>
      <c r="K22" s="318">
        <v>20891.35</v>
      </c>
      <c r="L22" s="319">
        <f t="shared" si="0"/>
      </c>
      <c r="M22" s="319">
        <f t="shared" si="20"/>
      </c>
      <c r="N22" s="319">
        <f t="shared" si="4"/>
      </c>
      <c r="O22" s="326"/>
      <c r="P22" s="327"/>
      <c r="Q22" s="323"/>
      <c r="R22" s="324"/>
      <c r="S22" s="324"/>
      <c r="T22" s="324"/>
      <c r="U22" s="324"/>
      <c r="V22" s="324"/>
      <c r="W22" s="324"/>
      <c r="X22" s="324"/>
    </row>
    <row hidden="true" r="23">
      <c r="A23" s="311">
        <v>46177</v>
      </c>
      <c r="B23" s="312" t="s">
        <v>296</v>
      </c>
      <c r="C23" s="325" t="s">
        <v>289</v>
      </c>
      <c r="D23" s="317">
        <v>5</v>
      </c>
      <c r="E23" s="317">
        <v>41</v>
      </c>
      <c r="F23" s="317">
        <v>29</v>
      </c>
      <c r="G23" s="317">
        <v>15</v>
      </c>
      <c r="H23" s="317">
        <v>18</v>
      </c>
      <c r="I23" s="317">
        <v>5</v>
      </c>
      <c r="J23" s="318">
        <v>28430.199999999997</v>
      </c>
      <c r="K23" s="318">
        <v>13549.51</v>
      </c>
      <c r="L23" s="319">
        <f t="shared" si="0"/>
      </c>
      <c r="M23" s="319">
        <f t="shared" si="20"/>
      </c>
      <c r="N23" s="319">
        <f>K23/H23</f>
      </c>
      <c r="O23" s="314" t="s">
        <v>290</v>
      </c>
      <c r="P23" s="317">
        <v>10</v>
      </c>
      <c r="Q23" s="322"/>
      <c r="R23" s="328"/>
      <c r="S23" s="328"/>
      <c r="T23" s="328"/>
      <c r="U23" s="328"/>
      <c r="V23" s="328"/>
      <c r="W23" s="328"/>
      <c r="X23" s="328"/>
    </row>
    <row r="24">
      <c r="A24" s="329">
        <v>46177</v>
      </c>
      <c r="B24" s="330"/>
      <c r="C24" s="330"/>
      <c r="D24" s="330">
        <f>SUM(D20:D23)</f>
      </c>
      <c r="E24" s="330">
        <f>SUM(E20:E23)</f>
      </c>
      <c r="F24" s="330">
        <f>SUM(F20:F23)</f>
      </c>
      <c r="G24" s="330">
        <f>SUM(G20:G23)</f>
      </c>
      <c r="H24" s="330">
        <f>SUM(H20:H23)</f>
      </c>
      <c r="I24" s="330">
        <f>SUM(I20:I23)</f>
      </c>
      <c r="J24" s="330">
        <f>SUM(J20:J23)</f>
      </c>
      <c r="K24" s="330">
        <f>SUM(K20:K23)</f>
      </c>
      <c r="L24" s="331">
        <f t="shared" si="0"/>
      </c>
      <c r="M24" s="331">
        <f t="shared" si="20"/>
      </c>
      <c r="N24" s="331">
        <f t="shared" ref="N24:N28" si="5">K24/F24</f>
      </c>
      <c r="O24" s="332"/>
      <c r="P24" s="330">
        <f>P20+P21+P22+P23</f>
      </c>
      <c r="Q24" s="332"/>
      <c r="R24" s="333"/>
      <c r="S24" s="333"/>
      <c r="T24" s="333"/>
      <c r="U24" s="333"/>
      <c r="V24" s="333"/>
      <c r="W24" s="333"/>
      <c r="X24" s="333"/>
    </row>
    <row hidden="true" r="25">
      <c r="A25" s="311">
        <v>46178</v>
      </c>
      <c r="B25" s="312" t="s">
        <v>288</v>
      </c>
      <c r="C25" s="313" t="s">
        <v>280</v>
      </c>
      <c r="D25" s="314">
        <v>5</v>
      </c>
      <c r="E25" s="315">
        <v>48</v>
      </c>
      <c r="F25" s="316">
        <v>41</v>
      </c>
      <c r="G25" s="317">
        <v>27</v>
      </c>
      <c r="H25" s="317">
        <v>24</v>
      </c>
      <c r="I25" s="317">
        <v>7</v>
      </c>
      <c r="J25" s="318">
        <v>41690</v>
      </c>
      <c r="K25" s="317">
        <v>19937.25</v>
      </c>
      <c r="L25" s="319">
        <f t="shared" si="0"/>
      </c>
      <c r="M25" s="319">
        <f t="shared" si="20"/>
      </c>
      <c r="N25" s="319">
        <f t="shared" si="5"/>
      </c>
      <c r="O25" s="314" t="s">
        <v>291</v>
      </c>
      <c r="P25" s="317">
        <v>10</v>
      </c>
      <c r="Q25" s="320"/>
      <c r="R25" s="321"/>
      <c r="S25" s="321"/>
      <c r="T25" s="321"/>
      <c r="U25" s="321"/>
      <c r="V25" s="321"/>
      <c r="W25" s="321"/>
      <c r="X25" s="321"/>
    </row>
    <row hidden="true" r="26">
      <c r="A26" s="311">
        <v>46178</v>
      </c>
      <c r="B26" s="315" t="s">
        <v>299</v>
      </c>
      <c r="C26" s="313" t="s">
        <v>300</v>
      </c>
      <c r="D26" s="317">
        <v>2</v>
      </c>
      <c r="E26" s="317">
        <v>17</v>
      </c>
      <c r="F26" s="317">
        <v>12</v>
      </c>
      <c r="G26" s="317">
        <v>9</v>
      </c>
      <c r="H26" s="317">
        <v>6</v>
      </c>
      <c r="I26" s="317">
        <v>4</v>
      </c>
      <c r="J26" s="318">
        <v>12993.600000000002</v>
      </c>
      <c r="K26" s="318">
        <v>8098.0599999999995</v>
      </c>
      <c r="L26" s="319">
        <f t="shared" si="0"/>
      </c>
      <c r="M26" s="319">
        <f t="shared" si="20"/>
      </c>
      <c r="N26" s="319">
        <f t="shared" si="5"/>
      </c>
      <c r="O26" s="322"/>
      <c r="P26" s="322"/>
      <c r="Q26" s="323"/>
      <c r="R26" s="324"/>
      <c r="S26" s="324"/>
      <c r="T26" s="324"/>
      <c r="U26" s="324"/>
      <c r="V26" s="324"/>
      <c r="W26" s="324"/>
      <c r="X26" s="324"/>
    </row>
    <row hidden="true" r="27">
      <c r="A27" s="311">
        <v>46178</v>
      </c>
      <c r="B27" s="312" t="s">
        <v>284</v>
      </c>
      <c r="C27" s="325" t="s">
        <v>301</v>
      </c>
      <c r="D27" s="317">
        <v>4</v>
      </c>
      <c r="E27" s="317">
        <v>40</v>
      </c>
      <c r="F27" s="317">
        <v>32</v>
      </c>
      <c r="G27" s="317">
        <v>16</v>
      </c>
      <c r="H27" s="317">
        <v>16</v>
      </c>
      <c r="I27" s="317">
        <v>6</v>
      </c>
      <c r="J27" s="318">
        <v>28892.999999999996</v>
      </c>
      <c r="K27" s="318">
        <v>10535</v>
      </c>
      <c r="L27" s="319">
        <f t="shared" si="0"/>
      </c>
      <c r="M27" s="319">
        <f t="shared" si="20"/>
      </c>
      <c r="N27" s="319">
        <f t="shared" si="5"/>
      </c>
      <c r="O27" s="326"/>
      <c r="P27" s="327"/>
      <c r="Q27" s="323"/>
      <c r="R27" s="324"/>
      <c r="S27" s="324"/>
      <c r="T27" s="324"/>
      <c r="U27" s="324"/>
      <c r="V27" s="324"/>
      <c r="W27" s="324"/>
      <c r="X27" s="324"/>
    </row>
    <row hidden="true" r="28">
      <c r="A28" s="311">
        <v>46178</v>
      </c>
      <c r="B28" s="312" t="s">
        <v>282</v>
      </c>
      <c r="C28" s="325" t="s">
        <v>302</v>
      </c>
      <c r="D28" s="317">
        <v>4</v>
      </c>
      <c r="E28" s="317">
        <v>29</v>
      </c>
      <c r="F28" s="317">
        <v>26</v>
      </c>
      <c r="G28" s="317">
        <v>22</v>
      </c>
      <c r="H28" s="317">
        <v>17</v>
      </c>
      <c r="I28" s="317">
        <v>2</v>
      </c>
      <c r="J28" s="318">
        <v>23359.399999999987</v>
      </c>
      <c r="K28" s="318">
        <v>16583.91</v>
      </c>
      <c r="L28" s="319">
        <f t="shared" si="0"/>
      </c>
      <c r="M28" s="319">
        <f t="shared" si="20"/>
      </c>
      <c r="N28" s="319">
        <f t="shared" si="5"/>
      </c>
      <c r="O28" s="326"/>
      <c r="P28" s="327"/>
      <c r="Q28" s="323"/>
      <c r="R28" s="324"/>
      <c r="S28" s="324"/>
      <c r="T28" s="324"/>
      <c r="U28" s="324"/>
      <c r="V28" s="324"/>
      <c r="W28" s="324"/>
      <c r="X28" s="324"/>
    </row>
    <row hidden="true" r="29">
      <c r="A29" s="311">
        <v>46178</v>
      </c>
      <c r="B29" s="312" t="s">
        <v>279</v>
      </c>
      <c r="C29" s="325" t="s">
        <v>289</v>
      </c>
      <c r="D29" s="317">
        <v>5</v>
      </c>
      <c r="E29" s="317">
        <v>45</v>
      </c>
      <c r="F29" s="317">
        <v>35</v>
      </c>
      <c r="G29" s="317">
        <v>30</v>
      </c>
      <c r="H29" s="317">
        <v>25</v>
      </c>
      <c r="I29" s="317">
        <v>5</v>
      </c>
      <c r="J29" s="318">
        <v>28649.000000000015</v>
      </c>
      <c r="K29" s="318">
        <v>14825.809999999998</v>
      </c>
      <c r="L29" s="319">
        <f t="shared" si="0"/>
      </c>
      <c r="M29" s="319">
        <f t="shared" si="20"/>
      </c>
      <c r="N29" s="319">
        <f>K29/H29</f>
      </c>
      <c r="O29" s="314" t="s">
        <v>290</v>
      </c>
      <c r="P29" s="317">
        <v>10</v>
      </c>
      <c r="Q29" s="322"/>
      <c r="R29" s="328"/>
      <c r="S29" s="328"/>
      <c r="T29" s="328"/>
      <c r="U29" s="328"/>
      <c r="V29" s="328"/>
      <c r="W29" s="328"/>
      <c r="X29" s="328"/>
    </row>
    <row r="30">
      <c r="A30" s="329">
        <v>46178</v>
      </c>
      <c r="B30" s="330"/>
      <c r="C30" s="330"/>
      <c r="D30" s="330">
        <f>SUM(D25:D29)</f>
      </c>
      <c r="E30" s="330">
        <f>SUM(E25:E29)</f>
      </c>
      <c r="F30" s="330">
        <f>SUM(F25:F29)</f>
      </c>
      <c r="G30" s="330">
        <f>SUM(G25:G29)</f>
      </c>
      <c r="H30" s="330">
        <f>SUM(H25:H29)</f>
      </c>
      <c r="I30" s="330">
        <f>SUM(I25:I29)</f>
      </c>
      <c r="J30" s="330">
        <f>SUM(J25:J29)</f>
      </c>
      <c r="K30" s="330">
        <f>SUM(K25:K29)</f>
      </c>
      <c r="L30" s="331">
        <f t="shared" si="0"/>
      </c>
      <c r="M30" s="331">
        <f t="shared" si="20"/>
      </c>
      <c r="N30" s="331">
        <f t="shared" ref="N30:N34" si="6">K30/F30</f>
      </c>
      <c r="O30" s="332"/>
      <c r="P30" s="330">
        <f>P25+P26+P28+P29</f>
      </c>
      <c r="Q30" s="332"/>
      <c r="R30" s="333"/>
      <c r="S30" s="333"/>
      <c r="T30" s="333"/>
      <c r="U30" s="333"/>
      <c r="V30" s="333"/>
      <c r="W30" s="333"/>
      <c r="X30" s="333"/>
    </row>
    <row hidden="true" r="31">
      <c r="A31" s="311">
        <v>46179</v>
      </c>
      <c r="B31" s="312" t="s">
        <v>288</v>
      </c>
      <c r="C31" s="313" t="s">
        <v>280</v>
      </c>
      <c r="D31" s="314">
        <v>5</v>
      </c>
      <c r="E31" s="315">
        <v>51</v>
      </c>
      <c r="F31" s="316">
        <v>43</v>
      </c>
      <c r="G31" s="317">
        <v>30</v>
      </c>
      <c r="H31" s="317">
        <v>32</v>
      </c>
      <c r="I31" s="317">
        <v>5</v>
      </c>
      <c r="J31" s="318">
        <v>39904.8</v>
      </c>
      <c r="K31" s="317">
        <v>21537.61</v>
      </c>
      <c r="L31" s="319">
        <f t="shared" si="0"/>
      </c>
      <c r="M31" s="319">
        <f t="shared" si="20"/>
      </c>
      <c r="N31" s="319">
        <f t="shared" si="6"/>
      </c>
      <c r="O31" s="314" t="s">
        <v>281</v>
      </c>
      <c r="P31" s="317">
        <v>10</v>
      </c>
      <c r="Q31" s="320"/>
      <c r="R31" s="321"/>
      <c r="S31" s="321"/>
      <c r="T31" s="321"/>
      <c r="U31" s="321"/>
      <c r="V31" s="321"/>
      <c r="W31" s="321"/>
      <c r="X31" s="321"/>
    </row>
    <row hidden="true" r="32">
      <c r="A32" s="311">
        <v>46179</v>
      </c>
      <c r="B32" s="315" t="s">
        <v>299</v>
      </c>
      <c r="C32" s="313" t="s">
        <v>300</v>
      </c>
      <c r="D32" s="317">
        <v>2</v>
      </c>
      <c r="E32" s="317">
        <v>21</v>
      </c>
      <c r="F32" s="317">
        <v>17</v>
      </c>
      <c r="G32" s="317">
        <v>14</v>
      </c>
      <c r="H32" s="317">
        <v>11</v>
      </c>
      <c r="I32" s="317">
        <v>2</v>
      </c>
      <c r="J32" s="318">
        <v>13480.599999999999</v>
      </c>
      <c r="K32" s="318">
        <v>9498.17</v>
      </c>
      <c r="L32" s="319">
        <f t="shared" si="0"/>
      </c>
      <c r="M32" s="319">
        <f t="shared" si="20"/>
      </c>
      <c r="N32" s="319">
        <f t="shared" si="6"/>
      </c>
      <c r="O32" s="322"/>
      <c r="P32" s="322"/>
      <c r="Q32" s="323"/>
      <c r="R32" s="324"/>
      <c r="S32" s="324"/>
      <c r="T32" s="324"/>
      <c r="U32" s="324"/>
      <c r="V32" s="324"/>
      <c r="W32" s="324"/>
      <c r="X32" s="324"/>
    </row>
    <row hidden="true" r="33">
      <c r="A33" s="311">
        <v>46179</v>
      </c>
      <c r="B33" s="312" t="s">
        <v>296</v>
      </c>
      <c r="C33" s="325" t="s">
        <v>301</v>
      </c>
      <c r="D33" s="317">
        <v>4</v>
      </c>
      <c r="E33" s="317">
        <v>31</v>
      </c>
      <c r="F33" s="317">
        <v>28</v>
      </c>
      <c r="G33" s="317">
        <v>19</v>
      </c>
      <c r="H33" s="317">
        <v>18</v>
      </c>
      <c r="I33" s="317">
        <v>3</v>
      </c>
      <c r="J33" s="318">
        <v>25464.599999999995</v>
      </c>
      <c r="K33" s="318">
        <v>13557.869999999999</v>
      </c>
      <c r="L33" s="319">
        <f t="shared" si="0"/>
      </c>
      <c r="M33" s="319">
        <f t="shared" si="20"/>
      </c>
      <c r="N33" s="319">
        <f t="shared" si="6"/>
      </c>
      <c r="O33" s="326"/>
      <c r="P33" s="327"/>
      <c r="Q33" s="323"/>
      <c r="R33" s="324"/>
      <c r="S33" s="324"/>
      <c r="T33" s="324"/>
      <c r="U33" s="324"/>
      <c r="V33" s="324"/>
      <c r="W33" s="324"/>
      <c r="X33" s="324"/>
    </row>
    <row hidden="true" r="34">
      <c r="A34" s="311">
        <v>46179</v>
      </c>
      <c r="B34" s="312" t="s">
        <v>282</v>
      </c>
      <c r="C34" s="325" t="s">
        <v>302</v>
      </c>
      <c r="D34" s="317">
        <v>4</v>
      </c>
      <c r="E34" s="317">
        <v>37</v>
      </c>
      <c r="F34" s="317">
        <v>32</v>
      </c>
      <c r="G34" s="317">
        <v>28</v>
      </c>
      <c r="H34" s="317">
        <v>16</v>
      </c>
      <c r="I34" s="317">
        <v>2</v>
      </c>
      <c r="J34" s="318">
        <v>28560.8</v>
      </c>
      <c r="K34" s="318">
        <v>19044.89</v>
      </c>
      <c r="L34" s="319">
        <f t="shared" si="0"/>
      </c>
      <c r="M34" s="319">
        <f t="shared" si="20"/>
      </c>
      <c r="N34" s="319">
        <f t="shared" si="6"/>
      </c>
      <c r="O34" s="326"/>
      <c r="P34" s="327"/>
      <c r="Q34" s="323"/>
      <c r="R34" s="324"/>
      <c r="S34" s="324"/>
      <c r="T34" s="324"/>
      <c r="U34" s="324"/>
      <c r="V34" s="324"/>
      <c r="W34" s="324"/>
      <c r="X34" s="324"/>
    </row>
    <row hidden="true" r="35">
      <c r="A35" s="311">
        <v>46179</v>
      </c>
      <c r="B35" s="312" t="s">
        <v>279</v>
      </c>
      <c r="C35" s="325" t="s">
        <v>289</v>
      </c>
      <c r="D35" s="317">
        <v>5</v>
      </c>
      <c r="E35" s="317">
        <v>40</v>
      </c>
      <c r="F35" s="317">
        <v>32</v>
      </c>
      <c r="G35" s="317">
        <v>28</v>
      </c>
      <c r="H35" s="317">
        <v>23</v>
      </c>
      <c r="I35" s="317">
        <v>2</v>
      </c>
      <c r="J35" s="318">
        <v>27648.19999999999</v>
      </c>
      <c r="K35" s="318">
        <v>17739.190000000002</v>
      </c>
      <c r="L35" s="319">
        <f t="shared" si="0"/>
      </c>
      <c r="M35" s="319">
        <f t="shared" si="20"/>
      </c>
      <c r="N35" s="319">
        <f>K35/H35</f>
      </c>
      <c r="O35" s="314" t="s">
        <v>290</v>
      </c>
      <c r="P35" s="317">
        <v>10</v>
      </c>
      <c r="Q35" s="322"/>
      <c r="R35" s="328"/>
      <c r="S35" s="328"/>
      <c r="T35" s="328"/>
      <c r="U35" s="328"/>
      <c r="V35" s="328"/>
      <c r="W35" s="328"/>
      <c r="X35" s="328"/>
    </row>
    <row r="36">
      <c r="A36" s="329">
        <v>46179</v>
      </c>
      <c r="B36" s="330"/>
      <c r="C36" s="330"/>
      <c r="D36" s="330">
        <f>SUM(D31:D35)</f>
      </c>
      <c r="E36" s="330">
        <f>SUM(E31:E35)</f>
      </c>
      <c r="F36" s="330">
        <f>SUM(F31:F35)</f>
      </c>
      <c r="G36" s="330">
        <f>SUM(G31:G35)</f>
      </c>
      <c r="H36" s="330">
        <f>SUM(H31:H35)</f>
      </c>
      <c r="I36" s="330">
        <f>SUM(I31:I35)</f>
      </c>
      <c r="J36" s="330">
        <f>SUM(J31:J35)</f>
      </c>
      <c r="K36" s="330">
        <f>SUM(K31:K35)</f>
      </c>
      <c r="L36" s="331">
        <f t="shared" si="0"/>
      </c>
      <c r="M36" s="331">
        <f t="shared" si="20"/>
      </c>
      <c r="N36" s="331">
        <f t="shared" ref="N36:N40" si="7">K36/F36</f>
      </c>
      <c r="O36" s="332"/>
      <c r="P36" s="330">
        <f>P31+P32+P34+P35</f>
      </c>
      <c r="Q36" s="332"/>
      <c r="R36" s="333"/>
      <c r="S36" s="333"/>
      <c r="T36" s="333"/>
      <c r="U36" s="333"/>
      <c r="V36" s="333"/>
      <c r="W36" s="333"/>
      <c r="X36" s="333"/>
    </row>
    <row hidden="true" r="37">
      <c r="A37" s="311">
        <v>46180</v>
      </c>
      <c r="B37" s="312" t="s">
        <v>288</v>
      </c>
      <c r="C37" s="313" t="s">
        <v>280</v>
      </c>
      <c r="D37" s="314">
        <v>5</v>
      </c>
      <c r="E37" s="315">
        <v>51</v>
      </c>
      <c r="F37" s="316">
        <v>41</v>
      </c>
      <c r="G37" s="317">
        <v>30</v>
      </c>
      <c r="H37" s="317">
        <v>33</v>
      </c>
      <c r="I37" s="317">
        <v>2</v>
      </c>
      <c r="J37" s="318">
        <v>37365.8</v>
      </c>
      <c r="K37" s="317">
        <v>23149.86</v>
      </c>
      <c r="L37" s="319">
        <f t="shared" si="0"/>
      </c>
      <c r="M37" s="319">
        <f t="shared" si="20"/>
      </c>
      <c r="N37" s="319">
        <f t="shared" si="7"/>
      </c>
      <c r="O37" s="314" t="s">
        <v>281</v>
      </c>
      <c r="P37" s="317">
        <v>10</v>
      </c>
      <c r="Q37" s="320"/>
      <c r="R37" s="321"/>
      <c r="S37" s="321"/>
      <c r="T37" s="321"/>
      <c r="U37" s="321"/>
      <c r="V37" s="321"/>
      <c r="W37" s="321"/>
      <c r="X37" s="321"/>
    </row>
    <row hidden="true" r="38">
      <c r="A38" s="311">
        <v>46180</v>
      </c>
      <c r="B38" s="315" t="s">
        <v>299</v>
      </c>
      <c r="C38" s="313" t="s">
        <v>300</v>
      </c>
      <c r="D38" s="317">
        <v>2</v>
      </c>
      <c r="E38" s="317">
        <v>22</v>
      </c>
      <c r="F38" s="317">
        <v>16</v>
      </c>
      <c r="G38" s="317">
        <v>14</v>
      </c>
      <c r="H38" s="317">
        <v>10</v>
      </c>
      <c r="I38" s="317">
        <v>2</v>
      </c>
      <c r="J38" s="318">
        <v>12341.2</v>
      </c>
      <c r="K38" s="318">
        <v>8518.67</v>
      </c>
      <c r="L38" s="319">
        <f t="shared" si="0"/>
      </c>
      <c r="M38" s="319">
        <f t="shared" si="20"/>
      </c>
      <c r="N38" s="319">
        <f t="shared" si="7"/>
      </c>
      <c r="O38" s="322"/>
      <c r="P38" s="322"/>
      <c r="Q38" s="323"/>
      <c r="R38" s="324"/>
      <c r="S38" s="324"/>
      <c r="T38" s="324"/>
      <c r="U38" s="324"/>
      <c r="V38" s="324"/>
      <c r="W38" s="324"/>
      <c r="X38" s="324"/>
    </row>
    <row hidden="true" r="39">
      <c r="A39" s="311">
        <v>46180</v>
      </c>
      <c r="B39" s="312" t="s">
        <v>279</v>
      </c>
      <c r="C39" s="325" t="s">
        <v>301</v>
      </c>
      <c r="D39" s="317">
        <v>4</v>
      </c>
      <c r="E39" s="317">
        <v>36</v>
      </c>
      <c r="F39" s="317">
        <v>29</v>
      </c>
      <c r="G39" s="317">
        <v>28</v>
      </c>
      <c r="H39" s="317">
        <v>18</v>
      </c>
      <c r="I39" s="317">
        <v>1</v>
      </c>
      <c r="J39" s="318">
        <v>34338.899999999994</v>
      </c>
      <c r="K39" s="318">
        <v>20063.949999999997</v>
      </c>
      <c r="L39" s="319">
        <f t="shared" si="0"/>
      </c>
      <c r="M39" s="319">
        <f t="shared" si="20"/>
      </c>
      <c r="N39" s="319">
        <f t="shared" si="7"/>
      </c>
      <c r="O39" s="326"/>
      <c r="P39" s="327"/>
      <c r="Q39" s="323"/>
      <c r="R39" s="324"/>
      <c r="S39" s="324"/>
      <c r="T39" s="324"/>
      <c r="U39" s="324"/>
      <c r="V39" s="324"/>
      <c r="W39" s="324"/>
      <c r="X39" s="324"/>
    </row>
    <row hidden="true" r="40">
      <c r="A40" s="311">
        <v>46180</v>
      </c>
      <c r="B40" s="312" t="s">
        <v>296</v>
      </c>
      <c r="C40" s="325" t="s">
        <v>302</v>
      </c>
      <c r="D40" s="317">
        <v>4</v>
      </c>
      <c r="E40" s="317">
        <v>24</v>
      </c>
      <c r="F40" s="317">
        <v>13</v>
      </c>
      <c r="G40" s="317">
        <v>13</v>
      </c>
      <c r="H40" s="317">
        <v>6</v>
      </c>
      <c r="I40" s="317">
        <v>0</v>
      </c>
      <c r="J40" s="318">
        <v>11824.800000000007</v>
      </c>
      <c r="K40" s="318">
        <v>12246.98</v>
      </c>
      <c r="L40" s="319">
        <f t="shared" si="0"/>
      </c>
      <c r="M40" s="319">
        <f t="shared" si="20"/>
      </c>
      <c r="N40" s="319">
        <f t="shared" si="7"/>
      </c>
      <c r="O40" s="326"/>
      <c r="P40" s="327"/>
      <c r="Q40" s="323"/>
      <c r="R40" s="324"/>
      <c r="S40" s="324"/>
      <c r="T40" s="324"/>
      <c r="U40" s="324"/>
      <c r="V40" s="324"/>
      <c r="W40" s="324"/>
      <c r="X40" s="324"/>
    </row>
    <row hidden="true" r="41">
      <c r="A41" s="311">
        <v>46180</v>
      </c>
      <c r="B41" s="312" t="s">
        <v>284</v>
      </c>
      <c r="C41" s="325" t="s">
        <v>289</v>
      </c>
      <c r="D41" s="317">
        <v>5</v>
      </c>
      <c r="E41" s="317">
        <v>47</v>
      </c>
      <c r="F41" s="317">
        <v>36</v>
      </c>
      <c r="G41" s="317">
        <v>25</v>
      </c>
      <c r="H41" s="317">
        <v>24</v>
      </c>
      <c r="I41" s="317">
        <v>3</v>
      </c>
      <c r="J41" s="318">
        <v>40375.69999999999</v>
      </c>
      <c r="K41" s="318">
        <v>16644.449999999997</v>
      </c>
      <c r="L41" s="319">
        <f t="shared" si="0"/>
      </c>
      <c r="M41" s="319">
        <f t="shared" si="20"/>
      </c>
      <c r="N41" s="319">
        <f>K41/H41</f>
      </c>
      <c r="O41" s="314" t="s">
        <v>290</v>
      </c>
      <c r="P41" s="317">
        <v>10</v>
      </c>
      <c r="Q41" s="322"/>
      <c r="R41" s="328"/>
      <c r="S41" s="328"/>
      <c r="T41" s="328"/>
      <c r="U41" s="328"/>
      <c r="V41" s="328"/>
      <c r="W41" s="328"/>
      <c r="X41" s="328"/>
    </row>
    <row r="42">
      <c r="A42" s="329">
        <v>46180</v>
      </c>
      <c r="B42" s="330"/>
      <c r="C42" s="330"/>
      <c r="D42" s="330">
        <f>SUM(D37:D41)</f>
      </c>
      <c r="E42" s="330">
        <f>SUM(E37:E41)</f>
      </c>
      <c r="F42" s="330">
        <f>SUM(F37:F41)</f>
      </c>
      <c r="G42" s="330">
        <f>SUM(G37:G41)</f>
      </c>
      <c r="H42" s="330">
        <f>SUM(H37:H41)</f>
      </c>
      <c r="I42" s="330">
        <f>SUM(I37:I41)</f>
      </c>
      <c r="J42" s="330">
        <f>SUM(J37:J41)</f>
      </c>
      <c r="K42" s="330">
        <f>SUM(K37:K41)</f>
      </c>
      <c r="L42" s="331">
        <f t="shared" si="0"/>
      </c>
      <c r="M42" s="331">
        <f t="shared" si="20"/>
      </c>
      <c r="N42" s="331">
        <f t="shared" ref="N42:N46" si="8">K42/F42</f>
      </c>
      <c r="O42" s="332"/>
      <c r="P42" s="330">
        <f>P37+P38+P40+P41</f>
      </c>
      <c r="Q42" s="332"/>
      <c r="R42" s="333"/>
      <c r="S42" s="333"/>
      <c r="T42" s="333"/>
      <c r="U42" s="333"/>
      <c r="V42" s="333"/>
      <c r="W42" s="333"/>
      <c r="X42" s="333"/>
    </row>
    <row hidden="true" r="43">
      <c r="A43" s="311">
        <v>46181</v>
      </c>
      <c r="B43" s="312" t="s">
        <v>288</v>
      </c>
      <c r="C43" s="313" t="s">
        <v>280</v>
      </c>
      <c r="D43" s="314">
        <v>5</v>
      </c>
      <c r="E43" s="315">
        <v>78</v>
      </c>
      <c r="F43" s="316">
        <v>60</v>
      </c>
      <c r="G43" s="317">
        <v>45</v>
      </c>
      <c r="H43" s="317">
        <v>33</v>
      </c>
      <c r="I43" s="317">
        <v>5</v>
      </c>
      <c r="J43" s="318">
        <v>56693.8</v>
      </c>
      <c r="K43" s="317">
        <v>27368.95</v>
      </c>
      <c r="L43" s="319">
        <f t="shared" si="0"/>
      </c>
      <c r="M43" s="319">
        <f t="shared" si="20"/>
      </c>
      <c r="N43" s="319">
        <f t="shared" si="8"/>
      </c>
      <c r="O43" s="314" t="s">
        <v>281</v>
      </c>
      <c r="P43" s="317">
        <v>10</v>
      </c>
      <c r="Q43" s="320"/>
      <c r="R43" s="321"/>
      <c r="S43" s="321"/>
      <c r="T43" s="321"/>
      <c r="U43" s="321"/>
      <c r="V43" s="321"/>
      <c r="W43" s="321"/>
      <c r="X43" s="321"/>
    </row>
    <row hidden="true" r="44">
      <c r="A44" s="311">
        <v>46181</v>
      </c>
      <c r="B44" s="315" t="s">
        <v>299</v>
      </c>
      <c r="C44" s="313" t="s">
        <v>300</v>
      </c>
      <c r="D44" s="317">
        <v>2</v>
      </c>
      <c r="E44" s="317">
        <v>27</v>
      </c>
      <c r="F44" s="317">
        <v>22</v>
      </c>
      <c r="G44" s="317">
        <v>16</v>
      </c>
      <c r="H44" s="317">
        <v>17</v>
      </c>
      <c r="I44" s="317">
        <v>3</v>
      </c>
      <c r="J44" s="318">
        <v>17778.199999999997</v>
      </c>
      <c r="K44" s="318">
        <v>10110.93</v>
      </c>
      <c r="L44" s="319">
        <f t="shared" si="0"/>
      </c>
      <c r="M44" s="319">
        <f t="shared" si="20"/>
      </c>
      <c r="N44" s="319">
        <f t="shared" si="8"/>
      </c>
      <c r="O44" s="322"/>
      <c r="P44" s="322"/>
      <c r="Q44" s="323"/>
      <c r="R44" s="324"/>
      <c r="S44" s="324"/>
      <c r="T44" s="324"/>
      <c r="U44" s="324"/>
      <c r="V44" s="324"/>
      <c r="W44" s="324"/>
      <c r="X44" s="324"/>
    </row>
    <row hidden="true" r="45">
      <c r="A45" s="311">
        <v>46181</v>
      </c>
      <c r="B45" s="312" t="s">
        <v>279</v>
      </c>
      <c r="C45" s="325" t="s">
        <v>301</v>
      </c>
      <c r="D45" s="317">
        <v>4</v>
      </c>
      <c r="E45" s="317">
        <v>67</v>
      </c>
      <c r="F45" s="317">
        <v>53</v>
      </c>
      <c r="G45" s="317">
        <v>32</v>
      </c>
      <c r="H45" s="317">
        <v>32</v>
      </c>
      <c r="I45" s="317">
        <v>7</v>
      </c>
      <c r="J45" s="318">
        <v>52849.6</v>
      </c>
      <c r="K45" s="318">
        <v>22520.18</v>
      </c>
      <c r="L45" s="319">
        <f t="shared" si="0"/>
      </c>
      <c r="M45" s="319">
        <f t="shared" si="20"/>
      </c>
      <c r="N45" s="319">
        <f t="shared" si="8"/>
      </c>
      <c r="O45" s="326"/>
      <c r="P45" s="327"/>
      <c r="Q45" s="323"/>
      <c r="R45" s="324"/>
      <c r="S45" s="324"/>
      <c r="T45" s="324"/>
      <c r="U45" s="324"/>
      <c r="V45" s="324"/>
      <c r="W45" s="324"/>
      <c r="X45" s="324"/>
    </row>
    <row hidden="true" r="46">
      <c r="A46" s="311">
        <v>46181</v>
      </c>
      <c r="B46" s="312" t="s">
        <v>284</v>
      </c>
      <c r="C46" s="325" t="s">
        <v>302</v>
      </c>
      <c r="D46" s="317">
        <v>4</v>
      </c>
      <c r="E46" s="317">
        <v>53</v>
      </c>
      <c r="F46" s="317">
        <v>42</v>
      </c>
      <c r="G46" s="317">
        <v>26</v>
      </c>
      <c r="H46" s="317">
        <v>28</v>
      </c>
      <c r="I46" s="317">
        <v>4</v>
      </c>
      <c r="J46" s="318">
        <v>32908.4</v>
      </c>
      <c r="K46" s="318">
        <v>16653.72</v>
      </c>
      <c r="L46" s="319">
        <f t="shared" si="0"/>
      </c>
      <c r="M46" s="319">
        <f t="shared" si="20"/>
      </c>
      <c r="N46" s="319">
        <f t="shared" si="8"/>
      </c>
      <c r="O46" s="326"/>
      <c r="P46" s="327"/>
      <c r="Q46" s="323"/>
      <c r="R46" s="324"/>
      <c r="S46" s="324"/>
      <c r="T46" s="324"/>
      <c r="U46" s="324"/>
      <c r="V46" s="324"/>
      <c r="W46" s="324"/>
      <c r="X46" s="324"/>
    </row>
    <row hidden="true" r="47">
      <c r="A47" s="311">
        <v>46181</v>
      </c>
      <c r="B47" s="312" t="s">
        <v>282</v>
      </c>
      <c r="C47" s="325" t="s">
        <v>289</v>
      </c>
      <c r="D47" s="317">
        <v>5</v>
      </c>
      <c r="E47" s="317">
        <v>32</v>
      </c>
      <c r="F47" s="317">
        <v>26</v>
      </c>
      <c r="G47" s="317">
        <v>20</v>
      </c>
      <c r="H47" s="317">
        <v>18</v>
      </c>
      <c r="I47" s="317">
        <v>2</v>
      </c>
      <c r="J47" s="318">
        <v>24880.199999999997</v>
      </c>
      <c r="K47" s="318">
        <v>16743.79</v>
      </c>
      <c r="L47" s="319">
        <f t="shared" si="0"/>
      </c>
      <c r="M47" s="319">
        <f t="shared" si="20"/>
      </c>
      <c r="N47" s="319">
        <f>K47/H47</f>
      </c>
      <c r="O47" s="314" t="s">
        <v>290</v>
      </c>
      <c r="P47" s="317">
        <v>10</v>
      </c>
      <c r="Q47" s="322"/>
      <c r="R47" s="328"/>
      <c r="S47" s="328"/>
      <c r="T47" s="328"/>
      <c r="U47" s="328"/>
      <c r="V47" s="328"/>
      <c r="W47" s="328"/>
      <c r="X47" s="328"/>
    </row>
    <row r="48">
      <c r="A48" s="329">
        <v>46181</v>
      </c>
      <c r="B48" s="330"/>
      <c r="C48" s="330"/>
      <c r="D48" s="330">
        <f>SUM(D43:D47)</f>
      </c>
      <c r="E48" s="330">
        <f>SUM(E43:E47)</f>
      </c>
      <c r="F48" s="330">
        <f>SUM(F43:F47)</f>
      </c>
      <c r="G48" s="330">
        <f>SUM(G43:G47)</f>
      </c>
      <c r="H48" s="330">
        <f>SUM(H43:H47)</f>
      </c>
      <c r="I48" s="330">
        <f>SUM(I43:I47)</f>
      </c>
      <c r="J48" s="330">
        <f>SUM(J43:J47)</f>
      </c>
      <c r="K48" s="330">
        <f>SUM(K43:K47)</f>
      </c>
      <c r="L48" s="331">
        <f t="shared" si="0"/>
      </c>
      <c r="M48" s="331">
        <f t="shared" si="20"/>
      </c>
      <c r="N48" s="331">
        <f t="shared" ref="N48:N51" si="9">K48/F48</f>
      </c>
      <c r="O48" s="332"/>
      <c r="P48" s="330">
        <f>P43+P44+P46+P47</f>
      </c>
      <c r="Q48" s="332"/>
      <c r="R48" s="333"/>
      <c r="S48" s="333"/>
      <c r="T48" s="333"/>
      <c r="U48" s="333"/>
      <c r="V48" s="333"/>
      <c r="W48" s="333"/>
      <c r="X48" s="333"/>
    </row>
    <row hidden="true" r="49">
      <c r="A49" s="334">
        <v>46182</v>
      </c>
      <c r="B49" s="317" t="s">
        <v>288</v>
      </c>
      <c r="C49" s="335" t="s">
        <v>280</v>
      </c>
      <c r="D49" s="326">
        <v>5</v>
      </c>
      <c r="E49" s="315">
        <v>52</v>
      </c>
      <c r="F49" s="316">
        <v>41</v>
      </c>
      <c r="G49" s="317">
        <v>26</v>
      </c>
      <c r="H49" s="317">
        <v>29</v>
      </c>
      <c r="I49" s="317">
        <v>5</v>
      </c>
      <c r="J49" s="336">
        <v>35141.2</v>
      </c>
      <c r="K49" s="327">
        <v>21798.909999999996</v>
      </c>
      <c r="L49" s="319">
        <f t="shared" si="0"/>
      </c>
      <c r="M49" s="319">
        <f t="shared" si="20"/>
      </c>
      <c r="N49" s="319">
        <f t="shared" si="9"/>
      </c>
      <c r="O49" s="314" t="s">
        <v>291</v>
      </c>
      <c r="P49" s="327">
        <v>10</v>
      </c>
      <c r="Q49" s="320"/>
      <c r="R49" s="321"/>
      <c r="S49" s="321"/>
      <c r="T49" s="321"/>
      <c r="U49" s="321"/>
      <c r="V49" s="321"/>
      <c r="W49" s="321"/>
      <c r="X49" s="321"/>
    </row>
    <row hidden="true" r="50">
      <c r="A50" s="334">
        <v>46182</v>
      </c>
      <c r="B50" s="312" t="s">
        <v>284</v>
      </c>
      <c r="C50" s="335" t="s">
        <v>297</v>
      </c>
      <c r="D50" s="327">
        <v>5</v>
      </c>
      <c r="E50" s="317">
        <v>61</v>
      </c>
      <c r="F50" s="317">
        <v>48</v>
      </c>
      <c r="G50" s="317">
        <v>39</v>
      </c>
      <c r="H50" s="317">
        <v>29</v>
      </c>
      <c r="I50" s="317">
        <v>6</v>
      </c>
      <c r="J50" s="337">
        <v>47936.2</v>
      </c>
      <c r="K50" s="337">
        <v>22985.1</v>
      </c>
      <c r="L50" s="319">
        <f t="shared" si="0"/>
      </c>
      <c r="M50" s="319">
        <f t="shared" si="20"/>
      </c>
      <c r="N50" s="319">
        <f t="shared" si="9"/>
      </c>
      <c r="O50" s="322"/>
      <c r="P50" s="322"/>
      <c r="Q50" s="323"/>
      <c r="R50" s="324"/>
      <c r="S50" s="324"/>
      <c r="T50" s="324"/>
      <c r="U50" s="324"/>
      <c r="V50" s="324"/>
      <c r="W50" s="324"/>
      <c r="X50" s="324"/>
    </row>
    <row hidden="true" r="51">
      <c r="A51" s="334">
        <v>46182</v>
      </c>
      <c r="B51" s="317" t="s">
        <v>279</v>
      </c>
      <c r="C51" s="335" t="s">
        <v>298</v>
      </c>
      <c r="D51" s="327">
        <v>5</v>
      </c>
      <c r="E51" s="317">
        <v>46</v>
      </c>
      <c r="F51" s="317">
        <v>36</v>
      </c>
      <c r="G51" s="317">
        <v>33</v>
      </c>
      <c r="H51" s="317">
        <v>25</v>
      </c>
      <c r="I51" s="317">
        <v>4</v>
      </c>
      <c r="J51" s="337">
        <v>30733.199999999997</v>
      </c>
      <c r="K51" s="337">
        <v>27548.87</v>
      </c>
      <c r="L51" s="319">
        <f t="shared" si="0"/>
      </c>
      <c r="M51" s="319">
        <f t="shared" si="20"/>
      </c>
      <c r="N51" s="319">
        <f t="shared" si="9"/>
      </c>
      <c r="O51" s="326"/>
      <c r="P51" s="327"/>
      <c r="Q51" s="323"/>
      <c r="R51" s="324"/>
      <c r="S51" s="324"/>
      <c r="T51" s="324"/>
      <c r="U51" s="324"/>
      <c r="V51" s="324"/>
      <c r="W51" s="324"/>
      <c r="X51" s="324"/>
    </row>
    <row hidden="true" r="52">
      <c r="A52" s="334">
        <v>46182</v>
      </c>
      <c r="B52" s="317" t="s">
        <v>282</v>
      </c>
      <c r="C52" s="335" t="s">
        <v>289</v>
      </c>
      <c r="D52" s="327">
        <v>5</v>
      </c>
      <c r="E52" s="317">
        <v>76</v>
      </c>
      <c r="F52" s="317">
        <v>66</v>
      </c>
      <c r="G52" s="317">
        <v>44</v>
      </c>
      <c r="H52" s="317">
        <v>38</v>
      </c>
      <c r="I52" s="317">
        <v>6</v>
      </c>
      <c r="J52" s="337">
        <v>60493.399999999994</v>
      </c>
      <c r="K52" s="318">
        <v>24630.079999999998</v>
      </c>
      <c r="L52" s="319">
        <f t="shared" si="0"/>
      </c>
      <c r="M52" s="319">
        <f t="shared" si="20"/>
      </c>
      <c r="N52" s="319">
        <f>K52/H52</f>
      </c>
      <c r="O52" s="314" t="s">
        <v>303</v>
      </c>
      <c r="P52" s="317">
        <v>10</v>
      </c>
      <c r="Q52" s="322"/>
      <c r="R52" s="328"/>
      <c r="S52" s="328"/>
      <c r="T52" s="328"/>
      <c r="U52" s="328"/>
      <c r="V52" s="328"/>
      <c r="W52" s="328"/>
      <c r="X52" s="328"/>
    </row>
    <row r="53">
      <c r="A53" s="329">
        <v>46182</v>
      </c>
      <c r="B53" s="330"/>
      <c r="C53" s="330"/>
      <c r="D53" s="330">
        <f>SUM(D49:D52)</f>
      </c>
      <c r="E53" s="330">
        <f>SUM(E49:E52)</f>
      </c>
      <c r="F53" s="330">
        <f>SUM(F49:F52)</f>
      </c>
      <c r="G53" s="330">
        <f>SUM(G49:G52)</f>
      </c>
      <c r="H53" s="330">
        <f>SUM(H49:H52)</f>
      </c>
      <c r="I53" s="330">
        <f>SUM(I49:I52)</f>
      </c>
      <c r="J53" s="330">
        <f>SUM(J49:J52)</f>
      </c>
      <c r="K53" s="330">
        <f>SUM(K49:K52)</f>
      </c>
      <c r="L53" s="331">
        <f t="shared" si="0"/>
      </c>
      <c r="M53" s="331">
        <f t="shared" si="20"/>
      </c>
      <c r="N53" s="331">
        <f t="shared" ref="N53:N57" si="10">K53/F53</f>
      </c>
      <c r="O53" s="332"/>
      <c r="P53" s="330">
        <f>P49+P50+P51+P52</f>
      </c>
      <c r="Q53" s="332"/>
      <c r="R53" s="333"/>
      <c r="S53" s="333"/>
      <c r="T53" s="333"/>
      <c r="U53" s="333"/>
      <c r="V53" s="333"/>
      <c r="W53" s="333"/>
      <c r="X53" s="333"/>
    </row>
    <row hidden="true" r="54">
      <c r="A54" s="311">
        <v>46183</v>
      </c>
      <c r="B54" s="312" t="s">
        <v>288</v>
      </c>
      <c r="C54" s="313" t="s">
        <v>280</v>
      </c>
      <c r="D54" s="314">
        <v>5</v>
      </c>
      <c r="E54" s="315">
        <v>67</v>
      </c>
      <c r="F54" s="316">
        <v>52</v>
      </c>
      <c r="G54" s="317">
        <v>39</v>
      </c>
      <c r="H54" s="317">
        <v>38</v>
      </c>
      <c r="I54" s="317">
        <v>5</v>
      </c>
      <c r="J54" s="318">
        <v>43851.4</v>
      </c>
      <c r="K54" s="317">
        <v>27027.089999999997</v>
      </c>
      <c r="L54" s="319">
        <f t="shared" si="0"/>
      </c>
      <c r="M54" s="319">
        <f t="shared" si="20"/>
      </c>
      <c r="N54" s="319">
        <f t="shared" si="10"/>
      </c>
      <c r="O54" s="314" t="s">
        <v>304</v>
      </c>
      <c r="P54" s="317">
        <v>10</v>
      </c>
      <c r="Q54" s="320"/>
      <c r="R54" s="321"/>
      <c r="S54" s="321"/>
      <c r="T54" s="321"/>
      <c r="U54" s="321"/>
      <c r="V54" s="321"/>
      <c r="W54" s="321"/>
      <c r="X54" s="321"/>
    </row>
    <row hidden="true" r="55">
      <c r="A55" s="311">
        <v>46183</v>
      </c>
      <c r="B55" s="315" t="s">
        <v>299</v>
      </c>
      <c r="C55" s="313" t="s">
        <v>300</v>
      </c>
      <c r="D55" s="317">
        <v>2</v>
      </c>
      <c r="E55" s="317">
        <v>25</v>
      </c>
      <c r="F55" s="317">
        <v>22</v>
      </c>
      <c r="G55" s="317">
        <v>22</v>
      </c>
      <c r="H55" s="317">
        <v>15</v>
      </c>
      <c r="I55" s="317">
        <v>2</v>
      </c>
      <c r="J55" s="318">
        <v>21823.3</v>
      </c>
      <c r="K55" s="318">
        <v>16233.43</v>
      </c>
      <c r="L55" s="319">
        <f t="shared" si="0"/>
      </c>
      <c r="M55" s="319">
        <f t="shared" si="20"/>
      </c>
      <c r="N55" s="319">
        <f t="shared" si="10"/>
      </c>
      <c r="O55" s="322"/>
      <c r="P55" s="322"/>
      <c r="Q55" s="323"/>
      <c r="R55" s="324"/>
      <c r="S55" s="324"/>
      <c r="T55" s="324"/>
      <c r="U55" s="324"/>
      <c r="V55" s="324"/>
      <c r="W55" s="324"/>
      <c r="X55" s="324"/>
    </row>
    <row hidden="true" r="56">
      <c r="A56" s="311">
        <v>46183</v>
      </c>
      <c r="B56" s="312" t="s">
        <v>279</v>
      </c>
      <c r="C56" s="325" t="s">
        <v>301</v>
      </c>
      <c r="D56" s="317">
        <v>4</v>
      </c>
      <c r="E56" s="317">
        <v>39</v>
      </c>
      <c r="F56" s="317">
        <v>28</v>
      </c>
      <c r="G56" s="317">
        <v>20</v>
      </c>
      <c r="H56" s="317">
        <v>18</v>
      </c>
      <c r="I56" s="317">
        <v>4</v>
      </c>
      <c r="J56" s="318">
        <v>25374.199999999997</v>
      </c>
      <c r="K56" s="318">
        <v>16552.11</v>
      </c>
      <c r="L56" s="319">
        <f t="shared" si="0"/>
      </c>
      <c r="M56" s="319">
        <f t="shared" si="20"/>
      </c>
      <c r="N56" s="319">
        <f t="shared" si="10"/>
      </c>
      <c r="O56" s="326"/>
      <c r="P56" s="327"/>
      <c r="Q56" s="323"/>
      <c r="R56" s="324"/>
      <c r="S56" s="324"/>
      <c r="T56" s="324"/>
      <c r="U56" s="324"/>
      <c r="V56" s="324"/>
      <c r="W56" s="324"/>
      <c r="X56" s="324"/>
    </row>
    <row hidden="true" r="57">
      <c r="A57" s="311">
        <v>46183</v>
      </c>
      <c r="B57" s="312" t="s">
        <v>282</v>
      </c>
      <c r="C57" s="325" t="s">
        <v>302</v>
      </c>
      <c r="D57" s="317">
        <v>4</v>
      </c>
      <c r="E57" s="317">
        <v>44</v>
      </c>
      <c r="F57" s="317">
        <v>33</v>
      </c>
      <c r="G57" s="317">
        <v>27</v>
      </c>
      <c r="H57" s="317">
        <v>23</v>
      </c>
      <c r="I57" s="317">
        <v>1</v>
      </c>
      <c r="J57" s="318">
        <v>28641.800000000003</v>
      </c>
      <c r="K57" s="318">
        <v>17239.97</v>
      </c>
      <c r="L57" s="319">
        <f t="shared" si="0"/>
      </c>
      <c r="M57" s="319">
        <f t="shared" si="20"/>
      </c>
      <c r="N57" s="319">
        <f t="shared" si="10"/>
      </c>
      <c r="O57" s="326"/>
      <c r="P57" s="327"/>
      <c r="Q57" s="323"/>
      <c r="R57" s="324"/>
      <c r="S57" s="324"/>
      <c r="T57" s="324"/>
      <c r="U57" s="324"/>
      <c r="V57" s="324"/>
      <c r="W57" s="324"/>
      <c r="X57" s="324"/>
    </row>
    <row hidden="true" r="58">
      <c r="A58" s="311">
        <v>46183</v>
      </c>
      <c r="B58" s="312" t="s">
        <v>296</v>
      </c>
      <c r="C58" s="325" t="s">
        <v>289</v>
      </c>
      <c r="D58" s="317">
        <v>5</v>
      </c>
      <c r="E58" s="317">
        <v>45</v>
      </c>
      <c r="F58" s="317">
        <v>34</v>
      </c>
      <c r="G58" s="317">
        <v>26</v>
      </c>
      <c r="H58" s="317">
        <v>23</v>
      </c>
      <c r="I58" s="317">
        <v>4</v>
      </c>
      <c r="J58" s="318">
        <v>26248.79999999998</v>
      </c>
      <c r="K58" s="318">
        <v>17837.14</v>
      </c>
      <c r="L58" s="319">
        <f t="shared" si="0"/>
      </c>
      <c r="M58" s="319">
        <f t="shared" si="20"/>
      </c>
      <c r="N58" s="319">
        <f>K58/H58</f>
      </c>
      <c r="O58" s="314" t="s">
        <v>303</v>
      </c>
      <c r="P58" s="317">
        <v>10</v>
      </c>
      <c r="Q58" s="322"/>
      <c r="R58" s="328"/>
      <c r="S58" s="328"/>
      <c r="T58" s="328"/>
      <c r="U58" s="328"/>
      <c r="V58" s="328"/>
      <c r="W58" s="328"/>
      <c r="X58" s="328"/>
    </row>
    <row r="59">
      <c r="A59" s="329">
        <v>46183</v>
      </c>
      <c r="B59" s="330"/>
      <c r="C59" s="330"/>
      <c r="D59" s="330">
        <f>SUM(D54:D58)</f>
      </c>
      <c r="E59" s="330">
        <f>SUM(E54:E58)</f>
      </c>
      <c r="F59" s="330">
        <f>SUM(F54:F58)</f>
      </c>
      <c r="G59" s="330">
        <f>SUM(G54:G58)</f>
      </c>
      <c r="H59" s="330">
        <f>SUM(H54:H58)</f>
      </c>
      <c r="I59" s="330">
        <f>SUM(I54:I58)</f>
      </c>
      <c r="J59" s="330">
        <f>SUM(J54:J58)</f>
      </c>
      <c r="K59" s="330">
        <f>SUM(K54:K58)</f>
      </c>
      <c r="L59" s="331">
        <f t="shared" si="0"/>
      </c>
      <c r="M59" s="331">
        <f t="shared" si="20"/>
      </c>
      <c r="N59" s="331">
        <f t="shared" ref="N59:N63" si="11">K59/F59</f>
      </c>
      <c r="O59" s="332"/>
      <c r="P59" s="330">
        <f>P54+P55+P57+P58</f>
      </c>
      <c r="Q59" s="332"/>
      <c r="R59" s="333"/>
      <c r="S59" s="333"/>
      <c r="T59" s="333"/>
      <c r="U59" s="333"/>
      <c r="V59" s="333"/>
      <c r="W59" s="333"/>
      <c r="X59" s="333"/>
    </row>
    <row hidden="true" r="60">
      <c r="A60" s="311">
        <v>46184</v>
      </c>
      <c r="B60" s="312" t="s">
        <v>288</v>
      </c>
      <c r="C60" s="313" t="s">
        <v>280</v>
      </c>
      <c r="D60" s="314">
        <v>5</v>
      </c>
      <c r="E60" s="315">
        <v>77</v>
      </c>
      <c r="F60" s="316">
        <v>70</v>
      </c>
      <c r="G60" s="317">
        <v>49</v>
      </c>
      <c r="H60" s="317">
        <v>45</v>
      </c>
      <c r="I60" s="317">
        <v>5</v>
      </c>
      <c r="J60" s="318">
        <v>61049.70000000001</v>
      </c>
      <c r="K60" s="317">
        <v>29888.519999999997</v>
      </c>
      <c r="L60" s="319">
        <f t="shared" si="0"/>
      </c>
      <c r="M60" s="319">
        <f t="shared" si="20"/>
      </c>
      <c r="N60" s="319">
        <f t="shared" si="11"/>
      </c>
      <c r="O60" s="314" t="s">
        <v>304</v>
      </c>
      <c r="P60" s="317">
        <v>10</v>
      </c>
      <c r="Q60" s="320"/>
      <c r="R60" s="321"/>
      <c r="S60" s="321"/>
      <c r="T60" s="321"/>
      <c r="U60" s="321"/>
      <c r="V60" s="321"/>
      <c r="W60" s="321"/>
      <c r="X60" s="321"/>
    </row>
    <row hidden="true" r="61">
      <c r="A61" s="311">
        <v>46184</v>
      </c>
      <c r="B61" s="315" t="s">
        <v>299</v>
      </c>
      <c r="C61" s="313" t="s">
        <v>300</v>
      </c>
      <c r="D61" s="317">
        <v>2</v>
      </c>
      <c r="E61" s="317">
        <v>28</v>
      </c>
      <c r="F61" s="317">
        <v>20</v>
      </c>
      <c r="G61" s="317">
        <v>17</v>
      </c>
      <c r="H61" s="317">
        <v>14</v>
      </c>
      <c r="I61" s="317">
        <v>2</v>
      </c>
      <c r="J61" s="318">
        <v>21752.800000000003</v>
      </c>
      <c r="K61" s="318">
        <v>13347.09</v>
      </c>
      <c r="L61" s="319">
        <f t="shared" si="0"/>
      </c>
      <c r="M61" s="319">
        <f t="shared" si="20"/>
      </c>
      <c r="N61" s="319">
        <f t="shared" si="11"/>
      </c>
      <c r="O61" s="322"/>
      <c r="P61" s="322"/>
      <c r="Q61" s="323"/>
      <c r="R61" s="324"/>
      <c r="S61" s="324"/>
      <c r="T61" s="324"/>
      <c r="U61" s="324"/>
      <c r="V61" s="324"/>
      <c r="W61" s="324"/>
      <c r="X61" s="324"/>
    </row>
    <row hidden="true" r="62">
      <c r="A62" s="311">
        <v>46184</v>
      </c>
      <c r="B62" s="312" t="s">
        <v>279</v>
      </c>
      <c r="C62" s="325" t="s">
        <v>301</v>
      </c>
      <c r="D62" s="317">
        <v>4</v>
      </c>
      <c r="E62" s="317">
        <v>60</v>
      </c>
      <c r="F62" s="317">
        <v>46</v>
      </c>
      <c r="G62" s="317">
        <v>31</v>
      </c>
      <c r="H62" s="317">
        <v>32</v>
      </c>
      <c r="I62" s="317">
        <v>6</v>
      </c>
      <c r="J62" s="318">
        <v>34242.000000000015</v>
      </c>
      <c r="K62" s="318">
        <v>22529.98</v>
      </c>
      <c r="L62" s="319">
        <f t="shared" si="0"/>
      </c>
      <c r="M62" s="319">
        <f t="shared" si="20"/>
      </c>
      <c r="N62" s="319">
        <f t="shared" si="11"/>
      </c>
      <c r="O62" s="326"/>
      <c r="P62" s="327"/>
      <c r="Q62" s="323"/>
      <c r="R62" s="324"/>
      <c r="S62" s="324"/>
      <c r="T62" s="324"/>
      <c r="U62" s="324"/>
      <c r="V62" s="324"/>
      <c r="W62" s="324"/>
      <c r="X62" s="324"/>
    </row>
    <row hidden="true" r="63">
      <c r="A63" s="311">
        <v>46184</v>
      </c>
      <c r="B63" s="312" t="s">
        <v>282</v>
      </c>
      <c r="C63" s="325" t="s">
        <v>302</v>
      </c>
      <c r="D63" s="317">
        <v>4</v>
      </c>
      <c r="E63" s="317">
        <v>34</v>
      </c>
      <c r="F63" s="317">
        <v>26</v>
      </c>
      <c r="G63" s="317">
        <v>20</v>
      </c>
      <c r="H63" s="317">
        <v>18</v>
      </c>
      <c r="I63" s="317">
        <v>2</v>
      </c>
      <c r="J63" s="318">
        <v>21661.199999999983</v>
      </c>
      <c r="K63" s="318">
        <v>16383.74</v>
      </c>
      <c r="L63" s="319">
        <f t="shared" si="0"/>
      </c>
      <c r="M63" s="319">
        <f t="shared" si="20"/>
      </c>
      <c r="N63" s="319">
        <f t="shared" si="11"/>
      </c>
      <c r="O63" s="326"/>
      <c r="P63" s="327"/>
      <c r="Q63" s="323"/>
      <c r="R63" s="324"/>
      <c r="S63" s="324"/>
      <c r="T63" s="324"/>
      <c r="U63" s="324"/>
      <c r="V63" s="324"/>
      <c r="W63" s="324"/>
      <c r="X63" s="324"/>
    </row>
    <row hidden="true" r="64">
      <c r="A64" s="311">
        <v>46184</v>
      </c>
      <c r="B64" s="312" t="s">
        <v>284</v>
      </c>
      <c r="C64" s="325" t="s">
        <v>289</v>
      </c>
      <c r="D64" s="317">
        <v>5</v>
      </c>
      <c r="E64" s="317">
        <v>56</v>
      </c>
      <c r="F64" s="317">
        <v>43</v>
      </c>
      <c r="G64" s="317">
        <v>35</v>
      </c>
      <c r="H64" s="317">
        <v>32</v>
      </c>
      <c r="I64" s="317">
        <v>3</v>
      </c>
      <c r="J64" s="318">
        <v>45238.80000000002</v>
      </c>
      <c r="K64" s="318">
        <v>25470.35</v>
      </c>
      <c r="L64" s="319">
        <f t="shared" si="0"/>
      </c>
      <c r="M64" s="319">
        <f t="shared" si="20"/>
      </c>
      <c r="N64" s="319">
        <f>K64/H64</f>
      </c>
      <c r="O64" s="314" t="s">
        <v>303</v>
      </c>
      <c r="P64" s="317">
        <v>10</v>
      </c>
      <c r="Q64" s="322"/>
      <c r="R64" s="328"/>
      <c r="S64" s="328"/>
      <c r="T64" s="328"/>
      <c r="U64" s="328"/>
      <c r="V64" s="328"/>
      <c r="W64" s="328"/>
      <c r="X64" s="328"/>
    </row>
    <row r="65">
      <c r="A65" s="329">
        <v>46184</v>
      </c>
      <c r="B65" s="330"/>
      <c r="C65" s="330"/>
      <c r="D65" s="330">
        <f>SUM(D60:D64)</f>
      </c>
      <c r="E65" s="330">
        <f>SUM(E60:E64)</f>
      </c>
      <c r="F65" s="330">
        <f>SUM(F60:F64)</f>
      </c>
      <c r="G65" s="330">
        <f>SUM(G60:G64)</f>
      </c>
      <c r="H65" s="330">
        <f>SUM(H60:H64)</f>
      </c>
      <c r="I65" s="330">
        <f>SUM(I60:I64)</f>
      </c>
      <c r="J65" s="330">
        <f>SUM(J60:J64)</f>
      </c>
      <c r="K65" s="330">
        <f>SUM(K60:K64)</f>
      </c>
      <c r="L65" s="331">
        <f t="shared" si="0"/>
      </c>
      <c r="M65" s="331">
        <f t="shared" si="20"/>
      </c>
      <c r="N65" s="331">
        <f t="shared" ref="N65:N69" si="12">K65/F65</f>
      </c>
      <c r="O65" s="332"/>
      <c r="P65" s="330">
        <f>P60+P61+P63+P64</f>
      </c>
      <c r="Q65" s="332"/>
      <c r="R65" s="333"/>
      <c r="S65" s="333"/>
      <c r="T65" s="333"/>
      <c r="U65" s="333"/>
      <c r="V65" s="333"/>
      <c r="W65" s="333"/>
      <c r="X65" s="333"/>
    </row>
    <row hidden="true" r="66">
      <c r="A66" s="311">
        <v>46185</v>
      </c>
      <c r="B66" s="312" t="s">
        <v>288</v>
      </c>
      <c r="C66" s="313" t="s">
        <v>280</v>
      </c>
      <c r="D66" s="314">
        <v>5</v>
      </c>
      <c r="E66" s="315">
        <v>61</v>
      </c>
      <c r="F66" s="316">
        <v>41</v>
      </c>
      <c r="G66" s="317">
        <v>32</v>
      </c>
      <c r="H66" s="317">
        <v>23</v>
      </c>
      <c r="I66" s="317">
        <v>2</v>
      </c>
      <c r="J66" s="318">
        <v>35417.6</v>
      </c>
      <c r="K66" s="317">
        <v>23208.420000000002</v>
      </c>
      <c r="L66" s="319">
        <f t="shared" si="0"/>
      </c>
      <c r="M66" s="319">
        <f t="shared" si="20"/>
      </c>
      <c r="N66" s="319">
        <f t="shared" si="12"/>
      </c>
      <c r="O66" s="314" t="s">
        <v>304</v>
      </c>
      <c r="P66" s="317">
        <v>10</v>
      </c>
      <c r="Q66" s="320"/>
      <c r="R66" s="321"/>
      <c r="S66" s="321"/>
      <c r="T66" s="321"/>
      <c r="U66" s="321"/>
      <c r="V66" s="321"/>
      <c r="W66" s="321"/>
      <c r="X66" s="321"/>
    </row>
    <row hidden="true" r="67">
      <c r="A67" s="311">
        <v>46185</v>
      </c>
      <c r="B67" s="315" t="s">
        <v>299</v>
      </c>
      <c r="C67" s="313" t="s">
        <v>300</v>
      </c>
      <c r="D67" s="317">
        <v>2</v>
      </c>
      <c r="E67" s="317">
        <v>7</v>
      </c>
      <c r="F67" s="317">
        <v>6</v>
      </c>
      <c r="G67" s="317">
        <v>9</v>
      </c>
      <c r="H67" s="317">
        <v>3</v>
      </c>
      <c r="I67" s="317">
        <v>0</v>
      </c>
      <c r="J67" s="318">
        <v>4147.200000000003</v>
      </c>
      <c r="K67" s="318">
        <v>6789.38</v>
      </c>
      <c r="L67" s="319">
        <f t="shared" si="0"/>
      </c>
      <c r="M67" s="319">
        <f t="shared" si="20"/>
      </c>
      <c r="N67" s="319">
        <f t="shared" si="12"/>
      </c>
      <c r="O67" s="322"/>
      <c r="P67" s="322"/>
      <c r="Q67" s="323"/>
      <c r="R67" s="324"/>
      <c r="S67" s="324"/>
      <c r="T67" s="324"/>
      <c r="U67" s="324"/>
      <c r="V67" s="324"/>
      <c r="W67" s="324"/>
      <c r="X67" s="324"/>
    </row>
    <row hidden="true" r="68">
      <c r="A68" s="311">
        <v>46185</v>
      </c>
      <c r="B68" s="312" t="s">
        <v>279</v>
      </c>
      <c r="C68" s="325" t="s">
        <v>301</v>
      </c>
      <c r="D68" s="317">
        <v>4</v>
      </c>
      <c r="E68" s="317">
        <v>27</v>
      </c>
      <c r="F68" s="317">
        <v>19</v>
      </c>
      <c r="G68" s="317">
        <v>15</v>
      </c>
      <c r="H68" s="317">
        <v>8</v>
      </c>
      <c r="I68" s="317">
        <v>1</v>
      </c>
      <c r="J68" s="318">
        <v>18995.999999999993</v>
      </c>
      <c r="K68" s="318">
        <v>10912.649999999998</v>
      </c>
      <c r="L68" s="319">
        <f t="shared" si="0"/>
      </c>
      <c r="M68" s="319">
        <f t="shared" si="20"/>
      </c>
      <c r="N68" s="319">
        <f t="shared" si="12"/>
      </c>
      <c r="O68" s="326"/>
      <c r="P68" s="327"/>
      <c r="Q68" s="323"/>
      <c r="R68" s="324"/>
      <c r="S68" s="324"/>
      <c r="T68" s="324"/>
      <c r="U68" s="324"/>
      <c r="V68" s="324"/>
      <c r="W68" s="324"/>
      <c r="X68" s="324"/>
    </row>
    <row hidden="true" r="69">
      <c r="A69" s="311">
        <v>46185</v>
      </c>
      <c r="B69" s="312" t="s">
        <v>296</v>
      </c>
      <c r="C69" s="325" t="s">
        <v>302</v>
      </c>
      <c r="D69" s="338">
        <f>4-0.2</f>
      </c>
      <c r="E69" s="317">
        <v>24</v>
      </c>
      <c r="F69" s="317">
        <v>17</v>
      </c>
      <c r="G69" s="317">
        <v>13</v>
      </c>
      <c r="H69" s="317">
        <v>12</v>
      </c>
      <c r="I69" s="317">
        <v>2</v>
      </c>
      <c r="J69" s="318">
        <v>14168.600000000006</v>
      </c>
      <c r="K69" s="318">
        <v>8545.47</v>
      </c>
      <c r="L69" s="319">
        <f t="shared" si="0"/>
      </c>
      <c r="M69" s="319">
        <f t="shared" si="20"/>
      </c>
      <c r="N69" s="319">
        <f t="shared" si="12"/>
      </c>
      <c r="O69" s="326"/>
      <c r="P69" s="327"/>
      <c r="Q69" s="323"/>
      <c r="R69" s="324"/>
      <c r="S69" s="324"/>
      <c r="T69" s="324"/>
      <c r="U69" s="324"/>
      <c r="V69" s="324"/>
      <c r="W69" s="324"/>
      <c r="X69" s="324"/>
    </row>
    <row hidden="true" r="70">
      <c r="A70" s="311">
        <v>46185</v>
      </c>
      <c r="B70" s="312" t="s">
        <v>284</v>
      </c>
      <c r="C70" s="325" t="s">
        <v>289</v>
      </c>
      <c r="D70" s="317">
        <v>5</v>
      </c>
      <c r="E70" s="317">
        <v>64</v>
      </c>
      <c r="F70" s="317">
        <v>53</v>
      </c>
      <c r="G70" s="317">
        <v>34</v>
      </c>
      <c r="H70" s="317">
        <v>34</v>
      </c>
      <c r="I70" s="317">
        <v>5</v>
      </c>
      <c r="J70" s="318">
        <v>48440.999999999985</v>
      </c>
      <c r="K70" s="318">
        <v>21168.520000000004</v>
      </c>
      <c r="L70" s="319">
        <f t="shared" si="0"/>
      </c>
      <c r="M70" s="319">
        <f t="shared" si="20"/>
      </c>
      <c r="N70" s="319">
        <f>K70/H70</f>
      </c>
      <c r="O70" s="314" t="s">
        <v>303</v>
      </c>
      <c r="P70" s="317">
        <v>10</v>
      </c>
      <c r="Q70" s="322"/>
      <c r="R70" s="328"/>
      <c r="S70" s="328"/>
      <c r="T70" s="328"/>
      <c r="U70" s="328"/>
      <c r="V70" s="328"/>
      <c r="W70" s="328"/>
      <c r="X70" s="328"/>
    </row>
    <row r="71">
      <c r="A71" s="329">
        <v>46185</v>
      </c>
      <c r="B71" s="330"/>
      <c r="C71" s="330"/>
      <c r="D71" s="330">
        <f>SUM(D66:D70)</f>
      </c>
      <c r="E71" s="330">
        <f>SUM(E66:E70)</f>
      </c>
      <c r="F71" s="330">
        <f>SUM(F66:F70)</f>
      </c>
      <c r="G71" s="330">
        <f>SUM(G66:G70)</f>
      </c>
      <c r="H71" s="330">
        <f>SUM(H66:H70)</f>
      </c>
      <c r="I71" s="330">
        <f>SUM(I66:I70)</f>
      </c>
      <c r="J71" s="330">
        <f>SUM(J66:J70)</f>
      </c>
      <c r="K71" s="330">
        <f>SUM(K66:K70)</f>
      </c>
      <c r="L71" s="331">
        <f t="shared" si="0"/>
      </c>
      <c r="M71" s="331">
        <f t="shared" si="20"/>
      </c>
      <c r="N71" s="331">
        <f t="shared" ref="N71:N75" si="13">K71/F71</f>
      </c>
      <c r="O71" s="332"/>
      <c r="P71" s="330">
        <f>P66+P67+P69+P70</f>
      </c>
      <c r="Q71" s="332"/>
      <c r="R71" s="333"/>
      <c r="S71" s="333"/>
      <c r="T71" s="333"/>
      <c r="U71" s="333"/>
      <c r="V71" s="333"/>
      <c r="W71" s="333"/>
      <c r="X71" s="333"/>
    </row>
    <row hidden="true" r="72">
      <c r="A72" s="311">
        <v>46186</v>
      </c>
      <c r="B72" s="312" t="s">
        <v>288</v>
      </c>
      <c r="C72" s="313" t="s">
        <v>280</v>
      </c>
      <c r="D72" s="314">
        <v>5</v>
      </c>
      <c r="E72" s="315">
        <v>41</v>
      </c>
      <c r="F72" s="316">
        <v>33</v>
      </c>
      <c r="G72" s="317">
        <v>24</v>
      </c>
      <c r="H72" s="317">
        <v>23</v>
      </c>
      <c r="I72" s="317">
        <v>2</v>
      </c>
      <c r="J72" s="318">
        <v>27536.199999999997</v>
      </c>
      <c r="K72" s="317">
        <v>19704.65</v>
      </c>
      <c r="L72" s="319">
        <f t="shared" si="0"/>
      </c>
      <c r="M72" s="319">
        <f t="shared" si="20"/>
      </c>
      <c r="N72" s="319">
        <f t="shared" si="13"/>
      </c>
      <c r="O72" s="314" t="s">
        <v>304</v>
      </c>
      <c r="P72" s="317">
        <v>10</v>
      </c>
      <c r="Q72" s="320"/>
      <c r="R72" s="321"/>
      <c r="S72" s="321"/>
      <c r="T72" s="321"/>
      <c r="U72" s="321"/>
      <c r="V72" s="321"/>
      <c r="W72" s="321"/>
      <c r="X72" s="321"/>
    </row>
    <row hidden="true" r="73">
      <c r="A73" s="311">
        <v>46186</v>
      </c>
      <c r="B73" s="315" t="s">
        <v>299</v>
      </c>
      <c r="C73" s="313" t="s">
        <v>300</v>
      </c>
      <c r="D73" s="317">
        <v>2</v>
      </c>
      <c r="E73" s="317">
        <v>13</v>
      </c>
      <c r="F73" s="317">
        <v>10</v>
      </c>
      <c r="G73" s="317">
        <v>11</v>
      </c>
      <c r="H73" s="317">
        <v>7</v>
      </c>
      <c r="I73" s="317">
        <v>0</v>
      </c>
      <c r="J73" s="318">
        <v>9359</v>
      </c>
      <c r="K73" s="318">
        <v>6665.52</v>
      </c>
      <c r="L73" s="319">
        <f t="shared" si="0"/>
      </c>
      <c r="M73" s="319">
        <f t="shared" si="20"/>
      </c>
      <c r="N73" s="319">
        <f t="shared" si="13"/>
      </c>
      <c r="O73" s="322"/>
      <c r="P73" s="322"/>
      <c r="Q73" s="323"/>
      <c r="R73" s="324"/>
      <c r="S73" s="324"/>
      <c r="T73" s="324"/>
      <c r="U73" s="324"/>
      <c r="V73" s="324"/>
      <c r="W73" s="324"/>
      <c r="X73" s="324"/>
    </row>
    <row hidden="true" r="74">
      <c r="A74" s="311">
        <v>46186</v>
      </c>
      <c r="B74" s="312" t="s">
        <v>279</v>
      </c>
      <c r="C74" s="325" t="s">
        <v>301</v>
      </c>
      <c r="D74" s="317">
        <v>4</v>
      </c>
      <c r="E74" s="317">
        <v>32</v>
      </c>
      <c r="F74" s="317">
        <v>25</v>
      </c>
      <c r="G74" s="317">
        <v>14</v>
      </c>
      <c r="H74" s="317">
        <v>13</v>
      </c>
      <c r="I74" s="317">
        <v>3</v>
      </c>
      <c r="J74" s="318">
        <v>18745.199999999997</v>
      </c>
      <c r="K74" s="318">
        <v>10688.05</v>
      </c>
      <c r="L74" s="319">
        <f t="shared" si="0"/>
      </c>
      <c r="M74" s="319">
        <f t="shared" si="20"/>
      </c>
      <c r="N74" s="319">
        <f t="shared" si="13"/>
      </c>
      <c r="O74" s="326"/>
      <c r="P74" s="327"/>
      <c r="Q74" s="323"/>
      <c r="R74" s="324"/>
      <c r="S74" s="324"/>
      <c r="T74" s="324"/>
      <c r="U74" s="324"/>
      <c r="V74" s="324"/>
      <c r="W74" s="324"/>
      <c r="X74" s="324"/>
    </row>
    <row hidden="true" r="75">
      <c r="A75" s="311">
        <v>46186</v>
      </c>
      <c r="B75" s="312" t="s">
        <v>284</v>
      </c>
      <c r="C75" s="325" t="s">
        <v>302</v>
      </c>
      <c r="D75" s="317">
        <v>4</v>
      </c>
      <c r="E75" s="317">
        <v>19</v>
      </c>
      <c r="F75" s="317">
        <v>16</v>
      </c>
      <c r="G75" s="317">
        <v>9</v>
      </c>
      <c r="H75" s="317">
        <v>12</v>
      </c>
      <c r="I75" s="317">
        <v>2</v>
      </c>
      <c r="J75" s="318">
        <v>13412.399999999994</v>
      </c>
      <c r="K75" s="318">
        <v>9442.16</v>
      </c>
      <c r="L75" s="319">
        <f t="shared" si="0"/>
      </c>
      <c r="M75" s="319">
        <f t="shared" si="20"/>
      </c>
      <c r="N75" s="319">
        <f t="shared" si="13"/>
      </c>
      <c r="O75" s="326"/>
      <c r="P75" s="327"/>
      <c r="Q75" s="323"/>
      <c r="R75" s="324"/>
      <c r="S75" s="324"/>
      <c r="T75" s="324"/>
      <c r="U75" s="324"/>
      <c r="V75" s="324"/>
      <c r="W75" s="324"/>
      <c r="X75" s="324"/>
    </row>
    <row hidden="true" r="76">
      <c r="A76" s="311">
        <v>46186</v>
      </c>
      <c r="B76" s="312" t="s">
        <v>282</v>
      </c>
      <c r="C76" s="325" t="s">
        <v>289</v>
      </c>
      <c r="D76" s="317">
        <v>5</v>
      </c>
      <c r="E76" s="317">
        <v>30</v>
      </c>
      <c r="F76" s="317">
        <v>20</v>
      </c>
      <c r="G76" s="317">
        <v>16</v>
      </c>
      <c r="H76" s="317">
        <v>14</v>
      </c>
      <c r="I76" s="317">
        <v>1</v>
      </c>
      <c r="J76" s="318">
        <v>13110.199999999997</v>
      </c>
      <c r="K76" s="318">
        <v>9854.080000000002</v>
      </c>
      <c r="L76" s="319">
        <f t="shared" si="0"/>
      </c>
      <c r="M76" s="319">
        <f t="shared" si="20"/>
      </c>
      <c r="N76" s="319">
        <f>K76/H76</f>
      </c>
      <c r="O76" s="314" t="s">
        <v>303</v>
      </c>
      <c r="P76" s="317">
        <v>10</v>
      </c>
      <c r="Q76" s="322"/>
      <c r="R76" s="328"/>
      <c r="S76" s="328"/>
      <c r="T76" s="328"/>
      <c r="U76" s="328"/>
      <c r="V76" s="328"/>
      <c r="W76" s="328"/>
      <c r="X76" s="328"/>
    </row>
    <row r="77">
      <c r="A77" s="329">
        <v>46186</v>
      </c>
      <c r="B77" s="330"/>
      <c r="C77" s="330"/>
      <c r="D77" s="330">
        <f>SUM(D72:D76)</f>
      </c>
      <c r="E77" s="330">
        <f>SUM(E72:E76)</f>
      </c>
      <c r="F77" s="330">
        <f>SUM(F72:F76)</f>
      </c>
      <c r="G77" s="330">
        <f>SUM(G72:G76)</f>
      </c>
      <c r="H77" s="330">
        <f>SUM(H72:H76)</f>
      </c>
      <c r="I77" s="330">
        <f>SUM(I72:I76)</f>
      </c>
      <c r="J77" s="330">
        <f>SUM(J72:J76)</f>
      </c>
      <c r="K77" s="330">
        <f>SUM(K72:K76)</f>
      </c>
      <c r="L77" s="331">
        <f t="shared" si="0"/>
      </c>
      <c r="M77" s="331">
        <f t="shared" si="20"/>
      </c>
      <c r="N77" s="331">
        <f t="shared" ref="N77:N80" si="14">K77/F77</f>
      </c>
      <c r="O77" s="332"/>
      <c r="P77" s="330">
        <f>P72+P73+P75+P76</f>
      </c>
      <c r="Q77" s="332"/>
      <c r="R77" s="333"/>
      <c r="S77" s="333"/>
      <c r="T77" s="333"/>
      <c r="U77" s="333"/>
      <c r="V77" s="333"/>
      <c r="W77" s="333"/>
      <c r="X77" s="333"/>
    </row>
    <row hidden="true" r="78">
      <c r="A78" s="334">
        <v>46187</v>
      </c>
      <c r="B78" s="317" t="s">
        <v>288</v>
      </c>
      <c r="C78" s="335" t="s">
        <v>280</v>
      </c>
      <c r="D78" s="326">
        <v>5</v>
      </c>
      <c r="E78" s="315">
        <v>33</v>
      </c>
      <c r="F78" s="316">
        <v>30</v>
      </c>
      <c r="G78" s="317">
        <v>22</v>
      </c>
      <c r="H78" s="317">
        <v>15</v>
      </c>
      <c r="I78" s="317">
        <v>3</v>
      </c>
      <c r="J78" s="336">
        <v>34957.8</v>
      </c>
      <c r="K78" s="327">
        <v>19505.82</v>
      </c>
      <c r="L78" s="319">
        <f t="shared" si="0"/>
      </c>
      <c r="M78" s="319">
        <f t="shared" si="20"/>
      </c>
      <c r="N78" s="319">
        <f t="shared" si="14"/>
      </c>
      <c r="O78" s="314" t="s">
        <v>304</v>
      </c>
      <c r="P78" s="327">
        <v>10</v>
      </c>
      <c r="Q78" s="320"/>
      <c r="R78" s="321"/>
      <c r="S78" s="321"/>
      <c r="T78" s="321"/>
      <c r="U78" s="321"/>
      <c r="V78" s="321"/>
      <c r="W78" s="321"/>
      <c r="X78" s="321"/>
    </row>
    <row hidden="true" r="79">
      <c r="A79" s="334">
        <v>46187</v>
      </c>
      <c r="B79" s="312" t="s">
        <v>282</v>
      </c>
      <c r="C79" s="335" t="s">
        <v>297</v>
      </c>
      <c r="D79" s="327">
        <v>5</v>
      </c>
      <c r="E79" s="317">
        <v>35</v>
      </c>
      <c r="F79" s="317">
        <v>28</v>
      </c>
      <c r="G79" s="317">
        <v>23</v>
      </c>
      <c r="H79" s="317">
        <v>12</v>
      </c>
      <c r="I79" s="317">
        <v>2</v>
      </c>
      <c r="J79" s="337">
        <v>24327.6</v>
      </c>
      <c r="K79" s="337">
        <v>15969.449999999999</v>
      </c>
      <c r="L79" s="319">
        <f t="shared" si="0"/>
      </c>
      <c r="M79" s="319">
        <f t="shared" si="20"/>
      </c>
      <c r="N79" s="319">
        <f t="shared" si="14"/>
      </c>
      <c r="O79" s="322"/>
      <c r="P79" s="322"/>
      <c r="Q79" s="323"/>
      <c r="R79" s="324"/>
      <c r="S79" s="324"/>
      <c r="T79" s="324"/>
      <c r="U79" s="324"/>
      <c r="V79" s="324"/>
      <c r="W79" s="324"/>
      <c r="X79" s="324"/>
    </row>
    <row hidden="true" r="80">
      <c r="A80" s="334">
        <v>46187</v>
      </c>
      <c r="B80" s="317" t="s">
        <v>299</v>
      </c>
      <c r="C80" s="335" t="s">
        <v>298</v>
      </c>
      <c r="D80" s="327">
        <v>5</v>
      </c>
      <c r="E80" s="317">
        <v>46</v>
      </c>
      <c r="F80" s="317">
        <v>39</v>
      </c>
      <c r="G80" s="317">
        <v>29</v>
      </c>
      <c r="H80" s="317">
        <v>27</v>
      </c>
      <c r="I80" s="317">
        <v>4</v>
      </c>
      <c r="J80" s="337">
        <v>30261.199999999997</v>
      </c>
      <c r="K80" s="337">
        <v>18057.63</v>
      </c>
      <c r="L80" s="319">
        <f t="shared" si="0"/>
      </c>
      <c r="M80" s="319">
        <f t="shared" si="20"/>
      </c>
      <c r="N80" s="319">
        <f t="shared" si="14"/>
      </c>
      <c r="O80" s="326"/>
      <c r="P80" s="327"/>
      <c r="Q80" s="323"/>
      <c r="R80" s="324"/>
      <c r="S80" s="324"/>
      <c r="T80" s="324"/>
      <c r="U80" s="324"/>
      <c r="V80" s="324"/>
      <c r="W80" s="324"/>
      <c r="X80" s="324"/>
    </row>
    <row hidden="true" r="81">
      <c r="A81" s="334">
        <v>46187</v>
      </c>
      <c r="B81" s="317" t="s">
        <v>284</v>
      </c>
      <c r="C81" s="335" t="s">
        <v>289</v>
      </c>
      <c r="D81" s="327">
        <v>5</v>
      </c>
      <c r="E81" s="317">
        <v>59</v>
      </c>
      <c r="F81" s="317">
        <v>42</v>
      </c>
      <c r="G81" s="317">
        <v>35</v>
      </c>
      <c r="H81" s="317">
        <v>24</v>
      </c>
      <c r="I81" s="317">
        <v>4</v>
      </c>
      <c r="J81" s="337">
        <v>29426.4</v>
      </c>
      <c r="K81" s="318">
        <v>21440.7</v>
      </c>
      <c r="L81" s="319">
        <f t="shared" si="0"/>
      </c>
      <c r="M81" s="319">
        <f t="shared" si="20"/>
      </c>
      <c r="N81" s="319">
        <f>K81/H81</f>
      </c>
      <c r="O81" s="314" t="s">
        <v>303</v>
      </c>
      <c r="P81" s="317">
        <v>10</v>
      </c>
      <c r="Q81" s="322"/>
      <c r="R81" s="328"/>
      <c r="S81" s="328"/>
      <c r="T81" s="328"/>
      <c r="U81" s="328"/>
      <c r="V81" s="328"/>
      <c r="W81" s="328"/>
      <c r="X81" s="328"/>
    </row>
    <row r="82">
      <c r="A82" s="329">
        <v>46187</v>
      </c>
      <c r="B82" s="330"/>
      <c r="C82" s="330"/>
      <c r="D82" s="330">
        <f>SUM(D78:D81)</f>
      </c>
      <c r="E82" s="330">
        <f>SUM(E78:E81)</f>
      </c>
      <c r="F82" s="330">
        <f>SUM(F78:F81)</f>
      </c>
      <c r="G82" s="330">
        <f>SUM(G78:G81)</f>
      </c>
      <c r="H82" s="330">
        <f>SUM(H78:H81)</f>
      </c>
      <c r="I82" s="330">
        <f>SUM(I78:I81)</f>
      </c>
      <c r="J82" s="330">
        <f>SUM(J78:J81)</f>
      </c>
      <c r="K82" s="330">
        <f>SUM(K78:K81)</f>
      </c>
      <c r="L82" s="331">
        <f t="shared" si="0"/>
      </c>
      <c r="M82" s="331">
        <f t="shared" si="20"/>
      </c>
      <c r="N82" s="331">
        <f t="shared" ref="N82:N85" si="15">K82/F82</f>
      </c>
      <c r="O82" s="332"/>
      <c r="P82" s="330">
        <f>P78+P79+P80+P81</f>
      </c>
      <c r="Q82" s="332"/>
      <c r="R82" s="333"/>
      <c r="S82" s="333"/>
      <c r="T82" s="333"/>
      <c r="U82" s="333"/>
      <c r="V82" s="333"/>
      <c r="W82" s="333"/>
      <c r="X82" s="333"/>
    </row>
    <row hidden="true" r="83">
      <c r="A83" s="334">
        <v>46188</v>
      </c>
      <c r="B83" s="317" t="s">
        <v>288</v>
      </c>
      <c r="C83" s="335" t="s">
        <v>280</v>
      </c>
      <c r="D83" s="326">
        <v>5</v>
      </c>
      <c r="E83" s="315">
        <v>54</v>
      </c>
      <c r="F83" s="316">
        <v>40</v>
      </c>
      <c r="G83" s="317">
        <v>28</v>
      </c>
      <c r="H83" s="317">
        <v>19</v>
      </c>
      <c r="I83" s="317">
        <v>3</v>
      </c>
      <c r="J83" s="336">
        <v>42424.40000000001</v>
      </c>
      <c r="K83" s="327">
        <v>22960.930000000004</v>
      </c>
      <c r="L83" s="319">
        <f t="shared" si="0"/>
      </c>
      <c r="M83" s="319">
        <f t="shared" si="20"/>
      </c>
      <c r="N83" s="319">
        <f t="shared" si="15"/>
      </c>
      <c r="O83" s="314" t="s">
        <v>304</v>
      </c>
      <c r="P83" s="327">
        <v>10</v>
      </c>
      <c r="Q83" s="320"/>
      <c r="R83" s="321"/>
      <c r="S83" s="321"/>
      <c r="T83" s="321"/>
      <c r="U83" s="321"/>
      <c r="V83" s="321"/>
      <c r="W83" s="321"/>
      <c r="X83" s="321"/>
    </row>
    <row hidden="true" r="84">
      <c r="A84" s="334">
        <v>46188</v>
      </c>
      <c r="B84" s="312" t="s">
        <v>282</v>
      </c>
      <c r="C84" s="335" t="s">
        <v>297</v>
      </c>
      <c r="D84" s="327">
        <v>5</v>
      </c>
      <c r="E84" s="317">
        <v>47</v>
      </c>
      <c r="F84" s="317">
        <v>37</v>
      </c>
      <c r="G84" s="317">
        <v>29</v>
      </c>
      <c r="H84" s="317">
        <v>22</v>
      </c>
      <c r="I84" s="317">
        <v>3</v>
      </c>
      <c r="J84" s="337">
        <v>33949.2</v>
      </c>
      <c r="K84" s="337">
        <v>22480.620000000003</v>
      </c>
      <c r="L84" s="319">
        <f t="shared" si="0"/>
      </c>
      <c r="M84" s="319">
        <f t="shared" si="20"/>
      </c>
      <c r="N84" s="319">
        <f t="shared" si="15"/>
      </c>
      <c r="O84" s="322"/>
      <c r="P84" s="322"/>
      <c r="Q84" s="323"/>
      <c r="R84" s="324"/>
      <c r="S84" s="324"/>
      <c r="T84" s="324"/>
      <c r="U84" s="324"/>
      <c r="V84" s="324"/>
      <c r="W84" s="324"/>
      <c r="X84" s="324"/>
    </row>
    <row hidden="true" r="85">
      <c r="A85" s="334">
        <v>46188</v>
      </c>
      <c r="B85" s="317" t="s">
        <v>299</v>
      </c>
      <c r="C85" s="335" t="s">
        <v>298</v>
      </c>
      <c r="D85" s="327">
        <v>5</v>
      </c>
      <c r="E85" s="317">
        <v>34</v>
      </c>
      <c r="F85" s="317">
        <v>28</v>
      </c>
      <c r="G85" s="317">
        <v>22</v>
      </c>
      <c r="H85" s="317">
        <v>19</v>
      </c>
      <c r="I85" s="317">
        <v>3</v>
      </c>
      <c r="J85" s="337">
        <v>22638</v>
      </c>
      <c r="K85" s="337">
        <v>23636.52</v>
      </c>
      <c r="L85" s="319">
        <f t="shared" si="0"/>
      </c>
      <c r="M85" s="319">
        <f t="shared" si="20"/>
      </c>
      <c r="N85" s="319">
        <f t="shared" si="15"/>
      </c>
      <c r="O85" s="326"/>
      <c r="P85" s="327"/>
      <c r="Q85" s="323"/>
      <c r="R85" s="324"/>
      <c r="S85" s="324"/>
      <c r="T85" s="324"/>
      <c r="U85" s="324"/>
      <c r="V85" s="324"/>
      <c r="W85" s="324"/>
      <c r="X85" s="324"/>
    </row>
    <row hidden="true" r="86">
      <c r="A86" s="334">
        <v>46188</v>
      </c>
      <c r="B86" s="317" t="s">
        <v>284</v>
      </c>
      <c r="C86" s="335" t="s">
        <v>289</v>
      </c>
      <c r="D86" s="327">
        <v>5</v>
      </c>
      <c r="E86" s="317">
        <v>58</v>
      </c>
      <c r="F86" s="317">
        <v>52</v>
      </c>
      <c r="G86" s="317">
        <v>32</v>
      </c>
      <c r="H86" s="317">
        <v>31</v>
      </c>
      <c r="I86" s="317">
        <v>12</v>
      </c>
      <c r="J86" s="337">
        <v>48811.7</v>
      </c>
      <c r="K86" s="318">
        <v>17421.04</v>
      </c>
      <c r="L86" s="319">
        <f t="shared" si="0"/>
      </c>
      <c r="M86" s="319">
        <f t="shared" si="20"/>
      </c>
      <c r="N86" s="319">
        <f>K86/H86</f>
      </c>
      <c r="O86" s="314" t="s">
        <v>303</v>
      </c>
      <c r="P86" s="317">
        <v>10</v>
      </c>
      <c r="Q86" s="322"/>
      <c r="R86" s="328"/>
      <c r="S86" s="328"/>
      <c r="T86" s="328"/>
      <c r="U86" s="328"/>
      <c r="V86" s="328"/>
      <c r="W86" s="328"/>
      <c r="X86" s="328"/>
    </row>
    <row r="87">
      <c r="A87" s="329">
        <v>46188</v>
      </c>
      <c r="B87" s="330"/>
      <c r="C87" s="330"/>
      <c r="D87" s="330">
        <f>SUM(D83:D86)</f>
      </c>
      <c r="E87" s="330">
        <f>SUM(E83:E86)</f>
      </c>
      <c r="F87" s="330">
        <f>SUM(F83:F86)</f>
      </c>
      <c r="G87" s="330">
        <f>SUM(G83:G86)</f>
      </c>
      <c r="H87" s="330">
        <f>SUM(H83:H86)</f>
      </c>
      <c r="I87" s="330">
        <f>SUM(I83:I86)</f>
      </c>
      <c r="J87" s="330">
        <f>SUM(J83:J86)</f>
      </c>
      <c r="K87" s="330">
        <f>SUM(K83:K86)</f>
      </c>
      <c r="L87" s="331">
        <f t="shared" si="0"/>
      </c>
      <c r="M87" s="331">
        <f t="shared" si="20"/>
      </c>
      <c r="N87" s="331">
        <f t="shared" ref="N87:N90" si="16">K87/F87</f>
      </c>
      <c r="O87" s="332"/>
      <c r="P87" s="330">
        <f>P83+P84+P85+P86</f>
      </c>
      <c r="Q87" s="332"/>
      <c r="R87" s="333"/>
      <c r="S87" s="333"/>
      <c r="T87" s="333"/>
      <c r="U87" s="333"/>
      <c r="V87" s="333"/>
      <c r="W87" s="333"/>
      <c r="X87" s="333"/>
    </row>
    <row hidden="true" r="88">
      <c r="A88" s="334">
        <v>46189</v>
      </c>
      <c r="B88" s="317" t="s">
        <v>288</v>
      </c>
      <c r="C88" s="335" t="s">
        <v>280</v>
      </c>
      <c r="D88" s="326">
        <v>5</v>
      </c>
      <c r="E88" s="315">
        <v>89</v>
      </c>
      <c r="F88" s="316">
        <v>76</v>
      </c>
      <c r="G88" s="317">
        <v>53</v>
      </c>
      <c r="H88" s="317">
        <v>52</v>
      </c>
      <c r="I88" s="317">
        <v>7</v>
      </c>
      <c r="J88" s="336">
        <v>65658.6</v>
      </c>
      <c r="K88" s="327">
        <v>45131.81</v>
      </c>
      <c r="L88" s="319">
        <f t="shared" si="0"/>
      </c>
      <c r="M88" s="319">
        <f t="shared" si="20"/>
      </c>
      <c r="N88" s="319">
        <f t="shared" si="16"/>
      </c>
      <c r="O88" s="314" t="s">
        <v>304</v>
      </c>
      <c r="P88" s="327">
        <v>10</v>
      </c>
      <c r="Q88" s="320"/>
      <c r="R88" s="321"/>
      <c r="S88" s="321"/>
      <c r="T88" s="321"/>
      <c r="U88" s="321"/>
      <c r="V88" s="321"/>
      <c r="W88" s="321"/>
      <c r="X88" s="321"/>
    </row>
    <row hidden="true" r="89">
      <c r="A89" s="334">
        <v>46189</v>
      </c>
      <c r="B89" s="312" t="s">
        <v>282</v>
      </c>
      <c r="C89" s="335" t="s">
        <v>297</v>
      </c>
      <c r="D89" s="327">
        <v>5</v>
      </c>
      <c r="E89" s="317">
        <v>47</v>
      </c>
      <c r="F89" s="317">
        <v>33</v>
      </c>
      <c r="G89" s="317">
        <v>29</v>
      </c>
      <c r="H89" s="317">
        <v>19</v>
      </c>
      <c r="I89" s="317">
        <v>1</v>
      </c>
      <c r="J89" s="337">
        <v>29202.6</v>
      </c>
      <c r="K89" s="337">
        <v>24738.300000000003</v>
      </c>
      <c r="L89" s="319">
        <f t="shared" si="0"/>
      </c>
      <c r="M89" s="319">
        <f t="shared" si="20"/>
      </c>
      <c r="N89" s="319">
        <f t="shared" si="16"/>
      </c>
      <c r="O89" s="322"/>
      <c r="P89" s="322"/>
      <c r="Q89" s="323"/>
      <c r="R89" s="324"/>
      <c r="S89" s="324"/>
      <c r="T89" s="324"/>
      <c r="U89" s="324"/>
      <c r="V89" s="324"/>
      <c r="W89" s="324"/>
      <c r="X89" s="324"/>
    </row>
    <row hidden="true" r="90">
      <c r="A90" s="334">
        <v>46189</v>
      </c>
      <c r="B90" s="317" t="s">
        <v>284</v>
      </c>
      <c r="C90" s="335" t="s">
        <v>298</v>
      </c>
      <c r="D90" s="327">
        <v>5</v>
      </c>
      <c r="E90" s="317">
        <v>37</v>
      </c>
      <c r="F90" s="317">
        <v>36</v>
      </c>
      <c r="G90" s="317">
        <v>21</v>
      </c>
      <c r="H90" s="317">
        <v>23</v>
      </c>
      <c r="I90" s="317">
        <v>3</v>
      </c>
      <c r="J90" s="337">
        <v>44377.599999999984</v>
      </c>
      <c r="K90" s="337">
        <v>13440.21</v>
      </c>
      <c r="L90" s="319">
        <f t="shared" si="0"/>
      </c>
      <c r="M90" s="319">
        <f t="shared" si="20"/>
      </c>
      <c r="N90" s="319">
        <f t="shared" si="16"/>
      </c>
      <c r="O90" s="326"/>
      <c r="P90" s="327"/>
      <c r="Q90" s="323"/>
      <c r="R90" s="324"/>
      <c r="S90" s="324"/>
      <c r="T90" s="324"/>
      <c r="U90" s="324"/>
      <c r="V90" s="324"/>
      <c r="W90" s="324"/>
      <c r="X90" s="324"/>
    </row>
    <row hidden="true" r="91">
      <c r="A91" s="334">
        <v>46189</v>
      </c>
      <c r="B91" s="317" t="s">
        <v>279</v>
      </c>
      <c r="C91" s="335" t="s">
        <v>289</v>
      </c>
      <c r="D91" s="327">
        <v>5</v>
      </c>
      <c r="E91" s="317">
        <v>56</v>
      </c>
      <c r="F91" s="317">
        <v>46</v>
      </c>
      <c r="G91" s="317">
        <v>34</v>
      </c>
      <c r="H91" s="317">
        <v>32</v>
      </c>
      <c r="I91" s="317">
        <v>5</v>
      </c>
      <c r="J91" s="337">
        <v>39741.40000000001</v>
      </c>
      <c r="K91" s="318">
        <v>24133.600000000002</v>
      </c>
      <c r="L91" s="319">
        <f t="shared" si="0"/>
      </c>
      <c r="M91" s="319">
        <f t="shared" si="20"/>
      </c>
      <c r="N91" s="319">
        <f>K91/H91</f>
      </c>
      <c r="O91" s="314" t="s">
        <v>303</v>
      </c>
      <c r="P91" s="317">
        <v>10</v>
      </c>
      <c r="Q91" s="322"/>
      <c r="R91" s="328"/>
      <c r="S91" s="328"/>
      <c r="T91" s="328"/>
      <c r="U91" s="328"/>
      <c r="V91" s="328"/>
      <c r="W91" s="328"/>
      <c r="X91" s="328"/>
    </row>
    <row r="92">
      <c r="A92" s="329">
        <v>46189</v>
      </c>
      <c r="B92" s="330"/>
      <c r="C92" s="330"/>
      <c r="D92" s="330">
        <f>SUM(D88:D91)</f>
      </c>
      <c r="E92" s="330">
        <f>SUM(E88:E91)</f>
      </c>
      <c r="F92" s="330">
        <f>SUM(F88:F91)</f>
      </c>
      <c r="G92" s="330">
        <f>SUM(G88:G91)</f>
      </c>
      <c r="H92" s="330">
        <f>SUM(H88:H91)</f>
      </c>
      <c r="I92" s="330">
        <f>SUM(I88:I91)</f>
      </c>
      <c r="J92" s="330">
        <f>SUM(J88:J91)</f>
      </c>
      <c r="K92" s="330">
        <f>SUM(K88:K91)</f>
      </c>
      <c r="L92" s="331">
        <f t="shared" si="0"/>
      </c>
      <c r="M92" s="331">
        <f t="shared" si="20"/>
      </c>
      <c r="N92" s="331">
        <f t="shared" ref="N92:N95" si="17">K92/F92</f>
      </c>
      <c r="O92" s="332"/>
      <c r="P92" s="330">
        <f>P88+P89+P90+P91</f>
      </c>
      <c r="Q92" s="332"/>
      <c r="R92" s="333"/>
      <c r="S92" s="333"/>
      <c r="T92" s="333"/>
      <c r="U92" s="333"/>
      <c r="V92" s="333"/>
      <c r="W92" s="333"/>
      <c r="X92" s="333"/>
    </row>
    <row hidden="true" r="93">
      <c r="A93" s="334">
        <v>46190</v>
      </c>
      <c r="B93" s="317" t="s">
        <v>288</v>
      </c>
      <c r="C93" s="335" t="s">
        <v>280</v>
      </c>
      <c r="D93" s="326">
        <v>5</v>
      </c>
      <c r="E93" s="315">
        <v>93</v>
      </c>
      <c r="F93" s="316">
        <v>71</v>
      </c>
      <c r="G93" s="317">
        <v>51</v>
      </c>
      <c r="H93" s="317">
        <v>44</v>
      </c>
      <c r="I93" s="317">
        <v>9</v>
      </c>
      <c r="J93" s="336">
        <v>64329.80000000002</v>
      </c>
      <c r="K93" s="327">
        <v>33111.29</v>
      </c>
      <c r="L93" s="319">
        <f t="shared" si="0"/>
      </c>
      <c r="M93" s="319">
        <f t="shared" si="20"/>
      </c>
      <c r="N93" s="319">
        <f t="shared" si="17"/>
      </c>
      <c r="O93" s="314" t="s">
        <v>304</v>
      </c>
      <c r="P93" s="327">
        <v>10</v>
      </c>
      <c r="Q93" s="320"/>
      <c r="R93" s="321"/>
      <c r="S93" s="321"/>
      <c r="T93" s="321"/>
      <c r="U93" s="321"/>
      <c r="V93" s="321"/>
      <c r="W93" s="321"/>
      <c r="X93" s="321"/>
    </row>
    <row hidden="true" r="94">
      <c r="A94" s="334">
        <v>46190</v>
      </c>
      <c r="B94" s="312" t="s">
        <v>282</v>
      </c>
      <c r="C94" s="335" t="s">
        <v>297</v>
      </c>
      <c r="D94" s="327">
        <v>5</v>
      </c>
      <c r="E94" s="317">
        <v>69</v>
      </c>
      <c r="F94" s="317">
        <v>49</v>
      </c>
      <c r="G94" s="317">
        <v>29</v>
      </c>
      <c r="H94" s="317">
        <v>33</v>
      </c>
      <c r="I94" s="317">
        <v>6</v>
      </c>
      <c r="J94" s="337">
        <v>49615.299999999996</v>
      </c>
      <c r="K94" s="337">
        <v>27568.86</v>
      </c>
      <c r="L94" s="319">
        <f t="shared" si="0"/>
      </c>
      <c r="M94" s="319">
        <f t="shared" si="20"/>
      </c>
      <c r="N94" s="319">
        <f t="shared" si="17"/>
      </c>
      <c r="O94" s="322"/>
      <c r="P94" s="322"/>
      <c r="Q94" s="323"/>
      <c r="R94" s="324"/>
      <c r="S94" s="324"/>
      <c r="T94" s="324"/>
      <c r="U94" s="324"/>
      <c r="V94" s="324"/>
      <c r="W94" s="324"/>
      <c r="X94" s="324"/>
    </row>
    <row hidden="true" r="95">
      <c r="A95" s="334">
        <v>46190</v>
      </c>
      <c r="B95" s="317" t="s">
        <v>299</v>
      </c>
      <c r="C95" s="335" t="s">
        <v>298</v>
      </c>
      <c r="D95" s="327">
        <v>5</v>
      </c>
      <c r="E95" s="317">
        <v>40</v>
      </c>
      <c r="F95" s="317">
        <v>30</v>
      </c>
      <c r="G95" s="317">
        <v>25</v>
      </c>
      <c r="H95" s="317">
        <v>16</v>
      </c>
      <c r="I95" s="317">
        <v>1</v>
      </c>
      <c r="J95" s="337">
        <v>29062.999999999993</v>
      </c>
      <c r="K95" s="337">
        <v>19197.600000000002</v>
      </c>
      <c r="L95" s="319">
        <f t="shared" si="0"/>
      </c>
      <c r="M95" s="319">
        <f t="shared" si="20"/>
      </c>
      <c r="N95" s="319">
        <f t="shared" si="17"/>
      </c>
      <c r="O95" s="326"/>
      <c r="P95" s="327"/>
      <c r="Q95" s="323"/>
      <c r="R95" s="324"/>
      <c r="S95" s="324"/>
      <c r="T95" s="324"/>
      <c r="U95" s="324"/>
      <c r="V95" s="324"/>
      <c r="W95" s="324"/>
      <c r="X95" s="324"/>
    </row>
    <row hidden="true" r="96">
      <c r="A96" s="334">
        <v>46190</v>
      </c>
      <c r="B96" s="317" t="s">
        <v>279</v>
      </c>
      <c r="C96" s="335" t="s">
        <v>289</v>
      </c>
      <c r="D96" s="327">
        <v>5</v>
      </c>
      <c r="E96" s="317">
        <v>52</v>
      </c>
      <c r="F96" s="317">
        <v>43</v>
      </c>
      <c r="G96" s="317">
        <v>37</v>
      </c>
      <c r="H96" s="317">
        <v>30</v>
      </c>
      <c r="I96" s="317">
        <v>4</v>
      </c>
      <c r="J96" s="337">
        <v>33822.79999999999</v>
      </c>
      <c r="K96" s="318">
        <v>18039.23</v>
      </c>
      <c r="L96" s="319">
        <f t="shared" si="0"/>
      </c>
      <c r="M96" s="319">
        <f t="shared" si="20"/>
      </c>
      <c r="N96" s="319">
        <f>K96/H96</f>
      </c>
      <c r="O96" s="314" t="s">
        <v>303</v>
      </c>
      <c r="P96" s="317">
        <v>10</v>
      </c>
      <c r="Q96" s="322"/>
      <c r="R96" s="328"/>
      <c r="S96" s="328"/>
      <c r="T96" s="328"/>
      <c r="U96" s="328"/>
      <c r="V96" s="328"/>
      <c r="W96" s="328"/>
      <c r="X96" s="328"/>
    </row>
    <row r="97">
      <c r="A97" s="329">
        <v>46190</v>
      </c>
      <c r="B97" s="330"/>
      <c r="C97" s="330"/>
      <c r="D97" s="330">
        <f>SUM(D93:D96)</f>
      </c>
      <c r="E97" s="330">
        <f>SUM(E93:E96)</f>
      </c>
      <c r="F97" s="330">
        <f>SUM(F93:F96)</f>
      </c>
      <c r="G97" s="330">
        <f>SUM(G93:G96)</f>
      </c>
      <c r="H97" s="330">
        <f>SUM(H93:H96)</f>
      </c>
      <c r="I97" s="330">
        <f>SUM(I93:I96)</f>
      </c>
      <c r="J97" s="330">
        <f>SUM(J93:J96)</f>
      </c>
      <c r="K97" s="330">
        <f>SUM(K93:K96)</f>
      </c>
      <c r="L97" s="331">
        <f t="shared" si="0"/>
      </c>
      <c r="M97" s="331">
        <f t="shared" si="20"/>
      </c>
      <c r="N97" s="331">
        <f t="shared" ref="N97:N100" si="18">K97/F97</f>
      </c>
      <c r="O97" s="332"/>
      <c r="P97" s="330">
        <f>P93+P94+P95+P96</f>
      </c>
      <c r="Q97" s="332"/>
      <c r="R97" s="333"/>
      <c r="S97" s="333"/>
      <c r="T97" s="333"/>
      <c r="U97" s="333"/>
      <c r="V97" s="333"/>
      <c r="W97" s="333"/>
      <c r="X97" s="333"/>
    </row>
    <row hidden="true" r="98">
      <c r="A98" s="334">
        <v>46191</v>
      </c>
      <c r="B98" s="317" t="s">
        <v>288</v>
      </c>
      <c r="C98" s="335" t="s">
        <v>280</v>
      </c>
      <c r="D98" s="326">
        <v>5</v>
      </c>
      <c r="E98" s="315">
        <v>81</v>
      </c>
      <c r="F98" s="316">
        <v>69</v>
      </c>
      <c r="G98" s="317">
        <v>42</v>
      </c>
      <c r="H98" s="317">
        <v>42</v>
      </c>
      <c r="I98" s="317">
        <v>7</v>
      </c>
      <c r="J98" s="336">
        <v>69720.80000000002</v>
      </c>
      <c r="K98" s="327">
        <v>33318.92</v>
      </c>
      <c r="L98" s="319">
        <f t="shared" si="0"/>
      </c>
      <c r="M98" s="319">
        <f t="shared" si="20"/>
      </c>
      <c r="N98" s="319">
        <f t="shared" si="18"/>
      </c>
      <c r="O98" s="314" t="s">
        <v>304</v>
      </c>
      <c r="P98" s="327">
        <v>10</v>
      </c>
      <c r="Q98" s="320"/>
      <c r="R98" s="321"/>
      <c r="S98" s="321"/>
      <c r="T98" s="321"/>
      <c r="U98" s="321"/>
      <c r="V98" s="321"/>
      <c r="W98" s="321"/>
      <c r="X98" s="321"/>
    </row>
    <row hidden="true" r="99">
      <c r="A99" s="334">
        <v>46191</v>
      </c>
      <c r="B99" s="312" t="s">
        <v>282</v>
      </c>
      <c r="C99" s="335" t="s">
        <v>297</v>
      </c>
      <c r="D99" s="327">
        <v>5</v>
      </c>
      <c r="E99" s="317">
        <v>59</v>
      </c>
      <c r="F99" s="317">
        <v>49</v>
      </c>
      <c r="G99" s="317">
        <v>42</v>
      </c>
      <c r="H99" s="317">
        <v>26</v>
      </c>
      <c r="I99" s="317">
        <v>3</v>
      </c>
      <c r="J99" s="337">
        <v>49858.20000000002</v>
      </c>
      <c r="K99" s="337">
        <v>27442.440000000002</v>
      </c>
      <c r="L99" s="319">
        <f t="shared" si="0"/>
      </c>
      <c r="M99" s="319">
        <f t="shared" si="20"/>
      </c>
      <c r="N99" s="319">
        <f t="shared" si="18"/>
      </c>
      <c r="O99" s="322"/>
      <c r="P99" s="322"/>
      <c r="Q99" s="323"/>
      <c r="R99" s="324"/>
      <c r="S99" s="324"/>
      <c r="T99" s="324"/>
      <c r="U99" s="324"/>
      <c r="V99" s="324"/>
      <c r="W99" s="324"/>
      <c r="X99" s="324"/>
    </row>
    <row hidden="true" r="100">
      <c r="A100" s="334">
        <v>46191</v>
      </c>
      <c r="B100" s="317" t="s">
        <v>279</v>
      </c>
      <c r="C100" s="335" t="s">
        <v>298</v>
      </c>
      <c r="D100" s="327">
        <v>5</v>
      </c>
      <c r="E100" s="317">
        <v>65</v>
      </c>
      <c r="F100" s="317">
        <v>53</v>
      </c>
      <c r="G100" s="317">
        <v>33</v>
      </c>
      <c r="H100" s="317">
        <v>35</v>
      </c>
      <c r="I100" s="317">
        <v>7</v>
      </c>
      <c r="J100" s="337">
        <v>50960.79999999999</v>
      </c>
      <c r="K100" s="337">
        <v>23094.64</v>
      </c>
      <c r="L100" s="319">
        <f t="shared" si="0"/>
      </c>
      <c r="M100" s="319">
        <f t="shared" si="20"/>
      </c>
      <c r="N100" s="319">
        <f t="shared" si="18"/>
      </c>
      <c r="O100" s="326"/>
      <c r="P100" s="327"/>
      <c r="Q100" s="323"/>
      <c r="R100" s="324"/>
      <c r="S100" s="324"/>
      <c r="T100" s="324"/>
      <c r="U100" s="324"/>
      <c r="V100" s="324"/>
      <c r="W100" s="324"/>
      <c r="X100" s="324"/>
    </row>
    <row hidden="true" r="101">
      <c r="A101" s="334">
        <v>46191</v>
      </c>
      <c r="B101" s="317" t="s">
        <v>284</v>
      </c>
      <c r="C101" s="335" t="s">
        <v>289</v>
      </c>
      <c r="D101" s="327">
        <v>5</v>
      </c>
      <c r="E101" s="317">
        <v>79</v>
      </c>
      <c r="F101" s="317">
        <v>62</v>
      </c>
      <c r="G101" s="317">
        <v>52</v>
      </c>
      <c r="H101" s="317">
        <v>34</v>
      </c>
      <c r="I101" s="317">
        <v>7</v>
      </c>
      <c r="J101" s="337">
        <v>52945.399999999994</v>
      </c>
      <c r="K101" s="318">
        <v>31600.11</v>
      </c>
      <c r="L101" s="319">
        <f t="shared" si="0"/>
      </c>
      <c r="M101" s="319">
        <f t="shared" si="20"/>
      </c>
      <c r="N101" s="319">
        <f>K101/H101</f>
      </c>
      <c r="O101" s="314" t="s">
        <v>303</v>
      </c>
      <c r="P101" s="317">
        <v>10</v>
      </c>
      <c r="Q101" s="322"/>
      <c r="R101" s="328"/>
      <c r="S101" s="328"/>
      <c r="T101" s="328"/>
      <c r="U101" s="328"/>
      <c r="V101" s="328"/>
      <c r="W101" s="328"/>
      <c r="X101" s="328"/>
    </row>
    <row r="102">
      <c r="A102" s="329">
        <v>46191</v>
      </c>
      <c r="B102" s="330"/>
      <c r="C102" s="330"/>
      <c r="D102" s="330">
        <f>SUM(D98:D101)</f>
      </c>
      <c r="E102" s="330">
        <f>SUM(E98:E101)</f>
      </c>
      <c r="F102" s="330">
        <f>SUM(F98:F101)</f>
      </c>
      <c r="G102" s="330">
        <f>SUM(G98:G101)</f>
      </c>
      <c r="H102" s="330">
        <f>SUM(H98:H101)</f>
      </c>
      <c r="I102" s="330">
        <f>SUM(I98:I101)</f>
      </c>
      <c r="J102" s="330">
        <f>SUM(J98:J101)</f>
      </c>
      <c r="K102" s="330">
        <f>SUM(K98:K101)</f>
      </c>
      <c r="L102" s="331">
        <f t="shared" si="0"/>
      </c>
      <c r="M102" s="331">
        <f t="shared" si="20"/>
      </c>
      <c r="N102" s="331">
        <f t="shared" ref="N102:N162" si="19">K102/F102</f>
      </c>
      <c r="O102" s="332"/>
      <c r="P102" s="330">
        <f>P98+P99+P100+P101</f>
      </c>
      <c r="Q102" s="332"/>
      <c r="R102" s="333"/>
      <c r="S102" s="333"/>
      <c r="T102" s="333"/>
      <c r="U102" s="333"/>
      <c r="V102" s="333"/>
      <c r="W102" s="333"/>
      <c r="X102" s="333"/>
    </row>
    <row hidden="true" r="103">
      <c r="A103" s="334">
        <v>46192</v>
      </c>
      <c r="B103" s="317" t="s">
        <v>288</v>
      </c>
      <c r="C103" s="335" t="s">
        <v>280</v>
      </c>
      <c r="D103" s="326">
        <v>5</v>
      </c>
      <c r="E103" s="315">
        <v>49</v>
      </c>
      <c r="F103" s="316">
        <v>37</v>
      </c>
      <c r="G103" s="317">
        <v>27</v>
      </c>
      <c r="H103" s="317">
        <v>20</v>
      </c>
      <c r="I103" s="317">
        <v>3</v>
      </c>
      <c r="J103" s="318">
        <v>33989</v>
      </c>
      <c r="K103" s="327">
        <v>22982.450000000004</v>
      </c>
      <c r="L103" s="319">
        <f t="shared" si="0"/>
      </c>
      <c r="M103" s="319">
        <f t="shared" si="20"/>
      </c>
      <c r="N103" s="319">
        <f t="shared" si="19"/>
      </c>
      <c r="O103" s="314" t="s">
        <v>304</v>
      </c>
      <c r="P103" s="327">
        <v>10</v>
      </c>
      <c r="Q103" s="320"/>
      <c r="R103" s="321"/>
      <c r="S103" s="321"/>
      <c r="T103" s="321"/>
      <c r="U103" s="321"/>
      <c r="V103" s="321"/>
      <c r="W103" s="321"/>
      <c r="X103" s="321"/>
    </row>
    <row hidden="true" r="104">
      <c r="A104" s="334">
        <v>46192</v>
      </c>
      <c r="B104" s="317" t="s">
        <v>279</v>
      </c>
      <c r="C104" s="335" t="s">
        <v>297</v>
      </c>
      <c r="D104" s="327">
        <v>5</v>
      </c>
      <c r="E104" s="317">
        <v>20</v>
      </c>
      <c r="F104" s="317">
        <v>13</v>
      </c>
      <c r="G104" s="317">
        <v>12</v>
      </c>
      <c r="H104" s="317">
        <v>6</v>
      </c>
      <c r="I104" s="317">
        <v>0</v>
      </c>
      <c r="J104" s="318">
        <v>12449.4</v>
      </c>
      <c r="K104" s="318">
        <v>12452.46</v>
      </c>
      <c r="L104" s="319">
        <f t="shared" si="0"/>
      </c>
      <c r="M104" s="319">
        <f t="shared" si="20"/>
      </c>
      <c r="N104" s="319">
        <f t="shared" si="19"/>
      </c>
      <c r="O104" s="322"/>
      <c r="P104" s="322"/>
      <c r="Q104" s="323"/>
      <c r="R104" s="324"/>
      <c r="S104" s="324"/>
      <c r="T104" s="324"/>
      <c r="U104" s="324"/>
      <c r="V104" s="324"/>
      <c r="W104" s="324"/>
      <c r="X104" s="324"/>
    </row>
    <row hidden="true" r="105">
      <c r="A105" s="334">
        <v>46192</v>
      </c>
      <c r="B105" s="317" t="s">
        <v>284</v>
      </c>
      <c r="C105" s="335" t="s">
        <v>298</v>
      </c>
      <c r="D105" s="327">
        <v>5</v>
      </c>
      <c r="E105" s="317">
        <v>50</v>
      </c>
      <c r="F105" s="317">
        <v>36</v>
      </c>
      <c r="G105" s="317">
        <v>27</v>
      </c>
      <c r="H105" s="317">
        <v>28</v>
      </c>
      <c r="I105" s="317">
        <v>4</v>
      </c>
      <c r="J105" s="318">
        <v>30835.4</v>
      </c>
      <c r="K105" s="318">
        <v>10570.99</v>
      </c>
      <c r="L105" s="319">
        <f t="shared" si="0"/>
      </c>
      <c r="M105" s="319">
        <f t="shared" si="20"/>
      </c>
      <c r="N105" s="319">
        <f t="shared" si="19"/>
      </c>
      <c r="O105" s="326"/>
      <c r="P105" s="327"/>
      <c r="Q105" s="323"/>
      <c r="R105" s="324"/>
      <c r="S105" s="324"/>
      <c r="T105" s="324"/>
      <c r="U105" s="324"/>
      <c r="V105" s="324"/>
      <c r="W105" s="324"/>
      <c r="X105" s="324"/>
    </row>
    <row hidden="true" r="106">
      <c r="A106" s="334">
        <v>46192</v>
      </c>
      <c r="B106" s="317" t="s">
        <v>282</v>
      </c>
      <c r="C106" s="335" t="s">
        <v>289</v>
      </c>
      <c r="D106" s="327">
        <v>5</v>
      </c>
      <c r="E106" s="317">
        <v>64</v>
      </c>
      <c r="F106" s="317">
        <v>57</v>
      </c>
      <c r="G106" s="317">
        <v>41</v>
      </c>
      <c r="H106" s="317">
        <v>39</v>
      </c>
      <c r="I106" s="317">
        <v>8</v>
      </c>
      <c r="J106" s="318">
        <v>59244.4</v>
      </c>
      <c r="K106" s="318">
        <v>27153.88</v>
      </c>
      <c r="L106" s="319">
        <f t="shared" si="0"/>
      </c>
      <c r="M106" s="319">
        <f t="shared" si="20"/>
      </c>
      <c r="N106" s="319">
        <f t="shared" si="19"/>
      </c>
      <c r="O106" s="314" t="s">
        <v>305</v>
      </c>
      <c r="P106" s="317">
        <v>10</v>
      </c>
      <c r="Q106" s="322"/>
      <c r="R106" s="328"/>
      <c r="S106" s="328"/>
      <c r="T106" s="328"/>
      <c r="U106" s="328"/>
      <c r="V106" s="328"/>
      <c r="W106" s="328"/>
      <c r="X106" s="328"/>
    </row>
    <row r="107">
      <c r="A107" s="329">
        <v>46192</v>
      </c>
      <c r="B107" s="330"/>
      <c r="C107" s="330"/>
      <c r="D107" s="330">
        <f>SUM(D103:D106)</f>
      </c>
      <c r="E107" s="330">
        <f>SUM(E103:E106)</f>
      </c>
      <c r="F107" s="330">
        <f>SUM(F103:F106)</f>
      </c>
      <c r="G107" s="330">
        <f>SUM(G103:G106)</f>
      </c>
      <c r="H107" s="330">
        <f>SUM(H103:H106)</f>
      </c>
      <c r="I107" s="330">
        <f>SUM(I103:I106)</f>
      </c>
      <c r="J107" s="330">
        <f>SUM(J103:J106)</f>
      </c>
      <c r="K107" s="330">
        <f>SUM(K103:K106)</f>
      </c>
      <c r="L107" s="331">
        <f t="shared" si="0"/>
      </c>
      <c r="M107" s="331">
        <f t="shared" si="20"/>
      </c>
      <c r="N107" s="331">
        <f t="shared" si="19"/>
      </c>
      <c r="O107" s="332"/>
      <c r="P107" s="330">
        <f>P103+P104+P105+P106</f>
      </c>
      <c r="Q107" s="332"/>
      <c r="R107" s="333"/>
      <c r="S107" s="333"/>
      <c r="T107" s="333"/>
      <c r="U107" s="333"/>
      <c r="V107" s="333"/>
      <c r="W107" s="333"/>
      <c r="X107" s="333"/>
    </row>
    <row hidden="true" r="108">
      <c r="A108" s="334">
        <v>46193</v>
      </c>
      <c r="B108" s="317" t="s">
        <v>279</v>
      </c>
      <c r="C108" s="335" t="s">
        <v>280</v>
      </c>
      <c r="D108" s="326">
        <v>5</v>
      </c>
      <c r="E108" s="315">
        <v>57</v>
      </c>
      <c r="F108" s="316">
        <v>37</v>
      </c>
      <c r="G108" s="317">
        <v>31</v>
      </c>
      <c r="H108" s="317">
        <v>17</v>
      </c>
      <c r="I108" s="317">
        <v>3</v>
      </c>
      <c r="J108" s="318">
        <v>34025.6</v>
      </c>
      <c r="K108" s="327">
        <v>23239.149999999998</v>
      </c>
      <c r="L108" s="319">
        <f t="shared" si="0"/>
      </c>
      <c r="M108" s="319">
        <f t="shared" si="20"/>
      </c>
      <c r="N108" s="319">
        <f t="shared" si="19"/>
      </c>
      <c r="O108" s="314" t="s">
        <v>304</v>
      </c>
      <c r="P108" s="327">
        <v>10</v>
      </c>
      <c r="Q108" s="320"/>
      <c r="R108" s="321"/>
      <c r="S108" s="321"/>
      <c r="T108" s="321"/>
      <c r="U108" s="321"/>
      <c r="V108" s="321"/>
      <c r="W108" s="321"/>
      <c r="X108" s="321"/>
    </row>
    <row hidden="true" r="109">
      <c r="A109" s="334">
        <v>46193</v>
      </c>
      <c r="B109" s="317" t="s">
        <v>284</v>
      </c>
      <c r="C109" s="335" t="s">
        <v>297</v>
      </c>
      <c r="D109" s="327">
        <v>5</v>
      </c>
      <c r="E109" s="317">
        <v>58</v>
      </c>
      <c r="F109" s="317">
        <v>53</v>
      </c>
      <c r="G109" s="317">
        <v>43</v>
      </c>
      <c r="H109" s="317">
        <v>35</v>
      </c>
      <c r="I109" s="317">
        <v>5</v>
      </c>
      <c r="J109" s="318">
        <v>54718.40000000001</v>
      </c>
      <c r="K109" s="318">
        <v>31881.61</v>
      </c>
      <c r="L109" s="319">
        <f t="shared" si="0"/>
      </c>
      <c r="M109" s="319">
        <f t="shared" si="20"/>
      </c>
      <c r="N109" s="319">
        <f t="shared" si="19"/>
      </c>
      <c r="O109" s="322"/>
      <c r="P109" s="322"/>
      <c r="Q109" s="323"/>
      <c r="R109" s="324"/>
      <c r="S109" s="324"/>
      <c r="T109" s="324"/>
      <c r="U109" s="324"/>
      <c r="V109" s="324"/>
      <c r="W109" s="324"/>
      <c r="X109" s="324"/>
    </row>
    <row hidden="true" r="110">
      <c r="A110" s="334">
        <v>46193</v>
      </c>
      <c r="B110" s="339" t="s">
        <v>299</v>
      </c>
      <c r="C110" s="335" t="s">
        <v>298</v>
      </c>
      <c r="D110" s="327">
        <v>5</v>
      </c>
      <c r="E110" s="317">
        <v>81</v>
      </c>
      <c r="F110" s="317">
        <v>67</v>
      </c>
      <c r="G110" s="317">
        <v>56</v>
      </c>
      <c r="H110" s="317">
        <v>43</v>
      </c>
      <c r="I110" s="317">
        <v>7</v>
      </c>
      <c r="J110" s="318">
        <v>70258.00000000003</v>
      </c>
      <c r="K110" s="318">
        <v>41845.590000000004</v>
      </c>
      <c r="L110" s="319">
        <f t="shared" si="0"/>
      </c>
      <c r="M110" s="319">
        <f t="shared" si="20"/>
      </c>
      <c r="N110" s="319">
        <f t="shared" si="19"/>
      </c>
      <c r="O110" s="326"/>
      <c r="P110" s="327"/>
      <c r="Q110" s="323"/>
      <c r="R110" s="324"/>
      <c r="S110" s="324"/>
      <c r="T110" s="324"/>
      <c r="U110" s="324"/>
      <c r="V110" s="324"/>
      <c r="W110" s="324"/>
      <c r="X110" s="324"/>
    </row>
    <row hidden="true" r="111">
      <c r="A111" s="334">
        <v>46193</v>
      </c>
      <c r="B111" s="317" t="s">
        <v>282</v>
      </c>
      <c r="C111" s="335" t="s">
        <v>289</v>
      </c>
      <c r="D111" s="327">
        <v>5</v>
      </c>
      <c r="E111" s="317">
        <v>78</v>
      </c>
      <c r="F111" s="317">
        <v>58</v>
      </c>
      <c r="G111" s="317">
        <v>48</v>
      </c>
      <c r="H111" s="317">
        <v>38</v>
      </c>
      <c r="I111" s="317">
        <v>5</v>
      </c>
      <c r="J111" s="318">
        <v>54595.59999999999</v>
      </c>
      <c r="K111" s="318">
        <v>36803.27</v>
      </c>
      <c r="L111" s="319">
        <f t="shared" si="0"/>
      </c>
      <c r="M111" s="319">
        <f t="shared" si="20"/>
      </c>
      <c r="N111" s="319">
        <f t="shared" si="19"/>
      </c>
      <c r="O111" s="314" t="s">
        <v>303</v>
      </c>
      <c r="P111" s="317">
        <v>10</v>
      </c>
      <c r="Q111" s="322"/>
      <c r="R111" s="328"/>
      <c r="S111" s="328"/>
      <c r="T111" s="328"/>
      <c r="U111" s="328"/>
      <c r="V111" s="328"/>
      <c r="W111" s="328"/>
      <c r="X111" s="328"/>
    </row>
    <row r="112">
      <c r="A112" s="329">
        <v>46193</v>
      </c>
      <c r="B112" s="330"/>
      <c r="C112" s="330"/>
      <c r="D112" s="330">
        <f>SUM(D108:D111)</f>
      </c>
      <c r="E112" s="330">
        <f>SUM(E108:E111)</f>
      </c>
      <c r="F112" s="330">
        <f>SUM(F108:F111)</f>
      </c>
      <c r="G112" s="330">
        <f>SUM(G108:G111)</f>
      </c>
      <c r="H112" s="330">
        <f>SUM(H108:H111)</f>
      </c>
      <c r="I112" s="330">
        <f>SUM(I108:I111)</f>
      </c>
      <c r="J112" s="330">
        <f>SUM(J108:J111)</f>
      </c>
      <c r="K112" s="330">
        <f>SUM(K108:K111)</f>
      </c>
      <c r="L112" s="331">
        <f t="shared" si="0"/>
      </c>
      <c r="M112" s="331">
        <f t="shared" si="20"/>
      </c>
      <c r="N112" s="331">
        <f t="shared" si="19"/>
      </c>
      <c r="O112" s="332"/>
      <c r="P112" s="330">
        <f>P108+P109+P110+P111</f>
      </c>
      <c r="Q112" s="332"/>
      <c r="R112" s="333"/>
      <c r="S112" s="333"/>
      <c r="T112" s="333"/>
      <c r="U112" s="333"/>
      <c r="V112" s="333"/>
      <c r="W112" s="333"/>
      <c r="X112" s="333"/>
    </row>
    <row hidden="true" r="113">
      <c r="A113" s="334">
        <v>46194</v>
      </c>
      <c r="B113" s="317" t="s">
        <v>279</v>
      </c>
      <c r="C113" s="335" t="s">
        <v>280</v>
      </c>
      <c r="D113" s="326">
        <v>5</v>
      </c>
      <c r="E113" s="315">
        <v>78</v>
      </c>
      <c r="F113" s="316">
        <v>60</v>
      </c>
      <c r="G113" s="317">
        <v>44</v>
      </c>
      <c r="H113" s="317">
        <v>34</v>
      </c>
      <c r="I113" s="317">
        <v>4</v>
      </c>
      <c r="J113" s="318">
        <v>59599.10000000002</v>
      </c>
      <c r="K113" s="327">
        <v>31494.310000000005</v>
      </c>
      <c r="L113" s="319">
        <f t="shared" si="0"/>
      </c>
      <c r="M113" s="319">
        <f t="shared" si="20"/>
      </c>
      <c r="N113" s="319">
        <f t="shared" si="19"/>
      </c>
      <c r="O113" s="314" t="s">
        <v>304</v>
      </c>
      <c r="P113" s="327">
        <v>10</v>
      </c>
      <c r="Q113" s="320"/>
      <c r="R113" s="321"/>
      <c r="S113" s="321"/>
      <c r="T113" s="321"/>
      <c r="U113" s="321"/>
      <c r="V113" s="321"/>
      <c r="W113" s="321"/>
      <c r="X113" s="321"/>
    </row>
    <row hidden="true" r="114">
      <c r="A114" s="334">
        <v>46194</v>
      </c>
      <c r="B114" s="317" t="s">
        <v>284</v>
      </c>
      <c r="C114" s="335" t="s">
        <v>297</v>
      </c>
      <c r="D114" s="327">
        <v>5</v>
      </c>
      <c r="E114" s="317">
        <v>70</v>
      </c>
      <c r="F114" s="317">
        <v>56</v>
      </c>
      <c r="G114" s="317">
        <v>46</v>
      </c>
      <c r="H114" s="317">
        <v>37</v>
      </c>
      <c r="I114" s="317">
        <v>5</v>
      </c>
      <c r="J114" s="318">
        <v>52304.4</v>
      </c>
      <c r="K114" s="318">
        <v>27428.530000000002</v>
      </c>
      <c r="L114" s="319">
        <f t="shared" si="0"/>
      </c>
      <c r="M114" s="319">
        <f t="shared" si="20"/>
      </c>
      <c r="N114" s="319">
        <f t="shared" si="19"/>
      </c>
      <c r="O114" s="322"/>
      <c r="P114" s="322"/>
      <c r="Q114" s="323"/>
      <c r="R114" s="324"/>
      <c r="S114" s="324"/>
      <c r="T114" s="324"/>
      <c r="U114" s="324"/>
      <c r="V114" s="324"/>
      <c r="W114" s="324"/>
      <c r="X114" s="324"/>
    </row>
    <row hidden="true" r="115">
      <c r="A115" s="334">
        <v>46194</v>
      </c>
      <c r="B115" s="339" t="s">
        <v>299</v>
      </c>
      <c r="C115" s="335" t="s">
        <v>298</v>
      </c>
      <c r="D115" s="327">
        <v>5</v>
      </c>
      <c r="E115" s="317">
        <v>74</v>
      </c>
      <c r="F115" s="317">
        <v>50</v>
      </c>
      <c r="G115" s="317">
        <v>41</v>
      </c>
      <c r="H115" s="317">
        <v>33</v>
      </c>
      <c r="I115" s="317">
        <v>5</v>
      </c>
      <c r="J115" s="318">
        <v>42872.70000000002</v>
      </c>
      <c r="K115" s="318">
        <v>27593.379999999997</v>
      </c>
      <c r="L115" s="319">
        <f t="shared" si="0"/>
      </c>
      <c r="M115" s="319">
        <f t="shared" si="20"/>
      </c>
      <c r="N115" s="319">
        <f t="shared" si="19"/>
      </c>
      <c r="O115" s="326"/>
      <c r="P115" s="327"/>
      <c r="Q115" s="323"/>
      <c r="R115" s="324"/>
      <c r="S115" s="324"/>
      <c r="T115" s="324"/>
      <c r="U115" s="324"/>
      <c r="V115" s="324"/>
      <c r="W115" s="324"/>
      <c r="X115" s="324"/>
    </row>
    <row hidden="true" r="116">
      <c r="A116" s="334">
        <v>46194</v>
      </c>
      <c r="B116" s="317" t="s">
        <v>282</v>
      </c>
      <c r="C116" s="335" t="s">
        <v>289</v>
      </c>
      <c r="D116" s="327">
        <v>5</v>
      </c>
      <c r="E116" s="317">
        <v>56</v>
      </c>
      <c r="F116" s="317">
        <v>40</v>
      </c>
      <c r="G116" s="317">
        <v>28</v>
      </c>
      <c r="H116" s="317">
        <v>24</v>
      </c>
      <c r="I116" s="317">
        <v>4</v>
      </c>
      <c r="J116" s="318">
        <v>44878.399999999994</v>
      </c>
      <c r="K116" s="318">
        <v>28037.149999999998</v>
      </c>
      <c r="L116" s="319">
        <f t="shared" si="0"/>
      </c>
      <c r="M116" s="319">
        <f t="shared" si="20"/>
      </c>
      <c r="N116" s="319">
        <f t="shared" si="19"/>
      </c>
      <c r="O116" s="314" t="s">
        <v>303</v>
      </c>
      <c r="P116" s="317">
        <v>10</v>
      </c>
      <c r="Q116" s="322"/>
      <c r="R116" s="328"/>
      <c r="S116" s="328"/>
      <c r="T116" s="328"/>
      <c r="U116" s="328"/>
      <c r="V116" s="328"/>
      <c r="W116" s="328"/>
      <c r="X116" s="328"/>
    </row>
    <row r="117">
      <c r="A117" s="329">
        <v>46194</v>
      </c>
      <c r="B117" s="330"/>
      <c r="C117" s="330"/>
      <c r="D117" s="330">
        <f>SUM(D113:D116)</f>
      </c>
      <c r="E117" s="330">
        <f>SUM(E113:E116)</f>
      </c>
      <c r="F117" s="330">
        <f>SUM(F113:F116)</f>
      </c>
      <c r="G117" s="330">
        <f>SUM(G113:G116)</f>
      </c>
      <c r="H117" s="330">
        <f>SUM(H113:H116)</f>
      </c>
      <c r="I117" s="330">
        <f>SUM(I113:I116)</f>
      </c>
      <c r="J117" s="330">
        <f>SUM(J113:J116)</f>
      </c>
      <c r="K117" s="330">
        <f>SUM(K113:K116)</f>
      </c>
      <c r="L117" s="331">
        <f t="shared" si="0"/>
      </c>
      <c r="M117" s="331">
        <f t="shared" si="20"/>
      </c>
      <c r="N117" s="331">
        <f t="shared" si="19"/>
      </c>
      <c r="O117" s="332"/>
      <c r="P117" s="330">
        <f>P113+P114+P115+P116</f>
      </c>
      <c r="Q117" s="332"/>
      <c r="R117" s="333"/>
      <c r="S117" s="333"/>
      <c r="T117" s="333"/>
      <c r="U117" s="333"/>
      <c r="V117" s="333"/>
      <c r="W117" s="333"/>
      <c r="X117" s="333"/>
    </row>
    <row hidden="true" r="118">
      <c r="A118" s="334">
        <v>46195</v>
      </c>
      <c r="B118" s="339" t="s">
        <v>288</v>
      </c>
      <c r="C118" s="335" t="s">
        <v>280</v>
      </c>
      <c r="D118" s="326">
        <v>5</v>
      </c>
      <c r="E118" s="315">
        <v>63</v>
      </c>
      <c r="F118" s="316">
        <v>46</v>
      </c>
      <c r="G118" s="317">
        <v>34</v>
      </c>
      <c r="H118" s="317">
        <v>37</v>
      </c>
      <c r="I118" s="317">
        <v>7</v>
      </c>
      <c r="J118" s="318">
        <v>36681.000000000015</v>
      </c>
      <c r="K118" s="327">
        <v>25356.17</v>
      </c>
      <c r="L118" s="319">
        <f t="shared" si="0"/>
      </c>
      <c r="M118" s="319">
        <f t="shared" si="20"/>
      </c>
      <c r="N118" s="319">
        <f t="shared" si="19"/>
      </c>
      <c r="O118" s="314" t="s">
        <v>304</v>
      </c>
      <c r="P118" s="327">
        <v>10</v>
      </c>
      <c r="Q118" s="320"/>
      <c r="R118" s="321"/>
      <c r="S118" s="321"/>
      <c r="T118" s="321"/>
      <c r="U118" s="321"/>
      <c r="V118" s="321"/>
      <c r="W118" s="321"/>
      <c r="X118" s="321"/>
    </row>
    <row hidden="true" r="119">
      <c r="A119" s="334">
        <v>46195</v>
      </c>
      <c r="B119" s="317" t="s">
        <v>279</v>
      </c>
      <c r="C119" s="335" t="s">
        <v>297</v>
      </c>
      <c r="D119" s="327">
        <v>5</v>
      </c>
      <c r="E119" s="317">
        <v>91</v>
      </c>
      <c r="F119" s="317">
        <v>75</v>
      </c>
      <c r="G119" s="317">
        <v>47</v>
      </c>
      <c r="H119" s="317">
        <v>49</v>
      </c>
      <c r="I119" s="317">
        <v>12</v>
      </c>
      <c r="J119" s="318">
        <v>86010.59999999999</v>
      </c>
      <c r="K119" s="318">
        <v>28145.64</v>
      </c>
      <c r="L119" s="319">
        <f t="shared" si="0"/>
      </c>
      <c r="M119" s="319">
        <f t="shared" si="20"/>
      </c>
      <c r="N119" s="319">
        <f t="shared" si="19"/>
      </c>
      <c r="O119" s="322"/>
      <c r="P119" s="322"/>
      <c r="Q119" s="323"/>
      <c r="R119" s="324"/>
      <c r="S119" s="324"/>
      <c r="T119" s="324"/>
      <c r="U119" s="324"/>
      <c r="V119" s="324"/>
      <c r="W119" s="324"/>
      <c r="X119" s="324"/>
    </row>
    <row hidden="true" r="120">
      <c r="A120" s="334">
        <v>46195</v>
      </c>
      <c r="B120" s="317" t="s">
        <v>282</v>
      </c>
      <c r="C120" s="335" t="s">
        <v>298</v>
      </c>
      <c r="D120" s="327">
        <v>5</v>
      </c>
      <c r="E120" s="317">
        <v>46</v>
      </c>
      <c r="F120" s="317">
        <v>35</v>
      </c>
      <c r="G120" s="317">
        <v>30</v>
      </c>
      <c r="H120" s="317">
        <v>21</v>
      </c>
      <c r="I120" s="317">
        <v>3</v>
      </c>
      <c r="J120" s="318">
        <v>35467.2</v>
      </c>
      <c r="K120" s="318">
        <v>21866.03</v>
      </c>
      <c r="L120" s="319">
        <f t="shared" si="0"/>
      </c>
      <c r="M120" s="319">
        <f t="shared" si="20"/>
      </c>
      <c r="N120" s="319">
        <f t="shared" si="19"/>
      </c>
      <c r="O120" s="326"/>
      <c r="P120" s="327"/>
      <c r="Q120" s="323"/>
      <c r="R120" s="324"/>
      <c r="S120" s="324"/>
      <c r="T120" s="324"/>
      <c r="U120" s="324"/>
      <c r="V120" s="324"/>
      <c r="W120" s="324"/>
      <c r="X120" s="324"/>
    </row>
    <row hidden="true" r="121">
      <c r="A121" s="334">
        <v>46195</v>
      </c>
      <c r="B121" s="317" t="s">
        <v>284</v>
      </c>
      <c r="C121" s="335" t="s">
        <v>289</v>
      </c>
      <c r="D121" s="327">
        <v>5</v>
      </c>
      <c r="E121" s="317">
        <v>61</v>
      </c>
      <c r="F121" s="317">
        <v>53</v>
      </c>
      <c r="G121" s="317">
        <v>41</v>
      </c>
      <c r="H121" s="317">
        <v>38</v>
      </c>
      <c r="I121" s="317">
        <v>6</v>
      </c>
      <c r="J121" s="318">
        <v>48514.759999999995</v>
      </c>
      <c r="K121" s="318">
        <v>23207.99</v>
      </c>
      <c r="L121" s="319">
        <f t="shared" si="0"/>
      </c>
      <c r="M121" s="319">
        <f t="shared" si="20"/>
      </c>
      <c r="N121" s="319">
        <f t="shared" si="19"/>
      </c>
      <c r="O121" s="314" t="s">
        <v>303</v>
      </c>
      <c r="P121" s="317">
        <v>10</v>
      </c>
      <c r="Q121" s="322"/>
      <c r="R121" s="328"/>
      <c r="S121" s="328"/>
      <c r="T121" s="328"/>
      <c r="U121" s="328"/>
      <c r="V121" s="328"/>
      <c r="W121" s="328"/>
      <c r="X121" s="328"/>
    </row>
    <row r="122">
      <c r="A122" s="329">
        <v>46195</v>
      </c>
      <c r="B122" s="330"/>
      <c r="C122" s="330"/>
      <c r="D122" s="330">
        <f>SUM(D118:D121)</f>
      </c>
      <c r="E122" s="330">
        <f>SUM(E118:E121)</f>
      </c>
      <c r="F122" s="330">
        <f>SUM(F118:F121)</f>
      </c>
      <c r="G122" s="330">
        <f>SUM(G118:G121)</f>
      </c>
      <c r="H122" s="330">
        <f>SUM(H118:H121)</f>
      </c>
      <c r="I122" s="330">
        <f>SUM(I118:I121)</f>
      </c>
      <c r="J122" s="330">
        <f>SUM(J118:J121)</f>
      </c>
      <c r="K122" s="330">
        <f>SUM(K118:K121)</f>
      </c>
      <c r="L122" s="331">
        <f t="shared" si="0"/>
      </c>
      <c r="M122" s="331">
        <f t="shared" si="20"/>
      </c>
      <c r="N122" s="331">
        <f t="shared" si="19"/>
      </c>
      <c r="O122" s="332"/>
      <c r="P122" s="330">
        <f>P118+P119+P120+P121</f>
      </c>
      <c r="Q122" s="332"/>
      <c r="R122" s="333"/>
      <c r="S122" s="333"/>
      <c r="T122" s="333"/>
      <c r="U122" s="333"/>
      <c r="V122" s="333"/>
      <c r="W122" s="333"/>
      <c r="X122" s="333"/>
    </row>
    <row hidden="true" r="123">
      <c r="A123" s="334">
        <v>46196</v>
      </c>
      <c r="B123" s="339" t="s">
        <v>288</v>
      </c>
      <c r="C123" s="335" t="s">
        <v>280</v>
      </c>
      <c r="D123" s="326">
        <v>5</v>
      </c>
      <c r="E123" s="315">
        <v>83</v>
      </c>
      <c r="F123" s="316">
        <v>66</v>
      </c>
      <c r="G123" s="317">
        <v>54</v>
      </c>
      <c r="H123" s="317">
        <v>41</v>
      </c>
      <c r="I123" s="317">
        <v>7</v>
      </c>
      <c r="J123" s="318">
        <v>61022.40000000001</v>
      </c>
      <c r="K123" s="327">
        <v>39258.78</v>
      </c>
      <c r="L123" s="319">
        <f t="shared" si="0"/>
      </c>
      <c r="M123" s="319">
        <f t="shared" si="20"/>
      </c>
      <c r="N123" s="319">
        <f t="shared" si="19"/>
      </c>
      <c r="O123" s="314" t="s">
        <v>291</v>
      </c>
      <c r="P123" s="327">
        <v>10</v>
      </c>
      <c r="Q123" s="320"/>
      <c r="R123" s="321"/>
      <c r="S123" s="321"/>
      <c r="T123" s="321"/>
      <c r="U123" s="321"/>
      <c r="V123" s="321"/>
      <c r="W123" s="321"/>
      <c r="X123" s="321"/>
    </row>
    <row hidden="true" r="124">
      <c r="A124" s="334">
        <v>46196</v>
      </c>
      <c r="B124" s="317" t="s">
        <v>279</v>
      </c>
      <c r="C124" s="335" t="s">
        <v>297</v>
      </c>
      <c r="D124" s="327">
        <v>5</v>
      </c>
      <c r="E124" s="317">
        <v>64</v>
      </c>
      <c r="F124" s="317">
        <v>56</v>
      </c>
      <c r="G124" s="317">
        <v>40</v>
      </c>
      <c r="H124" s="317">
        <v>35</v>
      </c>
      <c r="I124" s="317">
        <v>8</v>
      </c>
      <c r="J124" s="318">
        <v>64667.4</v>
      </c>
      <c r="K124" s="318">
        <v>27554.07</v>
      </c>
      <c r="L124" s="319">
        <f t="shared" si="0"/>
      </c>
      <c r="M124" s="319">
        <f t="shared" si="20"/>
      </c>
      <c r="N124" s="319">
        <f t="shared" si="19"/>
      </c>
      <c r="O124" s="322"/>
      <c r="P124" s="322"/>
      <c r="Q124" s="323"/>
      <c r="R124" s="324"/>
      <c r="S124" s="324"/>
      <c r="T124" s="324"/>
      <c r="U124" s="324"/>
      <c r="V124" s="324"/>
      <c r="W124" s="324"/>
      <c r="X124" s="324"/>
    </row>
    <row hidden="true" r="125">
      <c r="A125" s="334">
        <v>46196</v>
      </c>
      <c r="B125" s="317" t="s">
        <v>282</v>
      </c>
      <c r="C125" s="335" t="s">
        <v>298</v>
      </c>
      <c r="D125" s="327">
        <v>5</v>
      </c>
      <c r="E125" s="317">
        <v>52</v>
      </c>
      <c r="F125" s="317">
        <v>40</v>
      </c>
      <c r="G125" s="317">
        <v>31</v>
      </c>
      <c r="H125" s="317">
        <v>27</v>
      </c>
      <c r="I125" s="317">
        <v>4</v>
      </c>
      <c r="J125" s="318">
        <v>39957.8</v>
      </c>
      <c r="K125" s="318">
        <v>17844.5</v>
      </c>
      <c r="L125" s="319">
        <f t="shared" si="0"/>
      </c>
      <c r="M125" s="319">
        <f t="shared" si="20"/>
      </c>
      <c r="N125" s="319">
        <f t="shared" si="19"/>
      </c>
      <c r="O125" s="326"/>
      <c r="P125" s="327"/>
      <c r="Q125" s="323"/>
      <c r="R125" s="324"/>
      <c r="S125" s="324"/>
      <c r="T125" s="324"/>
      <c r="U125" s="324"/>
      <c r="V125" s="324"/>
      <c r="W125" s="324"/>
      <c r="X125" s="324"/>
    </row>
    <row hidden="true" r="126">
      <c r="A126" s="334">
        <v>46196</v>
      </c>
      <c r="B126" s="317" t="s">
        <v>284</v>
      </c>
      <c r="C126" s="335" t="s">
        <v>289</v>
      </c>
      <c r="D126" s="327">
        <v>5</v>
      </c>
      <c r="E126" s="317">
        <v>39</v>
      </c>
      <c r="F126" s="317">
        <v>32</v>
      </c>
      <c r="G126" s="317">
        <v>30</v>
      </c>
      <c r="H126" s="317">
        <v>22</v>
      </c>
      <c r="I126" s="317">
        <v>2</v>
      </c>
      <c r="J126" s="318">
        <v>28508.79999999999</v>
      </c>
      <c r="K126" s="318">
        <v>22260.129999999997</v>
      </c>
      <c r="L126" s="319">
        <f t="shared" si="0"/>
      </c>
      <c r="M126" s="319">
        <f t="shared" si="20"/>
      </c>
      <c r="N126" s="319">
        <f t="shared" si="19"/>
      </c>
      <c r="O126" s="314" t="s">
        <v>303</v>
      </c>
      <c r="P126" s="317">
        <v>10</v>
      </c>
      <c r="Q126" s="322"/>
      <c r="R126" s="328"/>
      <c r="S126" s="328"/>
      <c r="T126" s="328"/>
      <c r="U126" s="328"/>
      <c r="V126" s="328"/>
      <c r="W126" s="328"/>
      <c r="X126" s="328"/>
    </row>
    <row r="127">
      <c r="A127" s="329">
        <v>46196</v>
      </c>
      <c r="B127" s="330"/>
      <c r="C127" s="330"/>
      <c r="D127" s="330">
        <f>SUM(D123:D126)</f>
      </c>
      <c r="E127" s="330">
        <f>SUM(E123:E126)</f>
      </c>
      <c r="F127" s="330">
        <f>SUM(F123:F126)</f>
      </c>
      <c r="G127" s="330">
        <f>SUM(G123:G126)</f>
      </c>
      <c r="H127" s="330">
        <f>SUM(H123:H126)</f>
      </c>
      <c r="I127" s="330">
        <f>SUM(I123:I126)</f>
      </c>
      <c r="J127" s="330">
        <f>SUM(J123:J126)</f>
      </c>
      <c r="K127" s="330">
        <f>SUM(K123:K126)</f>
      </c>
      <c r="L127" s="331">
        <f t="shared" si="0"/>
      </c>
      <c r="M127" s="331">
        <f t="shared" si="20"/>
      </c>
      <c r="N127" s="331">
        <f t="shared" si="19"/>
      </c>
      <c r="O127" s="332"/>
      <c r="P127" s="330">
        <f>P123+P124+P125+P126</f>
      </c>
      <c r="Q127" s="332"/>
      <c r="R127" s="333"/>
      <c r="S127" s="333"/>
      <c r="T127" s="333"/>
      <c r="U127" s="333"/>
      <c r="V127" s="333"/>
      <c r="W127" s="333"/>
      <c r="X127" s="333"/>
    </row>
    <row hidden="true" r="128">
      <c r="A128" s="334">
        <v>46197</v>
      </c>
      <c r="B128" s="339" t="s">
        <v>288</v>
      </c>
      <c r="C128" s="335" t="s">
        <v>280</v>
      </c>
      <c r="D128" s="326">
        <v>5</v>
      </c>
      <c r="E128" s="315">
        <v>37</v>
      </c>
      <c r="F128" s="316">
        <v>33</v>
      </c>
      <c r="G128" s="317">
        <v>25</v>
      </c>
      <c r="H128" s="317">
        <v>19</v>
      </c>
      <c r="I128" s="317">
        <v>5</v>
      </c>
      <c r="J128" s="318">
        <v>35112.299999999996</v>
      </c>
      <c r="K128" s="327">
        <v>19223.6</v>
      </c>
      <c r="L128" s="319">
        <f t="shared" si="0"/>
      </c>
      <c r="M128" s="319">
        <f t="shared" si="20"/>
      </c>
      <c r="N128" s="319">
        <f t="shared" si="19"/>
      </c>
      <c r="O128" s="314" t="s">
        <v>291</v>
      </c>
      <c r="P128" s="327">
        <v>10</v>
      </c>
      <c r="Q128" s="320"/>
      <c r="R128" s="321"/>
      <c r="S128" s="321"/>
      <c r="T128" s="321"/>
      <c r="U128" s="321"/>
      <c r="V128" s="321"/>
      <c r="W128" s="321"/>
      <c r="X128" s="321"/>
    </row>
    <row hidden="true" r="129">
      <c r="A129" s="334">
        <v>46197</v>
      </c>
      <c r="B129" s="317" t="s">
        <v>279</v>
      </c>
      <c r="C129" s="335" t="s">
        <v>297</v>
      </c>
      <c r="D129" s="327">
        <v>5</v>
      </c>
      <c r="E129" s="317">
        <v>50</v>
      </c>
      <c r="F129" s="317">
        <v>36</v>
      </c>
      <c r="G129" s="317">
        <v>27</v>
      </c>
      <c r="H129" s="317">
        <v>19</v>
      </c>
      <c r="I129" s="317">
        <v>2</v>
      </c>
      <c r="J129" s="318">
        <v>33761</v>
      </c>
      <c r="K129" s="318">
        <v>20805.91</v>
      </c>
      <c r="L129" s="319">
        <f t="shared" si="0"/>
      </c>
      <c r="M129" s="319">
        <f t="shared" si="20"/>
      </c>
      <c r="N129" s="319">
        <f t="shared" si="19"/>
      </c>
      <c r="O129" s="322"/>
      <c r="P129" s="322"/>
      <c r="Q129" s="323"/>
      <c r="R129" s="324"/>
      <c r="S129" s="324"/>
      <c r="T129" s="324"/>
      <c r="U129" s="324"/>
      <c r="V129" s="324"/>
      <c r="W129" s="324"/>
      <c r="X129" s="324"/>
    </row>
    <row hidden="true" r="130">
      <c r="A130" s="334">
        <v>46197</v>
      </c>
      <c r="B130" s="317" t="s">
        <v>299</v>
      </c>
      <c r="C130" s="335" t="s">
        <v>298</v>
      </c>
      <c r="D130" s="327">
        <v>5</v>
      </c>
      <c r="E130" s="317">
        <v>42</v>
      </c>
      <c r="F130" s="317">
        <v>33</v>
      </c>
      <c r="G130" s="317">
        <v>28</v>
      </c>
      <c r="H130" s="317">
        <v>26</v>
      </c>
      <c r="I130" s="317">
        <v>1</v>
      </c>
      <c r="J130" s="318">
        <v>30136.00000000001</v>
      </c>
      <c r="K130" s="318">
        <v>17254.76</v>
      </c>
      <c r="L130" s="319">
        <f t="shared" si="0"/>
      </c>
      <c r="M130" s="319">
        <f t="shared" si="20"/>
      </c>
      <c r="N130" s="319">
        <f t="shared" si="19"/>
      </c>
      <c r="O130" s="326"/>
      <c r="P130" s="327"/>
      <c r="Q130" s="323"/>
      <c r="R130" s="324"/>
      <c r="S130" s="324"/>
      <c r="T130" s="324"/>
      <c r="U130" s="324"/>
      <c r="V130" s="324"/>
      <c r="W130" s="324"/>
      <c r="X130" s="324"/>
    </row>
    <row hidden="true" r="131">
      <c r="A131" s="334">
        <v>46197</v>
      </c>
      <c r="B131" s="317" t="s">
        <v>282</v>
      </c>
      <c r="C131" s="335" t="s">
        <v>289</v>
      </c>
      <c r="D131" s="327">
        <v>5</v>
      </c>
      <c r="E131" s="317">
        <v>57</v>
      </c>
      <c r="F131" s="317">
        <v>43</v>
      </c>
      <c r="G131" s="317">
        <v>36</v>
      </c>
      <c r="H131" s="317">
        <v>31</v>
      </c>
      <c r="I131" s="317">
        <v>5</v>
      </c>
      <c r="J131" s="318">
        <v>43846.9</v>
      </c>
      <c r="K131" s="318">
        <v>20083.49</v>
      </c>
      <c r="L131" s="319">
        <f t="shared" si="0"/>
      </c>
      <c r="M131" s="319">
        <f t="shared" si="20"/>
      </c>
      <c r="N131" s="319">
        <f t="shared" si="19"/>
      </c>
      <c r="O131" s="314" t="s">
        <v>303</v>
      </c>
      <c r="P131" s="317">
        <v>10</v>
      </c>
      <c r="Q131" s="322"/>
      <c r="R131" s="328"/>
      <c r="S131" s="328"/>
      <c r="T131" s="328"/>
      <c r="U131" s="328"/>
      <c r="V131" s="328"/>
      <c r="W131" s="328"/>
      <c r="X131" s="328"/>
    </row>
    <row r="132">
      <c r="A132" s="329">
        <v>46197</v>
      </c>
      <c r="B132" s="330"/>
      <c r="C132" s="330"/>
      <c r="D132" s="330">
        <f>SUM(D128:D131)</f>
      </c>
      <c r="E132" s="330">
        <f>SUM(E128:E131)</f>
      </c>
      <c r="F132" s="330">
        <f>SUM(F128:F131)</f>
      </c>
      <c r="G132" s="330">
        <f>SUM(G128:G131)</f>
      </c>
      <c r="H132" s="330">
        <f>SUM(H128:H131)</f>
      </c>
      <c r="I132" s="330">
        <f>SUM(I128:I131)</f>
      </c>
      <c r="J132" s="330">
        <f>SUM(J128:J131)</f>
      </c>
      <c r="K132" s="330">
        <f>SUM(K128:K131)</f>
      </c>
      <c r="L132" s="331">
        <f t="shared" si="0"/>
      </c>
      <c r="M132" s="331">
        <f t="shared" si="20"/>
      </c>
      <c r="N132" s="331">
        <f t="shared" si="19"/>
      </c>
      <c r="O132" s="332"/>
      <c r="P132" s="330">
        <f>P128+P129+P130+P131</f>
      </c>
      <c r="Q132" s="332"/>
      <c r="R132" s="333"/>
      <c r="S132" s="333"/>
      <c r="T132" s="333"/>
      <c r="U132" s="333"/>
      <c r="V132" s="333"/>
      <c r="W132" s="333"/>
      <c r="X132" s="333"/>
    </row>
    <row hidden="true" r="133">
      <c r="A133" s="334">
        <v>46198</v>
      </c>
      <c r="B133" s="339" t="s">
        <v>288</v>
      </c>
      <c r="C133" s="335" t="s">
        <v>280</v>
      </c>
      <c r="D133" s="326">
        <v>5</v>
      </c>
      <c r="E133" s="315">
        <v>74</v>
      </c>
      <c r="F133" s="316">
        <v>54</v>
      </c>
      <c r="G133" s="317">
        <v>38</v>
      </c>
      <c r="H133" s="317">
        <v>38</v>
      </c>
      <c r="I133" s="317">
        <v>6</v>
      </c>
      <c r="J133" s="318">
        <v>54201.200000000004</v>
      </c>
      <c r="K133" s="327">
        <v>31936.129999999997</v>
      </c>
      <c r="L133" s="319">
        <f t="shared" si="0"/>
      </c>
      <c r="M133" s="319">
        <f t="shared" si="20"/>
      </c>
      <c r="N133" s="319">
        <f t="shared" si="19"/>
      </c>
      <c r="O133" s="314" t="s">
        <v>291</v>
      </c>
      <c r="P133" s="327">
        <v>10</v>
      </c>
      <c r="Q133" s="320"/>
      <c r="R133" s="321"/>
      <c r="S133" s="321"/>
      <c r="T133" s="321"/>
      <c r="U133" s="321"/>
      <c r="V133" s="321"/>
      <c r="W133" s="321"/>
      <c r="X133" s="321"/>
    </row>
    <row hidden="true" r="134">
      <c r="A134" s="334">
        <v>46198</v>
      </c>
      <c r="B134" s="317" t="s">
        <v>284</v>
      </c>
      <c r="C134" s="335" t="s">
        <v>297</v>
      </c>
      <c r="D134" s="327">
        <v>5</v>
      </c>
      <c r="E134" s="317">
        <v>80</v>
      </c>
      <c r="F134" s="317">
        <v>62</v>
      </c>
      <c r="G134" s="317">
        <v>57</v>
      </c>
      <c r="H134" s="317">
        <v>32</v>
      </c>
      <c r="I134" s="317">
        <v>3</v>
      </c>
      <c r="J134" s="318">
        <v>61033.60000000002</v>
      </c>
      <c r="K134" s="318">
        <v>34756.54</v>
      </c>
      <c r="L134" s="319">
        <f t="shared" si="0"/>
      </c>
      <c r="M134" s="319">
        <f t="shared" si="20"/>
      </c>
      <c r="N134" s="319">
        <f t="shared" si="19"/>
      </c>
      <c r="O134" s="322"/>
      <c r="P134" s="322"/>
      <c r="Q134" s="323"/>
      <c r="R134" s="324"/>
      <c r="S134" s="324"/>
      <c r="T134" s="324"/>
      <c r="U134" s="324"/>
      <c r="V134" s="324"/>
      <c r="W134" s="324"/>
      <c r="X134" s="324"/>
    </row>
    <row hidden="true" r="135">
      <c r="A135" s="334">
        <v>46198</v>
      </c>
      <c r="B135" s="317" t="s">
        <v>299</v>
      </c>
      <c r="C135" s="335" t="s">
        <v>298</v>
      </c>
      <c r="D135" s="327">
        <v>5</v>
      </c>
      <c r="E135" s="317">
        <v>92</v>
      </c>
      <c r="F135" s="317">
        <v>68</v>
      </c>
      <c r="G135" s="317">
        <v>50</v>
      </c>
      <c r="H135" s="317">
        <v>50</v>
      </c>
      <c r="I135" s="317">
        <v>6</v>
      </c>
      <c r="J135" s="318">
        <v>68467.80000000002</v>
      </c>
      <c r="K135" s="318">
        <v>39157.5</v>
      </c>
      <c r="L135" s="319">
        <f t="shared" si="0"/>
      </c>
      <c r="M135" s="319">
        <f t="shared" si="20"/>
      </c>
      <c r="N135" s="319">
        <f t="shared" si="19"/>
      </c>
      <c r="O135" s="326"/>
      <c r="P135" s="327"/>
      <c r="Q135" s="323"/>
      <c r="R135" s="324"/>
      <c r="S135" s="324"/>
      <c r="T135" s="324"/>
      <c r="U135" s="324"/>
      <c r="V135" s="324"/>
      <c r="W135" s="324"/>
      <c r="X135" s="324"/>
    </row>
    <row hidden="true" r="136">
      <c r="A136" s="334">
        <v>46198</v>
      </c>
      <c r="B136" s="317" t="s">
        <v>282</v>
      </c>
      <c r="C136" s="335" t="s">
        <v>289</v>
      </c>
      <c r="D136" s="327">
        <v>5</v>
      </c>
      <c r="E136" s="317">
        <v>74</v>
      </c>
      <c r="F136" s="317">
        <v>60</v>
      </c>
      <c r="G136" s="317">
        <v>55</v>
      </c>
      <c r="H136" s="317">
        <v>32</v>
      </c>
      <c r="I136" s="317">
        <v>5</v>
      </c>
      <c r="J136" s="318">
        <v>63962.600000000035</v>
      </c>
      <c r="K136" s="318">
        <v>35924.850000000006</v>
      </c>
      <c r="L136" s="319">
        <f t="shared" si="0"/>
      </c>
      <c r="M136" s="319">
        <f t="shared" si="20"/>
      </c>
      <c r="N136" s="319">
        <f t="shared" si="19"/>
      </c>
      <c r="O136" s="314" t="s">
        <v>290</v>
      </c>
      <c r="P136" s="317">
        <v>10</v>
      </c>
      <c r="Q136" s="322"/>
      <c r="R136" s="328"/>
      <c r="S136" s="328"/>
      <c r="T136" s="328"/>
      <c r="U136" s="328"/>
      <c r="V136" s="328"/>
      <c r="W136" s="328"/>
      <c r="X136" s="328"/>
    </row>
    <row r="137">
      <c r="A137" s="329">
        <v>46198</v>
      </c>
      <c r="B137" s="330"/>
      <c r="C137" s="330"/>
      <c r="D137" s="330">
        <f>SUM(D133:D136)</f>
      </c>
      <c r="E137" s="330">
        <f>SUM(E133:E136)</f>
      </c>
      <c r="F137" s="330">
        <f>SUM(F133:F136)</f>
      </c>
      <c r="G137" s="330">
        <f>SUM(G133:G136)</f>
      </c>
      <c r="H137" s="330">
        <f>SUM(H133:H136)</f>
      </c>
      <c r="I137" s="330">
        <f>SUM(I133:I136)</f>
      </c>
      <c r="J137" s="330">
        <f>SUM(J133:J136)</f>
      </c>
      <c r="K137" s="330">
        <f>SUM(K133:K136)</f>
      </c>
      <c r="L137" s="331">
        <f t="shared" si="0"/>
      </c>
      <c r="M137" s="331">
        <f t="shared" si="20"/>
      </c>
      <c r="N137" s="331">
        <f t="shared" si="19"/>
      </c>
      <c r="O137" s="332"/>
      <c r="P137" s="330">
        <f>P133+P134+P135+P136</f>
      </c>
      <c r="Q137" s="332"/>
      <c r="R137" s="333"/>
      <c r="S137" s="333"/>
      <c r="T137" s="333"/>
      <c r="U137" s="333"/>
      <c r="V137" s="333"/>
      <c r="W137" s="333"/>
      <c r="X137" s="333"/>
    </row>
    <row hidden="true" r="138">
      <c r="A138" s="334">
        <v>46199</v>
      </c>
      <c r="B138" s="339" t="s">
        <v>288</v>
      </c>
      <c r="C138" s="335" t="s">
        <v>280</v>
      </c>
      <c r="D138" s="326">
        <v>5</v>
      </c>
      <c r="E138" s="315">
        <v>75</v>
      </c>
      <c r="F138" s="316">
        <v>63</v>
      </c>
      <c r="G138" s="317">
        <v>53</v>
      </c>
      <c r="H138" s="317">
        <v>33</v>
      </c>
      <c r="I138" s="317">
        <v>5</v>
      </c>
      <c r="J138" s="318">
        <v>57570.8</v>
      </c>
      <c r="K138" s="327">
        <v>37723.88</v>
      </c>
      <c r="L138" s="319">
        <f t="shared" si="0"/>
      </c>
      <c r="M138" s="319">
        <f t="shared" si="20"/>
      </c>
      <c r="N138" s="319">
        <f t="shared" si="19"/>
      </c>
      <c r="O138" s="314" t="s">
        <v>291</v>
      </c>
      <c r="P138" s="327">
        <v>10</v>
      </c>
      <c r="Q138" s="320"/>
      <c r="R138" s="321"/>
      <c r="S138" s="321"/>
      <c r="T138" s="321"/>
      <c r="U138" s="321"/>
      <c r="V138" s="321"/>
      <c r="W138" s="321"/>
      <c r="X138" s="321"/>
    </row>
    <row hidden="true" r="139">
      <c r="A139" s="334">
        <v>46199</v>
      </c>
      <c r="B139" s="317" t="s">
        <v>282</v>
      </c>
      <c r="C139" s="335" t="s">
        <v>297</v>
      </c>
      <c r="D139" s="327">
        <v>5</v>
      </c>
      <c r="E139" s="317">
        <v>55</v>
      </c>
      <c r="F139" s="317">
        <v>48</v>
      </c>
      <c r="G139" s="317">
        <v>38</v>
      </c>
      <c r="H139" s="317">
        <v>27</v>
      </c>
      <c r="I139" s="317">
        <v>3</v>
      </c>
      <c r="J139" s="318">
        <v>50376</v>
      </c>
      <c r="K139" s="318">
        <v>26918.649999999998</v>
      </c>
      <c r="L139" s="319">
        <f t="shared" si="0"/>
      </c>
      <c r="M139" s="319">
        <f t="shared" si="20"/>
      </c>
      <c r="N139" s="319">
        <f t="shared" si="19"/>
      </c>
      <c r="O139" s="322"/>
      <c r="P139" s="322"/>
      <c r="Q139" s="323"/>
      <c r="R139" s="324"/>
      <c r="S139" s="324"/>
      <c r="T139" s="324"/>
      <c r="U139" s="324"/>
      <c r="V139" s="324"/>
      <c r="W139" s="324"/>
      <c r="X139" s="324"/>
    </row>
    <row hidden="true" r="140">
      <c r="A140" s="334">
        <v>46199</v>
      </c>
      <c r="B140" s="317" t="s">
        <v>299</v>
      </c>
      <c r="C140" s="335" t="s">
        <v>298</v>
      </c>
      <c r="D140" s="327">
        <v>5</v>
      </c>
      <c r="E140" s="317">
        <v>87</v>
      </c>
      <c r="F140" s="317">
        <v>69</v>
      </c>
      <c r="G140" s="317">
        <v>57</v>
      </c>
      <c r="H140" s="317">
        <v>49</v>
      </c>
      <c r="I140" s="317">
        <v>5</v>
      </c>
      <c r="J140" s="318">
        <v>78766.20000000001</v>
      </c>
      <c r="K140" s="318">
        <v>34391.54</v>
      </c>
      <c r="L140" s="319">
        <f t="shared" si="0"/>
      </c>
      <c r="M140" s="319">
        <f t="shared" si="20"/>
      </c>
      <c r="N140" s="319">
        <f t="shared" si="19"/>
      </c>
      <c r="O140" s="326"/>
      <c r="P140" s="327"/>
      <c r="Q140" s="323"/>
      <c r="R140" s="324"/>
      <c r="S140" s="324"/>
      <c r="T140" s="324"/>
      <c r="U140" s="324"/>
      <c r="V140" s="324"/>
      <c r="W140" s="324"/>
      <c r="X140" s="324"/>
    </row>
    <row hidden="true" r="141">
      <c r="A141" s="334">
        <v>46199</v>
      </c>
      <c r="B141" s="317" t="s">
        <v>284</v>
      </c>
      <c r="C141" s="335" t="s">
        <v>289</v>
      </c>
      <c r="D141" s="327">
        <v>5</v>
      </c>
      <c r="E141" s="317">
        <v>93</v>
      </c>
      <c r="F141" s="317">
        <v>76</v>
      </c>
      <c r="G141" s="317">
        <v>53</v>
      </c>
      <c r="H141" s="317">
        <v>47</v>
      </c>
      <c r="I141" s="317">
        <v>11</v>
      </c>
      <c r="J141" s="318">
        <v>80274.2</v>
      </c>
      <c r="K141" s="318">
        <v>33984.98</v>
      </c>
      <c r="L141" s="319">
        <f t="shared" si="0"/>
      </c>
      <c r="M141" s="319">
        <f t="shared" si="20"/>
      </c>
      <c r="N141" s="319">
        <f t="shared" si="19"/>
      </c>
      <c r="O141" s="314" t="s">
        <v>290</v>
      </c>
      <c r="P141" s="317">
        <v>10</v>
      </c>
      <c r="Q141" s="322"/>
      <c r="R141" s="328"/>
      <c r="S141" s="328"/>
      <c r="T141" s="328"/>
      <c r="U141" s="328"/>
      <c r="V141" s="328"/>
      <c r="W141" s="328"/>
      <c r="X141" s="328"/>
    </row>
    <row r="142">
      <c r="A142" s="329">
        <v>46199</v>
      </c>
      <c r="B142" s="330"/>
      <c r="C142" s="330"/>
      <c r="D142" s="330">
        <f>SUM(D138:D141)</f>
      </c>
      <c r="E142" s="330">
        <f>SUM(E138:E141)</f>
      </c>
      <c r="F142" s="330">
        <f>SUM(F138:F141)</f>
      </c>
      <c r="G142" s="330">
        <f>SUM(G138:G141)</f>
      </c>
      <c r="H142" s="330">
        <f>SUM(H138:H141)</f>
      </c>
      <c r="I142" s="330">
        <f>SUM(I138:I141)</f>
      </c>
      <c r="J142" s="330">
        <f>SUM(J138:J141)</f>
      </c>
      <c r="K142" s="330">
        <f>SUM(K138:K141)</f>
      </c>
      <c r="L142" s="331">
        <f t="shared" si="0"/>
      </c>
      <c r="M142" s="331">
        <f t="shared" si="20"/>
      </c>
      <c r="N142" s="331">
        <f t="shared" si="19"/>
      </c>
      <c r="O142" s="332"/>
      <c r="P142" s="330">
        <f>P138+P139+P140+P141</f>
      </c>
      <c r="Q142" s="332"/>
      <c r="R142" s="333"/>
      <c r="S142" s="333"/>
      <c r="T142" s="333"/>
      <c r="U142" s="333"/>
      <c r="V142" s="333"/>
      <c r="W142" s="333"/>
      <c r="X142" s="333"/>
    </row>
    <row hidden="true" r="143">
      <c r="A143" s="340">
        <v>46200</v>
      </c>
      <c r="B143" s="341" t="s">
        <v>288</v>
      </c>
      <c r="C143" s="342" t="s">
        <v>280</v>
      </c>
      <c r="D143" s="343">
        <v>5</v>
      </c>
      <c r="E143" s="344">
        <v>82</v>
      </c>
      <c r="F143" s="345">
        <v>67</v>
      </c>
      <c r="G143" s="346">
        <v>54</v>
      </c>
      <c r="H143" s="346">
        <v>53</v>
      </c>
      <c r="I143" s="346">
        <v>11</v>
      </c>
      <c r="J143" s="347">
        <v>56042.000000000015</v>
      </c>
      <c r="K143" s="346">
        <v>42681.54</v>
      </c>
      <c r="L143" s="348">
        <f t="shared" si="0"/>
      </c>
      <c r="M143" s="348">
        <f t="shared" si="20"/>
      </c>
      <c r="N143" s="348">
        <f t="shared" si="19"/>
      </c>
      <c r="O143" s="349" t="s">
        <v>281</v>
      </c>
      <c r="P143" s="346">
        <v>10</v>
      </c>
      <c r="Q143" s="344"/>
      <c r="R143" s="350"/>
      <c r="S143" s="350"/>
      <c r="T143" s="350"/>
      <c r="U143" s="350"/>
      <c r="V143" s="350"/>
      <c r="W143" s="350"/>
      <c r="X143" s="350"/>
    </row>
    <row hidden="true" r="144">
      <c r="A144" s="340">
        <v>46200</v>
      </c>
      <c r="B144" s="346" t="s">
        <v>282</v>
      </c>
      <c r="C144" s="342" t="s">
        <v>297</v>
      </c>
      <c r="D144" s="346">
        <v>5</v>
      </c>
      <c r="E144" s="351">
        <v>56</v>
      </c>
      <c r="F144" s="351">
        <v>45</v>
      </c>
      <c r="G144" s="351">
        <v>33</v>
      </c>
      <c r="H144" s="351">
        <v>26</v>
      </c>
      <c r="I144" s="351">
        <v>4</v>
      </c>
      <c r="J144" s="347">
        <v>42011.100000000006</v>
      </c>
      <c r="K144" s="347">
        <v>25957.14</v>
      </c>
      <c r="L144" s="348">
        <f t="shared" si="0"/>
      </c>
      <c r="M144" s="348">
        <f t="shared" si="20"/>
      </c>
      <c r="N144" s="348">
        <f t="shared" si="19"/>
      </c>
      <c r="O144" s="352"/>
      <c r="P144" s="352"/>
      <c r="Q144" s="353"/>
      <c r="R144" s="354"/>
      <c r="S144" s="354"/>
      <c r="T144" s="354"/>
      <c r="U144" s="354"/>
      <c r="V144" s="354"/>
      <c r="W144" s="354"/>
      <c r="X144" s="354"/>
    </row>
    <row hidden="true" r="145">
      <c r="A145" s="340">
        <v>46200</v>
      </c>
      <c r="B145" s="346" t="s">
        <v>284</v>
      </c>
      <c r="C145" s="342" t="s">
        <v>298</v>
      </c>
      <c r="D145" s="346">
        <v>5</v>
      </c>
      <c r="E145" s="351">
        <v>79</v>
      </c>
      <c r="F145" s="351">
        <v>55</v>
      </c>
      <c r="G145" s="351">
        <v>40</v>
      </c>
      <c r="H145" s="351">
        <v>38</v>
      </c>
      <c r="I145" s="351">
        <v>4</v>
      </c>
      <c r="J145" s="347">
        <v>63126.20000000001</v>
      </c>
      <c r="K145" s="347">
        <v>25103.15</v>
      </c>
      <c r="L145" s="348">
        <f t="shared" si="0"/>
      </c>
      <c r="M145" s="348">
        <f t="shared" si="20"/>
      </c>
      <c r="N145" s="348">
        <f t="shared" si="19"/>
      </c>
      <c r="O145" s="343"/>
      <c r="P145" s="346"/>
      <c r="Q145" s="353"/>
      <c r="R145" s="354"/>
      <c r="S145" s="354"/>
      <c r="T145" s="354"/>
      <c r="U145" s="354"/>
      <c r="V145" s="354"/>
      <c r="W145" s="354"/>
      <c r="X145" s="354"/>
    </row>
    <row hidden="true" r="146">
      <c r="A146" s="340">
        <v>46200</v>
      </c>
      <c r="B146" s="351" t="s">
        <v>279</v>
      </c>
      <c r="C146" s="342" t="s">
        <v>289</v>
      </c>
      <c r="D146" s="346">
        <v>5</v>
      </c>
      <c r="E146" s="351">
        <v>60</v>
      </c>
      <c r="F146" s="351">
        <v>53</v>
      </c>
      <c r="G146" s="351">
        <v>35</v>
      </c>
      <c r="H146" s="351">
        <v>36</v>
      </c>
      <c r="I146" s="351">
        <v>5</v>
      </c>
      <c r="J146" s="347">
        <v>55072.100000000006</v>
      </c>
      <c r="K146" s="347">
        <v>23346.72</v>
      </c>
      <c r="L146" s="348">
        <f t="shared" si="0"/>
      </c>
      <c r="M146" s="348">
        <f t="shared" si="20"/>
      </c>
      <c r="N146" s="348">
        <f t="shared" si="19"/>
      </c>
      <c r="O146" s="343" t="s">
        <v>290</v>
      </c>
      <c r="P146" s="346">
        <v>10</v>
      </c>
      <c r="Q146" s="352"/>
      <c r="R146" s="355"/>
      <c r="S146" s="355"/>
      <c r="T146" s="355"/>
      <c r="U146" s="355"/>
      <c r="V146" s="355"/>
      <c r="W146" s="355"/>
      <c r="X146" s="355"/>
    </row>
    <row r="147">
      <c r="A147" s="356">
        <v>46200</v>
      </c>
      <c r="B147" s="357"/>
      <c r="C147" s="357"/>
      <c r="D147" s="357">
        <f>SUM(D143:D146)</f>
      </c>
      <c r="E147" s="357">
        <f>SUM(E143:E146)</f>
      </c>
      <c r="F147" s="357">
        <f>SUM(F143:F146)</f>
      </c>
      <c r="G147" s="357">
        <f>SUM(G143:G146)</f>
      </c>
      <c r="H147" s="357">
        <f>SUM(H143:H146)</f>
      </c>
      <c r="I147" s="357">
        <f>SUM(I143:I146)</f>
      </c>
      <c r="J147" s="357">
        <f>SUM(J143:J146)</f>
      </c>
      <c r="K147" s="357">
        <f>SUM(K143:K146)</f>
      </c>
      <c r="L147" s="358">
        <f t="shared" si="0"/>
      </c>
      <c r="M147" s="358">
        <f t="shared" si="20"/>
      </c>
      <c r="N147" s="358">
        <f t="shared" si="19"/>
      </c>
      <c r="O147" s="359"/>
      <c r="P147" s="357">
        <f>P143+P144+P145+P146</f>
      </c>
      <c r="Q147" s="359"/>
      <c r="R147" s="360"/>
      <c r="S147" s="360"/>
      <c r="T147" s="360"/>
      <c r="U147" s="360"/>
      <c r="V147" s="360"/>
      <c r="W147" s="360"/>
      <c r="X147" s="360"/>
    </row>
    <row hidden="true" r="148">
      <c r="A148" s="340">
        <v>46201</v>
      </c>
      <c r="B148" s="341" t="s">
        <v>288</v>
      </c>
      <c r="C148" s="342" t="s">
        <v>280</v>
      </c>
      <c r="D148" s="343">
        <v>5</v>
      </c>
      <c r="E148" s="344">
        <v>78</v>
      </c>
      <c r="F148" s="345">
        <v>61</v>
      </c>
      <c r="G148" s="346">
        <v>42</v>
      </c>
      <c r="H148" s="346">
        <v>36</v>
      </c>
      <c r="I148" s="346">
        <v>6</v>
      </c>
      <c r="J148" s="347">
        <v>62587.20000000002</v>
      </c>
      <c r="K148" s="346">
        <v>35182.54</v>
      </c>
      <c r="L148" s="348">
        <f t="shared" si="0"/>
      </c>
      <c r="M148" s="348">
        <f t="shared" si="20"/>
      </c>
      <c r="N148" s="348">
        <f t="shared" si="19"/>
      </c>
      <c r="O148" s="349" t="s">
        <v>281</v>
      </c>
      <c r="P148" s="346">
        <v>10</v>
      </c>
      <c r="Q148" s="344"/>
      <c r="R148" s="350"/>
      <c r="S148" s="350"/>
      <c r="T148" s="350"/>
      <c r="U148" s="350"/>
      <c r="V148" s="350"/>
      <c r="W148" s="350"/>
      <c r="X148" s="350"/>
    </row>
    <row hidden="true" r="149">
      <c r="A149" s="340">
        <v>46201</v>
      </c>
      <c r="B149" s="346" t="s">
        <v>299</v>
      </c>
      <c r="C149" s="342" t="s">
        <v>297</v>
      </c>
      <c r="D149" s="346">
        <v>5</v>
      </c>
      <c r="E149" s="351">
        <v>64</v>
      </c>
      <c r="F149" s="351">
        <v>52</v>
      </c>
      <c r="G149" s="351">
        <v>37</v>
      </c>
      <c r="H149" s="351">
        <v>37</v>
      </c>
      <c r="I149" s="351">
        <v>5</v>
      </c>
      <c r="J149" s="347">
        <v>55591.80000000001</v>
      </c>
      <c r="K149" s="347">
        <v>28732.36</v>
      </c>
      <c r="L149" s="348">
        <f t="shared" si="0"/>
      </c>
      <c r="M149" s="348">
        <f t="shared" si="20"/>
      </c>
      <c r="N149" s="348">
        <f t="shared" si="19"/>
      </c>
      <c r="O149" s="352"/>
      <c r="P149" s="352"/>
      <c r="Q149" s="353"/>
      <c r="R149" s="354"/>
      <c r="S149" s="354"/>
      <c r="T149" s="354"/>
      <c r="U149" s="354"/>
      <c r="V149" s="354"/>
      <c r="W149" s="354"/>
      <c r="X149" s="354"/>
    </row>
    <row hidden="true" r="150">
      <c r="A150" s="340">
        <v>46201</v>
      </c>
      <c r="B150" s="346" t="s">
        <v>282</v>
      </c>
      <c r="C150" s="342" t="s">
        <v>298</v>
      </c>
      <c r="D150" s="346">
        <v>5</v>
      </c>
      <c r="E150" s="351">
        <v>46</v>
      </c>
      <c r="F150" s="351">
        <v>35</v>
      </c>
      <c r="G150" s="351">
        <v>22</v>
      </c>
      <c r="H150" s="351">
        <v>21</v>
      </c>
      <c r="I150" s="351">
        <v>4</v>
      </c>
      <c r="J150" s="347">
        <v>32406.200000000004</v>
      </c>
      <c r="K150" s="347">
        <v>19668.510000000002</v>
      </c>
      <c r="L150" s="348">
        <f t="shared" si="0"/>
      </c>
      <c r="M150" s="348">
        <f t="shared" si="20"/>
      </c>
      <c r="N150" s="348">
        <f t="shared" si="19"/>
      </c>
      <c r="O150" s="343"/>
      <c r="P150" s="346"/>
      <c r="Q150" s="353"/>
      <c r="R150" s="354"/>
      <c r="S150" s="354"/>
      <c r="T150" s="354"/>
      <c r="U150" s="354"/>
      <c r="V150" s="354"/>
      <c r="W150" s="354"/>
      <c r="X150" s="354"/>
    </row>
    <row hidden="true" r="151">
      <c r="A151" s="340">
        <v>46201</v>
      </c>
      <c r="B151" s="351" t="s">
        <v>279</v>
      </c>
      <c r="C151" s="342" t="s">
        <v>289</v>
      </c>
      <c r="D151" s="346">
        <v>5</v>
      </c>
      <c r="E151" s="351">
        <v>75</v>
      </c>
      <c r="F151" s="351">
        <v>62</v>
      </c>
      <c r="G151" s="351">
        <v>48</v>
      </c>
      <c r="H151" s="351">
        <v>39</v>
      </c>
      <c r="I151" s="351">
        <v>6</v>
      </c>
      <c r="J151" s="347">
        <v>58658.60000000002</v>
      </c>
      <c r="K151" s="347">
        <v>25207.870000000003</v>
      </c>
      <c r="L151" s="348">
        <f t="shared" si="0"/>
      </c>
      <c r="M151" s="348">
        <f t="shared" si="20"/>
      </c>
      <c r="N151" s="348">
        <f t="shared" si="19"/>
      </c>
      <c r="O151" s="343" t="s">
        <v>290</v>
      </c>
      <c r="P151" s="346">
        <v>10</v>
      </c>
      <c r="Q151" s="352"/>
      <c r="R151" s="355"/>
      <c r="S151" s="355"/>
      <c r="T151" s="355"/>
      <c r="U151" s="355"/>
      <c r="V151" s="355"/>
      <c r="W151" s="355"/>
      <c r="X151" s="355"/>
    </row>
    <row r="152">
      <c r="A152" s="356">
        <v>46201</v>
      </c>
      <c r="B152" s="357"/>
      <c r="C152" s="357"/>
      <c r="D152" s="357">
        <f>SUM(D148:D151)</f>
      </c>
      <c r="E152" s="357">
        <f>SUM(E148:E151)</f>
      </c>
      <c r="F152" s="357">
        <f>SUM(F148:F151)</f>
      </c>
      <c r="G152" s="357">
        <f>SUM(G148:G151)</f>
      </c>
      <c r="H152" s="357">
        <f>SUM(H148:H151)</f>
      </c>
      <c r="I152" s="357">
        <f>SUM(I148:I151)</f>
      </c>
      <c r="J152" s="357">
        <f>SUM(J148:J151)</f>
      </c>
      <c r="K152" s="357">
        <f>SUM(K148:K151)</f>
      </c>
      <c r="L152" s="358">
        <f t="shared" si="0"/>
      </c>
      <c r="M152" s="358">
        <f t="shared" si="20"/>
      </c>
      <c r="N152" s="358">
        <f t="shared" si="19"/>
      </c>
      <c r="O152" s="359"/>
      <c r="P152" s="357">
        <f>P148+P149+P150+P151</f>
      </c>
      <c r="Q152" s="359"/>
      <c r="R152" s="360"/>
      <c r="S152" s="360"/>
      <c r="T152" s="360"/>
      <c r="U152" s="360"/>
      <c r="V152" s="360"/>
      <c r="W152" s="360"/>
      <c r="X152" s="360"/>
    </row>
    <row hidden="true" r="153">
      <c r="A153" s="361">
        <v>46202</v>
      </c>
      <c r="B153" s="362" t="s">
        <v>284</v>
      </c>
      <c r="C153" s="363" t="s">
        <v>280</v>
      </c>
      <c r="D153" s="343">
        <v>5</v>
      </c>
      <c r="E153" s="344">
        <v>63</v>
      </c>
      <c r="F153" s="345">
        <v>49</v>
      </c>
      <c r="G153" s="346">
        <v>38</v>
      </c>
      <c r="H153" s="346">
        <v>29</v>
      </c>
      <c r="I153" s="346">
        <v>4</v>
      </c>
      <c r="J153" s="347">
        <v>49111.3</v>
      </c>
      <c r="K153" s="346">
        <v>31036.440000000002</v>
      </c>
      <c r="L153" s="348">
        <f t="shared" si="0"/>
      </c>
      <c r="M153" s="348">
        <f t="shared" si="20"/>
      </c>
      <c r="N153" s="348">
        <f t="shared" si="19"/>
      </c>
      <c r="O153" s="349" t="s">
        <v>281</v>
      </c>
      <c r="P153" s="346">
        <v>10</v>
      </c>
      <c r="Q153" s="344"/>
      <c r="R153" s="350"/>
      <c r="S153" s="350"/>
      <c r="T153" s="350"/>
      <c r="U153" s="350"/>
      <c r="V153" s="350"/>
      <c r="W153" s="350"/>
      <c r="X153" s="350"/>
    </row>
    <row hidden="true" r="154">
      <c r="A154" s="340">
        <v>46202</v>
      </c>
      <c r="B154" s="364" t="s">
        <v>279</v>
      </c>
      <c r="C154" s="342" t="s">
        <v>297</v>
      </c>
      <c r="D154" s="346">
        <v>5</v>
      </c>
      <c r="E154" s="351">
        <v>58</v>
      </c>
      <c r="F154" s="351">
        <v>46</v>
      </c>
      <c r="G154" s="351">
        <v>31</v>
      </c>
      <c r="H154" s="351">
        <v>33</v>
      </c>
      <c r="I154" s="351">
        <v>7</v>
      </c>
      <c r="J154" s="347">
        <v>37656</v>
      </c>
      <c r="K154" s="347">
        <v>22067.38</v>
      </c>
      <c r="L154" s="348">
        <f t="shared" si="0"/>
      </c>
      <c r="M154" s="348">
        <f t="shared" si="20"/>
      </c>
      <c r="N154" s="348">
        <f t="shared" si="19"/>
      </c>
      <c r="O154" s="352"/>
      <c r="P154" s="352"/>
      <c r="Q154" s="353"/>
      <c r="R154" s="354"/>
      <c r="S154" s="354"/>
      <c r="T154" s="354"/>
      <c r="U154" s="354"/>
      <c r="V154" s="354"/>
      <c r="W154" s="354"/>
      <c r="X154" s="354"/>
    </row>
    <row hidden="true" r="155">
      <c r="A155" s="340">
        <v>46202</v>
      </c>
      <c r="B155" s="351" t="s">
        <v>288</v>
      </c>
      <c r="C155" s="342" t="s">
        <v>298</v>
      </c>
      <c r="D155" s="346">
        <v>5</v>
      </c>
      <c r="E155" s="351">
        <v>64</v>
      </c>
      <c r="F155" s="351">
        <v>50</v>
      </c>
      <c r="G155" s="351">
        <v>36</v>
      </c>
      <c r="H155" s="351">
        <v>29</v>
      </c>
      <c r="I155" s="351">
        <v>3</v>
      </c>
      <c r="J155" s="347">
        <v>49832.89999999999</v>
      </c>
      <c r="K155" s="347">
        <v>23589.579999999998</v>
      </c>
      <c r="L155" s="348">
        <f t="shared" si="0"/>
      </c>
      <c r="M155" s="348">
        <f t="shared" si="20"/>
      </c>
      <c r="N155" s="348">
        <f t="shared" si="19"/>
      </c>
      <c r="O155" s="343"/>
      <c r="P155" s="346"/>
      <c r="Q155" s="353"/>
      <c r="R155" s="354"/>
      <c r="S155" s="354"/>
      <c r="T155" s="354"/>
      <c r="U155" s="354"/>
      <c r="V155" s="354"/>
      <c r="W155" s="354"/>
      <c r="X155" s="354"/>
    </row>
    <row hidden="true" r="156">
      <c r="A156" s="340">
        <v>46202</v>
      </c>
      <c r="B156" s="346" t="s">
        <v>282</v>
      </c>
      <c r="C156" s="342" t="s">
        <v>289</v>
      </c>
      <c r="D156" s="346">
        <v>5</v>
      </c>
      <c r="E156" s="351">
        <v>52</v>
      </c>
      <c r="F156" s="351">
        <v>39</v>
      </c>
      <c r="G156" s="351">
        <v>25</v>
      </c>
      <c r="H156" s="351">
        <v>26</v>
      </c>
      <c r="I156" s="351">
        <v>5</v>
      </c>
      <c r="J156" s="347">
        <v>40685.60000000002</v>
      </c>
      <c r="K156" s="347">
        <v>22964.300000000003</v>
      </c>
      <c r="L156" s="348">
        <f t="shared" si="0"/>
      </c>
      <c r="M156" s="348">
        <f t="shared" si="20"/>
      </c>
      <c r="N156" s="348">
        <f t="shared" si="19"/>
      </c>
      <c r="O156" s="343" t="s">
        <v>290</v>
      </c>
      <c r="P156" s="346">
        <v>10</v>
      </c>
      <c r="Q156" s="352"/>
      <c r="R156" s="355"/>
      <c r="S156" s="355"/>
      <c r="T156" s="355"/>
      <c r="U156" s="355"/>
      <c r="V156" s="355"/>
      <c r="W156" s="355"/>
      <c r="X156" s="355"/>
    </row>
    <row r="157">
      <c r="A157" s="356">
        <v>46202</v>
      </c>
      <c r="B157" s="357"/>
      <c r="C157" s="357"/>
      <c r="D157" s="357">
        <f>SUM(D153:D156)</f>
      </c>
      <c r="E157" s="357">
        <f>SUM(E153:E156)</f>
      </c>
      <c r="F157" s="357">
        <f>SUM(F153:F156)</f>
      </c>
      <c r="G157" s="357">
        <f>SUM(G153:G156)</f>
      </c>
      <c r="H157" s="357">
        <f>SUM(H153:H156)</f>
      </c>
      <c r="I157" s="357">
        <f>SUM(I153:I156)</f>
      </c>
      <c r="J157" s="357">
        <f>SUM(J153:J156)</f>
      </c>
      <c r="K157" s="357">
        <f>SUM(K153:K156)</f>
      </c>
      <c r="L157" s="358">
        <f t="shared" si="0"/>
      </c>
      <c r="M157" s="358">
        <f t="shared" si="20"/>
      </c>
      <c r="N157" s="358">
        <f t="shared" si="19"/>
      </c>
      <c r="O157" s="359"/>
      <c r="P157" s="357">
        <f>P153+P154+P155+P156</f>
      </c>
      <c r="Q157" s="359"/>
      <c r="R157" s="360"/>
      <c r="S157" s="360"/>
      <c r="T157" s="360"/>
      <c r="U157" s="360"/>
      <c r="V157" s="360"/>
      <c r="W157" s="360"/>
      <c r="X157" s="360"/>
    </row>
    <row hidden="true" r="158">
      <c r="A158" s="361">
        <v>46203</v>
      </c>
      <c r="B158" s="315" t="s">
        <v>279</v>
      </c>
      <c r="C158" s="363" t="s">
        <v>280</v>
      </c>
      <c r="D158" s="343">
        <v>5</v>
      </c>
      <c r="E158" s="344">
        <v>122</v>
      </c>
      <c r="F158" s="345">
        <v>91</v>
      </c>
      <c r="G158" s="346">
        <v>65</v>
      </c>
      <c r="H158" s="346">
        <v>62</v>
      </c>
      <c r="I158" s="346">
        <v>13</v>
      </c>
      <c r="J158" s="347">
        <v>101938.00000000003</v>
      </c>
      <c r="K158" s="346">
        <v>42772.69</v>
      </c>
      <c r="L158" s="348">
        <f t="shared" si="0"/>
      </c>
      <c r="M158" s="348">
        <f t="shared" si="20"/>
      </c>
      <c r="N158" s="348">
        <f t="shared" si="19"/>
      </c>
      <c r="O158" s="349" t="s">
        <v>281</v>
      </c>
      <c r="P158" s="346">
        <v>10</v>
      </c>
      <c r="Q158" s="344"/>
      <c r="R158" s="350"/>
      <c r="S158" s="350"/>
      <c r="T158" s="350"/>
      <c r="U158" s="350"/>
      <c r="V158" s="350"/>
      <c r="W158" s="350"/>
      <c r="X158" s="350"/>
    </row>
    <row hidden="true" r="159">
      <c r="A159" s="340">
        <v>46203</v>
      </c>
      <c r="B159" s="364" t="s">
        <v>299</v>
      </c>
      <c r="C159" s="342" t="s">
        <v>297</v>
      </c>
      <c r="D159" s="346">
        <v>5</v>
      </c>
      <c r="E159" s="351">
        <v>111</v>
      </c>
      <c r="F159" s="351">
        <v>84</v>
      </c>
      <c r="G159" s="351">
        <v>74</v>
      </c>
      <c r="H159" s="351">
        <v>66</v>
      </c>
      <c r="I159" s="351">
        <v>5</v>
      </c>
      <c r="J159" s="365">
        <v>71393.2</v>
      </c>
      <c r="K159" s="365">
        <v>47600.29</v>
      </c>
      <c r="L159" s="348">
        <f t="shared" si="0"/>
      </c>
      <c r="M159" s="348">
        <f t="shared" si="20"/>
      </c>
      <c r="N159" s="348">
        <f t="shared" si="19"/>
      </c>
      <c r="O159" s="352"/>
      <c r="P159" s="352"/>
      <c r="Q159" s="353"/>
      <c r="R159" s="354"/>
      <c r="S159" s="354"/>
      <c r="T159" s="354"/>
      <c r="U159" s="354"/>
      <c r="V159" s="354"/>
      <c r="W159" s="354"/>
      <c r="X159" s="354"/>
    </row>
    <row hidden="true" r="160">
      <c r="A160" s="361">
        <v>46203</v>
      </c>
      <c r="B160" s="351" t="s">
        <v>288</v>
      </c>
      <c r="C160" s="342" t="s">
        <v>298</v>
      </c>
      <c r="D160" s="366">
        <f>5-0.2</f>
      </c>
      <c r="E160" s="351">
        <v>133</v>
      </c>
      <c r="F160" s="351">
        <v>112</v>
      </c>
      <c r="G160" s="351">
        <v>79</v>
      </c>
      <c r="H160" s="351">
        <v>72</v>
      </c>
      <c r="I160" s="351">
        <v>8</v>
      </c>
      <c r="J160" s="365">
        <v>112793.6</v>
      </c>
      <c r="K160" s="365">
        <v>48261.09</v>
      </c>
      <c r="L160" s="348">
        <f t="shared" si="0"/>
      </c>
      <c r="M160" s="348">
        <f t="shared" si="20"/>
      </c>
      <c r="N160" s="348">
        <f t="shared" si="19"/>
      </c>
      <c r="O160" s="343"/>
      <c r="P160" s="346"/>
      <c r="Q160" s="353"/>
      <c r="R160" s="354"/>
      <c r="S160" s="354"/>
      <c r="T160" s="354"/>
      <c r="U160" s="354"/>
      <c r="V160" s="354"/>
      <c r="W160" s="354"/>
      <c r="X160" s="354"/>
    </row>
    <row hidden="true" r="161">
      <c r="A161" s="340">
        <v>46203</v>
      </c>
      <c r="B161" s="351" t="s">
        <v>284</v>
      </c>
      <c r="C161" s="342" t="s">
        <v>289</v>
      </c>
      <c r="D161" s="346">
        <v>5</v>
      </c>
      <c r="E161" s="351">
        <v>165</v>
      </c>
      <c r="F161" s="351">
        <v>131</v>
      </c>
      <c r="G161" s="351">
        <v>96</v>
      </c>
      <c r="H161" s="351">
        <v>91</v>
      </c>
      <c r="I161" s="351">
        <v>10</v>
      </c>
      <c r="J161" s="365">
        <v>124828</v>
      </c>
      <c r="K161" s="365">
        <v>64372</v>
      </c>
      <c r="L161" s="348">
        <f t="shared" si="0"/>
      </c>
      <c r="M161" s="348">
        <f t="shared" si="20"/>
      </c>
      <c r="N161" s="348">
        <f t="shared" si="19"/>
      </c>
      <c r="O161" s="349" t="s">
        <v>306</v>
      </c>
      <c r="P161" s="346">
        <v>10</v>
      </c>
      <c r="Q161" s="352"/>
      <c r="R161" s="355"/>
      <c r="S161" s="355"/>
      <c r="T161" s="355"/>
      <c r="U161" s="355"/>
      <c r="V161" s="355"/>
      <c r="W161" s="355"/>
      <c r="X161" s="355"/>
    </row>
    <row r="162">
      <c r="A162" s="356">
        <v>46203</v>
      </c>
      <c r="B162" s="357"/>
      <c r="C162" s="357"/>
      <c r="D162" s="357">
        <f>SUM(D158:D161)</f>
      </c>
      <c r="E162" s="357">
        <f>SUM(E158:E161)</f>
      </c>
      <c r="F162" s="357">
        <f>SUM(F158:F161)</f>
      </c>
      <c r="G162" s="357">
        <f>SUM(G158:G161)</f>
      </c>
      <c r="H162" s="357">
        <f>SUM(H158:H161)</f>
      </c>
      <c r="I162" s="357">
        <f>SUM(I158:I161)</f>
      </c>
      <c r="J162" s="357">
        <f>SUM(J158:J161)</f>
      </c>
      <c r="K162" s="357">
        <f>SUM(K158:K161)</f>
      </c>
      <c r="L162" s="358">
        <f t="shared" si="0"/>
      </c>
      <c r="M162" s="358">
        <f t="shared" si="20"/>
      </c>
      <c r="N162" s="358">
        <f t="shared" si="19"/>
      </c>
      <c r="O162" s="359"/>
      <c r="P162" s="357">
        <f>P158+P159+P160+P161</f>
      </c>
      <c r="Q162" s="359"/>
      <c r="R162" s="360"/>
      <c r="S162" s="360"/>
      <c r="T162" s="360"/>
      <c r="U162" s="360"/>
      <c r="V162" s="360"/>
      <c r="W162" s="360"/>
      <c r="X162" s="360"/>
    </row>
    <row hidden="true" r="163">
      <c r="D163" s="367"/>
      <c r="E163" s="367"/>
      <c r="H163" s="367"/>
      <c r="I163" s="368"/>
    </row>
    <row hidden="true" r="164">
      <c r="E164" s="367"/>
    </row>
    <row r="165">
      <c r="G165" s="369"/>
      <c r="H165" s="339"/>
      <c r="I165" s="339"/>
      <c r="J165" s="370"/>
      <c r="K165" s="370"/>
      <c r="L165" s="348"/>
    </row>
    <row r="166">
      <c r="G166" s="339"/>
      <c r="H166" s="371"/>
      <c r="I166" s="369"/>
      <c r="J166" s="369"/>
      <c r="K166" s="372"/>
    </row>
    <row r="167">
      <c r="C167" s="367"/>
      <c r="G167" s="339"/>
      <c r="H167" s="369"/>
      <c r="I167" s="373"/>
      <c r="J167" s="369"/>
      <c r="K167" s="372"/>
    </row>
    <row r="168">
      <c r="C168" s="367"/>
      <c r="E168" s="374"/>
      <c r="F168" s="367"/>
      <c r="G168" s="339"/>
      <c r="H168" s="369"/>
      <c r="I168" s="373"/>
      <c r="J168" s="369"/>
      <c r="K168" s="372"/>
    </row>
    <row r="169">
      <c r="C169" s="367"/>
      <c r="G169" s="339"/>
      <c r="H169" s="369"/>
      <c r="I169" s="373"/>
      <c r="J169" s="369"/>
      <c r="K169" s="372"/>
    </row>
    <row r="170">
      <c r="C170" s="367"/>
      <c r="E170" s="367"/>
      <c r="F170" s="339"/>
      <c r="G170" s="339"/>
      <c r="H170" s="369"/>
      <c r="I170" s="373"/>
      <c r="J170" s="373"/>
      <c r="K170" s="373"/>
    </row>
    <row r="171">
      <c r="C171" s="367"/>
      <c r="E171" s="367"/>
      <c r="F171" s="339"/>
      <c r="G171" s="339"/>
      <c r="H171" s="369"/>
      <c r="I171" s="373"/>
      <c r="J171" s="373"/>
      <c r="K171" s="373"/>
    </row>
    <row r="172">
      <c r="C172" s="367"/>
      <c r="E172" s="367"/>
      <c r="F172" s="339"/>
      <c r="G172" s="339"/>
      <c r="H172" s="369"/>
      <c r="I172" s="373"/>
      <c r="J172" s="373"/>
      <c r="K172" s="373"/>
    </row>
    <row r="173">
      <c r="C173" s="367"/>
      <c r="F173" s="339"/>
      <c r="G173" s="339"/>
      <c r="H173" s="369"/>
      <c r="I173" s="373"/>
      <c r="J173" s="373"/>
      <c r="K173" s="373"/>
    </row>
    <row r="174">
      <c r="C174" s="367"/>
      <c r="E174" s="367"/>
      <c r="F174" s="339"/>
      <c r="G174" s="371"/>
      <c r="H174" s="375"/>
      <c r="I174" s="373"/>
      <c r="J174" s="373"/>
      <c r="K174" s="373"/>
    </row>
    <row r="175">
      <c r="C175" s="367"/>
      <c r="E175" s="367"/>
      <c r="F175" s="375"/>
      <c r="G175" s="339"/>
      <c r="H175" s="375"/>
      <c r="I175" s="375"/>
      <c r="J175" s="373"/>
      <c r="K175" s="373"/>
    </row>
    <row r="176">
      <c r="C176" s="367"/>
      <c r="E176" s="367"/>
      <c r="F176" s="375"/>
      <c r="G176" s="339"/>
      <c r="H176" s="375"/>
      <c r="I176" s="375"/>
      <c r="J176" s="373"/>
      <c r="K176" s="373"/>
    </row>
    <row r="177">
      <c r="C177" s="367"/>
      <c r="J177" s="373"/>
      <c r="K177" s="373"/>
    </row>
    <row r="178">
      <c r="C178" s="367"/>
      <c r="D178" s="367"/>
    </row>
    <row r="179">
      <c r="C179" s="367"/>
    </row>
  </sheetData>
  <autoFilter ref="A1:Q164">
    <filterColumn colId="10">
      <colorFilter cellColor="" dxfId="0"/>
    </filterColumn>
  </autoFilter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" min="1" style="0" width="11.211267605633802"/>
  </cols>
  <sheetData>
    <row customHeight="true" ht="16.071428571428573" r="1">
      <c r="A1" s="376" t="s">
        <v>307</v>
      </c>
      <c r="B1" s="377" t="s">
        <v>308</v>
      </c>
      <c r="C1" s="377" t="s">
        <v>309</v>
      </c>
      <c r="D1" s="377" t="s">
        <v>310</v>
      </c>
      <c r="E1" s="377" t="s">
        <v>311</v>
      </c>
      <c r="F1" s="377" t="s">
        <v>312</v>
      </c>
      <c r="G1" s="378" t="s">
        <v>313</v>
      </c>
      <c r="H1" s="379" t="s">
        <v>314</v>
      </c>
      <c r="I1" s="377" t="s">
        <v>315</v>
      </c>
      <c r="J1" s="377" t="s">
        <v>316</v>
      </c>
      <c r="K1" s="377" t="s">
        <v>317</v>
      </c>
      <c r="L1" s="380" t="s">
        <v>318</v>
      </c>
      <c r="M1" s="380" t="s">
        <v>319</v>
      </c>
      <c r="N1" s="380" t="s">
        <v>320</v>
      </c>
      <c r="O1" s="381" t="s">
        <v>321</v>
      </c>
      <c r="P1" s="381" t="s">
        <v>322</v>
      </c>
      <c r="Q1" s="381" t="s">
        <v>323</v>
      </c>
    </row>
    <row r="2">
      <c r="A2" s="382">
        <v>46143</v>
      </c>
      <c r="B2" s="383" t="s">
        <v>324</v>
      </c>
      <c r="C2" s="384" t="s">
        <v>325</v>
      </c>
      <c r="D2" s="385">
        <v>5</v>
      </c>
      <c r="E2" s="386">
        <v>35</v>
      </c>
      <c r="F2" s="387">
        <v>29</v>
      </c>
      <c r="G2" s="383">
        <v>25</v>
      </c>
      <c r="H2" s="383">
        <v>21</v>
      </c>
      <c r="I2" s="383">
        <v>0</v>
      </c>
      <c r="J2" s="388">
        <v>26436.199999999997</v>
      </c>
      <c r="K2" s="383">
        <v>18516.92</v>
      </c>
      <c r="L2" s="389">
        <f t="shared" ref="L2:L182" si="2">J2/K2</f>
      </c>
      <c r="M2" s="389">
        <f t="shared" ref="M2:M182" si="0">J2/F2</f>
      </c>
      <c r="N2" s="389">
        <f t="shared" ref="N2:N5" si="3">K2/F2</f>
      </c>
      <c r="O2" s="385" t="s">
        <v>326</v>
      </c>
      <c r="P2" s="390">
        <v>10</v>
      </c>
      <c r="Q2" s="391"/>
    </row>
    <row r="3">
      <c r="A3" s="382">
        <v>46143</v>
      </c>
      <c r="B3" s="383" t="s">
        <v>327</v>
      </c>
      <c r="C3" s="384" t="s">
        <v>328</v>
      </c>
      <c r="D3" s="383">
        <v>3</v>
      </c>
      <c r="E3" s="383">
        <v>27</v>
      </c>
      <c r="F3" s="383">
        <v>19</v>
      </c>
      <c r="G3" s="383">
        <v>17</v>
      </c>
      <c r="H3" s="383">
        <v>13</v>
      </c>
      <c r="I3" s="383">
        <v>1</v>
      </c>
      <c r="J3" s="392">
        <v>20904.999999999996</v>
      </c>
      <c r="K3" s="392">
        <v>12262.8</v>
      </c>
      <c r="L3" s="389">
        <f t="shared" si="2"/>
      </c>
      <c r="M3" s="389">
        <f t="shared" si="0"/>
      </c>
      <c r="N3" s="389">
        <f t="shared" si="3"/>
      </c>
      <c r="O3" s="393"/>
      <c r="P3" s="393"/>
      <c r="Q3" s="394"/>
    </row>
    <row r="4">
      <c r="A4" s="382">
        <v>46143</v>
      </c>
      <c r="B4" s="383" t="s">
        <v>329</v>
      </c>
      <c r="C4" s="384" t="s">
        <v>330</v>
      </c>
      <c r="D4" s="383">
        <v>2</v>
      </c>
      <c r="E4" s="383">
        <v>12</v>
      </c>
      <c r="F4" s="383">
        <v>10</v>
      </c>
      <c r="G4" s="383">
        <v>9</v>
      </c>
      <c r="H4" s="383">
        <v>6</v>
      </c>
      <c r="I4" s="383">
        <v>0</v>
      </c>
      <c r="J4" s="392">
        <v>8596.800000000003</v>
      </c>
      <c r="K4" s="392">
        <v>8791.05</v>
      </c>
      <c r="L4" s="389">
        <f t="shared" si="2"/>
      </c>
      <c r="M4" s="389">
        <f t="shared" si="0"/>
      </c>
      <c r="N4" s="389">
        <f t="shared" si="3"/>
      </c>
      <c r="O4" s="395"/>
      <c r="P4" s="390"/>
      <c r="Q4" s="394"/>
    </row>
    <row r="5">
      <c r="A5" s="382">
        <v>46143</v>
      </c>
      <c r="B5" s="383" t="s">
        <v>331</v>
      </c>
      <c r="C5" s="384" t="s">
        <v>332</v>
      </c>
      <c r="D5" s="383">
        <v>5</v>
      </c>
      <c r="E5" s="383">
        <v>35</v>
      </c>
      <c r="F5" s="383">
        <v>30</v>
      </c>
      <c r="G5" s="383">
        <v>27</v>
      </c>
      <c r="H5" s="383">
        <v>20</v>
      </c>
      <c r="I5" s="383">
        <v>1</v>
      </c>
      <c r="J5" s="392">
        <v>27733.6</v>
      </c>
      <c r="K5" s="392">
        <v>17334.34</v>
      </c>
      <c r="L5" s="389">
        <f t="shared" si="2"/>
      </c>
      <c r="M5" s="389">
        <f t="shared" si="0"/>
      </c>
      <c r="N5" s="389">
        <f t="shared" si="3"/>
      </c>
      <c r="O5" s="395"/>
      <c r="P5" s="390"/>
      <c r="Q5" s="394"/>
    </row>
    <row r="6">
      <c r="A6" s="382">
        <v>46143</v>
      </c>
      <c r="B6" s="383" t="s">
        <v>333</v>
      </c>
      <c r="C6" s="384" t="s">
        <v>334</v>
      </c>
      <c r="D6" s="383">
        <v>5</v>
      </c>
      <c r="E6" s="383">
        <v>38</v>
      </c>
      <c r="F6" s="383">
        <v>30</v>
      </c>
      <c r="G6" s="383">
        <v>25</v>
      </c>
      <c r="H6" s="383">
        <v>23</v>
      </c>
      <c r="I6" s="383">
        <v>4</v>
      </c>
      <c r="J6" s="392">
        <v>29271.79999999998</v>
      </c>
      <c r="K6" s="388">
        <v>23483.33</v>
      </c>
      <c r="L6" s="389">
        <f t="shared" si="2"/>
      </c>
      <c r="M6" s="389">
        <f t="shared" si="0"/>
      </c>
      <c r="N6" s="389">
        <f>K6/H6</f>
      </c>
      <c r="O6" s="385" t="s">
        <v>335</v>
      </c>
      <c r="P6" s="383">
        <v>10</v>
      </c>
      <c r="Q6" s="393"/>
    </row>
    <row r="7">
      <c r="A7" s="396">
        <v>46143</v>
      </c>
      <c r="B7" s="397"/>
      <c r="C7" s="397"/>
      <c r="D7" s="397">
        <f>SUM(D2:D6)</f>
      </c>
      <c r="E7" s="397">
        <f>SUM(E2:E6)</f>
      </c>
      <c r="F7" s="397">
        <f>SUM(F2:F6)</f>
      </c>
      <c r="G7" s="397">
        <f>SUM(G2:G6)</f>
      </c>
      <c r="H7" s="397">
        <f>SUM(H2:H6)</f>
      </c>
      <c r="I7" s="397">
        <f>SUM(I2:I6)</f>
      </c>
      <c r="J7" s="397">
        <f>SUM(J2:J6)</f>
      </c>
      <c r="K7" s="397">
        <f>SUM(K2:K6)</f>
      </c>
      <c r="L7" s="398">
        <f t="shared" si="2"/>
      </c>
      <c r="M7" s="398">
        <f t="shared" si="0"/>
      </c>
      <c r="N7" s="398">
        <f t="shared" ref="N7:N10" si="4">K7/F7</f>
      </c>
      <c r="O7" s="399"/>
      <c r="P7" s="397">
        <f>P2+P3+P4+P6</f>
      </c>
      <c r="Q7" s="399"/>
    </row>
    <row r="8">
      <c r="A8" s="382">
        <v>46144</v>
      </c>
      <c r="B8" s="383" t="s">
        <v>336</v>
      </c>
      <c r="C8" s="400" t="s">
        <v>325</v>
      </c>
      <c r="D8" s="395">
        <v>5</v>
      </c>
      <c r="E8" s="386">
        <v>46</v>
      </c>
      <c r="F8" s="387">
        <v>39</v>
      </c>
      <c r="G8" s="383">
        <v>26</v>
      </c>
      <c r="H8" s="383">
        <v>21</v>
      </c>
      <c r="I8" s="383">
        <v>5</v>
      </c>
      <c r="J8" s="401">
        <v>41230.600000000006</v>
      </c>
      <c r="K8" s="390">
        <v>17146.48</v>
      </c>
      <c r="L8" s="389">
        <f t="shared" si="2"/>
      </c>
      <c r="M8" s="389">
        <f t="shared" si="0"/>
      </c>
      <c r="N8" s="389">
        <f t="shared" si="4"/>
      </c>
      <c r="O8" s="385" t="s">
        <v>326</v>
      </c>
      <c r="P8" s="390">
        <v>10</v>
      </c>
      <c r="Q8" s="391"/>
    </row>
    <row r="9">
      <c r="A9" s="382">
        <v>46144</v>
      </c>
      <c r="B9" s="383" t="s">
        <v>324</v>
      </c>
      <c r="C9" s="400" t="s">
        <v>337</v>
      </c>
      <c r="D9" s="390">
        <v>5</v>
      </c>
      <c r="E9" s="383">
        <v>43</v>
      </c>
      <c r="F9" s="383">
        <v>30</v>
      </c>
      <c r="G9" s="383">
        <v>19</v>
      </c>
      <c r="H9" s="383">
        <v>24</v>
      </c>
      <c r="I9" s="383">
        <v>5</v>
      </c>
      <c r="J9" s="392">
        <v>19821.399999999998</v>
      </c>
      <c r="K9" s="392">
        <v>15394.23</v>
      </c>
      <c r="L9" s="389">
        <f t="shared" si="2"/>
      </c>
      <c r="M9" s="389">
        <f t="shared" si="0"/>
      </c>
      <c r="N9" s="389">
        <f t="shared" si="4"/>
      </c>
      <c r="O9" s="393"/>
      <c r="P9" s="393"/>
      <c r="Q9" s="394"/>
    </row>
    <row r="10">
      <c r="A10" s="382">
        <v>46144</v>
      </c>
      <c r="B10" s="383" t="s">
        <v>331</v>
      </c>
      <c r="C10" s="400" t="s">
        <v>332</v>
      </c>
      <c r="D10" s="390">
        <v>5</v>
      </c>
      <c r="E10" s="383">
        <v>48</v>
      </c>
      <c r="F10" s="383">
        <v>35</v>
      </c>
      <c r="G10" s="383">
        <v>27</v>
      </c>
      <c r="H10" s="383">
        <v>20</v>
      </c>
      <c r="I10" s="383">
        <v>3</v>
      </c>
      <c r="J10" s="392">
        <v>31858.5</v>
      </c>
      <c r="K10" s="392">
        <v>14621.45</v>
      </c>
      <c r="L10" s="389">
        <f t="shared" si="2"/>
      </c>
      <c r="M10" s="389">
        <f t="shared" si="0"/>
      </c>
      <c r="N10" s="389">
        <f t="shared" si="4"/>
      </c>
      <c r="O10" s="395"/>
      <c r="P10" s="390"/>
      <c r="Q10" s="394"/>
    </row>
    <row r="11">
      <c r="A11" s="382">
        <v>46144</v>
      </c>
      <c r="B11" s="383" t="s">
        <v>333</v>
      </c>
      <c r="C11" s="400" t="s">
        <v>334</v>
      </c>
      <c r="D11" s="390">
        <v>5</v>
      </c>
      <c r="E11" s="383">
        <v>35</v>
      </c>
      <c r="F11" s="383">
        <v>30</v>
      </c>
      <c r="G11" s="383">
        <v>28</v>
      </c>
      <c r="H11" s="383">
        <v>18</v>
      </c>
      <c r="I11" s="383">
        <v>2</v>
      </c>
      <c r="J11" s="392">
        <v>30952.4</v>
      </c>
      <c r="K11" s="388">
        <v>18927.45</v>
      </c>
      <c r="L11" s="389">
        <f t="shared" si="2"/>
      </c>
      <c r="M11" s="389">
        <f t="shared" si="0"/>
      </c>
      <c r="N11" s="389">
        <f>K11/H11</f>
      </c>
      <c r="O11" s="385" t="s">
        <v>335</v>
      </c>
      <c r="P11" s="383">
        <v>10</v>
      </c>
      <c r="Q11" s="393"/>
    </row>
    <row r="12">
      <c r="A12" s="396">
        <v>46144</v>
      </c>
      <c r="B12" s="397"/>
      <c r="C12" s="397"/>
      <c r="D12" s="397">
        <f>SUM(D8:D11)</f>
      </c>
      <c r="E12" s="397">
        <f>SUM(E8:E11)</f>
      </c>
      <c r="F12" s="397">
        <f>SUM(F8:F11)</f>
      </c>
      <c r="G12" s="397">
        <f>SUM(G8:G11)</f>
      </c>
      <c r="H12" s="397">
        <f>SUM(H8:H11)</f>
      </c>
      <c r="I12" s="397">
        <f>SUM(I8:I11)</f>
      </c>
      <c r="J12" s="397">
        <f>SUM(J8:J11)</f>
      </c>
      <c r="K12" s="397">
        <f>SUM(K8:K11)</f>
      </c>
      <c r="L12" s="398">
        <f t="shared" si="2"/>
      </c>
      <c r="M12" s="398">
        <f t="shared" si="0"/>
      </c>
      <c r="N12" s="398">
        <f t="shared" ref="N12:N15" si="5">K12/F12</f>
      </c>
      <c r="O12" s="399"/>
      <c r="P12" s="397">
        <f>P8+P9+P10+P11</f>
      </c>
      <c r="Q12" s="399"/>
    </row>
    <row r="13">
      <c r="A13" s="382">
        <v>46145</v>
      </c>
      <c r="B13" s="383" t="s">
        <v>324</v>
      </c>
      <c r="C13" s="400" t="s">
        <v>325</v>
      </c>
      <c r="D13" s="395">
        <v>5</v>
      </c>
      <c r="E13" s="386">
        <v>42</v>
      </c>
      <c r="F13" s="387">
        <v>30</v>
      </c>
      <c r="G13" s="383">
        <v>26</v>
      </c>
      <c r="H13" s="383">
        <v>20</v>
      </c>
      <c r="I13" s="383">
        <v>1</v>
      </c>
      <c r="J13" s="401">
        <v>26966.6</v>
      </c>
      <c r="K13" s="390">
        <v>19350.79</v>
      </c>
      <c r="L13" s="389">
        <f t="shared" si="2"/>
      </c>
      <c r="M13" s="389">
        <f t="shared" si="0"/>
      </c>
      <c r="N13" s="389">
        <f t="shared" si="5"/>
      </c>
      <c r="O13" s="385" t="s">
        <v>326</v>
      </c>
      <c r="P13" s="390">
        <v>10</v>
      </c>
      <c r="Q13" s="391"/>
    </row>
    <row r="14">
      <c r="A14" s="382">
        <v>46145</v>
      </c>
      <c r="B14" s="383" t="s">
        <v>336</v>
      </c>
      <c r="C14" s="400" t="s">
        <v>337</v>
      </c>
      <c r="D14" s="390">
        <v>5</v>
      </c>
      <c r="E14" s="383">
        <v>39</v>
      </c>
      <c r="F14" s="383">
        <v>34</v>
      </c>
      <c r="G14" s="383">
        <v>25</v>
      </c>
      <c r="H14" s="383">
        <v>21</v>
      </c>
      <c r="I14" s="383">
        <v>2</v>
      </c>
      <c r="J14" s="392">
        <v>36776.2</v>
      </c>
      <c r="K14" s="392">
        <v>14885.220000000001</v>
      </c>
      <c r="L14" s="389">
        <f t="shared" si="2"/>
      </c>
      <c r="M14" s="389">
        <f t="shared" si="0"/>
      </c>
      <c r="N14" s="389">
        <f t="shared" si="5"/>
      </c>
      <c r="O14" s="393"/>
      <c r="P14" s="393"/>
      <c r="Q14" s="394"/>
    </row>
    <row r="15">
      <c r="A15" s="382">
        <v>46145</v>
      </c>
      <c r="B15" s="383" t="s">
        <v>327</v>
      </c>
      <c r="C15" s="400" t="s">
        <v>332</v>
      </c>
      <c r="D15" s="390">
        <v>5</v>
      </c>
      <c r="E15" s="383">
        <v>25</v>
      </c>
      <c r="F15" s="383">
        <v>16</v>
      </c>
      <c r="G15" s="383">
        <v>14</v>
      </c>
      <c r="H15" s="383">
        <v>9</v>
      </c>
      <c r="I15" s="383">
        <v>0</v>
      </c>
      <c r="J15" s="392">
        <v>13778.2</v>
      </c>
      <c r="K15" s="392">
        <v>11155.619999999999</v>
      </c>
      <c r="L15" s="389">
        <f t="shared" si="2"/>
      </c>
      <c r="M15" s="389">
        <f t="shared" si="0"/>
      </c>
      <c r="N15" s="389">
        <f t="shared" si="5"/>
      </c>
      <c r="O15" s="395"/>
      <c r="P15" s="390"/>
      <c r="Q15" s="394"/>
    </row>
    <row r="16">
      <c r="A16" s="382">
        <v>46145</v>
      </c>
      <c r="B16" s="383" t="s">
        <v>333</v>
      </c>
      <c r="C16" s="400" t="s">
        <v>334</v>
      </c>
      <c r="D16" s="390">
        <v>5</v>
      </c>
      <c r="E16" s="383">
        <v>39</v>
      </c>
      <c r="F16" s="383">
        <v>27</v>
      </c>
      <c r="G16" s="383">
        <v>22</v>
      </c>
      <c r="H16" s="383">
        <v>15</v>
      </c>
      <c r="I16" s="383">
        <v>2</v>
      </c>
      <c r="J16" s="392">
        <v>23035.4</v>
      </c>
      <c r="K16" s="388">
        <v>14757.73</v>
      </c>
      <c r="L16" s="389">
        <f t="shared" si="2"/>
      </c>
      <c r="M16" s="389">
        <f t="shared" si="0"/>
      </c>
      <c r="N16" s="389">
        <f>K16/H16</f>
      </c>
      <c r="O16" s="385" t="s">
        <v>335</v>
      </c>
      <c r="P16" s="383">
        <v>10</v>
      </c>
      <c r="Q16" s="393"/>
    </row>
    <row r="17">
      <c r="A17" s="396">
        <v>46145</v>
      </c>
      <c r="B17" s="397"/>
      <c r="C17" s="397"/>
      <c r="D17" s="397">
        <f>SUM(D13:D16)</f>
      </c>
      <c r="E17" s="397">
        <f>SUM(E13:E16)</f>
      </c>
      <c r="F17" s="397">
        <f>SUM(F13:F16)</f>
      </c>
      <c r="G17" s="397">
        <f>SUM(G13:G16)</f>
      </c>
      <c r="H17" s="397">
        <f>SUM(H13:H16)</f>
      </c>
      <c r="I17" s="397">
        <f>SUM(I13:I16)</f>
      </c>
      <c r="J17" s="397">
        <f>SUM(J13:J16)</f>
      </c>
      <c r="K17" s="397">
        <f>SUM(K13:K16)</f>
      </c>
      <c r="L17" s="398">
        <f t="shared" si="2"/>
      </c>
      <c r="M17" s="398">
        <f t="shared" si="0"/>
      </c>
      <c r="N17" s="398">
        <f t="shared" ref="N17:N20" si="6">K17/F17</f>
      </c>
      <c r="O17" s="399"/>
      <c r="P17" s="397">
        <f>P13+P14+P15+P16</f>
      </c>
      <c r="Q17" s="399"/>
    </row>
    <row r="18">
      <c r="A18" s="382">
        <v>46146</v>
      </c>
      <c r="B18" s="383" t="s">
        <v>324</v>
      </c>
      <c r="C18" s="400" t="s">
        <v>325</v>
      </c>
      <c r="D18" s="395">
        <v>5</v>
      </c>
      <c r="E18" s="386">
        <v>53</v>
      </c>
      <c r="F18" s="387">
        <v>39</v>
      </c>
      <c r="G18" s="383">
        <v>33</v>
      </c>
      <c r="H18" s="383">
        <v>23</v>
      </c>
      <c r="I18" s="383">
        <v>2</v>
      </c>
      <c r="J18" s="401">
        <v>34432.399999999994</v>
      </c>
      <c r="K18" s="390">
        <v>21090.17</v>
      </c>
      <c r="L18" s="389">
        <f t="shared" si="2"/>
      </c>
      <c r="M18" s="389">
        <f t="shared" si="0"/>
      </c>
      <c r="N18" s="389">
        <f t="shared" si="6"/>
      </c>
      <c r="O18" s="385" t="s">
        <v>326</v>
      </c>
      <c r="P18" s="390">
        <v>10</v>
      </c>
      <c r="Q18" s="391"/>
    </row>
    <row r="19">
      <c r="A19" s="382">
        <v>46146</v>
      </c>
      <c r="B19" s="383" t="s">
        <v>336</v>
      </c>
      <c r="C19" s="400" t="s">
        <v>337</v>
      </c>
      <c r="D19" s="390">
        <v>5</v>
      </c>
      <c r="E19" s="383">
        <v>62</v>
      </c>
      <c r="F19" s="383">
        <v>39</v>
      </c>
      <c r="G19" s="383">
        <v>34</v>
      </c>
      <c r="H19" s="383">
        <v>25</v>
      </c>
      <c r="I19" s="383">
        <v>2</v>
      </c>
      <c r="J19" s="392">
        <v>36517</v>
      </c>
      <c r="K19" s="392">
        <v>25369.719999999998</v>
      </c>
      <c r="L19" s="389">
        <f t="shared" si="2"/>
      </c>
      <c r="M19" s="389">
        <f t="shared" si="0"/>
      </c>
      <c r="N19" s="389">
        <f t="shared" si="6"/>
      </c>
      <c r="O19" s="393"/>
      <c r="P19" s="393"/>
      <c r="Q19" s="394"/>
    </row>
    <row r="20">
      <c r="A20" s="382">
        <v>46146</v>
      </c>
      <c r="B20" s="383" t="s">
        <v>333</v>
      </c>
      <c r="C20" s="400" t="s">
        <v>332</v>
      </c>
      <c r="D20" s="390">
        <v>5</v>
      </c>
      <c r="E20" s="383">
        <v>38</v>
      </c>
      <c r="F20" s="383">
        <v>28</v>
      </c>
      <c r="G20" s="383">
        <v>23</v>
      </c>
      <c r="H20" s="383">
        <v>16</v>
      </c>
      <c r="I20" s="383">
        <v>2</v>
      </c>
      <c r="J20" s="392">
        <v>28197.599999999995</v>
      </c>
      <c r="K20" s="392">
        <v>17837.42</v>
      </c>
      <c r="L20" s="389">
        <f t="shared" si="2"/>
      </c>
      <c r="M20" s="389">
        <f t="shared" si="0"/>
      </c>
      <c r="N20" s="389">
        <f t="shared" si="6"/>
      </c>
      <c r="O20" s="395"/>
      <c r="P20" s="390"/>
      <c r="Q20" s="394"/>
    </row>
    <row r="21">
      <c r="A21" s="382">
        <v>46146</v>
      </c>
      <c r="B21" s="383" t="s">
        <v>327</v>
      </c>
      <c r="C21" s="400" t="s">
        <v>334</v>
      </c>
      <c r="D21" s="390">
        <v>5</v>
      </c>
      <c r="E21" s="383">
        <v>59</v>
      </c>
      <c r="F21" s="383">
        <v>51</v>
      </c>
      <c r="G21" s="383">
        <v>38</v>
      </c>
      <c r="H21" s="383">
        <v>31</v>
      </c>
      <c r="I21" s="383">
        <v>8</v>
      </c>
      <c r="J21" s="392">
        <v>57272.799999999996</v>
      </c>
      <c r="K21" s="388">
        <v>17650.32</v>
      </c>
      <c r="L21" s="389">
        <f t="shared" si="2"/>
      </c>
      <c r="M21" s="389">
        <f t="shared" si="0"/>
      </c>
      <c r="N21" s="389">
        <f>K21/H21</f>
      </c>
      <c r="O21" s="385" t="s">
        <v>335</v>
      </c>
      <c r="P21" s="383">
        <v>10</v>
      </c>
      <c r="Q21" s="393"/>
    </row>
    <row r="22">
      <c r="A22" s="396">
        <v>46146</v>
      </c>
      <c r="B22" s="397"/>
      <c r="C22" s="397"/>
      <c r="D22" s="397">
        <f>SUM(D18:D21)</f>
      </c>
      <c r="E22" s="397">
        <f>SUM(E18:E21)</f>
      </c>
      <c r="F22" s="397">
        <f>SUM(F18:F21)</f>
      </c>
      <c r="G22" s="397">
        <f>SUM(G18:G21)</f>
      </c>
      <c r="H22" s="397">
        <f>SUM(H18:H21)</f>
      </c>
      <c r="I22" s="397">
        <f>SUM(I18:I21)</f>
      </c>
      <c r="J22" s="397">
        <f>SUM(J18:J21)</f>
      </c>
      <c r="K22" s="397">
        <f>SUM(K18:K21)</f>
      </c>
      <c r="L22" s="398">
        <f t="shared" si="2"/>
      </c>
      <c r="M22" s="398">
        <f t="shared" si="0"/>
      </c>
      <c r="N22" s="398">
        <f t="shared" ref="N22:N26" si="7">K22/F22</f>
      </c>
      <c r="O22" s="399"/>
      <c r="P22" s="397">
        <f>P18+P19+P20+P21</f>
      </c>
      <c r="Q22" s="399"/>
    </row>
    <row r="23">
      <c r="A23" s="382">
        <v>46147</v>
      </c>
      <c r="B23" s="383" t="s">
        <v>324</v>
      </c>
      <c r="C23" s="384" t="s">
        <v>325</v>
      </c>
      <c r="D23" s="385">
        <v>5</v>
      </c>
      <c r="E23" s="386">
        <v>46</v>
      </c>
      <c r="F23" s="387">
        <v>37</v>
      </c>
      <c r="G23" s="383">
        <v>29</v>
      </c>
      <c r="H23" s="383">
        <v>27</v>
      </c>
      <c r="I23" s="383">
        <v>2</v>
      </c>
      <c r="J23" s="388">
        <v>31949.200000000004</v>
      </c>
      <c r="K23" s="383">
        <v>18220.71</v>
      </c>
      <c r="L23" s="389">
        <f t="shared" si="2"/>
      </c>
      <c r="M23" s="389">
        <f t="shared" si="0"/>
      </c>
      <c r="N23" s="389">
        <f t="shared" si="7"/>
      </c>
      <c r="O23" s="385" t="s">
        <v>326</v>
      </c>
      <c r="P23" s="390">
        <v>10</v>
      </c>
      <c r="Q23" s="391"/>
    </row>
    <row r="24">
      <c r="A24" s="382">
        <v>46147</v>
      </c>
      <c r="B24" s="383" t="s">
        <v>336</v>
      </c>
      <c r="C24" s="384" t="s">
        <v>337</v>
      </c>
      <c r="D24" s="383">
        <v>5</v>
      </c>
      <c r="E24" s="383">
        <v>82</v>
      </c>
      <c r="F24" s="383">
        <v>58</v>
      </c>
      <c r="G24" s="383">
        <v>49</v>
      </c>
      <c r="H24" s="383">
        <v>36</v>
      </c>
      <c r="I24" s="383">
        <v>4</v>
      </c>
      <c r="J24" s="392">
        <v>54292.399999999994</v>
      </c>
      <c r="K24" s="392">
        <v>31626.12</v>
      </c>
      <c r="L24" s="389">
        <f t="shared" si="2"/>
      </c>
      <c r="M24" s="389">
        <f t="shared" si="0"/>
      </c>
      <c r="N24" s="389">
        <f t="shared" si="7"/>
      </c>
      <c r="O24" s="393"/>
      <c r="P24" s="393"/>
      <c r="Q24" s="394"/>
    </row>
    <row r="25">
      <c r="A25" s="382">
        <v>46147</v>
      </c>
      <c r="B25" s="383" t="s">
        <v>338</v>
      </c>
      <c r="C25" s="384" t="s">
        <v>339</v>
      </c>
      <c r="D25" s="383">
        <v>2</v>
      </c>
      <c r="E25" s="383">
        <v>22</v>
      </c>
      <c r="F25" s="383">
        <v>16</v>
      </c>
      <c r="G25" s="383">
        <v>16</v>
      </c>
      <c r="H25" s="383">
        <v>9</v>
      </c>
      <c r="I25" s="383">
        <v>0</v>
      </c>
      <c r="J25" s="392">
        <v>15841.200000000004</v>
      </c>
      <c r="K25" s="392">
        <v>10671.869999999999</v>
      </c>
      <c r="L25" s="389">
        <f t="shared" si="2"/>
      </c>
      <c r="M25" s="389">
        <f t="shared" si="0"/>
      </c>
      <c r="N25" s="389">
        <f t="shared" si="7"/>
      </c>
      <c r="O25" s="395"/>
      <c r="P25" s="390"/>
      <c r="Q25" s="394"/>
    </row>
    <row r="26">
      <c r="A26" s="382">
        <v>46147</v>
      </c>
      <c r="B26" s="383" t="s">
        <v>331</v>
      </c>
      <c r="C26" s="384" t="s">
        <v>340</v>
      </c>
      <c r="D26" s="383">
        <v>4</v>
      </c>
      <c r="E26" s="383">
        <v>63</v>
      </c>
      <c r="F26" s="383">
        <v>50</v>
      </c>
      <c r="G26" s="383">
        <v>34</v>
      </c>
      <c r="H26" s="383">
        <v>23</v>
      </c>
      <c r="I26" s="383">
        <v>5</v>
      </c>
      <c r="J26" s="392">
        <v>48022.9</v>
      </c>
      <c r="K26" s="392">
        <v>19936.57</v>
      </c>
      <c r="L26" s="389">
        <f t="shared" si="2"/>
      </c>
      <c r="M26" s="389">
        <f t="shared" si="0"/>
      </c>
      <c r="N26" s="389">
        <f t="shared" si="7"/>
      </c>
      <c r="O26" s="395"/>
      <c r="P26" s="390"/>
      <c r="Q26" s="394"/>
    </row>
    <row r="27">
      <c r="A27" s="382">
        <v>46147</v>
      </c>
      <c r="B27" s="383" t="s">
        <v>327</v>
      </c>
      <c r="C27" s="384" t="s">
        <v>341</v>
      </c>
      <c r="D27" s="383">
        <v>4</v>
      </c>
      <c r="E27" s="383">
        <v>58</v>
      </c>
      <c r="F27" s="383">
        <v>48</v>
      </c>
      <c r="G27" s="383">
        <v>41</v>
      </c>
      <c r="H27" s="383">
        <v>27</v>
      </c>
      <c r="I27" s="383">
        <v>3</v>
      </c>
      <c r="J27" s="392">
        <v>47553.999999999985</v>
      </c>
      <c r="K27" s="388">
        <v>25564.510000000002</v>
      </c>
      <c r="L27" s="389">
        <f t="shared" si="2"/>
      </c>
      <c r="M27" s="389">
        <f t="shared" si="0"/>
      </c>
      <c r="N27" s="389">
        <f>K27/H27</f>
      </c>
      <c r="O27" s="385" t="s">
        <v>335</v>
      </c>
      <c r="P27" s="383">
        <v>10</v>
      </c>
      <c r="Q27" s="393"/>
    </row>
    <row r="28">
      <c r="A28" s="396">
        <v>46147</v>
      </c>
      <c r="B28" s="397"/>
      <c r="C28" s="397"/>
      <c r="D28" s="397">
        <f>SUM(D23:D27)</f>
      </c>
      <c r="E28" s="397">
        <f>SUM(E23:E27)</f>
      </c>
      <c r="F28" s="397">
        <f>SUM(F23:F27)</f>
      </c>
      <c r="G28" s="397">
        <f>SUM(G23:G27)</f>
      </c>
      <c r="H28" s="397">
        <f>SUM(H23:H27)</f>
      </c>
      <c r="I28" s="397">
        <f>SUM(I23:I27)</f>
      </c>
      <c r="J28" s="397">
        <f>SUM(J23:J27)</f>
      </c>
      <c r="K28" s="397">
        <f>SUM(K23:K27)</f>
      </c>
      <c r="L28" s="398">
        <f t="shared" si="2"/>
      </c>
      <c r="M28" s="398">
        <f t="shared" si="0"/>
      </c>
      <c r="N28" s="398">
        <f t="shared" ref="N28:N32" si="8">K28/F28</f>
      </c>
      <c r="O28" s="399"/>
      <c r="P28" s="397">
        <f>P23+P24+P25+P27</f>
      </c>
      <c r="Q28" s="399"/>
    </row>
    <row r="29">
      <c r="A29" s="382">
        <v>46148</v>
      </c>
      <c r="B29" s="383" t="s">
        <v>336</v>
      </c>
      <c r="C29" s="384" t="s">
        <v>325</v>
      </c>
      <c r="D29" s="385">
        <v>5</v>
      </c>
      <c r="E29" s="386">
        <v>97</v>
      </c>
      <c r="F29" s="387">
        <v>77</v>
      </c>
      <c r="G29" s="383">
        <v>61</v>
      </c>
      <c r="H29" s="383">
        <v>46</v>
      </c>
      <c r="I29" s="383">
        <v>6</v>
      </c>
      <c r="J29" s="388">
        <v>63785.60000000002</v>
      </c>
      <c r="K29" s="383">
        <v>38819.509999999995</v>
      </c>
      <c r="L29" s="389">
        <f t="shared" si="2"/>
      </c>
      <c r="M29" s="389">
        <f t="shared" si="0"/>
      </c>
      <c r="N29" s="389">
        <f t="shared" si="8"/>
      </c>
      <c r="O29" s="385" t="s">
        <v>326</v>
      </c>
      <c r="P29" s="390">
        <v>10</v>
      </c>
      <c r="Q29" s="391"/>
    </row>
    <row r="30">
      <c r="A30" s="382">
        <v>46148</v>
      </c>
      <c r="B30" s="383" t="s">
        <v>324</v>
      </c>
      <c r="C30" s="384" t="s">
        <v>337</v>
      </c>
      <c r="D30" s="383">
        <v>5</v>
      </c>
      <c r="E30" s="383">
        <v>77</v>
      </c>
      <c r="F30" s="383">
        <v>61</v>
      </c>
      <c r="G30" s="383">
        <v>51</v>
      </c>
      <c r="H30" s="383">
        <v>36</v>
      </c>
      <c r="I30" s="383">
        <v>7</v>
      </c>
      <c r="J30" s="392">
        <v>59275.700000000004</v>
      </c>
      <c r="K30" s="392">
        <v>39661.64</v>
      </c>
      <c r="L30" s="389">
        <f t="shared" si="2"/>
      </c>
      <c r="M30" s="389">
        <f t="shared" si="0"/>
      </c>
      <c r="N30" s="389">
        <f t="shared" si="8"/>
      </c>
      <c r="O30" s="393"/>
      <c r="P30" s="393"/>
      <c r="Q30" s="394"/>
    </row>
    <row r="31">
      <c r="A31" s="382">
        <v>46148</v>
      </c>
      <c r="B31" s="383" t="s">
        <v>329</v>
      </c>
      <c r="C31" s="384" t="s">
        <v>339</v>
      </c>
      <c r="D31" s="383">
        <v>2</v>
      </c>
      <c r="E31" s="383">
        <v>31</v>
      </c>
      <c r="F31" s="383">
        <v>28</v>
      </c>
      <c r="G31" s="383">
        <v>21</v>
      </c>
      <c r="H31" s="383">
        <v>20</v>
      </c>
      <c r="I31" s="383">
        <v>3</v>
      </c>
      <c r="J31" s="392">
        <v>31907.800000000003</v>
      </c>
      <c r="K31" s="392">
        <v>11685.95</v>
      </c>
      <c r="L31" s="389">
        <f t="shared" si="2"/>
      </c>
      <c r="M31" s="389">
        <f t="shared" si="0"/>
      </c>
      <c r="N31" s="389">
        <f t="shared" si="8"/>
      </c>
      <c r="O31" s="395"/>
      <c r="P31" s="390"/>
      <c r="Q31" s="394"/>
    </row>
    <row r="32">
      <c r="A32" s="382">
        <v>46148</v>
      </c>
      <c r="B32" s="383" t="s">
        <v>331</v>
      </c>
      <c r="C32" s="384" t="s">
        <v>340</v>
      </c>
      <c r="D32" s="383">
        <v>4</v>
      </c>
      <c r="E32" s="383">
        <v>77</v>
      </c>
      <c r="F32" s="383">
        <v>62</v>
      </c>
      <c r="G32" s="383">
        <v>41</v>
      </c>
      <c r="H32" s="383">
        <v>32</v>
      </c>
      <c r="I32" s="383">
        <v>9</v>
      </c>
      <c r="J32" s="392">
        <v>60624.40000000002</v>
      </c>
      <c r="K32" s="392">
        <v>26771.75</v>
      </c>
      <c r="L32" s="389">
        <f t="shared" si="2"/>
      </c>
      <c r="M32" s="389">
        <f t="shared" si="0"/>
      </c>
      <c r="N32" s="389">
        <f t="shared" si="8"/>
      </c>
      <c r="O32" s="395"/>
      <c r="P32" s="390"/>
      <c r="Q32" s="394"/>
    </row>
    <row r="33">
      <c r="A33" s="382">
        <v>46148</v>
      </c>
      <c r="B33" s="383" t="s">
        <v>327</v>
      </c>
      <c r="C33" s="384" t="s">
        <v>341</v>
      </c>
      <c r="D33" s="383">
        <v>4</v>
      </c>
      <c r="E33" s="383">
        <v>32</v>
      </c>
      <c r="F33" s="383">
        <v>25</v>
      </c>
      <c r="G33" s="383">
        <v>20</v>
      </c>
      <c r="H33" s="383">
        <v>16</v>
      </c>
      <c r="I33" s="383">
        <v>3</v>
      </c>
      <c r="J33" s="392">
        <v>20541.399999999994</v>
      </c>
      <c r="K33" s="388">
        <v>19320.84</v>
      </c>
      <c r="L33" s="389">
        <f t="shared" si="2"/>
      </c>
      <c r="M33" s="389">
        <f t="shared" si="0"/>
      </c>
      <c r="N33" s="389">
        <f>K33/H33</f>
      </c>
      <c r="O33" s="385" t="s">
        <v>342</v>
      </c>
      <c r="P33" s="383">
        <v>10</v>
      </c>
      <c r="Q33" s="393"/>
    </row>
    <row r="34">
      <c r="A34" s="396">
        <v>46148</v>
      </c>
      <c r="B34" s="397"/>
      <c r="C34" s="397"/>
      <c r="D34" s="397">
        <f>SUM(D29:D33)</f>
      </c>
      <c r="E34" s="397">
        <f>SUM(E29:E33)</f>
      </c>
      <c r="F34" s="397">
        <f>SUM(F29:F33)</f>
      </c>
      <c r="G34" s="397">
        <f>SUM(G29:G33)</f>
      </c>
      <c r="H34" s="397">
        <f>SUM(H29:H33)</f>
      </c>
      <c r="I34" s="397">
        <f>SUM(I29:I33)</f>
      </c>
      <c r="J34" s="397">
        <f>SUM(J29:J33)</f>
      </c>
      <c r="K34" s="397">
        <f>SUM(K29:K33)</f>
      </c>
      <c r="L34" s="398">
        <f t="shared" si="2"/>
      </c>
      <c r="M34" s="398">
        <f t="shared" si="0"/>
      </c>
      <c r="N34" s="398">
        <f t="shared" ref="N34:N39" si="9">K34/F34</f>
      </c>
      <c r="O34" s="399"/>
      <c r="P34" s="397">
        <f>P29+P30+P31+P33</f>
      </c>
      <c r="Q34" s="399"/>
    </row>
    <row r="35">
      <c r="A35" s="382">
        <v>46149</v>
      </c>
      <c r="B35" s="383" t="s">
        <v>324</v>
      </c>
      <c r="C35" s="384" t="s">
        <v>325</v>
      </c>
      <c r="D35" s="385">
        <v>5</v>
      </c>
      <c r="E35" s="386">
        <v>44</v>
      </c>
      <c r="F35" s="387">
        <v>34</v>
      </c>
      <c r="G35" s="383">
        <v>25</v>
      </c>
      <c r="H35" s="383">
        <v>22</v>
      </c>
      <c r="I35" s="383">
        <v>4</v>
      </c>
      <c r="J35" s="388">
        <v>29021.799999999996</v>
      </c>
      <c r="K35" s="383">
        <v>20695.79</v>
      </c>
      <c r="L35" s="389">
        <f t="shared" si="2"/>
      </c>
      <c r="M35" s="389">
        <f t="shared" si="0"/>
      </c>
      <c r="N35" s="389">
        <f t="shared" si="9"/>
      </c>
      <c r="O35" s="385" t="s">
        <v>326</v>
      </c>
      <c r="P35" s="390">
        <v>10</v>
      </c>
      <c r="Q35" s="391"/>
    </row>
    <row r="36">
      <c r="A36" s="382">
        <v>46149</v>
      </c>
      <c r="B36" s="383" t="s">
        <v>336</v>
      </c>
      <c r="C36" s="384" t="s">
        <v>343</v>
      </c>
      <c r="D36" s="383">
        <v>2</v>
      </c>
      <c r="E36" s="383">
        <v>32</v>
      </c>
      <c r="F36" s="383">
        <v>27</v>
      </c>
      <c r="G36" s="383">
        <v>18</v>
      </c>
      <c r="H36" s="383">
        <v>16</v>
      </c>
      <c r="I36" s="383">
        <v>2</v>
      </c>
      <c r="J36" s="392">
        <v>18506.8</v>
      </c>
      <c r="K36" s="392">
        <v>11372.02</v>
      </c>
      <c r="L36" s="389">
        <f t="shared" si="2"/>
      </c>
      <c r="M36" s="389">
        <f t="shared" si="0"/>
      </c>
      <c r="N36" s="389">
        <f t="shared" si="9"/>
      </c>
      <c r="O36" s="393"/>
      <c r="P36" s="393"/>
      <c r="Q36" s="394"/>
    </row>
    <row r="37">
      <c r="A37" s="382">
        <v>46149</v>
      </c>
      <c r="B37" s="383" t="s">
        <v>329</v>
      </c>
      <c r="C37" s="384" t="s">
        <v>344</v>
      </c>
      <c r="D37" s="383">
        <v>3</v>
      </c>
      <c r="E37" s="383">
        <v>35</v>
      </c>
      <c r="F37" s="383">
        <v>23</v>
      </c>
      <c r="G37" s="383">
        <v>18</v>
      </c>
      <c r="H37" s="383">
        <v>14</v>
      </c>
      <c r="I37" s="383">
        <v>2</v>
      </c>
      <c r="J37" s="392">
        <v>24363.600000000002</v>
      </c>
      <c r="K37" s="392">
        <v>15651.32</v>
      </c>
      <c r="L37" s="389">
        <f t="shared" si="2"/>
      </c>
      <c r="M37" s="389">
        <f t="shared" si="0"/>
      </c>
      <c r="N37" s="389">
        <f t="shared" si="9"/>
      </c>
      <c r="O37" s="395"/>
      <c r="P37" s="390"/>
      <c r="Q37" s="394"/>
    </row>
    <row customHeight="true" ht="16.071428571428573" r="38">
      <c r="A38" s="382">
        <v>46149</v>
      </c>
      <c r="B38" s="383" t="s">
        <v>338</v>
      </c>
      <c r="C38" s="384" t="s">
        <v>339</v>
      </c>
      <c r="D38" s="383">
        <v>2</v>
      </c>
      <c r="E38" s="383">
        <v>18</v>
      </c>
      <c r="F38" s="383">
        <v>13</v>
      </c>
      <c r="G38" s="383">
        <v>11</v>
      </c>
      <c r="H38" s="383">
        <v>5</v>
      </c>
      <c r="I38" s="383">
        <v>0</v>
      </c>
      <c r="J38" s="392">
        <v>10228.400000000001</v>
      </c>
      <c r="K38" s="392">
        <v>8002.24</v>
      </c>
      <c r="L38" s="389">
        <f t="shared" si="2"/>
      </c>
      <c r="M38" s="389">
        <f t="shared" si="0"/>
      </c>
      <c r="N38" s="389">
        <f t="shared" si="9"/>
      </c>
      <c r="O38" s="395"/>
      <c r="P38" s="390"/>
      <c r="Q38" s="394"/>
    </row>
    <row r="39">
      <c r="A39" s="382">
        <v>46149</v>
      </c>
      <c r="B39" s="383" t="s">
        <v>327</v>
      </c>
      <c r="C39" s="384" t="s">
        <v>340</v>
      </c>
      <c r="D39" s="383">
        <v>4</v>
      </c>
      <c r="E39" s="383">
        <v>23</v>
      </c>
      <c r="F39" s="383">
        <v>15</v>
      </c>
      <c r="G39" s="383">
        <v>12</v>
      </c>
      <c r="H39" s="383">
        <v>9</v>
      </c>
      <c r="I39" s="383">
        <v>1</v>
      </c>
      <c r="J39" s="392">
        <v>10878</v>
      </c>
      <c r="K39" s="392">
        <v>14608.710000000001</v>
      </c>
      <c r="L39" s="389">
        <f t="shared" si="2"/>
      </c>
      <c r="M39" s="389">
        <f t="shared" si="0"/>
      </c>
      <c r="N39" s="389">
        <f t="shared" si="9"/>
      </c>
      <c r="O39" s="395"/>
      <c r="P39" s="390"/>
      <c r="Q39" s="394"/>
    </row>
    <row r="40">
      <c r="A40" s="382">
        <v>46149</v>
      </c>
      <c r="B40" s="383" t="s">
        <v>331</v>
      </c>
      <c r="C40" s="384" t="s">
        <v>341</v>
      </c>
      <c r="D40" s="383">
        <v>4</v>
      </c>
      <c r="E40" s="383">
        <v>50</v>
      </c>
      <c r="F40" s="383">
        <v>37</v>
      </c>
      <c r="G40" s="383">
        <v>32</v>
      </c>
      <c r="H40" s="383">
        <v>31</v>
      </c>
      <c r="I40" s="383">
        <v>4</v>
      </c>
      <c r="J40" s="392">
        <v>23407.999999999985</v>
      </c>
      <c r="K40" s="388">
        <v>20290.390000000003</v>
      </c>
      <c r="L40" s="389">
        <f t="shared" si="2"/>
      </c>
      <c r="M40" s="389">
        <f t="shared" si="0"/>
      </c>
      <c r="N40" s="389">
        <f>K40/H40</f>
      </c>
      <c r="O40" s="385" t="s">
        <v>335</v>
      </c>
      <c r="P40" s="383">
        <v>10</v>
      </c>
      <c r="Q40" s="393"/>
    </row>
    <row r="41">
      <c r="A41" s="396">
        <v>46149</v>
      </c>
      <c r="B41" s="397"/>
      <c r="C41" s="397"/>
      <c r="D41" s="397">
        <f>SUM(D35:D40)</f>
      </c>
      <c r="E41" s="397">
        <f>SUM(E35:E40)</f>
      </c>
      <c r="F41" s="397">
        <f>SUM(F35:F40)</f>
      </c>
      <c r="G41" s="397">
        <f>SUM(G35:G40)</f>
      </c>
      <c r="H41" s="397">
        <f>SUM(H35:H40)</f>
      </c>
      <c r="I41" s="397">
        <f>SUM(I35:I40)</f>
      </c>
      <c r="J41" s="397">
        <f>SUM(J35:J40)</f>
      </c>
      <c r="K41" s="397">
        <f>SUM(K35:K40)</f>
      </c>
      <c r="L41" s="398">
        <f t="shared" si="2"/>
      </c>
      <c r="M41" s="398">
        <f t="shared" si="0"/>
      </c>
      <c r="N41" s="398">
        <f t="shared" ref="N41:N45" si="10">K41/F41</f>
      </c>
      <c r="O41" s="399"/>
      <c r="P41" s="397">
        <f>P35+P36+P37+P40</f>
      </c>
      <c r="Q41" s="399"/>
    </row>
    <row r="42">
      <c r="A42" s="382">
        <v>46150</v>
      </c>
      <c r="B42" s="383" t="s">
        <v>324</v>
      </c>
      <c r="C42" s="384" t="s">
        <v>325</v>
      </c>
      <c r="D42" s="385">
        <v>5</v>
      </c>
      <c r="E42" s="386">
        <v>47</v>
      </c>
      <c r="F42" s="387">
        <v>36</v>
      </c>
      <c r="G42" s="383">
        <v>21</v>
      </c>
      <c r="H42" s="383">
        <v>23</v>
      </c>
      <c r="I42" s="383">
        <v>7</v>
      </c>
      <c r="J42" s="388">
        <v>35294.5</v>
      </c>
      <c r="K42" s="383">
        <v>15592.079999999998</v>
      </c>
      <c r="L42" s="389">
        <f t="shared" si="2"/>
      </c>
      <c r="M42" s="389">
        <f t="shared" si="0"/>
      </c>
      <c r="N42" s="389">
        <f t="shared" si="10"/>
      </c>
      <c r="O42" s="385" t="s">
        <v>345</v>
      </c>
      <c r="P42" s="383">
        <v>9</v>
      </c>
      <c r="Q42" s="391"/>
    </row>
    <row r="43">
      <c r="A43" s="382">
        <v>46150</v>
      </c>
      <c r="B43" s="383" t="s">
        <v>327</v>
      </c>
      <c r="C43" s="384" t="s">
        <v>343</v>
      </c>
      <c r="D43" s="383">
        <v>2</v>
      </c>
      <c r="E43" s="383">
        <v>25</v>
      </c>
      <c r="F43" s="383">
        <v>23</v>
      </c>
      <c r="G43" s="383">
        <v>2</v>
      </c>
      <c r="H43" s="383">
        <v>18</v>
      </c>
      <c r="I43" s="383">
        <v>3</v>
      </c>
      <c r="J43" s="392">
        <v>19757.199999999997</v>
      </c>
      <c r="K43" s="392">
        <v>7873.99</v>
      </c>
      <c r="L43" s="389">
        <f t="shared" si="2"/>
      </c>
      <c r="M43" s="389">
        <f t="shared" si="0"/>
      </c>
      <c r="N43" s="389">
        <f t="shared" si="10"/>
      </c>
      <c r="O43" s="393"/>
      <c r="P43" s="393"/>
      <c r="Q43" s="394"/>
    </row>
    <row r="44">
      <c r="A44" s="382">
        <v>46150</v>
      </c>
      <c r="B44" s="383" t="s">
        <v>329</v>
      </c>
      <c r="C44" s="384" t="s">
        <v>346</v>
      </c>
      <c r="D44" s="383">
        <v>3</v>
      </c>
      <c r="E44" s="383">
        <v>23</v>
      </c>
      <c r="F44" s="383">
        <v>10</v>
      </c>
      <c r="G44" s="383">
        <v>8</v>
      </c>
      <c r="H44" s="383">
        <v>6</v>
      </c>
      <c r="I44" s="383">
        <v>1</v>
      </c>
      <c r="J44" s="392">
        <v>6021.200000000004</v>
      </c>
      <c r="K44" s="392">
        <v>8036.26</v>
      </c>
      <c r="L44" s="389">
        <f t="shared" si="2"/>
      </c>
      <c r="M44" s="389">
        <f t="shared" si="0"/>
      </c>
      <c r="N44" s="389">
        <f t="shared" si="10"/>
      </c>
      <c r="O44" s="395"/>
      <c r="P44" s="390"/>
      <c r="Q44" s="394"/>
    </row>
    <row r="45">
      <c r="A45" s="382">
        <v>46150</v>
      </c>
      <c r="B45" s="383" t="s">
        <v>331</v>
      </c>
      <c r="C45" s="384" t="s">
        <v>347</v>
      </c>
      <c r="D45" s="383">
        <v>5</v>
      </c>
      <c r="E45" s="383">
        <v>79</v>
      </c>
      <c r="F45" s="383">
        <v>65</v>
      </c>
      <c r="G45" s="383">
        <v>44</v>
      </c>
      <c r="H45" s="383">
        <v>51</v>
      </c>
      <c r="I45" s="383">
        <v>6</v>
      </c>
      <c r="J45" s="392">
        <v>50384.20000000001</v>
      </c>
      <c r="K45" s="392">
        <v>25446.57</v>
      </c>
      <c r="L45" s="389">
        <f t="shared" si="2"/>
      </c>
      <c r="M45" s="389">
        <f t="shared" si="0"/>
      </c>
      <c r="N45" s="389">
        <f t="shared" si="10"/>
      </c>
      <c r="O45" s="395"/>
      <c r="P45" s="390"/>
      <c r="Q45" s="394"/>
    </row>
    <row r="46">
      <c r="A46" s="382">
        <v>46150</v>
      </c>
      <c r="B46" s="383" t="s">
        <v>333</v>
      </c>
      <c r="C46" s="384" t="s">
        <v>341</v>
      </c>
      <c r="D46" s="383">
        <v>4</v>
      </c>
      <c r="E46" s="383">
        <v>50</v>
      </c>
      <c r="F46" s="383">
        <v>39</v>
      </c>
      <c r="G46" s="383">
        <v>37</v>
      </c>
      <c r="H46" s="383">
        <v>28</v>
      </c>
      <c r="I46" s="383">
        <v>4</v>
      </c>
      <c r="J46" s="388">
        <v>35349.4</v>
      </c>
      <c r="K46" s="388">
        <v>24350.89</v>
      </c>
      <c r="L46" s="389">
        <f t="shared" si="2"/>
      </c>
      <c r="M46" s="389">
        <f t="shared" si="0"/>
      </c>
      <c r="N46" s="389">
        <f>K46/H46</f>
      </c>
      <c r="O46" s="385" t="s">
        <v>335</v>
      </c>
      <c r="P46" s="383">
        <v>10</v>
      </c>
      <c r="Q46" s="393"/>
    </row>
    <row r="47">
      <c r="A47" s="396">
        <v>46150</v>
      </c>
      <c r="B47" s="397"/>
      <c r="C47" s="397"/>
      <c r="D47" s="397">
        <f>SUM(D42:D46)</f>
      </c>
      <c r="E47" s="397">
        <f>SUM(E42:E46)</f>
      </c>
      <c r="F47" s="397">
        <f>SUM(F42:F46)</f>
      </c>
      <c r="G47" s="397">
        <f>SUM(G42:G46)</f>
      </c>
      <c r="H47" s="397">
        <f>SUM(H42:H46)</f>
      </c>
      <c r="I47" s="397">
        <f>SUM(I42:I46)</f>
      </c>
      <c r="J47" s="397">
        <f>SUM(J42:J46)</f>
      </c>
      <c r="K47" s="397">
        <f>SUM(K42:K46)</f>
      </c>
      <c r="L47" s="398">
        <f t="shared" si="2"/>
      </c>
      <c r="M47" s="398">
        <f t="shared" si="0"/>
      </c>
      <c r="N47" s="398">
        <f t="shared" ref="N47:N51" si="11">K47/F47</f>
      </c>
      <c r="O47" s="399"/>
      <c r="P47" s="397">
        <f>P42+P43+P44+P46</f>
      </c>
      <c r="Q47" s="399"/>
    </row>
    <row r="48">
      <c r="A48" s="382">
        <v>46151</v>
      </c>
      <c r="B48" s="383" t="s">
        <v>324</v>
      </c>
      <c r="C48" s="384" t="s">
        <v>348</v>
      </c>
      <c r="D48" s="385">
        <v>4</v>
      </c>
      <c r="E48" s="386">
        <v>47</v>
      </c>
      <c r="F48" s="387">
        <v>37</v>
      </c>
      <c r="G48" s="383">
        <v>32</v>
      </c>
      <c r="H48" s="383">
        <v>29</v>
      </c>
      <c r="I48" s="383">
        <v>0</v>
      </c>
      <c r="J48" s="388">
        <v>29491</v>
      </c>
      <c r="K48" s="383">
        <v>21077.27</v>
      </c>
      <c r="L48" s="389">
        <f t="shared" si="2"/>
      </c>
      <c r="M48" s="389">
        <f t="shared" si="0"/>
      </c>
      <c r="N48" s="389">
        <f t="shared" si="11"/>
      </c>
      <c r="O48" s="385" t="s">
        <v>349</v>
      </c>
      <c r="P48" s="383">
        <v>10</v>
      </c>
      <c r="Q48" s="391"/>
    </row>
    <row customHeight="true" ht="16.071428571428573" r="49">
      <c r="A49" s="382">
        <v>46151</v>
      </c>
      <c r="B49" s="383" t="s">
        <v>336</v>
      </c>
      <c r="C49" s="384" t="s">
        <v>350</v>
      </c>
      <c r="D49" s="383">
        <v>5</v>
      </c>
      <c r="E49" s="383">
        <v>73</v>
      </c>
      <c r="F49" s="383">
        <v>64</v>
      </c>
      <c r="G49" s="383">
        <v>53</v>
      </c>
      <c r="H49" s="383">
        <v>46</v>
      </c>
      <c r="I49" s="383">
        <v>7</v>
      </c>
      <c r="J49" s="388">
        <v>54195.4</v>
      </c>
      <c r="K49" s="388">
        <v>37337.83</v>
      </c>
      <c r="L49" s="389">
        <f t="shared" si="2"/>
      </c>
      <c r="M49" s="389">
        <f t="shared" si="0"/>
      </c>
      <c r="N49" s="389">
        <f t="shared" si="11"/>
      </c>
      <c r="O49" s="393"/>
      <c r="P49" s="393"/>
      <c r="Q49" s="394"/>
    </row>
    <row customHeight="true" ht="16.071428571428573" r="50">
      <c r="A50" s="382">
        <v>46151</v>
      </c>
      <c r="B50" s="383" t="s">
        <v>338</v>
      </c>
      <c r="C50" s="384" t="s">
        <v>351</v>
      </c>
      <c r="D50" s="383">
        <v>2</v>
      </c>
      <c r="E50" s="383">
        <v>19</v>
      </c>
      <c r="F50" s="383">
        <v>16</v>
      </c>
      <c r="G50" s="383">
        <v>13</v>
      </c>
      <c r="H50" s="383">
        <v>11</v>
      </c>
      <c r="I50" s="383">
        <v>1</v>
      </c>
      <c r="J50" s="392">
        <v>17045</v>
      </c>
      <c r="K50" s="392">
        <v>6815.370000000001</v>
      </c>
      <c r="L50" s="389">
        <f t="shared" si="2"/>
      </c>
      <c r="M50" s="389">
        <f t="shared" si="0"/>
      </c>
      <c r="N50" s="389">
        <f t="shared" si="11"/>
      </c>
      <c r="O50" s="395"/>
      <c r="P50" s="390"/>
      <c r="Q50" s="394"/>
    </row>
    <row customHeight="true" ht="16.071428571428573" r="51">
      <c r="A51" s="382">
        <v>46151</v>
      </c>
      <c r="B51" s="383" t="s">
        <v>331</v>
      </c>
      <c r="C51" s="384" t="s">
        <v>347</v>
      </c>
      <c r="D51" s="383">
        <v>5</v>
      </c>
      <c r="E51" s="383">
        <v>83</v>
      </c>
      <c r="F51" s="383">
        <v>64</v>
      </c>
      <c r="G51" s="383">
        <v>49</v>
      </c>
      <c r="H51" s="383">
        <v>47</v>
      </c>
      <c r="I51" s="383">
        <v>7</v>
      </c>
      <c r="J51" s="392">
        <v>55597.90000000003</v>
      </c>
      <c r="K51" s="392">
        <v>30629.65</v>
      </c>
      <c r="L51" s="389">
        <f t="shared" si="2"/>
      </c>
      <c r="M51" s="389">
        <f t="shared" si="0"/>
      </c>
      <c r="N51" s="389">
        <f t="shared" si="11"/>
      </c>
      <c r="O51" s="395"/>
      <c r="P51" s="390"/>
      <c r="Q51" s="394"/>
    </row>
    <row customHeight="true" ht="16.071428571428573" r="52">
      <c r="A52" s="382">
        <v>46151</v>
      </c>
      <c r="B52" s="383" t="s">
        <v>333</v>
      </c>
      <c r="C52" s="384" t="s">
        <v>341</v>
      </c>
      <c r="D52" s="383">
        <v>4</v>
      </c>
      <c r="E52" s="383">
        <v>44</v>
      </c>
      <c r="F52" s="383">
        <v>32</v>
      </c>
      <c r="G52" s="383">
        <v>28</v>
      </c>
      <c r="H52" s="383">
        <v>23</v>
      </c>
      <c r="I52" s="383">
        <v>1</v>
      </c>
      <c r="J52" s="388">
        <v>29426.800000000003</v>
      </c>
      <c r="K52" s="388">
        <v>21377.58</v>
      </c>
      <c r="L52" s="389">
        <f t="shared" si="2"/>
      </c>
      <c r="M52" s="389">
        <f t="shared" si="0"/>
      </c>
      <c r="N52" s="389">
        <f>K52/H52</f>
      </c>
      <c r="O52" s="385" t="s">
        <v>335</v>
      </c>
      <c r="P52" s="383">
        <v>10</v>
      </c>
      <c r="Q52" s="393"/>
    </row>
    <row customHeight="true" ht="16.071428571428573" r="53">
      <c r="A53" s="396">
        <v>46151</v>
      </c>
      <c r="B53" s="397"/>
      <c r="C53" s="397"/>
      <c r="D53" s="397">
        <f>SUM(D48:D52)</f>
      </c>
      <c r="E53" s="397">
        <f>SUM(E48:E52)</f>
      </c>
      <c r="F53" s="397">
        <f>SUM(F48:F52)</f>
      </c>
      <c r="G53" s="397">
        <f>SUM(G48:G52)</f>
      </c>
      <c r="H53" s="397">
        <f>SUM(H48:H52)</f>
      </c>
      <c r="I53" s="397">
        <f>SUM(I48:I52)</f>
      </c>
      <c r="J53" s="397">
        <f>SUM(J48:J52)</f>
      </c>
      <c r="K53" s="397">
        <f>SUM(K48:K52)</f>
      </c>
      <c r="L53" s="398">
        <f t="shared" si="2"/>
      </c>
      <c r="M53" s="398">
        <f t="shared" si="0"/>
      </c>
      <c r="N53" s="398">
        <f t="shared" ref="N53:N57" si="12">K53/F53</f>
      </c>
      <c r="O53" s="399"/>
      <c r="P53" s="397">
        <f>P48+P49+P50+P52</f>
      </c>
      <c r="Q53" s="399"/>
    </row>
    <row customHeight="true" ht="16.071428571428573" r="54">
      <c r="A54" s="382">
        <v>46152</v>
      </c>
      <c r="B54" s="383" t="s">
        <v>336</v>
      </c>
      <c r="C54" s="384" t="s">
        <v>325</v>
      </c>
      <c r="D54" s="385">
        <v>5</v>
      </c>
      <c r="E54" s="386">
        <v>61</v>
      </c>
      <c r="F54" s="387">
        <v>48</v>
      </c>
      <c r="G54" s="383">
        <v>28</v>
      </c>
      <c r="H54" s="383">
        <v>26</v>
      </c>
      <c r="I54" s="383">
        <v>9</v>
      </c>
      <c r="J54" s="388">
        <v>52925.90000000001</v>
      </c>
      <c r="K54" s="383">
        <v>19951.230000000003</v>
      </c>
      <c r="L54" s="389">
        <f t="shared" si="2"/>
      </c>
      <c r="M54" s="389">
        <f t="shared" si="0"/>
      </c>
      <c r="N54" s="389">
        <f t="shared" si="12"/>
      </c>
      <c r="O54" s="385" t="s">
        <v>326</v>
      </c>
      <c r="P54" s="383">
        <v>10</v>
      </c>
      <c r="Q54" s="391"/>
    </row>
    <row customHeight="true" ht="16.071428571428573" r="55">
      <c r="A55" s="382">
        <v>46152</v>
      </c>
      <c r="B55" s="383" t="s">
        <v>324</v>
      </c>
      <c r="C55" s="384" t="s">
        <v>352</v>
      </c>
      <c r="D55" s="383">
        <v>4</v>
      </c>
      <c r="E55" s="383">
        <v>19</v>
      </c>
      <c r="F55" s="383">
        <v>11</v>
      </c>
      <c r="G55" s="383">
        <v>10</v>
      </c>
      <c r="H55" s="383">
        <v>9</v>
      </c>
      <c r="I55" s="383">
        <v>0</v>
      </c>
      <c r="J55" s="388">
        <v>9232.800000000003</v>
      </c>
      <c r="K55" s="388">
        <v>11387.310000000001</v>
      </c>
      <c r="L55" s="389">
        <f t="shared" si="2"/>
      </c>
      <c r="M55" s="389">
        <f t="shared" si="0"/>
      </c>
      <c r="N55" s="389">
        <f t="shared" si="12"/>
      </c>
      <c r="O55" s="393"/>
      <c r="P55" s="393"/>
      <c r="Q55" s="394"/>
    </row>
    <row customHeight="true" ht="16.071428571428573" r="56">
      <c r="A56" s="382">
        <v>46152</v>
      </c>
      <c r="B56" s="383" t="s">
        <v>329</v>
      </c>
      <c r="C56" s="384" t="s">
        <v>351</v>
      </c>
      <c r="D56" s="383">
        <v>2</v>
      </c>
      <c r="E56" s="383">
        <v>12</v>
      </c>
      <c r="F56" s="383">
        <v>10</v>
      </c>
      <c r="G56" s="383">
        <v>6</v>
      </c>
      <c r="H56" s="383">
        <v>5</v>
      </c>
      <c r="I56" s="383">
        <v>1</v>
      </c>
      <c r="J56" s="392">
        <v>9423.199999999993</v>
      </c>
      <c r="K56" s="392">
        <v>4266.76</v>
      </c>
      <c r="L56" s="389">
        <f t="shared" si="2"/>
      </c>
      <c r="M56" s="389">
        <f t="shared" si="0"/>
      </c>
      <c r="N56" s="389">
        <f t="shared" si="12"/>
      </c>
      <c r="O56" s="395"/>
      <c r="P56" s="390"/>
      <c r="Q56" s="394"/>
    </row>
    <row customHeight="true" ht="16.071428571428573" r="57">
      <c r="A57" s="382">
        <v>46152</v>
      </c>
      <c r="B57" s="383" t="s">
        <v>331</v>
      </c>
      <c r="C57" s="384" t="s">
        <v>347</v>
      </c>
      <c r="D57" s="383">
        <v>5</v>
      </c>
      <c r="E57" s="383">
        <v>87</v>
      </c>
      <c r="F57" s="383">
        <v>70</v>
      </c>
      <c r="G57" s="383">
        <v>47</v>
      </c>
      <c r="H57" s="383">
        <v>46</v>
      </c>
      <c r="I57" s="383">
        <v>8</v>
      </c>
      <c r="J57" s="392">
        <v>60234.50000000002</v>
      </c>
      <c r="K57" s="392">
        <v>23963.260000000002</v>
      </c>
      <c r="L57" s="389">
        <f t="shared" si="2"/>
      </c>
      <c r="M57" s="389">
        <f t="shared" si="0"/>
      </c>
      <c r="N57" s="389">
        <f t="shared" si="12"/>
      </c>
      <c r="O57" s="395"/>
      <c r="P57" s="390"/>
      <c r="Q57" s="394"/>
    </row>
    <row customHeight="true" ht="16.071428571428573" r="58">
      <c r="A58" s="382">
        <v>46152</v>
      </c>
      <c r="B58" s="383" t="s">
        <v>333</v>
      </c>
      <c r="C58" s="384" t="s">
        <v>341</v>
      </c>
      <c r="D58" s="383">
        <v>4</v>
      </c>
      <c r="E58" s="383">
        <v>57</v>
      </c>
      <c r="F58" s="383">
        <v>40</v>
      </c>
      <c r="G58" s="383">
        <v>31</v>
      </c>
      <c r="H58" s="383">
        <v>23</v>
      </c>
      <c r="I58" s="383">
        <v>5</v>
      </c>
      <c r="J58" s="388">
        <v>34147.70000000001</v>
      </c>
      <c r="K58" s="388">
        <v>20982.46</v>
      </c>
      <c r="L58" s="389">
        <f t="shared" si="2"/>
      </c>
      <c r="M58" s="389">
        <f t="shared" si="0"/>
      </c>
      <c r="N58" s="389">
        <f>K58/H58</f>
      </c>
      <c r="O58" s="385" t="s">
        <v>335</v>
      </c>
      <c r="P58" s="383">
        <v>10</v>
      </c>
      <c r="Q58" s="393"/>
    </row>
    <row r="59">
      <c r="A59" s="396">
        <v>46152</v>
      </c>
      <c r="B59" s="397"/>
      <c r="C59" s="397"/>
      <c r="D59" s="397">
        <f>SUM(D54:D58)</f>
      </c>
      <c r="E59" s="397">
        <f>SUM(E54:E58)</f>
      </c>
      <c r="F59" s="397">
        <f>SUM(F54:F58)</f>
      </c>
      <c r="G59" s="397">
        <f>SUM(G54:G58)</f>
      </c>
      <c r="H59" s="397">
        <f>SUM(H54:H58)</f>
      </c>
      <c r="I59" s="397">
        <f>SUM(I54:I58)</f>
      </c>
      <c r="J59" s="397">
        <f>SUM(J54:J58)</f>
      </c>
      <c r="K59" s="397">
        <f>SUM(K54:K58)</f>
      </c>
      <c r="L59" s="398">
        <f t="shared" si="2"/>
      </c>
      <c r="M59" s="398">
        <f t="shared" si="0"/>
      </c>
      <c r="N59" s="398">
        <f t="shared" ref="N59:N63" si="13">K59/F59</f>
      </c>
      <c r="O59" s="399"/>
      <c r="P59" s="397">
        <f>P54+P55+P56+P58</f>
      </c>
      <c r="Q59" s="399"/>
    </row>
    <row r="60">
      <c r="A60" s="382">
        <v>46153</v>
      </c>
      <c r="B60" s="383" t="s">
        <v>324</v>
      </c>
      <c r="C60" s="384" t="s">
        <v>348</v>
      </c>
      <c r="D60" s="385">
        <v>4</v>
      </c>
      <c r="E60" s="386">
        <v>31</v>
      </c>
      <c r="F60" s="387">
        <v>19</v>
      </c>
      <c r="G60" s="383">
        <v>12</v>
      </c>
      <c r="H60" s="383">
        <v>10</v>
      </c>
      <c r="I60" s="383">
        <v>0</v>
      </c>
      <c r="J60" s="388">
        <v>19239.799999999996</v>
      </c>
      <c r="K60" s="383">
        <v>10223.86</v>
      </c>
      <c r="L60" s="389">
        <f t="shared" si="2"/>
      </c>
      <c r="M60" s="389">
        <f t="shared" si="0"/>
      </c>
      <c r="N60" s="389">
        <f t="shared" si="13"/>
      </c>
      <c r="O60" s="385" t="s">
        <v>326</v>
      </c>
      <c r="P60" s="383">
        <v>10</v>
      </c>
      <c r="Q60" s="391"/>
    </row>
    <row r="61">
      <c r="A61" s="382">
        <v>46153</v>
      </c>
      <c r="B61" s="383" t="s">
        <v>331</v>
      </c>
      <c r="C61" s="384" t="s">
        <v>350</v>
      </c>
      <c r="D61" s="383">
        <v>5</v>
      </c>
      <c r="E61" s="383">
        <v>63</v>
      </c>
      <c r="F61" s="383">
        <v>46</v>
      </c>
      <c r="G61" s="383">
        <v>33</v>
      </c>
      <c r="H61" s="383">
        <v>29</v>
      </c>
      <c r="I61" s="383">
        <v>5</v>
      </c>
      <c r="J61" s="388">
        <v>44746.2</v>
      </c>
      <c r="K61" s="388">
        <v>21860.35</v>
      </c>
      <c r="L61" s="389">
        <f t="shared" si="2"/>
      </c>
      <c r="M61" s="389">
        <f t="shared" si="0"/>
      </c>
      <c r="N61" s="389">
        <f t="shared" si="13"/>
      </c>
      <c r="O61" s="393"/>
      <c r="P61" s="393"/>
      <c r="Q61" s="394"/>
    </row>
    <row r="62">
      <c r="A62" s="382">
        <v>46153</v>
      </c>
      <c r="B62" s="383" t="s">
        <v>338</v>
      </c>
      <c r="C62" s="384" t="s">
        <v>351</v>
      </c>
      <c r="D62" s="383">
        <v>2</v>
      </c>
      <c r="E62" s="383">
        <v>21</v>
      </c>
      <c r="F62" s="383">
        <v>15</v>
      </c>
      <c r="G62" s="383">
        <v>13</v>
      </c>
      <c r="H62" s="383">
        <v>9</v>
      </c>
      <c r="I62" s="383">
        <v>1</v>
      </c>
      <c r="J62" s="392">
        <v>14086.800000000007</v>
      </c>
      <c r="K62" s="392">
        <v>8875.09</v>
      </c>
      <c r="L62" s="389">
        <f t="shared" si="2"/>
      </c>
      <c r="M62" s="389">
        <f t="shared" si="0"/>
      </c>
      <c r="N62" s="389">
        <f t="shared" si="13"/>
      </c>
      <c r="O62" s="395"/>
      <c r="P62" s="390"/>
      <c r="Q62" s="394"/>
    </row>
    <row r="63">
      <c r="A63" s="382">
        <v>46153</v>
      </c>
      <c r="B63" s="383" t="s">
        <v>336</v>
      </c>
      <c r="C63" s="384" t="s">
        <v>347</v>
      </c>
      <c r="D63" s="383">
        <v>5</v>
      </c>
      <c r="E63" s="383">
        <v>50</v>
      </c>
      <c r="F63" s="383">
        <v>43</v>
      </c>
      <c r="G63" s="383">
        <v>30</v>
      </c>
      <c r="H63" s="383">
        <v>25</v>
      </c>
      <c r="I63" s="383">
        <v>4</v>
      </c>
      <c r="J63" s="392">
        <v>47407.90000000001</v>
      </c>
      <c r="K63" s="392">
        <v>21230.43</v>
      </c>
      <c r="L63" s="389">
        <f t="shared" si="2"/>
      </c>
      <c r="M63" s="389">
        <f t="shared" si="0"/>
      </c>
      <c r="N63" s="389">
        <f t="shared" si="13"/>
      </c>
      <c r="O63" s="395"/>
      <c r="P63" s="390"/>
      <c r="Q63" s="394"/>
    </row>
    <row r="64">
      <c r="A64" s="382">
        <v>46153</v>
      </c>
      <c r="B64" s="383" t="s">
        <v>327</v>
      </c>
      <c r="C64" s="384" t="s">
        <v>341</v>
      </c>
      <c r="D64" s="383">
        <v>4</v>
      </c>
      <c r="E64" s="383">
        <v>24</v>
      </c>
      <c r="F64" s="383">
        <v>16</v>
      </c>
      <c r="G64" s="383">
        <v>14</v>
      </c>
      <c r="H64" s="383">
        <v>10</v>
      </c>
      <c r="I64" s="383">
        <v>1</v>
      </c>
      <c r="J64" s="388">
        <v>10236.399999999994</v>
      </c>
      <c r="K64" s="388">
        <v>13842.1</v>
      </c>
      <c r="L64" s="389">
        <f t="shared" si="2"/>
      </c>
      <c r="M64" s="389">
        <f t="shared" si="0"/>
      </c>
      <c r="N64" s="389">
        <f>K64/H64</f>
      </c>
      <c r="O64" s="385" t="s">
        <v>335</v>
      </c>
      <c r="P64" s="383">
        <v>10</v>
      </c>
      <c r="Q64" s="393"/>
    </row>
    <row r="65">
      <c r="A65" s="396">
        <v>46153</v>
      </c>
      <c r="B65" s="397"/>
      <c r="C65" s="397"/>
      <c r="D65" s="397">
        <f>SUM(D60:D64)</f>
      </c>
      <c r="E65" s="397">
        <f>SUM(E60:E64)</f>
      </c>
      <c r="F65" s="397">
        <f>SUM(F60:F64)</f>
      </c>
      <c r="G65" s="397">
        <f>SUM(G60:G64)</f>
      </c>
      <c r="H65" s="397">
        <f>SUM(H60:H64)</f>
      </c>
      <c r="I65" s="397">
        <f>SUM(I60:I64)</f>
      </c>
      <c r="J65" s="397">
        <f>SUM(J60:J64)</f>
      </c>
      <c r="K65" s="397">
        <f>SUM(K60:K64)</f>
      </c>
      <c r="L65" s="398">
        <f t="shared" si="2"/>
      </c>
      <c r="M65" s="398">
        <f t="shared" si="0"/>
      </c>
      <c r="N65" s="398">
        <f t="shared" ref="N65:N69" si="14">K65/F65</f>
      </c>
      <c r="O65" s="399"/>
      <c r="P65" s="397">
        <f>P60+P61+P62+P64</f>
      </c>
      <c r="Q65" s="399"/>
    </row>
    <row r="66">
      <c r="A66" s="382">
        <v>46154</v>
      </c>
      <c r="B66" s="383" t="s">
        <v>324</v>
      </c>
      <c r="C66" s="384" t="s">
        <v>348</v>
      </c>
      <c r="D66" s="385">
        <v>4</v>
      </c>
      <c r="E66" s="386">
        <v>33</v>
      </c>
      <c r="F66" s="387">
        <v>27</v>
      </c>
      <c r="G66" s="383">
        <v>22</v>
      </c>
      <c r="H66" s="383">
        <v>18</v>
      </c>
      <c r="I66" s="383">
        <v>3</v>
      </c>
      <c r="J66" s="388">
        <v>21987.799999999996</v>
      </c>
      <c r="K66" s="383">
        <v>13038.800000000001</v>
      </c>
      <c r="L66" s="389">
        <f t="shared" si="2"/>
      </c>
      <c r="M66" s="389">
        <f t="shared" si="0"/>
      </c>
      <c r="N66" s="389">
        <f t="shared" si="14"/>
      </c>
      <c r="O66" s="385" t="s">
        <v>326</v>
      </c>
      <c r="P66" s="383">
        <v>10</v>
      </c>
      <c r="Q66" s="391"/>
    </row>
    <row r="67">
      <c r="A67" s="382">
        <v>46154</v>
      </c>
      <c r="B67" s="383" t="s">
        <v>336</v>
      </c>
      <c r="C67" s="384" t="s">
        <v>350</v>
      </c>
      <c r="D67" s="383">
        <v>5</v>
      </c>
      <c r="E67" s="383">
        <v>69</v>
      </c>
      <c r="F67" s="383">
        <v>58</v>
      </c>
      <c r="G67" s="383">
        <v>41</v>
      </c>
      <c r="H67" s="383">
        <v>40</v>
      </c>
      <c r="I67" s="383">
        <v>7</v>
      </c>
      <c r="J67" s="388">
        <v>53167.2</v>
      </c>
      <c r="K67" s="388">
        <v>25924.47</v>
      </c>
      <c r="L67" s="389">
        <f t="shared" si="2"/>
      </c>
      <c r="M67" s="389">
        <f t="shared" si="0"/>
      </c>
      <c r="N67" s="389">
        <f t="shared" si="14"/>
      </c>
      <c r="O67" s="393"/>
      <c r="P67" s="393"/>
      <c r="Q67" s="394"/>
    </row>
    <row r="68">
      <c r="A68" s="382">
        <v>46154</v>
      </c>
      <c r="B68" s="383" t="s">
        <v>331</v>
      </c>
      <c r="C68" s="384" t="s">
        <v>353</v>
      </c>
      <c r="D68" s="383">
        <v>5</v>
      </c>
      <c r="E68" s="383">
        <v>50</v>
      </c>
      <c r="F68" s="383">
        <v>41</v>
      </c>
      <c r="G68" s="383">
        <v>25</v>
      </c>
      <c r="H68" s="383">
        <v>29</v>
      </c>
      <c r="I68" s="383">
        <v>7</v>
      </c>
      <c r="J68" s="392">
        <v>34768.20000000002</v>
      </c>
      <c r="K68" s="392">
        <v>18998.77</v>
      </c>
      <c r="L68" s="389">
        <f t="shared" si="2"/>
      </c>
      <c r="M68" s="389">
        <f t="shared" si="0"/>
      </c>
      <c r="N68" s="389">
        <f t="shared" si="14"/>
      </c>
      <c r="O68" s="395"/>
      <c r="P68" s="390"/>
      <c r="Q68" s="394"/>
    </row>
    <row r="69">
      <c r="A69" s="382">
        <v>46154</v>
      </c>
      <c r="B69" s="383" t="s">
        <v>329</v>
      </c>
      <c r="C69" s="384" t="s">
        <v>354</v>
      </c>
      <c r="D69" s="383">
        <v>2</v>
      </c>
      <c r="E69" s="383">
        <v>14</v>
      </c>
      <c r="F69" s="383">
        <v>7</v>
      </c>
      <c r="G69" s="383">
        <v>6</v>
      </c>
      <c r="H69" s="383">
        <v>3</v>
      </c>
      <c r="I69" s="383">
        <v>0</v>
      </c>
      <c r="J69" s="392">
        <v>7966.800000000003</v>
      </c>
      <c r="K69" s="392">
        <v>9267.55</v>
      </c>
      <c r="L69" s="389">
        <f t="shared" si="2"/>
      </c>
      <c r="M69" s="389">
        <f t="shared" si="0"/>
      </c>
      <c r="N69" s="389">
        <f t="shared" si="14"/>
      </c>
      <c r="O69" s="395"/>
      <c r="P69" s="390"/>
      <c r="Q69" s="394"/>
    </row>
    <row r="70">
      <c r="A70" s="382">
        <v>46154</v>
      </c>
      <c r="B70" s="383" t="s">
        <v>327</v>
      </c>
      <c r="C70" s="384" t="s">
        <v>341</v>
      </c>
      <c r="D70" s="383">
        <v>4</v>
      </c>
      <c r="E70" s="383">
        <v>22</v>
      </c>
      <c r="F70" s="383">
        <v>18</v>
      </c>
      <c r="G70" s="383">
        <v>13</v>
      </c>
      <c r="H70" s="383">
        <v>14</v>
      </c>
      <c r="I70" s="383">
        <v>1</v>
      </c>
      <c r="J70" s="388">
        <v>12026.399999999994</v>
      </c>
      <c r="K70" s="388">
        <v>12041.15</v>
      </c>
      <c r="L70" s="389">
        <f t="shared" si="2"/>
      </c>
      <c r="M70" s="389">
        <f t="shared" si="0"/>
      </c>
      <c r="N70" s="389">
        <f>K70/H70</f>
      </c>
      <c r="O70" s="385" t="s">
        <v>335</v>
      </c>
      <c r="P70" s="383">
        <v>10</v>
      </c>
      <c r="Q70" s="393"/>
    </row>
    <row r="71">
      <c r="A71" s="396">
        <v>46154</v>
      </c>
      <c r="B71" s="397"/>
      <c r="C71" s="397"/>
      <c r="D71" s="397">
        <f>SUM(D66:D70)</f>
      </c>
      <c r="E71" s="397">
        <f>SUM(E66:E70)</f>
      </c>
      <c r="F71" s="397">
        <f>SUM(F66:F70)</f>
      </c>
      <c r="G71" s="397">
        <f>SUM(G66:G70)</f>
      </c>
      <c r="H71" s="397">
        <f>SUM(H66:H70)</f>
      </c>
      <c r="I71" s="397">
        <f>SUM(I66:I70)</f>
      </c>
      <c r="J71" s="397">
        <f>SUM(J66:J70)</f>
      </c>
      <c r="K71" s="397">
        <f>SUM(K66:K70)</f>
      </c>
      <c r="L71" s="398">
        <f t="shared" si="2"/>
      </c>
      <c r="M71" s="398">
        <f t="shared" si="0"/>
      </c>
      <c r="N71" s="398">
        <f t="shared" ref="N71:N75" si="15">K71/F71</f>
      </c>
      <c r="O71" s="399"/>
      <c r="P71" s="397">
        <f>P66+P67+P68+P70</f>
      </c>
      <c r="Q71" s="399"/>
    </row>
    <row r="72">
      <c r="A72" s="382">
        <v>46155</v>
      </c>
      <c r="B72" s="383" t="s">
        <v>336</v>
      </c>
      <c r="C72" s="384" t="s">
        <v>325</v>
      </c>
      <c r="D72" s="385">
        <v>5</v>
      </c>
      <c r="E72" s="386">
        <v>73</v>
      </c>
      <c r="F72" s="387">
        <v>62</v>
      </c>
      <c r="G72" s="383">
        <v>52</v>
      </c>
      <c r="H72" s="383">
        <v>44</v>
      </c>
      <c r="I72" s="383">
        <v>2</v>
      </c>
      <c r="J72" s="388">
        <v>54975.60000000001</v>
      </c>
      <c r="K72" s="383">
        <v>30244.079999999998</v>
      </c>
      <c r="L72" s="389">
        <f t="shared" si="2"/>
      </c>
      <c r="M72" s="389">
        <f t="shared" si="0"/>
      </c>
      <c r="N72" s="389">
        <f t="shared" si="15"/>
      </c>
      <c r="O72" s="385" t="s">
        <v>326</v>
      </c>
      <c r="P72" s="383">
        <v>10</v>
      </c>
      <c r="Q72" s="391"/>
    </row>
    <row r="73">
      <c r="A73" s="382">
        <v>46155</v>
      </c>
      <c r="B73" s="383" t="s">
        <v>329</v>
      </c>
      <c r="C73" s="384" t="s">
        <v>343</v>
      </c>
      <c r="D73" s="383">
        <v>2</v>
      </c>
      <c r="E73" s="383">
        <v>28</v>
      </c>
      <c r="F73" s="383">
        <v>23</v>
      </c>
      <c r="G73" s="383">
        <v>18</v>
      </c>
      <c r="H73" s="383">
        <v>12</v>
      </c>
      <c r="I73" s="383">
        <v>2</v>
      </c>
      <c r="J73" s="388">
        <v>21369</v>
      </c>
      <c r="K73" s="388">
        <v>16440.2</v>
      </c>
      <c r="L73" s="389">
        <f t="shared" si="2"/>
      </c>
      <c r="M73" s="389">
        <f t="shared" si="0"/>
      </c>
      <c r="N73" s="389">
        <f t="shared" si="15"/>
      </c>
      <c r="O73" s="393"/>
      <c r="P73" s="393"/>
      <c r="Q73" s="394"/>
    </row>
    <row r="74">
      <c r="A74" s="382">
        <v>46155</v>
      </c>
      <c r="B74" s="383" t="s">
        <v>324</v>
      </c>
      <c r="C74" s="384" t="s">
        <v>355</v>
      </c>
      <c r="D74" s="383">
        <v>4</v>
      </c>
      <c r="E74" s="383">
        <v>36</v>
      </c>
      <c r="F74" s="383">
        <v>28</v>
      </c>
      <c r="G74" s="383">
        <v>18</v>
      </c>
      <c r="H74" s="383">
        <v>16</v>
      </c>
      <c r="I74" s="383">
        <v>4</v>
      </c>
      <c r="J74" s="392">
        <v>27703.200000000004</v>
      </c>
      <c r="K74" s="392">
        <v>15546.67</v>
      </c>
      <c r="L74" s="389">
        <f t="shared" si="2"/>
      </c>
      <c r="M74" s="389">
        <f t="shared" si="0"/>
      </c>
      <c r="N74" s="389">
        <f t="shared" si="15"/>
      </c>
      <c r="O74" s="395"/>
      <c r="P74" s="390"/>
      <c r="Q74" s="394"/>
    </row>
    <row r="75">
      <c r="A75" s="382">
        <v>46155</v>
      </c>
      <c r="B75" s="383" t="s">
        <v>327</v>
      </c>
      <c r="C75" s="384" t="s">
        <v>356</v>
      </c>
      <c r="D75" s="383">
        <v>4</v>
      </c>
      <c r="E75" s="383">
        <v>25</v>
      </c>
      <c r="F75" s="383">
        <v>21</v>
      </c>
      <c r="G75" s="383">
        <v>15</v>
      </c>
      <c r="H75" s="383">
        <v>18</v>
      </c>
      <c r="I75" s="383">
        <v>2</v>
      </c>
      <c r="J75" s="392">
        <v>12927.599999999991</v>
      </c>
      <c r="K75" s="392">
        <v>11075.23</v>
      </c>
      <c r="L75" s="389">
        <f t="shared" si="2"/>
      </c>
      <c r="M75" s="389">
        <f t="shared" si="0"/>
      </c>
      <c r="N75" s="389">
        <f t="shared" si="15"/>
      </c>
      <c r="O75" s="395"/>
      <c r="P75" s="390"/>
      <c r="Q75" s="394"/>
    </row>
    <row r="76">
      <c r="A76" s="382">
        <v>46155</v>
      </c>
      <c r="B76" s="383" t="s">
        <v>333</v>
      </c>
      <c r="C76" s="384" t="s">
        <v>334</v>
      </c>
      <c r="D76" s="383">
        <v>5</v>
      </c>
      <c r="E76" s="383">
        <v>34</v>
      </c>
      <c r="F76" s="383">
        <v>25</v>
      </c>
      <c r="G76" s="383">
        <v>13</v>
      </c>
      <c r="H76" s="383">
        <v>15</v>
      </c>
      <c r="I76" s="383">
        <v>2</v>
      </c>
      <c r="J76" s="388">
        <v>23355.200000000004</v>
      </c>
      <c r="K76" s="388">
        <v>16819.55</v>
      </c>
      <c r="L76" s="389">
        <f t="shared" si="2"/>
      </c>
      <c r="M76" s="389">
        <f t="shared" si="0"/>
      </c>
      <c r="N76" s="389">
        <f>K76/H76</f>
      </c>
      <c r="O76" s="385" t="s">
        <v>335</v>
      </c>
      <c r="P76" s="383">
        <v>10</v>
      </c>
      <c r="Q76" s="393"/>
    </row>
    <row r="77">
      <c r="A77" s="396">
        <v>46155</v>
      </c>
      <c r="B77" s="397"/>
      <c r="C77" s="397"/>
      <c r="D77" s="397">
        <f>SUM(D72:D76)</f>
      </c>
      <c r="E77" s="397">
        <f>SUM(E72:E76)</f>
      </c>
      <c r="F77" s="397">
        <f>SUM(F72:F76)</f>
      </c>
      <c r="G77" s="397">
        <f>SUM(G72:G76)</f>
      </c>
      <c r="H77" s="397">
        <f>SUM(H72:H76)</f>
      </c>
      <c r="I77" s="397">
        <f>SUM(I72:I76)</f>
      </c>
      <c r="J77" s="397">
        <f>SUM(J72:J76)</f>
      </c>
      <c r="K77" s="397">
        <f>SUM(K72:K76)</f>
      </c>
      <c r="L77" s="398">
        <f t="shared" si="2"/>
      </c>
      <c r="M77" s="398">
        <f t="shared" si="0"/>
      </c>
      <c r="N77" s="398">
        <f t="shared" ref="N77:N81" si="16">K77/F77</f>
      </c>
      <c r="O77" s="399"/>
      <c r="P77" s="397">
        <f>P72+P73+P74+P76</f>
      </c>
      <c r="Q77" s="399"/>
    </row>
    <row r="78">
      <c r="A78" s="382">
        <v>46156</v>
      </c>
      <c r="B78" s="383" t="s">
        <v>336</v>
      </c>
      <c r="C78" s="384" t="s">
        <v>325</v>
      </c>
      <c r="D78" s="385">
        <v>5</v>
      </c>
      <c r="E78" s="386">
        <v>49</v>
      </c>
      <c r="F78" s="387">
        <v>35</v>
      </c>
      <c r="G78" s="383">
        <v>26</v>
      </c>
      <c r="H78" s="383">
        <v>24</v>
      </c>
      <c r="I78" s="383">
        <v>4</v>
      </c>
      <c r="J78" s="388">
        <v>36550.799999999996</v>
      </c>
      <c r="K78" s="383">
        <v>17629.059999999998</v>
      </c>
      <c r="L78" s="389">
        <f t="shared" si="2"/>
      </c>
      <c r="M78" s="389">
        <f t="shared" si="0"/>
      </c>
      <c r="N78" s="389">
        <f t="shared" si="16"/>
      </c>
      <c r="O78" s="385" t="s">
        <v>326</v>
      </c>
      <c r="P78" s="383">
        <v>10</v>
      </c>
      <c r="Q78" s="391"/>
    </row>
    <row r="79">
      <c r="A79" s="382">
        <v>46156</v>
      </c>
      <c r="B79" s="383" t="s">
        <v>327</v>
      </c>
      <c r="C79" s="384" t="s">
        <v>352</v>
      </c>
      <c r="D79" s="383">
        <v>4</v>
      </c>
      <c r="E79" s="383">
        <v>33</v>
      </c>
      <c r="F79" s="383">
        <v>29</v>
      </c>
      <c r="G79" s="383">
        <v>21</v>
      </c>
      <c r="H79" s="383">
        <v>16</v>
      </c>
      <c r="I79" s="383">
        <v>2</v>
      </c>
      <c r="J79" s="388">
        <v>29065.999999999993</v>
      </c>
      <c r="K79" s="388">
        <v>16031.699999999999</v>
      </c>
      <c r="L79" s="389">
        <f t="shared" si="2"/>
      </c>
      <c r="M79" s="389">
        <f t="shared" si="0"/>
      </c>
      <c r="N79" s="389">
        <f t="shared" si="16"/>
      </c>
      <c r="O79" s="393"/>
      <c r="P79" s="393"/>
      <c r="Q79" s="394"/>
    </row>
    <row r="80">
      <c r="A80" s="382">
        <v>46156</v>
      </c>
      <c r="B80" s="383" t="s">
        <v>324</v>
      </c>
      <c r="C80" s="384" t="s">
        <v>353</v>
      </c>
      <c r="D80" s="383">
        <v>5</v>
      </c>
      <c r="E80" s="383">
        <v>42</v>
      </c>
      <c r="F80" s="383">
        <v>35</v>
      </c>
      <c r="G80" s="383">
        <v>29</v>
      </c>
      <c r="H80" s="383">
        <v>29</v>
      </c>
      <c r="I80" s="383">
        <v>5</v>
      </c>
      <c r="J80" s="392">
        <v>31645.00000000001</v>
      </c>
      <c r="K80" s="392">
        <v>18902.33</v>
      </c>
      <c r="L80" s="389">
        <f t="shared" si="2"/>
      </c>
      <c r="M80" s="389">
        <f t="shared" si="0"/>
      </c>
      <c r="N80" s="389">
        <f t="shared" si="16"/>
      </c>
      <c r="O80" s="395"/>
      <c r="P80" s="390"/>
      <c r="Q80" s="394"/>
    </row>
    <row r="81">
      <c r="A81" s="382">
        <v>46156</v>
      </c>
      <c r="B81" s="383" t="s">
        <v>338</v>
      </c>
      <c r="C81" s="384" t="s">
        <v>354</v>
      </c>
      <c r="D81" s="383">
        <v>2</v>
      </c>
      <c r="E81" s="383">
        <v>15</v>
      </c>
      <c r="F81" s="383">
        <v>14</v>
      </c>
      <c r="G81" s="383">
        <v>11</v>
      </c>
      <c r="H81" s="383">
        <v>11</v>
      </c>
      <c r="I81" s="383">
        <v>2</v>
      </c>
      <c r="J81" s="392">
        <v>10615.200000000004</v>
      </c>
      <c r="K81" s="392">
        <v>8960.92</v>
      </c>
      <c r="L81" s="389">
        <f t="shared" si="2"/>
      </c>
      <c r="M81" s="389">
        <f t="shared" si="0"/>
      </c>
      <c r="N81" s="389">
        <f t="shared" si="16"/>
      </c>
      <c r="O81" s="395"/>
      <c r="P81" s="390"/>
      <c r="Q81" s="394"/>
    </row>
    <row r="82">
      <c r="A82" s="382">
        <v>46156</v>
      </c>
      <c r="B82" s="383" t="s">
        <v>333</v>
      </c>
      <c r="C82" s="384" t="s">
        <v>341</v>
      </c>
      <c r="D82" s="383">
        <v>4</v>
      </c>
      <c r="E82" s="383">
        <v>27</v>
      </c>
      <c r="F82" s="383">
        <v>20</v>
      </c>
      <c r="G82" s="383">
        <v>16</v>
      </c>
      <c r="H82" s="383">
        <v>13</v>
      </c>
      <c r="I82" s="383">
        <v>2</v>
      </c>
      <c r="J82" s="388">
        <v>16557.59999999999</v>
      </c>
      <c r="K82" s="388">
        <v>14470.2</v>
      </c>
      <c r="L82" s="389">
        <f t="shared" si="2"/>
      </c>
      <c r="M82" s="389">
        <f t="shared" si="0"/>
      </c>
      <c r="N82" s="389">
        <f>K82/H82</f>
      </c>
      <c r="O82" s="385" t="s">
        <v>342</v>
      </c>
      <c r="P82" s="383">
        <v>10</v>
      </c>
      <c r="Q82" s="393"/>
    </row>
    <row r="83">
      <c r="A83" s="396">
        <v>46156</v>
      </c>
      <c r="B83" s="397"/>
      <c r="C83" s="397"/>
      <c r="D83" s="397">
        <f>SUM(D78:D82)</f>
      </c>
      <c r="E83" s="397">
        <f>SUM(E78:E82)</f>
      </c>
      <c r="F83" s="397">
        <f>SUM(F78:F82)</f>
      </c>
      <c r="G83" s="397">
        <f>SUM(G78:G82)</f>
      </c>
      <c r="H83" s="397">
        <f>SUM(H78:H82)</f>
      </c>
      <c r="I83" s="397">
        <f>SUM(I78:I82)</f>
      </c>
      <c r="J83" s="397">
        <f>SUM(J78:J82)</f>
      </c>
      <c r="K83" s="397">
        <f>SUM(K78:K82)</f>
      </c>
      <c r="L83" s="398">
        <f t="shared" si="2"/>
      </c>
      <c r="M83" s="398">
        <f t="shared" si="0"/>
      </c>
      <c r="N83" s="398">
        <f t="shared" ref="N83:N87" si="17">K83/F83</f>
      </c>
      <c r="O83" s="399"/>
      <c r="P83" s="397">
        <f>P78+P79+P80+P82</f>
      </c>
      <c r="Q83" s="399"/>
    </row>
    <row r="84">
      <c r="A84" s="382">
        <v>46157</v>
      </c>
      <c r="B84" s="383" t="s">
        <v>336</v>
      </c>
      <c r="C84" s="384" t="s">
        <v>325</v>
      </c>
      <c r="D84" s="385">
        <v>5</v>
      </c>
      <c r="E84" s="386">
        <v>44</v>
      </c>
      <c r="F84" s="387">
        <v>35</v>
      </c>
      <c r="G84" s="383">
        <v>25</v>
      </c>
      <c r="H84" s="383">
        <v>23</v>
      </c>
      <c r="I84" s="383">
        <v>3</v>
      </c>
      <c r="J84" s="388">
        <v>32516.000000000007</v>
      </c>
      <c r="K84" s="383">
        <v>16668.29</v>
      </c>
      <c r="L84" s="389">
        <f t="shared" si="2"/>
      </c>
      <c r="M84" s="389">
        <f t="shared" si="0"/>
      </c>
      <c r="N84" s="389">
        <f t="shared" si="17"/>
      </c>
      <c r="O84" s="385" t="s">
        <v>357</v>
      </c>
      <c r="P84" s="383">
        <v>10</v>
      </c>
      <c r="Q84" s="391"/>
    </row>
    <row r="85">
      <c r="A85" s="382">
        <v>46157</v>
      </c>
      <c r="B85" s="383" t="s">
        <v>333</v>
      </c>
      <c r="C85" s="384" t="s">
        <v>352</v>
      </c>
      <c r="D85" s="383">
        <v>4</v>
      </c>
      <c r="E85" s="383">
        <v>30</v>
      </c>
      <c r="F85" s="383">
        <v>26</v>
      </c>
      <c r="G85" s="383">
        <v>18</v>
      </c>
      <c r="H85" s="383">
        <v>15</v>
      </c>
      <c r="I85" s="383">
        <v>2</v>
      </c>
      <c r="J85" s="388">
        <v>18290.200000000004</v>
      </c>
      <c r="K85" s="388">
        <v>14917.09</v>
      </c>
      <c r="L85" s="389">
        <f t="shared" si="2"/>
      </c>
      <c r="M85" s="389">
        <f t="shared" si="0"/>
      </c>
      <c r="N85" s="389">
        <f t="shared" si="17"/>
      </c>
      <c r="O85" s="393"/>
      <c r="P85" s="393"/>
      <c r="Q85" s="394"/>
    </row>
    <row r="86">
      <c r="A86" s="382">
        <v>46157</v>
      </c>
      <c r="B86" s="383" t="s">
        <v>324</v>
      </c>
      <c r="C86" s="384" t="s">
        <v>358</v>
      </c>
      <c r="D86" s="383">
        <v>4</v>
      </c>
      <c r="E86" s="383">
        <v>26</v>
      </c>
      <c r="F86" s="383">
        <v>23</v>
      </c>
      <c r="G86" s="383">
        <v>14</v>
      </c>
      <c r="H86" s="383">
        <v>17</v>
      </c>
      <c r="I86" s="383">
        <v>3</v>
      </c>
      <c r="J86" s="392">
        <v>19495.799999999996</v>
      </c>
      <c r="K86" s="392">
        <v>9737.66</v>
      </c>
      <c r="L86" s="389">
        <f t="shared" si="2"/>
      </c>
      <c r="M86" s="389">
        <f t="shared" si="0"/>
      </c>
      <c r="N86" s="389">
        <f t="shared" si="17"/>
      </c>
      <c r="O86" s="395"/>
      <c r="P86" s="390"/>
      <c r="Q86" s="394"/>
    </row>
    <row r="87">
      <c r="A87" s="382">
        <v>46157</v>
      </c>
      <c r="B87" s="383" t="s">
        <v>338</v>
      </c>
      <c r="C87" s="384" t="s">
        <v>359</v>
      </c>
      <c r="D87" s="383">
        <v>2</v>
      </c>
      <c r="E87" s="383">
        <v>11</v>
      </c>
      <c r="F87" s="383">
        <v>10</v>
      </c>
      <c r="G87" s="383">
        <v>8</v>
      </c>
      <c r="H87" s="383">
        <v>7</v>
      </c>
      <c r="I87" s="383">
        <v>0</v>
      </c>
      <c r="J87" s="392">
        <v>6858.000000000004</v>
      </c>
      <c r="K87" s="392">
        <v>5781.01</v>
      </c>
      <c r="L87" s="389">
        <f t="shared" si="2"/>
      </c>
      <c r="M87" s="389">
        <f t="shared" si="0"/>
      </c>
      <c r="N87" s="389">
        <f t="shared" si="17"/>
      </c>
      <c r="O87" s="395"/>
      <c r="P87" s="390"/>
      <c r="Q87" s="394"/>
    </row>
    <row r="88">
      <c r="A88" s="382">
        <v>46157</v>
      </c>
      <c r="B88" s="383" t="s">
        <v>331</v>
      </c>
      <c r="C88" s="384" t="s">
        <v>334</v>
      </c>
      <c r="D88" s="383">
        <v>5</v>
      </c>
      <c r="E88" s="383">
        <v>62</v>
      </c>
      <c r="F88" s="383">
        <v>49</v>
      </c>
      <c r="G88" s="383">
        <v>35</v>
      </c>
      <c r="H88" s="383">
        <v>33</v>
      </c>
      <c r="I88" s="383">
        <v>7</v>
      </c>
      <c r="J88" s="388">
        <v>47732.799999999996</v>
      </c>
      <c r="K88" s="388">
        <v>19723.489999999998</v>
      </c>
      <c r="L88" s="389">
        <f t="shared" si="2"/>
      </c>
      <c r="M88" s="389">
        <f t="shared" si="0"/>
      </c>
      <c r="N88" s="389">
        <f>K88/H88</f>
      </c>
      <c r="O88" s="385" t="s">
        <v>360</v>
      </c>
      <c r="P88" s="383">
        <v>10</v>
      </c>
      <c r="Q88" s="393"/>
    </row>
    <row r="89">
      <c r="A89" s="396">
        <v>46157</v>
      </c>
      <c r="B89" s="397"/>
      <c r="C89" s="397"/>
      <c r="D89" s="397">
        <f>SUM(D84:D88)</f>
      </c>
      <c r="E89" s="397">
        <f>SUM(E84:E88)</f>
      </c>
      <c r="F89" s="397">
        <f>SUM(F84:F88)</f>
      </c>
      <c r="G89" s="397">
        <f>SUM(G84:G88)</f>
      </c>
      <c r="H89" s="397">
        <f>SUM(H84:H88)</f>
      </c>
      <c r="I89" s="397">
        <f>SUM(I84:I88)</f>
      </c>
      <c r="J89" s="397">
        <f>SUM(J84:J88)</f>
      </c>
      <c r="K89" s="397">
        <f>SUM(K84:K88)</f>
      </c>
      <c r="L89" s="398">
        <f t="shared" si="2"/>
      </c>
      <c r="M89" s="398">
        <f t="shared" si="0"/>
      </c>
      <c r="N89" s="398">
        <f t="shared" ref="N89:N93" si="18">K89/F89</f>
      </c>
      <c r="O89" s="399"/>
      <c r="P89" s="397">
        <f>P84+P85+P86+P88</f>
      </c>
      <c r="Q89" s="399"/>
    </row>
    <row r="90">
      <c r="A90" s="382">
        <v>46158</v>
      </c>
      <c r="B90" s="402" t="s">
        <v>336</v>
      </c>
      <c r="C90" s="384" t="s">
        <v>325</v>
      </c>
      <c r="D90" s="385">
        <v>5</v>
      </c>
      <c r="E90" s="386">
        <v>64</v>
      </c>
      <c r="F90" s="387">
        <v>51</v>
      </c>
      <c r="G90" s="383">
        <v>30</v>
      </c>
      <c r="H90" s="383">
        <v>26</v>
      </c>
      <c r="I90" s="383">
        <v>5</v>
      </c>
      <c r="J90" s="388">
        <v>43020.6</v>
      </c>
      <c r="K90" s="383">
        <v>22564.66</v>
      </c>
      <c r="L90" s="389">
        <f t="shared" si="2"/>
      </c>
      <c r="M90" s="389">
        <f t="shared" si="0"/>
      </c>
      <c r="N90" s="389">
        <f t="shared" si="18"/>
      </c>
      <c r="O90" s="385" t="s">
        <v>357</v>
      </c>
      <c r="P90" s="383">
        <v>10</v>
      </c>
      <c r="Q90" s="391"/>
    </row>
    <row r="91">
      <c r="A91" s="403">
        <v>46158</v>
      </c>
      <c r="B91" s="404" t="s">
        <v>324</v>
      </c>
      <c r="C91" s="405" t="s">
        <v>352</v>
      </c>
      <c r="D91" s="383">
        <v>4</v>
      </c>
      <c r="E91" s="383">
        <v>34</v>
      </c>
      <c r="F91" s="383">
        <v>28</v>
      </c>
      <c r="G91" s="383">
        <v>22</v>
      </c>
      <c r="H91" s="383">
        <v>16</v>
      </c>
      <c r="I91" s="383">
        <v>3</v>
      </c>
      <c r="J91" s="388">
        <v>33470.2</v>
      </c>
      <c r="K91" s="388">
        <v>15924.029999999999</v>
      </c>
      <c r="L91" s="389">
        <f t="shared" si="2"/>
      </c>
      <c r="M91" s="389">
        <f t="shared" si="0"/>
      </c>
      <c r="N91" s="389">
        <f t="shared" si="18"/>
      </c>
      <c r="O91" s="393"/>
      <c r="P91" s="393"/>
      <c r="Q91" s="394"/>
    </row>
    <row r="92">
      <c r="A92" s="382">
        <v>46158</v>
      </c>
      <c r="B92" s="406" t="s">
        <v>333</v>
      </c>
      <c r="C92" s="384" t="s">
        <v>358</v>
      </c>
      <c r="D92" s="383">
        <v>4</v>
      </c>
      <c r="E92" s="383">
        <v>17</v>
      </c>
      <c r="F92" s="383">
        <v>12</v>
      </c>
      <c r="G92" s="383">
        <v>10</v>
      </c>
      <c r="H92" s="383">
        <v>5</v>
      </c>
      <c r="I92" s="383">
        <v>0</v>
      </c>
      <c r="J92" s="392">
        <v>13531.599999999999</v>
      </c>
      <c r="K92" s="388">
        <v>9458.23</v>
      </c>
      <c r="L92" s="389">
        <f t="shared" si="2"/>
      </c>
      <c r="M92" s="389">
        <f t="shared" si="0"/>
      </c>
      <c r="N92" s="389">
        <f t="shared" si="18"/>
      </c>
      <c r="O92" s="395"/>
      <c r="P92" s="390"/>
      <c r="Q92" s="394"/>
    </row>
    <row r="93">
      <c r="A93" s="382">
        <v>46158</v>
      </c>
      <c r="B93" s="383" t="s">
        <v>338</v>
      </c>
      <c r="C93" s="384" t="s">
        <v>359</v>
      </c>
      <c r="D93" s="383">
        <v>2</v>
      </c>
      <c r="E93" s="383">
        <v>10</v>
      </c>
      <c r="F93" s="383">
        <v>10</v>
      </c>
      <c r="G93" s="383">
        <v>8</v>
      </c>
      <c r="H93" s="383">
        <v>8</v>
      </c>
      <c r="I93" s="383">
        <v>2</v>
      </c>
      <c r="J93" s="392">
        <v>10405.599999999999</v>
      </c>
      <c r="K93" s="392">
        <v>4299.54</v>
      </c>
      <c r="L93" s="389">
        <f t="shared" si="2"/>
      </c>
      <c r="M93" s="389">
        <f t="shared" si="0"/>
      </c>
      <c r="N93" s="389">
        <f t="shared" si="18"/>
      </c>
      <c r="O93" s="395"/>
      <c r="P93" s="390"/>
      <c r="Q93" s="394"/>
    </row>
    <row r="94">
      <c r="A94" s="382">
        <v>46158</v>
      </c>
      <c r="B94" s="383" t="s">
        <v>331</v>
      </c>
      <c r="C94" s="384" t="s">
        <v>334</v>
      </c>
      <c r="D94" s="383">
        <v>5</v>
      </c>
      <c r="E94" s="383">
        <v>70</v>
      </c>
      <c r="F94" s="383">
        <v>57</v>
      </c>
      <c r="G94" s="383">
        <v>38</v>
      </c>
      <c r="H94" s="383">
        <v>41</v>
      </c>
      <c r="I94" s="383">
        <v>5</v>
      </c>
      <c r="J94" s="388">
        <v>46194.59999999999</v>
      </c>
      <c r="K94" s="388">
        <v>20006.89</v>
      </c>
      <c r="L94" s="389">
        <f t="shared" si="2"/>
      </c>
      <c r="M94" s="389">
        <f t="shared" si="0"/>
      </c>
      <c r="N94" s="389">
        <f>K94/H94</f>
      </c>
      <c r="O94" s="385" t="s">
        <v>360</v>
      </c>
      <c r="P94" s="383">
        <v>10</v>
      </c>
      <c r="Q94" s="393"/>
    </row>
    <row r="95">
      <c r="A95" s="396">
        <v>46158</v>
      </c>
      <c r="B95" s="397"/>
      <c r="C95" s="397"/>
      <c r="D95" s="397">
        <f>SUM(D90:D94)</f>
      </c>
      <c r="E95" s="397">
        <f>SUM(E90:E94)</f>
      </c>
      <c r="F95" s="397">
        <f>SUM(F90:F94)</f>
      </c>
      <c r="G95" s="397">
        <f>SUM(G90:G94)</f>
      </c>
      <c r="H95" s="397">
        <f>SUM(H90:H94)</f>
      </c>
      <c r="I95" s="397">
        <f>SUM(I90:I94)</f>
      </c>
      <c r="J95" s="397">
        <f>SUM(J90:J94)</f>
      </c>
      <c r="K95" s="397">
        <f>SUM(K90:K94)</f>
      </c>
      <c r="L95" s="398">
        <f t="shared" si="2"/>
      </c>
      <c r="M95" s="398">
        <f t="shared" si="0"/>
      </c>
      <c r="N95" s="398">
        <f t="shared" ref="N95:N99" si="19">K95/F95</f>
      </c>
      <c r="O95" s="399"/>
      <c r="P95" s="397">
        <f>P90+P91+P92+P94</f>
      </c>
      <c r="Q95" s="399"/>
    </row>
    <row r="96">
      <c r="A96" s="403">
        <v>46159</v>
      </c>
      <c r="B96" s="386" t="s">
        <v>336</v>
      </c>
      <c r="C96" s="405" t="s">
        <v>325</v>
      </c>
      <c r="D96" s="385">
        <v>5</v>
      </c>
      <c r="E96" s="386">
        <v>86</v>
      </c>
      <c r="F96" s="387">
        <v>72</v>
      </c>
      <c r="G96" s="383">
        <v>52</v>
      </c>
      <c r="H96" s="383">
        <v>51</v>
      </c>
      <c r="I96" s="383">
        <v>8</v>
      </c>
      <c r="J96" s="388">
        <v>62176.36000000001</v>
      </c>
      <c r="K96" s="383">
        <v>33938.75</v>
      </c>
      <c r="L96" s="389">
        <f t="shared" si="2"/>
      </c>
      <c r="M96" s="389">
        <f t="shared" si="0"/>
      </c>
      <c r="N96" s="389">
        <f t="shared" si="19"/>
      </c>
      <c r="O96" s="385" t="s">
        <v>357</v>
      </c>
      <c r="P96" s="383">
        <v>10</v>
      </c>
      <c r="Q96" s="391"/>
    </row>
    <row r="97">
      <c r="A97" s="403">
        <v>46159</v>
      </c>
      <c r="B97" s="406" t="s">
        <v>333</v>
      </c>
      <c r="C97" s="405" t="s">
        <v>352</v>
      </c>
      <c r="D97" s="383">
        <v>4</v>
      </c>
      <c r="E97" s="383">
        <v>35</v>
      </c>
      <c r="F97" s="383">
        <v>25</v>
      </c>
      <c r="G97" s="383">
        <v>19</v>
      </c>
      <c r="H97" s="383">
        <v>16</v>
      </c>
      <c r="I97" s="383">
        <v>4</v>
      </c>
      <c r="J97" s="388">
        <v>30207.599999999995</v>
      </c>
      <c r="K97" s="388">
        <v>18759.239999999998</v>
      </c>
      <c r="L97" s="389">
        <f t="shared" si="2"/>
      </c>
      <c r="M97" s="389">
        <f t="shared" si="0"/>
      </c>
      <c r="N97" s="389">
        <f t="shared" si="19"/>
      </c>
      <c r="O97" s="393"/>
      <c r="P97" s="393"/>
      <c r="Q97" s="394"/>
    </row>
    <row r="98">
      <c r="A98" s="382">
        <v>46159</v>
      </c>
      <c r="B98" s="406" t="s">
        <v>327</v>
      </c>
      <c r="C98" s="384" t="s">
        <v>351</v>
      </c>
      <c r="D98" s="383">
        <v>2</v>
      </c>
      <c r="E98" s="383">
        <v>6</v>
      </c>
      <c r="F98" s="383">
        <v>6</v>
      </c>
      <c r="G98" s="383">
        <v>3</v>
      </c>
      <c r="H98" s="383">
        <v>3</v>
      </c>
      <c r="I98" s="383">
        <v>2</v>
      </c>
      <c r="J98" s="392">
        <v>4614</v>
      </c>
      <c r="K98" s="388">
        <v>4546.639999999999</v>
      </c>
      <c r="L98" s="389">
        <f t="shared" si="2"/>
      </c>
      <c r="M98" s="389">
        <f t="shared" si="0"/>
      </c>
      <c r="N98" s="389">
        <f t="shared" si="19"/>
      </c>
      <c r="O98" s="395"/>
      <c r="P98" s="390"/>
      <c r="Q98" s="394"/>
    </row>
    <row r="99">
      <c r="A99" s="403">
        <v>46159</v>
      </c>
      <c r="B99" s="383" t="s">
        <v>329</v>
      </c>
      <c r="C99" s="384" t="s">
        <v>361</v>
      </c>
      <c r="D99" s="383">
        <v>3</v>
      </c>
      <c r="E99" s="383">
        <v>33</v>
      </c>
      <c r="F99" s="383">
        <v>23</v>
      </c>
      <c r="G99" s="383">
        <v>14</v>
      </c>
      <c r="H99" s="383">
        <v>15</v>
      </c>
      <c r="I99" s="383">
        <v>1</v>
      </c>
      <c r="J99" s="392">
        <v>20568.199999999997</v>
      </c>
      <c r="K99" s="392">
        <v>8790.27</v>
      </c>
      <c r="L99" s="389">
        <f t="shared" si="2"/>
      </c>
      <c r="M99" s="389">
        <f t="shared" si="0"/>
      </c>
      <c r="N99" s="389">
        <f t="shared" si="19"/>
      </c>
      <c r="O99" s="395"/>
      <c r="P99" s="390"/>
      <c r="Q99" s="394"/>
    </row>
    <row r="100">
      <c r="A100" s="382">
        <v>46159</v>
      </c>
      <c r="B100" s="383" t="s">
        <v>331</v>
      </c>
      <c r="C100" s="384" t="s">
        <v>334</v>
      </c>
      <c r="D100" s="383">
        <v>5</v>
      </c>
      <c r="E100" s="383">
        <v>64</v>
      </c>
      <c r="F100" s="383">
        <v>48</v>
      </c>
      <c r="G100" s="383">
        <v>38</v>
      </c>
      <c r="H100" s="383">
        <v>36</v>
      </c>
      <c r="I100" s="383">
        <v>5</v>
      </c>
      <c r="J100" s="388">
        <v>40531.2</v>
      </c>
      <c r="K100" s="388">
        <v>20124.09</v>
      </c>
      <c r="L100" s="389">
        <f t="shared" si="2"/>
      </c>
      <c r="M100" s="389">
        <f t="shared" si="0"/>
      </c>
      <c r="N100" s="389">
        <f>K100/H100</f>
      </c>
      <c r="O100" s="385" t="s">
        <v>345</v>
      </c>
      <c r="P100" s="383">
        <v>9</v>
      </c>
      <c r="Q100" s="393"/>
    </row>
    <row r="101">
      <c r="A101" s="396">
        <v>46159</v>
      </c>
      <c r="B101" s="397"/>
      <c r="C101" s="397"/>
      <c r="D101" s="397">
        <f>SUM(D96:D100)</f>
      </c>
      <c r="E101" s="397">
        <f>SUM(E96:E100)</f>
      </c>
      <c r="F101" s="397">
        <f>SUM(F96:F100)</f>
      </c>
      <c r="G101" s="397">
        <f>SUM(G96:G100)</f>
      </c>
      <c r="H101" s="397">
        <f>SUM(H96:H100)</f>
      </c>
      <c r="I101" s="397">
        <f>SUM(I96:I100)</f>
      </c>
      <c r="J101" s="397">
        <f>SUM(J96:J100)</f>
      </c>
      <c r="K101" s="397">
        <f>SUM(K96:K100)</f>
      </c>
      <c r="L101" s="398">
        <f t="shared" si="2"/>
      </c>
      <c r="M101" s="398">
        <f t="shared" si="0"/>
      </c>
      <c r="N101" s="398">
        <f t="shared" ref="N101:N105" si="20">K101/F101</f>
      </c>
      <c r="O101" s="399"/>
      <c r="P101" s="397">
        <f>P96+P97+P98+P100</f>
      </c>
      <c r="Q101" s="399"/>
    </row>
    <row r="102">
      <c r="A102" s="403">
        <v>46160</v>
      </c>
      <c r="B102" s="386" t="s">
        <v>336</v>
      </c>
      <c r="C102" s="405" t="s">
        <v>325</v>
      </c>
      <c r="D102" s="385">
        <v>5</v>
      </c>
      <c r="E102" s="386">
        <v>55</v>
      </c>
      <c r="F102" s="387">
        <v>50</v>
      </c>
      <c r="G102" s="383">
        <v>40</v>
      </c>
      <c r="H102" s="383">
        <v>28</v>
      </c>
      <c r="I102" s="383">
        <v>7</v>
      </c>
      <c r="J102" s="388">
        <v>45909.8</v>
      </c>
      <c r="K102" s="383">
        <v>21567.88</v>
      </c>
      <c r="L102" s="389">
        <f t="shared" si="2"/>
      </c>
      <c r="M102" s="389">
        <f t="shared" si="0"/>
      </c>
      <c r="N102" s="389">
        <f t="shared" si="20"/>
      </c>
      <c r="O102" s="385" t="s">
        <v>357</v>
      </c>
      <c r="P102" s="383">
        <v>10</v>
      </c>
      <c r="Q102" s="391"/>
    </row>
    <row r="103">
      <c r="A103" s="403">
        <v>46160</v>
      </c>
      <c r="B103" s="406" t="s">
        <v>333</v>
      </c>
      <c r="C103" s="405" t="s">
        <v>352</v>
      </c>
      <c r="D103" s="383">
        <v>4</v>
      </c>
      <c r="E103" s="383">
        <v>58</v>
      </c>
      <c r="F103" s="383">
        <v>44</v>
      </c>
      <c r="G103" s="383">
        <v>33</v>
      </c>
      <c r="H103" s="383">
        <v>31</v>
      </c>
      <c r="I103" s="383">
        <v>4</v>
      </c>
      <c r="J103" s="388">
        <v>41744.400000000016</v>
      </c>
      <c r="K103" s="388">
        <v>28777.11</v>
      </c>
      <c r="L103" s="389">
        <f t="shared" si="2"/>
      </c>
      <c r="M103" s="389">
        <f t="shared" si="0"/>
      </c>
      <c r="N103" s="389">
        <f t="shared" si="20"/>
      </c>
      <c r="O103" s="393"/>
      <c r="P103" s="393"/>
      <c r="Q103" s="394"/>
    </row>
    <row r="104">
      <c r="A104" s="403">
        <v>46160</v>
      </c>
      <c r="B104" s="406" t="s">
        <v>338</v>
      </c>
      <c r="C104" s="384" t="s">
        <v>362</v>
      </c>
      <c r="D104" s="383">
        <v>3</v>
      </c>
      <c r="E104" s="383">
        <v>48</v>
      </c>
      <c r="F104" s="383">
        <v>36</v>
      </c>
      <c r="G104" s="383">
        <v>32</v>
      </c>
      <c r="H104" s="383">
        <v>28</v>
      </c>
      <c r="I104" s="383">
        <v>3</v>
      </c>
      <c r="J104" s="392">
        <v>25419.6</v>
      </c>
      <c r="K104" s="388">
        <v>20158.5</v>
      </c>
      <c r="L104" s="389">
        <f t="shared" si="2"/>
      </c>
      <c r="M104" s="389">
        <f t="shared" si="0"/>
      </c>
      <c r="N104" s="389">
        <f t="shared" si="20"/>
      </c>
      <c r="O104" s="395"/>
      <c r="P104" s="390"/>
      <c r="Q104" s="394"/>
    </row>
    <row r="105">
      <c r="A105" s="403">
        <v>46160</v>
      </c>
      <c r="B105" s="383" t="s">
        <v>329</v>
      </c>
      <c r="C105" s="384" t="s">
        <v>361</v>
      </c>
      <c r="D105" s="383">
        <v>3</v>
      </c>
      <c r="E105" s="383">
        <v>37</v>
      </c>
      <c r="F105" s="383">
        <v>33</v>
      </c>
      <c r="G105" s="383">
        <v>26</v>
      </c>
      <c r="H105" s="383">
        <v>27</v>
      </c>
      <c r="I105" s="383">
        <v>1</v>
      </c>
      <c r="J105" s="392">
        <v>20688</v>
      </c>
      <c r="K105" s="392">
        <v>20883.670000000002</v>
      </c>
      <c r="L105" s="389">
        <f t="shared" si="2"/>
      </c>
      <c r="M105" s="389">
        <f t="shared" si="0"/>
      </c>
      <c r="N105" s="389">
        <f t="shared" si="20"/>
      </c>
      <c r="O105" s="395"/>
      <c r="P105" s="390"/>
      <c r="Q105" s="394"/>
    </row>
    <row r="106">
      <c r="A106" s="403">
        <v>46160</v>
      </c>
      <c r="B106" s="383" t="s">
        <v>331</v>
      </c>
      <c r="C106" s="384" t="s">
        <v>334</v>
      </c>
      <c r="D106" s="383">
        <v>5</v>
      </c>
      <c r="E106" s="383">
        <v>79</v>
      </c>
      <c r="F106" s="383">
        <v>67</v>
      </c>
      <c r="G106" s="383">
        <v>45</v>
      </c>
      <c r="H106" s="383">
        <v>47</v>
      </c>
      <c r="I106" s="383">
        <v>12</v>
      </c>
      <c r="J106" s="388">
        <v>52405.84000000002</v>
      </c>
      <c r="K106" s="388">
        <v>29717.61</v>
      </c>
      <c r="L106" s="389">
        <f t="shared" si="2"/>
      </c>
      <c r="M106" s="389">
        <f t="shared" si="0"/>
      </c>
      <c r="N106" s="389">
        <f>K106/H106</f>
      </c>
      <c r="O106" s="385" t="s">
        <v>360</v>
      </c>
      <c r="P106" s="383">
        <v>10</v>
      </c>
      <c r="Q106" s="393"/>
    </row>
    <row r="107">
      <c r="A107" s="396">
        <v>46160</v>
      </c>
      <c r="B107" s="397"/>
      <c r="C107" s="397"/>
      <c r="D107" s="397">
        <f>SUM(D102:D106)</f>
      </c>
      <c r="E107" s="397">
        <f>SUM(E102:E106)</f>
      </c>
      <c r="F107" s="397">
        <f>SUM(F102:F106)</f>
      </c>
      <c r="G107" s="397">
        <f>SUM(G102:G106)</f>
      </c>
      <c r="H107" s="397">
        <f>SUM(H102:H106)</f>
      </c>
      <c r="I107" s="397">
        <f>SUM(I102:I106)</f>
      </c>
      <c r="J107" s="397">
        <f>SUM(J102:J106)</f>
      </c>
      <c r="K107" s="397">
        <f>SUM(K102:K106)</f>
      </c>
      <c r="L107" s="398">
        <f t="shared" si="2"/>
      </c>
      <c r="M107" s="398">
        <f t="shared" si="0"/>
      </c>
      <c r="N107" s="398">
        <f t="shared" ref="N107:N111" si="21">K107/F107</f>
      </c>
      <c r="O107" s="399"/>
      <c r="P107" s="397">
        <f>P102+P103+P104+P106</f>
      </c>
      <c r="Q107" s="399"/>
    </row>
    <row r="108">
      <c r="A108" s="403">
        <v>46161</v>
      </c>
      <c r="B108" s="386" t="s">
        <v>324</v>
      </c>
      <c r="C108" s="405" t="s">
        <v>348</v>
      </c>
      <c r="D108" s="385">
        <v>4</v>
      </c>
      <c r="E108" s="386">
        <v>28</v>
      </c>
      <c r="F108" s="387">
        <v>20</v>
      </c>
      <c r="G108" s="383">
        <v>16</v>
      </c>
      <c r="H108" s="383">
        <v>13</v>
      </c>
      <c r="I108" s="383">
        <v>0</v>
      </c>
      <c r="J108" s="388">
        <v>18485.6</v>
      </c>
      <c r="K108" s="383">
        <v>20108.23</v>
      </c>
      <c r="L108" s="389">
        <f t="shared" si="2"/>
      </c>
      <c r="M108" s="389">
        <f t="shared" si="0"/>
      </c>
      <c r="N108" s="389">
        <f t="shared" si="21"/>
      </c>
      <c r="O108" s="385" t="s">
        <v>357</v>
      </c>
      <c r="P108" s="383">
        <v>10</v>
      </c>
      <c r="Q108" s="391"/>
    </row>
    <row r="109">
      <c r="A109" s="403">
        <v>46161</v>
      </c>
      <c r="B109" s="406" t="s">
        <v>327</v>
      </c>
      <c r="C109" s="405" t="s">
        <v>363</v>
      </c>
      <c r="D109" s="383">
        <v>4</v>
      </c>
      <c r="E109" s="383">
        <v>27</v>
      </c>
      <c r="F109" s="383">
        <v>20</v>
      </c>
      <c r="G109" s="383">
        <v>12</v>
      </c>
      <c r="H109" s="383">
        <v>13</v>
      </c>
      <c r="I109" s="383">
        <v>0</v>
      </c>
      <c r="J109" s="388">
        <v>13562.599999999999</v>
      </c>
      <c r="K109" s="388">
        <v>9285.66</v>
      </c>
      <c r="L109" s="389">
        <f t="shared" si="2"/>
      </c>
      <c r="M109" s="389">
        <f t="shared" si="0"/>
      </c>
      <c r="N109" s="389">
        <f t="shared" si="21"/>
      </c>
      <c r="O109" s="393"/>
      <c r="P109" s="393"/>
      <c r="Q109" s="394"/>
    </row>
    <row r="110">
      <c r="A110" s="403">
        <v>46161</v>
      </c>
      <c r="B110" s="406" t="s">
        <v>331</v>
      </c>
      <c r="C110" s="384" t="s">
        <v>364</v>
      </c>
      <c r="D110" s="383">
        <v>4</v>
      </c>
      <c r="E110" s="383">
        <v>43</v>
      </c>
      <c r="F110" s="383">
        <v>32</v>
      </c>
      <c r="G110" s="383">
        <v>21</v>
      </c>
      <c r="H110" s="383">
        <v>23</v>
      </c>
      <c r="I110" s="383">
        <v>6</v>
      </c>
      <c r="J110" s="392">
        <v>22259.99999999999</v>
      </c>
      <c r="K110" s="388">
        <v>14347.439999999999</v>
      </c>
      <c r="L110" s="389">
        <f t="shared" si="2"/>
      </c>
      <c r="M110" s="389">
        <f t="shared" si="0"/>
      </c>
      <c r="N110" s="389">
        <f t="shared" si="21"/>
      </c>
      <c r="O110" s="395"/>
      <c r="P110" s="390"/>
      <c r="Q110" s="394"/>
    </row>
    <row r="111">
      <c r="A111" s="403">
        <v>46161</v>
      </c>
      <c r="B111" s="383" t="s">
        <v>338</v>
      </c>
      <c r="C111" s="384" t="s">
        <v>361</v>
      </c>
      <c r="D111" s="383">
        <v>3</v>
      </c>
      <c r="E111" s="383">
        <v>19</v>
      </c>
      <c r="F111" s="383">
        <v>18</v>
      </c>
      <c r="G111" s="383">
        <v>11</v>
      </c>
      <c r="H111" s="383">
        <v>12</v>
      </c>
      <c r="I111" s="383">
        <v>2</v>
      </c>
      <c r="J111" s="392">
        <v>17521.200000000004</v>
      </c>
      <c r="K111" s="392">
        <v>6884.34</v>
      </c>
      <c r="L111" s="389">
        <f t="shared" si="2"/>
      </c>
      <c r="M111" s="389">
        <f t="shared" si="0"/>
      </c>
      <c r="N111" s="389">
        <f t="shared" si="21"/>
      </c>
      <c r="O111" s="395"/>
      <c r="P111" s="390"/>
      <c r="Q111" s="394"/>
    </row>
    <row r="112">
      <c r="A112" s="403">
        <v>46161</v>
      </c>
      <c r="B112" s="383" t="s">
        <v>336</v>
      </c>
      <c r="C112" s="384" t="s">
        <v>334</v>
      </c>
      <c r="D112" s="383">
        <v>5</v>
      </c>
      <c r="E112" s="383">
        <v>68</v>
      </c>
      <c r="F112" s="383">
        <v>55</v>
      </c>
      <c r="G112" s="383">
        <v>36</v>
      </c>
      <c r="H112" s="383">
        <v>40</v>
      </c>
      <c r="I112" s="383">
        <v>6</v>
      </c>
      <c r="J112" s="388">
        <v>41703.76</v>
      </c>
      <c r="K112" s="388">
        <v>19044.200000000004</v>
      </c>
      <c r="L112" s="389">
        <f t="shared" si="2"/>
      </c>
      <c r="M112" s="389">
        <f t="shared" si="0"/>
      </c>
      <c r="N112" s="389">
        <f>K112/H112</f>
      </c>
      <c r="O112" s="385" t="s">
        <v>360</v>
      </c>
      <c r="P112" s="383">
        <v>10</v>
      </c>
      <c r="Q112" s="393"/>
    </row>
    <row r="113">
      <c r="A113" s="396">
        <v>46161</v>
      </c>
      <c r="B113" s="397"/>
      <c r="C113" s="397"/>
      <c r="D113" s="397">
        <f>SUM(D108:D112)</f>
      </c>
      <c r="E113" s="397">
        <f>SUM(E108:E112)</f>
      </c>
      <c r="F113" s="397">
        <f>SUM(F108:F112)</f>
      </c>
      <c r="G113" s="397">
        <f>SUM(G108:G112)</f>
      </c>
      <c r="H113" s="397">
        <f>SUM(H108:H112)</f>
      </c>
      <c r="I113" s="397">
        <f>SUM(I108:I112)</f>
      </c>
      <c r="J113" s="397">
        <f>SUM(J108:J112)</f>
      </c>
      <c r="K113" s="397">
        <f>SUM(K108:K112)</f>
      </c>
      <c r="L113" s="398">
        <f t="shared" si="2"/>
      </c>
      <c r="M113" s="398">
        <f t="shared" si="0"/>
      </c>
      <c r="N113" s="398">
        <f t="shared" ref="N113:N117" si="22">K113/F113</f>
      </c>
      <c r="O113" s="399"/>
      <c r="P113" s="397">
        <f>P108+P109+P110+P112</f>
      </c>
      <c r="Q113" s="399"/>
    </row>
    <row r="114">
      <c r="A114" s="403">
        <v>46162</v>
      </c>
      <c r="B114" s="386" t="s">
        <v>324</v>
      </c>
      <c r="C114" s="405" t="s">
        <v>348</v>
      </c>
      <c r="D114" s="385">
        <v>4</v>
      </c>
      <c r="E114" s="386">
        <v>57</v>
      </c>
      <c r="F114" s="387">
        <v>51</v>
      </c>
      <c r="G114" s="383">
        <v>34</v>
      </c>
      <c r="H114" s="383">
        <v>37</v>
      </c>
      <c r="I114" s="383">
        <v>6</v>
      </c>
      <c r="J114" s="388">
        <v>43895.80000000002</v>
      </c>
      <c r="K114" s="383">
        <v>24496.61</v>
      </c>
      <c r="L114" s="389">
        <f t="shared" si="2"/>
      </c>
      <c r="M114" s="389">
        <f t="shared" si="0"/>
      </c>
      <c r="N114" s="389">
        <f t="shared" si="22"/>
      </c>
      <c r="O114" s="385" t="s">
        <v>357</v>
      </c>
      <c r="P114" s="383">
        <v>10</v>
      </c>
      <c r="Q114" s="391"/>
    </row>
    <row r="115">
      <c r="A115" s="403">
        <v>46162</v>
      </c>
      <c r="B115" s="406" t="s">
        <v>331</v>
      </c>
      <c r="C115" s="405" t="s">
        <v>350</v>
      </c>
      <c r="D115" s="383">
        <v>5</v>
      </c>
      <c r="E115" s="383">
        <v>46</v>
      </c>
      <c r="F115" s="383">
        <v>36</v>
      </c>
      <c r="G115" s="383">
        <v>27</v>
      </c>
      <c r="H115" s="383">
        <v>18</v>
      </c>
      <c r="I115" s="383">
        <v>2</v>
      </c>
      <c r="J115" s="388">
        <v>43946.1</v>
      </c>
      <c r="K115" s="388">
        <v>19883.880000000005</v>
      </c>
      <c r="L115" s="389">
        <f t="shared" si="2"/>
      </c>
      <c r="M115" s="389">
        <f t="shared" si="0"/>
      </c>
      <c r="N115" s="389">
        <f t="shared" si="22"/>
      </c>
      <c r="O115" s="393"/>
      <c r="P115" s="393"/>
      <c r="Q115" s="394"/>
    </row>
    <row r="116">
      <c r="A116" s="403">
        <v>46162</v>
      </c>
      <c r="B116" s="406" t="s">
        <v>327</v>
      </c>
      <c r="C116" s="384" t="s">
        <v>358</v>
      </c>
      <c r="D116" s="383">
        <v>4</v>
      </c>
      <c r="E116" s="383">
        <v>27</v>
      </c>
      <c r="F116" s="383">
        <v>21</v>
      </c>
      <c r="G116" s="383">
        <v>17</v>
      </c>
      <c r="H116" s="383">
        <v>17</v>
      </c>
      <c r="I116" s="383">
        <v>2</v>
      </c>
      <c r="J116" s="392">
        <v>14442.599999999999</v>
      </c>
      <c r="K116" s="388">
        <v>12400.04</v>
      </c>
      <c r="L116" s="389">
        <f t="shared" si="2"/>
      </c>
      <c r="M116" s="389">
        <f t="shared" si="0"/>
      </c>
      <c r="N116" s="389">
        <f t="shared" si="22"/>
      </c>
      <c r="O116" s="395"/>
      <c r="P116" s="390"/>
      <c r="Q116" s="394"/>
    </row>
    <row r="117">
      <c r="A117" s="403">
        <v>46162</v>
      </c>
      <c r="B117" s="383" t="s">
        <v>338</v>
      </c>
      <c r="C117" s="384" t="s">
        <v>359</v>
      </c>
      <c r="D117" s="383">
        <v>2</v>
      </c>
      <c r="E117" s="383">
        <v>20</v>
      </c>
      <c r="F117" s="383">
        <v>15</v>
      </c>
      <c r="G117" s="383">
        <v>10</v>
      </c>
      <c r="H117" s="383">
        <v>7</v>
      </c>
      <c r="I117" s="383">
        <v>3</v>
      </c>
      <c r="J117" s="392">
        <v>15749.400000000001</v>
      </c>
      <c r="K117" s="392">
        <v>6008.57</v>
      </c>
      <c r="L117" s="389">
        <f t="shared" si="2"/>
      </c>
      <c r="M117" s="389">
        <f t="shared" si="0"/>
      </c>
      <c r="N117" s="389">
        <f t="shared" si="22"/>
      </c>
      <c r="O117" s="395"/>
      <c r="P117" s="390"/>
      <c r="Q117" s="394"/>
    </row>
    <row r="118">
      <c r="A118" s="403">
        <v>46162</v>
      </c>
      <c r="B118" s="383" t="s">
        <v>336</v>
      </c>
      <c r="C118" s="384" t="s">
        <v>334</v>
      </c>
      <c r="D118" s="383">
        <v>5</v>
      </c>
      <c r="E118" s="383">
        <v>63</v>
      </c>
      <c r="F118" s="383">
        <v>44</v>
      </c>
      <c r="G118" s="383">
        <v>29</v>
      </c>
      <c r="H118" s="383">
        <v>28</v>
      </c>
      <c r="I118" s="383">
        <v>5</v>
      </c>
      <c r="J118" s="388">
        <v>55309.39999999998</v>
      </c>
      <c r="K118" s="388">
        <v>19249.82</v>
      </c>
      <c r="L118" s="389">
        <f t="shared" si="2"/>
      </c>
      <c r="M118" s="389">
        <f t="shared" si="0"/>
      </c>
      <c r="N118" s="389">
        <f>K118/H118</f>
      </c>
      <c r="O118" s="385" t="s">
        <v>360</v>
      </c>
      <c r="P118" s="383">
        <v>10</v>
      </c>
      <c r="Q118" s="393"/>
    </row>
    <row r="119">
      <c r="A119" s="396">
        <v>46162</v>
      </c>
      <c r="B119" s="397"/>
      <c r="C119" s="397"/>
      <c r="D119" s="397">
        <f>SUM(D114:D118)</f>
      </c>
      <c r="E119" s="397">
        <f>SUM(E114:E118)</f>
      </c>
      <c r="F119" s="397">
        <f>SUM(F114:F118)</f>
      </c>
      <c r="G119" s="397">
        <f>SUM(G114:G118)</f>
      </c>
      <c r="H119" s="397">
        <f>SUM(H114:H118)</f>
      </c>
      <c r="I119" s="397">
        <f>SUM(I114:I118)</f>
      </c>
      <c r="J119" s="397">
        <f>SUM(J114:J118)</f>
      </c>
      <c r="K119" s="397">
        <f>SUM(K114:K118)</f>
      </c>
      <c r="L119" s="398">
        <f t="shared" si="2"/>
      </c>
      <c r="M119" s="398">
        <f t="shared" si="0"/>
      </c>
      <c r="N119" s="398">
        <f t="shared" ref="N119:N123" si="23">K119/F119</f>
      </c>
      <c r="O119" s="399"/>
      <c r="P119" s="397">
        <f>P114+P115+P116+P118</f>
      </c>
      <c r="Q119" s="399"/>
    </row>
    <row r="120">
      <c r="A120" s="403">
        <v>46163</v>
      </c>
      <c r="B120" s="386" t="s">
        <v>331</v>
      </c>
      <c r="C120" s="405" t="s">
        <v>325</v>
      </c>
      <c r="D120" s="385">
        <v>5</v>
      </c>
      <c r="E120" s="386">
        <v>59</v>
      </c>
      <c r="F120" s="387">
        <v>47</v>
      </c>
      <c r="G120" s="383">
        <v>37</v>
      </c>
      <c r="H120" s="383">
        <v>34</v>
      </c>
      <c r="I120" s="383">
        <v>3</v>
      </c>
      <c r="J120" s="388">
        <v>47189</v>
      </c>
      <c r="K120" s="383">
        <v>25870.660000000003</v>
      </c>
      <c r="L120" s="389">
        <f t="shared" si="2"/>
      </c>
      <c r="M120" s="389">
        <f t="shared" si="0"/>
      </c>
      <c r="N120" s="389">
        <f t="shared" si="23"/>
      </c>
      <c r="O120" s="385" t="s">
        <v>357</v>
      </c>
      <c r="P120" s="383">
        <v>10</v>
      </c>
      <c r="Q120" s="391"/>
    </row>
    <row r="121">
      <c r="A121" s="403">
        <v>46163</v>
      </c>
      <c r="B121" s="406" t="s">
        <v>324</v>
      </c>
      <c r="C121" s="405" t="s">
        <v>352</v>
      </c>
      <c r="D121" s="383">
        <v>4</v>
      </c>
      <c r="E121" s="383">
        <v>35</v>
      </c>
      <c r="F121" s="383">
        <v>31</v>
      </c>
      <c r="G121" s="383">
        <v>20</v>
      </c>
      <c r="H121" s="383">
        <v>18</v>
      </c>
      <c r="I121" s="383">
        <v>0</v>
      </c>
      <c r="J121" s="388">
        <v>30074.840000000004</v>
      </c>
      <c r="K121" s="388">
        <v>12808.84</v>
      </c>
      <c r="L121" s="389">
        <f t="shared" si="2"/>
      </c>
      <c r="M121" s="389">
        <f t="shared" si="0"/>
      </c>
      <c r="N121" s="389">
        <f t="shared" si="23"/>
      </c>
      <c r="O121" s="393"/>
      <c r="P121" s="393"/>
      <c r="Q121" s="394"/>
    </row>
    <row r="122">
      <c r="A122" s="403">
        <v>46163</v>
      </c>
      <c r="B122" s="406" t="s">
        <v>333</v>
      </c>
      <c r="C122" s="384" t="s">
        <v>358</v>
      </c>
      <c r="D122" s="383">
        <v>4</v>
      </c>
      <c r="E122" s="383">
        <v>28</v>
      </c>
      <c r="F122" s="383">
        <v>18</v>
      </c>
      <c r="G122" s="383">
        <v>14</v>
      </c>
      <c r="H122" s="383">
        <v>15</v>
      </c>
      <c r="I122" s="383">
        <v>2</v>
      </c>
      <c r="J122" s="388">
        <v>14646</v>
      </c>
      <c r="K122" s="388">
        <v>10079.37</v>
      </c>
      <c r="L122" s="389">
        <f t="shared" si="2"/>
      </c>
      <c r="M122" s="389">
        <f t="shared" si="0"/>
      </c>
      <c r="N122" s="389">
        <f t="shared" si="23"/>
      </c>
      <c r="O122" s="395"/>
      <c r="P122" s="390"/>
      <c r="Q122" s="394"/>
    </row>
    <row r="123">
      <c r="A123" s="403">
        <v>46163</v>
      </c>
      <c r="B123" s="383" t="s">
        <v>329</v>
      </c>
      <c r="C123" s="384" t="s">
        <v>359</v>
      </c>
      <c r="D123" s="383">
        <v>2</v>
      </c>
      <c r="E123" s="383">
        <v>13</v>
      </c>
      <c r="F123" s="383">
        <v>8</v>
      </c>
      <c r="G123" s="383">
        <v>6</v>
      </c>
      <c r="H123" s="383">
        <v>6</v>
      </c>
      <c r="I123" s="383">
        <v>0</v>
      </c>
      <c r="J123" s="388">
        <v>7380</v>
      </c>
      <c r="K123" s="388">
        <v>4611.76</v>
      </c>
      <c r="L123" s="389">
        <f t="shared" si="2"/>
      </c>
      <c r="M123" s="389">
        <f t="shared" si="0"/>
      </c>
      <c r="N123" s="389">
        <f t="shared" si="23"/>
      </c>
      <c r="O123" s="395"/>
      <c r="P123" s="390"/>
      <c r="Q123" s="394"/>
    </row>
    <row r="124">
      <c r="A124" s="403">
        <v>46163</v>
      </c>
      <c r="B124" s="383" t="s">
        <v>336</v>
      </c>
      <c r="C124" s="384" t="s">
        <v>334</v>
      </c>
      <c r="D124" s="383">
        <v>5</v>
      </c>
      <c r="E124" s="383">
        <v>56</v>
      </c>
      <c r="F124" s="383">
        <v>45</v>
      </c>
      <c r="G124" s="383">
        <v>28</v>
      </c>
      <c r="H124" s="383">
        <v>34</v>
      </c>
      <c r="I124" s="383">
        <v>6</v>
      </c>
      <c r="J124" s="388">
        <v>34237.2</v>
      </c>
      <c r="K124" s="388">
        <v>16201.16</v>
      </c>
      <c r="L124" s="389">
        <f t="shared" si="2"/>
      </c>
      <c r="M124" s="389">
        <f t="shared" si="0"/>
      </c>
      <c r="N124" s="389">
        <f>K124/H124</f>
      </c>
      <c r="O124" s="385" t="s">
        <v>360</v>
      </c>
      <c r="P124" s="383">
        <v>10</v>
      </c>
      <c r="Q124" s="393"/>
    </row>
    <row r="125">
      <c r="A125" s="396">
        <v>46163</v>
      </c>
      <c r="B125" s="397"/>
      <c r="C125" s="397"/>
      <c r="D125" s="397">
        <f>SUM(D120:D124)</f>
      </c>
      <c r="E125" s="397">
        <f>SUM(E120:E124)</f>
      </c>
      <c r="F125" s="397">
        <f>SUM(F120:F124)</f>
      </c>
      <c r="G125" s="397">
        <f>SUM(G120:G124)</f>
      </c>
      <c r="H125" s="397">
        <f>SUM(H120:H124)</f>
      </c>
      <c r="I125" s="397">
        <f>SUM(I120:I124)</f>
      </c>
      <c r="J125" s="397">
        <f>SUM(J120:J124)</f>
      </c>
      <c r="K125" s="397">
        <f>SUM(K120:K124)</f>
      </c>
      <c r="L125" s="398">
        <f t="shared" si="2"/>
      </c>
      <c r="M125" s="398">
        <f t="shared" si="0"/>
      </c>
      <c r="N125" s="398">
        <f t="shared" ref="N125:N129" si="24">K125/F125</f>
      </c>
      <c r="O125" s="399"/>
      <c r="P125" s="397">
        <f>P120+P121+P122+P124</f>
      </c>
      <c r="Q125" s="399"/>
    </row>
    <row r="126">
      <c r="A126" s="403">
        <v>46164</v>
      </c>
      <c r="B126" s="386" t="s">
        <v>324</v>
      </c>
      <c r="C126" s="405" t="s">
        <v>348</v>
      </c>
      <c r="D126" s="385">
        <v>4</v>
      </c>
      <c r="E126" s="386">
        <v>20</v>
      </c>
      <c r="F126" s="387">
        <v>11</v>
      </c>
      <c r="G126" s="383">
        <v>7</v>
      </c>
      <c r="H126" s="383">
        <v>8</v>
      </c>
      <c r="I126" s="383">
        <v>2</v>
      </c>
      <c r="J126" s="388">
        <v>7270.8</v>
      </c>
      <c r="K126" s="383">
        <v>13097.37</v>
      </c>
      <c r="L126" s="389">
        <f t="shared" si="2"/>
      </c>
      <c r="M126" s="389">
        <f t="shared" si="0"/>
      </c>
      <c r="N126" s="389">
        <f t="shared" si="24"/>
      </c>
      <c r="O126" s="385" t="s">
        <v>349</v>
      </c>
      <c r="P126" s="383">
        <v>9</v>
      </c>
      <c r="Q126" s="391"/>
    </row>
    <row r="127">
      <c r="A127" s="403">
        <v>46164</v>
      </c>
      <c r="B127" s="407" t="s">
        <v>327</v>
      </c>
      <c r="C127" s="405" t="s">
        <v>363</v>
      </c>
      <c r="D127" s="383">
        <v>4</v>
      </c>
      <c r="E127" s="383">
        <v>32</v>
      </c>
      <c r="F127" s="383">
        <v>27</v>
      </c>
      <c r="G127" s="383">
        <v>20</v>
      </c>
      <c r="H127" s="383">
        <v>21</v>
      </c>
      <c r="I127" s="383">
        <v>1</v>
      </c>
      <c r="J127" s="388">
        <v>24250.64</v>
      </c>
      <c r="K127" s="388">
        <v>16324.18</v>
      </c>
      <c r="L127" s="389">
        <f t="shared" si="2"/>
      </c>
      <c r="M127" s="389">
        <f t="shared" si="0"/>
      </c>
      <c r="N127" s="389">
        <f t="shared" si="24"/>
      </c>
      <c r="O127" s="393"/>
      <c r="P127" s="393"/>
      <c r="Q127" s="394"/>
    </row>
    <row r="128">
      <c r="A128" s="403">
        <v>46164</v>
      </c>
      <c r="B128" s="406" t="s">
        <v>333</v>
      </c>
      <c r="C128" s="384" t="s">
        <v>365</v>
      </c>
      <c r="D128" s="383">
        <v>1</v>
      </c>
      <c r="E128" s="383">
        <v>2</v>
      </c>
      <c r="F128" s="383">
        <v>1</v>
      </c>
      <c r="G128" s="383">
        <v>0</v>
      </c>
      <c r="H128" s="383">
        <v>1</v>
      </c>
      <c r="I128" s="383">
        <v>0</v>
      </c>
      <c r="J128" s="388">
        <v>513.5999999999985</v>
      </c>
      <c r="K128" s="388">
        <v>2125.58</v>
      </c>
      <c r="L128" s="389">
        <f t="shared" si="2"/>
      </c>
      <c r="M128" s="389">
        <f t="shared" si="0"/>
      </c>
      <c r="N128" s="389">
        <f t="shared" si="24"/>
      </c>
      <c r="O128" s="395"/>
      <c r="P128" s="390"/>
      <c r="Q128" s="394"/>
    </row>
    <row r="129">
      <c r="A129" s="403">
        <v>46164</v>
      </c>
      <c r="B129" s="408" t="s">
        <v>336</v>
      </c>
      <c r="C129" s="384" t="s">
        <v>332</v>
      </c>
      <c r="D129" s="383">
        <v>5</v>
      </c>
      <c r="E129" s="383">
        <v>19</v>
      </c>
      <c r="F129" s="383">
        <v>12</v>
      </c>
      <c r="G129" s="383">
        <v>8</v>
      </c>
      <c r="H129" s="383">
        <v>7</v>
      </c>
      <c r="I129" s="383">
        <v>0</v>
      </c>
      <c r="J129" s="388">
        <v>10230.199999999999</v>
      </c>
      <c r="K129" s="388">
        <v>9903.77</v>
      </c>
      <c r="L129" s="389">
        <f t="shared" si="2"/>
      </c>
      <c r="M129" s="389">
        <f t="shared" si="0"/>
      </c>
      <c r="N129" s="389">
        <f t="shared" si="24"/>
      </c>
      <c r="O129" s="395"/>
      <c r="P129" s="390"/>
      <c r="Q129" s="394"/>
    </row>
    <row r="130">
      <c r="A130" s="403">
        <v>46164</v>
      </c>
      <c r="B130" s="408" t="s">
        <v>331</v>
      </c>
      <c r="C130" s="384" t="s">
        <v>334</v>
      </c>
      <c r="D130" s="383">
        <v>5</v>
      </c>
      <c r="E130" s="383">
        <v>52</v>
      </c>
      <c r="F130" s="383">
        <v>44</v>
      </c>
      <c r="G130" s="383">
        <v>28</v>
      </c>
      <c r="H130" s="383">
        <v>22</v>
      </c>
      <c r="I130" s="383">
        <v>7</v>
      </c>
      <c r="J130" s="388">
        <v>57474.49999999998</v>
      </c>
      <c r="K130" s="388">
        <v>13620.98</v>
      </c>
      <c r="L130" s="389">
        <f t="shared" si="2"/>
      </c>
      <c r="M130" s="389">
        <f t="shared" si="0"/>
      </c>
      <c r="N130" s="389">
        <f>K130/H130</f>
      </c>
      <c r="O130" s="385" t="s">
        <v>360</v>
      </c>
      <c r="P130" s="383">
        <v>10</v>
      </c>
      <c r="Q130" s="393"/>
    </row>
    <row r="131">
      <c r="A131" s="396">
        <v>46164</v>
      </c>
      <c r="B131" s="397"/>
      <c r="C131" s="397"/>
      <c r="D131" s="397">
        <f>SUM(D126:D130)</f>
      </c>
      <c r="E131" s="397">
        <f>SUM(E126:E130)</f>
      </c>
      <c r="F131" s="397">
        <f>SUM(F126:F130)</f>
      </c>
      <c r="G131" s="397">
        <f>SUM(G126:G130)</f>
      </c>
      <c r="H131" s="397">
        <f>SUM(H126:H130)</f>
      </c>
      <c r="I131" s="397">
        <f>SUM(I126:I130)</f>
      </c>
      <c r="J131" s="397">
        <f>SUM(J126:J130)</f>
      </c>
      <c r="K131" s="397">
        <f>SUM(K126:K130)</f>
      </c>
      <c r="L131" s="398">
        <f t="shared" si="2"/>
      </c>
      <c r="M131" s="398">
        <f t="shared" si="0"/>
      </c>
      <c r="N131" s="398">
        <f t="shared" ref="N131:N134" si="25">K131/F131</f>
      </c>
      <c r="O131" s="399"/>
      <c r="P131" s="397">
        <f>P126+P127+P128+P130</f>
      </c>
      <c r="Q131" s="399"/>
    </row>
    <row r="132">
      <c r="A132" s="403">
        <v>46165</v>
      </c>
      <c r="B132" s="386" t="s">
        <v>336</v>
      </c>
      <c r="C132" s="405" t="s">
        <v>325</v>
      </c>
      <c r="D132" s="385">
        <v>5</v>
      </c>
      <c r="E132" s="386">
        <v>89</v>
      </c>
      <c r="F132" s="387">
        <v>65</v>
      </c>
      <c r="G132" s="383">
        <v>50</v>
      </c>
      <c r="H132" s="383">
        <v>43</v>
      </c>
      <c r="I132" s="383">
        <v>7</v>
      </c>
      <c r="J132" s="388">
        <v>55546.100000000006</v>
      </c>
      <c r="K132" s="383">
        <v>31890.65</v>
      </c>
      <c r="L132" s="389">
        <f t="shared" si="2"/>
      </c>
      <c r="M132" s="389">
        <f t="shared" si="0"/>
      </c>
      <c r="N132" s="389">
        <f t="shared" si="25"/>
      </c>
      <c r="O132" s="385" t="s">
        <v>357</v>
      </c>
      <c r="P132" s="383">
        <v>10</v>
      </c>
      <c r="Q132" s="391"/>
    </row>
    <row r="133">
      <c r="A133" s="403">
        <v>46165</v>
      </c>
      <c r="B133" s="407" t="s">
        <v>327</v>
      </c>
      <c r="C133" s="405" t="s">
        <v>337</v>
      </c>
      <c r="D133" s="383">
        <v>5</v>
      </c>
      <c r="E133" s="383">
        <v>62</v>
      </c>
      <c r="F133" s="383">
        <v>47</v>
      </c>
      <c r="G133" s="383">
        <v>36</v>
      </c>
      <c r="H133" s="383">
        <v>32</v>
      </c>
      <c r="I133" s="383">
        <v>4</v>
      </c>
      <c r="J133" s="388">
        <v>36283</v>
      </c>
      <c r="K133" s="388">
        <v>26631.39</v>
      </c>
      <c r="L133" s="389">
        <f t="shared" si="2"/>
      </c>
      <c r="M133" s="389">
        <f t="shared" si="0"/>
      </c>
      <c r="N133" s="389">
        <f t="shared" si="25"/>
      </c>
      <c r="O133" s="393"/>
      <c r="P133" s="393"/>
      <c r="Q133" s="394"/>
    </row>
    <row r="134">
      <c r="A134" s="403">
        <v>46165</v>
      </c>
      <c r="B134" s="408" t="s">
        <v>331</v>
      </c>
      <c r="C134" s="384" t="s">
        <v>332</v>
      </c>
      <c r="D134" s="383">
        <v>5</v>
      </c>
      <c r="E134" s="383">
        <v>64</v>
      </c>
      <c r="F134" s="383">
        <v>51</v>
      </c>
      <c r="G134" s="383">
        <v>41</v>
      </c>
      <c r="H134" s="383">
        <v>31</v>
      </c>
      <c r="I134" s="383">
        <v>1</v>
      </c>
      <c r="J134" s="388">
        <v>46467.700000000004</v>
      </c>
      <c r="K134" s="388">
        <v>30403.649999999998</v>
      </c>
      <c r="L134" s="389">
        <f t="shared" si="2"/>
      </c>
      <c r="M134" s="389">
        <f t="shared" si="0"/>
      </c>
      <c r="N134" s="389">
        <f t="shared" si="25"/>
      </c>
      <c r="O134" s="395"/>
      <c r="P134" s="390"/>
      <c r="Q134" s="394"/>
    </row>
    <row r="135">
      <c r="A135" s="403">
        <v>46165</v>
      </c>
      <c r="B135" s="408" t="s">
        <v>338</v>
      </c>
      <c r="C135" s="384" t="s">
        <v>334</v>
      </c>
      <c r="D135" s="383">
        <v>5</v>
      </c>
      <c r="E135" s="383">
        <v>81</v>
      </c>
      <c r="F135" s="383">
        <v>59</v>
      </c>
      <c r="G135" s="383">
        <v>49</v>
      </c>
      <c r="H135" s="383">
        <v>44</v>
      </c>
      <c r="I135" s="383">
        <v>6</v>
      </c>
      <c r="J135" s="388">
        <v>45667.000000000015</v>
      </c>
      <c r="K135" s="388">
        <v>28587.029999999995</v>
      </c>
      <c r="L135" s="389">
        <f t="shared" si="2"/>
      </c>
      <c r="M135" s="389">
        <f t="shared" si="0"/>
      </c>
      <c r="N135" s="389">
        <f>K135/H135</f>
      </c>
      <c r="O135" s="385" t="s">
        <v>342</v>
      </c>
      <c r="P135" s="383">
        <v>10</v>
      </c>
      <c r="Q135" s="393"/>
    </row>
    <row r="136">
      <c r="A136" s="396">
        <v>46165</v>
      </c>
      <c r="B136" s="397"/>
      <c r="C136" s="397"/>
      <c r="D136" s="397">
        <f>SUM(D132:D135)</f>
      </c>
      <c r="E136" s="397">
        <f>SUM(E132:E135)</f>
      </c>
      <c r="F136" s="397">
        <f>SUM(F132:F135)</f>
      </c>
      <c r="G136" s="397">
        <f>SUM(G132:G135)</f>
      </c>
      <c r="H136" s="397">
        <f>SUM(H132:H135)</f>
      </c>
      <c r="I136" s="397">
        <f>SUM(I132:I135)</f>
      </c>
      <c r="J136" s="397">
        <f>SUM(J132:J135)</f>
      </c>
      <c r="K136" s="397">
        <f>SUM(K132:K135)</f>
      </c>
      <c r="L136" s="398">
        <f t="shared" si="2"/>
      </c>
      <c r="M136" s="398">
        <f t="shared" si="0"/>
      </c>
      <c r="N136" s="398">
        <f t="shared" ref="N136:N140" si="26">K136/F136</f>
      </c>
      <c r="O136" s="399"/>
      <c r="P136" s="397">
        <f>P132+P133+P134+P135</f>
      </c>
      <c r="Q136" s="399"/>
    </row>
    <row r="137">
      <c r="A137" s="403">
        <v>46166</v>
      </c>
      <c r="B137" s="383" t="s">
        <v>336</v>
      </c>
      <c r="C137" s="405" t="s">
        <v>325</v>
      </c>
      <c r="D137" s="385">
        <v>5</v>
      </c>
      <c r="E137" s="386">
        <v>51</v>
      </c>
      <c r="F137" s="387">
        <v>40</v>
      </c>
      <c r="G137" s="383">
        <v>27</v>
      </c>
      <c r="H137" s="383">
        <v>19</v>
      </c>
      <c r="I137" s="383">
        <v>6</v>
      </c>
      <c r="J137" s="388">
        <v>42650</v>
      </c>
      <c r="K137" s="383">
        <v>24212.32</v>
      </c>
      <c r="L137" s="389">
        <f t="shared" si="2"/>
      </c>
      <c r="M137" s="389">
        <f t="shared" si="0"/>
      </c>
      <c r="N137" s="389">
        <f t="shared" si="26"/>
      </c>
      <c r="O137" s="385" t="s">
        <v>357</v>
      </c>
      <c r="P137" s="383">
        <v>10</v>
      </c>
      <c r="Q137" s="391"/>
    </row>
    <row r="138">
      <c r="A138" s="403">
        <v>46166</v>
      </c>
      <c r="B138" s="407" t="s">
        <v>327</v>
      </c>
      <c r="C138" s="405" t="s">
        <v>352</v>
      </c>
      <c r="D138" s="383">
        <v>4</v>
      </c>
      <c r="E138" s="383">
        <v>18</v>
      </c>
      <c r="F138" s="383">
        <v>13</v>
      </c>
      <c r="G138" s="383">
        <v>9</v>
      </c>
      <c r="H138" s="383">
        <v>8</v>
      </c>
      <c r="I138" s="383">
        <v>1</v>
      </c>
      <c r="J138" s="388">
        <v>11134.999999999998</v>
      </c>
      <c r="K138" s="388">
        <v>9545.46</v>
      </c>
      <c r="L138" s="389">
        <f t="shared" si="2"/>
      </c>
      <c r="M138" s="389">
        <f t="shared" si="0"/>
      </c>
      <c r="N138" s="389">
        <f t="shared" si="26"/>
      </c>
      <c r="O138" s="393"/>
      <c r="P138" s="393"/>
      <c r="Q138" s="394"/>
    </row>
    <row r="139">
      <c r="A139" s="403">
        <v>46166</v>
      </c>
      <c r="B139" s="409" t="s">
        <v>324</v>
      </c>
      <c r="C139" s="384" t="s">
        <v>358</v>
      </c>
      <c r="D139" s="383">
        <v>4</v>
      </c>
      <c r="E139" s="383">
        <v>16</v>
      </c>
      <c r="F139" s="383">
        <v>12</v>
      </c>
      <c r="G139" s="383">
        <v>9</v>
      </c>
      <c r="H139" s="383">
        <v>9</v>
      </c>
      <c r="I139" s="383">
        <v>1</v>
      </c>
      <c r="J139" s="388">
        <v>8197.400000000005</v>
      </c>
      <c r="K139" s="388">
        <v>10065.76</v>
      </c>
      <c r="L139" s="389">
        <f t="shared" si="2"/>
      </c>
      <c r="M139" s="389">
        <f t="shared" si="0"/>
      </c>
      <c r="N139" s="389">
        <f t="shared" si="26"/>
      </c>
      <c r="O139" s="395"/>
      <c r="P139" s="390"/>
      <c r="Q139" s="394"/>
    </row>
    <row r="140">
      <c r="A140" s="403">
        <v>46166</v>
      </c>
      <c r="B140" s="408" t="s">
        <v>338</v>
      </c>
      <c r="C140" s="384" t="s">
        <v>359</v>
      </c>
      <c r="D140" s="383">
        <v>2</v>
      </c>
      <c r="E140" s="383">
        <v>8</v>
      </c>
      <c r="F140" s="383">
        <v>8</v>
      </c>
      <c r="G140" s="383">
        <v>8</v>
      </c>
      <c r="H140" s="383">
        <v>4</v>
      </c>
      <c r="I140" s="383">
        <v>0</v>
      </c>
      <c r="J140" s="388">
        <v>7678.100000000002</v>
      </c>
      <c r="K140" s="388">
        <v>3332.49</v>
      </c>
      <c r="L140" s="389">
        <f t="shared" si="2"/>
      </c>
      <c r="M140" s="389">
        <f t="shared" si="0"/>
      </c>
      <c r="N140" s="389">
        <f t="shared" si="26"/>
      </c>
      <c r="O140" s="395"/>
      <c r="P140" s="390"/>
      <c r="Q140" s="394"/>
    </row>
    <row r="141">
      <c r="A141" s="403">
        <v>46166</v>
      </c>
      <c r="B141" s="406" t="s">
        <v>333</v>
      </c>
      <c r="C141" s="384" t="s">
        <v>334</v>
      </c>
      <c r="D141" s="383">
        <v>5</v>
      </c>
      <c r="E141" s="383">
        <v>44</v>
      </c>
      <c r="F141" s="383">
        <v>37</v>
      </c>
      <c r="G141" s="383">
        <v>23</v>
      </c>
      <c r="H141" s="383">
        <v>13</v>
      </c>
      <c r="I141" s="383">
        <v>4</v>
      </c>
      <c r="J141" s="388">
        <v>34252.59999999999</v>
      </c>
      <c r="K141" s="388">
        <v>16519.15</v>
      </c>
      <c r="L141" s="389">
        <f t="shared" si="2"/>
      </c>
      <c r="M141" s="389">
        <f t="shared" si="0"/>
      </c>
      <c r="N141" s="389">
        <f>K141/H141</f>
      </c>
      <c r="O141" s="385" t="s">
        <v>342</v>
      </c>
      <c r="P141" s="383">
        <v>10</v>
      </c>
      <c r="Q141" s="393"/>
    </row>
    <row r="142">
      <c r="A142" s="396">
        <v>46166</v>
      </c>
      <c r="B142" s="397"/>
      <c r="C142" s="397"/>
      <c r="D142" s="397">
        <f>SUM(D137:D141)</f>
      </c>
      <c r="E142" s="397">
        <f>SUM(E137:E141)</f>
      </c>
      <c r="F142" s="397">
        <f>SUM(F137:F141)</f>
      </c>
      <c r="G142" s="397">
        <f>SUM(G137:G141)</f>
      </c>
      <c r="H142" s="397">
        <f>SUM(H137:H141)</f>
      </c>
      <c r="I142" s="397">
        <f>SUM(I137:I141)</f>
      </c>
      <c r="J142" s="397">
        <f>SUM(J137:J141)</f>
      </c>
      <c r="K142" s="397">
        <f>SUM(K137:K141)</f>
      </c>
      <c r="L142" s="398">
        <f t="shared" si="2"/>
      </c>
      <c r="M142" s="398">
        <f t="shared" si="0"/>
      </c>
      <c r="N142" s="398">
        <f t="shared" ref="N142:N146" si="27">K142/F142</f>
      </c>
      <c r="O142" s="399"/>
      <c r="P142" s="397">
        <f>P137+P138+P139+P141</f>
      </c>
      <c r="Q142" s="399"/>
    </row>
    <row r="143">
      <c r="A143" s="403">
        <v>46167</v>
      </c>
      <c r="B143" s="404" t="s">
        <v>324</v>
      </c>
      <c r="C143" s="405" t="s">
        <v>348</v>
      </c>
      <c r="D143" s="410">
        <v>3.5</v>
      </c>
      <c r="E143" s="386">
        <v>46</v>
      </c>
      <c r="F143" s="387">
        <v>36</v>
      </c>
      <c r="G143" s="383">
        <v>29</v>
      </c>
      <c r="H143" s="383">
        <v>22</v>
      </c>
      <c r="I143" s="383">
        <v>5</v>
      </c>
      <c r="J143" s="388">
        <v>30382.800000000003</v>
      </c>
      <c r="K143" s="383">
        <v>19564.34</v>
      </c>
      <c r="L143" s="389">
        <f t="shared" si="2"/>
      </c>
      <c r="M143" s="389">
        <f t="shared" si="0"/>
      </c>
      <c r="N143" s="389">
        <f t="shared" si="27"/>
      </c>
      <c r="O143" s="385" t="s">
        <v>357</v>
      </c>
      <c r="P143" s="383">
        <v>10</v>
      </c>
      <c r="Q143" s="391"/>
    </row>
    <row r="144">
      <c r="A144" s="403">
        <v>46167</v>
      </c>
      <c r="B144" s="406" t="s">
        <v>336</v>
      </c>
      <c r="C144" s="405" t="s">
        <v>350</v>
      </c>
      <c r="D144" s="383">
        <v>5</v>
      </c>
      <c r="E144" s="383">
        <v>93</v>
      </c>
      <c r="F144" s="383">
        <v>78</v>
      </c>
      <c r="G144" s="383">
        <v>55</v>
      </c>
      <c r="H144" s="383">
        <v>40</v>
      </c>
      <c r="I144" s="383">
        <v>7</v>
      </c>
      <c r="J144" s="388">
        <v>71140.50000000003</v>
      </c>
      <c r="K144" s="388">
        <v>38998.170000000006</v>
      </c>
      <c r="L144" s="389">
        <f t="shared" si="2"/>
      </c>
      <c r="M144" s="389">
        <f t="shared" si="0"/>
      </c>
      <c r="N144" s="389">
        <f t="shared" si="27"/>
      </c>
      <c r="O144" s="393"/>
      <c r="P144" s="393"/>
      <c r="Q144" s="394"/>
    </row>
    <row r="145">
      <c r="A145" s="403">
        <v>46167</v>
      </c>
      <c r="B145" s="407" t="s">
        <v>327</v>
      </c>
      <c r="C145" s="384" t="s">
        <v>358</v>
      </c>
      <c r="D145" s="383">
        <v>4</v>
      </c>
      <c r="E145" s="383">
        <v>52</v>
      </c>
      <c r="F145" s="383">
        <v>38</v>
      </c>
      <c r="G145" s="383">
        <v>30</v>
      </c>
      <c r="H145" s="383">
        <v>26</v>
      </c>
      <c r="I145" s="383">
        <v>4</v>
      </c>
      <c r="J145" s="388">
        <v>32709.40000000001</v>
      </c>
      <c r="K145" s="388">
        <v>23456.87</v>
      </c>
      <c r="L145" s="389">
        <f t="shared" si="2"/>
      </c>
      <c r="M145" s="389">
        <f t="shared" si="0"/>
      </c>
      <c r="N145" s="389">
        <f t="shared" si="27"/>
      </c>
      <c r="O145" s="395"/>
      <c r="P145" s="390"/>
      <c r="Q145" s="394"/>
    </row>
    <row r="146">
      <c r="A146" s="403">
        <v>46167</v>
      </c>
      <c r="B146" s="408" t="s">
        <v>338</v>
      </c>
      <c r="C146" s="384" t="s">
        <v>359</v>
      </c>
      <c r="D146" s="383">
        <v>2</v>
      </c>
      <c r="E146" s="383">
        <v>35</v>
      </c>
      <c r="F146" s="383">
        <v>29</v>
      </c>
      <c r="G146" s="383">
        <v>23</v>
      </c>
      <c r="H146" s="383">
        <v>18</v>
      </c>
      <c r="I146" s="383">
        <v>3</v>
      </c>
      <c r="J146" s="388">
        <v>37277.8</v>
      </c>
      <c r="K146" s="388">
        <v>10871.15</v>
      </c>
      <c r="L146" s="389">
        <f t="shared" si="2"/>
      </c>
      <c r="M146" s="389">
        <f t="shared" si="0"/>
      </c>
      <c r="N146" s="389">
        <f t="shared" si="27"/>
      </c>
      <c r="O146" s="395"/>
      <c r="P146" s="390"/>
      <c r="Q146" s="394"/>
    </row>
    <row r="147">
      <c r="A147" s="403">
        <v>46167</v>
      </c>
      <c r="B147" s="406" t="s">
        <v>333</v>
      </c>
      <c r="C147" s="384" t="s">
        <v>334</v>
      </c>
      <c r="D147" s="383">
        <v>5</v>
      </c>
      <c r="E147" s="383">
        <v>43</v>
      </c>
      <c r="F147" s="383">
        <v>31</v>
      </c>
      <c r="G147" s="383">
        <v>24</v>
      </c>
      <c r="H147" s="383">
        <v>18</v>
      </c>
      <c r="I147" s="383">
        <v>2</v>
      </c>
      <c r="J147" s="388">
        <v>32606.800000000003</v>
      </c>
      <c r="K147" s="388">
        <v>22017.629999999997</v>
      </c>
      <c r="L147" s="389">
        <f t="shared" si="2"/>
      </c>
      <c r="M147" s="389">
        <f t="shared" si="0"/>
      </c>
      <c r="N147" s="389">
        <f>K147/H147</f>
      </c>
      <c r="O147" s="385" t="s">
        <v>360</v>
      </c>
      <c r="P147" s="383">
        <v>10</v>
      </c>
      <c r="Q147" s="393"/>
    </row>
    <row r="148">
      <c r="A148" s="396">
        <v>46167</v>
      </c>
      <c r="B148" s="397"/>
      <c r="C148" s="397"/>
      <c r="D148" s="397">
        <f>SUM(D143:D147)</f>
      </c>
      <c r="E148" s="397">
        <f>SUM(E143:E147)</f>
      </c>
      <c r="F148" s="397">
        <f>SUM(F143:F147)</f>
      </c>
      <c r="G148" s="397">
        <f>SUM(G143:G147)</f>
      </c>
      <c r="H148" s="397">
        <f>SUM(H143:H147)</f>
      </c>
      <c r="I148" s="397">
        <f>SUM(I143:I147)</f>
      </c>
      <c r="J148" s="397">
        <f>SUM(J143:J147)</f>
      </c>
      <c r="K148" s="397">
        <f>SUM(K143:K147)</f>
      </c>
      <c r="L148" s="398">
        <f t="shared" si="2"/>
      </c>
      <c r="M148" s="398">
        <f t="shared" si="0"/>
      </c>
      <c r="N148" s="398">
        <f t="shared" ref="N148:N151" si="28">K148/F148</f>
      </c>
      <c r="O148" s="399"/>
      <c r="P148" s="397">
        <f>P143+P144+P145+P147</f>
      </c>
      <c r="Q148" s="399"/>
    </row>
    <row r="149">
      <c r="A149" s="403">
        <v>46168</v>
      </c>
      <c r="B149" s="386" t="s">
        <v>336</v>
      </c>
      <c r="C149" s="405" t="s">
        <v>325</v>
      </c>
      <c r="D149" s="385">
        <v>5</v>
      </c>
      <c r="E149" s="386">
        <v>53</v>
      </c>
      <c r="F149" s="387">
        <v>47</v>
      </c>
      <c r="G149" s="383">
        <v>31</v>
      </c>
      <c r="H149" s="383">
        <v>28</v>
      </c>
      <c r="I149" s="383">
        <v>5</v>
      </c>
      <c r="J149" s="388">
        <v>40976.4</v>
      </c>
      <c r="K149" s="383">
        <v>24309.63</v>
      </c>
      <c r="L149" s="389">
        <f t="shared" si="2"/>
      </c>
      <c r="M149" s="389">
        <f t="shared" si="0"/>
      </c>
      <c r="N149" s="389">
        <f t="shared" si="28"/>
      </c>
      <c r="O149" s="385" t="s">
        <v>357</v>
      </c>
      <c r="P149" s="383">
        <v>10</v>
      </c>
      <c r="Q149" s="391"/>
    </row>
    <row r="150">
      <c r="A150" s="403">
        <v>46168</v>
      </c>
      <c r="B150" s="408" t="s">
        <v>331</v>
      </c>
      <c r="C150" s="405" t="s">
        <v>366</v>
      </c>
      <c r="D150" s="383">
        <v>5.5</v>
      </c>
      <c r="E150" s="383">
        <v>45</v>
      </c>
      <c r="F150" s="383">
        <v>32</v>
      </c>
      <c r="G150" s="383">
        <v>21</v>
      </c>
      <c r="H150" s="383">
        <v>18</v>
      </c>
      <c r="I150" s="383">
        <v>2</v>
      </c>
      <c r="J150" s="388">
        <v>32897.200000000004</v>
      </c>
      <c r="K150" s="388">
        <v>19573.32</v>
      </c>
      <c r="L150" s="389">
        <f t="shared" si="2"/>
      </c>
      <c r="M150" s="389">
        <f t="shared" si="0"/>
      </c>
      <c r="N150" s="389">
        <f t="shared" si="28"/>
      </c>
      <c r="O150" s="393"/>
      <c r="P150" s="393"/>
      <c r="Q150" s="394"/>
    </row>
    <row r="151">
      <c r="A151" s="403">
        <v>46168</v>
      </c>
      <c r="B151" s="408" t="s">
        <v>338</v>
      </c>
      <c r="C151" s="384" t="s">
        <v>367</v>
      </c>
      <c r="D151" s="383">
        <v>4.5</v>
      </c>
      <c r="E151" s="383">
        <v>49</v>
      </c>
      <c r="F151" s="383">
        <v>44</v>
      </c>
      <c r="G151" s="383">
        <v>29</v>
      </c>
      <c r="H151" s="383">
        <v>23</v>
      </c>
      <c r="I151" s="383">
        <v>7</v>
      </c>
      <c r="J151" s="388">
        <v>43494</v>
      </c>
      <c r="K151" s="388">
        <v>14437.87</v>
      </c>
      <c r="L151" s="389">
        <f t="shared" si="2"/>
      </c>
      <c r="M151" s="389">
        <f t="shared" si="0"/>
      </c>
      <c r="N151" s="389">
        <f t="shared" si="28"/>
      </c>
      <c r="O151" s="395"/>
      <c r="P151" s="390"/>
      <c r="Q151" s="394"/>
    </row>
    <row r="152">
      <c r="A152" s="403">
        <v>46168</v>
      </c>
      <c r="B152" s="408" t="s">
        <v>333</v>
      </c>
      <c r="C152" s="384" t="s">
        <v>334</v>
      </c>
      <c r="D152" s="383">
        <v>5</v>
      </c>
      <c r="E152" s="383">
        <v>38</v>
      </c>
      <c r="F152" s="383">
        <v>30</v>
      </c>
      <c r="G152" s="383">
        <v>27</v>
      </c>
      <c r="H152" s="383">
        <v>14</v>
      </c>
      <c r="I152" s="383">
        <v>1</v>
      </c>
      <c r="J152" s="388">
        <v>29707.199999999997</v>
      </c>
      <c r="K152" s="388">
        <v>16992.690000000002</v>
      </c>
      <c r="L152" s="389">
        <f t="shared" si="2"/>
      </c>
      <c r="M152" s="389">
        <f t="shared" si="0"/>
      </c>
      <c r="N152" s="389">
        <f>K152/H152</f>
      </c>
      <c r="O152" s="385" t="s">
        <v>360</v>
      </c>
      <c r="P152" s="383">
        <v>10</v>
      </c>
      <c r="Q152" s="393"/>
    </row>
    <row r="153">
      <c r="A153" s="396">
        <v>46168</v>
      </c>
      <c r="B153" s="397"/>
      <c r="C153" s="397"/>
      <c r="D153" s="397">
        <f>SUM(D149:D152)</f>
      </c>
      <c r="E153" s="397">
        <f>SUM(E149:E152)</f>
      </c>
      <c r="F153" s="397">
        <f>SUM(F149:F152)</f>
      </c>
      <c r="G153" s="397">
        <f>SUM(G149:G152)</f>
      </c>
      <c r="H153" s="397">
        <f>SUM(H149:H152)</f>
      </c>
      <c r="I153" s="397">
        <f>SUM(I149:I152)</f>
      </c>
      <c r="J153" s="397">
        <f>SUM(J149:J152)</f>
      </c>
      <c r="K153" s="397">
        <f>SUM(K149:K152)</f>
      </c>
      <c r="L153" s="398">
        <f t="shared" si="2"/>
      </c>
      <c r="M153" s="398">
        <f t="shared" si="0"/>
      </c>
      <c r="N153" s="398">
        <f t="shared" ref="N153:N157" si="29">K153/F153</f>
      </c>
      <c r="O153" s="399"/>
      <c r="P153" s="397">
        <f>P149+P150+P151+P152</f>
      </c>
      <c r="Q153" s="399"/>
    </row>
    <row r="154">
      <c r="A154" s="403">
        <v>46169</v>
      </c>
      <c r="B154" s="386" t="s">
        <v>336</v>
      </c>
      <c r="C154" s="405" t="s">
        <v>325</v>
      </c>
      <c r="D154" s="385">
        <v>5</v>
      </c>
      <c r="E154" s="386">
        <v>63</v>
      </c>
      <c r="F154" s="387">
        <v>45</v>
      </c>
      <c r="G154" s="383">
        <v>36</v>
      </c>
      <c r="H154" s="383">
        <v>30</v>
      </c>
      <c r="I154" s="383">
        <v>4</v>
      </c>
      <c r="J154" s="388">
        <v>40921.8</v>
      </c>
      <c r="K154" s="383">
        <v>27683.73</v>
      </c>
      <c r="L154" s="389">
        <f t="shared" si="2"/>
      </c>
      <c r="M154" s="389">
        <f t="shared" si="0"/>
      </c>
      <c r="N154" s="389">
        <f t="shared" si="29"/>
      </c>
      <c r="O154" s="385" t="s">
        <v>349</v>
      </c>
      <c r="P154" s="383">
        <v>10</v>
      </c>
      <c r="Q154" s="391"/>
    </row>
    <row r="155">
      <c r="A155" s="403">
        <v>46169</v>
      </c>
      <c r="B155" s="408" t="s">
        <v>331</v>
      </c>
      <c r="C155" s="405" t="s">
        <v>337</v>
      </c>
      <c r="D155" s="383">
        <v>5</v>
      </c>
      <c r="E155" s="383">
        <v>57</v>
      </c>
      <c r="F155" s="383">
        <v>50</v>
      </c>
      <c r="G155" s="383">
        <v>33</v>
      </c>
      <c r="H155" s="383">
        <v>27</v>
      </c>
      <c r="I155" s="383">
        <v>4</v>
      </c>
      <c r="J155" s="388">
        <v>50819.4</v>
      </c>
      <c r="K155" s="388">
        <v>21653.2</v>
      </c>
      <c r="L155" s="389">
        <f t="shared" si="2"/>
      </c>
      <c r="M155" s="389">
        <f t="shared" si="0"/>
      </c>
      <c r="N155" s="389">
        <f t="shared" si="29"/>
      </c>
      <c r="O155" s="393"/>
      <c r="P155" s="393"/>
      <c r="Q155" s="394"/>
    </row>
    <row customHeight="true" ht="16.071428571428573" r="156">
      <c r="A156" s="403">
        <v>46169</v>
      </c>
      <c r="B156" s="408" t="s">
        <v>368</v>
      </c>
      <c r="C156" s="384" t="s">
        <v>339</v>
      </c>
      <c r="D156" s="383">
        <v>2</v>
      </c>
      <c r="E156" s="383">
        <v>21</v>
      </c>
      <c r="F156" s="383">
        <v>17</v>
      </c>
      <c r="G156" s="383">
        <v>14</v>
      </c>
      <c r="H156" s="383">
        <v>11</v>
      </c>
      <c r="I156" s="383">
        <v>1</v>
      </c>
      <c r="J156" s="388">
        <v>10329.599999999999</v>
      </c>
      <c r="K156" s="388">
        <v>10804.35</v>
      </c>
      <c r="L156" s="389">
        <f t="shared" si="2"/>
      </c>
      <c r="M156" s="389">
        <f t="shared" si="0"/>
      </c>
      <c r="N156" s="389">
        <f t="shared" si="29"/>
      </c>
      <c r="O156" s="395"/>
      <c r="P156" s="390"/>
      <c r="Q156" s="394"/>
    </row>
    <row r="157">
      <c r="A157" s="403">
        <v>46169</v>
      </c>
      <c r="B157" s="408" t="s">
        <v>338</v>
      </c>
      <c r="C157" s="384" t="s">
        <v>361</v>
      </c>
      <c r="D157" s="383">
        <v>3</v>
      </c>
      <c r="E157" s="383">
        <v>25</v>
      </c>
      <c r="F157" s="383">
        <v>17</v>
      </c>
      <c r="G157" s="383">
        <v>11</v>
      </c>
      <c r="H157" s="383">
        <v>15</v>
      </c>
      <c r="I157" s="383">
        <v>1</v>
      </c>
      <c r="J157" s="388">
        <v>12562.399999999994</v>
      </c>
      <c r="K157" s="388">
        <v>8717.27</v>
      </c>
      <c r="L157" s="389">
        <f t="shared" si="2"/>
      </c>
      <c r="M157" s="389">
        <f t="shared" si="0"/>
      </c>
      <c r="N157" s="389">
        <f t="shared" si="29"/>
      </c>
      <c r="O157" s="395"/>
      <c r="P157" s="390"/>
      <c r="Q157" s="394"/>
    </row>
    <row r="158">
      <c r="A158" s="403">
        <v>46169</v>
      </c>
      <c r="B158" s="408" t="s">
        <v>333</v>
      </c>
      <c r="C158" s="384" t="s">
        <v>334</v>
      </c>
      <c r="D158" s="383">
        <v>5</v>
      </c>
      <c r="E158" s="383">
        <v>40</v>
      </c>
      <c r="F158" s="383">
        <v>36</v>
      </c>
      <c r="G158" s="383">
        <v>25</v>
      </c>
      <c r="H158" s="383">
        <v>22</v>
      </c>
      <c r="I158" s="383">
        <v>4</v>
      </c>
      <c r="J158" s="388">
        <v>39671.799999999996</v>
      </c>
      <c r="K158" s="388">
        <v>17686.31</v>
      </c>
      <c r="L158" s="389">
        <f t="shared" si="2"/>
      </c>
      <c r="M158" s="389">
        <f t="shared" si="0"/>
      </c>
      <c r="N158" s="389">
        <f>K158/H158</f>
      </c>
      <c r="O158" s="385" t="s">
        <v>360</v>
      </c>
      <c r="P158" s="383">
        <v>10</v>
      </c>
      <c r="Q158" s="393"/>
    </row>
    <row r="159">
      <c r="A159" s="396">
        <v>46169</v>
      </c>
      <c r="B159" s="397"/>
      <c r="C159" s="397"/>
      <c r="D159" s="397">
        <f>SUM(D154:D158)</f>
      </c>
      <c r="E159" s="397">
        <f>SUM(E154:E158)</f>
      </c>
      <c r="F159" s="397">
        <f>SUM(F154:F158)</f>
      </c>
      <c r="G159" s="397">
        <f>SUM(G154:G158)</f>
      </c>
      <c r="H159" s="397">
        <f>SUM(H154:H158)</f>
      </c>
      <c r="I159" s="397">
        <f>SUM(I154:I158)</f>
      </c>
      <c r="J159" s="397">
        <f>SUM(J154:J158)</f>
      </c>
      <c r="K159" s="397">
        <f>SUM(K154:K158)</f>
      </c>
      <c r="L159" s="398">
        <f t="shared" si="2"/>
      </c>
      <c r="M159" s="398">
        <f t="shared" si="0"/>
      </c>
      <c r="N159" s="398">
        <f t="shared" ref="N159:N162" si="30">K159/F159</f>
      </c>
      <c r="O159" s="399"/>
      <c r="P159" s="397">
        <f>P154+P155+P157+P158</f>
      </c>
      <c r="Q159" s="399"/>
    </row>
    <row r="160">
      <c r="A160" s="403">
        <v>46170</v>
      </c>
      <c r="B160" s="386" t="s">
        <v>336</v>
      </c>
      <c r="C160" s="405" t="s">
        <v>325</v>
      </c>
      <c r="D160" s="385">
        <v>5</v>
      </c>
      <c r="E160" s="386">
        <v>63</v>
      </c>
      <c r="F160" s="387">
        <v>45</v>
      </c>
      <c r="G160" s="383">
        <v>25</v>
      </c>
      <c r="H160" s="383">
        <v>25</v>
      </c>
      <c r="I160" s="383">
        <v>4</v>
      </c>
      <c r="J160" s="388">
        <v>44071.2</v>
      </c>
      <c r="K160" s="383">
        <v>20516.489999999998</v>
      </c>
      <c r="L160" s="389">
        <f t="shared" si="2"/>
      </c>
      <c r="M160" s="389">
        <f t="shared" si="0"/>
      </c>
      <c r="N160" s="389">
        <f t="shared" si="30"/>
      </c>
      <c r="O160" s="385" t="s">
        <v>357</v>
      </c>
      <c r="P160" s="383">
        <v>10</v>
      </c>
      <c r="Q160" s="391"/>
    </row>
    <row r="161">
      <c r="A161" s="403">
        <v>46170</v>
      </c>
      <c r="B161" s="408" t="s">
        <v>331</v>
      </c>
      <c r="C161" s="405" t="s">
        <v>337</v>
      </c>
      <c r="D161" s="383">
        <v>5</v>
      </c>
      <c r="E161" s="383">
        <v>72</v>
      </c>
      <c r="F161" s="383">
        <v>60</v>
      </c>
      <c r="G161" s="383">
        <v>44</v>
      </c>
      <c r="H161" s="383">
        <v>35</v>
      </c>
      <c r="I161" s="383">
        <v>3</v>
      </c>
      <c r="J161" s="388">
        <v>56352.20000000001</v>
      </c>
      <c r="K161" s="388">
        <v>25115.34</v>
      </c>
      <c r="L161" s="389">
        <f t="shared" si="2"/>
      </c>
      <c r="M161" s="389">
        <f t="shared" si="0"/>
      </c>
      <c r="N161" s="389">
        <f t="shared" si="30"/>
      </c>
      <c r="O161" s="393"/>
      <c r="P161" s="393"/>
      <c r="Q161" s="394"/>
    </row>
    <row r="162">
      <c r="A162" s="403">
        <v>46170</v>
      </c>
      <c r="B162" s="408" t="s">
        <v>368</v>
      </c>
      <c r="C162" s="384" t="s">
        <v>369</v>
      </c>
      <c r="D162" s="383">
        <v>4</v>
      </c>
      <c r="E162" s="383">
        <v>33</v>
      </c>
      <c r="F162" s="383">
        <v>25</v>
      </c>
      <c r="G162" s="383">
        <v>14</v>
      </c>
      <c r="H162" s="383">
        <v>21</v>
      </c>
      <c r="I162" s="383">
        <v>4</v>
      </c>
      <c r="J162" s="388">
        <v>15309.800000000003</v>
      </c>
      <c r="K162" s="388">
        <v>19482.44</v>
      </c>
      <c r="L162" s="389">
        <f t="shared" si="2"/>
      </c>
      <c r="M162" s="389">
        <f t="shared" si="0"/>
      </c>
      <c r="N162" s="389">
        <f t="shared" si="30"/>
      </c>
      <c r="O162" s="395"/>
      <c r="P162" s="390"/>
      <c r="Q162" s="394"/>
    </row>
    <row r="163">
      <c r="A163" s="403">
        <v>46170</v>
      </c>
      <c r="B163" s="408" t="s">
        <v>333</v>
      </c>
      <c r="C163" s="384" t="s">
        <v>370</v>
      </c>
      <c r="D163" s="383">
        <v>6</v>
      </c>
      <c r="E163" s="383">
        <v>31</v>
      </c>
      <c r="F163" s="383">
        <v>18</v>
      </c>
      <c r="G163" s="383">
        <v>16</v>
      </c>
      <c r="H163" s="383">
        <v>12</v>
      </c>
      <c r="I163" s="383">
        <v>1</v>
      </c>
      <c r="J163" s="388">
        <v>14533.199999999997</v>
      </c>
      <c r="K163" s="388">
        <v>12331.36</v>
      </c>
      <c r="L163" s="389">
        <f t="shared" si="2"/>
      </c>
      <c r="M163" s="389">
        <f t="shared" si="0"/>
      </c>
      <c r="N163" s="389">
        <f>K163/H163</f>
      </c>
      <c r="O163" s="385" t="s">
        <v>360</v>
      </c>
      <c r="P163" s="383">
        <v>10</v>
      </c>
      <c r="Q163" s="393"/>
    </row>
    <row r="164">
      <c r="A164" s="396">
        <v>46170</v>
      </c>
      <c r="B164" s="397"/>
      <c r="C164" s="397"/>
      <c r="D164" s="397">
        <f>SUM(D160:D163)</f>
      </c>
      <c r="E164" s="397">
        <f>SUM(E160:E163)</f>
      </c>
      <c r="F164" s="397">
        <f>SUM(F160:F163)</f>
      </c>
      <c r="G164" s="397">
        <f>SUM(G160:G163)</f>
      </c>
      <c r="H164" s="397">
        <f>SUM(H160:H163)</f>
      </c>
      <c r="I164" s="397">
        <f>SUM(I160:I163)</f>
      </c>
      <c r="J164" s="397">
        <f>SUM(J160:J163)</f>
      </c>
      <c r="K164" s="397">
        <f>SUM(K160:K163)</f>
      </c>
      <c r="L164" s="398">
        <f t="shared" si="2"/>
      </c>
      <c r="M164" s="398">
        <f t="shared" si="0"/>
      </c>
      <c r="N164" s="398">
        <f t="shared" ref="N164:N168" si="31">K164/F164</f>
      </c>
      <c r="O164" s="399"/>
      <c r="P164" s="397">
        <f>SUM(P160:P163)</f>
      </c>
      <c r="Q164" s="399"/>
    </row>
    <row r="165">
      <c r="A165" s="403">
        <v>46171</v>
      </c>
      <c r="B165" s="386" t="s">
        <v>336</v>
      </c>
      <c r="C165" s="405" t="s">
        <v>325</v>
      </c>
      <c r="D165" s="410">
        <v>4.5</v>
      </c>
      <c r="E165" s="386">
        <v>44</v>
      </c>
      <c r="F165" s="387">
        <v>38</v>
      </c>
      <c r="G165" s="383">
        <v>27</v>
      </c>
      <c r="H165" s="383">
        <v>27</v>
      </c>
      <c r="I165" s="383">
        <v>3</v>
      </c>
      <c r="J165" s="388">
        <v>31513.59999999999</v>
      </c>
      <c r="K165" s="383">
        <v>19749.7</v>
      </c>
      <c r="L165" s="389">
        <f t="shared" si="2"/>
      </c>
      <c r="M165" s="389">
        <f t="shared" si="0"/>
      </c>
      <c r="N165" s="389">
        <f t="shared" si="31"/>
      </c>
      <c r="O165" s="385" t="s">
        <v>357</v>
      </c>
      <c r="P165" s="383">
        <v>10</v>
      </c>
      <c r="Q165" s="391"/>
    </row>
    <row r="166">
      <c r="A166" s="403">
        <v>46171</v>
      </c>
      <c r="B166" s="408" t="s">
        <v>331</v>
      </c>
      <c r="C166" s="405" t="s">
        <v>352</v>
      </c>
      <c r="D166" s="383">
        <v>4</v>
      </c>
      <c r="E166" s="383">
        <v>45</v>
      </c>
      <c r="F166" s="383">
        <v>38</v>
      </c>
      <c r="G166" s="383">
        <v>29</v>
      </c>
      <c r="H166" s="383">
        <v>19</v>
      </c>
      <c r="I166" s="383">
        <v>3</v>
      </c>
      <c r="J166" s="388">
        <v>40831.2</v>
      </c>
      <c r="K166" s="388">
        <v>19525.63</v>
      </c>
      <c r="L166" s="389">
        <f t="shared" si="2"/>
      </c>
      <c r="M166" s="389">
        <f t="shared" si="0"/>
      </c>
      <c r="N166" s="389">
        <f t="shared" si="31"/>
      </c>
      <c r="O166" s="393"/>
      <c r="P166" s="393"/>
      <c r="Q166" s="394"/>
    </row>
    <row r="167">
      <c r="A167" s="403">
        <v>46171</v>
      </c>
      <c r="B167" s="408" t="s">
        <v>368</v>
      </c>
      <c r="C167" s="384" t="s">
        <v>351</v>
      </c>
      <c r="D167" s="383">
        <v>2</v>
      </c>
      <c r="E167" s="383">
        <v>6</v>
      </c>
      <c r="F167" s="383">
        <v>4</v>
      </c>
      <c r="G167" s="383">
        <v>8</v>
      </c>
      <c r="H167" s="383">
        <v>2</v>
      </c>
      <c r="I167" s="383">
        <v>1</v>
      </c>
      <c r="J167" s="388">
        <v>3742.7999999999956</v>
      </c>
      <c r="K167" s="388">
        <v>6714.16</v>
      </c>
      <c r="L167" s="389">
        <f t="shared" si="2"/>
      </c>
      <c r="M167" s="389">
        <f t="shared" si="0"/>
      </c>
      <c r="N167" s="389">
        <f t="shared" si="31"/>
      </c>
      <c r="O167" s="395"/>
      <c r="P167" s="390"/>
      <c r="Q167" s="394"/>
    </row>
    <row r="168">
      <c r="A168" s="403">
        <v>46171</v>
      </c>
      <c r="B168" s="408" t="s">
        <v>327</v>
      </c>
      <c r="C168" s="384" t="s">
        <v>356</v>
      </c>
      <c r="D168" s="383">
        <v>4</v>
      </c>
      <c r="E168" s="383">
        <v>12</v>
      </c>
      <c r="F168" s="383">
        <v>9</v>
      </c>
      <c r="G168" s="383">
        <v>6</v>
      </c>
      <c r="H168" s="383">
        <v>6</v>
      </c>
      <c r="I168" s="383">
        <v>1</v>
      </c>
      <c r="J168" s="388">
        <v>7512.360000000001</v>
      </c>
      <c r="K168" s="388">
        <v>7811.23</v>
      </c>
      <c r="L168" s="389">
        <f t="shared" si="2"/>
      </c>
      <c r="M168" s="389">
        <f t="shared" si="0"/>
      </c>
      <c r="N168" s="389">
        <f t="shared" si="31"/>
      </c>
      <c r="O168" s="395"/>
      <c r="P168" s="390"/>
      <c r="Q168" s="394"/>
    </row>
    <row r="169">
      <c r="A169" s="403">
        <v>46171</v>
      </c>
      <c r="B169" s="408" t="s">
        <v>333</v>
      </c>
      <c r="C169" s="384" t="s">
        <v>334</v>
      </c>
      <c r="D169" s="383">
        <v>5</v>
      </c>
      <c r="E169" s="383">
        <v>17</v>
      </c>
      <c r="F169" s="383">
        <v>16</v>
      </c>
      <c r="G169" s="383">
        <v>13</v>
      </c>
      <c r="H169" s="383">
        <v>10</v>
      </c>
      <c r="I169" s="383">
        <v>2</v>
      </c>
      <c r="J169" s="388">
        <v>13780.799999999996</v>
      </c>
      <c r="K169" s="388">
        <v>11034.779999999999</v>
      </c>
      <c r="L169" s="389">
        <f t="shared" si="2"/>
      </c>
      <c r="M169" s="389">
        <f t="shared" si="0"/>
      </c>
      <c r="N169" s="389">
        <f>K169/H169</f>
      </c>
      <c r="O169" s="385" t="s">
        <v>360</v>
      </c>
      <c r="P169" s="383">
        <v>10</v>
      </c>
      <c r="Q169" s="393"/>
    </row>
    <row r="170">
      <c r="A170" s="396">
        <v>46171</v>
      </c>
      <c r="B170" s="397"/>
      <c r="C170" s="397"/>
      <c r="D170" s="397">
        <f>SUM(D165:D169)</f>
      </c>
      <c r="E170" s="397">
        <f>SUM(E165:E169)</f>
      </c>
      <c r="F170" s="397">
        <f>SUM(F165:F169)</f>
      </c>
      <c r="G170" s="397">
        <f>SUM(G165:G169)</f>
      </c>
      <c r="H170" s="397">
        <f>SUM(H165:H169)</f>
      </c>
      <c r="I170" s="397">
        <f>SUM(I165:I169)</f>
      </c>
      <c r="J170" s="397">
        <f>SUM(J165:J169)</f>
      </c>
      <c r="K170" s="397">
        <f>SUM(K165:K169)</f>
      </c>
      <c r="L170" s="398">
        <f t="shared" si="2"/>
      </c>
      <c r="M170" s="398">
        <f t="shared" si="0"/>
      </c>
      <c r="N170" s="398">
        <f t="shared" ref="N170:N174" si="32">K170/F170</f>
      </c>
      <c r="O170" s="399"/>
      <c r="P170" s="397">
        <f>P165+P166+P168+P169</f>
      </c>
      <c r="Q170" s="399"/>
    </row>
    <row r="171">
      <c r="A171" s="403">
        <v>46172</v>
      </c>
      <c r="B171" s="408" t="s">
        <v>331</v>
      </c>
      <c r="C171" s="405" t="s">
        <v>325</v>
      </c>
      <c r="D171" s="385">
        <v>5</v>
      </c>
      <c r="E171" s="386">
        <v>37</v>
      </c>
      <c r="F171" s="387">
        <v>32</v>
      </c>
      <c r="G171" s="383">
        <v>21</v>
      </c>
      <c r="H171" s="383">
        <v>17</v>
      </c>
      <c r="I171" s="383">
        <v>4</v>
      </c>
      <c r="J171" s="388">
        <v>30333.200000000004</v>
      </c>
      <c r="K171" s="383">
        <v>17686.449999999997</v>
      </c>
      <c r="L171" s="389">
        <f t="shared" si="2"/>
      </c>
      <c r="M171" s="389">
        <f t="shared" si="0"/>
      </c>
      <c r="N171" s="389">
        <f t="shared" si="32"/>
      </c>
      <c r="O171" s="385" t="s">
        <v>357</v>
      </c>
      <c r="P171" s="383">
        <v>10</v>
      </c>
      <c r="Q171" s="391"/>
    </row>
    <row r="172">
      <c r="A172" s="403">
        <v>46172</v>
      </c>
      <c r="B172" s="408" t="s">
        <v>338</v>
      </c>
      <c r="C172" s="405" t="s">
        <v>352</v>
      </c>
      <c r="D172" s="383">
        <v>4</v>
      </c>
      <c r="E172" s="383">
        <v>34</v>
      </c>
      <c r="F172" s="383">
        <v>29</v>
      </c>
      <c r="G172" s="383">
        <v>26</v>
      </c>
      <c r="H172" s="383">
        <v>15</v>
      </c>
      <c r="I172" s="383">
        <v>2</v>
      </c>
      <c r="J172" s="388">
        <v>27094.799999999996</v>
      </c>
      <c r="K172" s="388">
        <v>14037.990000000002</v>
      </c>
      <c r="L172" s="389">
        <f t="shared" si="2"/>
      </c>
      <c r="M172" s="389">
        <f t="shared" si="0"/>
      </c>
      <c r="N172" s="389">
        <f t="shared" si="32"/>
      </c>
      <c r="O172" s="393"/>
      <c r="P172" s="393"/>
      <c r="Q172" s="394"/>
    </row>
    <row r="173">
      <c r="A173" s="403">
        <v>46172</v>
      </c>
      <c r="B173" s="386" t="s">
        <v>327</v>
      </c>
      <c r="C173" s="384" t="s">
        <v>358</v>
      </c>
      <c r="D173" s="383">
        <v>4</v>
      </c>
      <c r="E173" s="383">
        <v>24</v>
      </c>
      <c r="F173" s="383">
        <v>17</v>
      </c>
      <c r="G173" s="383">
        <v>10</v>
      </c>
      <c r="H173" s="383">
        <v>8</v>
      </c>
      <c r="I173" s="383">
        <v>1</v>
      </c>
      <c r="J173" s="388">
        <v>16429.600000000002</v>
      </c>
      <c r="K173" s="388">
        <v>12259.77</v>
      </c>
      <c r="L173" s="389">
        <f t="shared" si="2"/>
      </c>
      <c r="M173" s="389">
        <f t="shared" si="0"/>
      </c>
      <c r="N173" s="389">
        <f t="shared" si="32"/>
      </c>
      <c r="O173" s="395"/>
      <c r="P173" s="390"/>
      <c r="Q173" s="394"/>
    </row>
    <row r="174">
      <c r="A174" s="403">
        <v>46172</v>
      </c>
      <c r="B174" s="408" t="s">
        <v>368</v>
      </c>
      <c r="C174" s="384" t="s">
        <v>359</v>
      </c>
      <c r="D174" s="383">
        <v>2</v>
      </c>
      <c r="E174" s="383">
        <v>1</v>
      </c>
      <c r="F174" s="383">
        <v>0</v>
      </c>
      <c r="G174" s="383">
        <v>0</v>
      </c>
      <c r="H174" s="383">
        <v>0</v>
      </c>
      <c r="I174" s="383">
        <v>0</v>
      </c>
      <c r="J174" s="388">
        <v>0</v>
      </c>
      <c r="K174" s="388">
        <v>2156.75</v>
      </c>
      <c r="L174" s="389">
        <f t="shared" si="2"/>
      </c>
      <c r="M174" s="389">
        <f t="shared" si="0"/>
      </c>
      <c r="N174" s="389">
        <f t="shared" si="32"/>
      </c>
      <c r="O174" s="395"/>
      <c r="P174" s="390"/>
      <c r="Q174" s="394"/>
    </row>
    <row r="175">
      <c r="A175" s="403">
        <v>46172</v>
      </c>
      <c r="B175" s="408" t="s">
        <v>333</v>
      </c>
      <c r="C175" s="384" t="s">
        <v>334</v>
      </c>
      <c r="D175" s="383">
        <v>5</v>
      </c>
      <c r="E175" s="383">
        <v>24</v>
      </c>
      <c r="F175" s="383">
        <v>20</v>
      </c>
      <c r="G175" s="383">
        <v>16</v>
      </c>
      <c r="H175" s="383">
        <v>14</v>
      </c>
      <c r="I175" s="383">
        <v>1</v>
      </c>
      <c r="J175" s="388">
        <v>15438.39999999999</v>
      </c>
      <c r="K175" s="388">
        <v>11731.830000000002</v>
      </c>
      <c r="L175" s="389">
        <f t="shared" si="2"/>
      </c>
      <c r="M175" s="389">
        <f t="shared" si="0"/>
      </c>
      <c r="N175" s="389">
        <f>K175/H175</f>
      </c>
      <c r="O175" s="385" t="s">
        <v>360</v>
      </c>
      <c r="P175" s="383">
        <v>10</v>
      </c>
      <c r="Q175" s="393"/>
    </row>
    <row r="176">
      <c r="A176" s="396">
        <v>46172</v>
      </c>
      <c r="B176" s="397"/>
      <c r="C176" s="397"/>
      <c r="D176" s="397">
        <f>SUM(D171:D175)</f>
      </c>
      <c r="E176" s="397">
        <f>SUM(E171:E175)</f>
      </c>
      <c r="F176" s="397">
        <f>SUM(F171:F175)</f>
      </c>
      <c r="G176" s="397">
        <f>SUM(G171:G175)</f>
      </c>
      <c r="H176" s="397">
        <f>SUM(H171:H175)</f>
      </c>
      <c r="I176" s="397">
        <f>SUM(I171:I175)</f>
      </c>
      <c r="J176" s="397">
        <f>SUM(J171:J175)</f>
      </c>
      <c r="K176" s="397">
        <f>SUM(K171:K175)</f>
      </c>
      <c r="L176" s="398">
        <f t="shared" si="2"/>
      </c>
      <c r="M176" s="398">
        <f t="shared" si="0"/>
      </c>
      <c r="N176" s="398">
        <f t="shared" ref="N176:N180" si="33">K176/F176</f>
      </c>
      <c r="O176" s="399"/>
      <c r="P176" s="397">
        <f>P171+P172+P174+P175</f>
      </c>
      <c r="Q176" s="399"/>
    </row>
    <row r="177">
      <c r="A177" s="403">
        <v>46173</v>
      </c>
      <c r="B177" s="408" t="s">
        <v>331</v>
      </c>
      <c r="C177" s="405" t="s">
        <v>325</v>
      </c>
      <c r="D177" s="385">
        <v>5</v>
      </c>
      <c r="E177" s="386">
        <v>62</v>
      </c>
      <c r="F177" s="387">
        <v>48</v>
      </c>
      <c r="G177" s="383">
        <v>40</v>
      </c>
      <c r="H177" s="383">
        <v>27</v>
      </c>
      <c r="I177" s="383">
        <v>3</v>
      </c>
      <c r="J177" s="388">
        <v>41967.899999999994</v>
      </c>
      <c r="K177" s="383">
        <v>24785.7</v>
      </c>
      <c r="L177" s="389">
        <f t="shared" si="2"/>
      </c>
      <c r="M177" s="389">
        <f t="shared" si="0"/>
      </c>
      <c r="N177" s="389">
        <f t="shared" si="33"/>
      </c>
      <c r="O177" s="385" t="s">
        <v>357</v>
      </c>
      <c r="P177" s="383">
        <v>10</v>
      </c>
      <c r="Q177" s="391"/>
    </row>
    <row r="178">
      <c r="A178" s="403">
        <v>46173</v>
      </c>
      <c r="B178" s="408" t="s">
        <v>338</v>
      </c>
      <c r="C178" s="405" t="s">
        <v>352</v>
      </c>
      <c r="D178" s="383">
        <v>4</v>
      </c>
      <c r="E178" s="383">
        <v>42</v>
      </c>
      <c r="F178" s="383">
        <v>31</v>
      </c>
      <c r="G178" s="383">
        <v>22</v>
      </c>
      <c r="H178" s="383">
        <v>18</v>
      </c>
      <c r="I178" s="383">
        <v>2</v>
      </c>
      <c r="J178" s="388">
        <v>35334</v>
      </c>
      <c r="K178" s="388">
        <v>15338.25</v>
      </c>
      <c r="L178" s="389">
        <f t="shared" si="2"/>
      </c>
      <c r="M178" s="389">
        <f t="shared" si="0"/>
      </c>
      <c r="N178" s="389">
        <f t="shared" si="33"/>
      </c>
      <c r="O178" s="393"/>
      <c r="P178" s="393"/>
      <c r="Q178" s="394"/>
    </row>
    <row r="179">
      <c r="A179" s="403">
        <v>46173</v>
      </c>
      <c r="B179" s="386" t="s">
        <v>327</v>
      </c>
      <c r="C179" s="384" t="s">
        <v>358</v>
      </c>
      <c r="D179" s="411">
        <v>3</v>
      </c>
      <c r="E179" s="383">
        <v>10</v>
      </c>
      <c r="F179" s="383">
        <v>4</v>
      </c>
      <c r="G179" s="383">
        <v>2</v>
      </c>
      <c r="H179" s="383">
        <v>3</v>
      </c>
      <c r="I179" s="383">
        <v>0</v>
      </c>
      <c r="J179" s="388">
        <v>3621.600000000002</v>
      </c>
      <c r="K179" s="388">
        <v>9099.67</v>
      </c>
      <c r="L179" s="389">
        <f t="shared" si="2"/>
      </c>
      <c r="M179" s="389">
        <f t="shared" si="0"/>
      </c>
      <c r="N179" s="389">
        <f t="shared" si="33"/>
      </c>
      <c r="O179" s="395"/>
      <c r="P179" s="390"/>
      <c r="Q179" s="394"/>
    </row>
    <row r="180">
      <c r="A180" s="403">
        <v>46173</v>
      </c>
      <c r="B180" s="408" t="s">
        <v>368</v>
      </c>
      <c r="C180" s="384" t="s">
        <v>359</v>
      </c>
      <c r="D180" s="383">
        <v>2</v>
      </c>
      <c r="E180" s="383">
        <v>10</v>
      </c>
      <c r="F180" s="383">
        <v>7</v>
      </c>
      <c r="G180" s="383">
        <v>6</v>
      </c>
      <c r="H180" s="383">
        <v>2</v>
      </c>
      <c r="I180" s="383">
        <v>0</v>
      </c>
      <c r="J180" s="388">
        <v>5264.600000000002</v>
      </c>
      <c r="K180" s="388">
        <v>3924.38</v>
      </c>
      <c r="L180" s="389">
        <f t="shared" si="2"/>
      </c>
      <c r="M180" s="389">
        <f t="shared" si="0"/>
      </c>
      <c r="N180" s="389">
        <f t="shared" si="33"/>
      </c>
      <c r="O180" s="395"/>
      <c r="P180" s="390"/>
      <c r="Q180" s="394"/>
    </row>
    <row r="181">
      <c r="A181" s="403">
        <v>46173</v>
      </c>
      <c r="B181" s="408" t="s">
        <v>333</v>
      </c>
      <c r="C181" s="384" t="s">
        <v>334</v>
      </c>
      <c r="D181" s="411">
        <v>4.5</v>
      </c>
      <c r="E181" s="383">
        <v>22</v>
      </c>
      <c r="F181" s="383">
        <v>15</v>
      </c>
      <c r="G181" s="383">
        <v>13</v>
      </c>
      <c r="H181" s="383">
        <v>5</v>
      </c>
      <c r="I181" s="383">
        <v>0</v>
      </c>
      <c r="J181" s="388">
        <v>11599.199999999997</v>
      </c>
      <c r="K181" s="388">
        <v>13306.739999999998</v>
      </c>
      <c r="L181" s="389">
        <f t="shared" si="2"/>
      </c>
      <c r="M181" s="389">
        <f t="shared" si="0"/>
      </c>
      <c r="N181" s="389">
        <f>K181/H181</f>
      </c>
      <c r="O181" s="385" t="s">
        <v>360</v>
      </c>
      <c r="P181" s="383">
        <v>10</v>
      </c>
      <c r="Q181" s="393"/>
    </row>
    <row r="182">
      <c r="A182" s="396">
        <v>46173</v>
      </c>
      <c r="B182" s="397"/>
      <c r="C182" s="397"/>
      <c r="D182" s="397">
        <f>SUM(D177:D181)</f>
      </c>
      <c r="E182" s="397">
        <f>SUM(E177:E181)</f>
      </c>
      <c r="F182" s="397">
        <f>SUM(F177:F181)</f>
      </c>
      <c r="G182" s="397">
        <f>SUM(G177:G181)</f>
      </c>
      <c r="H182" s="397">
        <f>SUM(H177:H181)</f>
      </c>
      <c r="I182" s="397">
        <f>SUM(I177:I181)</f>
      </c>
      <c r="J182" s="397">
        <f>SUM(J177:J181)</f>
      </c>
      <c r="K182" s="397">
        <f>SUM(K177:K181)</f>
      </c>
      <c r="L182" s="398">
        <f t="shared" si="2"/>
      </c>
      <c r="M182" s="398">
        <f t="shared" si="0"/>
      </c>
      <c r="N182" s="398">
        <f>K182/F182</f>
      </c>
      <c r="O182" s="399"/>
      <c r="P182" s="397">
        <f>P177+P178+P180+P181</f>
      </c>
      <c r="Q182" s="399"/>
    </row>
    <row r="183">
      <c r="J183" s="412"/>
      <c r="K183" s="412"/>
      <c r="L183" s="389"/>
    </row>
    <row r="184">
      <c r="J184" s="413"/>
    </row>
    <row r="185"/>
    <row r="186"/>
    <row r="187">
      <c r="A187" s="414"/>
      <c r="B187" s="414"/>
      <c r="C187" s="414"/>
      <c r="D187" s="414"/>
    </row>
    <row r="188">
      <c r="A188" s="414"/>
      <c r="B188" s="414"/>
      <c r="C188" s="414"/>
      <c r="D188" s="414"/>
      <c r="J188" s="415" t="s">
        <v>371</v>
      </c>
    </row>
    <row r="189">
      <c r="A189" s="414"/>
      <c r="B189" s="414"/>
      <c r="C189" s="414"/>
      <c r="D189" s="414"/>
      <c r="J189" s="416">
        <f t="shared" ref="J189:J196" si="1">H189/I189</f>
      </c>
      <c r="K189" s="413"/>
      <c r="L189" s="413"/>
    </row>
    <row r="190">
      <c r="A190" s="414"/>
      <c r="B190" s="414"/>
      <c r="C190" s="414"/>
      <c r="D190" s="414"/>
      <c r="J190" s="416">
        <f t="shared" si="1"/>
      </c>
      <c r="K190" s="413">
        <f>I190/F190</f>
      </c>
      <c r="L190" s="413"/>
    </row>
    <row r="191">
      <c r="A191" s="414"/>
      <c r="B191" s="414"/>
      <c r="C191" s="414"/>
      <c r="D191" s="414"/>
      <c r="J191" s="416">
        <f t="shared" si="1"/>
      </c>
      <c r="K191" s="413"/>
      <c r="L191" s="417"/>
    </row>
    <row r="192">
      <c r="A192" s="414"/>
      <c r="B192" s="414"/>
      <c r="C192" s="414"/>
      <c r="D192" s="414"/>
      <c r="J192" s="416">
        <f t="shared" si="1"/>
      </c>
      <c r="K192" s="413"/>
    </row>
    <row r="193">
      <c r="A193" s="414"/>
      <c r="B193" s="414"/>
      <c r="C193" s="414"/>
      <c r="D193" s="414"/>
      <c r="J193" s="416">
        <f t="shared" si="1"/>
      </c>
      <c r="K193" s="413"/>
      <c r="L193" s="417"/>
    </row>
    <row r="194">
      <c r="A194" s="414"/>
      <c r="B194" s="414"/>
      <c r="C194" s="414"/>
      <c r="D194" s="414"/>
      <c r="J194" s="416">
        <f t="shared" si="1"/>
      </c>
    </row>
    <row r="195">
      <c r="J195" s="416">
        <f t="shared" si="1"/>
      </c>
    </row>
    <row r="196">
      <c r="J196" s="416">
        <f t="shared" si="1"/>
      </c>
    </row>
    <row r="197"/>
    <row r="198">
      <c r="F198" s="413">
        <v>614</v>
      </c>
    </row>
  </sheetData>
  <autoFilter ref="A1:Q184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" min="1" style="0" width="11.211267605633802"/>
    <col collapsed="false" customWidth="true" hidden="false" max="6" min="6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8" min="18" style="0" width="11.211267605633802"/>
    <col collapsed="false" customWidth="true" hidden="false" max="5" min="5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7" min="17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11" min="11" style="0" width="11.211267605633802"/>
    <col collapsed="false" customWidth="true" hidden="false" max="15" min="15" style="0" width="11.211267605633802"/>
  </cols>
  <sheetData>
    <row r="1">
      <c r="A1" s="418" t="s">
        <v>372</v>
      </c>
      <c r="B1" s="419" t="s">
        <v>373</v>
      </c>
      <c r="C1" s="419" t="s">
        <v>374</v>
      </c>
      <c r="D1" s="419" t="s">
        <v>375</v>
      </c>
      <c r="E1" s="419" t="s">
        <v>376</v>
      </c>
      <c r="F1" s="419" t="s">
        <v>377</v>
      </c>
      <c r="G1" s="420" t="s">
        <v>378</v>
      </c>
      <c r="H1" s="421" t="s">
        <v>379</v>
      </c>
      <c r="I1" s="419" t="s">
        <v>380</v>
      </c>
      <c r="J1" s="419" t="s">
        <v>381</v>
      </c>
      <c r="K1" s="419" t="s">
        <v>382</v>
      </c>
      <c r="L1" s="422" t="s">
        <v>383</v>
      </c>
      <c r="M1" s="422" t="s">
        <v>384</v>
      </c>
      <c r="N1" s="422" t="s">
        <v>385</v>
      </c>
      <c r="O1" s="423" t="s">
        <v>386</v>
      </c>
      <c r="P1" s="423" t="s">
        <v>387</v>
      </c>
      <c r="Q1" s="423" t="s">
        <v>388</v>
      </c>
    </row>
    <row r="2">
      <c r="A2" s="424">
        <v>46113</v>
      </c>
      <c r="B2" s="425" t="s">
        <v>389</v>
      </c>
      <c r="C2" s="426" t="s">
        <v>390</v>
      </c>
      <c r="D2" s="427">
        <v>5</v>
      </c>
      <c r="E2" s="428">
        <v>56</v>
      </c>
      <c r="F2" s="425">
        <v>42</v>
      </c>
      <c r="G2" s="425">
        <v>37</v>
      </c>
      <c r="H2" s="425">
        <v>30</v>
      </c>
      <c r="I2" s="425">
        <v>2</v>
      </c>
      <c r="J2" s="429">
        <v>39520.2</v>
      </c>
      <c r="K2" s="425">
        <v>36193.94</v>
      </c>
      <c r="L2" s="430">
        <f t="shared" ref="L2:L151" si="1">J2/K2</f>
      </c>
      <c r="M2" s="430">
        <f t="shared" ref="M2:M151" si="0">J2/F2</f>
      </c>
      <c r="N2" s="430">
        <f t="shared" ref="N2:N5" si="2">K2/F2</f>
      </c>
      <c r="O2" s="431" t="s">
        <v>391</v>
      </c>
      <c r="P2" s="427">
        <v>10</v>
      </c>
      <c r="Q2" s="432"/>
    </row>
    <row r="3">
      <c r="A3" s="424">
        <v>46113</v>
      </c>
      <c r="B3" s="425" t="s">
        <v>392</v>
      </c>
      <c r="C3" s="433" t="s">
        <v>393</v>
      </c>
      <c r="D3" s="425">
        <v>2</v>
      </c>
      <c r="E3" s="427">
        <v>33</v>
      </c>
      <c r="F3" s="427">
        <v>21</v>
      </c>
      <c r="G3" s="427">
        <v>20</v>
      </c>
      <c r="H3" s="427">
        <v>11</v>
      </c>
      <c r="I3" s="425">
        <v>1</v>
      </c>
      <c r="J3" s="434">
        <v>21935.6</v>
      </c>
      <c r="K3" s="434">
        <v>10939.28</v>
      </c>
      <c r="L3" s="430">
        <f t="shared" si="1"/>
      </c>
      <c r="M3" s="430">
        <f t="shared" si="0"/>
      </c>
      <c r="N3" s="430">
        <f t="shared" si="2"/>
      </c>
      <c r="O3" s="435"/>
      <c r="P3" s="435"/>
      <c r="Q3" s="436"/>
    </row>
    <row r="4">
      <c r="A4" s="424">
        <v>46113</v>
      </c>
      <c r="B4" s="425" t="s">
        <v>394</v>
      </c>
      <c r="C4" s="433" t="s">
        <v>395</v>
      </c>
      <c r="D4" s="425">
        <v>5</v>
      </c>
      <c r="E4" s="427">
        <v>155</v>
      </c>
      <c r="F4" s="427">
        <v>125</v>
      </c>
      <c r="G4" s="427">
        <v>90</v>
      </c>
      <c r="H4" s="427">
        <v>87</v>
      </c>
      <c r="I4" s="427">
        <v>13</v>
      </c>
      <c r="J4" s="434">
        <v>109743.8</v>
      </c>
      <c r="K4" s="434">
        <v>47701.53</v>
      </c>
      <c r="L4" s="430">
        <f t="shared" si="1"/>
      </c>
      <c r="M4" s="430">
        <f t="shared" si="0"/>
      </c>
      <c r="N4" s="430">
        <f t="shared" si="2"/>
      </c>
      <c r="O4" s="437"/>
      <c r="P4" s="427"/>
      <c r="Q4" s="436"/>
    </row>
    <row customHeight="true" ht="16.071428571428573" r="5">
      <c r="A5" s="424">
        <v>46113</v>
      </c>
      <c r="B5" s="425" t="s">
        <v>396</v>
      </c>
      <c r="C5" s="433" t="s">
        <v>397</v>
      </c>
      <c r="D5" s="425">
        <v>3</v>
      </c>
      <c r="E5" s="427">
        <v>50</v>
      </c>
      <c r="F5" s="427">
        <v>35</v>
      </c>
      <c r="G5" s="427">
        <v>27</v>
      </c>
      <c r="H5" s="427">
        <v>23</v>
      </c>
      <c r="I5" s="427">
        <v>4</v>
      </c>
      <c r="J5" s="434">
        <v>39825</v>
      </c>
      <c r="K5" s="434">
        <v>27436.869999999995</v>
      </c>
      <c r="L5" s="430">
        <f t="shared" si="1"/>
      </c>
      <c r="M5" s="430">
        <f t="shared" si="0"/>
      </c>
      <c r="N5" s="430">
        <f t="shared" si="2"/>
      </c>
      <c r="O5" s="437"/>
      <c r="P5" s="427"/>
      <c r="Q5" s="436"/>
    </row>
    <row r="6">
      <c r="A6" s="424">
        <v>46113</v>
      </c>
      <c r="B6" s="425" t="s">
        <v>398</v>
      </c>
      <c r="C6" s="433" t="s">
        <v>399</v>
      </c>
      <c r="D6" s="431">
        <v>5</v>
      </c>
      <c r="E6" s="438">
        <v>59</v>
      </c>
      <c r="F6" s="439">
        <v>43</v>
      </c>
      <c r="G6" s="427">
        <v>35</v>
      </c>
      <c r="H6" s="427">
        <v>31</v>
      </c>
      <c r="I6" s="427">
        <v>6</v>
      </c>
      <c r="J6" s="434">
        <v>46465.00000000003</v>
      </c>
      <c r="K6" s="429">
        <v>28531.89</v>
      </c>
      <c r="L6" s="430">
        <f t="shared" si="1"/>
      </c>
      <c r="M6" s="430">
        <f t="shared" si="0"/>
      </c>
      <c r="N6" s="430">
        <f>K6/H6</f>
      </c>
      <c r="O6" s="431" t="s">
        <v>400</v>
      </c>
      <c r="P6" s="425">
        <v>10</v>
      </c>
      <c r="Q6" s="435"/>
    </row>
    <row r="7">
      <c r="A7" s="440">
        <v>46113</v>
      </c>
      <c r="B7" s="441"/>
      <c r="C7" s="441"/>
      <c r="D7" s="441">
        <f>SUM(D2:D6)</f>
      </c>
      <c r="E7" s="441">
        <f>SUM(E2:E6)</f>
      </c>
      <c r="F7" s="441">
        <f>SUM(F2:F6)</f>
      </c>
      <c r="G7" s="441">
        <f>SUM(G2:G6)</f>
      </c>
      <c r="H7" s="441">
        <f>SUM(H2:H6)</f>
      </c>
      <c r="I7" s="441">
        <f>SUM(I2:I6)</f>
      </c>
      <c r="J7" s="441">
        <f>SUM(J2:J6)</f>
      </c>
      <c r="K7" s="441">
        <f>SUM(K2:K6)</f>
      </c>
      <c r="L7" s="442">
        <f t="shared" si="1"/>
      </c>
      <c r="M7" s="442">
        <f t="shared" si="0"/>
      </c>
      <c r="N7" s="442">
        <f t="shared" ref="N7:N11" si="3">K7/F7</f>
      </c>
      <c r="O7" s="443"/>
      <c r="P7" s="441">
        <f>P2+P3+P4+P6</f>
      </c>
      <c r="Q7" s="443"/>
    </row>
    <row r="8">
      <c r="A8" s="424">
        <v>46114</v>
      </c>
      <c r="B8" s="425" t="s">
        <v>389</v>
      </c>
      <c r="C8" s="433" t="s">
        <v>401</v>
      </c>
      <c r="D8" s="425">
        <v>4</v>
      </c>
      <c r="E8" s="428">
        <v>55</v>
      </c>
      <c r="F8" s="425">
        <v>46</v>
      </c>
      <c r="G8" s="425">
        <v>26</v>
      </c>
      <c r="H8" s="425">
        <v>40</v>
      </c>
      <c r="I8" s="425">
        <v>8</v>
      </c>
      <c r="J8" s="429">
        <v>37839.20000000001</v>
      </c>
      <c r="K8" s="425">
        <v>23379.84</v>
      </c>
      <c r="L8" s="430">
        <f t="shared" si="1"/>
      </c>
      <c r="M8" s="430">
        <f t="shared" si="0"/>
      </c>
      <c r="N8" s="430">
        <f t="shared" si="3"/>
      </c>
      <c r="O8" s="431" t="s">
        <v>402</v>
      </c>
      <c r="P8" s="427">
        <v>10</v>
      </c>
      <c r="Q8" s="432"/>
    </row>
    <row r="9">
      <c r="A9" s="424">
        <v>46114</v>
      </c>
      <c r="B9" s="425" t="s">
        <v>394</v>
      </c>
      <c r="C9" s="433" t="s">
        <v>403</v>
      </c>
      <c r="D9" s="425">
        <v>5</v>
      </c>
      <c r="E9" s="425">
        <v>69</v>
      </c>
      <c r="F9" s="425">
        <v>52</v>
      </c>
      <c r="G9" s="425">
        <v>44</v>
      </c>
      <c r="H9" s="425">
        <v>37</v>
      </c>
      <c r="I9" s="425">
        <v>10</v>
      </c>
      <c r="J9" s="434">
        <v>45407.60000000001</v>
      </c>
      <c r="K9" s="434">
        <v>27520.69</v>
      </c>
      <c r="L9" s="430">
        <f t="shared" si="1"/>
      </c>
      <c r="M9" s="430">
        <f t="shared" si="0"/>
      </c>
      <c r="N9" s="430">
        <f t="shared" si="3"/>
      </c>
      <c r="O9" s="435"/>
      <c r="P9" s="435"/>
      <c r="Q9" s="436"/>
    </row>
    <row r="10">
      <c r="A10" s="424">
        <v>46114</v>
      </c>
      <c r="B10" s="425" t="s">
        <v>396</v>
      </c>
      <c r="C10" s="433" t="s">
        <v>404</v>
      </c>
      <c r="D10" s="425">
        <v>2</v>
      </c>
      <c r="E10" s="425">
        <v>20</v>
      </c>
      <c r="F10" s="425">
        <v>16</v>
      </c>
      <c r="G10" s="425">
        <v>12</v>
      </c>
      <c r="H10" s="425">
        <v>14</v>
      </c>
      <c r="I10" s="425">
        <v>3</v>
      </c>
      <c r="J10" s="434">
        <v>9754.799999999992</v>
      </c>
      <c r="K10" s="434">
        <v>10661.220000000001</v>
      </c>
      <c r="L10" s="430">
        <f t="shared" si="1"/>
      </c>
      <c r="M10" s="430">
        <f t="shared" si="0"/>
      </c>
      <c r="N10" s="430">
        <f t="shared" si="3"/>
      </c>
      <c r="O10" s="437"/>
      <c r="P10" s="427"/>
      <c r="Q10" s="436"/>
    </row>
    <row r="11">
      <c r="A11" s="424">
        <v>46114</v>
      </c>
      <c r="B11" s="425" t="s">
        <v>398</v>
      </c>
      <c r="C11" s="433" t="s">
        <v>405</v>
      </c>
      <c r="D11" s="425">
        <v>4</v>
      </c>
      <c r="E11" s="425">
        <v>44</v>
      </c>
      <c r="F11" s="425">
        <v>38</v>
      </c>
      <c r="G11" s="425">
        <v>28</v>
      </c>
      <c r="H11" s="425">
        <v>26</v>
      </c>
      <c r="I11" s="425">
        <v>5</v>
      </c>
      <c r="J11" s="434">
        <v>29820.499999999993</v>
      </c>
      <c r="K11" s="434">
        <v>18613.589999999997</v>
      </c>
      <c r="L11" s="430">
        <f t="shared" si="1"/>
      </c>
      <c r="M11" s="430">
        <f t="shared" si="0"/>
      </c>
      <c r="N11" s="430">
        <f t="shared" si="3"/>
      </c>
      <c r="O11" s="437"/>
      <c r="P11" s="427"/>
      <c r="Q11" s="436"/>
    </row>
    <row r="12">
      <c r="A12" s="424">
        <v>46114</v>
      </c>
      <c r="B12" s="425" t="s">
        <v>392</v>
      </c>
      <c r="C12" s="433" t="s">
        <v>399</v>
      </c>
      <c r="D12" s="425">
        <v>5</v>
      </c>
      <c r="E12" s="425">
        <v>69</v>
      </c>
      <c r="F12" s="425">
        <v>51</v>
      </c>
      <c r="G12" s="425">
        <v>39</v>
      </c>
      <c r="H12" s="425">
        <v>41</v>
      </c>
      <c r="I12" s="425">
        <v>6</v>
      </c>
      <c r="J12" s="434">
        <v>42197.8</v>
      </c>
      <c r="K12" s="429">
        <v>30155.340000000004</v>
      </c>
      <c r="L12" s="430">
        <f t="shared" si="1"/>
      </c>
      <c r="M12" s="430">
        <f t="shared" si="0"/>
      </c>
      <c r="N12" s="430">
        <f>K12/H12</f>
      </c>
      <c r="O12" s="431" t="s">
        <v>406</v>
      </c>
      <c r="P12" s="425">
        <v>10</v>
      </c>
      <c r="Q12" s="435"/>
    </row>
    <row r="13">
      <c r="A13" s="440">
        <v>46114</v>
      </c>
      <c r="B13" s="441"/>
      <c r="C13" s="441"/>
      <c r="D13" s="441">
        <f>SUM(D8:D12)</f>
      </c>
      <c r="E13" s="441">
        <f>SUM(E8:E12)</f>
      </c>
      <c r="F13" s="441">
        <f>SUM(F8:F12)</f>
      </c>
      <c r="G13" s="441">
        <f>SUM(G8:G12)</f>
      </c>
      <c r="H13" s="441">
        <f>SUM(H8:H12)</f>
      </c>
      <c r="I13" s="441">
        <f>SUM(I8:I12)</f>
      </c>
      <c r="J13" s="441">
        <f>SUM(J8:J12)</f>
      </c>
      <c r="K13" s="441">
        <f>SUM(K8:K12)</f>
      </c>
      <c r="L13" s="442">
        <f t="shared" si="1"/>
      </c>
      <c r="M13" s="442">
        <f t="shared" si="0"/>
      </c>
      <c r="N13" s="442">
        <f t="shared" ref="N13:N17" si="4">K13/F13</f>
      </c>
      <c r="O13" s="443"/>
      <c r="P13" s="441">
        <f>P8+P9+P10+P12</f>
      </c>
      <c r="Q13" s="443"/>
    </row>
    <row r="14">
      <c r="A14" s="424">
        <v>46115</v>
      </c>
      <c r="B14" s="425" t="s">
        <v>389</v>
      </c>
      <c r="C14" s="433" t="s">
        <v>390</v>
      </c>
      <c r="D14" s="431">
        <v>5</v>
      </c>
      <c r="E14" s="444">
        <v>52</v>
      </c>
      <c r="F14" s="445">
        <v>40</v>
      </c>
      <c r="G14" s="425">
        <v>27</v>
      </c>
      <c r="H14" s="425">
        <v>27</v>
      </c>
      <c r="I14" s="425">
        <v>4</v>
      </c>
      <c r="J14" s="429">
        <v>38052.8</v>
      </c>
      <c r="K14" s="425">
        <v>23935.78</v>
      </c>
      <c r="L14" s="430">
        <f t="shared" si="1"/>
      </c>
      <c r="M14" s="430">
        <f t="shared" si="0"/>
      </c>
      <c r="N14" s="430">
        <f t="shared" si="4"/>
      </c>
      <c r="O14" s="431" t="s">
        <v>407</v>
      </c>
      <c r="P14" s="427">
        <v>10</v>
      </c>
      <c r="Q14" s="432"/>
    </row>
    <row r="15">
      <c r="A15" s="424">
        <v>46115</v>
      </c>
      <c r="B15" s="425" t="s">
        <v>394</v>
      </c>
      <c r="C15" s="433" t="s">
        <v>408</v>
      </c>
      <c r="D15" s="425">
        <v>4</v>
      </c>
      <c r="E15" s="425">
        <v>66</v>
      </c>
      <c r="F15" s="425">
        <v>51</v>
      </c>
      <c r="G15" s="425">
        <v>38</v>
      </c>
      <c r="H15" s="425">
        <v>33</v>
      </c>
      <c r="I15" s="425">
        <v>3</v>
      </c>
      <c r="J15" s="434">
        <v>40561.500000000015</v>
      </c>
      <c r="K15" s="434">
        <v>22208.309999999998</v>
      </c>
      <c r="L15" s="430">
        <f t="shared" si="1"/>
      </c>
      <c r="M15" s="430">
        <f t="shared" si="0"/>
      </c>
      <c r="N15" s="430">
        <f t="shared" si="4"/>
      </c>
      <c r="O15" s="435"/>
      <c r="P15" s="435"/>
      <c r="Q15" s="436"/>
    </row>
    <row r="16">
      <c r="A16" s="424">
        <v>46115</v>
      </c>
      <c r="B16" s="425" t="s">
        <v>409</v>
      </c>
      <c r="C16" s="433" t="s">
        <v>404</v>
      </c>
      <c r="D16" s="425">
        <v>2</v>
      </c>
      <c r="E16" s="425">
        <v>14</v>
      </c>
      <c r="F16" s="425">
        <v>8</v>
      </c>
      <c r="G16" s="425">
        <v>7</v>
      </c>
      <c r="H16" s="425">
        <v>6</v>
      </c>
      <c r="I16" s="425">
        <v>1</v>
      </c>
      <c r="J16" s="434">
        <v>5709.5999999999985</v>
      </c>
      <c r="K16" s="434">
        <v>9622.93</v>
      </c>
      <c r="L16" s="430">
        <f t="shared" si="1"/>
      </c>
      <c r="M16" s="430">
        <f t="shared" si="0"/>
      </c>
      <c r="N16" s="430">
        <f t="shared" si="4"/>
      </c>
      <c r="O16" s="437"/>
      <c r="P16" s="427"/>
      <c r="Q16" s="436"/>
    </row>
    <row r="17">
      <c r="A17" s="424">
        <v>46115</v>
      </c>
      <c r="B17" s="425" t="s">
        <v>398</v>
      </c>
      <c r="C17" s="433" t="s">
        <v>405</v>
      </c>
      <c r="D17" s="425">
        <v>4</v>
      </c>
      <c r="E17" s="425">
        <v>38</v>
      </c>
      <c r="F17" s="425">
        <v>26</v>
      </c>
      <c r="G17" s="425">
        <v>22</v>
      </c>
      <c r="H17" s="425">
        <v>19</v>
      </c>
      <c r="I17" s="425">
        <v>0</v>
      </c>
      <c r="J17" s="434">
        <v>17089.799999999996</v>
      </c>
      <c r="K17" s="434">
        <v>15313.619999999999</v>
      </c>
      <c r="L17" s="430">
        <f t="shared" si="1"/>
      </c>
      <c r="M17" s="430">
        <f t="shared" si="0"/>
      </c>
      <c r="N17" s="430">
        <f t="shared" si="4"/>
      </c>
      <c r="O17" s="437"/>
      <c r="P17" s="427"/>
      <c r="Q17" s="436"/>
    </row>
    <row r="18">
      <c r="A18" s="424">
        <v>46115</v>
      </c>
      <c r="B18" s="425" t="s">
        <v>392</v>
      </c>
      <c r="C18" s="433" t="s">
        <v>399</v>
      </c>
      <c r="D18" s="425">
        <v>5</v>
      </c>
      <c r="E18" s="425">
        <v>75</v>
      </c>
      <c r="F18" s="425">
        <v>55</v>
      </c>
      <c r="G18" s="425">
        <v>42</v>
      </c>
      <c r="H18" s="425">
        <v>34</v>
      </c>
      <c r="I18" s="425">
        <v>4</v>
      </c>
      <c r="J18" s="434">
        <v>52714.200000000004</v>
      </c>
      <c r="K18" s="429">
        <v>26441.050000000003</v>
      </c>
      <c r="L18" s="430">
        <f t="shared" si="1"/>
      </c>
      <c r="M18" s="430">
        <f t="shared" si="0"/>
      </c>
      <c r="N18" s="430">
        <f>K18/H18</f>
      </c>
      <c r="O18" s="431" t="s">
        <v>406</v>
      </c>
      <c r="P18" s="425">
        <v>10</v>
      </c>
      <c r="Q18" s="435"/>
    </row>
    <row r="19">
      <c r="A19" s="440">
        <v>46115</v>
      </c>
      <c r="B19" s="441"/>
      <c r="C19" s="441"/>
      <c r="D19" s="441">
        <f>SUM(D14:D18)</f>
      </c>
      <c r="E19" s="441">
        <f>SUM(E14:E18)</f>
      </c>
      <c r="F19" s="441">
        <f>SUM(F14:F18)</f>
      </c>
      <c r="G19" s="441">
        <f>SUM(G14:G18)</f>
      </c>
      <c r="H19" s="441">
        <f>SUM(H14:H18)</f>
      </c>
      <c r="I19" s="441">
        <f>SUM(I14:I18)</f>
      </c>
      <c r="J19" s="441">
        <f>SUM(J14:J18)</f>
      </c>
      <c r="K19" s="441">
        <f>SUM(K14:K18)</f>
      </c>
      <c r="L19" s="442">
        <f t="shared" si="1"/>
      </c>
      <c r="M19" s="442">
        <f t="shared" si="0"/>
      </c>
      <c r="N19" s="442">
        <f t="shared" ref="N19:N23" si="5">K19/F19</f>
      </c>
      <c r="O19" s="443"/>
      <c r="P19" s="441">
        <f>P14+P15+P16+P18</f>
      </c>
      <c r="Q19" s="443"/>
    </row>
    <row r="20">
      <c r="A20" s="424">
        <v>46116</v>
      </c>
      <c r="B20" s="425" t="s">
        <v>398</v>
      </c>
      <c r="C20" s="433" t="s">
        <v>390</v>
      </c>
      <c r="D20" s="431">
        <v>5</v>
      </c>
      <c r="E20" s="444">
        <v>59</v>
      </c>
      <c r="F20" s="445">
        <v>50</v>
      </c>
      <c r="G20" s="425">
        <v>38</v>
      </c>
      <c r="H20" s="425">
        <v>30</v>
      </c>
      <c r="I20" s="425">
        <v>5</v>
      </c>
      <c r="J20" s="429">
        <v>43588.3</v>
      </c>
      <c r="K20" s="425">
        <v>28390.26</v>
      </c>
      <c r="L20" s="430">
        <f t="shared" si="1"/>
      </c>
      <c r="M20" s="430">
        <f t="shared" si="0"/>
      </c>
      <c r="N20" s="430">
        <f t="shared" si="5"/>
      </c>
      <c r="O20" s="431" t="s">
        <v>407</v>
      </c>
      <c r="P20" s="427">
        <v>10</v>
      </c>
      <c r="Q20" s="432"/>
    </row>
    <row r="21">
      <c r="A21" s="424">
        <v>46116</v>
      </c>
      <c r="B21" s="425" t="s">
        <v>389</v>
      </c>
      <c r="C21" s="433" t="s">
        <v>410</v>
      </c>
      <c r="D21" s="425">
        <v>5</v>
      </c>
      <c r="E21" s="425">
        <v>34</v>
      </c>
      <c r="F21" s="425">
        <v>28</v>
      </c>
      <c r="G21" s="425">
        <v>24</v>
      </c>
      <c r="H21" s="425">
        <v>16</v>
      </c>
      <c r="I21" s="425">
        <v>2</v>
      </c>
      <c r="J21" s="434">
        <v>32188</v>
      </c>
      <c r="K21" s="434">
        <v>17986.27</v>
      </c>
      <c r="L21" s="430">
        <f t="shared" si="1"/>
      </c>
      <c r="M21" s="430">
        <f t="shared" si="0"/>
      </c>
      <c r="N21" s="430">
        <f t="shared" si="5"/>
      </c>
      <c r="O21" s="435"/>
      <c r="P21" s="435"/>
      <c r="Q21" s="436"/>
    </row>
    <row r="22">
      <c r="A22" s="424">
        <v>46116</v>
      </c>
      <c r="B22" s="425" t="s">
        <v>409</v>
      </c>
      <c r="C22" s="433" t="s">
        <v>411</v>
      </c>
      <c r="D22" s="425">
        <v>2</v>
      </c>
      <c r="E22" s="425">
        <v>24</v>
      </c>
      <c r="F22" s="425">
        <v>19</v>
      </c>
      <c r="G22" s="425">
        <v>12</v>
      </c>
      <c r="H22" s="425">
        <v>11</v>
      </c>
      <c r="I22" s="425">
        <v>2</v>
      </c>
      <c r="J22" s="434">
        <v>20539.4</v>
      </c>
      <c r="K22" s="434">
        <v>6250.8</v>
      </c>
      <c r="L22" s="430">
        <f t="shared" si="1"/>
      </c>
      <c r="M22" s="430">
        <f t="shared" si="0"/>
      </c>
      <c r="N22" s="430">
        <f t="shared" si="5"/>
      </c>
      <c r="O22" s="437"/>
      <c r="P22" s="427"/>
      <c r="Q22" s="436"/>
    </row>
    <row r="23">
      <c r="A23" s="424">
        <v>46116</v>
      </c>
      <c r="B23" s="425" t="s">
        <v>396</v>
      </c>
      <c r="C23" s="433" t="s">
        <v>397</v>
      </c>
      <c r="D23" s="425">
        <v>3</v>
      </c>
      <c r="E23" s="425">
        <v>19</v>
      </c>
      <c r="F23" s="425">
        <v>12</v>
      </c>
      <c r="G23" s="425">
        <v>11</v>
      </c>
      <c r="H23" s="425">
        <v>9</v>
      </c>
      <c r="I23" s="425">
        <v>0</v>
      </c>
      <c r="J23" s="434">
        <v>12094.799999999996</v>
      </c>
      <c r="K23" s="434">
        <v>9728.380000000001</v>
      </c>
      <c r="L23" s="430">
        <f t="shared" si="1"/>
      </c>
      <c r="M23" s="430">
        <f t="shared" si="0"/>
      </c>
      <c r="N23" s="430">
        <f t="shared" si="5"/>
      </c>
      <c r="O23" s="437"/>
      <c r="P23" s="427"/>
      <c r="Q23" s="436"/>
    </row>
    <row r="24">
      <c r="A24" s="424">
        <v>46116</v>
      </c>
      <c r="B24" s="425" t="s">
        <v>392</v>
      </c>
      <c r="C24" s="433" t="s">
        <v>399</v>
      </c>
      <c r="D24" s="425">
        <v>5</v>
      </c>
      <c r="E24" s="425">
        <v>36</v>
      </c>
      <c r="F24" s="425">
        <v>28</v>
      </c>
      <c r="G24" s="425">
        <v>22</v>
      </c>
      <c r="H24" s="425">
        <v>19</v>
      </c>
      <c r="I24" s="425">
        <v>1</v>
      </c>
      <c r="J24" s="434">
        <v>23830.79999999998</v>
      </c>
      <c r="K24" s="429">
        <v>16184.5</v>
      </c>
      <c r="L24" s="430">
        <f t="shared" si="1"/>
      </c>
      <c r="M24" s="430">
        <f t="shared" si="0"/>
      </c>
      <c r="N24" s="430">
        <f>K24/H24</f>
      </c>
      <c r="O24" s="431" t="s">
        <v>406</v>
      </c>
      <c r="P24" s="425">
        <v>10</v>
      </c>
      <c r="Q24" s="435"/>
    </row>
    <row r="25">
      <c r="A25" s="440">
        <v>46116</v>
      </c>
      <c r="B25" s="441"/>
      <c r="C25" s="441"/>
      <c r="D25" s="441">
        <f>SUM(D20:D24)</f>
      </c>
      <c r="E25" s="441">
        <f>SUM(E20:E24)</f>
      </c>
      <c r="F25" s="441">
        <f>SUM(F20:F24)</f>
      </c>
      <c r="G25" s="441">
        <f>SUM(G20:G24)</f>
      </c>
      <c r="H25" s="441">
        <f>SUM(H20:H24)</f>
      </c>
      <c r="I25" s="441">
        <f>SUM(I20:I24)</f>
      </c>
      <c r="J25" s="441">
        <f>SUM(J20:J24)</f>
      </c>
      <c r="K25" s="441">
        <f>SUM(K20:K24)</f>
      </c>
      <c r="L25" s="442">
        <f t="shared" si="1"/>
      </c>
      <c r="M25" s="442">
        <f t="shared" si="0"/>
      </c>
      <c r="N25" s="442">
        <f t="shared" ref="N25:N29" si="6">K25/F25</f>
      </c>
      <c r="O25" s="443"/>
      <c r="P25" s="441">
        <f>P20+P21+P22+P24</f>
      </c>
      <c r="Q25" s="443"/>
    </row>
    <row r="26">
      <c r="A26" s="424">
        <v>46117</v>
      </c>
      <c r="B26" s="425" t="s">
        <v>389</v>
      </c>
      <c r="C26" s="433" t="s">
        <v>390</v>
      </c>
      <c r="D26" s="431">
        <v>5</v>
      </c>
      <c r="E26" s="444">
        <v>69</v>
      </c>
      <c r="F26" s="445">
        <v>57</v>
      </c>
      <c r="G26" s="425">
        <v>38</v>
      </c>
      <c r="H26" s="425">
        <v>38</v>
      </c>
      <c r="I26" s="425">
        <v>5</v>
      </c>
      <c r="J26" s="429">
        <v>49003.8</v>
      </c>
      <c r="K26" s="425">
        <v>28822.54</v>
      </c>
      <c r="L26" s="430">
        <f t="shared" si="1"/>
      </c>
      <c r="M26" s="430">
        <f t="shared" si="0"/>
      </c>
      <c r="N26" s="430">
        <f t="shared" si="6"/>
      </c>
      <c r="O26" s="431" t="s">
        <v>407</v>
      </c>
      <c r="P26" s="427">
        <v>10</v>
      </c>
      <c r="Q26" s="432"/>
    </row>
    <row r="27">
      <c r="A27" s="424">
        <v>46117</v>
      </c>
      <c r="B27" s="425" t="s">
        <v>392</v>
      </c>
      <c r="C27" s="433" t="s">
        <v>410</v>
      </c>
      <c r="D27" s="425">
        <v>5</v>
      </c>
      <c r="E27" s="425">
        <v>37</v>
      </c>
      <c r="F27" s="425">
        <v>21</v>
      </c>
      <c r="G27" s="425">
        <v>21</v>
      </c>
      <c r="H27" s="425">
        <v>11</v>
      </c>
      <c r="I27" s="425">
        <v>0</v>
      </c>
      <c r="J27" s="434">
        <v>23047.200000000004</v>
      </c>
      <c r="K27" s="434">
        <v>17074.120000000003</v>
      </c>
      <c r="L27" s="430">
        <f t="shared" si="1"/>
      </c>
      <c r="M27" s="430">
        <f t="shared" si="0"/>
      </c>
      <c r="N27" s="430">
        <f t="shared" si="6"/>
      </c>
      <c r="O27" s="435"/>
      <c r="P27" s="435"/>
      <c r="Q27" s="436"/>
    </row>
    <row r="28">
      <c r="A28" s="424">
        <v>46117</v>
      </c>
      <c r="B28" s="425" t="s">
        <v>409</v>
      </c>
      <c r="C28" s="433" t="s">
        <v>411</v>
      </c>
      <c r="D28" s="425">
        <v>2</v>
      </c>
      <c r="E28" s="425">
        <v>5</v>
      </c>
      <c r="F28" s="425">
        <v>2</v>
      </c>
      <c r="G28" s="425">
        <v>4</v>
      </c>
      <c r="H28" s="425">
        <v>0</v>
      </c>
      <c r="I28" s="425">
        <v>0</v>
      </c>
      <c r="J28" s="434">
        <v>2395.199999999997</v>
      </c>
      <c r="K28" s="434">
        <v>6176.1900000000005</v>
      </c>
      <c r="L28" s="430">
        <f t="shared" si="1"/>
      </c>
      <c r="M28" s="430">
        <f t="shared" si="0"/>
      </c>
      <c r="N28" s="430">
        <f t="shared" si="6"/>
      </c>
      <c r="O28" s="437"/>
      <c r="P28" s="427"/>
      <c r="Q28" s="436"/>
    </row>
    <row r="29">
      <c r="A29" s="424">
        <v>46117</v>
      </c>
      <c r="B29" s="425" t="s">
        <v>396</v>
      </c>
      <c r="C29" s="433" t="s">
        <v>397</v>
      </c>
      <c r="D29" s="425">
        <v>3</v>
      </c>
      <c r="E29" s="425">
        <v>27</v>
      </c>
      <c r="F29" s="425">
        <v>19</v>
      </c>
      <c r="G29" s="425">
        <v>15</v>
      </c>
      <c r="H29" s="425">
        <v>13</v>
      </c>
      <c r="I29" s="425">
        <v>3</v>
      </c>
      <c r="J29" s="434">
        <v>17444.799999999996</v>
      </c>
      <c r="K29" s="434">
        <v>9445.67</v>
      </c>
      <c r="L29" s="430">
        <f t="shared" si="1"/>
      </c>
      <c r="M29" s="430">
        <f t="shared" si="0"/>
      </c>
      <c r="N29" s="430">
        <f t="shared" si="6"/>
      </c>
      <c r="O29" s="437"/>
      <c r="P29" s="427"/>
      <c r="Q29" s="436"/>
    </row>
    <row r="30">
      <c r="A30" s="424">
        <v>46117</v>
      </c>
      <c r="B30" s="425" t="s">
        <v>398</v>
      </c>
      <c r="C30" s="433" t="s">
        <v>399</v>
      </c>
      <c r="D30" s="425">
        <v>5</v>
      </c>
      <c r="E30" s="425">
        <v>44</v>
      </c>
      <c r="F30" s="425">
        <v>35</v>
      </c>
      <c r="G30" s="425">
        <v>24</v>
      </c>
      <c r="H30" s="425">
        <v>29</v>
      </c>
      <c r="I30" s="425">
        <v>5</v>
      </c>
      <c r="J30" s="434">
        <v>27421.000000000007</v>
      </c>
      <c r="K30" s="429">
        <v>17929.26</v>
      </c>
      <c r="L30" s="430">
        <f t="shared" si="1"/>
      </c>
      <c r="M30" s="430">
        <f t="shared" si="0"/>
      </c>
      <c r="N30" s="430">
        <f>K30/H30</f>
      </c>
      <c r="O30" s="431" t="s">
        <v>406</v>
      </c>
      <c r="P30" s="425">
        <v>10</v>
      </c>
      <c r="Q30" s="435"/>
    </row>
    <row r="31">
      <c r="A31" s="440">
        <v>46117</v>
      </c>
      <c r="B31" s="441"/>
      <c r="C31" s="441"/>
      <c r="D31" s="441">
        <f>SUM(D26:D30)</f>
      </c>
      <c r="E31" s="441">
        <f>SUM(E26:E30)</f>
      </c>
      <c r="F31" s="441">
        <f>SUM(F26:F30)</f>
      </c>
      <c r="G31" s="441">
        <f>SUM(G26:G30)</f>
      </c>
      <c r="H31" s="441">
        <f>SUM(H26:H30)</f>
      </c>
      <c r="I31" s="441">
        <f>SUM(I26:I30)</f>
      </c>
      <c r="J31" s="441">
        <f>SUM(J26:J30)</f>
      </c>
      <c r="K31" s="441">
        <f>SUM(K26:K30)</f>
      </c>
      <c r="L31" s="442">
        <f t="shared" si="1"/>
      </c>
      <c r="M31" s="442">
        <f t="shared" si="0"/>
      </c>
      <c r="N31" s="442">
        <f t="shared" ref="N31:N35" si="7">K31/F31</f>
      </c>
      <c r="O31" s="443"/>
      <c r="P31" s="441">
        <f>P26+P27+P28+P30</f>
      </c>
      <c r="Q31" s="443"/>
    </row>
    <row r="32">
      <c r="A32" s="424">
        <v>46118</v>
      </c>
      <c r="B32" s="425" t="s">
        <v>394</v>
      </c>
      <c r="C32" s="433" t="s">
        <v>390</v>
      </c>
      <c r="D32" s="431">
        <v>5</v>
      </c>
      <c r="E32" s="444">
        <v>68</v>
      </c>
      <c r="F32" s="445">
        <v>43</v>
      </c>
      <c r="G32" s="425">
        <v>35</v>
      </c>
      <c r="H32" s="425">
        <v>30</v>
      </c>
      <c r="I32" s="425">
        <v>3</v>
      </c>
      <c r="J32" s="429">
        <v>41388.40000000001</v>
      </c>
      <c r="K32" s="425">
        <v>26803.8</v>
      </c>
      <c r="L32" s="430">
        <f t="shared" si="1"/>
      </c>
      <c r="M32" s="430">
        <f t="shared" si="0"/>
      </c>
      <c r="N32" s="430">
        <f t="shared" si="7"/>
      </c>
      <c r="O32" s="431" t="s">
        <v>407</v>
      </c>
      <c r="P32" s="427">
        <v>10</v>
      </c>
      <c r="Q32" s="432"/>
    </row>
    <row r="33">
      <c r="A33" s="424">
        <v>46118</v>
      </c>
      <c r="B33" s="425" t="s">
        <v>389</v>
      </c>
      <c r="C33" s="433" t="s">
        <v>408</v>
      </c>
      <c r="D33" s="425">
        <v>4</v>
      </c>
      <c r="E33" s="425">
        <v>75</v>
      </c>
      <c r="F33" s="425">
        <v>59</v>
      </c>
      <c r="G33" s="425">
        <v>48</v>
      </c>
      <c r="H33" s="425">
        <v>36</v>
      </c>
      <c r="I33" s="425">
        <v>3</v>
      </c>
      <c r="J33" s="434">
        <v>56996.100000000006</v>
      </c>
      <c r="K33" s="434">
        <v>26775.57</v>
      </c>
      <c r="L33" s="430">
        <f t="shared" si="1"/>
      </c>
      <c r="M33" s="430">
        <f t="shared" si="0"/>
      </c>
      <c r="N33" s="430">
        <f t="shared" si="7"/>
      </c>
      <c r="O33" s="435"/>
      <c r="P33" s="435"/>
      <c r="Q33" s="436"/>
    </row>
    <row r="34">
      <c r="A34" s="424">
        <v>46118</v>
      </c>
      <c r="B34" s="425" t="s">
        <v>396</v>
      </c>
      <c r="C34" s="433" t="s">
        <v>404</v>
      </c>
      <c r="D34" s="425">
        <v>2</v>
      </c>
      <c r="E34" s="425">
        <v>24</v>
      </c>
      <c r="F34" s="425">
        <v>13</v>
      </c>
      <c r="G34" s="425">
        <v>10</v>
      </c>
      <c r="H34" s="425">
        <v>9</v>
      </c>
      <c r="I34" s="425">
        <v>1</v>
      </c>
      <c r="J34" s="434">
        <v>13032</v>
      </c>
      <c r="K34" s="434">
        <v>12388.490000000002</v>
      </c>
      <c r="L34" s="430">
        <f t="shared" si="1"/>
      </c>
      <c r="M34" s="430">
        <f t="shared" si="0"/>
      </c>
      <c r="N34" s="430">
        <f t="shared" si="7"/>
      </c>
      <c r="O34" s="437"/>
      <c r="P34" s="427"/>
      <c r="Q34" s="436"/>
    </row>
    <row r="35">
      <c r="A35" s="424">
        <v>46118</v>
      </c>
      <c r="B35" s="425" t="s">
        <v>392</v>
      </c>
      <c r="C35" s="433" t="s">
        <v>405</v>
      </c>
      <c r="D35" s="425">
        <v>4</v>
      </c>
      <c r="E35" s="425">
        <v>52</v>
      </c>
      <c r="F35" s="425">
        <v>45</v>
      </c>
      <c r="G35" s="425">
        <v>27</v>
      </c>
      <c r="H35" s="425">
        <v>30</v>
      </c>
      <c r="I35" s="425">
        <v>7</v>
      </c>
      <c r="J35" s="434">
        <v>39147</v>
      </c>
      <c r="K35" s="434">
        <v>19014.25</v>
      </c>
      <c r="L35" s="430">
        <f t="shared" si="1"/>
      </c>
      <c r="M35" s="430">
        <f t="shared" si="0"/>
      </c>
      <c r="N35" s="430">
        <f t="shared" si="7"/>
      </c>
      <c r="O35" s="437"/>
      <c r="P35" s="427"/>
      <c r="Q35" s="436"/>
    </row>
    <row r="36">
      <c r="A36" s="424">
        <v>46118</v>
      </c>
      <c r="B36" s="425" t="s">
        <v>398</v>
      </c>
      <c r="C36" s="433" t="s">
        <v>399</v>
      </c>
      <c r="D36" s="425">
        <v>5</v>
      </c>
      <c r="E36" s="425">
        <v>112</v>
      </c>
      <c r="F36" s="425">
        <v>91</v>
      </c>
      <c r="G36" s="425">
        <v>79</v>
      </c>
      <c r="H36" s="425">
        <v>65</v>
      </c>
      <c r="I36" s="425">
        <v>7</v>
      </c>
      <c r="J36" s="434">
        <v>73920.00000000003</v>
      </c>
      <c r="K36" s="429">
        <v>38084.36</v>
      </c>
      <c r="L36" s="430">
        <f t="shared" si="1"/>
      </c>
      <c r="M36" s="430">
        <f t="shared" si="0"/>
      </c>
      <c r="N36" s="430">
        <f>K36/H36</f>
      </c>
      <c r="O36" s="431" t="s">
        <v>406</v>
      </c>
      <c r="P36" s="425">
        <v>10</v>
      </c>
      <c r="Q36" s="435"/>
    </row>
    <row r="37">
      <c r="A37" s="440">
        <v>46118</v>
      </c>
      <c r="B37" s="441"/>
      <c r="C37" s="441"/>
      <c r="D37" s="441">
        <f>SUM(D32:D36)</f>
      </c>
      <c r="E37" s="441">
        <f>SUM(E32:E36)</f>
      </c>
      <c r="F37" s="441">
        <f>SUM(F32:F36)</f>
      </c>
      <c r="G37" s="441">
        <f>SUM(G32:G36)</f>
      </c>
      <c r="H37" s="441">
        <f>SUM(H32:H36)</f>
      </c>
      <c r="I37" s="441">
        <f>SUM(I32:I36)</f>
      </c>
      <c r="J37" s="441">
        <f>SUM(J32:J36)</f>
      </c>
      <c r="K37" s="441">
        <f>SUM(K32:K36)</f>
      </c>
      <c r="L37" s="442">
        <f t="shared" si="1"/>
      </c>
      <c r="M37" s="442">
        <f t="shared" si="0"/>
      </c>
      <c r="N37" s="442">
        <f t="shared" ref="N37:N41" si="8">K37/F37</f>
      </c>
      <c r="O37" s="443"/>
      <c r="P37" s="441">
        <f>P32+P33+P34+P36</f>
      </c>
      <c r="Q37" s="443"/>
    </row>
    <row r="38">
      <c r="A38" s="424">
        <v>46119</v>
      </c>
      <c r="B38" s="425" t="s">
        <v>389</v>
      </c>
      <c r="C38" s="433" t="s">
        <v>390</v>
      </c>
      <c r="D38" s="431">
        <v>5</v>
      </c>
      <c r="E38" s="444">
        <v>68</v>
      </c>
      <c r="F38" s="445">
        <v>55</v>
      </c>
      <c r="G38" s="425">
        <v>32</v>
      </c>
      <c r="H38" s="425">
        <v>29</v>
      </c>
      <c r="I38" s="425">
        <v>10</v>
      </c>
      <c r="J38" s="429">
        <v>53802.50000000001</v>
      </c>
      <c r="K38" s="425">
        <v>26736.85</v>
      </c>
      <c r="L38" s="430">
        <f t="shared" si="1"/>
      </c>
      <c r="M38" s="430">
        <f t="shared" si="0"/>
      </c>
      <c r="N38" s="430">
        <f t="shared" si="8"/>
      </c>
      <c r="O38" s="431" t="s">
        <v>407</v>
      </c>
      <c r="P38" s="427">
        <v>10</v>
      </c>
      <c r="Q38" s="432"/>
    </row>
    <row r="39">
      <c r="A39" s="424">
        <v>46119</v>
      </c>
      <c r="B39" s="425" t="s">
        <v>394</v>
      </c>
      <c r="C39" s="433" t="s">
        <v>410</v>
      </c>
      <c r="D39" s="425">
        <v>5</v>
      </c>
      <c r="E39" s="425">
        <v>102</v>
      </c>
      <c r="F39" s="425">
        <v>86</v>
      </c>
      <c r="G39" s="425">
        <v>56</v>
      </c>
      <c r="H39" s="425">
        <v>53</v>
      </c>
      <c r="I39" s="425">
        <v>12</v>
      </c>
      <c r="J39" s="434">
        <v>90691.6</v>
      </c>
      <c r="K39" s="434">
        <v>28929.320000000003</v>
      </c>
      <c r="L39" s="430">
        <f t="shared" si="1"/>
      </c>
      <c r="M39" s="430">
        <f t="shared" si="0"/>
      </c>
      <c r="N39" s="430">
        <f t="shared" si="8"/>
      </c>
      <c r="O39" s="435"/>
      <c r="P39" s="435"/>
      <c r="Q39" s="436"/>
    </row>
    <row r="40">
      <c r="A40" s="424">
        <v>46119</v>
      </c>
      <c r="B40" s="425" t="s">
        <v>396</v>
      </c>
      <c r="C40" s="433" t="s">
        <v>411</v>
      </c>
      <c r="D40" s="425">
        <v>2</v>
      </c>
      <c r="E40" s="425">
        <v>26</v>
      </c>
      <c r="F40" s="425">
        <v>19</v>
      </c>
      <c r="G40" s="425">
        <v>18</v>
      </c>
      <c r="H40" s="425">
        <v>11</v>
      </c>
      <c r="I40" s="425">
        <v>1</v>
      </c>
      <c r="J40" s="434">
        <v>19640.600000000006</v>
      </c>
      <c r="K40" s="434">
        <v>13652.26</v>
      </c>
      <c r="L40" s="430">
        <f t="shared" si="1"/>
      </c>
      <c r="M40" s="430">
        <f t="shared" si="0"/>
      </c>
      <c r="N40" s="430">
        <f t="shared" si="8"/>
      </c>
      <c r="O40" s="437"/>
      <c r="P40" s="427"/>
      <c r="Q40" s="436"/>
    </row>
    <row r="41">
      <c r="A41" s="424">
        <v>46119</v>
      </c>
      <c r="B41" s="425" t="s">
        <v>409</v>
      </c>
      <c r="C41" s="433" t="s">
        <v>397</v>
      </c>
      <c r="D41" s="425">
        <v>3</v>
      </c>
      <c r="E41" s="425">
        <v>49</v>
      </c>
      <c r="F41" s="425">
        <v>38</v>
      </c>
      <c r="G41" s="425">
        <v>28</v>
      </c>
      <c r="H41" s="425">
        <v>21</v>
      </c>
      <c r="I41" s="425">
        <v>4</v>
      </c>
      <c r="J41" s="434">
        <v>40430.600000000006</v>
      </c>
      <c r="K41" s="434">
        <v>18400.77</v>
      </c>
      <c r="L41" s="430">
        <f t="shared" si="1"/>
      </c>
      <c r="M41" s="430">
        <f t="shared" si="0"/>
      </c>
      <c r="N41" s="430">
        <f t="shared" si="8"/>
      </c>
      <c r="O41" s="437"/>
      <c r="P41" s="427"/>
      <c r="Q41" s="436"/>
    </row>
    <row r="42">
      <c r="A42" s="424">
        <v>46119</v>
      </c>
      <c r="B42" s="425" t="s">
        <v>392</v>
      </c>
      <c r="C42" s="433" t="s">
        <v>399</v>
      </c>
      <c r="D42" s="425">
        <v>5</v>
      </c>
      <c r="E42" s="425">
        <v>69</v>
      </c>
      <c r="F42" s="425">
        <v>44</v>
      </c>
      <c r="G42" s="425">
        <v>43</v>
      </c>
      <c r="H42" s="425">
        <v>27</v>
      </c>
      <c r="I42" s="425">
        <v>1</v>
      </c>
      <c r="J42" s="434">
        <v>38466.40000000002</v>
      </c>
      <c r="K42" s="429">
        <v>32894.91</v>
      </c>
      <c r="L42" s="430">
        <f t="shared" si="1"/>
      </c>
      <c r="M42" s="430">
        <f t="shared" si="0"/>
      </c>
      <c r="N42" s="430">
        <f>K42/H42</f>
      </c>
      <c r="O42" s="431" t="s">
        <v>406</v>
      </c>
      <c r="P42" s="425">
        <v>10</v>
      </c>
      <c r="Q42" s="435"/>
    </row>
    <row r="43">
      <c r="A43" s="440">
        <v>46119</v>
      </c>
      <c r="B43" s="441"/>
      <c r="C43" s="441"/>
      <c r="D43" s="441">
        <f>SUM(D38:D42)</f>
      </c>
      <c r="E43" s="441">
        <f>SUM(E38:E42)</f>
      </c>
      <c r="F43" s="441">
        <f>SUM(F38:F42)</f>
      </c>
      <c r="G43" s="441">
        <f>SUM(G38:G42)</f>
      </c>
      <c r="H43" s="441">
        <f>SUM(H38:H42)</f>
      </c>
      <c r="I43" s="441">
        <f>SUM(I38:I42)</f>
      </c>
      <c r="J43" s="441">
        <f>SUM(J38:J42)</f>
      </c>
      <c r="K43" s="441">
        <f>SUM(K38:K42)</f>
      </c>
      <c r="L43" s="442">
        <f t="shared" si="1"/>
      </c>
      <c r="M43" s="442">
        <f t="shared" si="0"/>
      </c>
      <c r="N43" s="442">
        <f t="shared" ref="N43:N47" si="9">K43/F43</f>
      </c>
      <c r="O43" s="443"/>
      <c r="P43" s="441">
        <f>P38+P39+P40+P42</f>
      </c>
      <c r="Q43" s="443"/>
    </row>
    <row r="44">
      <c r="A44" s="424">
        <v>46120</v>
      </c>
      <c r="B44" s="425" t="s">
        <v>389</v>
      </c>
      <c r="C44" s="433" t="s">
        <v>390</v>
      </c>
      <c r="D44" s="431">
        <v>5</v>
      </c>
      <c r="E44" s="444">
        <v>81</v>
      </c>
      <c r="F44" s="445">
        <v>65</v>
      </c>
      <c r="G44" s="425">
        <v>48</v>
      </c>
      <c r="H44" s="425">
        <v>46</v>
      </c>
      <c r="I44" s="425">
        <v>8</v>
      </c>
      <c r="J44" s="429">
        <v>59740.60000000001</v>
      </c>
      <c r="K44" s="425">
        <v>36382.17</v>
      </c>
      <c r="L44" s="430">
        <f t="shared" si="1"/>
      </c>
      <c r="M44" s="430">
        <f t="shared" si="0"/>
      </c>
      <c r="N44" s="430">
        <f t="shared" si="9"/>
      </c>
      <c r="O44" s="431" t="s">
        <v>407</v>
      </c>
      <c r="P44" s="427">
        <v>10</v>
      </c>
      <c r="Q44" s="432"/>
    </row>
    <row r="45">
      <c r="A45" s="424">
        <v>46120</v>
      </c>
      <c r="B45" s="425" t="s">
        <v>394</v>
      </c>
      <c r="C45" s="433" t="s">
        <v>410</v>
      </c>
      <c r="D45" s="425">
        <v>5</v>
      </c>
      <c r="E45" s="425">
        <v>110</v>
      </c>
      <c r="F45" s="425">
        <v>91</v>
      </c>
      <c r="G45" s="425">
        <v>75</v>
      </c>
      <c r="H45" s="425">
        <v>60</v>
      </c>
      <c r="I45" s="425">
        <v>12</v>
      </c>
      <c r="J45" s="434">
        <v>94238.20000000003</v>
      </c>
      <c r="K45" s="434">
        <v>44901.840000000004</v>
      </c>
      <c r="L45" s="430">
        <f t="shared" si="1"/>
      </c>
      <c r="M45" s="430">
        <f t="shared" si="0"/>
      </c>
      <c r="N45" s="430">
        <f t="shared" si="9"/>
      </c>
      <c r="O45" s="435"/>
      <c r="P45" s="435"/>
      <c r="Q45" s="436"/>
    </row>
    <row r="46">
      <c r="A46" s="424">
        <v>46120</v>
      </c>
      <c r="B46" s="425" t="s">
        <v>409</v>
      </c>
      <c r="C46" s="433" t="s">
        <v>411</v>
      </c>
      <c r="D46" s="425">
        <v>2</v>
      </c>
      <c r="E46" s="425">
        <v>42</v>
      </c>
      <c r="F46" s="425">
        <v>33</v>
      </c>
      <c r="G46" s="425">
        <v>25</v>
      </c>
      <c r="H46" s="425">
        <v>25</v>
      </c>
      <c r="I46" s="425">
        <v>3</v>
      </c>
      <c r="J46" s="434">
        <v>24901.600000000006</v>
      </c>
      <c r="K46" s="434">
        <v>22212.73</v>
      </c>
      <c r="L46" s="430">
        <f t="shared" si="1"/>
      </c>
      <c r="M46" s="430">
        <f t="shared" si="0"/>
      </c>
      <c r="N46" s="430">
        <f t="shared" si="9"/>
      </c>
      <c r="O46" s="437"/>
      <c r="P46" s="427"/>
      <c r="Q46" s="436"/>
    </row>
    <row r="47">
      <c r="A47" s="424">
        <v>46120</v>
      </c>
      <c r="B47" s="425" t="s">
        <v>392</v>
      </c>
      <c r="C47" s="433" t="s">
        <v>412</v>
      </c>
      <c r="D47" s="425">
        <v>4</v>
      </c>
      <c r="E47" s="425">
        <v>65</v>
      </c>
      <c r="F47" s="425">
        <v>52</v>
      </c>
      <c r="G47" s="425">
        <v>39</v>
      </c>
      <c r="H47" s="425">
        <v>28</v>
      </c>
      <c r="I47" s="425">
        <v>4</v>
      </c>
      <c r="J47" s="434">
        <v>62726.600000000006</v>
      </c>
      <c r="K47" s="434">
        <v>30598.469999999998</v>
      </c>
      <c r="L47" s="430">
        <f t="shared" si="1"/>
      </c>
      <c r="M47" s="430">
        <f t="shared" si="0"/>
      </c>
      <c r="N47" s="430">
        <f t="shared" si="9"/>
      </c>
      <c r="O47" s="437"/>
      <c r="P47" s="427"/>
      <c r="Q47" s="436"/>
    </row>
    <row r="48">
      <c r="A48" s="424">
        <v>46120</v>
      </c>
      <c r="B48" s="425" t="s">
        <v>398</v>
      </c>
      <c r="C48" s="433" t="s">
        <v>413</v>
      </c>
      <c r="D48" s="425">
        <v>4</v>
      </c>
      <c r="E48" s="425">
        <v>63</v>
      </c>
      <c r="F48" s="425">
        <v>44</v>
      </c>
      <c r="G48" s="425">
        <v>35</v>
      </c>
      <c r="H48" s="425">
        <v>27</v>
      </c>
      <c r="I48" s="425">
        <v>5</v>
      </c>
      <c r="J48" s="434">
        <v>43032.999999999956</v>
      </c>
      <c r="K48" s="429">
        <v>20170.45</v>
      </c>
      <c r="L48" s="430">
        <f t="shared" si="1"/>
      </c>
      <c r="M48" s="430">
        <f t="shared" si="0"/>
      </c>
      <c r="N48" s="430">
        <f>K48/H48</f>
      </c>
      <c r="O48" s="431" t="s">
        <v>406</v>
      </c>
      <c r="P48" s="425">
        <v>10</v>
      </c>
      <c r="Q48" s="435"/>
    </row>
    <row r="49">
      <c r="A49" s="440">
        <v>46120</v>
      </c>
      <c r="B49" s="441"/>
      <c r="C49" s="441"/>
      <c r="D49" s="441">
        <f>SUM(D44:D48)</f>
      </c>
      <c r="E49" s="441">
        <f>SUM(E44:E48)</f>
      </c>
      <c r="F49" s="441">
        <f>SUM(F44:F48)</f>
      </c>
      <c r="G49" s="441">
        <f>SUM(G44:G48)</f>
      </c>
      <c r="H49" s="441">
        <f>SUM(H44:H48)</f>
      </c>
      <c r="I49" s="441">
        <f>SUM(I44:I48)</f>
      </c>
      <c r="J49" s="441">
        <f>SUM(J44:J48)</f>
      </c>
      <c r="K49" s="441">
        <f>SUM(K44:K48)</f>
      </c>
      <c r="L49" s="442">
        <f t="shared" si="1"/>
      </c>
      <c r="M49" s="442">
        <f t="shared" si="0"/>
      </c>
      <c r="N49" s="442">
        <f t="shared" ref="N49:N53" si="10">K49/F49</f>
      </c>
      <c r="O49" s="443"/>
      <c r="P49" s="441">
        <f>P44+P45+P46+P48</f>
      </c>
      <c r="Q49" s="443"/>
    </row>
    <row r="50">
      <c r="A50" s="424">
        <v>46121</v>
      </c>
      <c r="B50" s="425" t="s">
        <v>389</v>
      </c>
      <c r="C50" s="433" t="s">
        <v>401</v>
      </c>
      <c r="D50" s="431">
        <v>4</v>
      </c>
      <c r="E50" s="444">
        <v>61</v>
      </c>
      <c r="F50" s="445">
        <v>48</v>
      </c>
      <c r="G50" s="425">
        <v>28</v>
      </c>
      <c r="H50" s="425">
        <v>37</v>
      </c>
      <c r="I50" s="425">
        <v>5</v>
      </c>
      <c r="J50" s="429">
        <v>43284.19999999999</v>
      </c>
      <c r="K50" s="425">
        <v>23567.91</v>
      </c>
      <c r="L50" s="430">
        <f t="shared" si="1"/>
      </c>
      <c r="M50" s="430">
        <f t="shared" si="0"/>
      </c>
      <c r="N50" s="430">
        <f t="shared" si="10"/>
      </c>
      <c r="O50" s="431" t="s">
        <v>407</v>
      </c>
      <c r="P50" s="427">
        <v>10</v>
      </c>
      <c r="Q50" s="432"/>
    </row>
    <row r="51">
      <c r="A51" s="424">
        <v>46121</v>
      </c>
      <c r="B51" s="425" t="s">
        <v>394</v>
      </c>
      <c r="C51" s="433" t="s">
        <v>403</v>
      </c>
      <c r="D51" s="425">
        <v>5</v>
      </c>
      <c r="E51" s="425">
        <v>70</v>
      </c>
      <c r="F51" s="425">
        <v>56</v>
      </c>
      <c r="G51" s="425">
        <v>44</v>
      </c>
      <c r="H51" s="425">
        <v>39</v>
      </c>
      <c r="I51" s="425">
        <v>5</v>
      </c>
      <c r="J51" s="434">
        <v>50033.4</v>
      </c>
      <c r="K51" s="434">
        <v>27089.050000000003</v>
      </c>
      <c r="L51" s="430">
        <f t="shared" si="1"/>
      </c>
      <c r="M51" s="430">
        <f t="shared" si="0"/>
      </c>
      <c r="N51" s="430">
        <f t="shared" si="10"/>
      </c>
      <c r="O51" s="435"/>
      <c r="P51" s="435"/>
      <c r="Q51" s="436"/>
    </row>
    <row r="52">
      <c r="A52" s="424">
        <v>46121</v>
      </c>
      <c r="B52" s="425" t="s">
        <v>409</v>
      </c>
      <c r="C52" s="433" t="s">
        <v>404</v>
      </c>
      <c r="D52" s="425">
        <v>2</v>
      </c>
      <c r="E52" s="425">
        <v>31</v>
      </c>
      <c r="F52" s="425">
        <v>27</v>
      </c>
      <c r="G52" s="425">
        <v>21</v>
      </c>
      <c r="H52" s="425">
        <v>15</v>
      </c>
      <c r="I52" s="425">
        <v>1</v>
      </c>
      <c r="J52" s="434">
        <v>21567.600000000006</v>
      </c>
      <c r="K52" s="434">
        <v>14416.53</v>
      </c>
      <c r="L52" s="430">
        <f t="shared" si="1"/>
      </c>
      <c r="M52" s="430">
        <f t="shared" si="0"/>
      </c>
      <c r="N52" s="430">
        <f t="shared" si="10"/>
      </c>
      <c r="O52" s="437"/>
      <c r="P52" s="427"/>
      <c r="Q52" s="436"/>
    </row>
    <row r="53">
      <c r="A53" s="424">
        <v>46121</v>
      </c>
      <c r="B53" s="425" t="s">
        <v>398</v>
      </c>
      <c r="C53" s="433" t="s">
        <v>405</v>
      </c>
      <c r="D53" s="425">
        <v>4</v>
      </c>
      <c r="E53" s="425">
        <v>51</v>
      </c>
      <c r="F53" s="425">
        <v>41</v>
      </c>
      <c r="G53" s="425">
        <v>31</v>
      </c>
      <c r="H53" s="425">
        <v>26</v>
      </c>
      <c r="I53" s="425">
        <v>5</v>
      </c>
      <c r="J53" s="434">
        <v>35793.399999999994</v>
      </c>
      <c r="K53" s="434">
        <v>22544.38</v>
      </c>
      <c r="L53" s="430">
        <f t="shared" si="1"/>
      </c>
      <c r="M53" s="430">
        <f t="shared" si="0"/>
      </c>
      <c r="N53" s="430">
        <f t="shared" si="10"/>
      </c>
      <c r="O53" s="437"/>
      <c r="P53" s="427"/>
      <c r="Q53" s="436"/>
    </row>
    <row r="54">
      <c r="A54" s="424">
        <v>46121</v>
      </c>
      <c r="B54" s="425" t="s">
        <v>392</v>
      </c>
      <c r="C54" s="433" t="s">
        <v>399</v>
      </c>
      <c r="D54" s="425">
        <v>5</v>
      </c>
      <c r="E54" s="425">
        <v>77</v>
      </c>
      <c r="F54" s="425">
        <v>61</v>
      </c>
      <c r="G54" s="425">
        <v>49</v>
      </c>
      <c r="H54" s="425">
        <v>37</v>
      </c>
      <c r="I54" s="425">
        <v>3</v>
      </c>
      <c r="J54" s="434">
        <v>73512.80000000002</v>
      </c>
      <c r="K54" s="429">
        <v>27578.6</v>
      </c>
      <c r="L54" s="430">
        <f t="shared" si="1"/>
      </c>
      <c r="M54" s="430">
        <f t="shared" si="0"/>
      </c>
      <c r="N54" s="430">
        <f>K54/H54</f>
      </c>
      <c r="O54" s="431" t="s">
        <v>406</v>
      </c>
      <c r="P54" s="425">
        <v>10</v>
      </c>
      <c r="Q54" s="435"/>
    </row>
    <row r="55">
      <c r="A55" s="440">
        <v>46121</v>
      </c>
      <c r="B55" s="441"/>
      <c r="C55" s="441"/>
      <c r="D55" s="441">
        <f>SUM(D50:D54)</f>
      </c>
      <c r="E55" s="441">
        <f>SUM(E50:E54)</f>
      </c>
      <c r="F55" s="441">
        <f>SUM(F50:F54)</f>
      </c>
      <c r="G55" s="441">
        <f>SUM(G50:G54)</f>
      </c>
      <c r="H55" s="441">
        <f>SUM(H50:H54)</f>
      </c>
      <c r="I55" s="441">
        <f>SUM(I50:I54)</f>
      </c>
      <c r="J55" s="441">
        <f>SUM(J50:J54)</f>
      </c>
      <c r="K55" s="441">
        <f>SUM(K50:K54)</f>
      </c>
      <c r="L55" s="442">
        <f t="shared" si="1"/>
      </c>
      <c r="M55" s="442">
        <f t="shared" si="0"/>
      </c>
      <c r="N55" s="442">
        <f t="shared" ref="N55:N59" si="11">K55/F55</f>
      </c>
      <c r="O55" s="443"/>
      <c r="P55" s="441">
        <f>P50+P51+P52+P54</f>
      </c>
      <c r="Q55" s="443"/>
    </row>
    <row r="56">
      <c r="A56" s="424">
        <v>46122</v>
      </c>
      <c r="B56" s="425" t="s">
        <v>389</v>
      </c>
      <c r="C56" s="433" t="s">
        <v>401</v>
      </c>
      <c r="D56" s="431">
        <v>4</v>
      </c>
      <c r="E56" s="444">
        <v>39</v>
      </c>
      <c r="F56" s="445">
        <v>28</v>
      </c>
      <c r="G56" s="425">
        <v>18</v>
      </c>
      <c r="H56" s="425">
        <v>22</v>
      </c>
      <c r="I56" s="425">
        <v>3</v>
      </c>
      <c r="J56" s="429">
        <v>28133.199999999997</v>
      </c>
      <c r="K56" s="425">
        <v>18250.96</v>
      </c>
      <c r="L56" s="430">
        <f t="shared" si="1"/>
      </c>
      <c r="M56" s="430">
        <f t="shared" si="0"/>
      </c>
      <c r="N56" s="430">
        <f t="shared" si="11"/>
      </c>
      <c r="O56" s="431" t="s">
        <v>407</v>
      </c>
      <c r="P56" s="427">
        <v>10</v>
      </c>
      <c r="Q56" s="432"/>
    </row>
    <row r="57">
      <c r="A57" s="424">
        <v>46122</v>
      </c>
      <c r="B57" s="425" t="s">
        <v>394</v>
      </c>
      <c r="C57" s="433" t="s">
        <v>414</v>
      </c>
      <c r="D57" s="425">
        <v>4</v>
      </c>
      <c r="E57" s="425">
        <v>51</v>
      </c>
      <c r="F57" s="425">
        <v>39</v>
      </c>
      <c r="G57" s="425">
        <v>29</v>
      </c>
      <c r="H57" s="425">
        <v>21</v>
      </c>
      <c r="I57" s="425">
        <v>4</v>
      </c>
      <c r="J57" s="434">
        <v>45487.399999999994</v>
      </c>
      <c r="K57" s="434">
        <v>18887.489999999998</v>
      </c>
      <c r="L57" s="430">
        <f t="shared" si="1"/>
      </c>
      <c r="M57" s="430">
        <f t="shared" si="0"/>
      </c>
      <c r="N57" s="430">
        <f t="shared" si="11"/>
      </c>
      <c r="O57" s="435"/>
      <c r="P57" s="435"/>
      <c r="Q57" s="436"/>
    </row>
    <row r="58">
      <c r="A58" s="424">
        <v>46122</v>
      </c>
      <c r="B58" s="425" t="s">
        <v>409</v>
      </c>
      <c r="C58" s="433" t="s">
        <v>415</v>
      </c>
      <c r="D58" s="425">
        <v>4</v>
      </c>
      <c r="E58" s="425">
        <v>52</v>
      </c>
      <c r="F58" s="425">
        <v>40</v>
      </c>
      <c r="G58" s="425">
        <v>36</v>
      </c>
      <c r="H58" s="425">
        <v>22</v>
      </c>
      <c r="I58" s="425">
        <v>0</v>
      </c>
      <c r="J58" s="434">
        <v>36769.799999999996</v>
      </c>
      <c r="K58" s="434">
        <v>21762.09</v>
      </c>
      <c r="L58" s="430">
        <f t="shared" si="1"/>
      </c>
      <c r="M58" s="430">
        <f t="shared" si="0"/>
      </c>
      <c r="N58" s="430">
        <f t="shared" si="11"/>
      </c>
      <c r="O58" s="437"/>
      <c r="P58" s="427"/>
      <c r="Q58" s="436"/>
    </row>
    <row r="59">
      <c r="A59" s="424">
        <v>46122</v>
      </c>
      <c r="B59" s="425" t="s">
        <v>392</v>
      </c>
      <c r="C59" s="433" t="s">
        <v>412</v>
      </c>
      <c r="D59" s="425">
        <v>4</v>
      </c>
      <c r="E59" s="425">
        <v>60</v>
      </c>
      <c r="F59" s="425">
        <v>47</v>
      </c>
      <c r="G59" s="425">
        <v>30</v>
      </c>
      <c r="H59" s="425">
        <v>27</v>
      </c>
      <c r="I59" s="425">
        <v>5</v>
      </c>
      <c r="J59" s="434">
        <v>46045.40000000001</v>
      </c>
      <c r="K59" s="434">
        <v>23474.18</v>
      </c>
      <c r="L59" s="430">
        <f t="shared" si="1"/>
      </c>
      <c r="M59" s="430">
        <f t="shared" si="0"/>
      </c>
      <c r="N59" s="430">
        <f t="shared" si="11"/>
      </c>
      <c r="O59" s="437"/>
      <c r="P59" s="427"/>
      <c r="Q59" s="436"/>
    </row>
    <row r="60">
      <c r="A60" s="424">
        <v>46122</v>
      </c>
      <c r="B60" s="425" t="s">
        <v>398</v>
      </c>
      <c r="C60" s="433" t="s">
        <v>413</v>
      </c>
      <c r="D60" s="425">
        <v>4</v>
      </c>
      <c r="E60" s="425">
        <v>52</v>
      </c>
      <c r="F60" s="425">
        <v>35</v>
      </c>
      <c r="G60" s="425">
        <v>26</v>
      </c>
      <c r="H60" s="425">
        <v>25</v>
      </c>
      <c r="I60" s="425">
        <v>4</v>
      </c>
      <c r="J60" s="434">
        <v>29017.199999999997</v>
      </c>
      <c r="K60" s="429">
        <v>17424.94</v>
      </c>
      <c r="L60" s="430">
        <f t="shared" si="1"/>
      </c>
      <c r="M60" s="430">
        <f t="shared" si="0"/>
      </c>
      <c r="N60" s="430">
        <f>K60/H60</f>
      </c>
      <c r="O60" s="431" t="s">
        <v>406</v>
      </c>
      <c r="P60" s="425">
        <v>10</v>
      </c>
      <c r="Q60" s="435"/>
    </row>
    <row r="61">
      <c r="A61" s="440">
        <v>46122</v>
      </c>
      <c r="B61" s="441"/>
      <c r="C61" s="441"/>
      <c r="D61" s="441">
        <f>SUM(D56:D60)</f>
      </c>
      <c r="E61" s="441">
        <f>SUM(E56:E60)</f>
      </c>
      <c r="F61" s="441">
        <f>SUM(F56:F60)</f>
      </c>
      <c r="G61" s="441">
        <f>SUM(G56:G60)</f>
      </c>
      <c r="H61" s="441">
        <f>SUM(H56:H60)</f>
      </c>
      <c r="I61" s="441">
        <f>SUM(I56:I60)</f>
      </c>
      <c r="J61" s="441">
        <f>SUM(J56:J60)</f>
      </c>
      <c r="K61" s="441">
        <f>SUM(K56:K60)</f>
      </c>
      <c r="L61" s="442">
        <f t="shared" si="1"/>
      </c>
      <c r="M61" s="442">
        <f t="shared" si="0"/>
      </c>
      <c r="N61" s="442">
        <f t="shared" ref="N61:N65" si="12">K61/F61</f>
      </c>
      <c r="O61" s="443"/>
      <c r="P61" s="441">
        <f>P56+P57+P58+P60</f>
      </c>
      <c r="Q61" s="443"/>
    </row>
    <row r="62">
      <c r="A62" s="424">
        <v>46123</v>
      </c>
      <c r="B62" s="425" t="s">
        <v>394</v>
      </c>
      <c r="C62" s="433" t="s">
        <v>390</v>
      </c>
      <c r="D62" s="431">
        <v>5</v>
      </c>
      <c r="E62" s="444">
        <v>114</v>
      </c>
      <c r="F62" s="445">
        <v>93</v>
      </c>
      <c r="G62" s="425">
        <v>61</v>
      </c>
      <c r="H62" s="425">
        <v>53</v>
      </c>
      <c r="I62" s="425">
        <v>17</v>
      </c>
      <c r="J62" s="429">
        <v>94759.60000000003</v>
      </c>
      <c r="K62" s="425">
        <v>42018.53999999999</v>
      </c>
      <c r="L62" s="430">
        <f t="shared" si="1"/>
      </c>
      <c r="M62" s="430">
        <f t="shared" si="0"/>
      </c>
      <c r="N62" s="430">
        <f t="shared" si="12"/>
      </c>
      <c r="O62" s="431" t="s">
        <v>407</v>
      </c>
      <c r="P62" s="427">
        <v>10</v>
      </c>
      <c r="Q62" s="432"/>
    </row>
    <row r="63">
      <c r="A63" s="424">
        <v>46123</v>
      </c>
      <c r="B63" s="425" t="s">
        <v>392</v>
      </c>
      <c r="C63" s="433" t="s">
        <v>408</v>
      </c>
      <c r="D63" s="425">
        <v>4</v>
      </c>
      <c r="E63" s="425">
        <v>39</v>
      </c>
      <c r="F63" s="425">
        <v>32</v>
      </c>
      <c r="G63" s="425">
        <v>27</v>
      </c>
      <c r="H63" s="425">
        <v>23</v>
      </c>
      <c r="I63" s="425">
        <v>3</v>
      </c>
      <c r="J63" s="434">
        <v>29148.70000000001</v>
      </c>
      <c r="K63" s="434">
        <v>22174.12</v>
      </c>
      <c r="L63" s="430">
        <f t="shared" si="1"/>
      </c>
      <c r="M63" s="430">
        <f t="shared" si="0"/>
      </c>
      <c r="N63" s="430">
        <f t="shared" si="12"/>
      </c>
      <c r="O63" s="435"/>
      <c r="P63" s="435"/>
      <c r="Q63" s="436"/>
    </row>
    <row r="64">
      <c r="A64" s="424">
        <v>46123</v>
      </c>
      <c r="B64" s="425" t="s">
        <v>409</v>
      </c>
      <c r="C64" s="433" t="s">
        <v>416</v>
      </c>
      <c r="D64" s="425">
        <v>4</v>
      </c>
      <c r="E64" s="425">
        <v>52</v>
      </c>
      <c r="F64" s="425">
        <v>41</v>
      </c>
      <c r="G64" s="425">
        <v>31</v>
      </c>
      <c r="H64" s="425">
        <v>27</v>
      </c>
      <c r="I64" s="425">
        <v>1</v>
      </c>
      <c r="J64" s="434">
        <v>42689.00000000001</v>
      </c>
      <c r="K64" s="434">
        <v>21969.800000000003</v>
      </c>
      <c r="L64" s="430">
        <f t="shared" si="1"/>
      </c>
      <c r="M64" s="430">
        <f t="shared" si="0"/>
      </c>
      <c r="N64" s="430">
        <f t="shared" si="12"/>
      </c>
      <c r="O64" s="437"/>
      <c r="P64" s="427"/>
      <c r="Q64" s="436"/>
    </row>
    <row r="65">
      <c r="A65" s="424">
        <v>46123</v>
      </c>
      <c r="B65" s="425" t="s">
        <v>396</v>
      </c>
      <c r="C65" s="433" t="s">
        <v>417</v>
      </c>
      <c r="D65" s="425">
        <v>2</v>
      </c>
      <c r="E65" s="425">
        <v>22</v>
      </c>
      <c r="F65" s="425">
        <v>11</v>
      </c>
      <c r="G65" s="425">
        <v>8</v>
      </c>
      <c r="H65" s="425">
        <v>7</v>
      </c>
      <c r="I65" s="425">
        <v>0</v>
      </c>
      <c r="J65" s="434">
        <v>8320</v>
      </c>
      <c r="K65" s="434">
        <v>10096.380000000001</v>
      </c>
      <c r="L65" s="430">
        <f t="shared" si="1"/>
      </c>
      <c r="M65" s="430">
        <f t="shared" si="0"/>
      </c>
      <c r="N65" s="430">
        <f t="shared" si="12"/>
      </c>
      <c r="O65" s="437"/>
      <c r="P65" s="427"/>
      <c r="Q65" s="436"/>
    </row>
    <row r="66">
      <c r="A66" s="424">
        <v>46123</v>
      </c>
      <c r="B66" s="425" t="s">
        <v>398</v>
      </c>
      <c r="C66" s="433" t="s">
        <v>399</v>
      </c>
      <c r="D66" s="425">
        <v>5</v>
      </c>
      <c r="E66" s="425">
        <v>52</v>
      </c>
      <c r="F66" s="425">
        <v>41</v>
      </c>
      <c r="G66" s="425">
        <v>32</v>
      </c>
      <c r="H66" s="425">
        <v>25</v>
      </c>
      <c r="I66" s="425">
        <v>7</v>
      </c>
      <c r="J66" s="434">
        <v>32630.79999999999</v>
      </c>
      <c r="K66" s="429">
        <v>22803.97</v>
      </c>
      <c r="L66" s="430">
        <f t="shared" si="1"/>
      </c>
      <c r="M66" s="430">
        <f t="shared" si="0"/>
      </c>
      <c r="N66" s="430">
        <f>K66/H66</f>
      </c>
      <c r="O66" s="431" t="s">
        <v>406</v>
      </c>
      <c r="P66" s="425">
        <v>10</v>
      </c>
      <c r="Q66" s="435"/>
    </row>
    <row r="67">
      <c r="A67" s="440">
        <v>46123</v>
      </c>
      <c r="B67" s="441"/>
      <c r="C67" s="441"/>
      <c r="D67" s="441">
        <f>SUM(D62:D66)</f>
      </c>
      <c r="E67" s="441">
        <f>SUM(E62:E66)</f>
      </c>
      <c r="F67" s="441">
        <f>SUM(F62:F66)</f>
      </c>
      <c r="G67" s="441">
        <f>SUM(G62:G66)</f>
      </c>
      <c r="H67" s="441">
        <f>SUM(H62:H66)</f>
      </c>
      <c r="I67" s="441">
        <f>SUM(I62:I66)</f>
      </c>
      <c r="J67" s="441">
        <f>SUM(J62:J66)</f>
      </c>
      <c r="K67" s="441">
        <f>SUM(K62:K66)</f>
      </c>
      <c r="L67" s="442">
        <f t="shared" si="1"/>
      </c>
      <c r="M67" s="442">
        <f t="shared" si="0"/>
      </c>
      <c r="N67" s="442">
        <f t="shared" ref="N67:N70" si="13">K67/F67</f>
      </c>
      <c r="O67" s="443"/>
      <c r="P67" s="441">
        <f>P62+P63+P64+P66</f>
      </c>
      <c r="Q67" s="443"/>
    </row>
    <row r="68">
      <c r="A68" s="424">
        <v>46124</v>
      </c>
      <c r="B68" s="425" t="s">
        <v>394</v>
      </c>
      <c r="C68" s="426" t="s">
        <v>390</v>
      </c>
      <c r="D68" s="437">
        <v>5</v>
      </c>
      <c r="E68" s="444">
        <v>128</v>
      </c>
      <c r="F68" s="445">
        <v>95</v>
      </c>
      <c r="G68" s="425">
        <v>69</v>
      </c>
      <c r="H68" s="425">
        <v>65</v>
      </c>
      <c r="I68" s="425">
        <v>12</v>
      </c>
      <c r="J68" s="446">
        <v>91906.10000000003</v>
      </c>
      <c r="K68" s="427">
        <v>46518.57</v>
      </c>
      <c r="L68" s="430">
        <f t="shared" si="1"/>
      </c>
      <c r="M68" s="430">
        <f t="shared" si="0"/>
      </c>
      <c r="N68" s="430">
        <f t="shared" si="13"/>
      </c>
      <c r="O68" s="431" t="s">
        <v>407</v>
      </c>
      <c r="P68" s="427">
        <v>10</v>
      </c>
      <c r="Q68" s="432"/>
    </row>
    <row r="69">
      <c r="A69" s="424">
        <v>46124</v>
      </c>
      <c r="B69" s="425" t="s">
        <v>392</v>
      </c>
      <c r="C69" s="426" t="s">
        <v>410</v>
      </c>
      <c r="D69" s="427">
        <v>5</v>
      </c>
      <c r="E69" s="425">
        <v>66</v>
      </c>
      <c r="F69" s="425">
        <v>38</v>
      </c>
      <c r="G69" s="425">
        <v>38</v>
      </c>
      <c r="H69" s="425">
        <v>25</v>
      </c>
      <c r="I69" s="425">
        <v>2</v>
      </c>
      <c r="J69" s="434">
        <v>35007.399999999994</v>
      </c>
      <c r="K69" s="434">
        <v>37291.84</v>
      </c>
      <c r="L69" s="430">
        <f t="shared" si="1"/>
      </c>
      <c r="M69" s="430">
        <f t="shared" si="0"/>
      </c>
      <c r="N69" s="430">
        <f t="shared" si="13"/>
      </c>
      <c r="O69" s="435"/>
      <c r="P69" s="435"/>
      <c r="Q69" s="436"/>
    </row>
    <row r="70">
      <c r="A70" s="424">
        <v>46124</v>
      </c>
      <c r="B70" s="425" t="s">
        <v>409</v>
      </c>
      <c r="C70" s="426" t="s">
        <v>418</v>
      </c>
      <c r="D70" s="427">
        <v>5</v>
      </c>
      <c r="E70" s="425">
        <v>82</v>
      </c>
      <c r="F70" s="425">
        <v>76</v>
      </c>
      <c r="G70" s="425">
        <v>66</v>
      </c>
      <c r="H70" s="425">
        <v>45</v>
      </c>
      <c r="I70" s="425">
        <v>3</v>
      </c>
      <c r="J70" s="434">
        <v>70619.60000000002</v>
      </c>
      <c r="K70" s="434">
        <v>40155</v>
      </c>
      <c r="L70" s="430">
        <f t="shared" si="1"/>
      </c>
      <c r="M70" s="430">
        <f t="shared" si="0"/>
      </c>
      <c r="N70" s="430">
        <f t="shared" si="13"/>
      </c>
      <c r="O70" s="437"/>
      <c r="P70" s="427"/>
      <c r="Q70" s="436"/>
    </row>
    <row r="71">
      <c r="A71" s="424">
        <v>46124</v>
      </c>
      <c r="B71" s="425" t="s">
        <v>398</v>
      </c>
      <c r="C71" s="426" t="s">
        <v>399</v>
      </c>
      <c r="D71" s="427">
        <v>5</v>
      </c>
      <c r="E71" s="425">
        <v>81</v>
      </c>
      <c r="F71" s="425">
        <v>56</v>
      </c>
      <c r="G71" s="425">
        <v>44</v>
      </c>
      <c r="H71" s="425">
        <v>38</v>
      </c>
      <c r="I71" s="425">
        <v>5</v>
      </c>
      <c r="J71" s="434">
        <v>44936</v>
      </c>
      <c r="K71" s="429">
        <v>36203.380000000005</v>
      </c>
      <c r="L71" s="430">
        <f t="shared" si="1"/>
      </c>
      <c r="M71" s="430">
        <f t="shared" si="0"/>
      </c>
      <c r="N71" s="430">
        <f>K71/H71</f>
      </c>
      <c r="O71" s="431" t="s">
        <v>406</v>
      </c>
      <c r="P71" s="425">
        <v>10</v>
      </c>
      <c r="Q71" s="435"/>
    </row>
    <row r="72">
      <c r="A72" s="440">
        <v>46124</v>
      </c>
      <c r="B72" s="441"/>
      <c r="C72" s="441"/>
      <c r="D72" s="441">
        <f>SUM(D68:D71)</f>
      </c>
      <c r="E72" s="441">
        <f>SUM(E68:E71)</f>
      </c>
      <c r="F72" s="441">
        <f>SUM(F68:F71)</f>
      </c>
      <c r="G72" s="441">
        <f>SUM(G68:G71)</f>
      </c>
      <c r="H72" s="441">
        <f>SUM(H68:H71)</f>
      </c>
      <c r="I72" s="441">
        <f>SUM(I68:I71)</f>
      </c>
      <c r="J72" s="441">
        <f>SUM(J68:J71)</f>
      </c>
      <c r="K72" s="441">
        <f>SUM(K68:K71)</f>
      </c>
      <c r="L72" s="442">
        <f t="shared" si="1"/>
      </c>
      <c r="M72" s="442">
        <f t="shared" si="0"/>
      </c>
      <c r="N72" s="442">
        <f t="shared" ref="N72:N91" si="14">K72/F72</f>
      </c>
      <c r="O72" s="443"/>
      <c r="P72" s="441">
        <f>P68+P69+P70+P71</f>
      </c>
      <c r="Q72" s="443"/>
    </row>
    <row r="73">
      <c r="A73" s="424">
        <v>46125</v>
      </c>
      <c r="B73" s="425" t="s">
        <v>394</v>
      </c>
      <c r="C73" s="426" t="s">
        <v>390</v>
      </c>
      <c r="D73" s="437">
        <v>5</v>
      </c>
      <c r="E73" s="444">
        <v>113</v>
      </c>
      <c r="F73" s="445">
        <v>93</v>
      </c>
      <c r="G73" s="425">
        <v>59</v>
      </c>
      <c r="H73" s="425">
        <v>53</v>
      </c>
      <c r="I73" s="425">
        <v>15</v>
      </c>
      <c r="J73" s="446">
        <v>76231.80000000003</v>
      </c>
      <c r="K73" s="427">
        <v>39287.58</v>
      </c>
      <c r="L73" s="430">
        <f t="shared" si="1"/>
      </c>
      <c r="M73" s="430">
        <f t="shared" si="0"/>
      </c>
      <c r="N73" s="430">
        <f t="shared" si="14"/>
      </c>
      <c r="O73" s="431" t="s">
        <v>407</v>
      </c>
      <c r="P73" s="427">
        <v>10</v>
      </c>
      <c r="Q73" s="432"/>
    </row>
    <row r="74">
      <c r="A74" s="424">
        <v>46125</v>
      </c>
      <c r="B74" s="447" t="s">
        <v>409</v>
      </c>
      <c r="C74" s="426" t="s">
        <v>410</v>
      </c>
      <c r="D74" s="427">
        <v>5</v>
      </c>
      <c r="E74" s="425">
        <v>133</v>
      </c>
      <c r="F74" s="425">
        <v>93</v>
      </c>
      <c r="G74" s="425">
        <v>75</v>
      </c>
      <c r="H74" s="425">
        <v>56</v>
      </c>
      <c r="I74" s="425">
        <v>7</v>
      </c>
      <c r="J74" s="434">
        <v>102989.00000000003</v>
      </c>
      <c r="K74" s="434">
        <v>50364.74</v>
      </c>
      <c r="L74" s="430">
        <f t="shared" si="1"/>
      </c>
      <c r="M74" s="430">
        <f t="shared" si="0"/>
      </c>
      <c r="N74" s="430">
        <f t="shared" si="14"/>
      </c>
      <c r="O74" s="435"/>
      <c r="P74" s="435"/>
      <c r="Q74" s="436"/>
    </row>
    <row r="75">
      <c r="A75" s="424">
        <v>46125</v>
      </c>
      <c r="B75" s="425" t="s">
        <v>392</v>
      </c>
      <c r="C75" s="426" t="s">
        <v>418</v>
      </c>
      <c r="D75" s="427">
        <v>5</v>
      </c>
      <c r="E75" s="425">
        <v>33</v>
      </c>
      <c r="F75" s="425">
        <v>23</v>
      </c>
      <c r="G75" s="425">
        <v>18</v>
      </c>
      <c r="H75" s="425">
        <v>13</v>
      </c>
      <c r="I75" s="425">
        <v>1</v>
      </c>
      <c r="J75" s="434">
        <v>22991.800000000003</v>
      </c>
      <c r="K75" s="434">
        <v>24114.26</v>
      </c>
      <c r="L75" s="430">
        <f t="shared" si="1"/>
      </c>
      <c r="M75" s="430">
        <f t="shared" si="0"/>
      </c>
      <c r="N75" s="430">
        <f t="shared" si="14"/>
      </c>
      <c r="O75" s="431" t="s">
        <v>419</v>
      </c>
      <c r="P75" s="425">
        <v>5</v>
      </c>
      <c r="Q75" s="436"/>
    </row>
    <row r="76">
      <c r="A76" s="440">
        <v>46125</v>
      </c>
      <c r="B76" s="441"/>
      <c r="C76" s="441"/>
      <c r="D76" s="441">
        <f>SUM(D73:D75)</f>
      </c>
      <c r="E76" s="441">
        <f>SUM(E73:E75)</f>
      </c>
      <c r="F76" s="441">
        <f>SUM(F73:F75)</f>
      </c>
      <c r="G76" s="441">
        <f>SUM(G73:G75)</f>
      </c>
      <c r="H76" s="441">
        <f>SUM(H73:H75)</f>
      </c>
      <c r="I76" s="441">
        <f>SUM(I73:I75)</f>
      </c>
      <c r="J76" s="441">
        <f>SUM(J73:J75)</f>
      </c>
      <c r="K76" s="441">
        <f>SUM(K73:K75)</f>
      </c>
      <c r="L76" s="442">
        <f t="shared" si="1"/>
      </c>
      <c r="M76" s="442">
        <f t="shared" si="0"/>
      </c>
      <c r="N76" s="442">
        <f t="shared" si="14"/>
      </c>
      <c r="O76" s="443"/>
      <c r="P76" s="441">
        <f>P73+P74+P75</f>
      </c>
      <c r="Q76" s="443"/>
    </row>
    <row r="77">
      <c r="A77" s="424">
        <v>46126</v>
      </c>
      <c r="B77" s="425" t="s">
        <v>394</v>
      </c>
      <c r="C77" s="426" t="s">
        <v>390</v>
      </c>
      <c r="D77" s="437">
        <v>5</v>
      </c>
      <c r="E77" s="444">
        <v>69</v>
      </c>
      <c r="F77" s="445">
        <v>55</v>
      </c>
      <c r="G77" s="425">
        <v>44</v>
      </c>
      <c r="H77" s="425">
        <v>40</v>
      </c>
      <c r="I77" s="425">
        <v>4</v>
      </c>
      <c r="J77" s="446">
        <v>44535.70000000001</v>
      </c>
      <c r="K77" s="427">
        <v>33441.21</v>
      </c>
      <c r="L77" s="430">
        <f t="shared" si="1"/>
      </c>
      <c r="M77" s="430">
        <f t="shared" si="0"/>
      </c>
      <c r="N77" s="430">
        <f t="shared" si="14"/>
      </c>
      <c r="O77" s="431" t="s">
        <v>407</v>
      </c>
      <c r="P77" s="427">
        <v>10</v>
      </c>
      <c r="Q77" s="432"/>
    </row>
    <row r="78">
      <c r="A78" s="424">
        <v>46126</v>
      </c>
      <c r="B78" s="447" t="s">
        <v>392</v>
      </c>
      <c r="C78" s="426" t="s">
        <v>410</v>
      </c>
      <c r="D78" s="427">
        <v>5</v>
      </c>
      <c r="E78" s="425">
        <v>49</v>
      </c>
      <c r="F78" s="425">
        <v>38</v>
      </c>
      <c r="G78" s="425">
        <v>32</v>
      </c>
      <c r="H78" s="425">
        <v>23</v>
      </c>
      <c r="I78" s="425">
        <v>2</v>
      </c>
      <c r="J78" s="434">
        <v>39092.600000000006</v>
      </c>
      <c r="K78" s="434">
        <v>21429.769999999997</v>
      </c>
      <c r="L78" s="430">
        <f t="shared" si="1"/>
      </c>
      <c r="M78" s="430">
        <f t="shared" si="0"/>
      </c>
      <c r="N78" s="430">
        <f t="shared" si="14"/>
      </c>
      <c r="O78" s="435"/>
      <c r="P78" s="435"/>
      <c r="Q78" s="436"/>
    </row>
    <row r="79">
      <c r="A79" s="424">
        <v>46126</v>
      </c>
      <c r="B79" s="447" t="s">
        <v>409</v>
      </c>
      <c r="C79" s="433" t="s">
        <v>420</v>
      </c>
      <c r="D79" s="425">
        <v>4</v>
      </c>
      <c r="E79" s="425">
        <v>45</v>
      </c>
      <c r="F79" s="425">
        <v>28</v>
      </c>
      <c r="G79" s="425">
        <v>22</v>
      </c>
      <c r="H79" s="425">
        <v>8</v>
      </c>
      <c r="I79" s="425">
        <v>3</v>
      </c>
      <c r="J79" s="434">
        <v>30547.799999999996</v>
      </c>
      <c r="K79" s="434">
        <v>16922.72</v>
      </c>
      <c r="L79" s="430">
        <f t="shared" si="1"/>
      </c>
      <c r="M79" s="430">
        <f t="shared" si="0"/>
      </c>
      <c r="N79" s="430">
        <f t="shared" si="14"/>
      </c>
      <c r="O79" s="431" t="s">
        <v>419</v>
      </c>
      <c r="P79" s="425">
        <v>4</v>
      </c>
      <c r="Q79" s="436"/>
    </row>
    <row r="80">
      <c r="A80" s="440">
        <v>46126</v>
      </c>
      <c r="B80" s="441"/>
      <c r="C80" s="441"/>
      <c r="D80" s="441">
        <f>SUM(D77:D79)</f>
      </c>
      <c r="E80" s="441">
        <f>SUM(E77:E79)</f>
      </c>
      <c r="F80" s="441">
        <f>SUM(F77:F79)</f>
      </c>
      <c r="G80" s="441">
        <f>SUM(G77:G79)</f>
      </c>
      <c r="H80" s="441">
        <f>SUM(H77:H79)</f>
      </c>
      <c r="I80" s="441">
        <f>SUM(I77:I79)</f>
      </c>
      <c r="J80" s="441">
        <f>SUM(J77:J79)</f>
      </c>
      <c r="K80" s="441">
        <f>SUM(K77:K79)</f>
      </c>
      <c r="L80" s="442">
        <f t="shared" si="1"/>
      </c>
      <c r="M80" s="442">
        <f t="shared" si="0"/>
      </c>
      <c r="N80" s="442">
        <f t="shared" si="14"/>
      </c>
      <c r="O80" s="443"/>
      <c r="P80" s="441">
        <f>P77+P78+P79</f>
      </c>
      <c r="Q80" s="443"/>
    </row>
    <row r="81">
      <c r="A81" s="424">
        <v>46127</v>
      </c>
      <c r="B81" s="447" t="s">
        <v>392</v>
      </c>
      <c r="C81" s="426" t="s">
        <v>390</v>
      </c>
      <c r="D81" s="437">
        <v>5</v>
      </c>
      <c r="E81" s="444">
        <v>54</v>
      </c>
      <c r="F81" s="445">
        <v>44</v>
      </c>
      <c r="G81" s="425">
        <v>32</v>
      </c>
      <c r="H81" s="425">
        <v>25</v>
      </c>
      <c r="I81" s="425">
        <v>5</v>
      </c>
      <c r="J81" s="446">
        <v>39436.20000000001</v>
      </c>
      <c r="K81" s="427">
        <v>28862.390000000003</v>
      </c>
      <c r="L81" s="430">
        <f t="shared" si="1"/>
      </c>
      <c r="M81" s="430">
        <f t="shared" si="0"/>
      </c>
      <c r="N81" s="430">
        <f t="shared" si="14"/>
      </c>
      <c r="O81" s="431" t="s">
        <v>407</v>
      </c>
      <c r="P81" s="427">
        <v>10</v>
      </c>
      <c r="Q81" s="432"/>
    </row>
    <row r="82">
      <c r="A82" s="424">
        <v>46127</v>
      </c>
      <c r="B82" s="425" t="s">
        <v>394</v>
      </c>
      <c r="C82" s="426" t="s">
        <v>410</v>
      </c>
      <c r="D82" s="427">
        <v>5</v>
      </c>
      <c r="E82" s="425">
        <v>63</v>
      </c>
      <c r="F82" s="425">
        <v>52</v>
      </c>
      <c r="G82" s="425">
        <v>41</v>
      </c>
      <c r="H82" s="425">
        <v>27</v>
      </c>
      <c r="I82" s="425">
        <v>4</v>
      </c>
      <c r="J82" s="434">
        <v>52916.200000000004</v>
      </c>
      <c r="K82" s="434">
        <v>23838.050000000003</v>
      </c>
      <c r="L82" s="430">
        <f t="shared" si="1"/>
      </c>
      <c r="M82" s="430">
        <f t="shared" si="0"/>
      </c>
      <c r="N82" s="430">
        <f t="shared" si="14"/>
      </c>
      <c r="O82" s="435"/>
      <c r="P82" s="435"/>
      <c r="Q82" s="436"/>
    </row>
    <row r="83">
      <c r="A83" s="424">
        <v>46127</v>
      </c>
      <c r="B83" s="447" t="s">
        <v>409</v>
      </c>
      <c r="C83" s="433" t="s">
        <v>418</v>
      </c>
      <c r="D83" s="425">
        <v>5</v>
      </c>
      <c r="E83" s="425">
        <v>35</v>
      </c>
      <c r="F83" s="425">
        <v>28</v>
      </c>
      <c r="G83" s="425">
        <v>25</v>
      </c>
      <c r="H83" s="425">
        <v>17</v>
      </c>
      <c r="I83" s="425">
        <v>3</v>
      </c>
      <c r="J83" s="434">
        <v>26306.399999999994</v>
      </c>
      <c r="K83" s="434">
        <v>16481.67</v>
      </c>
      <c r="L83" s="430">
        <f t="shared" si="1"/>
      </c>
      <c r="M83" s="430">
        <f t="shared" si="0"/>
      </c>
      <c r="N83" s="430">
        <f t="shared" si="14"/>
      </c>
      <c r="O83" s="431" t="s">
        <v>419</v>
      </c>
      <c r="P83" s="425">
        <v>5</v>
      </c>
      <c r="Q83" s="436"/>
    </row>
    <row r="84">
      <c r="A84" s="440">
        <v>46127</v>
      </c>
      <c r="B84" s="441"/>
      <c r="C84" s="441"/>
      <c r="D84" s="441">
        <f>SUM(D81:D83)</f>
      </c>
      <c r="E84" s="441">
        <f>SUM(E81:E83)</f>
      </c>
      <c r="F84" s="441">
        <f>SUM(F81:F83)</f>
      </c>
      <c r="G84" s="441">
        <f>SUM(G81:G83)</f>
      </c>
      <c r="H84" s="441">
        <f>SUM(H81:H83)</f>
      </c>
      <c r="I84" s="441">
        <f>SUM(I81:I83)</f>
      </c>
      <c r="J84" s="441">
        <f>SUM(J81:J83)</f>
      </c>
      <c r="K84" s="441">
        <f>SUM(K81:K83)</f>
      </c>
      <c r="L84" s="442">
        <f t="shared" si="1"/>
      </c>
      <c r="M84" s="442">
        <f t="shared" si="0"/>
      </c>
      <c r="N84" s="442">
        <f t="shared" si="14"/>
      </c>
      <c r="O84" s="443"/>
      <c r="P84" s="441">
        <f>P81+P82+P83</f>
      </c>
      <c r="Q84" s="443"/>
    </row>
    <row r="85">
      <c r="A85" s="424">
        <v>46128</v>
      </c>
      <c r="B85" s="447" t="s">
        <v>394</v>
      </c>
      <c r="C85" s="426" t="s">
        <v>390</v>
      </c>
      <c r="D85" s="437">
        <v>5</v>
      </c>
      <c r="E85" s="444">
        <v>70</v>
      </c>
      <c r="F85" s="445">
        <v>58</v>
      </c>
      <c r="G85" s="425">
        <v>34</v>
      </c>
      <c r="H85" s="425">
        <v>47</v>
      </c>
      <c r="I85" s="425">
        <v>8</v>
      </c>
      <c r="J85" s="446">
        <v>51836.600000000006</v>
      </c>
      <c r="K85" s="427">
        <v>34063.29</v>
      </c>
      <c r="L85" s="430">
        <f t="shared" si="1"/>
      </c>
      <c r="M85" s="430">
        <f t="shared" si="0"/>
      </c>
      <c r="N85" s="430">
        <f t="shared" si="14"/>
      </c>
      <c r="O85" s="431" t="s">
        <v>407</v>
      </c>
      <c r="P85" s="427">
        <v>10</v>
      </c>
      <c r="Q85" s="432"/>
    </row>
    <row r="86">
      <c r="A86" s="424">
        <v>46128</v>
      </c>
      <c r="B86" s="447" t="s">
        <v>392</v>
      </c>
      <c r="C86" s="426" t="s">
        <v>410</v>
      </c>
      <c r="D86" s="427">
        <v>5</v>
      </c>
      <c r="E86" s="425">
        <v>34</v>
      </c>
      <c r="F86" s="425">
        <v>26</v>
      </c>
      <c r="G86" s="425">
        <v>20</v>
      </c>
      <c r="H86" s="425">
        <v>17</v>
      </c>
      <c r="I86" s="425">
        <v>4</v>
      </c>
      <c r="J86" s="429">
        <v>26251.4</v>
      </c>
      <c r="K86" s="429">
        <v>14949.37</v>
      </c>
      <c r="L86" s="430">
        <f t="shared" si="1"/>
      </c>
      <c r="M86" s="430">
        <f t="shared" si="0"/>
      </c>
      <c r="N86" s="430">
        <f t="shared" si="14"/>
      </c>
      <c r="O86" s="435"/>
      <c r="P86" s="435"/>
      <c r="Q86" s="436"/>
    </row>
    <row r="87">
      <c r="A87" s="424">
        <v>46128</v>
      </c>
      <c r="B87" s="447" t="s">
        <v>409</v>
      </c>
      <c r="C87" s="433" t="s">
        <v>418</v>
      </c>
      <c r="D87" s="425">
        <v>5</v>
      </c>
      <c r="E87" s="425">
        <v>42</v>
      </c>
      <c r="F87" s="425">
        <v>34</v>
      </c>
      <c r="G87" s="425">
        <v>26</v>
      </c>
      <c r="H87" s="425">
        <v>17</v>
      </c>
      <c r="I87" s="425">
        <v>4</v>
      </c>
      <c r="J87" s="429">
        <v>29242.6</v>
      </c>
      <c r="K87" s="429">
        <v>15381.64</v>
      </c>
      <c r="L87" s="430">
        <f t="shared" si="1"/>
      </c>
      <c r="M87" s="430">
        <f t="shared" si="0"/>
      </c>
      <c r="N87" s="430">
        <f t="shared" si="14"/>
      </c>
      <c r="O87" s="431" t="s">
        <v>421</v>
      </c>
      <c r="P87" s="425">
        <v>5</v>
      </c>
      <c r="Q87" s="436"/>
    </row>
    <row r="88">
      <c r="A88" s="440">
        <v>46128</v>
      </c>
      <c r="B88" s="441"/>
      <c r="C88" s="441"/>
      <c r="D88" s="441">
        <f>SUM(D85:D87)</f>
      </c>
      <c r="E88" s="441">
        <f>SUM(E85:E87)</f>
      </c>
      <c r="F88" s="441">
        <f>SUM(F85:F87)</f>
      </c>
      <c r="G88" s="441">
        <f>SUM(G85:G87)</f>
      </c>
      <c r="H88" s="441">
        <f>SUM(H85:H87)</f>
      </c>
      <c r="I88" s="441">
        <f>SUM(I85:I87)</f>
      </c>
      <c r="J88" s="441">
        <f>SUM(J85:J87)</f>
      </c>
      <c r="K88" s="441">
        <f>SUM(K85:K87)</f>
      </c>
      <c r="L88" s="442">
        <f t="shared" si="1"/>
      </c>
      <c r="M88" s="442">
        <f t="shared" si="0"/>
      </c>
      <c r="N88" s="442">
        <f t="shared" si="14"/>
      </c>
      <c r="O88" s="443"/>
      <c r="P88" s="441">
        <f>P85+P86+P87</f>
      </c>
      <c r="Q88" s="443"/>
    </row>
    <row r="89">
      <c r="A89" s="424">
        <v>46129</v>
      </c>
      <c r="B89" s="425" t="s">
        <v>394</v>
      </c>
      <c r="C89" s="426" t="s">
        <v>390</v>
      </c>
      <c r="D89" s="437">
        <v>5</v>
      </c>
      <c r="E89" s="444">
        <v>43</v>
      </c>
      <c r="F89" s="445">
        <v>29</v>
      </c>
      <c r="G89" s="425">
        <v>21</v>
      </c>
      <c r="H89" s="425">
        <v>22</v>
      </c>
      <c r="I89" s="425">
        <v>3</v>
      </c>
      <c r="J89" s="446">
        <v>25827.9</v>
      </c>
      <c r="K89" s="427">
        <v>29183.510000000002</v>
      </c>
      <c r="L89" s="430">
        <f t="shared" si="1"/>
      </c>
      <c r="M89" s="430">
        <f t="shared" si="0"/>
      </c>
      <c r="N89" s="430">
        <f t="shared" si="14"/>
      </c>
      <c r="O89" s="431" t="s">
        <v>407</v>
      </c>
      <c r="P89" s="427">
        <v>10</v>
      </c>
      <c r="Q89" s="432"/>
    </row>
    <row r="90">
      <c r="A90" s="424">
        <v>46129</v>
      </c>
      <c r="B90" s="425" t="s">
        <v>409</v>
      </c>
      <c r="C90" s="426" t="s">
        <v>410</v>
      </c>
      <c r="D90" s="427">
        <v>5</v>
      </c>
      <c r="E90" s="425">
        <v>77</v>
      </c>
      <c r="F90" s="425">
        <v>68</v>
      </c>
      <c r="G90" s="425">
        <v>56</v>
      </c>
      <c r="H90" s="425">
        <v>39</v>
      </c>
      <c r="I90" s="425">
        <v>5</v>
      </c>
      <c r="J90" s="434">
        <v>66647.40000000001</v>
      </c>
      <c r="K90" s="434">
        <v>27720.550000000003</v>
      </c>
      <c r="L90" s="430">
        <f t="shared" si="1"/>
      </c>
      <c r="M90" s="430">
        <f t="shared" si="0"/>
      </c>
      <c r="N90" s="430">
        <f t="shared" si="14"/>
      </c>
      <c r="O90" s="435"/>
      <c r="P90" s="435"/>
      <c r="Q90" s="436"/>
    </row>
    <row r="91">
      <c r="A91" s="424">
        <v>46129</v>
      </c>
      <c r="B91" s="425" t="s">
        <v>398</v>
      </c>
      <c r="C91" s="426" t="s">
        <v>418</v>
      </c>
      <c r="D91" s="427">
        <v>5</v>
      </c>
      <c r="E91" s="425">
        <v>52</v>
      </c>
      <c r="F91" s="425">
        <v>40</v>
      </c>
      <c r="G91" s="425">
        <v>29</v>
      </c>
      <c r="H91" s="425">
        <v>29</v>
      </c>
      <c r="I91" s="425">
        <v>5</v>
      </c>
      <c r="J91" s="434">
        <v>35403.600000000006</v>
      </c>
      <c r="K91" s="434">
        <v>24381.01</v>
      </c>
      <c r="L91" s="430">
        <f t="shared" si="1"/>
      </c>
      <c r="M91" s="430">
        <f t="shared" si="0"/>
      </c>
      <c r="N91" s="430">
        <f t="shared" si="14"/>
      </c>
      <c r="O91" s="437"/>
      <c r="P91" s="427"/>
      <c r="Q91" s="436"/>
    </row>
    <row r="92">
      <c r="A92" s="424">
        <v>46129</v>
      </c>
      <c r="B92" s="425" t="s">
        <v>392</v>
      </c>
      <c r="C92" s="426" t="s">
        <v>399</v>
      </c>
      <c r="D92" s="427">
        <v>5</v>
      </c>
      <c r="E92" s="425">
        <v>31</v>
      </c>
      <c r="F92" s="425">
        <v>28</v>
      </c>
      <c r="G92" s="425">
        <v>16</v>
      </c>
      <c r="H92" s="425">
        <v>19</v>
      </c>
      <c r="I92" s="425">
        <v>4</v>
      </c>
      <c r="J92" s="434">
        <v>22894.599999999984</v>
      </c>
      <c r="K92" s="429">
        <v>16052.779999999999</v>
      </c>
      <c r="L92" s="430">
        <f t="shared" si="1"/>
      </c>
      <c r="M92" s="430">
        <f t="shared" si="0"/>
      </c>
      <c r="N92" s="430">
        <f>K92/H92</f>
      </c>
      <c r="O92" s="431" t="s">
        <v>406</v>
      </c>
      <c r="P92" s="425">
        <v>10</v>
      </c>
      <c r="Q92" s="435"/>
    </row>
    <row r="93">
      <c r="A93" s="440">
        <v>46129</v>
      </c>
      <c r="B93" s="441"/>
      <c r="C93" s="441"/>
      <c r="D93" s="441">
        <f>SUM(D89:D92)</f>
      </c>
      <c r="E93" s="441">
        <f>SUM(E89:E92)</f>
      </c>
      <c r="F93" s="441">
        <f>SUM(F89:F92)</f>
      </c>
      <c r="G93" s="441">
        <f>SUM(G89:G92)</f>
      </c>
      <c r="H93" s="441">
        <f>SUM(H89:H92)</f>
      </c>
      <c r="I93" s="441">
        <f>SUM(I89:I92)</f>
      </c>
      <c r="J93" s="441">
        <f>SUM(J89:J92)</f>
      </c>
      <c r="K93" s="441">
        <f>SUM(K89:K92)</f>
      </c>
      <c r="L93" s="442">
        <f t="shared" si="1"/>
      </c>
      <c r="M93" s="442">
        <f t="shared" si="0"/>
      </c>
      <c r="N93" s="442">
        <f t="shared" ref="N93:N100" si="15">K93/F93</f>
      </c>
      <c r="O93" s="443"/>
      <c r="P93" s="441">
        <f>P89+P90+P91+P92</f>
      </c>
      <c r="Q93" s="443"/>
    </row>
    <row r="94">
      <c r="A94" s="424">
        <v>46130</v>
      </c>
      <c r="B94" s="425" t="s">
        <v>409</v>
      </c>
      <c r="C94" s="426" t="s">
        <v>390</v>
      </c>
      <c r="D94" s="437">
        <v>5</v>
      </c>
      <c r="E94" s="444">
        <v>75</v>
      </c>
      <c r="F94" s="445">
        <v>58</v>
      </c>
      <c r="G94" s="425">
        <v>42</v>
      </c>
      <c r="H94" s="425">
        <v>38</v>
      </c>
      <c r="I94" s="425">
        <v>12</v>
      </c>
      <c r="J94" s="446">
        <v>54527.8</v>
      </c>
      <c r="K94" s="427">
        <v>51564.14000000001</v>
      </c>
      <c r="L94" s="430">
        <f t="shared" si="1"/>
      </c>
      <c r="M94" s="430">
        <f t="shared" si="0"/>
      </c>
      <c r="N94" s="430">
        <f t="shared" si="15"/>
      </c>
      <c r="O94" s="431" t="s">
        <v>422</v>
      </c>
      <c r="P94" s="427">
        <v>10</v>
      </c>
      <c r="Q94" s="432"/>
    </row>
    <row r="95">
      <c r="A95" s="424">
        <v>46130</v>
      </c>
      <c r="B95" s="425" t="s">
        <v>398</v>
      </c>
      <c r="C95" s="426" t="s">
        <v>410</v>
      </c>
      <c r="D95" s="427">
        <v>5</v>
      </c>
      <c r="E95" s="425">
        <v>28</v>
      </c>
      <c r="F95" s="425">
        <v>26</v>
      </c>
      <c r="G95" s="425">
        <v>23</v>
      </c>
      <c r="H95" s="425">
        <v>16</v>
      </c>
      <c r="I95" s="425">
        <v>2</v>
      </c>
      <c r="J95" s="429">
        <v>31682.999999999993</v>
      </c>
      <c r="K95" s="429">
        <v>20851.66</v>
      </c>
      <c r="L95" s="430">
        <f t="shared" si="1"/>
      </c>
      <c r="M95" s="430">
        <f t="shared" si="0"/>
      </c>
      <c r="N95" s="430">
        <f t="shared" si="15"/>
      </c>
      <c r="O95" s="435"/>
      <c r="P95" s="435"/>
      <c r="Q95" s="436"/>
    </row>
    <row r="96">
      <c r="A96" s="424">
        <v>46130</v>
      </c>
      <c r="B96" s="425" t="s">
        <v>392</v>
      </c>
      <c r="C96" s="433" t="s">
        <v>418</v>
      </c>
      <c r="D96" s="425">
        <v>5</v>
      </c>
      <c r="E96" s="425">
        <v>23</v>
      </c>
      <c r="F96" s="425">
        <v>20</v>
      </c>
      <c r="G96" s="425">
        <v>15</v>
      </c>
      <c r="H96" s="425">
        <v>12</v>
      </c>
      <c r="I96" s="425">
        <v>2</v>
      </c>
      <c r="J96" s="429">
        <v>22151.600000000006</v>
      </c>
      <c r="K96" s="429">
        <v>10323.98</v>
      </c>
      <c r="L96" s="430">
        <f t="shared" si="1"/>
      </c>
      <c r="M96" s="430">
        <f t="shared" si="0"/>
      </c>
      <c r="N96" s="430">
        <f t="shared" si="15"/>
      </c>
      <c r="O96" s="431" t="s">
        <v>419</v>
      </c>
      <c r="P96" s="425">
        <v>5</v>
      </c>
      <c r="Q96" s="436"/>
    </row>
    <row r="97">
      <c r="A97" s="440">
        <v>46130</v>
      </c>
      <c r="B97" s="441"/>
      <c r="C97" s="441"/>
      <c r="D97" s="441">
        <f>SUM(D94:D96)</f>
      </c>
      <c r="E97" s="441">
        <f>SUM(E94:E96)</f>
      </c>
      <c r="F97" s="441">
        <f>SUM(F94:F96)</f>
      </c>
      <c r="G97" s="441">
        <f>SUM(G94:G96)</f>
      </c>
      <c r="H97" s="441">
        <f>SUM(H94:H96)</f>
      </c>
      <c r="I97" s="441">
        <f>SUM(I94:I96)</f>
      </c>
      <c r="J97" s="441">
        <f>SUM(J94:J96)</f>
      </c>
      <c r="K97" s="441">
        <f>SUM(K94:K96)</f>
      </c>
      <c r="L97" s="442">
        <f t="shared" si="1"/>
      </c>
      <c r="M97" s="442">
        <f t="shared" si="0"/>
      </c>
      <c r="N97" s="442">
        <f t="shared" si="15"/>
      </c>
      <c r="O97" s="443"/>
      <c r="P97" s="441">
        <f>P94+P95+P96</f>
      </c>
      <c r="Q97" s="443"/>
    </row>
    <row r="98">
      <c r="A98" s="424">
        <v>46131</v>
      </c>
      <c r="B98" s="447" t="s">
        <v>409</v>
      </c>
      <c r="C98" s="426" t="s">
        <v>390</v>
      </c>
      <c r="D98" s="437">
        <v>5</v>
      </c>
      <c r="E98" s="444">
        <v>38</v>
      </c>
      <c r="F98" s="445">
        <v>30</v>
      </c>
      <c r="G98" s="425">
        <v>23</v>
      </c>
      <c r="H98" s="425">
        <v>22</v>
      </c>
      <c r="I98" s="425">
        <v>4</v>
      </c>
      <c r="J98" s="446">
        <v>32546</v>
      </c>
      <c r="K98" s="427">
        <v>19608.09</v>
      </c>
      <c r="L98" s="430">
        <f t="shared" si="1"/>
      </c>
      <c r="M98" s="430">
        <f t="shared" si="0"/>
      </c>
      <c r="N98" s="430">
        <f t="shared" si="15"/>
      </c>
      <c r="O98" s="431" t="s">
        <v>407</v>
      </c>
      <c r="P98" s="427">
        <v>10</v>
      </c>
      <c r="Q98" s="432"/>
    </row>
    <row r="99">
      <c r="A99" s="424">
        <v>46131</v>
      </c>
      <c r="B99" s="425" t="s">
        <v>398</v>
      </c>
      <c r="C99" s="426" t="s">
        <v>410</v>
      </c>
      <c r="D99" s="427">
        <v>5</v>
      </c>
      <c r="E99" s="425">
        <v>33</v>
      </c>
      <c r="F99" s="425">
        <v>24</v>
      </c>
      <c r="G99" s="425">
        <v>22</v>
      </c>
      <c r="H99" s="425">
        <v>17</v>
      </c>
      <c r="I99" s="425">
        <v>3</v>
      </c>
      <c r="J99" s="434">
        <v>29132</v>
      </c>
      <c r="K99" s="434">
        <v>13280.580000000002</v>
      </c>
      <c r="L99" s="430">
        <f t="shared" si="1"/>
      </c>
      <c r="M99" s="430">
        <f t="shared" si="0"/>
      </c>
      <c r="N99" s="430">
        <f t="shared" si="15"/>
      </c>
      <c r="O99" s="435"/>
      <c r="P99" s="435"/>
      <c r="Q99" s="436"/>
    </row>
    <row r="100">
      <c r="A100" s="424">
        <v>46131</v>
      </c>
      <c r="B100" s="425" t="s">
        <v>394</v>
      </c>
      <c r="C100" s="426" t="s">
        <v>418</v>
      </c>
      <c r="D100" s="427">
        <v>5</v>
      </c>
      <c r="E100" s="425">
        <v>44</v>
      </c>
      <c r="F100" s="425">
        <v>38</v>
      </c>
      <c r="G100" s="425">
        <v>23</v>
      </c>
      <c r="H100" s="425">
        <v>26</v>
      </c>
      <c r="I100" s="425">
        <v>5</v>
      </c>
      <c r="J100" s="434">
        <v>29735.999999999996</v>
      </c>
      <c r="K100" s="434">
        <v>15516.89</v>
      </c>
      <c r="L100" s="430">
        <f t="shared" si="1"/>
      </c>
      <c r="M100" s="430">
        <f t="shared" si="0"/>
      </c>
      <c r="N100" s="430">
        <f t="shared" si="15"/>
      </c>
      <c r="O100" s="437"/>
      <c r="P100" s="427"/>
      <c r="Q100" s="436"/>
    </row>
    <row r="101">
      <c r="A101" s="424">
        <v>46131</v>
      </c>
      <c r="B101" s="425" t="s">
        <v>389</v>
      </c>
      <c r="C101" s="426" t="s">
        <v>399</v>
      </c>
      <c r="D101" s="427">
        <v>5</v>
      </c>
      <c r="E101" s="425">
        <v>73</v>
      </c>
      <c r="F101" s="425">
        <v>59</v>
      </c>
      <c r="G101" s="425">
        <v>48</v>
      </c>
      <c r="H101" s="425">
        <v>41</v>
      </c>
      <c r="I101" s="425">
        <v>6</v>
      </c>
      <c r="J101" s="434">
        <v>45573.000000000015</v>
      </c>
      <c r="K101" s="429">
        <v>27055.45</v>
      </c>
      <c r="L101" s="430">
        <f t="shared" si="1"/>
      </c>
      <c r="M101" s="430">
        <f t="shared" si="0"/>
      </c>
      <c r="N101" s="430">
        <f>K101/H101</f>
      </c>
      <c r="O101" s="431" t="s">
        <v>406</v>
      </c>
      <c r="P101" s="425">
        <v>10</v>
      </c>
      <c r="Q101" s="435"/>
    </row>
    <row r="102">
      <c r="A102" s="440">
        <v>46131</v>
      </c>
      <c r="B102" s="441"/>
      <c r="C102" s="441"/>
      <c r="D102" s="441">
        <f>SUM(D98:D101)</f>
      </c>
      <c r="E102" s="441">
        <f>SUM(E98:E101)</f>
      </c>
      <c r="F102" s="441">
        <f>SUM(F98:F101)</f>
      </c>
      <c r="G102" s="441">
        <f>SUM(G98:G101)</f>
      </c>
      <c r="H102" s="441">
        <f>SUM(H98:H101)</f>
      </c>
      <c r="I102" s="441">
        <f>SUM(I98:I101)</f>
      </c>
      <c r="J102" s="441">
        <f>SUM(J98:J101)</f>
      </c>
      <c r="K102" s="441">
        <f>SUM(K98:K101)</f>
      </c>
      <c r="L102" s="442">
        <f t="shared" si="1"/>
      </c>
      <c r="M102" s="442">
        <f t="shared" si="0"/>
      </c>
      <c r="N102" s="442">
        <f t="shared" ref="N102:N105" si="16">K102/F102</f>
      </c>
      <c r="O102" s="443"/>
      <c r="P102" s="441">
        <f>P98+P99+P100+P101</f>
      </c>
      <c r="Q102" s="443"/>
    </row>
    <row r="103">
      <c r="A103" s="424">
        <v>46132</v>
      </c>
      <c r="B103" s="425" t="s">
        <v>394</v>
      </c>
      <c r="C103" s="426" t="s">
        <v>390</v>
      </c>
      <c r="D103" s="437">
        <v>5</v>
      </c>
      <c r="E103" s="444">
        <v>76</v>
      </c>
      <c r="F103" s="445">
        <v>62</v>
      </c>
      <c r="G103" s="425">
        <v>50</v>
      </c>
      <c r="H103" s="425">
        <v>43</v>
      </c>
      <c r="I103" s="425">
        <v>4</v>
      </c>
      <c r="J103" s="446">
        <v>54116.59999999999</v>
      </c>
      <c r="K103" s="427">
        <v>37342.33</v>
      </c>
      <c r="L103" s="430">
        <f t="shared" si="1"/>
      </c>
      <c r="M103" s="430">
        <f t="shared" si="0"/>
      </c>
      <c r="N103" s="430">
        <f t="shared" si="16"/>
      </c>
      <c r="O103" s="431" t="s">
        <v>407</v>
      </c>
      <c r="P103" s="427">
        <v>10</v>
      </c>
      <c r="Q103" s="432"/>
    </row>
    <row r="104">
      <c r="A104" s="424">
        <v>46132</v>
      </c>
      <c r="B104" s="447" t="s">
        <v>398</v>
      </c>
      <c r="C104" s="426" t="s">
        <v>410</v>
      </c>
      <c r="D104" s="427">
        <v>5</v>
      </c>
      <c r="E104" s="425">
        <v>77</v>
      </c>
      <c r="F104" s="425">
        <v>59</v>
      </c>
      <c r="G104" s="425">
        <v>54</v>
      </c>
      <c r="H104" s="425">
        <v>34</v>
      </c>
      <c r="I104" s="425">
        <v>3</v>
      </c>
      <c r="J104" s="434">
        <v>51359.50000000001</v>
      </c>
      <c r="K104" s="434">
        <v>34629.68</v>
      </c>
      <c r="L104" s="430">
        <f t="shared" si="1"/>
      </c>
      <c r="M104" s="430">
        <f t="shared" si="0"/>
      </c>
      <c r="N104" s="430">
        <f t="shared" si="16"/>
      </c>
      <c r="O104" s="435"/>
      <c r="P104" s="435"/>
      <c r="Q104" s="436"/>
    </row>
    <row r="105">
      <c r="A105" s="424">
        <v>46132</v>
      </c>
      <c r="B105" s="425" t="s">
        <v>389</v>
      </c>
      <c r="C105" s="426" t="s">
        <v>418</v>
      </c>
      <c r="D105" s="427">
        <v>5</v>
      </c>
      <c r="E105" s="425">
        <v>83</v>
      </c>
      <c r="F105" s="425">
        <v>64</v>
      </c>
      <c r="G105" s="425">
        <v>50</v>
      </c>
      <c r="H105" s="425">
        <v>43</v>
      </c>
      <c r="I105" s="425">
        <v>7</v>
      </c>
      <c r="J105" s="434">
        <v>47296.5</v>
      </c>
      <c r="K105" s="434">
        <v>33807.23</v>
      </c>
      <c r="L105" s="430">
        <f t="shared" si="1"/>
      </c>
      <c r="M105" s="430">
        <f t="shared" si="0"/>
      </c>
      <c r="N105" s="430">
        <f t="shared" si="16"/>
      </c>
      <c r="O105" s="437"/>
      <c r="P105" s="427"/>
      <c r="Q105" s="436"/>
    </row>
    <row r="106">
      <c r="A106" s="424">
        <v>46132</v>
      </c>
      <c r="B106" s="425" t="s">
        <v>392</v>
      </c>
      <c r="C106" s="426" t="s">
        <v>399</v>
      </c>
      <c r="D106" s="427">
        <v>5</v>
      </c>
      <c r="E106" s="425">
        <v>69</v>
      </c>
      <c r="F106" s="425">
        <v>52</v>
      </c>
      <c r="G106" s="425">
        <v>46</v>
      </c>
      <c r="H106" s="425">
        <v>39</v>
      </c>
      <c r="I106" s="425">
        <v>2</v>
      </c>
      <c r="J106" s="434">
        <v>44514.60000000002</v>
      </c>
      <c r="K106" s="429">
        <v>28357.48</v>
      </c>
      <c r="L106" s="430">
        <f t="shared" si="1"/>
      </c>
      <c r="M106" s="430">
        <f t="shared" si="0"/>
      </c>
      <c r="N106" s="430">
        <f>K106/H106</f>
      </c>
      <c r="O106" s="431" t="s">
        <v>406</v>
      </c>
      <c r="P106" s="425">
        <v>10</v>
      </c>
      <c r="Q106" s="435"/>
    </row>
    <row r="107">
      <c r="A107" s="440">
        <v>46132</v>
      </c>
      <c r="B107" s="441"/>
      <c r="C107" s="441"/>
      <c r="D107" s="441">
        <f>SUM(D103:D106)</f>
      </c>
      <c r="E107" s="441">
        <f>SUM(E103:E106)</f>
      </c>
      <c r="F107" s="441">
        <f>SUM(F103:F106)</f>
      </c>
      <c r="G107" s="441">
        <f>SUM(G103:G106)</f>
      </c>
      <c r="H107" s="441">
        <f>SUM(H103:H106)</f>
      </c>
      <c r="I107" s="441">
        <f>SUM(I103:I106)</f>
      </c>
      <c r="J107" s="441">
        <f>SUM(J103:J106)</f>
      </c>
      <c r="K107" s="441">
        <f>SUM(K103:K106)</f>
      </c>
      <c r="L107" s="442">
        <f t="shared" si="1"/>
      </c>
      <c r="M107" s="442">
        <f t="shared" si="0"/>
      </c>
      <c r="N107" s="442">
        <f t="shared" ref="N107:N110" si="17">K107/F107</f>
      </c>
      <c r="O107" s="443"/>
      <c r="P107" s="441">
        <f>P103+P104+P105+P106</f>
      </c>
      <c r="Q107" s="443"/>
    </row>
    <row r="108">
      <c r="A108" s="424">
        <v>46133</v>
      </c>
      <c r="B108" s="425" t="s">
        <v>394</v>
      </c>
      <c r="C108" s="426" t="s">
        <v>390</v>
      </c>
      <c r="D108" s="437">
        <v>5</v>
      </c>
      <c r="E108" s="444">
        <v>81</v>
      </c>
      <c r="F108" s="445">
        <v>61</v>
      </c>
      <c r="G108" s="425">
        <v>49</v>
      </c>
      <c r="H108" s="425">
        <v>37</v>
      </c>
      <c r="I108" s="425">
        <v>4</v>
      </c>
      <c r="J108" s="446">
        <v>53838.000000000015</v>
      </c>
      <c r="K108" s="427">
        <v>33321.03999999999</v>
      </c>
      <c r="L108" s="430">
        <f t="shared" si="1"/>
      </c>
      <c r="M108" s="430">
        <f t="shared" si="0"/>
      </c>
      <c r="N108" s="430">
        <f t="shared" si="17"/>
      </c>
      <c r="O108" s="431" t="s">
        <v>407</v>
      </c>
      <c r="P108" s="427">
        <v>10</v>
      </c>
      <c r="Q108" s="432"/>
    </row>
    <row r="109">
      <c r="A109" s="424">
        <v>46133</v>
      </c>
      <c r="B109" s="447" t="s">
        <v>389</v>
      </c>
      <c r="C109" s="426" t="s">
        <v>410</v>
      </c>
      <c r="D109" s="427">
        <v>5</v>
      </c>
      <c r="E109" s="425">
        <v>62</v>
      </c>
      <c r="F109" s="425">
        <v>49</v>
      </c>
      <c r="G109" s="425">
        <v>33</v>
      </c>
      <c r="H109" s="425">
        <v>30</v>
      </c>
      <c r="I109" s="425">
        <v>8</v>
      </c>
      <c r="J109" s="434">
        <v>49796.1</v>
      </c>
      <c r="K109" s="434">
        <v>23991.149999999998</v>
      </c>
      <c r="L109" s="430">
        <f t="shared" si="1"/>
      </c>
      <c r="M109" s="430">
        <f t="shared" si="0"/>
      </c>
      <c r="N109" s="430">
        <f t="shared" si="17"/>
      </c>
      <c r="O109" s="435"/>
      <c r="P109" s="435"/>
      <c r="Q109" s="436"/>
    </row>
    <row r="110">
      <c r="A110" s="424">
        <v>46133</v>
      </c>
      <c r="B110" s="447" t="s">
        <v>398</v>
      </c>
      <c r="C110" s="426" t="s">
        <v>418</v>
      </c>
      <c r="D110" s="427">
        <v>5</v>
      </c>
      <c r="E110" s="425">
        <v>50</v>
      </c>
      <c r="F110" s="425">
        <v>42</v>
      </c>
      <c r="G110" s="425">
        <v>28</v>
      </c>
      <c r="H110" s="425">
        <v>23</v>
      </c>
      <c r="I110" s="425">
        <v>5</v>
      </c>
      <c r="J110" s="434">
        <v>35533.4</v>
      </c>
      <c r="K110" s="434">
        <v>19092.910000000003</v>
      </c>
      <c r="L110" s="430">
        <f t="shared" si="1"/>
      </c>
      <c r="M110" s="430">
        <f t="shared" si="0"/>
      </c>
      <c r="N110" s="430">
        <f t="shared" si="17"/>
      </c>
      <c r="O110" s="437"/>
      <c r="P110" s="427"/>
      <c r="Q110" s="436"/>
    </row>
    <row r="111">
      <c r="A111" s="424">
        <v>46133</v>
      </c>
      <c r="B111" s="425" t="s">
        <v>392</v>
      </c>
      <c r="C111" s="426" t="s">
        <v>399</v>
      </c>
      <c r="D111" s="427">
        <v>5</v>
      </c>
      <c r="E111" s="425">
        <v>57</v>
      </c>
      <c r="F111" s="425">
        <v>50</v>
      </c>
      <c r="G111" s="425">
        <v>42</v>
      </c>
      <c r="H111" s="425">
        <v>35</v>
      </c>
      <c r="I111" s="425">
        <v>3</v>
      </c>
      <c r="J111" s="434">
        <v>46515.99999999999</v>
      </c>
      <c r="K111" s="429">
        <v>19843.8</v>
      </c>
      <c r="L111" s="430">
        <f t="shared" si="1"/>
      </c>
      <c r="M111" s="430">
        <f t="shared" si="0"/>
      </c>
      <c r="N111" s="430">
        <f>K111/H111</f>
      </c>
      <c r="O111" s="431" t="s">
        <v>406</v>
      </c>
      <c r="P111" s="425">
        <v>10</v>
      </c>
      <c r="Q111" s="435"/>
    </row>
    <row r="112">
      <c r="A112" s="440">
        <v>46133</v>
      </c>
      <c r="B112" s="441"/>
      <c r="C112" s="441"/>
      <c r="D112" s="441">
        <f>SUM(D108:D111)</f>
      </c>
      <c r="E112" s="441">
        <f>SUM(E108:E111)</f>
      </c>
      <c r="F112" s="441">
        <f>SUM(F108:F111)</f>
      </c>
      <c r="G112" s="441">
        <f>SUM(G108:G111)</f>
      </c>
      <c r="H112" s="441">
        <f>SUM(H108:H111)</f>
      </c>
      <c r="I112" s="441">
        <f>SUM(I108:I111)</f>
      </c>
      <c r="J112" s="441">
        <f>SUM(J108:J111)</f>
      </c>
      <c r="K112" s="441">
        <f>SUM(K108:K111)</f>
      </c>
      <c r="L112" s="442">
        <f t="shared" si="1"/>
      </c>
      <c r="M112" s="442">
        <f t="shared" si="0"/>
      </c>
      <c r="N112" s="442">
        <f t="shared" ref="N112:N115" si="18">K112/F112</f>
      </c>
      <c r="O112" s="443"/>
      <c r="P112" s="441">
        <f>P108+P109+P110+P111</f>
      </c>
      <c r="Q112" s="443"/>
    </row>
    <row r="113">
      <c r="A113" s="424">
        <v>46134</v>
      </c>
      <c r="B113" s="447" t="s">
        <v>389</v>
      </c>
      <c r="C113" s="426" t="s">
        <v>390</v>
      </c>
      <c r="D113" s="437">
        <v>5</v>
      </c>
      <c r="E113" s="444">
        <v>45</v>
      </c>
      <c r="F113" s="445">
        <v>35</v>
      </c>
      <c r="G113" s="425">
        <v>24</v>
      </c>
      <c r="H113" s="425">
        <v>23</v>
      </c>
      <c r="I113" s="425">
        <v>7</v>
      </c>
      <c r="J113" s="446">
        <v>37686.899999999994</v>
      </c>
      <c r="K113" s="427">
        <v>27379.36</v>
      </c>
      <c r="L113" s="430">
        <f t="shared" si="1"/>
      </c>
      <c r="M113" s="430">
        <f t="shared" si="0"/>
      </c>
      <c r="N113" s="430">
        <f t="shared" si="18"/>
      </c>
      <c r="O113" s="431" t="s">
        <v>407</v>
      </c>
      <c r="P113" s="427">
        <v>10</v>
      </c>
      <c r="Q113" s="432"/>
    </row>
    <row r="114">
      <c r="A114" s="424">
        <v>46134</v>
      </c>
      <c r="B114" s="425" t="s">
        <v>392</v>
      </c>
      <c r="C114" s="426" t="s">
        <v>410</v>
      </c>
      <c r="D114" s="427">
        <v>5</v>
      </c>
      <c r="E114" s="425">
        <v>77</v>
      </c>
      <c r="F114" s="425">
        <v>57</v>
      </c>
      <c r="G114" s="425">
        <v>42</v>
      </c>
      <c r="H114" s="425">
        <v>40</v>
      </c>
      <c r="I114" s="425">
        <v>4</v>
      </c>
      <c r="J114" s="434">
        <v>53191.60000000001</v>
      </c>
      <c r="K114" s="434">
        <v>26714.179999999997</v>
      </c>
      <c r="L114" s="430">
        <f t="shared" si="1"/>
      </c>
      <c r="M114" s="430">
        <f t="shared" si="0"/>
      </c>
      <c r="N114" s="430">
        <f t="shared" si="18"/>
      </c>
      <c r="O114" s="435"/>
      <c r="P114" s="435"/>
      <c r="Q114" s="436"/>
    </row>
    <row r="115">
      <c r="A115" s="424">
        <v>46134</v>
      </c>
      <c r="B115" s="425" t="s">
        <v>394</v>
      </c>
      <c r="C115" s="426" t="s">
        <v>418</v>
      </c>
      <c r="D115" s="427">
        <v>5</v>
      </c>
      <c r="E115" s="425">
        <v>81</v>
      </c>
      <c r="F115" s="425">
        <v>63</v>
      </c>
      <c r="G115" s="425">
        <v>52</v>
      </c>
      <c r="H115" s="425">
        <v>45</v>
      </c>
      <c r="I115" s="425">
        <v>5</v>
      </c>
      <c r="J115" s="434">
        <v>61056.2</v>
      </c>
      <c r="K115" s="434">
        <v>29705.2</v>
      </c>
      <c r="L115" s="430">
        <f t="shared" si="1"/>
      </c>
      <c r="M115" s="430">
        <f t="shared" si="0"/>
      </c>
      <c r="N115" s="430">
        <f t="shared" si="18"/>
      </c>
      <c r="O115" s="437"/>
      <c r="P115" s="427"/>
      <c r="Q115" s="436"/>
    </row>
    <row r="116">
      <c r="A116" s="424">
        <v>46134</v>
      </c>
      <c r="B116" s="448" t="s">
        <v>409</v>
      </c>
      <c r="C116" s="426" t="s">
        <v>399</v>
      </c>
      <c r="D116" s="427">
        <v>5</v>
      </c>
      <c r="E116" s="425">
        <v>104</v>
      </c>
      <c r="F116" s="425">
        <v>89</v>
      </c>
      <c r="G116" s="425">
        <v>71</v>
      </c>
      <c r="H116" s="425">
        <v>59</v>
      </c>
      <c r="I116" s="425">
        <v>8</v>
      </c>
      <c r="J116" s="434">
        <v>72020.00000000003</v>
      </c>
      <c r="K116" s="429">
        <v>36189.78</v>
      </c>
      <c r="L116" s="430">
        <f t="shared" si="1"/>
      </c>
      <c r="M116" s="430">
        <f t="shared" si="0"/>
      </c>
      <c r="N116" s="430">
        <f>K116/H116</f>
      </c>
      <c r="O116" s="431" t="s">
        <v>406</v>
      </c>
      <c r="P116" s="425">
        <v>10</v>
      </c>
      <c r="Q116" s="435"/>
    </row>
    <row r="117">
      <c r="A117" s="440">
        <v>46134</v>
      </c>
      <c r="B117" s="441"/>
      <c r="C117" s="441"/>
      <c r="D117" s="441">
        <f>SUM(D113:D116)</f>
      </c>
      <c r="E117" s="441">
        <f>SUM(E113:E116)</f>
      </c>
      <c r="F117" s="441">
        <f>SUM(F113:F116)</f>
      </c>
      <c r="G117" s="441">
        <f>SUM(G113:G116)</f>
      </c>
      <c r="H117" s="441">
        <f>SUM(H113:H116)</f>
      </c>
      <c r="I117" s="441">
        <f>SUM(I113:I116)</f>
      </c>
      <c r="J117" s="441">
        <f>SUM(J113:J116)</f>
      </c>
      <c r="K117" s="441">
        <f>SUM(K113:K116)</f>
      </c>
      <c r="L117" s="442">
        <f t="shared" si="1"/>
      </c>
      <c r="M117" s="442">
        <f t="shared" si="0"/>
      </c>
      <c r="N117" s="442">
        <f t="shared" ref="N117:N124" si="19">K117/F117</f>
      </c>
      <c r="O117" s="443"/>
      <c r="P117" s="441">
        <f>P113+P114+P115+P116</f>
      </c>
      <c r="Q117" s="443"/>
    </row>
    <row r="118">
      <c r="A118" s="424">
        <v>46136</v>
      </c>
      <c r="B118" s="425" t="s">
        <v>394</v>
      </c>
      <c r="C118" s="433" t="s">
        <v>395</v>
      </c>
      <c r="D118" s="437">
        <v>5</v>
      </c>
      <c r="E118" s="444">
        <v>66</v>
      </c>
      <c r="F118" s="445">
        <v>49</v>
      </c>
      <c r="G118" s="425">
        <v>39</v>
      </c>
      <c r="H118" s="425">
        <v>32</v>
      </c>
      <c r="I118" s="425">
        <v>6</v>
      </c>
      <c r="J118" s="446">
        <v>44798.6</v>
      </c>
      <c r="K118" s="427">
        <v>26264.47</v>
      </c>
      <c r="L118" s="430">
        <f t="shared" si="1"/>
      </c>
      <c r="M118" s="430">
        <f t="shared" si="0"/>
      </c>
      <c r="N118" s="430">
        <f t="shared" si="19"/>
      </c>
      <c r="O118" s="431" t="s">
        <v>423</v>
      </c>
      <c r="P118" s="425">
        <v>2</v>
      </c>
      <c r="Q118" s="432"/>
    </row>
    <row r="119">
      <c r="A119" s="424">
        <v>46136</v>
      </c>
      <c r="B119" s="425" t="s">
        <v>409</v>
      </c>
      <c r="C119" s="433" t="s">
        <v>412</v>
      </c>
      <c r="D119" s="425">
        <v>4</v>
      </c>
      <c r="E119" s="425">
        <v>85</v>
      </c>
      <c r="F119" s="425">
        <v>67</v>
      </c>
      <c r="G119" s="425">
        <v>60</v>
      </c>
      <c r="H119" s="425">
        <v>52</v>
      </c>
      <c r="I119" s="425">
        <v>9</v>
      </c>
      <c r="J119" s="429">
        <v>56576.40000000003</v>
      </c>
      <c r="K119" s="429">
        <v>35657.92</v>
      </c>
      <c r="L119" s="430">
        <f t="shared" si="1"/>
      </c>
      <c r="M119" s="430">
        <f t="shared" si="0"/>
      </c>
      <c r="N119" s="430">
        <f t="shared" si="19"/>
      </c>
      <c r="O119" s="435"/>
      <c r="P119" s="435"/>
      <c r="Q119" s="436"/>
    </row>
    <row r="120">
      <c r="A120" s="424">
        <v>46136</v>
      </c>
      <c r="B120" s="425" t="s">
        <v>392</v>
      </c>
      <c r="C120" s="433" t="s">
        <v>413</v>
      </c>
      <c r="D120" s="425">
        <v>4</v>
      </c>
      <c r="E120" s="425">
        <v>45</v>
      </c>
      <c r="F120" s="425">
        <v>32</v>
      </c>
      <c r="G120" s="425">
        <v>33</v>
      </c>
      <c r="H120" s="425">
        <v>22</v>
      </c>
      <c r="I120" s="425">
        <v>2</v>
      </c>
      <c r="J120" s="429">
        <v>26204.4</v>
      </c>
      <c r="K120" s="429">
        <v>24832.33</v>
      </c>
      <c r="L120" s="430">
        <f t="shared" si="1"/>
      </c>
      <c r="M120" s="430">
        <f t="shared" si="0"/>
      </c>
      <c r="N120" s="430">
        <f t="shared" si="19"/>
      </c>
      <c r="O120" s="431" t="s">
        <v>406</v>
      </c>
      <c r="P120" s="425">
        <v>11</v>
      </c>
      <c r="Q120" s="436"/>
    </row>
    <row r="121">
      <c r="A121" s="440">
        <v>46136</v>
      </c>
      <c r="B121" s="441"/>
      <c r="C121" s="441"/>
      <c r="D121" s="441">
        <f>SUM(D118:D120)</f>
      </c>
      <c r="E121" s="441">
        <f>SUM(E118:E120)</f>
      </c>
      <c r="F121" s="441">
        <f>SUM(F118:F120)</f>
      </c>
      <c r="G121" s="441">
        <f>SUM(G118:G120)</f>
      </c>
      <c r="H121" s="441">
        <f>SUM(H118:H120)</f>
      </c>
      <c r="I121" s="441">
        <f>SUM(I118:I120)</f>
      </c>
      <c r="J121" s="441">
        <f>SUM(J118:J120)</f>
      </c>
      <c r="K121" s="441">
        <f>SUM(K118:K120)</f>
      </c>
      <c r="L121" s="442">
        <f t="shared" si="1"/>
      </c>
      <c r="M121" s="442">
        <f t="shared" si="0"/>
      </c>
      <c r="N121" s="442">
        <f t="shared" si="19"/>
      </c>
      <c r="O121" s="443"/>
      <c r="P121" s="441">
        <f>P118+P119+P120</f>
      </c>
      <c r="Q121" s="443"/>
    </row>
    <row r="122">
      <c r="A122" s="424">
        <v>46137</v>
      </c>
      <c r="B122" s="447" t="s">
        <v>389</v>
      </c>
      <c r="C122" s="426" t="s">
        <v>390</v>
      </c>
      <c r="D122" s="437">
        <v>5</v>
      </c>
      <c r="E122" s="444">
        <v>32</v>
      </c>
      <c r="F122" s="445">
        <v>24</v>
      </c>
      <c r="G122" s="425">
        <v>20</v>
      </c>
      <c r="H122" s="425">
        <v>21</v>
      </c>
      <c r="I122" s="425">
        <v>0</v>
      </c>
      <c r="J122" s="446">
        <v>18583.6</v>
      </c>
      <c r="K122" s="425">
        <v>24393.49</v>
      </c>
      <c r="L122" s="430">
        <f t="shared" si="1"/>
      </c>
      <c r="M122" s="430">
        <f t="shared" si="0"/>
      </c>
      <c r="N122" s="430">
        <f t="shared" si="19"/>
      </c>
      <c r="O122" s="431" t="s">
        <v>391</v>
      </c>
      <c r="P122" s="427">
        <v>10</v>
      </c>
      <c r="Q122" s="432"/>
    </row>
    <row r="123">
      <c r="A123" s="424">
        <v>46137</v>
      </c>
      <c r="B123" s="425" t="s">
        <v>394</v>
      </c>
      <c r="C123" s="426" t="s">
        <v>410</v>
      </c>
      <c r="D123" s="427">
        <v>5</v>
      </c>
      <c r="E123" s="425">
        <v>34</v>
      </c>
      <c r="F123" s="425">
        <v>30</v>
      </c>
      <c r="G123" s="425">
        <v>19</v>
      </c>
      <c r="H123" s="425">
        <v>18</v>
      </c>
      <c r="I123" s="425">
        <v>4</v>
      </c>
      <c r="J123" s="434">
        <v>29415.199999999997</v>
      </c>
      <c r="K123" s="434">
        <v>11514.54</v>
      </c>
      <c r="L123" s="430">
        <f t="shared" si="1"/>
      </c>
      <c r="M123" s="430">
        <f t="shared" si="0"/>
      </c>
      <c r="N123" s="430">
        <f t="shared" si="19"/>
      </c>
      <c r="O123" s="435"/>
      <c r="P123" s="435"/>
      <c r="Q123" s="436"/>
    </row>
    <row r="124">
      <c r="A124" s="424">
        <v>46137</v>
      </c>
      <c r="B124" s="447" t="s">
        <v>398</v>
      </c>
      <c r="C124" s="426" t="s">
        <v>418</v>
      </c>
      <c r="D124" s="427">
        <v>5</v>
      </c>
      <c r="E124" s="425">
        <v>20</v>
      </c>
      <c r="F124" s="425">
        <v>15</v>
      </c>
      <c r="G124" s="425">
        <v>13</v>
      </c>
      <c r="H124" s="425">
        <v>11</v>
      </c>
      <c r="I124" s="425">
        <v>1</v>
      </c>
      <c r="J124" s="434">
        <v>11888.400000000001</v>
      </c>
      <c r="K124" s="434">
        <v>12118.82</v>
      </c>
      <c r="L124" s="430">
        <f t="shared" si="1"/>
      </c>
      <c r="M124" s="430">
        <f t="shared" si="0"/>
      </c>
      <c r="N124" s="430">
        <f t="shared" si="19"/>
      </c>
      <c r="O124" s="437"/>
      <c r="P124" s="427"/>
      <c r="Q124" s="436"/>
    </row>
    <row r="125">
      <c r="A125" s="424">
        <v>46137</v>
      </c>
      <c r="B125" s="448" t="s">
        <v>409</v>
      </c>
      <c r="C125" s="426" t="s">
        <v>399</v>
      </c>
      <c r="D125" s="427">
        <v>5</v>
      </c>
      <c r="E125" s="425">
        <v>59</v>
      </c>
      <c r="F125" s="425">
        <v>44</v>
      </c>
      <c r="G125" s="425">
        <v>35</v>
      </c>
      <c r="H125" s="425">
        <v>29</v>
      </c>
      <c r="I125" s="425">
        <v>5</v>
      </c>
      <c r="J125" s="434">
        <v>34651.5</v>
      </c>
      <c r="K125" s="429">
        <v>17864.45</v>
      </c>
      <c r="L125" s="430">
        <f t="shared" si="1"/>
      </c>
      <c r="M125" s="430">
        <f t="shared" si="0"/>
      </c>
      <c r="N125" s="430">
        <f>K125/H125</f>
      </c>
      <c r="O125" s="431" t="s">
        <v>400</v>
      </c>
      <c r="P125" s="425">
        <v>10</v>
      </c>
      <c r="Q125" s="435"/>
    </row>
    <row r="126">
      <c r="A126" s="440">
        <v>46137</v>
      </c>
      <c r="B126" s="441"/>
      <c r="C126" s="441"/>
      <c r="D126" s="441">
        <f>SUM(D122:D125)</f>
      </c>
      <c r="E126" s="441">
        <f>SUM(E122:E125)</f>
      </c>
      <c r="F126" s="441">
        <f>SUM(F122:F125)</f>
      </c>
      <c r="G126" s="441">
        <f>SUM(G122:G125)</f>
      </c>
      <c r="H126" s="441">
        <f>SUM(H122:H125)</f>
      </c>
      <c r="I126" s="441">
        <f>SUM(I122:I125)</f>
      </c>
      <c r="J126" s="441">
        <f>SUM(J122:J125)</f>
      </c>
      <c r="K126" s="441">
        <f>SUM(K122:K125)</f>
      </c>
      <c r="L126" s="442">
        <f t="shared" si="1"/>
      </c>
      <c r="M126" s="442">
        <f t="shared" si="0"/>
      </c>
      <c r="N126" s="442">
        <f t="shared" ref="N126:N129" si="20">K126/F126</f>
      </c>
      <c r="O126" s="443"/>
      <c r="P126" s="441">
        <f>P122+P123+P124+P125</f>
      </c>
      <c r="Q126" s="443"/>
    </row>
    <row r="127">
      <c r="A127" s="424">
        <v>46138</v>
      </c>
      <c r="B127" s="425" t="s">
        <v>394</v>
      </c>
      <c r="C127" s="426" t="s">
        <v>390</v>
      </c>
      <c r="D127" s="437">
        <v>5</v>
      </c>
      <c r="E127" s="444">
        <v>81</v>
      </c>
      <c r="F127" s="445">
        <v>60</v>
      </c>
      <c r="G127" s="425">
        <v>42</v>
      </c>
      <c r="H127" s="425">
        <v>42</v>
      </c>
      <c r="I127" s="425">
        <v>7</v>
      </c>
      <c r="J127" s="446">
        <v>50235.600000000006</v>
      </c>
      <c r="K127" s="425">
        <v>28166.51</v>
      </c>
      <c r="L127" s="430">
        <f t="shared" si="1"/>
      </c>
      <c r="M127" s="430">
        <f t="shared" si="0"/>
      </c>
      <c r="N127" s="430">
        <f t="shared" si="20"/>
      </c>
      <c r="O127" s="431" t="s">
        <v>391</v>
      </c>
      <c r="P127" s="427">
        <v>10</v>
      </c>
      <c r="Q127" s="432"/>
    </row>
    <row r="128">
      <c r="A128" s="424">
        <v>46138</v>
      </c>
      <c r="B128" s="447" t="s">
        <v>389</v>
      </c>
      <c r="C128" s="426" t="s">
        <v>410</v>
      </c>
      <c r="D128" s="427">
        <v>5</v>
      </c>
      <c r="E128" s="425">
        <v>51</v>
      </c>
      <c r="F128" s="425">
        <v>37</v>
      </c>
      <c r="G128" s="425">
        <v>27</v>
      </c>
      <c r="H128" s="425">
        <v>24</v>
      </c>
      <c r="I128" s="425">
        <v>4</v>
      </c>
      <c r="J128" s="434">
        <v>32604.999999999996</v>
      </c>
      <c r="K128" s="434">
        <v>17893.510000000002</v>
      </c>
      <c r="L128" s="430">
        <f t="shared" si="1"/>
      </c>
      <c r="M128" s="430">
        <f t="shared" si="0"/>
      </c>
      <c r="N128" s="430">
        <f t="shared" si="20"/>
      </c>
      <c r="O128" s="435"/>
      <c r="P128" s="435"/>
      <c r="Q128" s="436"/>
    </row>
    <row r="129">
      <c r="A129" s="424">
        <v>46138</v>
      </c>
      <c r="B129" s="447" t="s">
        <v>398</v>
      </c>
      <c r="C129" s="426" t="s">
        <v>418</v>
      </c>
      <c r="D129" s="427">
        <v>5</v>
      </c>
      <c r="E129" s="425">
        <v>22</v>
      </c>
      <c r="F129" s="425">
        <v>16</v>
      </c>
      <c r="G129" s="425">
        <v>13</v>
      </c>
      <c r="H129" s="425">
        <v>7</v>
      </c>
      <c r="I129" s="425">
        <v>0</v>
      </c>
      <c r="J129" s="434">
        <v>12083.199999999997</v>
      </c>
      <c r="K129" s="434">
        <v>13426.98</v>
      </c>
      <c r="L129" s="430">
        <f t="shared" si="1"/>
      </c>
      <c r="M129" s="430">
        <f t="shared" si="0"/>
      </c>
      <c r="N129" s="430">
        <f t="shared" si="20"/>
      </c>
      <c r="O129" s="437"/>
      <c r="P129" s="427"/>
      <c r="Q129" s="436"/>
    </row>
    <row r="130">
      <c r="A130" s="424">
        <v>46138</v>
      </c>
      <c r="B130" s="448" t="s">
        <v>392</v>
      </c>
      <c r="C130" s="426" t="s">
        <v>399</v>
      </c>
      <c r="D130" s="427">
        <v>5</v>
      </c>
      <c r="E130" s="425">
        <v>25</v>
      </c>
      <c r="F130" s="425">
        <v>15</v>
      </c>
      <c r="G130" s="425">
        <v>11</v>
      </c>
      <c r="H130" s="425">
        <v>9</v>
      </c>
      <c r="I130" s="425">
        <v>2</v>
      </c>
      <c r="J130" s="434">
        <v>16312.400000000001</v>
      </c>
      <c r="K130" s="429">
        <v>12407.130000000001</v>
      </c>
      <c r="L130" s="430">
        <f t="shared" si="1"/>
      </c>
      <c r="M130" s="430">
        <f t="shared" si="0"/>
      </c>
      <c r="N130" s="430">
        <f>K130/H130</f>
      </c>
      <c r="O130" s="431" t="s">
        <v>400</v>
      </c>
      <c r="P130" s="425">
        <v>10</v>
      </c>
      <c r="Q130" s="435"/>
    </row>
    <row r="131">
      <c r="A131" s="440">
        <v>46138</v>
      </c>
      <c r="B131" s="441"/>
      <c r="C131" s="441"/>
      <c r="D131" s="441">
        <f>SUM(D127:D130)</f>
      </c>
      <c r="E131" s="441">
        <f>SUM(E127:E130)</f>
      </c>
      <c r="F131" s="441">
        <f>SUM(F127:F130)</f>
      </c>
      <c r="G131" s="441">
        <f>SUM(G127:G130)</f>
      </c>
      <c r="H131" s="441">
        <f>SUM(H127:H130)</f>
      </c>
      <c r="I131" s="441">
        <f>SUM(I127:I130)</f>
      </c>
      <c r="J131" s="441">
        <f>SUM(J127:J130)</f>
      </c>
      <c r="K131" s="441">
        <f>SUM(K127:K130)</f>
      </c>
      <c r="L131" s="442">
        <f t="shared" si="1"/>
      </c>
      <c r="M131" s="442">
        <f t="shared" si="0"/>
      </c>
      <c r="N131" s="442">
        <f t="shared" ref="N131:N134" si="21">K131/F131</f>
      </c>
      <c r="O131" s="443"/>
      <c r="P131" s="441">
        <f>P127+P128+P129+P130</f>
      </c>
      <c r="Q131" s="443"/>
    </row>
    <row r="132">
      <c r="A132" s="424">
        <v>46139</v>
      </c>
      <c r="B132" s="425" t="s">
        <v>394</v>
      </c>
      <c r="C132" s="426" t="s">
        <v>390</v>
      </c>
      <c r="D132" s="437">
        <v>5</v>
      </c>
      <c r="E132" s="444">
        <v>58</v>
      </c>
      <c r="F132" s="445">
        <v>50</v>
      </c>
      <c r="G132" s="425">
        <v>36</v>
      </c>
      <c r="H132" s="425">
        <v>29</v>
      </c>
      <c r="I132" s="425">
        <v>5</v>
      </c>
      <c r="J132" s="446">
        <v>46664.600000000006</v>
      </c>
      <c r="K132" s="425">
        <v>25491.4</v>
      </c>
      <c r="L132" s="430">
        <f t="shared" si="1"/>
      </c>
      <c r="M132" s="430">
        <f t="shared" si="0"/>
      </c>
      <c r="N132" s="430">
        <f t="shared" si="21"/>
      </c>
      <c r="O132" s="431" t="s">
        <v>391</v>
      </c>
      <c r="P132" s="427">
        <v>10</v>
      </c>
      <c r="Q132" s="432"/>
    </row>
    <row r="133">
      <c r="A133" s="424">
        <v>46139</v>
      </c>
      <c r="B133" s="447" t="s">
        <v>389</v>
      </c>
      <c r="C133" s="426" t="s">
        <v>410</v>
      </c>
      <c r="D133" s="427">
        <v>5</v>
      </c>
      <c r="E133" s="425">
        <v>84</v>
      </c>
      <c r="F133" s="425">
        <v>67</v>
      </c>
      <c r="G133" s="425">
        <v>44</v>
      </c>
      <c r="H133" s="425">
        <v>46</v>
      </c>
      <c r="I133" s="425">
        <v>8</v>
      </c>
      <c r="J133" s="434">
        <v>62282.20000000001</v>
      </c>
      <c r="K133" s="434">
        <v>27223.51</v>
      </c>
      <c r="L133" s="430">
        <f t="shared" si="1"/>
      </c>
      <c r="M133" s="430">
        <f t="shared" si="0"/>
      </c>
      <c r="N133" s="430">
        <f t="shared" si="21"/>
      </c>
      <c r="O133" s="435"/>
      <c r="P133" s="435"/>
      <c r="Q133" s="436"/>
    </row>
    <row r="134">
      <c r="A134" s="424">
        <v>46139</v>
      </c>
      <c r="B134" s="447" t="s">
        <v>398</v>
      </c>
      <c r="C134" s="426" t="s">
        <v>418</v>
      </c>
      <c r="D134" s="427">
        <v>5</v>
      </c>
      <c r="E134" s="425">
        <v>43</v>
      </c>
      <c r="F134" s="425">
        <v>34</v>
      </c>
      <c r="G134" s="425">
        <v>30</v>
      </c>
      <c r="H134" s="425">
        <v>24</v>
      </c>
      <c r="I134" s="425">
        <v>2</v>
      </c>
      <c r="J134" s="434">
        <v>29748.000000000007</v>
      </c>
      <c r="K134" s="434">
        <v>22878.72</v>
      </c>
      <c r="L134" s="430">
        <f t="shared" si="1"/>
      </c>
      <c r="M134" s="430">
        <f t="shared" si="0"/>
      </c>
      <c r="N134" s="430">
        <f t="shared" si="21"/>
      </c>
      <c r="O134" s="437"/>
      <c r="P134" s="427"/>
      <c r="Q134" s="436"/>
    </row>
    <row r="135">
      <c r="A135" s="424">
        <v>46139</v>
      </c>
      <c r="B135" s="448" t="s">
        <v>409</v>
      </c>
      <c r="C135" s="426" t="s">
        <v>399</v>
      </c>
      <c r="D135" s="427">
        <v>5</v>
      </c>
      <c r="E135" s="425">
        <v>75</v>
      </c>
      <c r="F135" s="425">
        <v>62</v>
      </c>
      <c r="G135" s="425">
        <v>53</v>
      </c>
      <c r="H135" s="425">
        <v>42</v>
      </c>
      <c r="I135" s="425">
        <v>6</v>
      </c>
      <c r="J135" s="434">
        <v>49888.84</v>
      </c>
      <c r="K135" s="429">
        <v>27431.81</v>
      </c>
      <c r="L135" s="430">
        <f t="shared" si="1"/>
      </c>
      <c r="M135" s="430">
        <f t="shared" si="0"/>
      </c>
      <c r="N135" s="430">
        <f>K135/H135</f>
      </c>
      <c r="O135" s="431" t="s">
        <v>400</v>
      </c>
      <c r="P135" s="425">
        <v>10</v>
      </c>
      <c r="Q135" s="435"/>
    </row>
    <row r="136">
      <c r="A136" s="440">
        <v>46139</v>
      </c>
      <c r="B136" s="441"/>
      <c r="C136" s="441"/>
      <c r="D136" s="441">
        <f>SUM(D132:D135)</f>
      </c>
      <c r="E136" s="441">
        <f>SUM(E132:E135)</f>
      </c>
      <c r="F136" s="441">
        <f>SUM(F132:F135)</f>
      </c>
      <c r="G136" s="441">
        <f>SUM(G132:G135)</f>
      </c>
      <c r="H136" s="441">
        <f>SUM(H132:H135)</f>
      </c>
      <c r="I136" s="441">
        <f>SUM(I132:I135)</f>
      </c>
      <c r="J136" s="441">
        <f>SUM(J132:J135)</f>
      </c>
      <c r="K136" s="441">
        <f>SUM(K132:K135)</f>
      </c>
      <c r="L136" s="442">
        <f t="shared" si="1"/>
      </c>
      <c r="M136" s="442">
        <f t="shared" si="0"/>
      </c>
      <c r="N136" s="442">
        <f t="shared" ref="N136:N139" si="22">K136/F136</f>
      </c>
      <c r="O136" s="443"/>
      <c r="P136" s="441">
        <f>P132+P133+P134+P135</f>
      </c>
      <c r="Q136" s="443"/>
    </row>
    <row r="137">
      <c r="A137" s="424">
        <v>46140</v>
      </c>
      <c r="B137" s="447" t="s">
        <v>389</v>
      </c>
      <c r="C137" s="426" t="s">
        <v>390</v>
      </c>
      <c r="D137" s="437">
        <v>5</v>
      </c>
      <c r="E137" s="444">
        <v>66</v>
      </c>
      <c r="F137" s="445">
        <v>46</v>
      </c>
      <c r="G137" s="425">
        <v>35</v>
      </c>
      <c r="H137" s="425">
        <v>31</v>
      </c>
      <c r="I137" s="425">
        <v>4</v>
      </c>
      <c r="J137" s="446">
        <v>43162.4</v>
      </c>
      <c r="K137" s="425">
        <v>26667.43</v>
      </c>
      <c r="L137" s="430">
        <f t="shared" si="1"/>
      </c>
      <c r="M137" s="430">
        <f t="shared" si="0"/>
      </c>
      <c r="N137" s="430">
        <f t="shared" si="22"/>
      </c>
      <c r="O137" s="431" t="s">
        <v>422</v>
      </c>
      <c r="P137" s="427">
        <v>10</v>
      </c>
      <c r="Q137" s="432"/>
    </row>
    <row r="138">
      <c r="A138" s="424">
        <v>46140</v>
      </c>
      <c r="B138" s="449" t="s">
        <v>394</v>
      </c>
      <c r="C138" s="426" t="s">
        <v>410</v>
      </c>
      <c r="D138" s="427">
        <v>5</v>
      </c>
      <c r="E138" s="425">
        <v>56</v>
      </c>
      <c r="F138" s="425">
        <v>46</v>
      </c>
      <c r="G138" s="425">
        <v>26</v>
      </c>
      <c r="H138" s="425">
        <v>31</v>
      </c>
      <c r="I138" s="425">
        <v>5</v>
      </c>
      <c r="J138" s="434">
        <v>40505.000000000015</v>
      </c>
      <c r="K138" s="434">
        <v>16669.92</v>
      </c>
      <c r="L138" s="430">
        <f t="shared" si="1"/>
      </c>
      <c r="M138" s="430">
        <f t="shared" si="0"/>
      </c>
      <c r="N138" s="430">
        <f t="shared" si="22"/>
      </c>
      <c r="O138" s="435"/>
      <c r="P138" s="435"/>
      <c r="Q138" s="436"/>
    </row>
    <row r="139">
      <c r="A139" s="450">
        <v>46140</v>
      </c>
      <c r="B139" s="451" t="s">
        <v>409</v>
      </c>
      <c r="C139" s="452" t="s">
        <v>418</v>
      </c>
      <c r="D139" s="427">
        <v>5</v>
      </c>
      <c r="E139" s="425">
        <v>62</v>
      </c>
      <c r="F139" s="425">
        <v>52</v>
      </c>
      <c r="G139" s="425">
        <v>39</v>
      </c>
      <c r="H139" s="425">
        <v>32</v>
      </c>
      <c r="I139" s="425">
        <v>3</v>
      </c>
      <c r="J139" s="434">
        <v>48726.8</v>
      </c>
      <c r="K139" s="434">
        <v>26658.72</v>
      </c>
      <c r="L139" s="430">
        <f t="shared" si="1"/>
      </c>
      <c r="M139" s="430">
        <f t="shared" si="0"/>
      </c>
      <c r="N139" s="430">
        <f t="shared" si="22"/>
      </c>
      <c r="O139" s="437"/>
      <c r="P139" s="427"/>
      <c r="Q139" s="436"/>
    </row>
    <row r="140">
      <c r="A140" s="450">
        <v>46140</v>
      </c>
      <c r="B140" s="451" t="s">
        <v>392</v>
      </c>
      <c r="C140" s="452" t="s">
        <v>399</v>
      </c>
      <c r="D140" s="427">
        <v>5</v>
      </c>
      <c r="E140" s="425">
        <v>88</v>
      </c>
      <c r="F140" s="425">
        <v>67</v>
      </c>
      <c r="G140" s="425">
        <v>46</v>
      </c>
      <c r="H140" s="425">
        <v>41</v>
      </c>
      <c r="I140" s="425">
        <v>5</v>
      </c>
      <c r="J140" s="434">
        <v>61221.30000000002</v>
      </c>
      <c r="K140" s="429">
        <v>31228.899999999998</v>
      </c>
      <c r="L140" s="430">
        <f t="shared" si="1"/>
      </c>
      <c r="M140" s="430">
        <f t="shared" si="0"/>
      </c>
      <c r="N140" s="430">
        <f>K140/H140</f>
      </c>
      <c r="O140" s="431" t="s">
        <v>400</v>
      </c>
      <c r="P140" s="425">
        <v>10</v>
      </c>
      <c r="Q140" s="435"/>
    </row>
    <row r="141">
      <c r="A141" s="440">
        <v>46140</v>
      </c>
      <c r="B141" s="453"/>
      <c r="C141" s="441"/>
      <c r="D141" s="441">
        <f>SUM(D137:D140)</f>
      </c>
      <c r="E141" s="441">
        <f>SUM(E137:E140)</f>
      </c>
      <c r="F141" s="441">
        <f>SUM(F137:F140)</f>
      </c>
      <c r="G141" s="441">
        <f>SUM(G137:G140)</f>
      </c>
      <c r="H141" s="441">
        <f>SUM(H137:H140)</f>
      </c>
      <c r="I141" s="441">
        <f>SUM(I137:I140)</f>
      </c>
      <c r="J141" s="441">
        <f>SUM(J137:J140)</f>
      </c>
      <c r="K141" s="441">
        <f>SUM(K137:K140)</f>
      </c>
      <c r="L141" s="442">
        <f t="shared" si="1"/>
      </c>
      <c r="M141" s="442">
        <f t="shared" si="0"/>
      </c>
      <c r="N141" s="442">
        <f t="shared" ref="N141:N144" si="23">K141/F141</f>
      </c>
      <c r="O141" s="443"/>
      <c r="P141" s="441">
        <f>P137+P138+P139+P140</f>
      </c>
      <c r="Q141" s="443"/>
    </row>
    <row r="142">
      <c r="A142" s="424">
        <v>46141</v>
      </c>
      <c r="B142" s="447" t="s">
        <v>389</v>
      </c>
      <c r="C142" s="426" t="s">
        <v>390</v>
      </c>
      <c r="D142" s="437">
        <v>5</v>
      </c>
      <c r="E142" s="444">
        <v>27</v>
      </c>
      <c r="F142" s="445">
        <v>24</v>
      </c>
      <c r="G142" s="425">
        <v>18</v>
      </c>
      <c r="H142" s="425">
        <v>20</v>
      </c>
      <c r="I142" s="425">
        <v>2</v>
      </c>
      <c r="J142" s="446">
        <v>22542.2</v>
      </c>
      <c r="K142" s="425">
        <v>19158.620000000003</v>
      </c>
      <c r="L142" s="430">
        <f t="shared" si="1"/>
      </c>
      <c r="M142" s="430">
        <f t="shared" si="0"/>
      </c>
      <c r="N142" s="430">
        <f t="shared" si="23"/>
      </c>
      <c r="O142" s="431" t="s">
        <v>422</v>
      </c>
      <c r="P142" s="427">
        <v>10</v>
      </c>
      <c r="Q142" s="432"/>
    </row>
    <row r="143">
      <c r="A143" s="424">
        <v>46141</v>
      </c>
      <c r="B143" s="449" t="s">
        <v>394</v>
      </c>
      <c r="C143" s="426" t="s">
        <v>410</v>
      </c>
      <c r="D143" s="427">
        <v>5</v>
      </c>
      <c r="E143" s="425">
        <v>87</v>
      </c>
      <c r="F143" s="425">
        <v>67</v>
      </c>
      <c r="G143" s="425">
        <v>57</v>
      </c>
      <c r="H143" s="425">
        <v>47</v>
      </c>
      <c r="I143" s="425">
        <v>6</v>
      </c>
      <c r="J143" s="434">
        <v>50353.000000000015</v>
      </c>
      <c r="K143" s="434">
        <v>33668.39</v>
      </c>
      <c r="L143" s="430">
        <f t="shared" si="1"/>
      </c>
      <c r="M143" s="430">
        <f t="shared" si="0"/>
      </c>
      <c r="N143" s="430">
        <f t="shared" si="23"/>
      </c>
      <c r="O143" s="435"/>
      <c r="P143" s="435"/>
      <c r="Q143" s="436"/>
    </row>
    <row r="144">
      <c r="A144" s="424">
        <v>46141</v>
      </c>
      <c r="B144" s="451" t="s">
        <v>409</v>
      </c>
      <c r="C144" s="452" t="s">
        <v>418</v>
      </c>
      <c r="D144" s="427">
        <v>5</v>
      </c>
      <c r="E144" s="425">
        <v>112</v>
      </c>
      <c r="F144" s="425">
        <v>90</v>
      </c>
      <c r="G144" s="425">
        <v>69</v>
      </c>
      <c r="H144" s="425">
        <v>56</v>
      </c>
      <c r="I144" s="425">
        <v>13</v>
      </c>
      <c r="J144" s="434">
        <v>87091.80000000003</v>
      </c>
      <c r="K144" s="434">
        <v>43744.17999999999</v>
      </c>
      <c r="L144" s="430">
        <f t="shared" si="1"/>
      </c>
      <c r="M144" s="430">
        <f t="shared" si="0"/>
      </c>
      <c r="N144" s="430">
        <f t="shared" si="23"/>
      </c>
      <c r="O144" s="437"/>
      <c r="P144" s="427"/>
      <c r="Q144" s="436"/>
    </row>
    <row r="145">
      <c r="A145" s="424">
        <v>46141</v>
      </c>
      <c r="B145" s="451" t="s">
        <v>392</v>
      </c>
      <c r="C145" s="452" t="s">
        <v>399</v>
      </c>
      <c r="D145" s="427">
        <v>5</v>
      </c>
      <c r="E145" s="425">
        <v>69</v>
      </c>
      <c r="F145" s="425">
        <v>50</v>
      </c>
      <c r="G145" s="425">
        <v>43</v>
      </c>
      <c r="H145" s="425">
        <v>32</v>
      </c>
      <c r="I145" s="425">
        <v>4</v>
      </c>
      <c r="J145" s="434">
        <v>43402.8</v>
      </c>
      <c r="K145" s="429">
        <v>35379.54000000001</v>
      </c>
      <c r="L145" s="430">
        <f t="shared" si="1"/>
      </c>
      <c r="M145" s="430">
        <f t="shared" si="0"/>
      </c>
      <c r="N145" s="430">
        <f>K145/H145</f>
      </c>
      <c r="O145" s="431" t="s">
        <v>400</v>
      </c>
      <c r="P145" s="425">
        <v>10</v>
      </c>
      <c r="Q145" s="435"/>
    </row>
    <row r="146">
      <c r="A146" s="440">
        <v>46141</v>
      </c>
      <c r="B146" s="453"/>
      <c r="C146" s="441"/>
      <c r="D146" s="441">
        <f>SUM(D142:D145)</f>
      </c>
      <c r="E146" s="441">
        <f>SUM(E142:E145)</f>
      </c>
      <c r="F146" s="441">
        <f>SUM(F142:F145)</f>
      </c>
      <c r="G146" s="441">
        <f>SUM(G142:G145)</f>
      </c>
      <c r="H146" s="441">
        <f>SUM(H142:H145)</f>
      </c>
      <c r="I146" s="441">
        <f>SUM(I142:I145)</f>
      </c>
      <c r="J146" s="441">
        <f>SUM(J142:J145)</f>
      </c>
      <c r="K146" s="441">
        <f>SUM(K142:K145)</f>
      </c>
      <c r="L146" s="442">
        <f t="shared" si="1"/>
      </c>
      <c r="M146" s="442">
        <f t="shared" si="0"/>
      </c>
      <c r="N146" s="442">
        <f t="shared" ref="N146:N151" si="24">K146/F146</f>
      </c>
      <c r="O146" s="443"/>
      <c r="P146" s="441">
        <f>P142+P143+P144+P145</f>
      </c>
      <c r="Q146" s="443"/>
    </row>
    <row r="147">
      <c r="A147" s="424">
        <v>46142</v>
      </c>
      <c r="B147" s="449" t="s">
        <v>394</v>
      </c>
      <c r="C147" s="426" t="s">
        <v>390</v>
      </c>
      <c r="D147" s="454">
        <v>3.5</v>
      </c>
      <c r="E147" s="444">
        <v>90</v>
      </c>
      <c r="F147" s="445">
        <v>70</v>
      </c>
      <c r="G147" s="425">
        <v>54</v>
      </c>
      <c r="H147" s="425">
        <v>52</v>
      </c>
      <c r="I147" s="425">
        <v>7</v>
      </c>
      <c r="J147" s="446">
        <v>53211.000000000015</v>
      </c>
      <c r="K147" s="425">
        <v>37019.4</v>
      </c>
      <c r="L147" s="430">
        <f t="shared" si="1"/>
      </c>
      <c r="M147" s="430">
        <f t="shared" si="0"/>
      </c>
      <c r="N147" s="430">
        <f t="shared" si="24"/>
      </c>
      <c r="O147" s="431" t="s">
        <v>391</v>
      </c>
      <c r="P147" s="427">
        <v>10</v>
      </c>
      <c r="Q147" s="432"/>
    </row>
    <row r="148">
      <c r="A148" s="424">
        <v>46142</v>
      </c>
      <c r="B148" s="451" t="s">
        <v>409</v>
      </c>
      <c r="C148" s="426" t="s">
        <v>410</v>
      </c>
      <c r="D148" s="427">
        <v>5</v>
      </c>
      <c r="E148" s="425">
        <v>112</v>
      </c>
      <c r="F148" s="425">
        <v>95</v>
      </c>
      <c r="G148" s="425">
        <v>73</v>
      </c>
      <c r="H148" s="425">
        <v>67</v>
      </c>
      <c r="I148" s="425">
        <v>11</v>
      </c>
      <c r="J148" s="434">
        <v>88459.00000000001</v>
      </c>
      <c r="K148" s="434">
        <v>47698.6</v>
      </c>
      <c r="L148" s="430">
        <f t="shared" si="1"/>
      </c>
      <c r="M148" s="430">
        <f t="shared" si="0"/>
      </c>
      <c r="N148" s="430">
        <f t="shared" si="24"/>
      </c>
      <c r="O148" s="435"/>
      <c r="P148" s="435"/>
      <c r="Q148" s="436"/>
    </row>
    <row r="149">
      <c r="A149" s="424">
        <v>46142</v>
      </c>
      <c r="B149" s="447" t="s">
        <v>398</v>
      </c>
      <c r="C149" s="455" t="s">
        <v>420</v>
      </c>
      <c r="D149" s="425">
        <v>4</v>
      </c>
      <c r="E149" s="425">
        <v>47</v>
      </c>
      <c r="F149" s="425">
        <v>37</v>
      </c>
      <c r="G149" s="425">
        <v>35</v>
      </c>
      <c r="H149" s="425">
        <v>26</v>
      </c>
      <c r="I149" s="425">
        <v>3</v>
      </c>
      <c r="J149" s="429">
        <v>39740.6</v>
      </c>
      <c r="K149" s="429">
        <v>24026.93</v>
      </c>
      <c r="L149" s="430">
        <f t="shared" si="1"/>
      </c>
      <c r="M149" s="430">
        <f t="shared" si="0"/>
      </c>
      <c r="N149" s="430">
        <f t="shared" si="24"/>
      </c>
      <c r="O149" s="431" t="s">
        <v>424</v>
      </c>
      <c r="P149" s="425">
        <v>1</v>
      </c>
      <c r="Q149" s="436"/>
    </row>
    <row r="150">
      <c r="A150" s="424">
        <v>46142</v>
      </c>
      <c r="B150" s="451" t="s">
        <v>392</v>
      </c>
      <c r="C150" s="455" t="s">
        <v>425</v>
      </c>
      <c r="D150" s="427">
        <v>5</v>
      </c>
      <c r="E150" s="425">
        <v>61</v>
      </c>
      <c r="F150" s="425">
        <v>42</v>
      </c>
      <c r="G150" s="425">
        <v>32</v>
      </c>
      <c r="H150" s="425">
        <v>26</v>
      </c>
      <c r="I150" s="425">
        <v>5</v>
      </c>
      <c r="J150" s="429">
        <v>42774.2</v>
      </c>
      <c r="K150" s="429">
        <v>26103.15</v>
      </c>
      <c r="L150" s="430">
        <f t="shared" si="1"/>
      </c>
      <c r="M150" s="430">
        <f t="shared" si="0"/>
      </c>
      <c r="N150" s="430">
        <f t="shared" si="24"/>
      </c>
      <c r="O150" s="431" t="s">
        <v>426</v>
      </c>
      <c r="P150" s="425">
        <v>8</v>
      </c>
      <c r="Q150" s="435"/>
    </row>
    <row r="151">
      <c r="A151" s="440">
        <v>46142</v>
      </c>
      <c r="B151" s="453"/>
      <c r="C151" s="441"/>
      <c r="D151" s="441">
        <f>SUM(D147:D150)</f>
      </c>
      <c r="E151" s="441">
        <f>SUM(E147:E150)</f>
      </c>
      <c r="F151" s="441">
        <f>SUM(F147:F150)</f>
      </c>
      <c r="G151" s="441">
        <f>SUM(G147:G150)</f>
      </c>
      <c r="H151" s="441">
        <f>SUM(H147:H150)</f>
      </c>
      <c r="I151" s="441">
        <f>SUM(I147:I150)</f>
      </c>
      <c r="J151" s="441">
        <f>SUM(J147:J150)</f>
      </c>
      <c r="K151" s="441">
        <f>SUM(K147:K150)</f>
      </c>
      <c r="L151" s="442">
        <f t="shared" si="1"/>
      </c>
      <c r="M151" s="442">
        <f t="shared" si="0"/>
      </c>
      <c r="N151" s="442">
        <f t="shared" si="24"/>
      </c>
      <c r="O151" s="443"/>
      <c r="P151" s="441">
        <f>P147+P148+P149+P150</f>
      </c>
      <c r="Q151" s="443"/>
    </row>
    <row r="152">
      <c r="E152" s="456"/>
      <c r="H152" s="457"/>
      <c r="I152" s="456"/>
      <c r="J152" s="458"/>
      <c r="K152" s="459"/>
      <c r="L152" s="430"/>
    </row>
    <row r="153">
      <c r="E153" s="456"/>
      <c r="H153" s="457"/>
      <c r="I153" s="457"/>
      <c r="J153" s="460"/>
      <c r="K153" s="461"/>
      <c r="L153" s="430"/>
    </row>
    <row r="154">
      <c r="I154" s="457"/>
      <c r="J154" s="457"/>
      <c r="K154" s="459"/>
    </row>
    <row r="155"/>
    <row r="156">
      <c r="J156" s="459"/>
      <c r="K156" s="459"/>
      <c r="L156" s="430"/>
    </row>
    <row r="157"/>
    <row r="158">
      <c r="L158" s="430"/>
      <c r="M158" s="462"/>
    </row>
    <row r="159">
      <c r="J159" s="459"/>
      <c r="K159" s="459"/>
      <c r="L159" s="430"/>
    </row>
  </sheetData>
  <autoFilter ref="A1:P158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6" min="16" style="0" width="11.211267605633802"/>
    <col collapsed="false" customWidth="true" hidden="false" max="14" min="14" style="0" width="11.211267605633802"/>
    <col collapsed="false" customWidth="true" hidden="false" max="15" min="15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3" min="13" style="0" width="11.211267605633802"/>
  </cols>
  <sheetData>
    <row r="1">
      <c r="A1" s="463" t="s">
        <v>427</v>
      </c>
      <c r="B1" s="464" t="s">
        <v>428</v>
      </c>
      <c r="C1" s="464" t="s">
        <v>429</v>
      </c>
      <c r="D1" s="464" t="s">
        <v>430</v>
      </c>
      <c r="E1" s="464" t="s">
        <v>431</v>
      </c>
      <c r="F1" s="464" t="s">
        <v>432</v>
      </c>
      <c r="G1" s="465" t="s">
        <v>433</v>
      </c>
      <c r="H1" s="466" t="s">
        <v>434</v>
      </c>
      <c r="I1" s="464" t="s">
        <v>435</v>
      </c>
      <c r="J1" s="464" t="s">
        <v>436</v>
      </c>
      <c r="K1" s="464" t="s">
        <v>437</v>
      </c>
      <c r="L1" s="467" t="s">
        <v>438</v>
      </c>
      <c r="M1" s="467" t="s">
        <v>439</v>
      </c>
      <c r="N1" s="467" t="s">
        <v>440</v>
      </c>
      <c r="O1" s="468" t="s">
        <v>441</v>
      </c>
      <c r="P1" s="468" t="s">
        <v>442</v>
      </c>
      <c r="Q1" s="468" t="s">
        <v>443</v>
      </c>
    </row>
    <row r="2">
      <c r="A2" s="469">
        <v>46082</v>
      </c>
      <c r="B2" s="470" t="s">
        <v>444</v>
      </c>
      <c r="C2" s="471" t="s">
        <v>445</v>
      </c>
      <c r="D2" s="470">
        <v>5</v>
      </c>
      <c r="E2" s="472">
        <v>117</v>
      </c>
      <c r="F2" s="470">
        <v>80</v>
      </c>
      <c r="G2" s="470">
        <v>60</v>
      </c>
      <c r="H2" s="470">
        <v>56</v>
      </c>
      <c r="I2" s="470">
        <v>10</v>
      </c>
      <c r="J2" s="473">
        <v>75115.90000000002</v>
      </c>
      <c r="K2" s="470">
        <v>43717.25</v>
      </c>
      <c r="L2" s="474">
        <f t="shared" ref="L2:L152" si="1">J2/K2</f>
      </c>
      <c r="M2" s="474">
        <f t="shared" ref="M2:M152" si="0">J2/F2</f>
      </c>
      <c r="N2" s="474">
        <f t="shared" ref="N2:N4" si="2">K2/F2</f>
      </c>
      <c r="O2" s="475" t="s">
        <v>446</v>
      </c>
      <c r="P2" s="470">
        <v>10</v>
      </c>
      <c r="Q2" s="476"/>
    </row>
    <row r="3">
      <c r="A3" s="469">
        <v>46082</v>
      </c>
      <c r="B3" s="470" t="s">
        <v>447</v>
      </c>
      <c r="C3" s="471" t="s">
        <v>448</v>
      </c>
      <c r="D3" s="470">
        <v>5</v>
      </c>
      <c r="E3" s="470">
        <v>102</v>
      </c>
      <c r="F3" s="470">
        <v>79</v>
      </c>
      <c r="G3" s="470">
        <v>64</v>
      </c>
      <c r="H3" s="470">
        <v>56</v>
      </c>
      <c r="I3" s="470">
        <v>9</v>
      </c>
      <c r="J3" s="473">
        <v>71701.20000000003</v>
      </c>
      <c r="K3" s="473">
        <v>36072.92</v>
      </c>
      <c r="L3" s="474">
        <f t="shared" si="1"/>
      </c>
      <c r="M3" s="474">
        <f t="shared" si="0"/>
      </c>
      <c r="N3" s="474">
        <f t="shared" si="2"/>
      </c>
      <c r="O3" s="477"/>
      <c r="P3" s="477"/>
      <c r="Q3" s="478"/>
    </row>
    <row r="4">
      <c r="A4" s="469">
        <v>46082</v>
      </c>
      <c r="B4" s="470" t="s">
        <v>449</v>
      </c>
      <c r="C4" s="471" t="s">
        <v>450</v>
      </c>
      <c r="D4" s="470">
        <v>5</v>
      </c>
      <c r="E4" s="470">
        <v>71</v>
      </c>
      <c r="F4" s="470">
        <v>60</v>
      </c>
      <c r="G4" s="470">
        <v>46</v>
      </c>
      <c r="H4" s="470">
        <v>42</v>
      </c>
      <c r="I4" s="470">
        <v>7</v>
      </c>
      <c r="J4" s="473">
        <v>55900.600000000006</v>
      </c>
      <c r="K4" s="473">
        <v>31061.05</v>
      </c>
      <c r="L4" s="474">
        <f t="shared" si="1"/>
      </c>
      <c r="M4" s="474">
        <f t="shared" si="0"/>
      </c>
      <c r="N4" s="474">
        <f t="shared" si="2"/>
      </c>
      <c r="O4" s="475"/>
      <c r="P4" s="470"/>
      <c r="Q4" s="478"/>
    </row>
    <row r="5">
      <c r="A5" s="469">
        <v>46082</v>
      </c>
      <c r="B5" s="470" t="s">
        <v>451</v>
      </c>
      <c r="C5" s="471" t="s">
        <v>452</v>
      </c>
      <c r="D5" s="470">
        <v>5</v>
      </c>
      <c r="E5" s="470">
        <v>124</v>
      </c>
      <c r="F5" s="470">
        <v>96</v>
      </c>
      <c r="G5" s="470">
        <v>79</v>
      </c>
      <c r="H5" s="470">
        <v>61</v>
      </c>
      <c r="I5" s="470">
        <v>8</v>
      </c>
      <c r="J5" s="473">
        <v>84100.60000000003</v>
      </c>
      <c r="K5" s="473">
        <v>48684.509999999995</v>
      </c>
      <c r="L5" s="474">
        <f t="shared" si="1"/>
      </c>
      <c r="M5" s="474">
        <f t="shared" si="0"/>
      </c>
      <c r="N5" s="474">
        <f>K5/H5</f>
      </c>
      <c r="O5" s="475" t="s">
        <v>453</v>
      </c>
      <c r="P5" s="470">
        <v>10</v>
      </c>
      <c r="Q5" s="477"/>
    </row>
    <row r="6">
      <c r="A6" s="479">
        <v>46082</v>
      </c>
      <c r="B6" s="480"/>
      <c r="C6" s="480"/>
      <c r="D6" s="480">
        <f>SUM(D2:D5)</f>
      </c>
      <c r="E6" s="480">
        <f>SUM(E2:E5)</f>
      </c>
      <c r="F6" s="480">
        <f>SUM(F2:F5)</f>
      </c>
      <c r="G6" s="480">
        <f>SUM(G2:G5)</f>
      </c>
      <c r="H6" s="480">
        <f>SUM(H2:H5)</f>
      </c>
      <c r="I6" s="480">
        <f>SUM(I2:I5)</f>
      </c>
      <c r="J6" s="480">
        <f>SUM(J2:J5)</f>
      </c>
      <c r="K6" s="480">
        <f>SUM(K2:K5)</f>
      </c>
      <c r="L6" s="481">
        <f t="shared" si="1"/>
      </c>
      <c r="M6" s="481">
        <f t="shared" si="0"/>
      </c>
      <c r="N6" s="481">
        <f t="shared" ref="N6:N9" si="3">K6/F6</f>
      </c>
      <c r="O6" s="482"/>
      <c r="P6" s="480">
        <f>P2+P3+P4+P5</f>
      </c>
      <c r="Q6" s="482"/>
    </row>
    <row r="7">
      <c r="A7" s="469">
        <v>46083</v>
      </c>
      <c r="B7" s="470" t="s">
        <v>454</v>
      </c>
      <c r="C7" s="471" t="s">
        <v>445</v>
      </c>
      <c r="D7" s="470">
        <v>5</v>
      </c>
      <c r="E7" s="472">
        <v>145</v>
      </c>
      <c r="F7" s="470">
        <v>112</v>
      </c>
      <c r="G7" s="470">
        <v>83</v>
      </c>
      <c r="H7" s="470">
        <v>70</v>
      </c>
      <c r="I7" s="470">
        <v>12</v>
      </c>
      <c r="J7" s="473">
        <v>113695.7</v>
      </c>
      <c r="K7" s="470">
        <v>52674.3</v>
      </c>
      <c r="L7" s="474">
        <f t="shared" si="1"/>
      </c>
      <c r="M7" s="474">
        <f t="shared" si="0"/>
      </c>
      <c r="N7" s="474">
        <f t="shared" si="3"/>
      </c>
      <c r="O7" s="475" t="s">
        <v>455</v>
      </c>
      <c r="P7" s="470">
        <v>10</v>
      </c>
      <c r="Q7" s="476"/>
    </row>
    <row r="8">
      <c r="A8" s="469">
        <v>46083</v>
      </c>
      <c r="B8" s="470" t="s">
        <v>449</v>
      </c>
      <c r="C8" s="471" t="s">
        <v>448</v>
      </c>
      <c r="D8" s="470">
        <v>5</v>
      </c>
      <c r="E8" s="470">
        <v>80</v>
      </c>
      <c r="F8" s="470">
        <v>62</v>
      </c>
      <c r="G8" s="470">
        <v>46</v>
      </c>
      <c r="H8" s="470">
        <v>40</v>
      </c>
      <c r="I8" s="470">
        <v>8</v>
      </c>
      <c r="J8" s="473">
        <v>54967.59999999999</v>
      </c>
      <c r="K8" s="473">
        <v>36469.8</v>
      </c>
      <c r="L8" s="474">
        <f t="shared" si="1"/>
      </c>
      <c r="M8" s="474">
        <f t="shared" si="0"/>
      </c>
      <c r="N8" s="474">
        <f t="shared" si="3"/>
      </c>
      <c r="O8" s="477"/>
      <c r="P8" s="477"/>
      <c r="Q8" s="478"/>
    </row>
    <row r="9">
      <c r="A9" s="469">
        <v>46083</v>
      </c>
      <c r="B9" s="470" t="s">
        <v>451</v>
      </c>
      <c r="C9" s="471" t="s">
        <v>450</v>
      </c>
      <c r="D9" s="470">
        <v>5</v>
      </c>
      <c r="E9" s="470">
        <v>58</v>
      </c>
      <c r="F9" s="470">
        <v>51</v>
      </c>
      <c r="G9" s="470">
        <v>46</v>
      </c>
      <c r="H9" s="470">
        <v>26</v>
      </c>
      <c r="I9" s="470">
        <v>4</v>
      </c>
      <c r="J9" s="483">
        <v>46107.6000000001</v>
      </c>
      <c r="K9" s="473">
        <v>27401.750000000007</v>
      </c>
      <c r="L9" s="474">
        <f t="shared" si="1"/>
      </c>
      <c r="M9" s="474">
        <f t="shared" si="0"/>
      </c>
      <c r="N9" s="474">
        <f t="shared" si="3"/>
      </c>
      <c r="O9" s="475"/>
      <c r="P9" s="470"/>
      <c r="Q9" s="478"/>
    </row>
    <row r="10">
      <c r="A10" s="469">
        <v>46083</v>
      </c>
      <c r="B10" s="470" t="s">
        <v>447</v>
      </c>
      <c r="C10" s="471" t="s">
        <v>452</v>
      </c>
      <c r="D10" s="470">
        <v>5</v>
      </c>
      <c r="E10" s="470">
        <v>70</v>
      </c>
      <c r="F10" s="470">
        <v>51</v>
      </c>
      <c r="G10" s="470">
        <v>38</v>
      </c>
      <c r="H10" s="470">
        <v>34</v>
      </c>
      <c r="I10" s="470">
        <v>5</v>
      </c>
      <c r="J10" s="473">
        <v>40850.399999999994</v>
      </c>
      <c r="K10" s="473">
        <v>30578.02</v>
      </c>
      <c r="L10" s="474">
        <f t="shared" si="1"/>
      </c>
      <c r="M10" s="474">
        <f t="shared" si="0"/>
      </c>
      <c r="N10" s="474">
        <f>K10/H10</f>
      </c>
      <c r="O10" s="475" t="s">
        <v>453</v>
      </c>
      <c r="P10" s="470">
        <v>10</v>
      </c>
      <c r="Q10" s="477"/>
    </row>
    <row r="11">
      <c r="A11" s="479">
        <v>46083</v>
      </c>
      <c r="B11" s="480"/>
      <c r="C11" s="480"/>
      <c r="D11" s="480">
        <f>SUM(D7:D10)</f>
      </c>
      <c r="E11" s="480">
        <f>SUM(E7:E10)</f>
      </c>
      <c r="F11" s="480">
        <f>SUM(F7:F10)</f>
      </c>
      <c r="G11" s="480">
        <f>SUM(G7:G10)</f>
      </c>
      <c r="H11" s="480">
        <f>SUM(H7:H10)</f>
      </c>
      <c r="I11" s="480">
        <f>SUM(I7:I10)</f>
      </c>
      <c r="J11" s="480">
        <f>SUM(J7:J10)</f>
      </c>
      <c r="K11" s="480">
        <f>SUM(K7:K10)</f>
      </c>
      <c r="L11" s="481">
        <f t="shared" si="1"/>
      </c>
      <c r="M11" s="481">
        <f t="shared" si="0"/>
      </c>
      <c r="N11" s="481">
        <f t="shared" ref="N11:N14" si="4">K11/F11</f>
      </c>
      <c r="O11" s="482"/>
      <c r="P11" s="480">
        <f>P7+P8+P9+P10</f>
      </c>
      <c r="Q11" s="482"/>
    </row>
    <row r="12">
      <c r="A12" s="469">
        <v>46084</v>
      </c>
      <c r="B12" s="470" t="s">
        <v>451</v>
      </c>
      <c r="C12" s="471" t="s">
        <v>445</v>
      </c>
      <c r="D12" s="470">
        <v>5</v>
      </c>
      <c r="E12" s="472">
        <v>68</v>
      </c>
      <c r="F12" s="470">
        <v>51</v>
      </c>
      <c r="G12" s="470">
        <v>36</v>
      </c>
      <c r="H12" s="470">
        <v>34</v>
      </c>
      <c r="I12" s="470">
        <v>5</v>
      </c>
      <c r="J12" s="473">
        <v>52782.20000000001</v>
      </c>
      <c r="K12" s="470">
        <v>29325.98</v>
      </c>
      <c r="L12" s="474">
        <f t="shared" si="1"/>
      </c>
      <c r="M12" s="474">
        <f t="shared" si="0"/>
      </c>
      <c r="N12" s="474">
        <f t="shared" si="4"/>
      </c>
      <c r="O12" s="475" t="s">
        <v>446</v>
      </c>
      <c r="P12" s="470">
        <v>10</v>
      </c>
      <c r="Q12" s="476"/>
    </row>
    <row r="13">
      <c r="A13" s="469">
        <v>46084</v>
      </c>
      <c r="B13" s="470" t="s">
        <v>447</v>
      </c>
      <c r="C13" s="471" t="s">
        <v>448</v>
      </c>
      <c r="D13" s="470">
        <v>5</v>
      </c>
      <c r="E13" s="470">
        <v>56</v>
      </c>
      <c r="F13" s="470">
        <v>49</v>
      </c>
      <c r="G13" s="470">
        <v>34</v>
      </c>
      <c r="H13" s="470">
        <v>38</v>
      </c>
      <c r="I13" s="470">
        <v>7</v>
      </c>
      <c r="J13" s="473">
        <v>46044</v>
      </c>
      <c r="K13" s="473">
        <v>19906.72</v>
      </c>
      <c r="L13" s="474">
        <f t="shared" si="1"/>
      </c>
      <c r="M13" s="474">
        <f t="shared" si="0"/>
      </c>
      <c r="N13" s="474">
        <f t="shared" si="4"/>
      </c>
      <c r="O13" s="477"/>
      <c r="P13" s="477"/>
      <c r="Q13" s="478"/>
    </row>
    <row r="14">
      <c r="A14" s="469">
        <v>46084</v>
      </c>
      <c r="B14" s="470" t="s">
        <v>454</v>
      </c>
      <c r="C14" s="471" t="s">
        <v>450</v>
      </c>
      <c r="D14" s="470">
        <v>5</v>
      </c>
      <c r="E14" s="470">
        <v>71</v>
      </c>
      <c r="F14" s="470">
        <v>57</v>
      </c>
      <c r="G14" s="470">
        <v>38</v>
      </c>
      <c r="H14" s="470">
        <v>42</v>
      </c>
      <c r="I14" s="470">
        <v>9</v>
      </c>
      <c r="J14" s="473">
        <v>50171.8</v>
      </c>
      <c r="K14" s="473">
        <v>21670.43</v>
      </c>
      <c r="L14" s="474">
        <f t="shared" si="1"/>
      </c>
      <c r="M14" s="474">
        <f t="shared" si="0"/>
      </c>
      <c r="N14" s="474">
        <f t="shared" si="4"/>
      </c>
      <c r="O14" s="475"/>
      <c r="P14" s="470"/>
      <c r="Q14" s="478"/>
    </row>
    <row r="15">
      <c r="A15" s="469">
        <v>46084</v>
      </c>
      <c r="B15" s="470" t="s">
        <v>444</v>
      </c>
      <c r="C15" s="471" t="s">
        <v>452</v>
      </c>
      <c r="D15" s="470">
        <v>5</v>
      </c>
      <c r="E15" s="470">
        <v>52</v>
      </c>
      <c r="F15" s="470">
        <v>38</v>
      </c>
      <c r="G15" s="470">
        <v>31</v>
      </c>
      <c r="H15" s="470">
        <v>27</v>
      </c>
      <c r="I15" s="470">
        <v>2</v>
      </c>
      <c r="J15" s="473">
        <v>29674</v>
      </c>
      <c r="K15" s="473">
        <v>25595.98</v>
      </c>
      <c r="L15" s="474">
        <f t="shared" si="1"/>
      </c>
      <c r="M15" s="474">
        <f t="shared" si="0"/>
      </c>
      <c r="N15" s="474">
        <f>K15/H15</f>
      </c>
      <c r="O15" s="475" t="s">
        <v>453</v>
      </c>
      <c r="P15" s="470">
        <v>10</v>
      </c>
      <c r="Q15" s="477"/>
    </row>
    <row r="16">
      <c r="A16" s="479">
        <v>46084</v>
      </c>
      <c r="B16" s="480"/>
      <c r="C16" s="480"/>
      <c r="D16" s="480">
        <f>SUM(D12:D15)</f>
      </c>
      <c r="E16" s="480">
        <f>SUM(E12:E15)</f>
      </c>
      <c r="F16" s="480">
        <f>SUM(F12:F15)</f>
      </c>
      <c r="G16" s="480">
        <f>SUM(G12:G15)</f>
      </c>
      <c r="H16" s="480">
        <f>SUM(H12:H15)</f>
      </c>
      <c r="I16" s="480">
        <f>SUM(I12:I15)</f>
      </c>
      <c r="J16" s="480">
        <f>SUM(J12:J15)</f>
      </c>
      <c r="K16" s="480">
        <f>SUM(K12:K15)</f>
      </c>
      <c r="L16" s="481">
        <f t="shared" si="1"/>
      </c>
      <c r="M16" s="481">
        <f t="shared" si="0"/>
      </c>
      <c r="N16" s="481">
        <f t="shared" ref="N16:N19" si="5">K16/F16</f>
      </c>
      <c r="O16" s="482"/>
      <c r="P16" s="480">
        <f>P12+P13+P14+P15</f>
      </c>
      <c r="Q16" s="482"/>
    </row>
    <row r="17">
      <c r="A17" s="469">
        <v>46085</v>
      </c>
      <c r="B17" s="470" t="s">
        <v>454</v>
      </c>
      <c r="C17" s="471" t="s">
        <v>445</v>
      </c>
      <c r="D17" s="470">
        <v>5</v>
      </c>
      <c r="E17" s="472">
        <v>64</v>
      </c>
      <c r="F17" s="470">
        <v>54</v>
      </c>
      <c r="G17" s="470">
        <v>41</v>
      </c>
      <c r="H17" s="470">
        <v>37</v>
      </c>
      <c r="I17" s="470">
        <v>5</v>
      </c>
      <c r="J17" s="473">
        <v>49167.60000000001</v>
      </c>
      <c r="K17" s="470">
        <v>25267.43</v>
      </c>
      <c r="L17" s="474">
        <f t="shared" si="1"/>
      </c>
      <c r="M17" s="474">
        <f t="shared" si="0"/>
      </c>
      <c r="N17" s="474">
        <f t="shared" si="5"/>
      </c>
      <c r="O17" s="475" t="s">
        <v>446</v>
      </c>
      <c r="P17" s="470">
        <v>10</v>
      </c>
      <c r="Q17" s="476"/>
    </row>
    <row r="18">
      <c r="A18" s="469">
        <v>46085</v>
      </c>
      <c r="B18" s="470" t="s">
        <v>444</v>
      </c>
      <c r="C18" s="471" t="s">
        <v>448</v>
      </c>
      <c r="D18" s="470">
        <v>5</v>
      </c>
      <c r="E18" s="470">
        <v>80</v>
      </c>
      <c r="F18" s="470">
        <v>69</v>
      </c>
      <c r="G18" s="470">
        <v>56</v>
      </c>
      <c r="H18" s="470">
        <v>47</v>
      </c>
      <c r="I18" s="470">
        <v>9</v>
      </c>
      <c r="J18" s="473">
        <v>60074.600000000006</v>
      </c>
      <c r="K18" s="473">
        <v>37972.43</v>
      </c>
      <c r="L18" s="474">
        <f t="shared" si="1"/>
      </c>
      <c r="M18" s="474">
        <f t="shared" si="0"/>
      </c>
      <c r="N18" s="474">
        <f t="shared" si="5"/>
      </c>
      <c r="O18" s="477"/>
      <c r="P18" s="477"/>
      <c r="Q18" s="478"/>
    </row>
    <row r="19">
      <c r="A19" s="469">
        <v>46085</v>
      </c>
      <c r="B19" s="470" t="s">
        <v>451</v>
      </c>
      <c r="C19" s="471" t="s">
        <v>450</v>
      </c>
      <c r="D19" s="470">
        <v>5</v>
      </c>
      <c r="E19" s="470">
        <v>39</v>
      </c>
      <c r="F19" s="470">
        <v>33</v>
      </c>
      <c r="G19" s="470">
        <v>28</v>
      </c>
      <c r="H19" s="470">
        <v>22</v>
      </c>
      <c r="I19" s="470">
        <v>1</v>
      </c>
      <c r="J19" s="473">
        <v>29684.600000000006</v>
      </c>
      <c r="K19" s="473">
        <v>24780.02</v>
      </c>
      <c r="L19" s="474">
        <f t="shared" si="1"/>
      </c>
      <c r="M19" s="474">
        <f t="shared" si="0"/>
      </c>
      <c r="N19" s="474">
        <f t="shared" si="5"/>
      </c>
      <c r="O19" s="475"/>
      <c r="P19" s="470"/>
      <c r="Q19" s="478"/>
    </row>
    <row r="20">
      <c r="A20" s="469">
        <v>46085</v>
      </c>
      <c r="B20" s="470" t="s">
        <v>447</v>
      </c>
      <c r="C20" s="471" t="s">
        <v>452</v>
      </c>
      <c r="D20" s="470">
        <v>5</v>
      </c>
      <c r="E20" s="470">
        <v>57</v>
      </c>
      <c r="F20" s="470">
        <v>50</v>
      </c>
      <c r="G20" s="470">
        <v>41</v>
      </c>
      <c r="H20" s="470">
        <v>35</v>
      </c>
      <c r="I20" s="470">
        <v>3</v>
      </c>
      <c r="J20" s="473">
        <v>42671.4</v>
      </c>
      <c r="K20" s="473">
        <v>23526.93</v>
      </c>
      <c r="L20" s="474">
        <f t="shared" si="1"/>
      </c>
      <c r="M20" s="474">
        <f t="shared" si="0"/>
      </c>
      <c r="N20" s="474">
        <f>K20/H20</f>
      </c>
      <c r="O20" s="475" t="s">
        <v>453</v>
      </c>
      <c r="P20" s="470">
        <v>10</v>
      </c>
      <c r="Q20" s="477"/>
    </row>
    <row r="21">
      <c r="A21" s="479">
        <v>46085</v>
      </c>
      <c r="B21" s="480"/>
      <c r="C21" s="480"/>
      <c r="D21" s="480">
        <f>SUM(D17:D20)</f>
      </c>
      <c r="E21" s="480">
        <f>SUM(E17:E20)</f>
      </c>
      <c r="F21" s="480">
        <f>SUM(F17:F20)</f>
      </c>
      <c r="G21" s="480">
        <f>SUM(G17:G20)</f>
      </c>
      <c r="H21" s="480">
        <f>SUM(H17:H20)</f>
      </c>
      <c r="I21" s="480">
        <f>SUM(I17:I20)</f>
      </c>
      <c r="J21" s="480">
        <f>SUM(J17:J20)</f>
      </c>
      <c r="K21" s="480">
        <f>SUM(K17:K20)</f>
      </c>
      <c r="L21" s="481">
        <f t="shared" si="1"/>
      </c>
      <c r="M21" s="481">
        <f t="shared" si="0"/>
      </c>
      <c r="N21" s="481">
        <f t="shared" ref="N21:N24" si="6">K21/F21</f>
      </c>
      <c r="O21" s="482"/>
      <c r="P21" s="480">
        <f>P17+P18+P19+P20</f>
      </c>
      <c r="Q21" s="482"/>
    </row>
    <row r="22">
      <c r="A22" s="469">
        <v>46086</v>
      </c>
      <c r="B22" s="470" t="s">
        <v>444</v>
      </c>
      <c r="C22" s="471" t="s">
        <v>445</v>
      </c>
      <c r="D22" s="470">
        <v>5</v>
      </c>
      <c r="E22" s="472">
        <v>37</v>
      </c>
      <c r="F22" s="470">
        <v>28</v>
      </c>
      <c r="G22" s="470">
        <v>20</v>
      </c>
      <c r="H22" s="470">
        <v>17</v>
      </c>
      <c r="I22" s="470">
        <v>2</v>
      </c>
      <c r="J22" s="473">
        <v>26367.199999999997</v>
      </c>
      <c r="K22" s="470">
        <v>19909.39</v>
      </c>
      <c r="L22" s="474">
        <f t="shared" si="1"/>
      </c>
      <c r="M22" s="474">
        <f t="shared" si="0"/>
      </c>
      <c r="N22" s="474">
        <f t="shared" si="6"/>
      </c>
      <c r="O22" s="475" t="s">
        <v>446</v>
      </c>
      <c r="P22" s="470">
        <v>10</v>
      </c>
      <c r="Q22" s="476"/>
    </row>
    <row r="23">
      <c r="A23" s="469">
        <v>46086</v>
      </c>
      <c r="B23" s="470" t="s">
        <v>454</v>
      </c>
      <c r="C23" s="471" t="s">
        <v>448</v>
      </c>
      <c r="D23" s="470">
        <v>5</v>
      </c>
      <c r="E23" s="470">
        <v>54</v>
      </c>
      <c r="F23" s="470">
        <v>43</v>
      </c>
      <c r="G23" s="470">
        <v>32</v>
      </c>
      <c r="H23" s="470">
        <v>27</v>
      </c>
      <c r="I23" s="470">
        <v>5</v>
      </c>
      <c r="J23" s="473">
        <v>33695.899999999994</v>
      </c>
      <c r="K23" s="473">
        <v>15893.64</v>
      </c>
      <c r="L23" s="474">
        <f t="shared" si="1"/>
      </c>
      <c r="M23" s="474">
        <f t="shared" si="0"/>
      </c>
      <c r="N23" s="474">
        <f t="shared" si="6"/>
      </c>
      <c r="O23" s="477"/>
      <c r="P23" s="477"/>
      <c r="Q23" s="478"/>
    </row>
    <row r="24">
      <c r="A24" s="469">
        <v>46086</v>
      </c>
      <c r="B24" s="470" t="s">
        <v>449</v>
      </c>
      <c r="C24" s="471" t="s">
        <v>450</v>
      </c>
      <c r="D24" s="470">
        <v>5</v>
      </c>
      <c r="E24" s="470">
        <v>27</v>
      </c>
      <c r="F24" s="470">
        <v>18</v>
      </c>
      <c r="G24" s="470">
        <v>10</v>
      </c>
      <c r="H24" s="470">
        <v>14</v>
      </c>
      <c r="I24" s="470">
        <v>3</v>
      </c>
      <c r="J24" s="473">
        <v>17497.199999999997</v>
      </c>
      <c r="K24" s="473">
        <v>13580.51</v>
      </c>
      <c r="L24" s="474">
        <f t="shared" si="1"/>
      </c>
      <c r="M24" s="474">
        <f t="shared" si="0"/>
      </c>
      <c r="N24" s="474">
        <f t="shared" si="6"/>
      </c>
      <c r="O24" s="475"/>
      <c r="P24" s="470"/>
      <c r="Q24" s="478"/>
    </row>
    <row r="25">
      <c r="A25" s="469">
        <v>46086</v>
      </c>
      <c r="B25" s="470" t="s">
        <v>447</v>
      </c>
      <c r="C25" s="471" t="s">
        <v>452</v>
      </c>
      <c r="D25" s="470">
        <v>5</v>
      </c>
      <c r="E25" s="470">
        <v>40</v>
      </c>
      <c r="F25" s="470">
        <v>30</v>
      </c>
      <c r="G25" s="470">
        <v>24</v>
      </c>
      <c r="H25" s="470">
        <v>20</v>
      </c>
      <c r="I25" s="470">
        <v>2</v>
      </c>
      <c r="J25" s="473">
        <v>24687.000000000007</v>
      </c>
      <c r="K25" s="473">
        <v>17751.38</v>
      </c>
      <c r="L25" s="474">
        <f t="shared" si="1"/>
      </c>
      <c r="M25" s="474">
        <f t="shared" si="0"/>
      </c>
      <c r="N25" s="474">
        <f>K25/H25</f>
      </c>
      <c r="O25" s="475" t="s">
        <v>453</v>
      </c>
      <c r="P25" s="470">
        <v>10</v>
      </c>
      <c r="Q25" s="477"/>
    </row>
    <row r="26">
      <c r="A26" s="479">
        <v>46086</v>
      </c>
      <c r="B26" s="480"/>
      <c r="C26" s="480"/>
      <c r="D26" s="480">
        <f>SUM(D22:D25)</f>
      </c>
      <c r="E26" s="480">
        <f>SUM(E22:E25)</f>
      </c>
      <c r="F26" s="480">
        <f>SUM(F22:F25)</f>
      </c>
      <c r="G26" s="480">
        <f>SUM(G22:G25)</f>
      </c>
      <c r="H26" s="480">
        <f>SUM(H22:H25)</f>
      </c>
      <c r="I26" s="480">
        <f>SUM(I22:I25)</f>
      </c>
      <c r="J26" s="480">
        <f>SUM(J22:J25)</f>
      </c>
      <c r="K26" s="480">
        <f>SUM(K22:K25)</f>
      </c>
      <c r="L26" s="481">
        <f t="shared" si="1"/>
      </c>
      <c r="M26" s="481">
        <f t="shared" si="0"/>
      </c>
      <c r="N26" s="481">
        <f t="shared" ref="N26:N29" si="7">K26/F26</f>
      </c>
      <c r="O26" s="482"/>
      <c r="P26" s="480">
        <f>P22+P23+P24+P25</f>
      </c>
      <c r="Q26" s="482"/>
    </row>
    <row r="27">
      <c r="A27" s="469">
        <v>46087</v>
      </c>
      <c r="B27" s="484" t="s">
        <v>454</v>
      </c>
      <c r="C27" s="471" t="s">
        <v>445</v>
      </c>
      <c r="D27" s="470">
        <v>5</v>
      </c>
      <c r="E27" s="472">
        <v>42</v>
      </c>
      <c r="F27" s="470">
        <v>33</v>
      </c>
      <c r="G27" s="470">
        <v>24</v>
      </c>
      <c r="H27" s="470">
        <v>18</v>
      </c>
      <c r="I27" s="470">
        <v>1</v>
      </c>
      <c r="J27" s="473">
        <v>32499.2</v>
      </c>
      <c r="K27" s="470">
        <v>19971.07</v>
      </c>
      <c r="L27" s="474">
        <f t="shared" si="1"/>
      </c>
      <c r="M27" s="474">
        <f t="shared" si="0"/>
      </c>
      <c r="N27" s="474">
        <f t="shared" si="7"/>
      </c>
      <c r="O27" s="475" t="s">
        <v>446</v>
      </c>
      <c r="P27" s="470">
        <v>10</v>
      </c>
      <c r="Q27" s="476"/>
    </row>
    <row r="28">
      <c r="A28" s="469">
        <v>46087</v>
      </c>
      <c r="B28" s="470" t="s">
        <v>444</v>
      </c>
      <c r="C28" s="471" t="s">
        <v>448</v>
      </c>
      <c r="D28" s="470">
        <v>5</v>
      </c>
      <c r="E28" s="470">
        <v>56</v>
      </c>
      <c r="F28" s="470">
        <v>44</v>
      </c>
      <c r="G28" s="470">
        <v>38</v>
      </c>
      <c r="H28" s="470">
        <v>33</v>
      </c>
      <c r="I28" s="470">
        <v>4</v>
      </c>
      <c r="J28" s="473">
        <v>40305.6</v>
      </c>
      <c r="K28" s="473">
        <v>24807.23</v>
      </c>
      <c r="L28" s="474">
        <f t="shared" si="1"/>
      </c>
      <c r="M28" s="474">
        <f t="shared" si="0"/>
      </c>
      <c r="N28" s="474">
        <f t="shared" si="7"/>
      </c>
      <c r="O28" s="477"/>
      <c r="P28" s="477"/>
      <c r="Q28" s="478"/>
    </row>
    <row r="29">
      <c r="A29" s="469">
        <v>46087</v>
      </c>
      <c r="B29" s="470" t="s">
        <v>449</v>
      </c>
      <c r="C29" s="471" t="s">
        <v>450</v>
      </c>
      <c r="D29" s="470">
        <v>5</v>
      </c>
      <c r="E29" s="470">
        <v>35</v>
      </c>
      <c r="F29" s="470">
        <v>29</v>
      </c>
      <c r="G29" s="470">
        <v>16</v>
      </c>
      <c r="H29" s="470">
        <v>22</v>
      </c>
      <c r="I29" s="470">
        <v>4</v>
      </c>
      <c r="J29" s="473">
        <v>22423.399999999998</v>
      </c>
      <c r="K29" s="473">
        <v>12463.92</v>
      </c>
      <c r="L29" s="474">
        <f t="shared" si="1"/>
      </c>
      <c r="M29" s="474">
        <f t="shared" si="0"/>
      </c>
      <c r="N29" s="474">
        <f t="shared" si="7"/>
      </c>
      <c r="O29" s="475"/>
      <c r="P29" s="470"/>
      <c r="Q29" s="478"/>
    </row>
    <row r="30">
      <c r="A30" s="469">
        <v>46087</v>
      </c>
      <c r="B30" s="470" t="s">
        <v>447</v>
      </c>
      <c r="C30" s="471" t="s">
        <v>452</v>
      </c>
      <c r="D30" s="470">
        <v>5</v>
      </c>
      <c r="E30" s="470">
        <v>42</v>
      </c>
      <c r="F30" s="470">
        <v>33</v>
      </c>
      <c r="G30" s="470">
        <v>23</v>
      </c>
      <c r="H30" s="470">
        <v>22</v>
      </c>
      <c r="I30" s="470">
        <v>2</v>
      </c>
      <c r="J30" s="473">
        <v>30051.200000000004</v>
      </c>
      <c r="K30" s="473">
        <v>12964.34</v>
      </c>
      <c r="L30" s="474">
        <f t="shared" si="1"/>
      </c>
      <c r="M30" s="474">
        <f t="shared" si="0"/>
      </c>
      <c r="N30" s="474">
        <f>K30/H30</f>
      </c>
      <c r="O30" s="475" t="s">
        <v>453</v>
      </c>
      <c r="P30" s="470">
        <v>10</v>
      </c>
      <c r="Q30" s="477"/>
    </row>
    <row r="31">
      <c r="A31" s="479">
        <v>46087</v>
      </c>
      <c r="B31" s="480"/>
      <c r="C31" s="480"/>
      <c r="D31" s="480">
        <f>SUM(D27:D30)</f>
      </c>
      <c r="E31" s="480">
        <f>SUM(E27:E30)</f>
      </c>
      <c r="F31" s="480">
        <f>SUM(F27:F30)</f>
      </c>
      <c r="G31" s="480">
        <f>SUM(G27:G30)</f>
      </c>
      <c r="H31" s="480">
        <f>SUM(H27:H30)</f>
      </c>
      <c r="I31" s="480">
        <f>SUM(I27:I30)</f>
      </c>
      <c r="J31" s="480">
        <f>SUM(J27:J30)</f>
      </c>
      <c r="K31" s="480">
        <f>SUM(K27:K30)</f>
      </c>
      <c r="L31" s="481">
        <f t="shared" si="1"/>
      </c>
      <c r="M31" s="481">
        <f t="shared" si="0"/>
      </c>
      <c r="N31" s="481">
        <f t="shared" ref="N31:N34" si="8">K31/F31</f>
      </c>
      <c r="O31" s="482"/>
      <c r="P31" s="480">
        <f>P27+P28+P29+P30</f>
      </c>
      <c r="Q31" s="482"/>
    </row>
    <row r="32">
      <c r="A32" s="469">
        <v>46088</v>
      </c>
      <c r="B32" s="484" t="s">
        <v>454</v>
      </c>
      <c r="C32" s="471" t="s">
        <v>445</v>
      </c>
      <c r="D32" s="470">
        <v>5</v>
      </c>
      <c r="E32" s="472">
        <v>113</v>
      </c>
      <c r="F32" s="470">
        <v>95</v>
      </c>
      <c r="G32" s="470">
        <v>71</v>
      </c>
      <c r="H32" s="470">
        <v>65</v>
      </c>
      <c r="I32" s="470">
        <v>8</v>
      </c>
      <c r="J32" s="473">
        <v>95080.10000000003</v>
      </c>
      <c r="K32" s="470">
        <v>42005.84</v>
      </c>
      <c r="L32" s="474">
        <f t="shared" si="1"/>
      </c>
      <c r="M32" s="474">
        <f t="shared" si="0"/>
      </c>
      <c r="N32" s="474">
        <f t="shared" si="8"/>
      </c>
      <c r="O32" s="475" t="s">
        <v>446</v>
      </c>
      <c r="P32" s="470">
        <v>10</v>
      </c>
      <c r="Q32" s="476"/>
    </row>
    <row r="33">
      <c r="A33" s="469">
        <v>46088</v>
      </c>
      <c r="B33" s="470" t="s">
        <v>444</v>
      </c>
      <c r="C33" s="471" t="s">
        <v>448</v>
      </c>
      <c r="D33" s="470">
        <v>5</v>
      </c>
      <c r="E33" s="470">
        <v>80</v>
      </c>
      <c r="F33" s="470">
        <v>65</v>
      </c>
      <c r="G33" s="470">
        <v>52</v>
      </c>
      <c r="H33" s="470">
        <v>42</v>
      </c>
      <c r="I33" s="470">
        <v>5</v>
      </c>
      <c r="J33" s="473">
        <v>53256.70000000001</v>
      </c>
      <c r="K33" s="473">
        <v>37311.92999999999</v>
      </c>
      <c r="L33" s="474">
        <f t="shared" si="1"/>
      </c>
      <c r="M33" s="474">
        <f t="shared" si="0"/>
      </c>
      <c r="N33" s="474">
        <f t="shared" si="8"/>
      </c>
      <c r="O33" s="477"/>
      <c r="P33" s="477"/>
      <c r="Q33" s="478"/>
    </row>
    <row r="34">
      <c r="A34" s="469">
        <v>46088</v>
      </c>
      <c r="B34" s="470" t="s">
        <v>451</v>
      </c>
      <c r="C34" s="471" t="s">
        <v>450</v>
      </c>
      <c r="D34" s="470">
        <v>5</v>
      </c>
      <c r="E34" s="470">
        <v>58</v>
      </c>
      <c r="F34" s="470">
        <v>45</v>
      </c>
      <c r="G34" s="470">
        <v>29</v>
      </c>
      <c r="H34" s="470">
        <v>29</v>
      </c>
      <c r="I34" s="470">
        <v>4</v>
      </c>
      <c r="J34" s="473">
        <v>43338.600000000006</v>
      </c>
      <c r="K34" s="473">
        <v>27504.809999999998</v>
      </c>
      <c r="L34" s="474">
        <f t="shared" si="1"/>
      </c>
      <c r="M34" s="474">
        <f t="shared" si="0"/>
      </c>
      <c r="N34" s="474">
        <f t="shared" si="8"/>
      </c>
      <c r="O34" s="475"/>
      <c r="P34" s="470"/>
      <c r="Q34" s="478"/>
    </row>
    <row r="35">
      <c r="A35" s="469">
        <v>46088</v>
      </c>
      <c r="B35" s="470" t="s">
        <v>447</v>
      </c>
      <c r="C35" s="471" t="s">
        <v>452</v>
      </c>
      <c r="D35" s="470">
        <v>5</v>
      </c>
      <c r="E35" s="470">
        <v>52</v>
      </c>
      <c r="F35" s="470">
        <v>42</v>
      </c>
      <c r="G35" s="470">
        <v>32</v>
      </c>
      <c r="H35" s="470">
        <v>31</v>
      </c>
      <c r="I35" s="470">
        <v>6</v>
      </c>
      <c r="J35" s="473">
        <v>36484</v>
      </c>
      <c r="K35" s="473">
        <v>21201.26</v>
      </c>
      <c r="L35" s="474">
        <f t="shared" si="1"/>
      </c>
      <c r="M35" s="474">
        <f t="shared" si="0"/>
      </c>
      <c r="N35" s="474">
        <f>K35/H35</f>
      </c>
      <c r="O35" s="475" t="s">
        <v>453</v>
      </c>
      <c r="P35" s="470">
        <v>10</v>
      </c>
      <c r="Q35" s="477"/>
    </row>
    <row r="36">
      <c r="A36" s="479">
        <v>46088</v>
      </c>
      <c r="B36" s="480"/>
      <c r="C36" s="480"/>
      <c r="D36" s="480">
        <f>SUM(D32:D35)</f>
      </c>
      <c r="E36" s="480">
        <f>SUM(E32:E35)</f>
      </c>
      <c r="F36" s="480">
        <f>SUM(F32:F35)</f>
      </c>
      <c r="G36" s="480">
        <f>SUM(G32:G35)</f>
      </c>
      <c r="H36" s="480">
        <f>SUM(H32:H35)</f>
      </c>
      <c r="I36" s="480">
        <f>SUM(I32:I35)</f>
      </c>
      <c r="J36" s="480">
        <f>SUM(J32:J35)</f>
      </c>
      <c r="K36" s="480">
        <f>SUM(K32:K35)</f>
      </c>
      <c r="L36" s="481">
        <f t="shared" si="1"/>
      </c>
      <c r="M36" s="481">
        <f t="shared" si="0"/>
      </c>
      <c r="N36" s="481">
        <f t="shared" ref="N36:N39" si="9">K36/F36</f>
      </c>
      <c r="O36" s="482"/>
      <c r="P36" s="480">
        <f>P32+P33+P34+P35</f>
      </c>
      <c r="Q36" s="482"/>
    </row>
    <row r="37">
      <c r="A37" s="469">
        <v>46089</v>
      </c>
      <c r="B37" s="484" t="s">
        <v>444</v>
      </c>
      <c r="C37" s="471" t="s">
        <v>445</v>
      </c>
      <c r="D37" s="470">
        <v>5</v>
      </c>
      <c r="E37" s="472">
        <v>57</v>
      </c>
      <c r="F37" s="470">
        <v>46</v>
      </c>
      <c r="G37" s="470">
        <v>38</v>
      </c>
      <c r="H37" s="470">
        <v>34</v>
      </c>
      <c r="I37" s="470">
        <v>2</v>
      </c>
      <c r="J37" s="473">
        <v>39176.00000000001</v>
      </c>
      <c r="K37" s="470">
        <v>26974.4</v>
      </c>
      <c r="L37" s="474">
        <f t="shared" si="1"/>
      </c>
      <c r="M37" s="474">
        <f t="shared" si="0"/>
      </c>
      <c r="N37" s="474">
        <f t="shared" si="9"/>
      </c>
      <c r="O37" s="475" t="s">
        <v>446</v>
      </c>
      <c r="P37" s="470">
        <v>10</v>
      </c>
      <c r="Q37" s="476"/>
    </row>
    <row r="38">
      <c r="A38" s="469">
        <v>46089</v>
      </c>
      <c r="B38" s="484" t="s">
        <v>454</v>
      </c>
      <c r="C38" s="471" t="s">
        <v>448</v>
      </c>
      <c r="D38" s="470">
        <v>5</v>
      </c>
      <c r="E38" s="470">
        <v>57</v>
      </c>
      <c r="F38" s="470">
        <v>45</v>
      </c>
      <c r="G38" s="470">
        <v>33</v>
      </c>
      <c r="H38" s="470">
        <v>26</v>
      </c>
      <c r="I38" s="470">
        <v>5</v>
      </c>
      <c r="J38" s="473">
        <v>44812</v>
      </c>
      <c r="K38" s="473">
        <v>22452.410000000003</v>
      </c>
      <c r="L38" s="474">
        <f t="shared" si="1"/>
      </c>
      <c r="M38" s="474">
        <f t="shared" si="0"/>
      </c>
      <c r="N38" s="474">
        <f t="shared" si="9"/>
      </c>
      <c r="O38" s="477"/>
      <c r="P38" s="477"/>
      <c r="Q38" s="478"/>
    </row>
    <row r="39">
      <c r="A39" s="469">
        <v>46089</v>
      </c>
      <c r="B39" s="470" t="s">
        <v>451</v>
      </c>
      <c r="C39" s="471" t="s">
        <v>450</v>
      </c>
      <c r="D39" s="470">
        <v>5</v>
      </c>
      <c r="E39" s="470">
        <v>31</v>
      </c>
      <c r="F39" s="470">
        <v>26</v>
      </c>
      <c r="G39" s="470">
        <v>18</v>
      </c>
      <c r="H39" s="470">
        <v>21</v>
      </c>
      <c r="I39" s="470">
        <v>4</v>
      </c>
      <c r="J39" s="473">
        <v>19580.760000000002</v>
      </c>
      <c r="K39" s="473">
        <v>17506.79</v>
      </c>
      <c r="L39" s="474">
        <f t="shared" si="1"/>
      </c>
      <c r="M39" s="474">
        <f t="shared" si="0"/>
      </c>
      <c r="N39" s="474">
        <f t="shared" si="9"/>
      </c>
      <c r="O39" s="475"/>
      <c r="P39" s="470"/>
      <c r="Q39" s="478"/>
    </row>
    <row r="40">
      <c r="A40" s="469">
        <v>46089</v>
      </c>
      <c r="B40" s="470" t="s">
        <v>449</v>
      </c>
      <c r="C40" s="471" t="s">
        <v>452</v>
      </c>
      <c r="D40" s="470">
        <v>5</v>
      </c>
      <c r="E40" s="470">
        <v>37</v>
      </c>
      <c r="F40" s="470">
        <v>28</v>
      </c>
      <c r="G40" s="470">
        <v>20</v>
      </c>
      <c r="H40" s="470">
        <v>21</v>
      </c>
      <c r="I40" s="470">
        <v>3</v>
      </c>
      <c r="J40" s="473">
        <v>33143.99999999999</v>
      </c>
      <c r="K40" s="473">
        <v>18118.33</v>
      </c>
      <c r="L40" s="474">
        <f t="shared" si="1"/>
      </c>
      <c r="M40" s="474">
        <f t="shared" si="0"/>
      </c>
      <c r="N40" s="474">
        <f>K40/H40</f>
      </c>
      <c r="O40" s="475" t="s">
        <v>453</v>
      </c>
      <c r="P40" s="470">
        <v>10</v>
      </c>
      <c r="Q40" s="477"/>
    </row>
    <row r="41">
      <c r="A41" s="479">
        <v>46089</v>
      </c>
      <c r="B41" s="480"/>
      <c r="C41" s="480"/>
      <c r="D41" s="480">
        <f>SUM(D37:D40)</f>
      </c>
      <c r="E41" s="480">
        <f>SUM(E37:E40)</f>
      </c>
      <c r="F41" s="480">
        <f>SUM(F37:F40)</f>
      </c>
      <c r="G41" s="480">
        <f>SUM(G37:G40)</f>
      </c>
      <c r="H41" s="480">
        <f>SUM(H37:H40)</f>
      </c>
      <c r="I41" s="480">
        <f>SUM(I37:I40)</f>
      </c>
      <c r="J41" s="480">
        <f>SUM(J37:J40)</f>
      </c>
      <c r="K41" s="480">
        <f>SUM(K37:K40)</f>
      </c>
      <c r="L41" s="481">
        <f t="shared" si="1"/>
      </c>
      <c r="M41" s="481">
        <f t="shared" si="0"/>
      </c>
      <c r="N41" s="481">
        <f t="shared" ref="N41:N44" si="10">K41/F41</f>
      </c>
      <c r="O41" s="482"/>
      <c r="P41" s="480">
        <f>P37+P38+P39+P40</f>
      </c>
      <c r="Q41" s="482"/>
    </row>
    <row r="42">
      <c r="A42" s="469">
        <v>46090</v>
      </c>
      <c r="B42" s="484" t="s">
        <v>454</v>
      </c>
      <c r="C42" s="471" t="s">
        <v>445</v>
      </c>
      <c r="D42" s="470">
        <v>5</v>
      </c>
      <c r="E42" s="472">
        <v>60</v>
      </c>
      <c r="F42" s="470">
        <v>47</v>
      </c>
      <c r="G42" s="470">
        <v>36</v>
      </c>
      <c r="H42" s="470">
        <v>31</v>
      </c>
      <c r="I42" s="470">
        <v>2</v>
      </c>
      <c r="J42" s="473">
        <v>39586</v>
      </c>
      <c r="K42" s="470">
        <v>21250.339999999997</v>
      </c>
      <c r="L42" s="474">
        <f t="shared" si="1"/>
      </c>
      <c r="M42" s="474">
        <f t="shared" si="0"/>
      </c>
      <c r="N42" s="474">
        <f t="shared" si="10"/>
      </c>
      <c r="O42" s="475" t="s">
        <v>446</v>
      </c>
      <c r="P42" s="470">
        <v>10</v>
      </c>
      <c r="Q42" s="476"/>
    </row>
    <row r="43">
      <c r="A43" s="469">
        <v>46090</v>
      </c>
      <c r="B43" s="470" t="s">
        <v>449</v>
      </c>
      <c r="C43" s="471" t="s">
        <v>448</v>
      </c>
      <c r="D43" s="470">
        <v>5</v>
      </c>
      <c r="E43" s="470">
        <v>49</v>
      </c>
      <c r="F43" s="470">
        <v>40</v>
      </c>
      <c r="G43" s="470">
        <v>32</v>
      </c>
      <c r="H43" s="470">
        <v>28</v>
      </c>
      <c r="I43" s="470">
        <v>3</v>
      </c>
      <c r="J43" s="473">
        <v>36127</v>
      </c>
      <c r="K43" s="473">
        <v>21175.35</v>
      </c>
      <c r="L43" s="474">
        <f t="shared" si="1"/>
      </c>
      <c r="M43" s="474">
        <f t="shared" si="0"/>
      </c>
      <c r="N43" s="474">
        <f t="shared" si="10"/>
      </c>
      <c r="O43" s="477"/>
      <c r="P43" s="477"/>
      <c r="Q43" s="478"/>
    </row>
    <row r="44">
      <c r="A44" s="469">
        <v>46090</v>
      </c>
      <c r="B44" s="470" t="s">
        <v>444</v>
      </c>
      <c r="C44" s="471" t="s">
        <v>450</v>
      </c>
      <c r="D44" s="470">
        <v>5</v>
      </c>
      <c r="E44" s="470">
        <v>58</v>
      </c>
      <c r="F44" s="470">
        <v>38</v>
      </c>
      <c r="G44" s="470">
        <v>27</v>
      </c>
      <c r="H44" s="470">
        <v>22</v>
      </c>
      <c r="I44" s="470">
        <v>5</v>
      </c>
      <c r="J44" s="473">
        <v>29886.200000000004</v>
      </c>
      <c r="K44" s="473">
        <v>21805.59</v>
      </c>
      <c r="L44" s="474">
        <f t="shared" si="1"/>
      </c>
      <c r="M44" s="474">
        <f t="shared" si="0"/>
      </c>
      <c r="N44" s="474">
        <f t="shared" si="10"/>
      </c>
      <c r="O44" s="475"/>
      <c r="P44" s="470"/>
      <c r="Q44" s="478"/>
    </row>
    <row r="45">
      <c r="A45" s="469">
        <v>46090</v>
      </c>
      <c r="B45" s="470" t="s">
        <v>451</v>
      </c>
      <c r="C45" s="471" t="s">
        <v>452</v>
      </c>
      <c r="D45" s="470">
        <v>5</v>
      </c>
      <c r="E45" s="470">
        <v>48</v>
      </c>
      <c r="F45" s="470">
        <v>34</v>
      </c>
      <c r="G45" s="470">
        <v>26</v>
      </c>
      <c r="H45" s="470">
        <v>27</v>
      </c>
      <c r="I45" s="470">
        <v>5</v>
      </c>
      <c r="J45" s="473">
        <v>26005.600000000006</v>
      </c>
      <c r="K45" s="473">
        <v>16105.279999999999</v>
      </c>
      <c r="L45" s="474">
        <f t="shared" si="1"/>
      </c>
      <c r="M45" s="474">
        <f t="shared" si="0"/>
      </c>
      <c r="N45" s="474">
        <f>K45/H45</f>
      </c>
      <c r="O45" s="475" t="s">
        <v>453</v>
      </c>
      <c r="P45" s="470">
        <v>10</v>
      </c>
      <c r="Q45" s="477"/>
    </row>
    <row r="46">
      <c r="A46" s="479">
        <v>46090</v>
      </c>
      <c r="B46" s="480"/>
      <c r="C46" s="480"/>
      <c r="D46" s="480">
        <f>SUM(D42:D45)</f>
      </c>
      <c r="E46" s="480">
        <f>SUM(E42:E45)</f>
      </c>
      <c r="F46" s="480">
        <f>SUM(F42:F45)</f>
      </c>
      <c r="G46" s="480">
        <f>SUM(G42:G45)</f>
      </c>
      <c r="H46" s="480">
        <f>SUM(H42:H45)</f>
      </c>
      <c r="I46" s="480">
        <f>SUM(I42:I45)</f>
      </c>
      <c r="J46" s="480">
        <f>SUM(J42:J45)</f>
      </c>
      <c r="K46" s="480">
        <f>SUM(K42:K45)</f>
      </c>
      <c r="L46" s="481">
        <f t="shared" si="1"/>
      </c>
      <c r="M46" s="481">
        <f t="shared" si="0"/>
      </c>
      <c r="N46" s="481">
        <f t="shared" ref="N46:N49" si="11">K46/F46</f>
      </c>
      <c r="O46" s="482"/>
      <c r="P46" s="480">
        <f>P42+P43+P44+P45</f>
      </c>
      <c r="Q46" s="482"/>
    </row>
    <row r="47">
      <c r="A47" s="469">
        <v>46091</v>
      </c>
      <c r="B47" s="470" t="s">
        <v>444</v>
      </c>
      <c r="C47" s="471" t="s">
        <v>456</v>
      </c>
      <c r="D47" s="470">
        <v>4</v>
      </c>
      <c r="E47" s="472">
        <v>29</v>
      </c>
      <c r="F47" s="470">
        <v>23</v>
      </c>
      <c r="G47" s="470">
        <v>14</v>
      </c>
      <c r="H47" s="470">
        <v>15</v>
      </c>
      <c r="I47" s="470">
        <v>4</v>
      </c>
      <c r="J47" s="473">
        <v>17433.6</v>
      </c>
      <c r="K47" s="470">
        <v>12179.97</v>
      </c>
      <c r="L47" s="474">
        <f t="shared" si="1"/>
      </c>
      <c r="M47" s="474">
        <f t="shared" si="0"/>
      </c>
      <c r="N47" s="474">
        <f t="shared" si="11"/>
      </c>
      <c r="O47" s="475" t="s">
        <v>446</v>
      </c>
      <c r="P47" s="470">
        <v>11</v>
      </c>
      <c r="Q47" s="476"/>
    </row>
    <row r="48">
      <c r="A48" s="469">
        <v>46091</v>
      </c>
      <c r="B48" s="470" t="s">
        <v>454</v>
      </c>
      <c r="C48" s="471" t="s">
        <v>457</v>
      </c>
      <c r="D48" s="470">
        <v>6</v>
      </c>
      <c r="E48" s="470">
        <v>77</v>
      </c>
      <c r="F48" s="470">
        <v>64</v>
      </c>
      <c r="G48" s="470">
        <v>49</v>
      </c>
      <c r="H48" s="470">
        <v>40</v>
      </c>
      <c r="I48" s="470">
        <v>8</v>
      </c>
      <c r="J48" s="473">
        <v>58910.40000000001</v>
      </c>
      <c r="K48" s="473">
        <v>24472.01</v>
      </c>
      <c r="L48" s="474">
        <f t="shared" si="1"/>
      </c>
      <c r="M48" s="474">
        <f t="shared" si="0"/>
      </c>
      <c r="N48" s="474">
        <f t="shared" si="11"/>
      </c>
      <c r="O48" s="477"/>
      <c r="P48" s="477"/>
      <c r="Q48" s="478"/>
    </row>
    <row r="49">
      <c r="A49" s="469">
        <v>46091</v>
      </c>
      <c r="B49" s="470" t="s">
        <v>451</v>
      </c>
      <c r="C49" s="471" t="s">
        <v>450</v>
      </c>
      <c r="D49" s="470">
        <v>5</v>
      </c>
      <c r="E49" s="470">
        <v>34</v>
      </c>
      <c r="F49" s="470">
        <v>27</v>
      </c>
      <c r="G49" s="470">
        <v>21</v>
      </c>
      <c r="H49" s="470">
        <v>16</v>
      </c>
      <c r="I49" s="470">
        <v>0</v>
      </c>
      <c r="J49" s="473">
        <v>24342.6</v>
      </c>
      <c r="K49" s="473">
        <v>20111.110000000004</v>
      </c>
      <c r="L49" s="474">
        <f t="shared" si="1"/>
      </c>
      <c r="M49" s="474">
        <f t="shared" si="0"/>
      </c>
      <c r="N49" s="474">
        <f t="shared" si="11"/>
      </c>
      <c r="O49" s="475"/>
      <c r="P49" s="470"/>
      <c r="Q49" s="478"/>
    </row>
    <row r="50">
      <c r="A50" s="469">
        <v>46091</v>
      </c>
      <c r="B50" s="470" t="s">
        <v>447</v>
      </c>
      <c r="C50" s="471" t="s">
        <v>452</v>
      </c>
      <c r="D50" s="470">
        <v>5</v>
      </c>
      <c r="E50" s="470">
        <v>41</v>
      </c>
      <c r="F50" s="470">
        <v>37</v>
      </c>
      <c r="G50" s="470">
        <v>27</v>
      </c>
      <c r="H50" s="470">
        <v>29</v>
      </c>
      <c r="I50" s="470">
        <v>3</v>
      </c>
      <c r="J50" s="473">
        <v>33058.40000000001</v>
      </c>
      <c r="K50" s="473">
        <v>18553.68</v>
      </c>
      <c r="L50" s="474">
        <f t="shared" si="1"/>
      </c>
      <c r="M50" s="474">
        <f t="shared" si="0"/>
      </c>
      <c r="N50" s="474">
        <f>K50/H50</f>
      </c>
      <c r="O50" s="475" t="s">
        <v>453</v>
      </c>
      <c r="P50" s="470">
        <v>9</v>
      </c>
      <c r="Q50" s="477"/>
    </row>
    <row r="51">
      <c r="A51" s="479">
        <v>46091</v>
      </c>
      <c r="B51" s="480"/>
      <c r="C51" s="480"/>
      <c r="D51" s="480">
        <f>SUM(D47:D50)</f>
      </c>
      <c r="E51" s="480">
        <f>SUM(E47:E50)</f>
      </c>
      <c r="F51" s="480">
        <f>SUM(F47:F50)</f>
      </c>
      <c r="G51" s="480">
        <f>SUM(G47:G50)</f>
      </c>
      <c r="H51" s="480">
        <f>SUM(H47:H50)</f>
      </c>
      <c r="I51" s="480">
        <f>SUM(I47:I50)</f>
      </c>
      <c r="J51" s="480">
        <f>SUM(J47:J50)</f>
      </c>
      <c r="K51" s="480">
        <f>SUM(K47:K50)</f>
      </c>
      <c r="L51" s="481">
        <f t="shared" si="1"/>
      </c>
      <c r="M51" s="481">
        <f t="shared" si="0"/>
      </c>
      <c r="N51" s="481">
        <f t="shared" ref="N51:N54" si="12">K51/F51</f>
      </c>
      <c r="O51" s="482"/>
      <c r="P51" s="480">
        <f>P47+P48+P49+P50</f>
      </c>
      <c r="Q51" s="482"/>
    </row>
    <row r="52">
      <c r="A52" s="469">
        <v>46092</v>
      </c>
      <c r="B52" s="470" t="s">
        <v>444</v>
      </c>
      <c r="C52" s="471" t="s">
        <v>445</v>
      </c>
      <c r="D52" s="470">
        <v>5</v>
      </c>
      <c r="E52" s="472">
        <v>70</v>
      </c>
      <c r="F52" s="470">
        <v>58</v>
      </c>
      <c r="G52" s="470">
        <v>45</v>
      </c>
      <c r="H52" s="470">
        <v>43</v>
      </c>
      <c r="I52" s="470">
        <v>6</v>
      </c>
      <c r="J52" s="473">
        <v>53742.400000000016</v>
      </c>
      <c r="K52" s="470">
        <v>33882.479999999996</v>
      </c>
      <c r="L52" s="474">
        <f t="shared" si="1"/>
      </c>
      <c r="M52" s="474">
        <f t="shared" si="0"/>
      </c>
      <c r="N52" s="474">
        <f t="shared" si="12"/>
      </c>
      <c r="O52" s="475" t="s">
        <v>446</v>
      </c>
      <c r="P52" s="470">
        <v>10</v>
      </c>
      <c r="Q52" s="476"/>
    </row>
    <row r="53">
      <c r="A53" s="469">
        <v>46092</v>
      </c>
      <c r="B53" s="470" t="s">
        <v>454</v>
      </c>
      <c r="C53" s="471" t="s">
        <v>448</v>
      </c>
      <c r="D53" s="470">
        <v>5</v>
      </c>
      <c r="E53" s="470">
        <v>65</v>
      </c>
      <c r="F53" s="470">
        <v>55</v>
      </c>
      <c r="G53" s="470">
        <v>38</v>
      </c>
      <c r="H53" s="470">
        <v>34</v>
      </c>
      <c r="I53" s="470">
        <v>6</v>
      </c>
      <c r="J53" s="473">
        <v>50366.799999999996</v>
      </c>
      <c r="K53" s="473">
        <v>27871.11</v>
      </c>
      <c r="L53" s="474">
        <f t="shared" si="1"/>
      </c>
      <c r="M53" s="474">
        <f t="shared" si="0"/>
      </c>
      <c r="N53" s="474">
        <f t="shared" si="12"/>
      </c>
      <c r="O53" s="477"/>
      <c r="P53" s="477"/>
      <c r="Q53" s="478"/>
    </row>
    <row r="54">
      <c r="A54" s="469">
        <v>46092</v>
      </c>
      <c r="B54" s="470" t="s">
        <v>449</v>
      </c>
      <c r="C54" s="471" t="s">
        <v>450</v>
      </c>
      <c r="D54" s="470">
        <v>5</v>
      </c>
      <c r="E54" s="470">
        <v>47</v>
      </c>
      <c r="F54" s="470">
        <v>36</v>
      </c>
      <c r="G54" s="470">
        <v>31</v>
      </c>
      <c r="H54" s="470">
        <v>27</v>
      </c>
      <c r="I54" s="470">
        <v>3</v>
      </c>
      <c r="J54" s="473">
        <v>33107</v>
      </c>
      <c r="K54" s="473">
        <v>24507.809999999998</v>
      </c>
      <c r="L54" s="474">
        <f t="shared" si="1"/>
      </c>
      <c r="M54" s="474">
        <f t="shared" si="0"/>
      </c>
      <c r="N54" s="474">
        <f t="shared" si="12"/>
      </c>
      <c r="O54" s="475"/>
      <c r="P54" s="470"/>
      <c r="Q54" s="478"/>
    </row>
    <row r="55">
      <c r="A55" s="469">
        <v>46092</v>
      </c>
      <c r="B55" s="470" t="s">
        <v>447</v>
      </c>
      <c r="C55" s="471" t="s">
        <v>452</v>
      </c>
      <c r="D55" s="470">
        <v>5</v>
      </c>
      <c r="E55" s="470">
        <v>69</v>
      </c>
      <c r="F55" s="470">
        <v>57</v>
      </c>
      <c r="G55" s="470">
        <v>40</v>
      </c>
      <c r="H55" s="470">
        <v>38</v>
      </c>
      <c r="I55" s="470">
        <v>2</v>
      </c>
      <c r="J55" s="473">
        <v>53912.80000000002</v>
      </c>
      <c r="K55" s="473">
        <v>28219.640000000003</v>
      </c>
      <c r="L55" s="474">
        <f t="shared" si="1"/>
      </c>
      <c r="M55" s="474">
        <f t="shared" si="0"/>
      </c>
      <c r="N55" s="474">
        <f>K55/H55</f>
      </c>
      <c r="O55" s="475" t="s">
        <v>453</v>
      </c>
      <c r="P55" s="470">
        <v>10</v>
      </c>
      <c r="Q55" s="477"/>
    </row>
    <row r="56">
      <c r="A56" s="479">
        <v>46092</v>
      </c>
      <c r="B56" s="480"/>
      <c r="C56" s="480"/>
      <c r="D56" s="480">
        <f>SUM(D52:D55)</f>
      </c>
      <c r="E56" s="480">
        <f>SUM(E52:E55)</f>
      </c>
      <c r="F56" s="480">
        <f>SUM(F52:F55)</f>
      </c>
      <c r="G56" s="480">
        <f>SUM(G52:G55)</f>
      </c>
      <c r="H56" s="480">
        <f>SUM(H52:H55)</f>
      </c>
      <c r="I56" s="480">
        <f>SUM(I52:I55)</f>
      </c>
      <c r="J56" s="480">
        <f>SUM(J52:J55)</f>
      </c>
      <c r="K56" s="480">
        <f>SUM(K52:K55)</f>
      </c>
      <c r="L56" s="481">
        <f t="shared" si="1"/>
      </c>
      <c r="M56" s="481">
        <f t="shared" si="0"/>
      </c>
      <c r="N56" s="481">
        <f t="shared" ref="N56:N59" si="13">K56/F56</f>
      </c>
      <c r="O56" s="482"/>
      <c r="P56" s="480">
        <f>P52+P53+P54+P55</f>
      </c>
      <c r="Q56" s="482"/>
    </row>
    <row r="57">
      <c r="A57" s="469">
        <v>46093</v>
      </c>
      <c r="B57" s="470" t="s">
        <v>454</v>
      </c>
      <c r="C57" s="471" t="s">
        <v>445</v>
      </c>
      <c r="D57" s="470">
        <v>5</v>
      </c>
      <c r="E57" s="472">
        <v>39</v>
      </c>
      <c r="F57" s="470">
        <v>28</v>
      </c>
      <c r="G57" s="470">
        <v>24</v>
      </c>
      <c r="H57" s="470">
        <v>12</v>
      </c>
      <c r="I57" s="470">
        <v>16</v>
      </c>
      <c r="J57" s="473">
        <v>21162.4</v>
      </c>
      <c r="K57" s="470">
        <v>20930.68</v>
      </c>
      <c r="L57" s="474">
        <f t="shared" si="1"/>
      </c>
      <c r="M57" s="474">
        <f t="shared" si="0"/>
      </c>
      <c r="N57" s="474">
        <f t="shared" si="13"/>
      </c>
      <c r="O57" s="475" t="s">
        <v>458</v>
      </c>
      <c r="P57" s="470">
        <v>10</v>
      </c>
      <c r="Q57" s="476"/>
    </row>
    <row r="58">
      <c r="A58" s="469">
        <v>46093</v>
      </c>
      <c r="B58" s="470" t="s">
        <v>449</v>
      </c>
      <c r="C58" s="471" t="s">
        <v>448</v>
      </c>
      <c r="D58" s="470">
        <v>5</v>
      </c>
      <c r="E58" s="470">
        <v>43</v>
      </c>
      <c r="F58" s="470">
        <v>32</v>
      </c>
      <c r="G58" s="470">
        <v>30</v>
      </c>
      <c r="H58" s="470">
        <v>19</v>
      </c>
      <c r="I58" s="470">
        <v>2</v>
      </c>
      <c r="J58" s="473">
        <v>30239.599999999995</v>
      </c>
      <c r="K58" s="473">
        <v>19932.18</v>
      </c>
      <c r="L58" s="474">
        <f t="shared" si="1"/>
      </c>
      <c r="M58" s="474">
        <f t="shared" si="0"/>
      </c>
      <c r="N58" s="474">
        <f t="shared" si="13"/>
      </c>
      <c r="O58" s="477"/>
      <c r="P58" s="477"/>
      <c r="Q58" s="478"/>
    </row>
    <row r="59">
      <c r="A59" s="469">
        <v>46093</v>
      </c>
      <c r="B59" s="470" t="s">
        <v>444</v>
      </c>
      <c r="C59" s="471" t="s">
        <v>450</v>
      </c>
      <c r="D59" s="470">
        <v>5</v>
      </c>
      <c r="E59" s="470">
        <v>77</v>
      </c>
      <c r="F59" s="470">
        <v>53</v>
      </c>
      <c r="G59" s="470">
        <v>42</v>
      </c>
      <c r="H59" s="470">
        <v>34</v>
      </c>
      <c r="I59" s="470">
        <v>5</v>
      </c>
      <c r="J59" s="473">
        <v>59156.80000000002</v>
      </c>
      <c r="K59" s="473">
        <v>33909.92</v>
      </c>
      <c r="L59" s="474">
        <f t="shared" si="1"/>
      </c>
      <c r="M59" s="474">
        <f t="shared" si="0"/>
      </c>
      <c r="N59" s="474">
        <f t="shared" si="13"/>
      </c>
      <c r="O59" s="475"/>
      <c r="P59" s="470"/>
      <c r="Q59" s="478"/>
    </row>
    <row r="60">
      <c r="A60" s="469">
        <v>46093</v>
      </c>
      <c r="B60" s="470" t="s">
        <v>447</v>
      </c>
      <c r="C60" s="471" t="s">
        <v>452</v>
      </c>
      <c r="D60" s="470">
        <v>5</v>
      </c>
      <c r="E60" s="470">
        <v>74</v>
      </c>
      <c r="F60" s="470">
        <v>53</v>
      </c>
      <c r="G60" s="470">
        <v>46</v>
      </c>
      <c r="H60" s="470">
        <v>25</v>
      </c>
      <c r="I60" s="470">
        <v>3</v>
      </c>
      <c r="J60" s="473">
        <v>55160.1</v>
      </c>
      <c r="K60" s="473">
        <v>34270.44</v>
      </c>
      <c r="L60" s="474">
        <f t="shared" si="1"/>
      </c>
      <c r="M60" s="474">
        <f t="shared" si="0"/>
      </c>
      <c r="N60" s="474">
        <f>K60/H60</f>
      </c>
      <c r="O60" s="475" t="s">
        <v>453</v>
      </c>
      <c r="P60" s="470">
        <v>10</v>
      </c>
      <c r="Q60" s="477"/>
    </row>
    <row r="61">
      <c r="A61" s="479">
        <v>46093</v>
      </c>
      <c r="B61" s="480"/>
      <c r="C61" s="480"/>
      <c r="D61" s="480">
        <f>SUM(D57:D60)</f>
      </c>
      <c r="E61" s="480">
        <f>SUM(E57:E60)</f>
      </c>
      <c r="F61" s="480">
        <f>SUM(F57:F60)</f>
      </c>
      <c r="G61" s="480">
        <f>SUM(G57:G60)</f>
      </c>
      <c r="H61" s="480">
        <f>SUM(H57:H60)</f>
      </c>
      <c r="I61" s="480">
        <f>SUM(I57:I60)</f>
      </c>
      <c r="J61" s="480">
        <f>SUM(J57:J60)</f>
      </c>
      <c r="K61" s="480">
        <f>SUM(K57:K60)</f>
      </c>
      <c r="L61" s="481">
        <f t="shared" si="1"/>
      </c>
      <c r="M61" s="481">
        <f t="shared" si="0"/>
      </c>
      <c r="N61" s="481">
        <f t="shared" ref="N61:N64" si="14">K61/F61</f>
      </c>
      <c r="O61" s="482"/>
      <c r="P61" s="480">
        <f>P57+P58+P59+P60</f>
      </c>
      <c r="Q61" s="482"/>
    </row>
    <row r="62">
      <c r="A62" s="469">
        <v>46094</v>
      </c>
      <c r="B62" s="470" t="s">
        <v>449</v>
      </c>
      <c r="C62" s="471" t="s">
        <v>445</v>
      </c>
      <c r="D62" s="470">
        <v>5</v>
      </c>
      <c r="E62" s="472">
        <v>38</v>
      </c>
      <c r="F62" s="470">
        <v>30</v>
      </c>
      <c r="G62" s="470">
        <v>25</v>
      </c>
      <c r="H62" s="470">
        <v>20</v>
      </c>
      <c r="I62" s="470">
        <v>0</v>
      </c>
      <c r="J62" s="473">
        <v>28024.6</v>
      </c>
      <c r="K62" s="470">
        <v>22467.06</v>
      </c>
      <c r="L62" s="474">
        <f t="shared" si="1"/>
      </c>
      <c r="M62" s="474">
        <f t="shared" si="0"/>
      </c>
      <c r="N62" s="474">
        <f t="shared" si="14"/>
      </c>
      <c r="O62" s="475" t="s">
        <v>446</v>
      </c>
      <c r="P62" s="470">
        <v>10</v>
      </c>
      <c r="Q62" s="476"/>
    </row>
    <row r="63">
      <c r="A63" s="469">
        <v>46094</v>
      </c>
      <c r="B63" s="470" t="s">
        <v>447</v>
      </c>
      <c r="C63" s="471" t="s">
        <v>448</v>
      </c>
      <c r="D63" s="470">
        <v>5</v>
      </c>
      <c r="E63" s="470">
        <v>54</v>
      </c>
      <c r="F63" s="470">
        <v>44</v>
      </c>
      <c r="G63" s="470">
        <v>32</v>
      </c>
      <c r="H63" s="470">
        <v>34</v>
      </c>
      <c r="I63" s="470">
        <v>3</v>
      </c>
      <c r="J63" s="473">
        <v>38580.8</v>
      </c>
      <c r="K63" s="473">
        <v>20201.61</v>
      </c>
      <c r="L63" s="474">
        <f t="shared" si="1"/>
      </c>
      <c r="M63" s="474">
        <f t="shared" si="0"/>
      </c>
      <c r="N63" s="474">
        <f t="shared" si="14"/>
      </c>
      <c r="O63" s="477"/>
      <c r="P63" s="477"/>
      <c r="Q63" s="478"/>
    </row>
    <row r="64">
      <c r="A64" s="469">
        <v>46094</v>
      </c>
      <c r="B64" s="470" t="s">
        <v>451</v>
      </c>
      <c r="C64" s="471" t="s">
        <v>450</v>
      </c>
      <c r="D64" s="470">
        <v>5</v>
      </c>
      <c r="E64" s="470">
        <v>38</v>
      </c>
      <c r="F64" s="470">
        <v>30</v>
      </c>
      <c r="G64" s="470">
        <v>24</v>
      </c>
      <c r="H64" s="470">
        <v>18</v>
      </c>
      <c r="I64" s="470">
        <v>4</v>
      </c>
      <c r="J64" s="473">
        <v>28476.199999999997</v>
      </c>
      <c r="K64" s="473">
        <v>19777.309999999998</v>
      </c>
      <c r="L64" s="474">
        <f t="shared" si="1"/>
      </c>
      <c r="M64" s="474">
        <f t="shared" si="0"/>
      </c>
      <c r="N64" s="474">
        <f t="shared" si="14"/>
      </c>
      <c r="O64" s="475"/>
      <c r="P64" s="470"/>
      <c r="Q64" s="478"/>
    </row>
    <row r="65">
      <c r="A65" s="469">
        <v>46094</v>
      </c>
      <c r="B65" s="470" t="s">
        <v>444</v>
      </c>
      <c r="C65" s="471" t="s">
        <v>452</v>
      </c>
      <c r="D65" s="470">
        <v>5</v>
      </c>
      <c r="E65" s="470">
        <v>46</v>
      </c>
      <c r="F65" s="470">
        <v>38</v>
      </c>
      <c r="G65" s="470">
        <v>32</v>
      </c>
      <c r="H65" s="470">
        <v>23</v>
      </c>
      <c r="I65" s="470">
        <v>4</v>
      </c>
      <c r="J65" s="473">
        <v>33703.6</v>
      </c>
      <c r="K65" s="473">
        <v>22094.86</v>
      </c>
      <c r="L65" s="474">
        <f t="shared" si="1"/>
      </c>
      <c r="M65" s="474">
        <f t="shared" si="0"/>
      </c>
      <c r="N65" s="474">
        <f>K65/H65</f>
      </c>
      <c r="O65" s="475" t="s">
        <v>453</v>
      </c>
      <c r="P65" s="470">
        <v>10</v>
      </c>
      <c r="Q65" s="477"/>
    </row>
    <row r="66">
      <c r="A66" s="479">
        <v>46094</v>
      </c>
      <c r="B66" s="480"/>
      <c r="C66" s="480"/>
      <c r="D66" s="480">
        <f>SUM(D62:D65)</f>
      </c>
      <c r="E66" s="480">
        <f>SUM(E62:E65)</f>
      </c>
      <c r="F66" s="480">
        <f>SUM(F62:F65)</f>
      </c>
      <c r="G66" s="480">
        <f>SUM(G62:G65)</f>
      </c>
      <c r="H66" s="480">
        <f>SUM(H62:H65)</f>
      </c>
      <c r="I66" s="480">
        <f>SUM(I62:I65)</f>
      </c>
      <c r="J66" s="480">
        <f>SUM(J62:J65)</f>
      </c>
      <c r="K66" s="480">
        <f>SUM(K62:K65)</f>
      </c>
      <c r="L66" s="481">
        <f t="shared" si="1"/>
      </c>
      <c r="M66" s="481">
        <f t="shared" si="0"/>
      </c>
      <c r="N66" s="481">
        <f t="shared" ref="N66:N69" si="15">K66/F66</f>
      </c>
      <c r="O66" s="482"/>
      <c r="P66" s="480">
        <f>P62+P63+P64+P65</f>
      </c>
      <c r="Q66" s="482"/>
    </row>
    <row r="67">
      <c r="A67" s="469">
        <v>46095</v>
      </c>
      <c r="B67" s="470" t="s">
        <v>454</v>
      </c>
      <c r="C67" s="471" t="s">
        <v>445</v>
      </c>
      <c r="D67" s="470">
        <v>5</v>
      </c>
      <c r="E67" s="472">
        <v>72</v>
      </c>
      <c r="F67" s="470">
        <v>60</v>
      </c>
      <c r="G67" s="470">
        <v>44</v>
      </c>
      <c r="H67" s="470">
        <v>43</v>
      </c>
      <c r="I67" s="470">
        <v>7</v>
      </c>
      <c r="J67" s="473">
        <v>51564.70000000001</v>
      </c>
      <c r="K67" s="470">
        <v>28600.3</v>
      </c>
      <c r="L67" s="474">
        <f t="shared" si="1"/>
      </c>
      <c r="M67" s="474">
        <f t="shared" si="0"/>
      </c>
      <c r="N67" s="474">
        <f t="shared" si="15"/>
      </c>
      <c r="O67" s="475" t="s">
        <v>458</v>
      </c>
      <c r="P67" s="470">
        <v>10</v>
      </c>
      <c r="Q67" s="476"/>
    </row>
    <row r="68">
      <c r="A68" s="469">
        <v>46095</v>
      </c>
      <c r="B68" s="470" t="s">
        <v>449</v>
      </c>
      <c r="C68" s="471" t="s">
        <v>448</v>
      </c>
      <c r="D68" s="470">
        <v>5</v>
      </c>
      <c r="E68" s="470">
        <v>55</v>
      </c>
      <c r="F68" s="470">
        <v>43</v>
      </c>
      <c r="G68" s="470">
        <v>34</v>
      </c>
      <c r="H68" s="470">
        <v>32</v>
      </c>
      <c r="I68" s="470">
        <v>5</v>
      </c>
      <c r="J68" s="473">
        <v>41959.20000000001</v>
      </c>
      <c r="K68" s="473">
        <v>25629.710000000006</v>
      </c>
      <c r="L68" s="474">
        <f t="shared" si="1"/>
      </c>
      <c r="M68" s="474">
        <f t="shared" si="0"/>
      </c>
      <c r="N68" s="474">
        <f t="shared" si="15"/>
      </c>
      <c r="O68" s="477"/>
      <c r="P68" s="477"/>
      <c r="Q68" s="478"/>
    </row>
    <row r="69">
      <c r="A69" s="469">
        <v>46095</v>
      </c>
      <c r="B69" s="470" t="s">
        <v>451</v>
      </c>
      <c r="C69" s="471" t="s">
        <v>450</v>
      </c>
      <c r="D69" s="470">
        <v>5</v>
      </c>
      <c r="E69" s="470">
        <v>40</v>
      </c>
      <c r="F69" s="470">
        <v>23</v>
      </c>
      <c r="G69" s="470">
        <v>15</v>
      </c>
      <c r="H69" s="470">
        <v>14</v>
      </c>
      <c r="I69" s="470">
        <v>2</v>
      </c>
      <c r="J69" s="473">
        <v>22239.9</v>
      </c>
      <c r="K69" s="473">
        <v>17818.61</v>
      </c>
      <c r="L69" s="474">
        <f t="shared" si="1"/>
      </c>
      <c r="M69" s="474">
        <f t="shared" si="0"/>
      </c>
      <c r="N69" s="474">
        <f t="shared" si="15"/>
      </c>
      <c r="O69" s="475"/>
      <c r="P69" s="470"/>
      <c r="Q69" s="478"/>
    </row>
    <row r="70">
      <c r="A70" s="469">
        <v>46095</v>
      </c>
      <c r="B70" s="470" t="s">
        <v>447</v>
      </c>
      <c r="C70" s="471" t="s">
        <v>452</v>
      </c>
      <c r="D70" s="470">
        <v>5</v>
      </c>
      <c r="E70" s="470">
        <v>35</v>
      </c>
      <c r="F70" s="470">
        <v>24</v>
      </c>
      <c r="G70" s="470">
        <v>14</v>
      </c>
      <c r="H70" s="470">
        <v>15</v>
      </c>
      <c r="I70" s="470">
        <v>2</v>
      </c>
      <c r="J70" s="473">
        <v>19674.399999999994</v>
      </c>
      <c r="K70" s="473">
        <v>14441.82</v>
      </c>
      <c r="L70" s="474">
        <f t="shared" si="1"/>
      </c>
      <c r="M70" s="474">
        <f t="shared" si="0"/>
      </c>
      <c r="N70" s="474">
        <f>K70/H70</f>
      </c>
      <c r="O70" s="475" t="s">
        <v>459</v>
      </c>
      <c r="P70" s="470">
        <v>10</v>
      </c>
      <c r="Q70" s="477"/>
    </row>
    <row r="71">
      <c r="A71" s="479">
        <v>46095</v>
      </c>
      <c r="B71" s="480"/>
      <c r="C71" s="480"/>
      <c r="D71" s="480">
        <f>SUM(D67:D70)</f>
      </c>
      <c r="E71" s="480">
        <f>SUM(E67:E70)</f>
      </c>
      <c r="F71" s="480">
        <f>SUM(F67:F70)</f>
      </c>
      <c r="G71" s="480">
        <f>SUM(G67:G70)</f>
      </c>
      <c r="H71" s="480">
        <f>SUM(H67:H70)</f>
      </c>
      <c r="I71" s="480">
        <f>SUM(I67:I70)</f>
      </c>
      <c r="J71" s="480">
        <f>SUM(J67:J70)</f>
      </c>
      <c r="K71" s="480">
        <f>SUM(K67:K70)</f>
      </c>
      <c r="L71" s="481">
        <f t="shared" si="1"/>
      </c>
      <c r="M71" s="481">
        <f t="shared" si="0"/>
      </c>
      <c r="N71" s="481">
        <f t="shared" ref="N71:N74" si="16">K71/F71</f>
      </c>
      <c r="O71" s="482"/>
      <c r="P71" s="480">
        <f>P67+P68+P69+P70</f>
      </c>
      <c r="Q71" s="482"/>
    </row>
    <row r="72">
      <c r="A72" s="469">
        <v>46096</v>
      </c>
      <c r="B72" s="470" t="s">
        <v>444</v>
      </c>
      <c r="C72" s="471" t="s">
        <v>445</v>
      </c>
      <c r="D72" s="470">
        <v>5</v>
      </c>
      <c r="E72" s="472">
        <v>66</v>
      </c>
      <c r="F72" s="470">
        <v>59</v>
      </c>
      <c r="G72" s="470">
        <v>34</v>
      </c>
      <c r="H72" s="470">
        <v>47</v>
      </c>
      <c r="I72" s="470">
        <v>8</v>
      </c>
      <c r="J72" s="473">
        <v>53481.70000000001</v>
      </c>
      <c r="K72" s="470">
        <v>23816.910000000003</v>
      </c>
      <c r="L72" s="474">
        <f t="shared" si="1"/>
      </c>
      <c r="M72" s="474">
        <f t="shared" si="0"/>
      </c>
      <c r="N72" s="474">
        <f t="shared" si="16"/>
      </c>
      <c r="O72" s="475" t="s">
        <v>460</v>
      </c>
      <c r="P72" s="470">
        <v>10</v>
      </c>
      <c r="Q72" s="476"/>
    </row>
    <row r="73">
      <c r="A73" s="469">
        <v>46096</v>
      </c>
      <c r="B73" s="470" t="s">
        <v>454</v>
      </c>
      <c r="C73" s="471" t="s">
        <v>448</v>
      </c>
      <c r="D73" s="470">
        <v>5</v>
      </c>
      <c r="E73" s="470">
        <v>56</v>
      </c>
      <c r="F73" s="470">
        <v>44</v>
      </c>
      <c r="G73" s="470">
        <v>34</v>
      </c>
      <c r="H73" s="470">
        <v>27</v>
      </c>
      <c r="I73" s="470">
        <v>5</v>
      </c>
      <c r="J73" s="473">
        <v>57368.4</v>
      </c>
      <c r="K73" s="473">
        <v>22245.460000000003</v>
      </c>
      <c r="L73" s="474">
        <f t="shared" si="1"/>
      </c>
      <c r="M73" s="474">
        <f t="shared" si="0"/>
      </c>
      <c r="N73" s="474">
        <f t="shared" si="16"/>
      </c>
      <c r="O73" s="477"/>
      <c r="P73" s="477"/>
      <c r="Q73" s="478"/>
    </row>
    <row r="74">
      <c r="A74" s="469">
        <v>46096</v>
      </c>
      <c r="B74" s="470" t="s">
        <v>449</v>
      </c>
      <c r="C74" s="471" t="s">
        <v>450</v>
      </c>
      <c r="D74" s="470">
        <v>5</v>
      </c>
      <c r="E74" s="470">
        <v>26</v>
      </c>
      <c r="F74" s="470">
        <v>19</v>
      </c>
      <c r="G74" s="470">
        <v>13</v>
      </c>
      <c r="H74" s="470">
        <v>17</v>
      </c>
      <c r="I74" s="470">
        <v>3</v>
      </c>
      <c r="J74" s="473">
        <v>16891.4</v>
      </c>
      <c r="K74" s="473">
        <v>14527.05</v>
      </c>
      <c r="L74" s="474">
        <f t="shared" si="1"/>
      </c>
      <c r="M74" s="474">
        <f t="shared" si="0"/>
      </c>
      <c r="N74" s="474">
        <f t="shared" si="16"/>
      </c>
      <c r="O74" s="475"/>
      <c r="P74" s="470"/>
      <c r="Q74" s="478"/>
    </row>
    <row r="75">
      <c r="A75" s="469">
        <v>46096</v>
      </c>
      <c r="B75" s="470" t="s">
        <v>447</v>
      </c>
      <c r="C75" s="471" t="s">
        <v>452</v>
      </c>
      <c r="D75" s="470">
        <v>5</v>
      </c>
      <c r="E75" s="470">
        <v>55</v>
      </c>
      <c r="F75" s="470">
        <v>39</v>
      </c>
      <c r="G75" s="470">
        <v>33</v>
      </c>
      <c r="H75" s="470">
        <v>21</v>
      </c>
      <c r="I75" s="470">
        <v>2</v>
      </c>
      <c r="J75" s="473">
        <v>40304.19999999999</v>
      </c>
      <c r="K75" s="473">
        <v>22591.87</v>
      </c>
      <c r="L75" s="474">
        <f t="shared" si="1"/>
      </c>
      <c r="M75" s="474">
        <f t="shared" si="0"/>
      </c>
      <c r="N75" s="474">
        <f>K75/H75</f>
      </c>
      <c r="O75" s="475" t="s">
        <v>459</v>
      </c>
      <c r="P75" s="470">
        <v>10</v>
      </c>
      <c r="Q75" s="477"/>
    </row>
    <row r="76">
      <c r="A76" s="479">
        <v>46096</v>
      </c>
      <c r="B76" s="480"/>
      <c r="C76" s="480"/>
      <c r="D76" s="480">
        <f>SUM(D72:D75)</f>
      </c>
      <c r="E76" s="480">
        <f>SUM(E72:E75)</f>
      </c>
      <c r="F76" s="480">
        <f>SUM(F72:F75)</f>
      </c>
      <c r="G76" s="480">
        <f>SUM(G72:G75)</f>
      </c>
      <c r="H76" s="480">
        <f>SUM(H72:H75)</f>
      </c>
      <c r="I76" s="480">
        <f>SUM(I72:I75)</f>
      </c>
      <c r="J76" s="480">
        <f>SUM(J72:J75)</f>
      </c>
      <c r="K76" s="480">
        <f>SUM(K72:K75)</f>
      </c>
      <c r="L76" s="481">
        <f t="shared" si="1"/>
      </c>
      <c r="M76" s="481">
        <f t="shared" si="0"/>
      </c>
      <c r="N76" s="481">
        <f t="shared" ref="N76:N79" si="17">K76/F76</f>
      </c>
      <c r="O76" s="482"/>
      <c r="P76" s="480">
        <f>P72+P73+P74+P75</f>
      </c>
      <c r="Q76" s="482"/>
    </row>
    <row r="77">
      <c r="A77" s="469">
        <v>46097</v>
      </c>
      <c r="B77" s="470" t="s">
        <v>444</v>
      </c>
      <c r="C77" s="471" t="s">
        <v>445</v>
      </c>
      <c r="D77" s="470">
        <v>5</v>
      </c>
      <c r="E77" s="472">
        <v>98</v>
      </c>
      <c r="F77" s="470">
        <v>80</v>
      </c>
      <c r="G77" s="470">
        <v>58</v>
      </c>
      <c r="H77" s="470">
        <v>58</v>
      </c>
      <c r="I77" s="470">
        <v>12</v>
      </c>
      <c r="J77" s="473">
        <v>66812.6</v>
      </c>
      <c r="K77" s="470">
        <v>33804.11</v>
      </c>
      <c r="L77" s="474">
        <f t="shared" si="1"/>
      </c>
      <c r="M77" s="474">
        <f t="shared" si="0"/>
      </c>
      <c r="N77" s="474">
        <f t="shared" si="17"/>
      </c>
      <c r="O77" s="475" t="s">
        <v>460</v>
      </c>
      <c r="P77" s="470">
        <v>10</v>
      </c>
      <c r="Q77" s="476"/>
    </row>
    <row r="78">
      <c r="A78" s="469">
        <v>46097</v>
      </c>
      <c r="B78" s="470" t="s">
        <v>454</v>
      </c>
      <c r="C78" s="471" t="s">
        <v>448</v>
      </c>
      <c r="D78" s="470">
        <v>5</v>
      </c>
      <c r="E78" s="470">
        <v>97</v>
      </c>
      <c r="F78" s="470">
        <v>75</v>
      </c>
      <c r="G78" s="470">
        <v>65</v>
      </c>
      <c r="H78" s="470">
        <v>51</v>
      </c>
      <c r="I78" s="470">
        <v>7</v>
      </c>
      <c r="J78" s="473">
        <v>88347.20000000003</v>
      </c>
      <c r="K78" s="473">
        <v>36940.7</v>
      </c>
      <c r="L78" s="474">
        <f t="shared" si="1"/>
      </c>
      <c r="M78" s="474">
        <f t="shared" si="0"/>
      </c>
      <c r="N78" s="474">
        <f t="shared" si="17"/>
      </c>
      <c r="O78" s="477"/>
      <c r="P78" s="477"/>
      <c r="Q78" s="478"/>
    </row>
    <row r="79">
      <c r="A79" s="469">
        <v>46097</v>
      </c>
      <c r="B79" s="470" t="s">
        <v>449</v>
      </c>
      <c r="C79" s="471" t="s">
        <v>450</v>
      </c>
      <c r="D79" s="470">
        <v>5</v>
      </c>
      <c r="E79" s="470">
        <v>72</v>
      </c>
      <c r="F79" s="470">
        <v>58</v>
      </c>
      <c r="G79" s="470">
        <v>43</v>
      </c>
      <c r="H79" s="470">
        <v>42</v>
      </c>
      <c r="I79" s="470">
        <v>7</v>
      </c>
      <c r="J79" s="473">
        <v>47679.3</v>
      </c>
      <c r="K79" s="473">
        <v>36481.32</v>
      </c>
      <c r="L79" s="474">
        <f t="shared" si="1"/>
      </c>
      <c r="M79" s="474">
        <f t="shared" si="0"/>
      </c>
      <c r="N79" s="474">
        <f t="shared" si="17"/>
      </c>
      <c r="O79" s="475"/>
      <c r="P79" s="470"/>
      <c r="Q79" s="478"/>
    </row>
    <row r="80">
      <c r="A80" s="469">
        <v>46097</v>
      </c>
      <c r="B80" s="470" t="s">
        <v>451</v>
      </c>
      <c r="C80" s="471" t="s">
        <v>461</v>
      </c>
      <c r="D80" s="470">
        <v>1</v>
      </c>
      <c r="E80" s="470">
        <v>8</v>
      </c>
      <c r="F80" s="470">
        <v>8</v>
      </c>
      <c r="G80" s="470">
        <v>10</v>
      </c>
      <c r="H80" s="470">
        <v>6</v>
      </c>
      <c r="I80" s="470">
        <v>1</v>
      </c>
      <c r="J80" s="473">
        <v>8148</v>
      </c>
      <c r="K80" s="473">
        <v>5525.34</v>
      </c>
      <c r="L80" s="474">
        <f t="shared" si="1"/>
      </c>
      <c r="M80" s="474">
        <f t="shared" si="0"/>
      </c>
      <c r="N80" s="474">
        <f>K80/H80</f>
      </c>
      <c r="O80" s="475" t="s">
        <v>462</v>
      </c>
      <c r="P80" s="470">
        <v>6</v>
      </c>
      <c r="Q80" s="477"/>
    </row>
    <row r="81">
      <c r="A81" s="479">
        <v>46097</v>
      </c>
      <c r="B81" s="480"/>
      <c r="C81" s="480"/>
      <c r="D81" s="480">
        <f>SUM(D77:D80)</f>
      </c>
      <c r="E81" s="480">
        <f>SUM(E77:E80)</f>
      </c>
      <c r="F81" s="480">
        <f>SUM(F77:F80)</f>
      </c>
      <c r="G81" s="480">
        <f>SUM(G77:G80)</f>
      </c>
      <c r="H81" s="480">
        <f>SUM(H77:H80)</f>
      </c>
      <c r="I81" s="480">
        <f>SUM(I77:I80)</f>
      </c>
      <c r="J81" s="480">
        <f>SUM(J77:J80)</f>
      </c>
      <c r="K81" s="480">
        <f>SUM(K77:K80)</f>
      </c>
      <c r="L81" s="481">
        <f t="shared" si="1"/>
      </c>
      <c r="M81" s="481">
        <f t="shared" si="0"/>
      </c>
      <c r="N81" s="481">
        <f t="shared" ref="N81:N84" si="18">K81/F81</f>
      </c>
      <c r="O81" s="482"/>
      <c r="P81" s="480">
        <f>P77+P78+P79+P80</f>
      </c>
      <c r="Q81" s="482"/>
    </row>
    <row r="82">
      <c r="A82" s="469">
        <v>46098</v>
      </c>
      <c r="B82" s="470" t="s">
        <v>454</v>
      </c>
      <c r="C82" s="471" t="s">
        <v>445</v>
      </c>
      <c r="D82" s="470">
        <v>5</v>
      </c>
      <c r="E82" s="472">
        <v>79</v>
      </c>
      <c r="F82" s="470">
        <v>68</v>
      </c>
      <c r="G82" s="470">
        <v>60</v>
      </c>
      <c r="H82" s="470">
        <v>51</v>
      </c>
      <c r="I82" s="470">
        <v>2</v>
      </c>
      <c r="J82" s="473">
        <v>63673.60000000001</v>
      </c>
      <c r="K82" s="470">
        <v>33803.69</v>
      </c>
      <c r="L82" s="474">
        <f t="shared" si="1"/>
      </c>
      <c r="M82" s="474">
        <f t="shared" si="0"/>
      </c>
      <c r="N82" s="474">
        <f t="shared" si="18"/>
      </c>
      <c r="O82" s="475" t="s">
        <v>460</v>
      </c>
      <c r="P82" s="470">
        <v>10</v>
      </c>
      <c r="Q82" s="476"/>
    </row>
    <row r="83">
      <c r="A83" s="469">
        <v>46098</v>
      </c>
      <c r="B83" s="470" t="s">
        <v>444</v>
      </c>
      <c r="C83" s="471" t="s">
        <v>448</v>
      </c>
      <c r="D83" s="470">
        <v>5</v>
      </c>
      <c r="E83" s="470">
        <v>58</v>
      </c>
      <c r="F83" s="470">
        <v>49</v>
      </c>
      <c r="G83" s="470">
        <v>30</v>
      </c>
      <c r="H83" s="470">
        <v>33</v>
      </c>
      <c r="I83" s="470">
        <v>6</v>
      </c>
      <c r="J83" s="473">
        <v>38807.8</v>
      </c>
      <c r="K83" s="473">
        <v>27858.88</v>
      </c>
      <c r="L83" s="474">
        <f t="shared" si="1"/>
      </c>
      <c r="M83" s="474">
        <f t="shared" si="0"/>
      </c>
      <c r="N83" s="474">
        <f t="shared" si="18"/>
      </c>
      <c r="O83" s="477"/>
      <c r="P83" s="477"/>
      <c r="Q83" s="478"/>
    </row>
    <row r="84">
      <c r="A84" s="469">
        <v>46098</v>
      </c>
      <c r="B84" s="470" t="s">
        <v>449</v>
      </c>
      <c r="C84" s="471" t="s">
        <v>450</v>
      </c>
      <c r="D84" s="470">
        <v>5</v>
      </c>
      <c r="E84" s="470">
        <v>28</v>
      </c>
      <c r="F84" s="470">
        <v>24</v>
      </c>
      <c r="G84" s="470">
        <v>18</v>
      </c>
      <c r="H84" s="470">
        <v>12</v>
      </c>
      <c r="I84" s="470">
        <v>2</v>
      </c>
      <c r="J84" s="473">
        <v>27435.4</v>
      </c>
      <c r="K84" s="473">
        <v>16255.2</v>
      </c>
      <c r="L84" s="474">
        <f t="shared" si="1"/>
      </c>
      <c r="M84" s="474">
        <f t="shared" si="0"/>
      </c>
      <c r="N84" s="474">
        <f t="shared" si="18"/>
      </c>
      <c r="O84" s="475"/>
      <c r="P84" s="470"/>
      <c r="Q84" s="478"/>
    </row>
    <row r="85">
      <c r="A85" s="469">
        <v>46098</v>
      </c>
      <c r="B85" s="470" t="s">
        <v>451</v>
      </c>
      <c r="C85" s="471" t="s">
        <v>452</v>
      </c>
      <c r="D85" s="470">
        <v>5</v>
      </c>
      <c r="E85" s="470">
        <v>59</v>
      </c>
      <c r="F85" s="470">
        <v>48</v>
      </c>
      <c r="G85" s="470">
        <v>36</v>
      </c>
      <c r="H85" s="470">
        <v>33</v>
      </c>
      <c r="I85" s="470">
        <v>6</v>
      </c>
      <c r="J85" s="473">
        <v>50228.7</v>
      </c>
      <c r="K85" s="473">
        <v>23089.72</v>
      </c>
      <c r="L85" s="474">
        <f t="shared" si="1"/>
      </c>
      <c r="M85" s="474">
        <f t="shared" si="0"/>
      </c>
      <c r="N85" s="474">
        <f>K85/H85</f>
      </c>
      <c r="O85" s="475" t="s">
        <v>459</v>
      </c>
      <c r="P85" s="470">
        <v>10</v>
      </c>
      <c r="Q85" s="477"/>
    </row>
    <row r="86">
      <c r="A86" s="479">
        <v>46098</v>
      </c>
      <c r="B86" s="480"/>
      <c r="C86" s="480"/>
      <c r="D86" s="480">
        <f>SUM(D82:D85)</f>
      </c>
      <c r="E86" s="480">
        <f>SUM(E82:E85)</f>
      </c>
      <c r="F86" s="480">
        <f>SUM(F82:F85)</f>
      </c>
      <c r="G86" s="480">
        <f>SUM(G82:G85)</f>
      </c>
      <c r="H86" s="480">
        <f>SUM(H82:H85)</f>
      </c>
      <c r="I86" s="480">
        <f>SUM(I82:I85)</f>
      </c>
      <c r="J86" s="480">
        <f>SUM(J82:J85)</f>
      </c>
      <c r="K86" s="480">
        <f>SUM(K82:K85)</f>
      </c>
      <c r="L86" s="481">
        <f t="shared" si="1"/>
      </c>
      <c r="M86" s="481">
        <f t="shared" si="0"/>
      </c>
      <c r="N86" s="481">
        <f t="shared" ref="N86:N89" si="19">K86/F86</f>
      </c>
      <c r="O86" s="482"/>
      <c r="P86" s="480">
        <f>P82+P83+P84+P85</f>
      </c>
      <c r="Q86" s="482"/>
    </row>
    <row r="87">
      <c r="A87" s="469">
        <v>46099</v>
      </c>
      <c r="B87" s="470" t="s">
        <v>454</v>
      </c>
      <c r="C87" s="471" t="s">
        <v>445</v>
      </c>
      <c r="D87" s="470">
        <v>5</v>
      </c>
      <c r="E87" s="472">
        <v>65</v>
      </c>
      <c r="F87" s="470">
        <v>49</v>
      </c>
      <c r="G87" s="470">
        <v>38</v>
      </c>
      <c r="H87" s="470">
        <v>33</v>
      </c>
      <c r="I87" s="470">
        <v>3</v>
      </c>
      <c r="J87" s="473">
        <v>50508.80000000002</v>
      </c>
      <c r="K87" s="470">
        <v>30839.04</v>
      </c>
      <c r="L87" s="474">
        <f t="shared" si="1"/>
      </c>
      <c r="M87" s="474">
        <f t="shared" si="0"/>
      </c>
      <c r="N87" s="474">
        <f t="shared" si="19"/>
      </c>
      <c r="O87" s="475" t="s">
        <v>460</v>
      </c>
      <c r="P87" s="470">
        <v>10</v>
      </c>
      <c r="Q87" s="476"/>
    </row>
    <row r="88">
      <c r="A88" s="469">
        <v>46099</v>
      </c>
      <c r="B88" s="470" t="s">
        <v>444</v>
      </c>
      <c r="C88" s="471" t="s">
        <v>448</v>
      </c>
      <c r="D88" s="470">
        <v>5</v>
      </c>
      <c r="E88" s="470">
        <v>55</v>
      </c>
      <c r="F88" s="470">
        <v>49</v>
      </c>
      <c r="G88" s="470">
        <v>31</v>
      </c>
      <c r="H88" s="470">
        <v>34</v>
      </c>
      <c r="I88" s="470">
        <v>7</v>
      </c>
      <c r="J88" s="473">
        <v>38883.600000000006</v>
      </c>
      <c r="K88" s="473">
        <v>21900.31</v>
      </c>
      <c r="L88" s="474">
        <f t="shared" si="1"/>
      </c>
      <c r="M88" s="474">
        <f t="shared" si="0"/>
      </c>
      <c r="N88" s="474">
        <f t="shared" si="19"/>
      </c>
      <c r="O88" s="477"/>
      <c r="P88" s="477"/>
      <c r="Q88" s="478"/>
    </row>
    <row r="89">
      <c r="A89" s="469">
        <v>46099</v>
      </c>
      <c r="B89" s="470" t="s">
        <v>449</v>
      </c>
      <c r="C89" s="471" t="s">
        <v>450</v>
      </c>
      <c r="D89" s="470">
        <v>5</v>
      </c>
      <c r="E89" s="470">
        <v>39</v>
      </c>
      <c r="F89" s="470">
        <v>30</v>
      </c>
      <c r="G89" s="470">
        <v>19</v>
      </c>
      <c r="H89" s="470">
        <v>18</v>
      </c>
      <c r="I89" s="470">
        <v>5</v>
      </c>
      <c r="J89" s="473">
        <v>22648.799999999996</v>
      </c>
      <c r="K89" s="473">
        <v>14161.300000000001</v>
      </c>
      <c r="L89" s="474">
        <f t="shared" si="1"/>
      </c>
      <c r="M89" s="474">
        <f t="shared" si="0"/>
      </c>
      <c r="N89" s="474">
        <f t="shared" si="19"/>
      </c>
      <c r="O89" s="475"/>
      <c r="P89" s="470"/>
      <c r="Q89" s="478"/>
    </row>
    <row r="90">
      <c r="A90" s="469">
        <v>46099</v>
      </c>
      <c r="B90" s="470" t="s">
        <v>451</v>
      </c>
      <c r="C90" s="471" t="s">
        <v>452</v>
      </c>
      <c r="D90" s="470">
        <v>5</v>
      </c>
      <c r="E90" s="470">
        <v>62</v>
      </c>
      <c r="F90" s="470">
        <v>47</v>
      </c>
      <c r="G90" s="470">
        <v>38</v>
      </c>
      <c r="H90" s="470">
        <v>36</v>
      </c>
      <c r="I90" s="470">
        <v>5</v>
      </c>
      <c r="J90" s="473">
        <v>40215.600000000006</v>
      </c>
      <c r="K90" s="473">
        <v>22814.16</v>
      </c>
      <c r="L90" s="474">
        <f t="shared" si="1"/>
      </c>
      <c r="M90" s="474">
        <f t="shared" si="0"/>
      </c>
      <c r="N90" s="474">
        <f>K90/H90</f>
      </c>
      <c r="O90" s="475" t="s">
        <v>459</v>
      </c>
      <c r="P90" s="470">
        <v>10</v>
      </c>
      <c r="Q90" s="477"/>
    </row>
    <row r="91">
      <c r="A91" s="479">
        <v>46099</v>
      </c>
      <c r="B91" s="480"/>
      <c r="C91" s="480"/>
      <c r="D91" s="480">
        <f>SUM(D87:D90)</f>
      </c>
      <c r="E91" s="480">
        <f>SUM(E87:E90)</f>
      </c>
      <c r="F91" s="480">
        <f>SUM(F87:F90)</f>
      </c>
      <c r="G91" s="480">
        <f>SUM(G87:G90)</f>
      </c>
      <c r="H91" s="480">
        <f>SUM(H87:H90)</f>
      </c>
      <c r="I91" s="480">
        <f>SUM(I87:I90)</f>
      </c>
      <c r="J91" s="480">
        <f>SUM(J87:J90)</f>
      </c>
      <c r="K91" s="480">
        <f>SUM(K87:K90)</f>
      </c>
      <c r="L91" s="481">
        <f t="shared" si="1"/>
      </c>
      <c r="M91" s="481">
        <f t="shared" si="0"/>
      </c>
      <c r="N91" s="481">
        <f t="shared" ref="N91:N94" si="20">K91/F91</f>
      </c>
      <c r="O91" s="482"/>
      <c r="P91" s="480">
        <f>P87+P88+P89+P90</f>
      </c>
      <c r="Q91" s="482"/>
    </row>
    <row r="92">
      <c r="A92" s="469">
        <v>46100</v>
      </c>
      <c r="B92" s="470" t="s">
        <v>444</v>
      </c>
      <c r="C92" s="471" t="s">
        <v>445</v>
      </c>
      <c r="D92" s="470">
        <v>5</v>
      </c>
      <c r="E92" s="472">
        <v>51</v>
      </c>
      <c r="F92" s="470">
        <v>38</v>
      </c>
      <c r="G92" s="470">
        <v>28</v>
      </c>
      <c r="H92" s="470">
        <v>29</v>
      </c>
      <c r="I92" s="470">
        <v>4</v>
      </c>
      <c r="J92" s="473">
        <v>33966.40000000001</v>
      </c>
      <c r="K92" s="470">
        <v>24885.89</v>
      </c>
      <c r="L92" s="474">
        <f t="shared" si="1"/>
      </c>
      <c r="M92" s="474">
        <f t="shared" si="0"/>
      </c>
      <c r="N92" s="474">
        <f t="shared" si="20"/>
      </c>
      <c r="O92" s="475" t="s">
        <v>460</v>
      </c>
      <c r="P92" s="470">
        <v>10</v>
      </c>
      <c r="Q92" s="476"/>
    </row>
    <row r="93">
      <c r="A93" s="469">
        <v>46100</v>
      </c>
      <c r="B93" s="470" t="s">
        <v>454</v>
      </c>
      <c r="C93" s="471" t="s">
        <v>448</v>
      </c>
      <c r="D93" s="470">
        <v>5</v>
      </c>
      <c r="E93" s="470">
        <v>62</v>
      </c>
      <c r="F93" s="470">
        <v>53</v>
      </c>
      <c r="G93" s="470">
        <v>28</v>
      </c>
      <c r="H93" s="470">
        <v>30</v>
      </c>
      <c r="I93" s="470">
        <v>7</v>
      </c>
      <c r="J93" s="473">
        <v>54182.2</v>
      </c>
      <c r="K93" s="473">
        <v>18079.010000000002</v>
      </c>
      <c r="L93" s="474">
        <f t="shared" si="1"/>
      </c>
      <c r="M93" s="474">
        <f t="shared" si="0"/>
      </c>
      <c r="N93" s="474">
        <f t="shared" si="20"/>
      </c>
      <c r="O93" s="477"/>
      <c r="P93" s="477"/>
      <c r="Q93" s="478"/>
    </row>
    <row r="94">
      <c r="A94" s="469">
        <v>46100</v>
      </c>
      <c r="B94" s="470" t="s">
        <v>451</v>
      </c>
      <c r="C94" s="471" t="s">
        <v>450</v>
      </c>
      <c r="D94" s="470">
        <v>5</v>
      </c>
      <c r="E94" s="470">
        <v>38</v>
      </c>
      <c r="F94" s="470">
        <v>26</v>
      </c>
      <c r="G94" s="470">
        <v>19</v>
      </c>
      <c r="H94" s="470">
        <v>15</v>
      </c>
      <c r="I94" s="470">
        <v>3</v>
      </c>
      <c r="J94" s="473">
        <v>21798.899999999994</v>
      </c>
      <c r="K94" s="473">
        <v>15410.779999999999</v>
      </c>
      <c r="L94" s="474">
        <f t="shared" si="1"/>
      </c>
      <c r="M94" s="474">
        <f t="shared" si="0"/>
      </c>
      <c r="N94" s="474">
        <f t="shared" si="20"/>
      </c>
      <c r="O94" s="475"/>
      <c r="P94" s="470"/>
      <c r="Q94" s="478"/>
    </row>
    <row r="95">
      <c r="A95" s="469">
        <v>46100</v>
      </c>
      <c r="B95" s="470" t="s">
        <v>447</v>
      </c>
      <c r="C95" s="471" t="s">
        <v>452</v>
      </c>
      <c r="D95" s="470">
        <v>5</v>
      </c>
      <c r="E95" s="470">
        <v>39</v>
      </c>
      <c r="F95" s="470">
        <v>30</v>
      </c>
      <c r="G95" s="470">
        <v>25</v>
      </c>
      <c r="H95" s="470">
        <v>18</v>
      </c>
      <c r="I95" s="470">
        <v>5</v>
      </c>
      <c r="J95" s="473">
        <v>27200.600000000006</v>
      </c>
      <c r="K95" s="473">
        <v>17292.36</v>
      </c>
      <c r="L95" s="474">
        <f t="shared" si="1"/>
      </c>
      <c r="M95" s="474">
        <f t="shared" si="0"/>
      </c>
      <c r="N95" s="474">
        <f>K95/H95</f>
      </c>
      <c r="O95" s="475" t="s">
        <v>463</v>
      </c>
      <c r="P95" s="470">
        <v>10</v>
      </c>
      <c r="Q95" s="477"/>
    </row>
    <row r="96">
      <c r="A96" s="479">
        <v>46100</v>
      </c>
      <c r="B96" s="480"/>
      <c r="C96" s="480"/>
      <c r="D96" s="480">
        <f>SUM(D92:D95)</f>
      </c>
      <c r="E96" s="480">
        <f>SUM(E92:E95)</f>
      </c>
      <c r="F96" s="480">
        <f>SUM(F92:F95)</f>
      </c>
      <c r="G96" s="480">
        <f>SUM(G92:G95)</f>
      </c>
      <c r="H96" s="480">
        <f>SUM(H92:H95)</f>
      </c>
      <c r="I96" s="480">
        <f>SUM(I92:I95)</f>
      </c>
      <c r="J96" s="480">
        <f>SUM(J92:J95)</f>
      </c>
      <c r="K96" s="480">
        <f>SUM(K92:K95)</f>
      </c>
      <c r="L96" s="481">
        <f t="shared" si="1"/>
      </c>
      <c r="M96" s="481">
        <f t="shared" si="0"/>
      </c>
      <c r="N96" s="481">
        <f t="shared" ref="N96:N99" si="21">K96/F96</f>
      </c>
      <c r="O96" s="482"/>
      <c r="P96" s="480">
        <f>P92+P93+P94+P95</f>
      </c>
      <c r="Q96" s="482"/>
    </row>
    <row r="97">
      <c r="A97" s="469">
        <v>46101</v>
      </c>
      <c r="B97" s="470" t="s">
        <v>454</v>
      </c>
      <c r="C97" s="471" t="s">
        <v>445</v>
      </c>
      <c r="D97" s="470">
        <v>5</v>
      </c>
      <c r="E97" s="472">
        <v>89</v>
      </c>
      <c r="F97" s="470">
        <v>71</v>
      </c>
      <c r="G97" s="470">
        <v>52</v>
      </c>
      <c r="H97" s="470">
        <v>47</v>
      </c>
      <c r="I97" s="470">
        <v>14</v>
      </c>
      <c r="J97" s="473">
        <v>61656.30000000002</v>
      </c>
      <c r="K97" s="470">
        <v>34397.14</v>
      </c>
      <c r="L97" s="474">
        <f t="shared" si="1"/>
      </c>
      <c r="M97" s="474">
        <f t="shared" si="0"/>
      </c>
      <c r="N97" s="474">
        <f t="shared" si="21"/>
      </c>
      <c r="O97" s="475" t="s">
        <v>458</v>
      </c>
      <c r="P97" s="470">
        <v>10</v>
      </c>
      <c r="Q97" s="476"/>
    </row>
    <row r="98">
      <c r="A98" s="469">
        <v>46101</v>
      </c>
      <c r="B98" s="470" t="s">
        <v>451</v>
      </c>
      <c r="C98" s="471" t="s">
        <v>448</v>
      </c>
      <c r="D98" s="470">
        <v>5</v>
      </c>
      <c r="E98" s="470">
        <v>41</v>
      </c>
      <c r="F98" s="470">
        <v>33</v>
      </c>
      <c r="G98" s="470">
        <v>20</v>
      </c>
      <c r="H98" s="470">
        <v>16</v>
      </c>
      <c r="I98" s="470">
        <v>3</v>
      </c>
      <c r="J98" s="473">
        <v>30024.4</v>
      </c>
      <c r="K98" s="473">
        <v>15743.169999999998</v>
      </c>
      <c r="L98" s="474">
        <f t="shared" si="1"/>
      </c>
      <c r="M98" s="474">
        <f t="shared" si="0"/>
      </c>
      <c r="N98" s="474">
        <f t="shared" si="21"/>
      </c>
      <c r="O98" s="477"/>
      <c r="P98" s="477"/>
      <c r="Q98" s="478"/>
    </row>
    <row r="99">
      <c r="A99" s="469">
        <v>46101</v>
      </c>
      <c r="B99" s="470" t="s">
        <v>444</v>
      </c>
      <c r="C99" s="471" t="s">
        <v>450</v>
      </c>
      <c r="D99" s="470">
        <v>5</v>
      </c>
      <c r="E99" s="470">
        <v>44</v>
      </c>
      <c r="F99" s="470">
        <v>32</v>
      </c>
      <c r="G99" s="470">
        <v>27</v>
      </c>
      <c r="H99" s="470">
        <v>18</v>
      </c>
      <c r="I99" s="470">
        <v>0</v>
      </c>
      <c r="J99" s="473">
        <v>30375.200000000004</v>
      </c>
      <c r="K99" s="473">
        <v>20198.87</v>
      </c>
      <c r="L99" s="474">
        <f t="shared" si="1"/>
      </c>
      <c r="M99" s="474">
        <f t="shared" si="0"/>
      </c>
      <c r="N99" s="474">
        <f t="shared" si="21"/>
      </c>
      <c r="O99" s="475"/>
      <c r="P99" s="470"/>
      <c r="Q99" s="478"/>
    </row>
    <row r="100">
      <c r="A100" s="469">
        <v>46101</v>
      </c>
      <c r="B100" s="470" t="s">
        <v>447</v>
      </c>
      <c r="C100" s="471" t="s">
        <v>452</v>
      </c>
      <c r="D100" s="470">
        <v>5</v>
      </c>
      <c r="E100" s="470">
        <v>55</v>
      </c>
      <c r="F100" s="470">
        <v>52</v>
      </c>
      <c r="G100" s="470">
        <v>27</v>
      </c>
      <c r="H100" s="470">
        <v>35</v>
      </c>
      <c r="I100" s="470">
        <v>6</v>
      </c>
      <c r="J100" s="473">
        <v>44661.2</v>
      </c>
      <c r="K100" s="473">
        <v>26179.89</v>
      </c>
      <c r="L100" s="474">
        <f t="shared" si="1"/>
      </c>
      <c r="M100" s="474">
        <f t="shared" si="0"/>
      </c>
      <c r="N100" s="474">
        <f>K100/H100</f>
      </c>
      <c r="O100" s="475" t="s">
        <v>459</v>
      </c>
      <c r="P100" s="470">
        <v>10</v>
      </c>
      <c r="Q100" s="477"/>
    </row>
    <row r="101">
      <c r="A101" s="479">
        <v>46101</v>
      </c>
      <c r="B101" s="480"/>
      <c r="C101" s="480"/>
      <c r="D101" s="480">
        <f>SUM(D97:D100)</f>
      </c>
      <c r="E101" s="480">
        <f>SUM(E97:E100)</f>
      </c>
      <c r="F101" s="480">
        <f>SUM(F97:F100)</f>
      </c>
      <c r="G101" s="480">
        <f>SUM(G97:G100)</f>
      </c>
      <c r="H101" s="480">
        <f>SUM(H97:H100)</f>
      </c>
      <c r="I101" s="480">
        <f>SUM(I97:I100)</f>
      </c>
      <c r="J101" s="480">
        <f>SUM(J97:J100)</f>
      </c>
      <c r="K101" s="480">
        <f>SUM(K97:K100)</f>
      </c>
      <c r="L101" s="481">
        <f t="shared" si="1"/>
      </c>
      <c r="M101" s="481">
        <f t="shared" si="0"/>
      </c>
      <c r="N101" s="481">
        <f t="shared" ref="N101:N104" si="22">K101/F101</f>
      </c>
      <c r="O101" s="482"/>
      <c r="P101" s="480">
        <f>P97+P98+P99+P100</f>
      </c>
      <c r="Q101" s="482"/>
    </row>
    <row r="102">
      <c r="A102" s="469">
        <v>46102</v>
      </c>
      <c r="B102" s="470" t="s">
        <v>444</v>
      </c>
      <c r="C102" s="471" t="s">
        <v>445</v>
      </c>
      <c r="D102" s="470">
        <v>5</v>
      </c>
      <c r="E102" s="472">
        <v>46</v>
      </c>
      <c r="F102" s="470">
        <v>35</v>
      </c>
      <c r="G102" s="470">
        <v>29</v>
      </c>
      <c r="H102" s="470">
        <v>23</v>
      </c>
      <c r="I102" s="470">
        <v>2</v>
      </c>
      <c r="J102" s="473">
        <v>37321.1</v>
      </c>
      <c r="K102" s="470">
        <v>18214.47</v>
      </c>
      <c r="L102" s="474">
        <f t="shared" si="1"/>
      </c>
      <c r="M102" s="474">
        <f t="shared" si="0"/>
      </c>
      <c r="N102" s="474">
        <f t="shared" si="22"/>
      </c>
      <c r="O102" s="475" t="s">
        <v>460</v>
      </c>
      <c r="P102" s="470">
        <v>10</v>
      </c>
      <c r="Q102" s="476"/>
    </row>
    <row r="103">
      <c r="A103" s="469">
        <v>46102</v>
      </c>
      <c r="B103" s="470" t="s">
        <v>454</v>
      </c>
      <c r="C103" s="471" t="s">
        <v>448</v>
      </c>
      <c r="D103" s="470">
        <v>5</v>
      </c>
      <c r="E103" s="470">
        <v>68</v>
      </c>
      <c r="F103" s="470">
        <v>48</v>
      </c>
      <c r="G103" s="470">
        <v>37</v>
      </c>
      <c r="H103" s="470">
        <v>24</v>
      </c>
      <c r="I103" s="470">
        <v>4</v>
      </c>
      <c r="J103" s="473">
        <v>50548.20000000001</v>
      </c>
      <c r="K103" s="473">
        <v>20844.97</v>
      </c>
      <c r="L103" s="474">
        <f t="shared" si="1"/>
      </c>
      <c r="M103" s="474">
        <f t="shared" si="0"/>
      </c>
      <c r="N103" s="474">
        <f t="shared" si="22"/>
      </c>
      <c r="O103" s="477"/>
      <c r="P103" s="477"/>
      <c r="Q103" s="478"/>
    </row>
    <row r="104">
      <c r="A104" s="469">
        <v>46102</v>
      </c>
      <c r="B104" s="470" t="s">
        <v>451</v>
      </c>
      <c r="C104" s="471" t="s">
        <v>450</v>
      </c>
      <c r="D104" s="470">
        <v>5</v>
      </c>
      <c r="E104" s="470">
        <v>68</v>
      </c>
      <c r="F104" s="470">
        <v>50</v>
      </c>
      <c r="G104" s="470">
        <v>35</v>
      </c>
      <c r="H104" s="470">
        <v>32</v>
      </c>
      <c r="I104" s="470">
        <v>7</v>
      </c>
      <c r="J104" s="473">
        <v>54313.2</v>
      </c>
      <c r="K104" s="473">
        <v>31989.67</v>
      </c>
      <c r="L104" s="474">
        <f t="shared" si="1"/>
      </c>
      <c r="M104" s="474">
        <f t="shared" si="0"/>
      </c>
      <c r="N104" s="474">
        <f t="shared" si="22"/>
      </c>
      <c r="O104" s="475"/>
      <c r="P104" s="470"/>
      <c r="Q104" s="478"/>
    </row>
    <row r="105">
      <c r="A105" s="469">
        <v>46102</v>
      </c>
      <c r="B105" s="470" t="s">
        <v>447</v>
      </c>
      <c r="C105" s="471" t="s">
        <v>452</v>
      </c>
      <c r="D105" s="470">
        <v>5</v>
      </c>
      <c r="E105" s="470">
        <v>83</v>
      </c>
      <c r="F105" s="470">
        <v>68</v>
      </c>
      <c r="G105" s="470">
        <v>46</v>
      </c>
      <c r="H105" s="470">
        <v>38</v>
      </c>
      <c r="I105" s="470">
        <v>7</v>
      </c>
      <c r="J105" s="473">
        <v>81376.40000000002</v>
      </c>
      <c r="K105" s="473">
        <v>30156.359999999997</v>
      </c>
      <c r="L105" s="474">
        <f t="shared" si="1"/>
      </c>
      <c r="M105" s="474">
        <f t="shared" si="0"/>
      </c>
      <c r="N105" s="474">
        <f>K105/H105</f>
      </c>
      <c r="O105" s="475" t="s">
        <v>459</v>
      </c>
      <c r="P105" s="470">
        <v>10</v>
      </c>
      <c r="Q105" s="477"/>
    </row>
    <row r="106">
      <c r="A106" s="479">
        <v>46102</v>
      </c>
      <c r="B106" s="480"/>
      <c r="C106" s="480"/>
      <c r="D106" s="480">
        <f>SUM(D102:D105)</f>
      </c>
      <c r="E106" s="480">
        <f>SUM(E102:E105)</f>
      </c>
      <c r="F106" s="480">
        <f>SUM(F102:F105)</f>
      </c>
      <c r="G106" s="480">
        <f>SUM(G102:G105)</f>
      </c>
      <c r="H106" s="480">
        <f>SUM(H102:H105)</f>
      </c>
      <c r="I106" s="480">
        <f>SUM(I102:I105)</f>
      </c>
      <c r="J106" s="480">
        <f>SUM(J102:J105)</f>
      </c>
      <c r="K106" s="480">
        <f>SUM(K102:K105)</f>
      </c>
      <c r="L106" s="481">
        <f t="shared" si="1"/>
      </c>
      <c r="M106" s="481">
        <f t="shared" si="0"/>
      </c>
      <c r="N106" s="481">
        <f t="shared" ref="N106:N125" si="23">K106/F106</f>
      </c>
      <c r="O106" s="482"/>
      <c r="P106" s="480">
        <f>P102+P103+P104+P105</f>
      </c>
      <c r="Q106" s="482"/>
    </row>
    <row r="107">
      <c r="A107" s="469">
        <v>46103</v>
      </c>
      <c r="B107" s="470" t="s">
        <v>454</v>
      </c>
      <c r="C107" s="471" t="s">
        <v>445</v>
      </c>
      <c r="D107" s="470">
        <v>5</v>
      </c>
      <c r="E107" s="472">
        <v>80</v>
      </c>
      <c r="F107" s="470">
        <v>64</v>
      </c>
      <c r="G107" s="470">
        <v>37</v>
      </c>
      <c r="H107" s="470">
        <v>51</v>
      </c>
      <c r="I107" s="470">
        <v>8</v>
      </c>
      <c r="J107" s="473">
        <v>50766.45</v>
      </c>
      <c r="K107" s="470">
        <v>27809.54</v>
      </c>
      <c r="L107" s="474">
        <f t="shared" si="1"/>
      </c>
      <c r="M107" s="474">
        <f t="shared" si="0"/>
      </c>
      <c r="N107" s="474">
        <f t="shared" si="23"/>
      </c>
      <c r="O107" s="475" t="s">
        <v>460</v>
      </c>
      <c r="P107" s="470">
        <v>10</v>
      </c>
      <c r="Q107" s="476"/>
    </row>
    <row r="108">
      <c r="A108" s="469">
        <v>46103</v>
      </c>
      <c r="B108" s="470" t="s">
        <v>451</v>
      </c>
      <c r="C108" s="471" t="s">
        <v>448</v>
      </c>
      <c r="D108" s="470">
        <v>5</v>
      </c>
      <c r="E108" s="470">
        <v>25</v>
      </c>
      <c r="F108" s="470">
        <v>16</v>
      </c>
      <c r="G108" s="470">
        <v>12</v>
      </c>
      <c r="H108" s="470">
        <v>9</v>
      </c>
      <c r="I108" s="470">
        <v>1</v>
      </c>
      <c r="J108" s="473">
        <v>19979.200000000004</v>
      </c>
      <c r="K108" s="473">
        <v>10927.14</v>
      </c>
      <c r="L108" s="474">
        <f t="shared" si="1"/>
      </c>
      <c r="M108" s="474">
        <f t="shared" si="0"/>
      </c>
      <c r="N108" s="474">
        <f t="shared" si="23"/>
      </c>
      <c r="O108" s="477"/>
      <c r="P108" s="477"/>
      <c r="Q108" s="478"/>
    </row>
    <row r="109">
      <c r="A109" s="469">
        <v>46103</v>
      </c>
      <c r="B109" s="470" t="s">
        <v>447</v>
      </c>
      <c r="C109" s="471" t="s">
        <v>450</v>
      </c>
      <c r="D109" s="470">
        <v>5</v>
      </c>
      <c r="E109" s="470">
        <v>27</v>
      </c>
      <c r="F109" s="470">
        <v>20</v>
      </c>
      <c r="G109" s="470">
        <v>16</v>
      </c>
      <c r="H109" s="470">
        <v>11</v>
      </c>
      <c r="I109" s="470">
        <v>1</v>
      </c>
      <c r="J109" s="473">
        <v>20297.999999999993</v>
      </c>
      <c r="K109" s="473">
        <v>9111.6</v>
      </c>
      <c r="L109" s="474">
        <f t="shared" si="1"/>
      </c>
      <c r="M109" s="474">
        <f t="shared" si="0"/>
      </c>
      <c r="N109" s="474">
        <f t="shared" si="23"/>
      </c>
      <c r="O109" s="475" t="s">
        <v>462</v>
      </c>
      <c r="P109" s="470">
        <v>5</v>
      </c>
      <c r="Q109" s="478"/>
    </row>
    <row r="110">
      <c r="A110" s="479">
        <v>46103</v>
      </c>
      <c r="B110" s="480"/>
      <c r="C110" s="480"/>
      <c r="D110" s="480">
        <f>SUM(D107:D109)</f>
      </c>
      <c r="E110" s="480">
        <f>SUM(E107:E109)</f>
      </c>
      <c r="F110" s="480">
        <f>SUM(F107:F109)</f>
      </c>
      <c r="G110" s="480">
        <f>SUM(G107:G109)</f>
      </c>
      <c r="H110" s="480">
        <f>SUM(H107:H109)</f>
      </c>
      <c r="I110" s="480">
        <f>SUM(I107:I109)</f>
      </c>
      <c r="J110" s="480">
        <f>SUM(J107:J109)</f>
      </c>
      <c r="K110" s="480">
        <f>SUM(K107:K109)</f>
      </c>
      <c r="L110" s="481">
        <f t="shared" si="1"/>
      </c>
      <c r="M110" s="481">
        <f t="shared" si="0"/>
      </c>
      <c r="N110" s="481">
        <f t="shared" si="23"/>
      </c>
      <c r="O110" s="482"/>
      <c r="P110" s="480">
        <f>P109+P108+P107</f>
      </c>
      <c r="Q110" s="482"/>
    </row>
    <row r="111">
      <c r="A111" s="469">
        <v>46104</v>
      </c>
      <c r="B111" s="470" t="s">
        <v>454</v>
      </c>
      <c r="C111" s="471" t="s">
        <v>445</v>
      </c>
      <c r="D111" s="470">
        <v>5</v>
      </c>
      <c r="E111" s="472">
        <v>70</v>
      </c>
      <c r="F111" s="470">
        <v>59</v>
      </c>
      <c r="G111" s="470">
        <v>41</v>
      </c>
      <c r="H111" s="470">
        <v>32</v>
      </c>
      <c r="I111" s="470">
        <v>8</v>
      </c>
      <c r="J111" s="473">
        <v>51853.5</v>
      </c>
      <c r="K111" s="470">
        <v>28072.98</v>
      </c>
      <c r="L111" s="474">
        <f t="shared" si="1"/>
      </c>
      <c r="M111" s="474">
        <f t="shared" si="0"/>
      </c>
      <c r="N111" s="474">
        <f t="shared" si="23"/>
      </c>
      <c r="O111" s="475" t="s">
        <v>460</v>
      </c>
      <c r="P111" s="470">
        <v>10</v>
      </c>
      <c r="Q111" s="476"/>
    </row>
    <row r="112">
      <c r="A112" s="469">
        <v>46104</v>
      </c>
      <c r="B112" s="470" t="s">
        <v>451</v>
      </c>
      <c r="C112" s="471" t="s">
        <v>448</v>
      </c>
      <c r="D112" s="470">
        <v>5</v>
      </c>
      <c r="E112" s="470">
        <v>54</v>
      </c>
      <c r="F112" s="470">
        <v>43</v>
      </c>
      <c r="G112" s="470">
        <v>34</v>
      </c>
      <c r="H112" s="470">
        <v>24</v>
      </c>
      <c r="I112" s="470">
        <v>2</v>
      </c>
      <c r="J112" s="473">
        <v>46998.6</v>
      </c>
      <c r="K112" s="473">
        <v>24582.97</v>
      </c>
      <c r="L112" s="474">
        <f t="shared" si="1"/>
      </c>
      <c r="M112" s="474">
        <f t="shared" si="0"/>
      </c>
      <c r="N112" s="474">
        <f t="shared" si="23"/>
      </c>
      <c r="O112" s="477"/>
      <c r="P112" s="477"/>
      <c r="Q112" s="478"/>
    </row>
    <row r="113">
      <c r="A113" s="469">
        <v>46104</v>
      </c>
      <c r="B113" s="470" t="s">
        <v>447</v>
      </c>
      <c r="C113" s="471" t="s">
        <v>450</v>
      </c>
      <c r="D113" s="470">
        <v>5</v>
      </c>
      <c r="E113" s="470">
        <v>35</v>
      </c>
      <c r="F113" s="470">
        <v>29</v>
      </c>
      <c r="G113" s="470">
        <v>23</v>
      </c>
      <c r="H113" s="470">
        <v>15</v>
      </c>
      <c r="I113" s="470">
        <v>5</v>
      </c>
      <c r="J113" s="473">
        <v>29799.999999999993</v>
      </c>
      <c r="K113" s="473">
        <v>15863.8</v>
      </c>
      <c r="L113" s="474">
        <f t="shared" si="1"/>
      </c>
      <c r="M113" s="474">
        <f t="shared" si="0"/>
      </c>
      <c r="N113" s="474">
        <f t="shared" si="23"/>
      </c>
      <c r="O113" s="475" t="s">
        <v>462</v>
      </c>
      <c r="P113" s="470">
        <v>5</v>
      </c>
      <c r="Q113" s="478"/>
    </row>
    <row r="114">
      <c r="A114" s="479">
        <v>46104</v>
      </c>
      <c r="B114" s="480"/>
      <c r="C114" s="480"/>
      <c r="D114" s="480">
        <f>SUM(D111:D113)</f>
      </c>
      <c r="E114" s="480">
        <f>SUM(E111:E113)</f>
      </c>
      <c r="F114" s="480">
        <f>SUM(F111:F113)</f>
      </c>
      <c r="G114" s="480">
        <f>SUM(G111:G113)</f>
      </c>
      <c r="H114" s="480">
        <f>SUM(H111:H113)</f>
      </c>
      <c r="I114" s="480">
        <f>SUM(I111:I113)</f>
      </c>
      <c r="J114" s="480">
        <f>SUM(J111:J113)</f>
      </c>
      <c r="K114" s="480">
        <f>SUM(K111:K113)</f>
      </c>
      <c r="L114" s="481">
        <f t="shared" si="1"/>
      </c>
      <c r="M114" s="481">
        <f t="shared" si="0"/>
      </c>
      <c r="N114" s="481">
        <f t="shared" si="23"/>
      </c>
      <c r="O114" s="482"/>
      <c r="P114" s="480">
        <f>P113+P112+P111</f>
      </c>
      <c r="Q114" s="482"/>
    </row>
    <row r="115">
      <c r="A115" s="469">
        <v>46105</v>
      </c>
      <c r="B115" s="470" t="s">
        <v>454</v>
      </c>
      <c r="C115" s="471" t="s">
        <v>445</v>
      </c>
      <c r="D115" s="470">
        <v>5</v>
      </c>
      <c r="E115" s="472">
        <v>65</v>
      </c>
      <c r="F115" s="470">
        <v>55</v>
      </c>
      <c r="G115" s="470">
        <v>32</v>
      </c>
      <c r="H115" s="470">
        <v>35</v>
      </c>
      <c r="I115" s="470">
        <v>6</v>
      </c>
      <c r="J115" s="473">
        <v>41888.200000000004</v>
      </c>
      <c r="K115" s="470">
        <v>23608.68</v>
      </c>
      <c r="L115" s="474">
        <f t="shared" si="1"/>
      </c>
      <c r="M115" s="474">
        <f t="shared" si="0"/>
      </c>
      <c r="N115" s="474">
        <f t="shared" si="23"/>
      </c>
      <c r="O115" s="475" t="s">
        <v>460</v>
      </c>
      <c r="P115" s="470">
        <v>10</v>
      </c>
      <c r="Q115" s="476"/>
    </row>
    <row r="116">
      <c r="A116" s="469">
        <v>46105</v>
      </c>
      <c r="B116" s="470" t="s">
        <v>451</v>
      </c>
      <c r="C116" s="471" t="s">
        <v>448</v>
      </c>
      <c r="D116" s="470">
        <v>5</v>
      </c>
      <c r="E116" s="470">
        <v>60</v>
      </c>
      <c r="F116" s="470">
        <v>48</v>
      </c>
      <c r="G116" s="470">
        <v>36</v>
      </c>
      <c r="H116" s="470">
        <v>31</v>
      </c>
      <c r="I116" s="470">
        <v>4</v>
      </c>
      <c r="J116" s="473">
        <v>42163</v>
      </c>
      <c r="K116" s="473">
        <v>23458.47</v>
      </c>
      <c r="L116" s="474">
        <f t="shared" si="1"/>
      </c>
      <c r="M116" s="474">
        <f t="shared" si="0"/>
      </c>
      <c r="N116" s="474">
        <f t="shared" si="23"/>
      </c>
      <c r="O116" s="477"/>
      <c r="P116" s="477"/>
      <c r="Q116" s="478"/>
    </row>
    <row r="117">
      <c r="A117" s="469">
        <v>46105</v>
      </c>
      <c r="B117" s="470" t="s">
        <v>447</v>
      </c>
      <c r="C117" s="471" t="s">
        <v>450</v>
      </c>
      <c r="D117" s="470">
        <v>5</v>
      </c>
      <c r="E117" s="470">
        <v>48</v>
      </c>
      <c r="F117" s="470">
        <v>36</v>
      </c>
      <c r="G117" s="470">
        <v>30</v>
      </c>
      <c r="H117" s="470">
        <v>24</v>
      </c>
      <c r="I117" s="470">
        <v>3</v>
      </c>
      <c r="J117" s="473">
        <v>28925.20000000001</v>
      </c>
      <c r="K117" s="473">
        <v>22021.7</v>
      </c>
      <c r="L117" s="474">
        <f t="shared" si="1"/>
      </c>
      <c r="M117" s="474">
        <f t="shared" si="0"/>
      </c>
      <c r="N117" s="474">
        <f t="shared" si="23"/>
      </c>
      <c r="O117" s="475" t="s">
        <v>462</v>
      </c>
      <c r="P117" s="470">
        <v>5</v>
      </c>
      <c r="Q117" s="478"/>
    </row>
    <row r="118">
      <c r="A118" s="479">
        <v>46105</v>
      </c>
      <c r="B118" s="480"/>
      <c r="C118" s="480"/>
      <c r="D118" s="480">
        <f>SUM(D115:D117)</f>
      </c>
      <c r="E118" s="480">
        <f>SUM(E115:E117)</f>
      </c>
      <c r="F118" s="480">
        <f>SUM(F115:F117)</f>
      </c>
      <c r="G118" s="480">
        <f>SUM(G115:G117)</f>
      </c>
      <c r="H118" s="480">
        <f>SUM(H115:H117)</f>
      </c>
      <c r="I118" s="480">
        <f>SUM(I115:I117)</f>
      </c>
      <c r="J118" s="480">
        <f>SUM(J115:J117)</f>
      </c>
      <c r="K118" s="480">
        <f>SUM(K115:K117)</f>
      </c>
      <c r="L118" s="481">
        <f t="shared" si="1"/>
      </c>
      <c r="M118" s="481">
        <f t="shared" si="0"/>
      </c>
      <c r="N118" s="481">
        <f t="shared" si="23"/>
      </c>
      <c r="O118" s="482"/>
      <c r="P118" s="480">
        <f>P117+P116+P115</f>
      </c>
      <c r="Q118" s="482"/>
    </row>
    <row r="119">
      <c r="A119" s="469">
        <v>46106</v>
      </c>
      <c r="B119" s="470" t="s">
        <v>454</v>
      </c>
      <c r="C119" s="471" t="s">
        <v>445</v>
      </c>
      <c r="D119" s="470">
        <v>5</v>
      </c>
      <c r="E119" s="472">
        <v>74</v>
      </c>
      <c r="F119" s="470">
        <v>66</v>
      </c>
      <c r="G119" s="470">
        <v>46</v>
      </c>
      <c r="H119" s="470">
        <v>47</v>
      </c>
      <c r="I119" s="470">
        <v>8</v>
      </c>
      <c r="J119" s="473">
        <v>59403.60000000001</v>
      </c>
      <c r="K119" s="470">
        <v>34273.87</v>
      </c>
      <c r="L119" s="474">
        <f t="shared" si="1"/>
      </c>
      <c r="M119" s="474">
        <f t="shared" si="0"/>
      </c>
      <c r="N119" s="474">
        <f t="shared" si="23"/>
      </c>
      <c r="O119" s="475" t="s">
        <v>460</v>
      </c>
      <c r="P119" s="470">
        <v>10</v>
      </c>
      <c r="Q119" s="476"/>
    </row>
    <row r="120">
      <c r="A120" s="469">
        <v>46106</v>
      </c>
      <c r="B120" s="470" t="s">
        <v>444</v>
      </c>
      <c r="C120" s="471" t="s">
        <v>448</v>
      </c>
      <c r="D120" s="470">
        <v>5</v>
      </c>
      <c r="E120" s="470">
        <v>54</v>
      </c>
      <c r="F120" s="470">
        <v>41</v>
      </c>
      <c r="G120" s="470">
        <v>33</v>
      </c>
      <c r="H120" s="470">
        <v>31</v>
      </c>
      <c r="I120" s="470">
        <v>4</v>
      </c>
      <c r="J120" s="473">
        <v>30509.4</v>
      </c>
      <c r="K120" s="473">
        <v>24865.53</v>
      </c>
      <c r="L120" s="474">
        <f t="shared" si="1"/>
      </c>
      <c r="M120" s="474">
        <f t="shared" si="0"/>
      </c>
      <c r="N120" s="474">
        <f t="shared" si="23"/>
      </c>
      <c r="O120" s="477"/>
      <c r="P120" s="477"/>
      <c r="Q120" s="478"/>
    </row>
    <row r="121">
      <c r="A121" s="469">
        <v>46106</v>
      </c>
      <c r="B121" s="470" t="s">
        <v>447</v>
      </c>
      <c r="C121" s="471" t="s">
        <v>450</v>
      </c>
      <c r="D121" s="470">
        <v>5</v>
      </c>
      <c r="E121" s="470">
        <v>50</v>
      </c>
      <c r="F121" s="470">
        <v>38</v>
      </c>
      <c r="G121" s="470">
        <v>32</v>
      </c>
      <c r="H121" s="470">
        <v>27</v>
      </c>
      <c r="I121" s="470">
        <v>1</v>
      </c>
      <c r="J121" s="473">
        <v>30817.199999999997</v>
      </c>
      <c r="K121" s="473">
        <v>25753.64</v>
      </c>
      <c r="L121" s="474">
        <f t="shared" si="1"/>
      </c>
      <c r="M121" s="474">
        <f t="shared" si="0"/>
      </c>
      <c r="N121" s="474">
        <f t="shared" si="23"/>
      </c>
      <c r="O121" s="475" t="s">
        <v>462</v>
      </c>
      <c r="P121" s="470">
        <v>5</v>
      </c>
      <c r="Q121" s="478"/>
    </row>
    <row r="122">
      <c r="A122" s="479">
        <v>46106</v>
      </c>
      <c r="B122" s="480"/>
      <c r="C122" s="480"/>
      <c r="D122" s="480">
        <f>SUM(D119:D121)</f>
      </c>
      <c r="E122" s="480">
        <f>SUM(E119:E121)</f>
      </c>
      <c r="F122" s="480">
        <f>SUM(F119:F121)</f>
      </c>
      <c r="G122" s="480">
        <f>SUM(G119:G121)</f>
      </c>
      <c r="H122" s="480">
        <f>SUM(H119:H121)</f>
      </c>
      <c r="I122" s="480">
        <f>SUM(I119:I121)</f>
      </c>
      <c r="J122" s="480">
        <f>SUM(J119:J121)</f>
      </c>
      <c r="K122" s="480">
        <f>SUM(K119:K121)</f>
      </c>
      <c r="L122" s="481">
        <f t="shared" si="1"/>
      </c>
      <c r="M122" s="481">
        <f t="shared" si="0"/>
      </c>
      <c r="N122" s="481">
        <f t="shared" si="23"/>
      </c>
      <c r="O122" s="482"/>
      <c r="P122" s="480">
        <f>P121+P120+P119</f>
      </c>
      <c r="Q122" s="482"/>
    </row>
    <row r="123">
      <c r="A123" s="469">
        <v>46107</v>
      </c>
      <c r="B123" s="470" t="s">
        <v>454</v>
      </c>
      <c r="C123" s="471" t="s">
        <v>445</v>
      </c>
      <c r="D123" s="470">
        <v>5</v>
      </c>
      <c r="E123" s="472">
        <v>114</v>
      </c>
      <c r="F123" s="470">
        <v>99</v>
      </c>
      <c r="G123" s="470">
        <v>79</v>
      </c>
      <c r="H123" s="470">
        <v>63</v>
      </c>
      <c r="I123" s="470">
        <v>9</v>
      </c>
      <c r="J123" s="473">
        <v>102583.60000000003</v>
      </c>
      <c r="K123" s="470">
        <v>46444.94</v>
      </c>
      <c r="L123" s="474">
        <f t="shared" si="1"/>
      </c>
      <c r="M123" s="474">
        <f t="shared" si="0"/>
      </c>
      <c r="N123" s="474">
        <f t="shared" si="23"/>
      </c>
      <c r="O123" s="475" t="s">
        <v>460</v>
      </c>
      <c r="P123" s="470">
        <v>10</v>
      </c>
      <c r="Q123" s="476"/>
    </row>
    <row r="124">
      <c r="A124" s="469">
        <v>46107</v>
      </c>
      <c r="B124" s="470" t="s">
        <v>444</v>
      </c>
      <c r="C124" s="471" t="s">
        <v>448</v>
      </c>
      <c r="D124" s="470">
        <v>5</v>
      </c>
      <c r="E124" s="470">
        <v>111</v>
      </c>
      <c r="F124" s="470">
        <v>87</v>
      </c>
      <c r="G124" s="470">
        <v>69</v>
      </c>
      <c r="H124" s="470">
        <v>71</v>
      </c>
      <c r="I124" s="470">
        <v>9</v>
      </c>
      <c r="J124" s="473">
        <v>66977.6</v>
      </c>
      <c r="K124" s="473">
        <v>53224.130000000005</v>
      </c>
      <c r="L124" s="474">
        <f t="shared" si="1"/>
      </c>
      <c r="M124" s="474">
        <f t="shared" si="0"/>
      </c>
      <c r="N124" s="474">
        <f t="shared" si="23"/>
      </c>
      <c r="O124" s="477"/>
      <c r="P124" s="477"/>
      <c r="Q124" s="478"/>
    </row>
    <row r="125">
      <c r="A125" s="469">
        <v>46107</v>
      </c>
      <c r="B125" s="470" t="s">
        <v>447</v>
      </c>
      <c r="C125" s="471" t="s">
        <v>450</v>
      </c>
      <c r="D125" s="470">
        <v>5</v>
      </c>
      <c r="E125" s="470">
        <v>53</v>
      </c>
      <c r="F125" s="470">
        <v>42</v>
      </c>
      <c r="G125" s="470">
        <v>31</v>
      </c>
      <c r="H125" s="470">
        <v>29</v>
      </c>
      <c r="I125" s="470">
        <v>5</v>
      </c>
      <c r="J125" s="473">
        <v>34009.40000000002</v>
      </c>
      <c r="K125" s="473">
        <v>23964.100000000002</v>
      </c>
      <c r="L125" s="474">
        <f t="shared" si="1"/>
      </c>
      <c r="M125" s="474">
        <f t="shared" si="0"/>
      </c>
      <c r="N125" s="474">
        <f t="shared" si="23"/>
      </c>
      <c r="O125" s="475"/>
      <c r="P125" s="470"/>
      <c r="Q125" s="478"/>
    </row>
    <row r="126">
      <c r="A126" s="469">
        <v>46107</v>
      </c>
      <c r="B126" s="470" t="s">
        <v>451</v>
      </c>
      <c r="C126" s="471" t="s">
        <v>452</v>
      </c>
      <c r="D126" s="470">
        <v>5</v>
      </c>
      <c r="E126" s="470">
        <v>57</v>
      </c>
      <c r="F126" s="470">
        <v>45</v>
      </c>
      <c r="G126" s="470">
        <v>33</v>
      </c>
      <c r="H126" s="470">
        <v>30</v>
      </c>
      <c r="I126" s="470">
        <v>4</v>
      </c>
      <c r="J126" s="473">
        <v>38439.79999999999</v>
      </c>
      <c r="K126" s="473">
        <v>24055.61</v>
      </c>
      <c r="L126" s="474">
        <f t="shared" si="1"/>
      </c>
      <c r="M126" s="474">
        <f t="shared" si="0"/>
      </c>
      <c r="N126" s="474">
        <f>K126/H126</f>
      </c>
      <c r="O126" s="475" t="s">
        <v>459</v>
      </c>
      <c r="P126" s="470">
        <v>10</v>
      </c>
      <c r="Q126" s="477"/>
    </row>
    <row r="127">
      <c r="A127" s="479">
        <v>46107</v>
      </c>
      <c r="B127" s="480"/>
      <c r="C127" s="480"/>
      <c r="D127" s="480">
        <f>SUM(D123:D126)</f>
      </c>
      <c r="E127" s="480">
        <f>SUM(E123:E126)</f>
      </c>
      <c r="F127" s="480">
        <f>SUM(F123:F126)</f>
      </c>
      <c r="G127" s="480">
        <f>SUM(G123:G126)</f>
      </c>
      <c r="H127" s="480">
        <f>SUM(H123:H126)</f>
      </c>
      <c r="I127" s="480">
        <f>SUM(I123:I126)</f>
      </c>
      <c r="J127" s="480">
        <f>SUM(J123:J126)</f>
      </c>
      <c r="K127" s="480">
        <f>SUM(K123:K126)</f>
      </c>
      <c r="L127" s="481">
        <f t="shared" si="1"/>
      </c>
      <c r="M127" s="481">
        <f t="shared" si="0"/>
      </c>
      <c r="N127" s="481">
        <f t="shared" ref="N127:N130" si="24">K127/F127</f>
      </c>
      <c r="O127" s="482"/>
      <c r="P127" s="480">
        <f>P123+P124+P125+P126</f>
      </c>
      <c r="Q127" s="482"/>
    </row>
    <row r="128">
      <c r="A128" s="469">
        <v>46108</v>
      </c>
      <c r="B128" s="470" t="s">
        <v>444</v>
      </c>
      <c r="C128" s="471" t="s">
        <v>445</v>
      </c>
      <c r="D128" s="470">
        <v>5</v>
      </c>
      <c r="E128" s="472">
        <v>49</v>
      </c>
      <c r="F128" s="470">
        <v>38</v>
      </c>
      <c r="G128" s="470">
        <v>35</v>
      </c>
      <c r="H128" s="470">
        <v>23</v>
      </c>
      <c r="I128" s="470">
        <v>2</v>
      </c>
      <c r="J128" s="473">
        <v>35752.40000000001</v>
      </c>
      <c r="K128" s="470">
        <v>30218.7</v>
      </c>
      <c r="L128" s="474">
        <f t="shared" si="1"/>
      </c>
      <c r="M128" s="474">
        <f t="shared" si="0"/>
      </c>
      <c r="N128" s="474">
        <f t="shared" si="24"/>
      </c>
      <c r="O128" s="475" t="s">
        <v>460</v>
      </c>
      <c r="P128" s="470">
        <v>11</v>
      </c>
      <c r="Q128" s="476"/>
    </row>
    <row r="129">
      <c r="A129" s="469">
        <v>46108</v>
      </c>
      <c r="B129" s="470" t="s">
        <v>447</v>
      </c>
      <c r="C129" s="471" t="s">
        <v>448</v>
      </c>
      <c r="D129" s="470">
        <v>5</v>
      </c>
      <c r="E129" s="470">
        <v>45</v>
      </c>
      <c r="F129" s="470">
        <v>34</v>
      </c>
      <c r="G129" s="470">
        <v>28</v>
      </c>
      <c r="H129" s="470">
        <v>19</v>
      </c>
      <c r="I129" s="470">
        <v>2</v>
      </c>
      <c r="J129" s="473">
        <v>34798.600000000006</v>
      </c>
      <c r="K129" s="473">
        <v>18901.83</v>
      </c>
      <c r="L129" s="474">
        <f t="shared" si="1"/>
      </c>
      <c r="M129" s="474">
        <f t="shared" si="0"/>
      </c>
      <c r="N129" s="474">
        <f t="shared" si="24"/>
      </c>
      <c r="O129" s="477"/>
      <c r="P129" s="477"/>
      <c r="Q129" s="478"/>
    </row>
    <row r="130">
      <c r="A130" s="469">
        <v>46108</v>
      </c>
      <c r="B130" s="470" t="s">
        <v>454</v>
      </c>
      <c r="C130" s="471" t="s">
        <v>450</v>
      </c>
      <c r="D130" s="470">
        <v>5</v>
      </c>
      <c r="E130" s="470">
        <v>94</v>
      </c>
      <c r="F130" s="470">
        <v>76</v>
      </c>
      <c r="G130" s="470">
        <v>59</v>
      </c>
      <c r="H130" s="470">
        <v>55</v>
      </c>
      <c r="I130" s="470">
        <v>7</v>
      </c>
      <c r="J130" s="473">
        <v>72728.80000000003</v>
      </c>
      <c r="K130" s="473">
        <v>32017.41</v>
      </c>
      <c r="L130" s="474">
        <f t="shared" si="1"/>
      </c>
      <c r="M130" s="474">
        <f t="shared" si="0"/>
      </c>
      <c r="N130" s="474">
        <f t="shared" si="24"/>
      </c>
      <c r="O130" s="475"/>
      <c r="P130" s="470"/>
      <c r="Q130" s="478"/>
    </row>
    <row r="131">
      <c r="A131" s="469">
        <v>46108</v>
      </c>
      <c r="B131" s="470" t="s">
        <v>451</v>
      </c>
      <c r="C131" s="471" t="s">
        <v>452</v>
      </c>
      <c r="D131" s="470">
        <v>5</v>
      </c>
      <c r="E131" s="470">
        <v>85</v>
      </c>
      <c r="F131" s="470">
        <v>69</v>
      </c>
      <c r="G131" s="470">
        <v>46</v>
      </c>
      <c r="H131" s="470">
        <v>53</v>
      </c>
      <c r="I131" s="470">
        <v>9</v>
      </c>
      <c r="J131" s="473">
        <v>53270.60000000002</v>
      </c>
      <c r="K131" s="473">
        <v>35440.579999999994</v>
      </c>
      <c r="L131" s="474">
        <f t="shared" si="1"/>
      </c>
      <c r="M131" s="474">
        <f t="shared" si="0"/>
      </c>
      <c r="N131" s="474">
        <f>K131/H131</f>
      </c>
      <c r="O131" s="475" t="s">
        <v>459</v>
      </c>
      <c r="P131" s="470">
        <v>9</v>
      </c>
      <c r="Q131" s="477"/>
    </row>
    <row r="132">
      <c r="A132" s="479">
        <v>46108</v>
      </c>
      <c r="B132" s="480"/>
      <c r="C132" s="480"/>
      <c r="D132" s="480">
        <f>SUM(D128:D131)</f>
      </c>
      <c r="E132" s="480">
        <f>SUM(E128:E131)</f>
      </c>
      <c r="F132" s="480">
        <f>SUM(F128:F131)</f>
      </c>
      <c r="G132" s="480">
        <f>SUM(G128:G131)</f>
      </c>
      <c r="H132" s="480">
        <f>SUM(H128:H131)</f>
      </c>
      <c r="I132" s="480">
        <f>SUM(I128:I131)</f>
      </c>
      <c r="J132" s="480">
        <f>SUM(J128:J131)</f>
      </c>
      <c r="K132" s="480">
        <f>SUM(K128:K131)</f>
      </c>
      <c r="L132" s="481">
        <f t="shared" si="1"/>
      </c>
      <c r="M132" s="481">
        <f t="shared" si="0"/>
      </c>
      <c r="N132" s="481">
        <f t="shared" ref="N132:N135" si="25">K132/F132</f>
      </c>
      <c r="O132" s="482"/>
      <c r="P132" s="480">
        <f>P128+P129+P130+P131</f>
      </c>
      <c r="Q132" s="482"/>
    </row>
    <row r="133">
      <c r="A133" s="469">
        <v>46109</v>
      </c>
      <c r="B133" s="470" t="s">
        <v>444</v>
      </c>
      <c r="C133" s="471" t="s">
        <v>445</v>
      </c>
      <c r="D133" s="470">
        <v>5</v>
      </c>
      <c r="E133" s="472">
        <v>52</v>
      </c>
      <c r="F133" s="470">
        <v>41</v>
      </c>
      <c r="G133" s="470">
        <v>28</v>
      </c>
      <c r="H133" s="470">
        <v>24</v>
      </c>
      <c r="I133" s="470">
        <v>5</v>
      </c>
      <c r="J133" s="473">
        <v>39806.8</v>
      </c>
      <c r="K133" s="470">
        <v>22348.43</v>
      </c>
      <c r="L133" s="474">
        <f t="shared" si="1"/>
      </c>
      <c r="M133" s="474">
        <f t="shared" si="0"/>
      </c>
      <c r="N133" s="474">
        <f t="shared" si="25"/>
      </c>
      <c r="O133" s="475" t="s">
        <v>460</v>
      </c>
      <c r="P133" s="470">
        <v>10</v>
      </c>
      <c r="Q133" s="476"/>
    </row>
    <row r="134">
      <c r="A134" s="469">
        <v>46109</v>
      </c>
      <c r="B134" s="470" t="s">
        <v>447</v>
      </c>
      <c r="C134" s="471" t="s">
        <v>448</v>
      </c>
      <c r="D134" s="470">
        <v>5</v>
      </c>
      <c r="E134" s="470">
        <v>39</v>
      </c>
      <c r="F134" s="470">
        <v>32</v>
      </c>
      <c r="G134" s="470">
        <v>23</v>
      </c>
      <c r="H134" s="470">
        <v>26</v>
      </c>
      <c r="I134" s="470">
        <v>4</v>
      </c>
      <c r="J134" s="473">
        <v>28414.000000000004</v>
      </c>
      <c r="K134" s="473">
        <v>18611.22</v>
      </c>
      <c r="L134" s="474">
        <f t="shared" si="1"/>
      </c>
      <c r="M134" s="474">
        <f t="shared" si="0"/>
      </c>
      <c r="N134" s="474">
        <f t="shared" si="25"/>
      </c>
      <c r="O134" s="477"/>
      <c r="P134" s="477"/>
      <c r="Q134" s="478"/>
    </row>
    <row r="135">
      <c r="A135" s="469">
        <v>46109</v>
      </c>
      <c r="B135" s="470" t="s">
        <v>451</v>
      </c>
      <c r="C135" s="471" t="s">
        <v>450</v>
      </c>
      <c r="D135" s="470">
        <v>5</v>
      </c>
      <c r="E135" s="470">
        <v>30</v>
      </c>
      <c r="F135" s="470">
        <v>23</v>
      </c>
      <c r="G135" s="470">
        <v>18</v>
      </c>
      <c r="H135" s="470">
        <v>14</v>
      </c>
      <c r="I135" s="470">
        <v>2</v>
      </c>
      <c r="J135" s="473">
        <v>20244.300000000003</v>
      </c>
      <c r="K135" s="473">
        <v>13268.43</v>
      </c>
      <c r="L135" s="474">
        <f t="shared" si="1"/>
      </c>
      <c r="M135" s="474">
        <f t="shared" si="0"/>
      </c>
      <c r="N135" s="474">
        <f t="shared" si="25"/>
      </c>
      <c r="O135" s="475"/>
      <c r="P135" s="470"/>
      <c r="Q135" s="478"/>
    </row>
    <row r="136">
      <c r="A136" s="469">
        <v>46109</v>
      </c>
      <c r="B136" s="470" t="s">
        <v>454</v>
      </c>
      <c r="C136" s="471" t="s">
        <v>452</v>
      </c>
      <c r="D136" s="470">
        <v>5</v>
      </c>
      <c r="E136" s="470">
        <v>52</v>
      </c>
      <c r="F136" s="470">
        <v>44</v>
      </c>
      <c r="G136" s="470">
        <v>34</v>
      </c>
      <c r="H136" s="470">
        <v>31</v>
      </c>
      <c r="I136" s="470">
        <v>3</v>
      </c>
      <c r="J136" s="473">
        <v>43880.000000000015</v>
      </c>
      <c r="K136" s="473">
        <v>19613.449999999997</v>
      </c>
      <c r="L136" s="474">
        <f t="shared" si="1"/>
      </c>
      <c r="M136" s="474">
        <f t="shared" si="0"/>
      </c>
      <c r="N136" s="474">
        <f>K136/H136</f>
      </c>
      <c r="O136" s="475" t="s">
        <v>459</v>
      </c>
      <c r="P136" s="470">
        <v>10</v>
      </c>
      <c r="Q136" s="477"/>
    </row>
    <row r="137">
      <c r="A137" s="479">
        <v>46109</v>
      </c>
      <c r="B137" s="480"/>
      <c r="C137" s="480"/>
      <c r="D137" s="480">
        <f>SUM(D133:D136)</f>
      </c>
      <c r="E137" s="480">
        <f>SUM(E133:E136)</f>
      </c>
      <c r="F137" s="480">
        <f>SUM(F133:F136)</f>
      </c>
      <c r="G137" s="480">
        <f>SUM(G133:G136)</f>
      </c>
      <c r="H137" s="480">
        <f>SUM(H133:H136)</f>
      </c>
      <c r="I137" s="480">
        <f>SUM(I133:I136)</f>
      </c>
      <c r="J137" s="480">
        <f>SUM(J133:J136)</f>
      </c>
      <c r="K137" s="480">
        <f>SUM(K133:K136)</f>
      </c>
      <c r="L137" s="481">
        <f t="shared" si="1"/>
      </c>
      <c r="M137" s="481">
        <f t="shared" si="0"/>
      </c>
      <c r="N137" s="481">
        <f t="shared" ref="N137:N140" si="26">K137/F137</f>
      </c>
      <c r="O137" s="482"/>
      <c r="P137" s="480">
        <f>P133+P134+P135+P136</f>
      </c>
      <c r="Q137" s="482"/>
    </row>
    <row r="138">
      <c r="A138" s="469">
        <v>46110</v>
      </c>
      <c r="B138" s="484" t="s">
        <v>444</v>
      </c>
      <c r="C138" s="485" t="s">
        <v>445</v>
      </c>
      <c r="D138" s="484">
        <v>5</v>
      </c>
      <c r="E138" s="486">
        <v>65</v>
      </c>
      <c r="F138" s="470">
        <v>53</v>
      </c>
      <c r="G138" s="470">
        <v>36</v>
      </c>
      <c r="H138" s="470">
        <v>40</v>
      </c>
      <c r="I138" s="470">
        <v>8</v>
      </c>
      <c r="J138" s="487">
        <v>52781.2</v>
      </c>
      <c r="K138" s="484">
        <v>21779.07</v>
      </c>
      <c r="L138" s="474">
        <f t="shared" si="1"/>
      </c>
      <c r="M138" s="474">
        <f t="shared" si="0"/>
      </c>
      <c r="N138" s="474">
        <f t="shared" si="26"/>
      </c>
      <c r="O138" s="488" t="s">
        <v>460</v>
      </c>
      <c r="P138" s="484">
        <v>10</v>
      </c>
      <c r="Q138" s="489"/>
    </row>
    <row r="139">
      <c r="A139" s="490">
        <v>46110</v>
      </c>
      <c r="B139" s="470" t="s">
        <v>451</v>
      </c>
      <c r="C139" s="485" t="s">
        <v>448</v>
      </c>
      <c r="D139" s="484">
        <v>5</v>
      </c>
      <c r="E139" s="484">
        <v>67</v>
      </c>
      <c r="F139" s="484">
        <v>53</v>
      </c>
      <c r="G139" s="484">
        <v>44</v>
      </c>
      <c r="H139" s="484">
        <v>33</v>
      </c>
      <c r="I139" s="484">
        <v>4</v>
      </c>
      <c r="J139" s="491">
        <v>48335.4</v>
      </c>
      <c r="K139" s="491">
        <v>23956.89</v>
      </c>
      <c r="L139" s="474">
        <f t="shared" si="1"/>
      </c>
      <c r="M139" s="474">
        <f t="shared" si="0"/>
      </c>
      <c r="N139" s="474">
        <f t="shared" si="26"/>
      </c>
      <c r="O139" s="492"/>
      <c r="P139" s="492"/>
      <c r="Q139" s="493"/>
    </row>
    <row r="140">
      <c r="A140" s="490">
        <v>46110</v>
      </c>
      <c r="B140" s="470" t="s">
        <v>454</v>
      </c>
      <c r="C140" s="485" t="s">
        <v>450</v>
      </c>
      <c r="D140" s="484">
        <v>5</v>
      </c>
      <c r="E140" s="484">
        <v>83</v>
      </c>
      <c r="F140" s="484">
        <v>71</v>
      </c>
      <c r="G140" s="484">
        <v>45</v>
      </c>
      <c r="H140" s="484">
        <v>49</v>
      </c>
      <c r="I140" s="484">
        <v>11</v>
      </c>
      <c r="J140" s="491">
        <v>56980.200000000004</v>
      </c>
      <c r="K140" s="491">
        <v>28835.440000000002</v>
      </c>
      <c r="L140" s="474">
        <f t="shared" si="1"/>
      </c>
      <c r="M140" s="474">
        <f t="shared" si="0"/>
      </c>
      <c r="N140" s="474">
        <f t="shared" si="26"/>
      </c>
      <c r="O140" s="488"/>
      <c r="P140" s="484"/>
      <c r="Q140" s="493"/>
    </row>
    <row r="141">
      <c r="A141" s="490">
        <v>46110</v>
      </c>
      <c r="B141" s="470" t="s">
        <v>447</v>
      </c>
      <c r="C141" s="485" t="s">
        <v>452</v>
      </c>
      <c r="D141" s="484">
        <v>5</v>
      </c>
      <c r="E141" s="484">
        <v>75</v>
      </c>
      <c r="F141" s="484">
        <v>54</v>
      </c>
      <c r="G141" s="484">
        <v>38</v>
      </c>
      <c r="H141" s="484">
        <v>36</v>
      </c>
      <c r="I141" s="484">
        <v>6</v>
      </c>
      <c r="J141" s="491">
        <v>49518.3</v>
      </c>
      <c r="K141" s="491">
        <v>29522.54</v>
      </c>
      <c r="L141" s="474">
        <f t="shared" si="1"/>
      </c>
      <c r="M141" s="474">
        <f t="shared" si="0"/>
      </c>
      <c r="N141" s="474">
        <f>K141/H141</f>
      </c>
      <c r="O141" s="488" t="s">
        <v>459</v>
      </c>
      <c r="P141" s="484">
        <v>10</v>
      </c>
      <c r="Q141" s="492"/>
    </row>
    <row r="142">
      <c r="A142" s="494">
        <v>46110</v>
      </c>
      <c r="B142" s="480"/>
      <c r="C142" s="480"/>
      <c r="D142" s="480">
        <f>SUM(D138:D141)</f>
      </c>
      <c r="E142" s="480">
        <f>SUM(E138:E141)</f>
      </c>
      <c r="F142" s="480">
        <f>SUM(F138:F141)</f>
      </c>
      <c r="G142" s="480">
        <f>SUM(G138:G141)</f>
      </c>
      <c r="H142" s="480">
        <f>SUM(H138:H141)</f>
      </c>
      <c r="I142" s="480">
        <f>SUM(I138:I141)</f>
      </c>
      <c r="J142" s="480">
        <f>SUM(J138:J141)</f>
      </c>
      <c r="K142" s="480">
        <f>SUM(K138:K141)</f>
      </c>
      <c r="L142" s="481">
        <f t="shared" si="1"/>
      </c>
      <c r="M142" s="481">
        <f t="shared" si="0"/>
      </c>
      <c r="N142" s="481">
        <f t="shared" ref="N142:N145" si="27">K142/F142</f>
      </c>
      <c r="O142" s="482"/>
      <c r="P142" s="480">
        <f>P138+P139+P140+P141</f>
      </c>
      <c r="Q142" s="482"/>
    </row>
    <row r="143">
      <c r="A143" s="469">
        <v>46111</v>
      </c>
      <c r="B143" s="484" t="s">
        <v>444</v>
      </c>
      <c r="C143" s="485" t="s">
        <v>445</v>
      </c>
      <c r="D143" s="484">
        <v>5</v>
      </c>
      <c r="E143" s="486">
        <v>64</v>
      </c>
      <c r="F143" s="470">
        <v>56</v>
      </c>
      <c r="G143" s="470">
        <v>41</v>
      </c>
      <c r="H143" s="470">
        <v>34</v>
      </c>
      <c r="I143" s="470">
        <v>5</v>
      </c>
      <c r="J143" s="487">
        <v>52223.40000000001</v>
      </c>
      <c r="K143" s="484">
        <v>23336.199999999997</v>
      </c>
      <c r="L143" s="474">
        <f t="shared" si="1"/>
      </c>
      <c r="M143" s="474">
        <f t="shared" si="0"/>
      </c>
      <c r="N143" s="474">
        <f t="shared" si="27"/>
      </c>
      <c r="O143" s="488" t="s">
        <v>460</v>
      </c>
      <c r="P143" s="484">
        <v>10</v>
      </c>
      <c r="Q143" s="489"/>
    </row>
    <row r="144">
      <c r="A144" s="490">
        <v>46111</v>
      </c>
      <c r="B144" s="470" t="s">
        <v>454</v>
      </c>
      <c r="C144" s="485" t="s">
        <v>448</v>
      </c>
      <c r="D144" s="484">
        <v>5</v>
      </c>
      <c r="E144" s="484">
        <v>88</v>
      </c>
      <c r="F144" s="484">
        <v>69</v>
      </c>
      <c r="G144" s="484">
        <v>52</v>
      </c>
      <c r="H144" s="484">
        <v>47</v>
      </c>
      <c r="I144" s="470">
        <v>7</v>
      </c>
      <c r="J144" s="491">
        <v>63967.200000000026</v>
      </c>
      <c r="K144" s="491">
        <v>31758.01</v>
      </c>
      <c r="L144" s="474">
        <f t="shared" si="1"/>
      </c>
      <c r="M144" s="474">
        <f t="shared" si="0"/>
      </c>
      <c r="N144" s="474">
        <f t="shared" si="27"/>
      </c>
      <c r="O144" s="492"/>
      <c r="P144" s="492"/>
      <c r="Q144" s="493"/>
    </row>
    <row r="145">
      <c r="A145" s="490">
        <v>46111</v>
      </c>
      <c r="B145" s="470" t="s">
        <v>451</v>
      </c>
      <c r="C145" s="485" t="s">
        <v>450</v>
      </c>
      <c r="D145" s="484">
        <v>5</v>
      </c>
      <c r="E145" s="484">
        <v>50</v>
      </c>
      <c r="F145" s="484">
        <v>42</v>
      </c>
      <c r="G145" s="484">
        <v>33</v>
      </c>
      <c r="H145" s="484">
        <v>33</v>
      </c>
      <c r="I145" s="484">
        <v>3</v>
      </c>
      <c r="J145" s="491">
        <v>36461</v>
      </c>
      <c r="K145" s="491">
        <v>28747.04</v>
      </c>
      <c r="L145" s="474">
        <f t="shared" si="1"/>
      </c>
      <c r="M145" s="474">
        <f t="shared" si="0"/>
      </c>
      <c r="N145" s="474">
        <f t="shared" si="27"/>
      </c>
      <c r="O145" s="488"/>
      <c r="P145" s="484"/>
      <c r="Q145" s="493"/>
    </row>
    <row r="146">
      <c r="A146" s="490">
        <v>46111</v>
      </c>
      <c r="B146" s="470" t="s">
        <v>447</v>
      </c>
      <c r="C146" s="485" t="s">
        <v>452</v>
      </c>
      <c r="D146" s="484">
        <v>5</v>
      </c>
      <c r="E146" s="484">
        <v>55</v>
      </c>
      <c r="F146" s="484">
        <v>40</v>
      </c>
      <c r="G146" s="484">
        <v>31</v>
      </c>
      <c r="H146" s="484">
        <v>28</v>
      </c>
      <c r="I146" s="484">
        <v>5</v>
      </c>
      <c r="J146" s="491">
        <v>31137.600000000006</v>
      </c>
      <c r="K146" s="473">
        <v>18661.19</v>
      </c>
      <c r="L146" s="474">
        <f t="shared" si="1"/>
      </c>
      <c r="M146" s="474">
        <f t="shared" si="0"/>
      </c>
      <c r="N146" s="474">
        <f>K146/H146</f>
      </c>
      <c r="O146" s="488" t="s">
        <v>459</v>
      </c>
      <c r="P146" s="484">
        <v>10</v>
      </c>
      <c r="Q146" s="492"/>
    </row>
    <row r="147">
      <c r="A147" s="494">
        <v>46111</v>
      </c>
      <c r="B147" s="480"/>
      <c r="C147" s="480"/>
      <c r="D147" s="480">
        <f>SUM(D143:D146)</f>
      </c>
      <c r="E147" s="480">
        <f>SUM(E143:E146)</f>
      </c>
      <c r="F147" s="480">
        <f>SUM(F143:F146)</f>
      </c>
      <c r="G147" s="480">
        <f>SUM(G143:G146)</f>
      </c>
      <c r="H147" s="480">
        <f>SUM(H143:H146)</f>
      </c>
      <c r="I147" s="480">
        <f>SUM(I143:I146)</f>
      </c>
      <c r="J147" s="480">
        <f>SUM(J143:J146)</f>
      </c>
      <c r="K147" s="480">
        <f>SUM(K143:K146)</f>
      </c>
      <c r="L147" s="481">
        <f t="shared" si="1"/>
      </c>
      <c r="M147" s="481">
        <f t="shared" si="0"/>
      </c>
      <c r="N147" s="481">
        <f t="shared" ref="N147:N150" si="28">K147/F147</f>
      </c>
      <c r="O147" s="482"/>
      <c r="P147" s="480">
        <f>P143+P144+P145+P146</f>
      </c>
      <c r="Q147" s="482"/>
    </row>
    <row r="148">
      <c r="A148" s="469">
        <v>46112</v>
      </c>
      <c r="B148" s="470" t="s">
        <v>451</v>
      </c>
      <c r="C148" s="485" t="s">
        <v>445</v>
      </c>
      <c r="D148" s="495">
        <v>4.5</v>
      </c>
      <c r="E148" s="486">
        <v>102</v>
      </c>
      <c r="F148" s="470">
        <v>84</v>
      </c>
      <c r="G148" s="470">
        <v>66</v>
      </c>
      <c r="H148" s="470">
        <v>58</v>
      </c>
      <c r="I148" s="470">
        <v>6</v>
      </c>
      <c r="J148" s="473">
        <v>73139.2</v>
      </c>
      <c r="K148" s="470">
        <v>43308.909999999996</v>
      </c>
      <c r="L148" s="474">
        <f t="shared" si="1"/>
      </c>
      <c r="M148" s="474">
        <f t="shared" si="0"/>
      </c>
      <c r="N148" s="474">
        <f t="shared" si="28"/>
      </c>
      <c r="O148" s="475" t="s">
        <v>464</v>
      </c>
      <c r="P148" s="484">
        <v>10</v>
      </c>
      <c r="Q148" s="489"/>
    </row>
    <row r="149">
      <c r="A149" s="469">
        <v>46112</v>
      </c>
      <c r="B149" s="470" t="s">
        <v>444</v>
      </c>
      <c r="C149" s="485" t="s">
        <v>448</v>
      </c>
      <c r="D149" s="484">
        <v>5</v>
      </c>
      <c r="E149" s="484">
        <v>96</v>
      </c>
      <c r="F149" s="484">
        <v>74</v>
      </c>
      <c r="G149" s="484">
        <v>54</v>
      </c>
      <c r="H149" s="484">
        <v>51</v>
      </c>
      <c r="I149" s="470">
        <v>9</v>
      </c>
      <c r="J149" s="491">
        <v>58333.80000000002</v>
      </c>
      <c r="K149" s="491">
        <v>41400.15</v>
      </c>
      <c r="L149" s="474">
        <f t="shared" si="1"/>
      </c>
      <c r="M149" s="474">
        <f t="shared" si="0"/>
      </c>
      <c r="N149" s="474">
        <f t="shared" si="28"/>
      </c>
      <c r="O149" s="492"/>
      <c r="P149" s="492"/>
      <c r="Q149" s="493"/>
    </row>
    <row r="150">
      <c r="A150" s="469">
        <v>46112</v>
      </c>
      <c r="B150" s="470" t="s">
        <v>465</v>
      </c>
      <c r="C150" s="471" t="s">
        <v>466</v>
      </c>
      <c r="D150" s="470">
        <v>4</v>
      </c>
      <c r="E150" s="484">
        <v>37</v>
      </c>
      <c r="F150" s="484">
        <v>29</v>
      </c>
      <c r="G150" s="484">
        <v>23</v>
      </c>
      <c r="H150" s="484">
        <v>16</v>
      </c>
      <c r="I150" s="484">
        <v>2</v>
      </c>
      <c r="J150" s="491">
        <v>28625.199999999997</v>
      </c>
      <c r="K150" s="491">
        <v>20637.51</v>
      </c>
      <c r="L150" s="474">
        <f t="shared" si="1"/>
      </c>
      <c r="M150" s="474">
        <f t="shared" si="0"/>
      </c>
      <c r="N150" s="474">
        <f t="shared" si="28"/>
      </c>
      <c r="O150" s="488"/>
      <c r="P150" s="484"/>
      <c r="Q150" s="493"/>
    </row>
    <row r="151">
      <c r="A151" s="469">
        <v>46112</v>
      </c>
      <c r="B151" s="470" t="s">
        <v>454</v>
      </c>
      <c r="C151" s="471" t="s">
        <v>467</v>
      </c>
      <c r="D151" s="495">
        <v>4.5</v>
      </c>
      <c r="E151" s="484">
        <v>110</v>
      </c>
      <c r="F151" s="484">
        <v>88</v>
      </c>
      <c r="G151" s="484">
        <v>39</v>
      </c>
      <c r="H151" s="484">
        <v>64</v>
      </c>
      <c r="I151" s="484">
        <v>11</v>
      </c>
      <c r="J151" s="491">
        <v>72772.59999999999</v>
      </c>
      <c r="K151" s="473">
        <v>29388.11</v>
      </c>
      <c r="L151" s="474">
        <f t="shared" si="1"/>
      </c>
      <c r="M151" s="474">
        <f t="shared" si="0"/>
      </c>
      <c r="N151" s="474">
        <f>K151/H151</f>
      </c>
      <c r="O151" s="475" t="s">
        <v>462</v>
      </c>
      <c r="P151" s="470">
        <v>9</v>
      </c>
      <c r="Q151" s="492"/>
    </row>
    <row r="152">
      <c r="A152" s="479">
        <v>46112</v>
      </c>
      <c r="B152" s="480"/>
      <c r="C152" s="480"/>
      <c r="D152" s="480">
        <f>SUM(D148:D151)</f>
      </c>
      <c r="E152" s="480">
        <f>SUM(E148:E151)</f>
      </c>
      <c r="F152" s="480">
        <f>SUM(F148:F151)</f>
      </c>
      <c r="G152" s="480">
        <f>SUM(G148:G151)</f>
      </c>
      <c r="H152" s="480">
        <f>SUM(H148:H151)</f>
      </c>
      <c r="I152" s="480">
        <f>SUM(I148:I151)</f>
      </c>
      <c r="J152" s="480">
        <f>SUM(J148:J151)</f>
      </c>
      <c r="K152" s="480">
        <f>SUM(K148:K151)</f>
      </c>
      <c r="L152" s="481">
        <f t="shared" si="1"/>
      </c>
      <c r="M152" s="481">
        <f t="shared" si="0"/>
      </c>
      <c r="N152" s="481">
        <f>K152/F152</f>
      </c>
      <c r="O152" s="482"/>
      <c r="P152" s="480">
        <f>P148+P149+P150+P151</f>
      </c>
      <c r="Q152" s="482"/>
    </row>
    <row r="153">
      <c r="H153" s="496"/>
    </row>
    <row r="154"/>
    <row r="155"/>
    <row r="156">
      <c r="J156" s="497"/>
    </row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>
      <c r="J171" s="498"/>
      <c r="K171" s="498"/>
      <c r="L171" s="474"/>
    </row>
    <row r="172"/>
    <row r="173"/>
    <row r="174">
      <c r="D174" s="496"/>
      <c r="H174" s="496"/>
    </row>
    <row r="175">
      <c r="H175" s="496"/>
      <c r="I175" s="496"/>
    </row>
    <row r="176">
      <c r="H176" s="496"/>
    </row>
    <row r="177">
      <c r="H177" s="496"/>
    </row>
    <row r="178">
      <c r="H178" s="496"/>
      <c r="I178" s="499"/>
    </row>
  </sheetData>
  <autoFilter ref="A1:Q170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RowHeight="16"/>
  <cols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0" min="10" style="0" width="11.211267605633802"/>
  </cols>
  <sheetData>
    <row r="1">
      <c r="A1" s="500" t="s">
        <v>468</v>
      </c>
      <c r="B1" s="501" t="s">
        <v>469</v>
      </c>
      <c r="C1" s="501" t="s">
        <v>470</v>
      </c>
      <c r="D1" s="501" t="s">
        <v>471</v>
      </c>
      <c r="E1" s="501" t="s">
        <v>472</v>
      </c>
      <c r="F1" s="501" t="s">
        <v>473</v>
      </c>
      <c r="G1" s="502" t="s">
        <v>474</v>
      </c>
      <c r="H1" s="503" t="s">
        <v>475</v>
      </c>
      <c r="I1" s="501" t="s">
        <v>476</v>
      </c>
      <c r="J1" s="501" t="s">
        <v>477</v>
      </c>
      <c r="K1" s="501" t="s">
        <v>478</v>
      </c>
      <c r="L1" s="504" t="s">
        <v>479</v>
      </c>
      <c r="M1" s="504" t="s">
        <v>480</v>
      </c>
      <c r="N1" s="504" t="s">
        <v>481</v>
      </c>
      <c r="O1" s="505" t="s">
        <v>482</v>
      </c>
      <c r="P1" s="505" t="s">
        <v>483</v>
      </c>
      <c r="Q1" s="505" t="s">
        <v>484</v>
      </c>
    </row>
    <row hidden="true" r="2">
      <c r="A2" s="506">
        <v>46054</v>
      </c>
      <c r="B2" s="507" t="s">
        <v>485</v>
      </c>
      <c r="C2" s="508" t="s">
        <v>486</v>
      </c>
      <c r="D2" s="507">
        <v>5</v>
      </c>
      <c r="E2" s="509">
        <v>68</v>
      </c>
      <c r="F2" s="507">
        <v>55</v>
      </c>
      <c r="G2" s="507">
        <v>32</v>
      </c>
      <c r="H2" s="507">
        <v>32</v>
      </c>
      <c r="I2" s="507">
        <v>10</v>
      </c>
      <c r="J2" s="510">
        <v>62495.6</v>
      </c>
      <c r="K2" s="507">
        <v>25837.92</v>
      </c>
      <c r="L2" s="511">
        <f t="shared" ref="L2:L72" si="0">J2/K2</f>
      </c>
      <c r="M2" s="511">
        <f t="shared" ref="M2:M68" si="2">J2/F2</f>
      </c>
      <c r="N2" s="511">
        <f t="shared" ref="N2:N68" si="5">K2/F2</f>
      </c>
      <c r="O2" s="512" t="s">
        <v>487</v>
      </c>
      <c r="P2" s="507">
        <v>10</v>
      </c>
      <c r="Q2" s="513"/>
    </row>
    <row hidden="true" r="3">
      <c r="A3" s="506">
        <v>46054</v>
      </c>
      <c r="B3" s="507" t="s">
        <v>488</v>
      </c>
      <c r="C3" s="508" t="s">
        <v>489</v>
      </c>
      <c r="D3" s="507">
        <v>5</v>
      </c>
      <c r="E3" s="507">
        <v>46</v>
      </c>
      <c r="F3" s="507">
        <v>36</v>
      </c>
      <c r="G3" s="507">
        <v>31</v>
      </c>
      <c r="H3" s="507">
        <v>25</v>
      </c>
      <c r="I3" s="507">
        <v>0</v>
      </c>
      <c r="J3" s="510">
        <v>28417.800000000003</v>
      </c>
      <c r="K3" s="510">
        <v>24672.93</v>
      </c>
      <c r="L3" s="511">
        <f t="shared" si="0"/>
      </c>
      <c r="M3" s="511">
        <f t="shared" si="2"/>
      </c>
      <c r="N3" s="511">
        <f t="shared" si="5"/>
      </c>
      <c r="O3" s="514"/>
      <c r="P3" s="514"/>
      <c r="Q3" s="515"/>
    </row>
    <row hidden="true" r="4">
      <c r="A4" s="506">
        <v>46054</v>
      </c>
      <c r="B4" s="507" t="s">
        <v>490</v>
      </c>
      <c r="C4" s="508" t="s">
        <v>491</v>
      </c>
      <c r="D4" s="507">
        <v>5</v>
      </c>
      <c r="E4" s="507">
        <v>75</v>
      </c>
      <c r="F4" s="507">
        <v>65</v>
      </c>
      <c r="G4" s="507">
        <v>46</v>
      </c>
      <c r="H4" s="507">
        <v>49</v>
      </c>
      <c r="I4" s="507">
        <v>5</v>
      </c>
      <c r="J4" s="510">
        <v>59676.60000000001</v>
      </c>
      <c r="K4" s="510">
        <v>27283.09</v>
      </c>
      <c r="L4" s="511">
        <f t="shared" si="0"/>
      </c>
      <c r="M4" s="511">
        <f t="shared" si="2"/>
      </c>
      <c r="N4" s="511">
        <f t="shared" si="5"/>
      </c>
      <c r="O4" s="512"/>
      <c r="P4" s="507"/>
      <c r="Q4" s="515"/>
    </row>
    <row r="5">
      <c r="A5" s="506">
        <v>46054</v>
      </c>
      <c r="B5" s="507" t="s">
        <v>492</v>
      </c>
      <c r="C5" s="508" t="s">
        <v>493</v>
      </c>
      <c r="D5" s="507">
        <v>5</v>
      </c>
      <c r="E5" s="507">
        <v>84</v>
      </c>
      <c r="F5" s="507">
        <v>61</v>
      </c>
      <c r="G5" s="507">
        <v>43</v>
      </c>
      <c r="H5" s="507">
        <v>33</v>
      </c>
      <c r="I5" s="507">
        <v>9</v>
      </c>
      <c r="J5" s="510">
        <v>65322.399999999994</v>
      </c>
      <c r="K5" s="510">
        <v>32903.45</v>
      </c>
      <c r="L5" s="511">
        <f t="shared" si="0"/>
      </c>
      <c r="M5" s="511">
        <f t="shared" si="2"/>
      </c>
      <c r="N5" s="511">
        <f t="shared" si="5"/>
      </c>
      <c r="O5" s="512" t="s">
        <v>494</v>
      </c>
      <c r="P5" s="507">
        <v>10</v>
      </c>
      <c r="Q5" s="514"/>
    </row>
    <row hidden="true" r="6">
      <c r="A6" s="516">
        <v>46054</v>
      </c>
      <c r="B6" s="517"/>
      <c r="C6" s="517"/>
      <c r="D6" s="517">
        <f>SUM(D2:D5)</f>
      </c>
      <c r="E6" s="517">
        <f>SUM(E2:E5)</f>
      </c>
      <c r="F6" s="517">
        <f>SUM(F2:F5)</f>
      </c>
      <c r="G6" s="517">
        <f>SUM(G2:G5)</f>
      </c>
      <c r="H6" s="517">
        <f>SUM(H2:H5)</f>
      </c>
      <c r="I6" s="517">
        <f>SUM(I2:I5)</f>
      </c>
      <c r="J6" s="517">
        <f>SUM(J2:J5)</f>
      </c>
      <c r="K6" s="517">
        <f>SUM(K2:K5)</f>
      </c>
      <c r="L6" s="518">
        <f t="shared" si="0"/>
      </c>
      <c r="M6" s="518">
        <f t="shared" si="2"/>
      </c>
      <c r="N6" s="518">
        <f t="shared" si="5"/>
      </c>
      <c r="O6" s="519"/>
      <c r="P6" s="517">
        <f>P2+P3+P4+P5</f>
      </c>
      <c r="Q6" s="519"/>
    </row>
    <row hidden="true" r="7">
      <c r="A7" s="506">
        <v>46055</v>
      </c>
      <c r="B7" s="507" t="s">
        <v>485</v>
      </c>
      <c r="C7" s="508" t="s">
        <v>486</v>
      </c>
      <c r="D7" s="507">
        <v>5</v>
      </c>
      <c r="E7" s="509">
        <v>43</v>
      </c>
      <c r="F7" s="507">
        <v>32</v>
      </c>
      <c r="G7" s="507">
        <v>24</v>
      </c>
      <c r="H7" s="507">
        <v>21</v>
      </c>
      <c r="I7" s="507">
        <v>3</v>
      </c>
      <c r="J7" s="510">
        <v>25676.599999999995</v>
      </c>
      <c r="K7" s="507">
        <v>22752.32</v>
      </c>
      <c r="L7" s="511">
        <f t="shared" si="0"/>
      </c>
      <c r="M7" s="511">
        <f t="shared" si="2"/>
      </c>
      <c r="N7" s="511">
        <f t="shared" si="5"/>
      </c>
      <c r="O7" s="512" t="s">
        <v>487</v>
      </c>
      <c r="P7" s="507">
        <v>10</v>
      </c>
      <c r="Q7" s="513"/>
    </row>
    <row hidden="true" r="8">
      <c r="A8" s="506">
        <v>46055</v>
      </c>
      <c r="B8" s="520" t="s">
        <v>490</v>
      </c>
      <c r="C8" s="508" t="s">
        <v>489</v>
      </c>
      <c r="D8" s="507">
        <v>5</v>
      </c>
      <c r="E8" s="507">
        <v>49</v>
      </c>
      <c r="F8" s="507">
        <v>38</v>
      </c>
      <c r="G8" s="507">
        <v>27</v>
      </c>
      <c r="H8" s="507">
        <v>18</v>
      </c>
      <c r="I8" s="507">
        <v>4</v>
      </c>
      <c r="J8" s="510">
        <v>44229.8</v>
      </c>
      <c r="K8" s="510">
        <v>17852.67</v>
      </c>
      <c r="L8" s="511">
        <f t="shared" si="0"/>
      </c>
      <c r="M8" s="511">
        <f t="shared" si="2"/>
      </c>
      <c r="N8" s="511">
        <f t="shared" si="5"/>
      </c>
      <c r="O8" s="514"/>
      <c r="P8" s="514"/>
      <c r="Q8" s="515"/>
    </row>
    <row hidden="true" r="9">
      <c r="A9" s="506">
        <v>46055</v>
      </c>
      <c r="B9" s="507" t="s">
        <v>495</v>
      </c>
      <c r="C9" s="508" t="s">
        <v>491</v>
      </c>
      <c r="D9" s="507">
        <v>5</v>
      </c>
      <c r="E9" s="507">
        <v>42</v>
      </c>
      <c r="F9" s="507">
        <v>35</v>
      </c>
      <c r="G9" s="507">
        <v>21</v>
      </c>
      <c r="H9" s="507">
        <v>23</v>
      </c>
      <c r="I9" s="507">
        <v>3</v>
      </c>
      <c r="J9" s="510">
        <v>34052.8</v>
      </c>
      <c r="K9" s="510">
        <v>17787.78</v>
      </c>
      <c r="L9" s="511">
        <f t="shared" si="0"/>
      </c>
      <c r="M9" s="511">
        <f t="shared" si="2"/>
      </c>
      <c r="N9" s="511">
        <f t="shared" si="5"/>
      </c>
      <c r="O9" s="512"/>
      <c r="P9" s="507"/>
      <c r="Q9" s="515"/>
    </row>
    <row r="10">
      <c r="A10" s="506">
        <v>46055</v>
      </c>
      <c r="B10" s="507" t="s">
        <v>492</v>
      </c>
      <c r="C10" s="508" t="s">
        <v>493</v>
      </c>
      <c r="D10" s="507">
        <v>5</v>
      </c>
      <c r="E10" s="507">
        <v>55</v>
      </c>
      <c r="F10" s="507">
        <v>40</v>
      </c>
      <c r="G10" s="507">
        <v>32</v>
      </c>
      <c r="H10" s="507">
        <v>29</v>
      </c>
      <c r="I10" s="507">
        <v>4</v>
      </c>
      <c r="J10" s="510">
        <v>39225.799999999996</v>
      </c>
      <c r="K10" s="510">
        <v>22717.03</v>
      </c>
      <c r="L10" s="511">
        <f t="shared" si="0"/>
      </c>
      <c r="M10" s="511">
        <f t="shared" si="2"/>
      </c>
      <c r="N10" s="511">
        <f t="shared" si="5"/>
      </c>
      <c r="O10" s="512" t="s">
        <v>494</v>
      </c>
      <c r="P10" s="507">
        <v>10</v>
      </c>
      <c r="Q10" s="514"/>
    </row>
    <row hidden="true" r="11">
      <c r="A11" s="516">
        <v>46055</v>
      </c>
      <c r="B11" s="517"/>
      <c r="C11" s="517"/>
      <c r="D11" s="517">
        <f>SUM(D7:D10)</f>
      </c>
      <c r="E11" s="517">
        <f>SUM(E7:E10)</f>
      </c>
      <c r="F11" s="517">
        <f>SUM(F7:F10)</f>
      </c>
      <c r="G11" s="517">
        <f>SUM(G7:G10)</f>
      </c>
      <c r="H11" s="517">
        <f>SUM(H7:H10)</f>
      </c>
      <c r="I11" s="517">
        <f>SUM(I7:I10)</f>
      </c>
      <c r="J11" s="517">
        <f>SUM(J7:J10)</f>
      </c>
      <c r="K11" s="517">
        <f>SUM(K7:K10)</f>
      </c>
      <c r="L11" s="518">
        <f t="shared" si="0"/>
      </c>
      <c r="M11" s="518">
        <f t="shared" si="2"/>
      </c>
      <c r="N11" s="518">
        <f t="shared" si="5"/>
      </c>
      <c r="O11" s="519"/>
      <c r="P11" s="517">
        <f>P7+P8+P9+P10</f>
      </c>
      <c r="Q11" s="519"/>
    </row>
    <row hidden="true" r="12">
      <c r="A12" s="506">
        <v>46056</v>
      </c>
      <c r="B12" s="507" t="s">
        <v>485</v>
      </c>
      <c r="C12" s="508" t="s">
        <v>486</v>
      </c>
      <c r="D12" s="507">
        <v>5</v>
      </c>
      <c r="E12" s="509">
        <v>88</v>
      </c>
      <c r="F12" s="507">
        <v>71</v>
      </c>
      <c r="G12" s="507">
        <v>51</v>
      </c>
      <c r="H12" s="507">
        <v>42</v>
      </c>
      <c r="I12" s="507">
        <v>8</v>
      </c>
      <c r="J12" s="510">
        <v>70698.9</v>
      </c>
      <c r="K12" s="507">
        <v>32651.71</v>
      </c>
      <c r="L12" s="511">
        <f t="shared" si="0"/>
      </c>
      <c r="M12" s="511">
        <f t="shared" si="2"/>
      </c>
      <c r="N12" s="511">
        <f t="shared" si="5"/>
      </c>
      <c r="O12" s="512" t="s">
        <v>487</v>
      </c>
      <c r="P12" s="507">
        <v>10</v>
      </c>
      <c r="Q12" s="513"/>
    </row>
    <row r="13">
      <c r="A13" s="506">
        <v>46056</v>
      </c>
      <c r="B13" s="507" t="s">
        <v>492</v>
      </c>
      <c r="C13" s="508" t="s">
        <v>489</v>
      </c>
      <c r="D13" s="507">
        <v>5</v>
      </c>
      <c r="E13" s="507">
        <v>81</v>
      </c>
      <c r="F13" s="507">
        <v>63</v>
      </c>
      <c r="G13" s="507">
        <v>46</v>
      </c>
      <c r="H13" s="507">
        <v>37</v>
      </c>
      <c r="I13" s="507">
        <v>9</v>
      </c>
      <c r="J13" s="510">
        <v>57413.80000000001</v>
      </c>
      <c r="K13" s="510">
        <v>33028.64</v>
      </c>
      <c r="L13" s="511">
        <f t="shared" si="0"/>
      </c>
      <c r="M13" s="511">
        <f t="shared" si="2"/>
      </c>
      <c r="N13" s="511">
        <f t="shared" si="5"/>
      </c>
      <c r="O13" s="514"/>
      <c r="P13" s="514"/>
      <c r="Q13" s="515"/>
    </row>
    <row hidden="true" r="14">
      <c r="A14" s="506">
        <v>46056</v>
      </c>
      <c r="B14" s="507" t="s">
        <v>495</v>
      </c>
      <c r="C14" s="508" t="s">
        <v>491</v>
      </c>
      <c r="D14" s="507">
        <v>5</v>
      </c>
      <c r="E14" s="507">
        <v>60</v>
      </c>
      <c r="F14" s="507">
        <v>43</v>
      </c>
      <c r="G14" s="507">
        <v>36</v>
      </c>
      <c r="H14" s="507">
        <v>29</v>
      </c>
      <c r="I14" s="507">
        <v>3</v>
      </c>
      <c r="J14" s="510">
        <v>36434.79999999999</v>
      </c>
      <c r="K14" s="510">
        <v>26066.71</v>
      </c>
      <c r="L14" s="511">
        <f t="shared" si="0"/>
      </c>
      <c r="M14" s="511">
        <f t="shared" si="2"/>
      </c>
      <c r="N14" s="511">
        <f t="shared" si="5"/>
      </c>
      <c r="O14" s="512"/>
      <c r="P14" s="507"/>
      <c r="Q14" s="515"/>
    </row>
    <row hidden="true" r="15">
      <c r="A15" s="506">
        <v>46056</v>
      </c>
      <c r="B15" s="507" t="s">
        <v>490</v>
      </c>
      <c r="C15" s="508" t="s">
        <v>493</v>
      </c>
      <c r="D15" s="507">
        <v>5</v>
      </c>
      <c r="E15" s="507">
        <v>95</v>
      </c>
      <c r="F15" s="507">
        <v>70</v>
      </c>
      <c r="G15" s="507">
        <v>53</v>
      </c>
      <c r="H15" s="507">
        <v>50</v>
      </c>
      <c r="I15" s="507">
        <v>8</v>
      </c>
      <c r="J15" s="510">
        <v>59600.000000000015</v>
      </c>
      <c r="K15" s="510">
        <v>31720.089999999997</v>
      </c>
      <c r="L15" s="511">
        <f t="shared" si="0"/>
      </c>
      <c r="M15" s="511">
        <f t="shared" si="2"/>
      </c>
      <c r="N15" s="511">
        <f t="shared" si="5"/>
      </c>
      <c r="O15" s="512" t="s">
        <v>494</v>
      </c>
      <c r="P15" s="507">
        <v>10</v>
      </c>
      <c r="Q15" s="514"/>
    </row>
    <row hidden="true" r="16">
      <c r="A16" s="516">
        <v>46056</v>
      </c>
      <c r="B16" s="517"/>
      <c r="C16" s="517"/>
      <c r="D16" s="517">
        <f>SUM(D12:D15)</f>
      </c>
      <c r="E16" s="517">
        <f>SUM(E12:E15)</f>
      </c>
      <c r="F16" s="517">
        <f>SUM(F12:F15)</f>
      </c>
      <c r="G16" s="517">
        <f>SUM(G12:G15)</f>
      </c>
      <c r="H16" s="517">
        <f>SUM(H12:H15)</f>
      </c>
      <c r="I16" s="517">
        <f>SUM(I12:I15)</f>
      </c>
      <c r="J16" s="517">
        <f>SUM(J12:J15)</f>
      </c>
      <c r="K16" s="517">
        <f>SUM(K12:K15)</f>
      </c>
      <c r="L16" s="518">
        <f t="shared" si="0"/>
      </c>
      <c r="M16" s="518">
        <f t="shared" si="2"/>
      </c>
      <c r="N16" s="518">
        <f t="shared" si="5"/>
      </c>
      <c r="O16" s="519"/>
      <c r="P16" s="517">
        <f>P12+P13+P14+P15</f>
      </c>
      <c r="Q16" s="519"/>
    </row>
    <row r="17">
      <c r="A17" s="506">
        <v>46057</v>
      </c>
      <c r="B17" s="507" t="s">
        <v>492</v>
      </c>
      <c r="C17" s="508" t="s">
        <v>486</v>
      </c>
      <c r="D17" s="507">
        <v>5</v>
      </c>
      <c r="E17" s="509">
        <v>63</v>
      </c>
      <c r="F17" s="507">
        <v>47</v>
      </c>
      <c r="G17" s="507">
        <v>39</v>
      </c>
      <c r="H17" s="507">
        <v>29</v>
      </c>
      <c r="I17" s="507">
        <v>4</v>
      </c>
      <c r="J17" s="510">
        <v>58296.00000000001</v>
      </c>
      <c r="K17" s="507">
        <v>29159.449999999997</v>
      </c>
      <c r="L17" s="511">
        <f t="shared" si="0"/>
      </c>
      <c r="M17" s="511">
        <f t="shared" si="2"/>
      </c>
      <c r="N17" s="511">
        <f t="shared" si="5"/>
      </c>
      <c r="O17" s="512" t="s">
        <v>487</v>
      </c>
      <c r="P17" s="507">
        <v>10</v>
      </c>
      <c r="Q17" s="513"/>
    </row>
    <row hidden="true" r="18">
      <c r="A18" s="506">
        <v>46057</v>
      </c>
      <c r="B18" s="507" t="s">
        <v>485</v>
      </c>
      <c r="C18" s="508" t="s">
        <v>489</v>
      </c>
      <c r="D18" s="507">
        <v>5</v>
      </c>
      <c r="E18" s="507">
        <v>47</v>
      </c>
      <c r="F18" s="507">
        <v>29</v>
      </c>
      <c r="G18" s="507">
        <v>20</v>
      </c>
      <c r="H18" s="507">
        <v>13</v>
      </c>
      <c r="I18" s="507">
        <v>3</v>
      </c>
      <c r="J18" s="510">
        <v>29794</v>
      </c>
      <c r="K18" s="510">
        <v>19035.1</v>
      </c>
      <c r="L18" s="511">
        <f t="shared" si="0"/>
      </c>
      <c r="M18" s="511">
        <f t="shared" si="2"/>
      </c>
      <c r="N18" s="511">
        <f t="shared" si="5"/>
      </c>
      <c r="O18" s="514"/>
      <c r="P18" s="514"/>
      <c r="Q18" s="515"/>
    </row>
    <row hidden="true" r="19">
      <c r="A19" s="506">
        <v>46057</v>
      </c>
      <c r="B19" s="507" t="s">
        <v>488</v>
      </c>
      <c r="C19" s="508" t="s">
        <v>491</v>
      </c>
      <c r="D19" s="507">
        <v>5</v>
      </c>
      <c r="E19" s="507">
        <v>32</v>
      </c>
      <c r="F19" s="507">
        <v>20</v>
      </c>
      <c r="G19" s="507">
        <v>13</v>
      </c>
      <c r="H19" s="507">
        <v>9</v>
      </c>
      <c r="I19" s="507">
        <v>3</v>
      </c>
      <c r="J19" s="510">
        <v>20646.000000000007</v>
      </c>
      <c r="K19" s="510">
        <v>11324.729999999998</v>
      </c>
      <c r="L19" s="511">
        <f t="shared" si="0"/>
      </c>
      <c r="M19" s="511">
        <f t="shared" si="2"/>
      </c>
      <c r="N19" s="511">
        <f t="shared" si="5"/>
      </c>
      <c r="O19" s="512"/>
      <c r="P19" s="507"/>
      <c r="Q19" s="515"/>
    </row>
    <row hidden="true" r="20">
      <c r="A20" s="506">
        <v>46057</v>
      </c>
      <c r="B20" s="507" t="s">
        <v>495</v>
      </c>
      <c r="C20" s="508" t="s">
        <v>493</v>
      </c>
      <c r="D20" s="507">
        <v>5</v>
      </c>
      <c r="E20" s="507">
        <v>52</v>
      </c>
      <c r="F20" s="507">
        <v>38</v>
      </c>
      <c r="G20" s="507">
        <v>31</v>
      </c>
      <c r="H20" s="507">
        <v>18</v>
      </c>
      <c r="I20" s="507">
        <v>3</v>
      </c>
      <c r="J20" s="510">
        <v>38446.19999999999</v>
      </c>
      <c r="K20" s="510">
        <v>22278.809999999998</v>
      </c>
      <c r="L20" s="511">
        <f t="shared" si="0"/>
      </c>
      <c r="M20" s="511">
        <f t="shared" si="2"/>
      </c>
      <c r="N20" s="511">
        <f t="shared" si="5"/>
      </c>
      <c r="O20" s="512" t="s">
        <v>494</v>
      </c>
      <c r="P20" s="507">
        <v>10</v>
      </c>
      <c r="Q20" s="514"/>
    </row>
    <row hidden="true" r="21">
      <c r="A21" s="516">
        <v>46057</v>
      </c>
      <c r="B21" s="517"/>
      <c r="C21" s="517"/>
      <c r="D21" s="517">
        <f>SUM(D17:D20)</f>
      </c>
      <c r="E21" s="517">
        <f>SUM(E17:E20)</f>
      </c>
      <c r="F21" s="517">
        <f>SUM(F17:F20)</f>
      </c>
      <c r="G21" s="517">
        <f>SUM(G17:G20)</f>
      </c>
      <c r="H21" s="517">
        <f>SUM(H17:H20)</f>
      </c>
      <c r="I21" s="517">
        <f>SUM(I17:I20)</f>
      </c>
      <c r="J21" s="517">
        <f>SUM(J17:J20)</f>
      </c>
      <c r="K21" s="517">
        <f>SUM(K17:K20)</f>
      </c>
      <c r="L21" s="518">
        <f t="shared" si="0"/>
      </c>
      <c r="M21" s="518">
        <f t="shared" si="2"/>
      </c>
      <c r="N21" s="518">
        <f t="shared" si="5"/>
      </c>
      <c r="O21" s="519"/>
      <c r="P21" s="517">
        <f>P17+P18+P19+P20</f>
      </c>
      <c r="Q21" s="519"/>
    </row>
    <row hidden="true" r="22">
      <c r="A22" s="506">
        <v>46058</v>
      </c>
      <c r="B22" s="507" t="s">
        <v>485</v>
      </c>
      <c r="C22" s="508" t="s">
        <v>486</v>
      </c>
      <c r="D22" s="507">
        <v>5</v>
      </c>
      <c r="E22" s="509">
        <v>45</v>
      </c>
      <c r="F22" s="507">
        <v>34</v>
      </c>
      <c r="G22" s="507">
        <v>30</v>
      </c>
      <c r="H22" s="507">
        <v>25</v>
      </c>
      <c r="I22" s="507">
        <v>2</v>
      </c>
      <c r="J22" s="510">
        <v>30029.199999999997</v>
      </c>
      <c r="K22" s="507">
        <v>26198.409999999996</v>
      </c>
      <c r="L22" s="511">
        <f t="shared" si="0"/>
      </c>
      <c r="M22" s="511">
        <f t="shared" si="2"/>
      </c>
      <c r="N22" s="511">
        <f t="shared" si="5"/>
      </c>
      <c r="O22" s="512" t="s">
        <v>487</v>
      </c>
      <c r="P22" s="507">
        <v>10</v>
      </c>
      <c r="Q22" s="513"/>
    </row>
    <row hidden="true" r="23">
      <c r="A23" s="506">
        <v>46058</v>
      </c>
      <c r="B23" s="507" t="s">
        <v>490</v>
      </c>
      <c r="C23" s="508" t="s">
        <v>489</v>
      </c>
      <c r="D23" s="507">
        <v>5</v>
      </c>
      <c r="E23" s="507">
        <v>38</v>
      </c>
      <c r="F23" s="507">
        <v>30</v>
      </c>
      <c r="G23" s="507">
        <v>23</v>
      </c>
      <c r="H23" s="507">
        <v>17</v>
      </c>
      <c r="I23" s="507">
        <v>3</v>
      </c>
      <c r="J23" s="510">
        <v>29394.399999999994</v>
      </c>
      <c r="K23" s="510">
        <v>14908.81</v>
      </c>
      <c r="L23" s="511">
        <f t="shared" si="0"/>
      </c>
      <c r="M23" s="511">
        <f t="shared" si="2"/>
      </c>
      <c r="N23" s="511">
        <f t="shared" si="5"/>
      </c>
      <c r="O23" s="514"/>
      <c r="P23" s="514"/>
      <c r="Q23" s="515"/>
    </row>
    <row hidden="true" r="24">
      <c r="A24" s="506">
        <v>46058</v>
      </c>
      <c r="B24" s="507" t="s">
        <v>495</v>
      </c>
      <c r="C24" s="508" t="s">
        <v>496</v>
      </c>
      <c r="D24" s="507">
        <v>5</v>
      </c>
      <c r="E24" s="507">
        <v>41</v>
      </c>
      <c r="F24" s="507">
        <v>26</v>
      </c>
      <c r="G24" s="507">
        <v>21</v>
      </c>
      <c r="H24" s="507">
        <v>20</v>
      </c>
      <c r="I24" s="507">
        <v>0</v>
      </c>
      <c r="J24" s="510">
        <v>23185.4</v>
      </c>
      <c r="K24" s="510">
        <v>18069.29</v>
      </c>
      <c r="L24" s="511">
        <f t="shared" si="0"/>
      </c>
      <c r="M24" s="511">
        <f t="shared" si="2"/>
      </c>
      <c r="N24" s="511">
        <f t="shared" si="5"/>
      </c>
      <c r="O24" s="512" t="s">
        <v>497</v>
      </c>
      <c r="P24" s="507">
        <v>5</v>
      </c>
      <c r="Q24" s="514"/>
    </row>
    <row hidden="true" r="25">
      <c r="A25" s="516">
        <v>46058</v>
      </c>
      <c r="B25" s="517"/>
      <c r="C25" s="517"/>
      <c r="D25" s="517">
        <f>SUM(D22:D24)</f>
      </c>
      <c r="E25" s="517">
        <f>SUM(E22:E24)</f>
      </c>
      <c r="F25" s="517">
        <f>SUM(F22:F24)</f>
      </c>
      <c r="G25" s="517">
        <f>SUM(G22:G24)</f>
      </c>
      <c r="H25" s="517">
        <f>SUM(H22:H24)</f>
      </c>
      <c r="I25" s="517">
        <f>SUM(I22:I24)</f>
      </c>
      <c r="J25" s="517">
        <f>SUM(J22:J24)</f>
      </c>
      <c r="K25" s="517">
        <f>SUM(K22:K24)</f>
      </c>
      <c r="L25" s="518">
        <f t="shared" si="0"/>
      </c>
      <c r="M25" s="518">
        <f t="shared" si="2"/>
      </c>
      <c r="N25" s="518">
        <f t="shared" si="5"/>
      </c>
      <c r="O25" s="519"/>
      <c r="P25" s="517">
        <f>P22+P23+P24</f>
      </c>
      <c r="Q25" s="519"/>
    </row>
    <row hidden="true" r="26">
      <c r="A26" s="506">
        <v>46059</v>
      </c>
      <c r="B26" s="507" t="s">
        <v>485</v>
      </c>
      <c r="C26" s="508" t="s">
        <v>486</v>
      </c>
      <c r="D26" s="507">
        <v>5</v>
      </c>
      <c r="E26" s="509">
        <v>47</v>
      </c>
      <c r="F26" s="507">
        <v>41</v>
      </c>
      <c r="G26" s="507">
        <v>34</v>
      </c>
      <c r="H26" s="507">
        <v>28</v>
      </c>
      <c r="I26" s="507">
        <v>3</v>
      </c>
      <c r="J26" s="510">
        <v>40993.200000000004</v>
      </c>
      <c r="K26" s="507">
        <v>23663.28</v>
      </c>
      <c r="L26" s="511">
        <f t="shared" si="0"/>
      </c>
      <c r="M26" s="511">
        <f t="shared" si="2"/>
      </c>
      <c r="N26" s="511">
        <f t="shared" si="5"/>
      </c>
      <c r="O26" s="512" t="s">
        <v>487</v>
      </c>
      <c r="P26" s="507">
        <v>10</v>
      </c>
      <c r="Q26" s="513"/>
    </row>
    <row hidden="true" r="27">
      <c r="A27" s="506">
        <v>46059</v>
      </c>
      <c r="B27" s="507" t="s">
        <v>495</v>
      </c>
      <c r="C27" s="508" t="s">
        <v>489</v>
      </c>
      <c r="D27" s="507">
        <v>5</v>
      </c>
      <c r="E27" s="507">
        <v>52</v>
      </c>
      <c r="F27" s="507">
        <v>37</v>
      </c>
      <c r="G27" s="507">
        <v>30</v>
      </c>
      <c r="H27" s="507">
        <v>16</v>
      </c>
      <c r="I27" s="507">
        <v>3</v>
      </c>
      <c r="J27" s="510">
        <v>38827.8</v>
      </c>
      <c r="K27" s="510">
        <v>19412.02</v>
      </c>
      <c r="L27" s="511">
        <f t="shared" si="0"/>
      </c>
      <c r="M27" s="511">
        <f t="shared" si="2"/>
      </c>
      <c r="N27" s="511">
        <f t="shared" si="5"/>
      </c>
      <c r="O27" s="514"/>
      <c r="P27" s="514"/>
      <c r="Q27" s="515"/>
    </row>
    <row hidden="true" r="28">
      <c r="A28" s="506">
        <v>46059</v>
      </c>
      <c r="B28" s="507" t="s">
        <v>490</v>
      </c>
      <c r="C28" s="508" t="s">
        <v>491</v>
      </c>
      <c r="D28" s="507">
        <v>5</v>
      </c>
      <c r="E28" s="507">
        <v>52</v>
      </c>
      <c r="F28" s="507">
        <v>44</v>
      </c>
      <c r="G28" s="507">
        <v>26</v>
      </c>
      <c r="H28" s="507">
        <v>27</v>
      </c>
      <c r="I28" s="507">
        <v>7</v>
      </c>
      <c r="J28" s="510">
        <v>48175.40000000001</v>
      </c>
      <c r="K28" s="510">
        <v>17900.48</v>
      </c>
      <c r="L28" s="511">
        <f t="shared" si="0"/>
      </c>
      <c r="M28" s="511">
        <f t="shared" si="2"/>
      </c>
      <c r="N28" s="511">
        <f t="shared" si="5"/>
      </c>
      <c r="O28" s="512"/>
      <c r="P28" s="507"/>
      <c r="Q28" s="515"/>
    </row>
    <row r="29">
      <c r="A29" s="506">
        <v>46059</v>
      </c>
      <c r="B29" s="507" t="s">
        <v>492</v>
      </c>
      <c r="C29" s="508" t="s">
        <v>493</v>
      </c>
      <c r="D29" s="507">
        <v>5</v>
      </c>
      <c r="E29" s="507">
        <v>95</v>
      </c>
      <c r="F29" s="507">
        <v>74</v>
      </c>
      <c r="G29" s="507">
        <v>65</v>
      </c>
      <c r="H29" s="507">
        <v>34</v>
      </c>
      <c r="I29" s="507">
        <v>11</v>
      </c>
      <c r="J29" s="510">
        <v>65554.60000000003</v>
      </c>
      <c r="K29" s="510">
        <v>32503.32</v>
      </c>
      <c r="L29" s="511">
        <f t="shared" si="0"/>
      </c>
      <c r="M29" s="511">
        <f t="shared" si="2"/>
      </c>
      <c r="N29" s="511">
        <f t="shared" si="5"/>
      </c>
      <c r="O29" s="512" t="s">
        <v>494</v>
      </c>
      <c r="P29" s="507">
        <v>10</v>
      </c>
      <c r="Q29" s="514"/>
    </row>
    <row hidden="true" r="30">
      <c r="A30" s="516">
        <v>46059</v>
      </c>
      <c r="B30" s="517"/>
      <c r="C30" s="517"/>
      <c r="D30" s="517">
        <f>SUM(D26:D29)</f>
      </c>
      <c r="E30" s="517">
        <f>SUM(E26:E29)</f>
      </c>
      <c r="F30" s="517">
        <f>SUM(F26:F29)</f>
      </c>
      <c r="G30" s="517">
        <f>SUM(G26:G29)</f>
      </c>
      <c r="H30" s="517">
        <f>SUM(H26:H29)</f>
      </c>
      <c r="I30" s="517">
        <f>SUM(I26:I29)</f>
      </c>
      <c r="J30" s="517">
        <f>SUM(J26:J29)</f>
      </c>
      <c r="K30" s="517">
        <f>SUM(K26:K29)</f>
      </c>
      <c r="L30" s="518">
        <f t="shared" si="0"/>
      </c>
      <c r="M30" s="518">
        <f t="shared" si="2"/>
      </c>
      <c r="N30" s="518">
        <f t="shared" si="5"/>
      </c>
      <c r="O30" s="519"/>
      <c r="P30" s="517">
        <f>P26+P27+P28+P29</f>
      </c>
      <c r="Q30" s="519"/>
    </row>
    <row hidden="true" r="31">
      <c r="A31" s="506">
        <v>46060</v>
      </c>
      <c r="B31" s="507" t="s">
        <v>485</v>
      </c>
      <c r="C31" s="508" t="s">
        <v>486</v>
      </c>
      <c r="D31" s="507">
        <v>5</v>
      </c>
      <c r="E31" s="509">
        <v>80</v>
      </c>
      <c r="F31" s="507">
        <v>58</v>
      </c>
      <c r="G31" s="507">
        <v>43</v>
      </c>
      <c r="H31" s="507">
        <v>29</v>
      </c>
      <c r="I31" s="507">
        <v>4</v>
      </c>
      <c r="J31" s="510">
        <v>56421.40000000001</v>
      </c>
      <c r="K31" s="507">
        <v>37700.64</v>
      </c>
      <c r="L31" s="511">
        <f t="shared" si="0"/>
      </c>
      <c r="M31" s="511">
        <f t="shared" si="2"/>
      </c>
      <c r="N31" s="511">
        <f t="shared" si="5"/>
      </c>
      <c r="O31" s="512" t="s">
        <v>487</v>
      </c>
      <c r="P31" s="507">
        <v>10</v>
      </c>
      <c r="Q31" s="513"/>
    </row>
    <row hidden="true" r="32">
      <c r="A32" s="506">
        <v>46060</v>
      </c>
      <c r="B32" s="507" t="s">
        <v>495</v>
      </c>
      <c r="C32" s="508" t="s">
        <v>489</v>
      </c>
      <c r="D32" s="507">
        <v>5</v>
      </c>
      <c r="E32" s="507">
        <v>42</v>
      </c>
      <c r="F32" s="507">
        <v>32</v>
      </c>
      <c r="G32" s="507">
        <v>25</v>
      </c>
      <c r="H32" s="507">
        <v>18</v>
      </c>
      <c r="I32" s="507">
        <v>4</v>
      </c>
      <c r="J32" s="510">
        <v>35176.2</v>
      </c>
      <c r="K32" s="510">
        <v>19921.829999999998</v>
      </c>
      <c r="L32" s="511">
        <f t="shared" si="0"/>
      </c>
      <c r="M32" s="511">
        <f t="shared" si="2"/>
      </c>
      <c r="N32" s="511">
        <f t="shared" si="5"/>
      </c>
      <c r="O32" s="514"/>
      <c r="P32" s="514"/>
      <c r="Q32" s="515"/>
    </row>
    <row r="33">
      <c r="A33" s="506">
        <v>46060</v>
      </c>
      <c r="B33" s="507" t="s">
        <v>492</v>
      </c>
      <c r="C33" s="508" t="s">
        <v>491</v>
      </c>
      <c r="D33" s="507">
        <v>5</v>
      </c>
      <c r="E33" s="507">
        <v>60</v>
      </c>
      <c r="F33" s="507">
        <v>46</v>
      </c>
      <c r="G33" s="507">
        <v>36</v>
      </c>
      <c r="H33" s="507">
        <v>29</v>
      </c>
      <c r="I33" s="507">
        <v>2</v>
      </c>
      <c r="J33" s="510">
        <v>44869.90000000001</v>
      </c>
      <c r="K33" s="510">
        <v>19723.589999999997</v>
      </c>
      <c r="L33" s="511">
        <f t="shared" si="0"/>
      </c>
      <c r="M33" s="511">
        <f t="shared" si="2"/>
      </c>
      <c r="N33" s="511">
        <f t="shared" si="5"/>
      </c>
      <c r="O33" s="512"/>
      <c r="P33" s="507"/>
      <c r="Q33" s="515"/>
    </row>
    <row hidden="true" r="34">
      <c r="A34" s="506">
        <v>46060</v>
      </c>
      <c r="B34" s="507" t="s">
        <v>490</v>
      </c>
      <c r="C34" s="508" t="s">
        <v>493</v>
      </c>
      <c r="D34" s="507">
        <v>5</v>
      </c>
      <c r="E34" s="507">
        <v>40</v>
      </c>
      <c r="F34" s="507">
        <v>29</v>
      </c>
      <c r="G34" s="507">
        <v>29</v>
      </c>
      <c r="H34" s="507">
        <v>15</v>
      </c>
      <c r="I34" s="507">
        <v>1</v>
      </c>
      <c r="J34" s="510">
        <v>24694.4</v>
      </c>
      <c r="K34" s="510">
        <v>24885.619999999995</v>
      </c>
      <c r="L34" s="511">
        <f t="shared" si="0"/>
      </c>
      <c r="M34" s="511">
        <f t="shared" si="2"/>
      </c>
      <c r="N34" s="511">
        <f t="shared" si="5"/>
      </c>
      <c r="O34" s="512" t="s">
        <v>494</v>
      </c>
      <c r="P34" s="507">
        <v>10</v>
      </c>
      <c r="Q34" s="514"/>
    </row>
    <row hidden="true" r="35">
      <c r="A35" s="516">
        <v>46060</v>
      </c>
      <c r="B35" s="517"/>
      <c r="C35" s="517"/>
      <c r="D35" s="517">
        <f>SUM(D31:D34)</f>
      </c>
      <c r="E35" s="517">
        <f>SUM(E31:E34)</f>
      </c>
      <c r="F35" s="517">
        <f>SUM(F31:F34)</f>
      </c>
      <c r="G35" s="517">
        <f>SUM(G31:G34)</f>
      </c>
      <c r="H35" s="517">
        <f>SUM(H31:H34)</f>
      </c>
      <c r="I35" s="517">
        <f>SUM(I31:I34)</f>
      </c>
      <c r="J35" s="517">
        <f>SUM(J31:J34)</f>
      </c>
      <c r="K35" s="517">
        <f>SUM(K31:K34)</f>
      </c>
      <c r="L35" s="518">
        <f t="shared" si="0"/>
      </c>
      <c r="M35" s="518">
        <f t="shared" si="2"/>
      </c>
      <c r="N35" s="518">
        <f t="shared" si="5"/>
      </c>
      <c r="O35" s="519"/>
      <c r="P35" s="517">
        <f>P31+P32+P33+P34</f>
      </c>
      <c r="Q35" s="519"/>
    </row>
    <row hidden="true" r="36">
      <c r="A36" s="506">
        <v>46061</v>
      </c>
      <c r="B36" s="507" t="s">
        <v>485</v>
      </c>
      <c r="C36" s="508" t="s">
        <v>486</v>
      </c>
      <c r="D36" s="507">
        <v>5</v>
      </c>
      <c r="E36" s="509">
        <v>105</v>
      </c>
      <c r="F36" s="507">
        <v>86</v>
      </c>
      <c r="G36" s="507">
        <v>73</v>
      </c>
      <c r="H36" s="507">
        <v>52</v>
      </c>
      <c r="I36" s="507">
        <v>6</v>
      </c>
      <c r="J36" s="510">
        <v>83886.20000000004</v>
      </c>
      <c r="K36" s="507">
        <v>48575.159999999996</v>
      </c>
      <c r="L36" s="511">
        <f t="shared" si="0"/>
      </c>
      <c r="M36" s="511">
        <f t="shared" si="2"/>
      </c>
      <c r="N36" s="511">
        <f t="shared" si="5"/>
      </c>
      <c r="O36" s="512" t="s">
        <v>487</v>
      </c>
      <c r="P36" s="507">
        <v>10</v>
      </c>
      <c r="Q36" s="513"/>
    </row>
    <row r="37">
      <c r="A37" s="506">
        <v>46061</v>
      </c>
      <c r="B37" s="507" t="s">
        <v>492</v>
      </c>
      <c r="C37" s="508" t="s">
        <v>489</v>
      </c>
      <c r="D37" s="507">
        <v>5</v>
      </c>
      <c r="E37" s="507">
        <v>63</v>
      </c>
      <c r="F37" s="507">
        <v>51</v>
      </c>
      <c r="G37" s="507">
        <v>37</v>
      </c>
      <c r="H37" s="507">
        <v>29</v>
      </c>
      <c r="I37" s="507">
        <v>5</v>
      </c>
      <c r="J37" s="510">
        <v>51157.200000000004</v>
      </c>
      <c r="K37" s="510">
        <v>27501.880000000005</v>
      </c>
      <c r="L37" s="511">
        <f t="shared" si="0"/>
      </c>
      <c r="M37" s="511">
        <f t="shared" si="2"/>
      </c>
      <c r="N37" s="511">
        <f t="shared" si="5"/>
      </c>
      <c r="O37" s="514"/>
      <c r="P37" s="514"/>
      <c r="Q37" s="515"/>
    </row>
    <row hidden="true" r="38">
      <c r="A38" s="506">
        <v>46061</v>
      </c>
      <c r="B38" s="507" t="s">
        <v>498</v>
      </c>
      <c r="C38" s="508" t="s">
        <v>491</v>
      </c>
      <c r="D38" s="507">
        <v>5</v>
      </c>
      <c r="E38" s="507">
        <v>59</v>
      </c>
      <c r="F38" s="507">
        <v>39</v>
      </c>
      <c r="G38" s="507">
        <v>32</v>
      </c>
      <c r="H38" s="507">
        <v>19</v>
      </c>
      <c r="I38" s="507">
        <v>1</v>
      </c>
      <c r="J38" s="510">
        <v>35258.99999999999</v>
      </c>
      <c r="K38" s="510">
        <v>19579.66</v>
      </c>
      <c r="L38" s="511">
        <f t="shared" si="0"/>
      </c>
      <c r="M38" s="511">
        <f t="shared" si="2"/>
      </c>
      <c r="N38" s="511">
        <f t="shared" si="5"/>
      </c>
      <c r="O38" s="512"/>
      <c r="P38" s="507"/>
      <c r="Q38" s="515"/>
    </row>
    <row hidden="true" r="39">
      <c r="A39" s="506">
        <v>46061</v>
      </c>
      <c r="B39" s="507" t="s">
        <v>490</v>
      </c>
      <c r="C39" s="508" t="s">
        <v>493</v>
      </c>
      <c r="D39" s="507">
        <v>5</v>
      </c>
      <c r="E39" s="507">
        <v>91</v>
      </c>
      <c r="F39" s="507">
        <v>72</v>
      </c>
      <c r="G39" s="507">
        <v>51</v>
      </c>
      <c r="H39" s="507">
        <v>59</v>
      </c>
      <c r="I39" s="507">
        <v>13</v>
      </c>
      <c r="J39" s="510">
        <v>78094.70000000003</v>
      </c>
      <c r="K39" s="510">
        <v>30792.440000000002</v>
      </c>
      <c r="L39" s="511">
        <f t="shared" si="0"/>
      </c>
      <c r="M39" s="511">
        <f t="shared" si="2"/>
      </c>
      <c r="N39" s="511">
        <f t="shared" si="5"/>
      </c>
      <c r="O39" s="512" t="s">
        <v>494</v>
      </c>
      <c r="P39" s="507">
        <v>10</v>
      </c>
      <c r="Q39" s="514"/>
    </row>
    <row hidden="true" r="40">
      <c r="A40" s="516">
        <v>46061</v>
      </c>
      <c r="B40" s="517"/>
      <c r="C40" s="517"/>
      <c r="D40" s="517">
        <f>SUM(D36:D39)</f>
      </c>
      <c r="E40" s="517">
        <f>SUM(E36:E39)</f>
      </c>
      <c r="F40" s="517">
        <f>SUM(F36:F39)</f>
      </c>
      <c r="G40" s="517">
        <f>SUM(G36:G39)</f>
      </c>
      <c r="H40" s="517">
        <f>SUM(H36:H39)</f>
      </c>
      <c r="I40" s="517">
        <f>SUM(I36:I39)</f>
      </c>
      <c r="J40" s="517">
        <f>SUM(J36:J39)</f>
      </c>
      <c r="K40" s="517">
        <f>SUM(K36:K39)</f>
      </c>
      <c r="L40" s="518">
        <f t="shared" si="0"/>
      </c>
      <c r="M40" s="518">
        <f t="shared" si="2"/>
      </c>
      <c r="N40" s="518">
        <f t="shared" si="5"/>
      </c>
      <c r="O40" s="519"/>
      <c r="P40" s="517">
        <f>P36+P37+P38+P39</f>
      </c>
      <c r="Q40" s="519"/>
    </row>
    <row r="41">
      <c r="A41" s="506">
        <v>46062</v>
      </c>
      <c r="B41" s="507" t="s">
        <v>492</v>
      </c>
      <c r="C41" s="508" t="s">
        <v>486</v>
      </c>
      <c r="D41" s="507">
        <v>5</v>
      </c>
      <c r="E41" s="509">
        <v>64</v>
      </c>
      <c r="F41" s="507">
        <v>49</v>
      </c>
      <c r="G41" s="507">
        <v>37</v>
      </c>
      <c r="H41" s="507">
        <v>37</v>
      </c>
      <c r="I41" s="507">
        <v>3</v>
      </c>
      <c r="J41" s="510">
        <v>45628.4</v>
      </c>
      <c r="K41" s="507">
        <v>28178.96</v>
      </c>
      <c r="L41" s="511">
        <f t="shared" si="0"/>
      </c>
      <c r="M41" s="511">
        <f t="shared" si="2"/>
      </c>
      <c r="N41" s="511">
        <f t="shared" si="5"/>
      </c>
      <c r="O41" s="512" t="s">
        <v>487</v>
      </c>
      <c r="P41" s="507">
        <v>10</v>
      </c>
      <c r="Q41" s="513"/>
    </row>
    <row hidden="true" r="42">
      <c r="A42" s="506">
        <v>46062</v>
      </c>
      <c r="B42" s="507" t="s">
        <v>498</v>
      </c>
      <c r="C42" s="508" t="s">
        <v>489</v>
      </c>
      <c r="D42" s="507">
        <v>5</v>
      </c>
      <c r="E42" s="507">
        <v>64</v>
      </c>
      <c r="F42" s="507">
        <v>48</v>
      </c>
      <c r="G42" s="507">
        <v>34</v>
      </c>
      <c r="H42" s="507">
        <v>32</v>
      </c>
      <c r="I42" s="507">
        <v>4</v>
      </c>
      <c r="J42" s="510">
        <v>50718.4</v>
      </c>
      <c r="K42" s="510">
        <v>24897.460000000003</v>
      </c>
      <c r="L42" s="511">
        <f t="shared" si="0"/>
      </c>
      <c r="M42" s="511">
        <f t="shared" si="2"/>
      </c>
      <c r="N42" s="511">
        <f t="shared" si="5"/>
      </c>
      <c r="O42" s="514"/>
      <c r="P42" s="514"/>
      <c r="Q42" s="515"/>
    </row>
    <row hidden="true" r="43">
      <c r="A43" s="506">
        <v>46062</v>
      </c>
      <c r="B43" s="507" t="s">
        <v>495</v>
      </c>
      <c r="C43" s="508" t="s">
        <v>491</v>
      </c>
      <c r="D43" s="507">
        <v>5</v>
      </c>
      <c r="E43" s="507">
        <v>44</v>
      </c>
      <c r="F43" s="507">
        <v>33</v>
      </c>
      <c r="G43" s="507">
        <v>15</v>
      </c>
      <c r="H43" s="507">
        <v>17</v>
      </c>
      <c r="I43" s="507">
        <v>6</v>
      </c>
      <c r="J43" s="510">
        <v>38421.399999999994</v>
      </c>
      <c r="K43" s="510">
        <v>15929.540000000003</v>
      </c>
      <c r="L43" s="511">
        <f t="shared" si="0"/>
      </c>
      <c r="M43" s="511">
        <f t="shared" si="2"/>
      </c>
      <c r="N43" s="511">
        <f t="shared" si="5"/>
      </c>
      <c r="O43" s="512"/>
      <c r="P43" s="507"/>
      <c r="Q43" s="515"/>
    </row>
    <row hidden="true" r="44">
      <c r="A44" s="506">
        <v>46062</v>
      </c>
      <c r="B44" s="507" t="s">
        <v>485</v>
      </c>
      <c r="C44" s="508" t="s">
        <v>493</v>
      </c>
      <c r="D44" s="507">
        <v>5</v>
      </c>
      <c r="E44" s="507">
        <v>32</v>
      </c>
      <c r="F44" s="507">
        <v>23</v>
      </c>
      <c r="G44" s="507">
        <v>20</v>
      </c>
      <c r="H44" s="507">
        <v>15</v>
      </c>
      <c r="I44" s="507">
        <v>3</v>
      </c>
      <c r="J44" s="510">
        <v>21244.59999999999</v>
      </c>
      <c r="K44" s="510">
        <v>17099.760000000002</v>
      </c>
      <c r="L44" s="511">
        <f t="shared" si="0"/>
      </c>
      <c r="M44" s="511">
        <f t="shared" si="2"/>
      </c>
      <c r="N44" s="511">
        <f t="shared" si="5"/>
      </c>
      <c r="O44" s="512" t="s">
        <v>494</v>
      </c>
      <c r="P44" s="507">
        <v>10</v>
      </c>
      <c r="Q44" s="514"/>
    </row>
    <row hidden="true" r="45">
      <c r="A45" s="516">
        <v>46062</v>
      </c>
      <c r="B45" s="517"/>
      <c r="C45" s="517"/>
      <c r="D45" s="517">
        <f>SUM(D41:D44)</f>
      </c>
      <c r="E45" s="517">
        <f>SUM(E41:E44)</f>
      </c>
      <c r="F45" s="517">
        <f>SUM(F41:F44)</f>
      </c>
      <c r="G45" s="517">
        <f>SUM(G41:G44)</f>
      </c>
      <c r="H45" s="517">
        <f>SUM(H41:H44)</f>
      </c>
      <c r="I45" s="517">
        <f>SUM(I41:I44)</f>
      </c>
      <c r="J45" s="517">
        <f>SUM(J41:J44)</f>
      </c>
      <c r="K45" s="517">
        <f>SUM(K41:K44)</f>
      </c>
      <c r="L45" s="518">
        <f t="shared" si="0"/>
      </c>
      <c r="M45" s="518">
        <f t="shared" si="2"/>
      </c>
      <c r="N45" s="518">
        <f t="shared" si="5"/>
      </c>
      <c r="O45" s="519"/>
      <c r="P45" s="517">
        <f>P41+P42+P43+P44</f>
      </c>
      <c r="Q45" s="519"/>
    </row>
    <row hidden="true" r="46">
      <c r="A46" s="506">
        <v>46063</v>
      </c>
      <c r="B46" s="507" t="s">
        <v>490</v>
      </c>
      <c r="C46" s="508" t="s">
        <v>486</v>
      </c>
      <c r="D46" s="507">
        <v>5</v>
      </c>
      <c r="E46" s="509">
        <v>66</v>
      </c>
      <c r="F46" s="507">
        <v>48</v>
      </c>
      <c r="G46" s="507">
        <v>37</v>
      </c>
      <c r="H46" s="507">
        <v>35</v>
      </c>
      <c r="I46" s="507">
        <v>4</v>
      </c>
      <c r="J46" s="510">
        <v>44042.80000000001</v>
      </c>
      <c r="K46" s="507">
        <v>28094.99</v>
      </c>
      <c r="L46" s="511">
        <f t="shared" si="0"/>
      </c>
      <c r="M46" s="511">
        <f t="shared" si="2"/>
      </c>
      <c r="N46" s="511">
        <f t="shared" si="5"/>
      </c>
      <c r="O46" s="512" t="s">
        <v>487</v>
      </c>
      <c r="P46" s="507">
        <v>10</v>
      </c>
      <c r="Q46" s="513"/>
    </row>
    <row hidden="true" r="47">
      <c r="A47" s="506">
        <v>46063</v>
      </c>
      <c r="B47" s="507" t="s">
        <v>495</v>
      </c>
      <c r="C47" s="508" t="s">
        <v>489</v>
      </c>
      <c r="D47" s="507">
        <v>5</v>
      </c>
      <c r="E47" s="507">
        <v>37</v>
      </c>
      <c r="F47" s="507">
        <v>28</v>
      </c>
      <c r="G47" s="507">
        <v>19</v>
      </c>
      <c r="H47" s="507">
        <v>18</v>
      </c>
      <c r="I47" s="507">
        <v>4</v>
      </c>
      <c r="J47" s="510">
        <v>26704.899999999998</v>
      </c>
      <c r="K47" s="510">
        <v>17599.62</v>
      </c>
      <c r="L47" s="511">
        <f t="shared" si="0"/>
      </c>
      <c r="M47" s="511">
        <f t="shared" si="2"/>
      </c>
      <c r="N47" s="511">
        <f t="shared" si="5"/>
      </c>
      <c r="O47" s="514"/>
      <c r="P47" s="514"/>
      <c r="Q47" s="515"/>
    </row>
    <row hidden="true" r="48">
      <c r="A48" s="506">
        <v>46063</v>
      </c>
      <c r="B48" s="507" t="s">
        <v>485</v>
      </c>
      <c r="C48" s="508" t="s">
        <v>491</v>
      </c>
      <c r="D48" s="507">
        <v>5</v>
      </c>
      <c r="E48" s="507">
        <v>44</v>
      </c>
      <c r="F48" s="507">
        <v>35</v>
      </c>
      <c r="G48" s="507">
        <v>27</v>
      </c>
      <c r="H48" s="507">
        <v>19</v>
      </c>
      <c r="I48" s="507">
        <v>1</v>
      </c>
      <c r="J48" s="510">
        <v>37209.399999999994</v>
      </c>
      <c r="K48" s="510">
        <v>20440.97</v>
      </c>
      <c r="L48" s="511">
        <f t="shared" si="0"/>
      </c>
      <c r="M48" s="511">
        <f t="shared" si="2"/>
      </c>
      <c r="N48" s="511">
        <f t="shared" si="5"/>
      </c>
      <c r="O48" s="512"/>
      <c r="P48" s="507"/>
      <c r="Q48" s="515"/>
    </row>
    <row r="49">
      <c r="A49" s="506">
        <v>46063</v>
      </c>
      <c r="B49" s="507" t="s">
        <v>492</v>
      </c>
      <c r="C49" s="508" t="s">
        <v>493</v>
      </c>
      <c r="D49" s="507">
        <v>5</v>
      </c>
      <c r="E49" s="507">
        <v>89</v>
      </c>
      <c r="F49" s="507">
        <v>71</v>
      </c>
      <c r="G49" s="507">
        <v>54</v>
      </c>
      <c r="H49" s="507">
        <v>47</v>
      </c>
      <c r="I49" s="507">
        <v>8</v>
      </c>
      <c r="J49" s="510">
        <v>70609.40000000001</v>
      </c>
      <c r="K49" s="510">
        <v>30634.610000000004</v>
      </c>
      <c r="L49" s="511">
        <f t="shared" si="0"/>
      </c>
      <c r="M49" s="511">
        <f t="shared" si="2"/>
      </c>
      <c r="N49" s="511">
        <f t="shared" si="5"/>
      </c>
      <c r="O49" s="512" t="s">
        <v>494</v>
      </c>
      <c r="P49" s="507">
        <v>10</v>
      </c>
      <c r="Q49" s="514"/>
    </row>
    <row hidden="true" r="50">
      <c r="A50" s="516">
        <v>46063</v>
      </c>
      <c r="B50" s="517"/>
      <c r="C50" s="517"/>
      <c r="D50" s="517">
        <f>SUM(D46:D49)</f>
      </c>
      <c r="E50" s="517">
        <f>SUM(E46:E49)</f>
      </c>
      <c r="F50" s="517">
        <f>SUM(F46:F49)</f>
      </c>
      <c r="G50" s="517">
        <f>SUM(G46:G49)</f>
      </c>
      <c r="H50" s="517">
        <f>SUM(H46:H49)</f>
      </c>
      <c r="I50" s="517">
        <f>SUM(I46:I49)</f>
      </c>
      <c r="J50" s="517">
        <f>SUM(J46:J49)</f>
      </c>
      <c r="K50" s="517">
        <f>SUM(K46:K49)</f>
      </c>
      <c r="L50" s="518">
        <f t="shared" si="0"/>
      </c>
      <c r="M50" s="518">
        <f t="shared" si="2"/>
      </c>
      <c r="N50" s="518">
        <f t="shared" si="5"/>
      </c>
      <c r="O50" s="519"/>
      <c r="P50" s="517">
        <f>P46+P47+P48+P49</f>
      </c>
      <c r="Q50" s="519"/>
    </row>
    <row hidden="true" r="51">
      <c r="A51" s="506">
        <v>46064</v>
      </c>
      <c r="B51" s="507" t="s">
        <v>495</v>
      </c>
      <c r="C51" s="508" t="s">
        <v>486</v>
      </c>
      <c r="D51" s="507">
        <v>5</v>
      </c>
      <c r="E51" s="509">
        <v>55</v>
      </c>
      <c r="F51" s="507">
        <v>39</v>
      </c>
      <c r="G51" s="507">
        <v>28</v>
      </c>
      <c r="H51" s="507">
        <v>22</v>
      </c>
      <c r="I51" s="507">
        <v>2</v>
      </c>
      <c r="J51" s="510">
        <v>37896.600000000006</v>
      </c>
      <c r="K51" s="507">
        <v>29195.09</v>
      </c>
      <c r="L51" s="511">
        <f t="shared" si="0"/>
      </c>
      <c r="M51" s="511">
        <f t="shared" si="2"/>
      </c>
      <c r="N51" s="511">
        <f t="shared" si="5"/>
      </c>
      <c r="O51" s="512" t="s">
        <v>487</v>
      </c>
      <c r="P51" s="507">
        <v>10</v>
      </c>
      <c r="Q51" s="513"/>
    </row>
    <row hidden="true" r="52">
      <c r="A52" s="506">
        <v>46064</v>
      </c>
      <c r="B52" s="507" t="s">
        <v>485</v>
      </c>
      <c r="C52" s="508" t="s">
        <v>489</v>
      </c>
      <c r="D52" s="507">
        <v>5</v>
      </c>
      <c r="E52" s="507">
        <v>40</v>
      </c>
      <c r="F52" s="507">
        <v>32</v>
      </c>
      <c r="G52" s="507">
        <v>20</v>
      </c>
      <c r="H52" s="507">
        <v>20</v>
      </c>
      <c r="I52" s="507">
        <v>3</v>
      </c>
      <c r="J52" s="510">
        <v>30460.8</v>
      </c>
      <c r="K52" s="510">
        <v>16402.940000000002</v>
      </c>
      <c r="L52" s="511">
        <f t="shared" si="0"/>
      </c>
      <c r="M52" s="511">
        <f t="shared" si="2"/>
      </c>
      <c r="N52" s="511">
        <f t="shared" si="5"/>
      </c>
      <c r="O52" s="514"/>
      <c r="P52" s="514"/>
      <c r="Q52" s="515"/>
    </row>
    <row r="53">
      <c r="A53" s="506">
        <v>46064</v>
      </c>
      <c r="B53" s="507" t="s">
        <v>492</v>
      </c>
      <c r="C53" s="508" t="s">
        <v>491</v>
      </c>
      <c r="D53" s="507">
        <v>5</v>
      </c>
      <c r="E53" s="507">
        <v>55</v>
      </c>
      <c r="F53" s="507">
        <v>44</v>
      </c>
      <c r="G53" s="507">
        <v>35</v>
      </c>
      <c r="H53" s="507">
        <v>29</v>
      </c>
      <c r="I53" s="507">
        <v>4</v>
      </c>
      <c r="J53" s="510">
        <v>43278.8</v>
      </c>
      <c r="K53" s="510">
        <v>19821</v>
      </c>
      <c r="L53" s="511">
        <f t="shared" si="0"/>
      </c>
      <c r="M53" s="511">
        <f t="shared" si="2"/>
      </c>
      <c r="N53" s="511">
        <f t="shared" si="5"/>
      </c>
      <c r="O53" s="512"/>
      <c r="P53" s="507"/>
      <c r="Q53" s="515"/>
    </row>
    <row hidden="true" r="54">
      <c r="A54" s="506">
        <v>46064</v>
      </c>
      <c r="B54" s="507" t="s">
        <v>490</v>
      </c>
      <c r="C54" s="508" t="s">
        <v>493</v>
      </c>
      <c r="D54" s="507">
        <v>5</v>
      </c>
      <c r="E54" s="507">
        <v>108</v>
      </c>
      <c r="F54" s="507">
        <v>84</v>
      </c>
      <c r="G54" s="507">
        <v>65</v>
      </c>
      <c r="H54" s="507">
        <v>59</v>
      </c>
      <c r="I54" s="507">
        <v>7</v>
      </c>
      <c r="J54" s="510">
        <v>78652.60000000002</v>
      </c>
      <c r="K54" s="510">
        <v>34032.59</v>
      </c>
      <c r="L54" s="511">
        <f t="shared" si="0"/>
      </c>
      <c r="M54" s="511">
        <f t="shared" si="2"/>
      </c>
      <c r="N54" s="511">
        <f t="shared" si="5"/>
      </c>
      <c r="O54" s="512" t="s">
        <v>494</v>
      </c>
      <c r="P54" s="507">
        <v>10</v>
      </c>
      <c r="Q54" s="514"/>
    </row>
    <row hidden="true" r="55">
      <c r="A55" s="516">
        <v>46064</v>
      </c>
      <c r="B55" s="517"/>
      <c r="C55" s="517"/>
      <c r="D55" s="517">
        <f>SUM(D51:D54)</f>
      </c>
      <c r="E55" s="517">
        <f>SUM(E51:E54)</f>
      </c>
      <c r="F55" s="517">
        <f>SUM(F51:F54)</f>
      </c>
      <c r="G55" s="517">
        <f>SUM(G51:G54)</f>
      </c>
      <c r="H55" s="517">
        <f>SUM(H51:H54)</f>
      </c>
      <c r="I55" s="517">
        <f>SUM(I51:I54)</f>
      </c>
      <c r="J55" s="517">
        <f>SUM(J51:J54)</f>
      </c>
      <c r="K55" s="517">
        <f>SUM(K51:K54)</f>
      </c>
      <c r="L55" s="518">
        <f t="shared" si="0"/>
      </c>
      <c r="M55" s="518">
        <f t="shared" si="2"/>
      </c>
      <c r="N55" s="518">
        <f t="shared" si="5"/>
      </c>
      <c r="O55" s="519"/>
      <c r="P55" s="517">
        <f>P51+P52+P53+P54</f>
      </c>
      <c r="Q55" s="519"/>
    </row>
    <row hidden="true" r="56">
      <c r="A56" s="506">
        <v>46065</v>
      </c>
      <c r="B56" s="507" t="s">
        <v>495</v>
      </c>
      <c r="C56" s="508" t="s">
        <v>499</v>
      </c>
      <c r="D56" s="507">
        <v>4</v>
      </c>
      <c r="E56" s="509">
        <v>43</v>
      </c>
      <c r="F56" s="507">
        <v>29</v>
      </c>
      <c r="G56" s="507">
        <v>28</v>
      </c>
      <c r="H56" s="507">
        <v>22</v>
      </c>
      <c r="I56" s="507">
        <v>1</v>
      </c>
      <c r="J56" s="510">
        <v>20118.2</v>
      </c>
      <c r="K56" s="507">
        <v>24391.440000000002</v>
      </c>
      <c r="L56" s="511">
        <f t="shared" si="0"/>
      </c>
      <c r="M56" s="511">
        <f t="shared" si="2"/>
      </c>
      <c r="N56" s="511">
        <f t="shared" si="5"/>
      </c>
      <c r="O56" s="512" t="s">
        <v>500</v>
      </c>
      <c r="P56" s="507">
        <v>7</v>
      </c>
      <c r="Q56" s="513"/>
    </row>
    <row r="57">
      <c r="A57" s="506">
        <v>46065</v>
      </c>
      <c r="B57" s="507" t="s">
        <v>492</v>
      </c>
      <c r="C57" s="508" t="s">
        <v>501</v>
      </c>
      <c r="D57" s="507">
        <v>4</v>
      </c>
      <c r="E57" s="507">
        <v>68</v>
      </c>
      <c r="F57" s="507">
        <v>57</v>
      </c>
      <c r="G57" s="507">
        <v>48</v>
      </c>
      <c r="H57" s="507">
        <v>39</v>
      </c>
      <c r="I57" s="507">
        <v>4</v>
      </c>
      <c r="J57" s="510">
        <v>52428.80000000002</v>
      </c>
      <c r="K57" s="510">
        <v>28815.57</v>
      </c>
      <c r="L57" s="511">
        <f t="shared" si="0"/>
      </c>
      <c r="M57" s="511">
        <f t="shared" si="2"/>
      </c>
      <c r="N57" s="511">
        <f t="shared" si="5"/>
      </c>
      <c r="O57" s="514"/>
      <c r="P57" s="514"/>
      <c r="Q57" s="515"/>
    </row>
    <row hidden="true" r="58">
      <c r="A58" s="506">
        <v>46065</v>
      </c>
      <c r="B58" s="507" t="s">
        <v>485</v>
      </c>
      <c r="C58" s="508" t="s">
        <v>502</v>
      </c>
      <c r="D58" s="507">
        <v>4</v>
      </c>
      <c r="E58" s="507">
        <v>64</v>
      </c>
      <c r="F58" s="507">
        <v>55</v>
      </c>
      <c r="G58" s="507">
        <v>44</v>
      </c>
      <c r="H58" s="507">
        <v>39</v>
      </c>
      <c r="I58" s="507">
        <v>4</v>
      </c>
      <c r="J58" s="510">
        <v>50215.99999999999</v>
      </c>
      <c r="K58" s="510">
        <v>32050.19</v>
      </c>
      <c r="L58" s="511">
        <f t="shared" si="0"/>
      </c>
      <c r="M58" s="511">
        <f t="shared" si="2"/>
      </c>
      <c r="N58" s="511">
        <f t="shared" si="5"/>
      </c>
      <c r="O58" s="512"/>
      <c r="P58" s="507"/>
      <c r="Q58" s="515"/>
    </row>
    <row hidden="true" r="59">
      <c r="A59" s="506">
        <v>46065</v>
      </c>
      <c r="B59" s="507" t="s">
        <v>498</v>
      </c>
      <c r="C59" s="508" t="s">
        <v>493</v>
      </c>
      <c r="D59" s="507">
        <v>5</v>
      </c>
      <c r="E59" s="507">
        <v>86</v>
      </c>
      <c r="F59" s="507">
        <v>69</v>
      </c>
      <c r="G59" s="507">
        <v>60</v>
      </c>
      <c r="H59" s="507">
        <v>42</v>
      </c>
      <c r="I59" s="507">
        <v>5</v>
      </c>
      <c r="J59" s="510">
        <v>67375.40000000001</v>
      </c>
      <c r="K59" s="510">
        <v>39945.15</v>
      </c>
      <c r="L59" s="511">
        <f t="shared" si="0"/>
      </c>
      <c r="M59" s="511">
        <f t="shared" si="2"/>
      </c>
      <c r="N59" s="511">
        <f t="shared" si="5"/>
      </c>
      <c r="O59" s="512" t="s">
        <v>494</v>
      </c>
      <c r="P59" s="507">
        <v>10</v>
      </c>
      <c r="Q59" s="514"/>
    </row>
    <row hidden="true" r="60">
      <c r="A60" s="516">
        <v>46065</v>
      </c>
      <c r="B60" s="517"/>
      <c r="C60" s="517"/>
      <c r="D60" s="517">
        <f>SUM(D56:D59)</f>
      </c>
      <c r="E60" s="517">
        <f>SUM(E56:E59)</f>
      </c>
      <c r="F60" s="517">
        <f>SUM(F56:F59)</f>
      </c>
      <c r="G60" s="517">
        <f>SUM(G56:G59)</f>
      </c>
      <c r="H60" s="517">
        <f>SUM(H56:H59)</f>
      </c>
      <c r="I60" s="517">
        <f>SUM(I56:I59)</f>
      </c>
      <c r="J60" s="517">
        <f>SUM(J56:J59)</f>
      </c>
      <c r="K60" s="517">
        <f>SUM(K56:K59)</f>
      </c>
      <c r="L60" s="518">
        <f t="shared" si="0"/>
      </c>
      <c r="M60" s="518">
        <f t="shared" si="2"/>
      </c>
      <c r="N60" s="518">
        <f t="shared" si="5"/>
      </c>
      <c r="O60" s="519"/>
      <c r="P60" s="517">
        <f>P56+P57+P58+P59</f>
      </c>
      <c r="Q60" s="519"/>
    </row>
    <row r="61">
      <c r="A61" s="506">
        <v>46066</v>
      </c>
      <c r="B61" s="507" t="s">
        <v>492</v>
      </c>
      <c r="C61" s="508" t="s">
        <v>486</v>
      </c>
      <c r="D61" s="507">
        <v>5</v>
      </c>
      <c r="E61" s="509">
        <v>131</v>
      </c>
      <c r="F61" s="507">
        <v>111</v>
      </c>
      <c r="G61" s="507">
        <v>82</v>
      </c>
      <c r="H61" s="507">
        <v>72</v>
      </c>
      <c r="I61" s="507">
        <v>11</v>
      </c>
      <c r="J61" s="510">
        <v>114952.29999999999</v>
      </c>
      <c r="K61" s="507">
        <v>58330.08000000001</v>
      </c>
      <c r="L61" s="511">
        <f t="shared" si="0"/>
      </c>
      <c r="M61" s="511">
        <f t="shared" si="2"/>
      </c>
      <c r="N61" s="511">
        <f t="shared" si="5"/>
      </c>
      <c r="O61" s="512" t="s">
        <v>487</v>
      </c>
      <c r="P61" s="507">
        <v>10</v>
      </c>
      <c r="Q61" s="513"/>
    </row>
    <row hidden="true" r="62">
      <c r="A62" s="506">
        <v>46066</v>
      </c>
      <c r="B62" s="507" t="s">
        <v>485</v>
      </c>
      <c r="C62" s="508" t="s">
        <v>489</v>
      </c>
      <c r="D62" s="507">
        <v>5</v>
      </c>
      <c r="E62" s="507">
        <v>64</v>
      </c>
      <c r="F62" s="507">
        <v>50</v>
      </c>
      <c r="G62" s="507">
        <v>36</v>
      </c>
      <c r="H62" s="507">
        <v>33</v>
      </c>
      <c r="I62" s="507">
        <v>7</v>
      </c>
      <c r="J62" s="510">
        <v>46677.299999999996</v>
      </c>
      <c r="K62" s="510">
        <v>28466.060000000005</v>
      </c>
      <c r="L62" s="511">
        <f t="shared" si="0"/>
      </c>
      <c r="M62" s="511">
        <f t="shared" si="2"/>
      </c>
      <c r="N62" s="511">
        <f t="shared" si="5"/>
      </c>
      <c r="O62" s="514"/>
      <c r="P62" s="514"/>
      <c r="Q62" s="515"/>
    </row>
    <row hidden="true" r="63">
      <c r="A63" s="506">
        <v>46066</v>
      </c>
      <c r="B63" s="507" t="s">
        <v>495</v>
      </c>
      <c r="C63" s="508" t="s">
        <v>491</v>
      </c>
      <c r="D63" s="507">
        <v>5</v>
      </c>
      <c r="E63" s="507">
        <v>71</v>
      </c>
      <c r="F63" s="507">
        <v>49</v>
      </c>
      <c r="G63" s="507">
        <v>39</v>
      </c>
      <c r="H63" s="507">
        <v>34</v>
      </c>
      <c r="I63" s="507">
        <v>7</v>
      </c>
      <c r="J63" s="510">
        <v>42923.00000000001</v>
      </c>
      <c r="K63" s="510">
        <v>27784.089999999997</v>
      </c>
      <c r="L63" s="511">
        <f t="shared" si="0"/>
      </c>
      <c r="M63" s="511">
        <f t="shared" si="2"/>
      </c>
      <c r="N63" s="511">
        <f t="shared" si="5"/>
      </c>
      <c r="O63" s="512"/>
      <c r="P63" s="507"/>
      <c r="Q63" s="515"/>
    </row>
    <row hidden="true" r="64">
      <c r="A64" s="506">
        <v>46066</v>
      </c>
      <c r="B64" s="507" t="s">
        <v>498</v>
      </c>
      <c r="C64" s="508" t="s">
        <v>493</v>
      </c>
      <c r="D64" s="507">
        <v>5</v>
      </c>
      <c r="E64" s="507">
        <v>58</v>
      </c>
      <c r="F64" s="507">
        <v>46</v>
      </c>
      <c r="G64" s="507">
        <v>37</v>
      </c>
      <c r="H64" s="507">
        <v>33</v>
      </c>
      <c r="I64" s="507">
        <v>5</v>
      </c>
      <c r="J64" s="510">
        <v>51822.000000000015</v>
      </c>
      <c r="K64" s="510">
        <v>30281.839999999997</v>
      </c>
      <c r="L64" s="511">
        <f t="shared" si="0"/>
      </c>
      <c r="M64" s="511">
        <f t="shared" si="2"/>
      </c>
      <c r="N64" s="511">
        <f t="shared" si="5"/>
      </c>
      <c r="O64" s="512" t="s">
        <v>503</v>
      </c>
      <c r="P64" s="507">
        <v>10</v>
      </c>
      <c r="Q64" s="514"/>
    </row>
    <row hidden="true" r="65">
      <c r="A65" s="516">
        <v>46066</v>
      </c>
      <c r="B65" s="517"/>
      <c r="C65" s="517"/>
      <c r="D65" s="517">
        <f>SUM(D61:D64)</f>
      </c>
      <c r="E65" s="517">
        <f>SUM(E61:E64)</f>
      </c>
      <c r="F65" s="517">
        <f>SUM(F61:F64)</f>
      </c>
      <c r="G65" s="517">
        <f>SUM(G61:G64)</f>
      </c>
      <c r="H65" s="517">
        <f>SUM(H61:H64)</f>
      </c>
      <c r="I65" s="517">
        <f>SUM(I61:I64)</f>
      </c>
      <c r="J65" s="517">
        <f>SUM(J61:J64)</f>
      </c>
      <c r="K65" s="517">
        <f>SUM(K61:K64)</f>
      </c>
      <c r="L65" s="518">
        <f t="shared" si="0"/>
      </c>
      <c r="M65" s="518">
        <f t="shared" si="2"/>
      </c>
      <c r="N65" s="518">
        <f t="shared" si="5"/>
      </c>
      <c r="O65" s="519"/>
      <c r="P65" s="517">
        <f>P61+P62+P63+P64</f>
      </c>
      <c r="Q65" s="519"/>
    </row>
    <row hidden="true" r="66">
      <c r="A66" s="506">
        <v>46067</v>
      </c>
      <c r="B66" s="507" t="s">
        <v>485</v>
      </c>
      <c r="C66" s="508" t="s">
        <v>486</v>
      </c>
      <c r="D66" s="507">
        <v>5</v>
      </c>
      <c r="E66" s="509">
        <v>88</v>
      </c>
      <c r="F66" s="507">
        <v>69</v>
      </c>
      <c r="G66" s="507">
        <v>50</v>
      </c>
      <c r="H66" s="507">
        <v>42</v>
      </c>
      <c r="I66" s="507">
        <v>9</v>
      </c>
      <c r="J66" s="510">
        <v>66072.20000000001</v>
      </c>
      <c r="K66" s="507">
        <v>33556.990000000005</v>
      </c>
      <c r="L66" s="511">
        <f t="shared" si="0"/>
      </c>
      <c r="M66" s="511">
        <f t="shared" si="2"/>
      </c>
      <c r="N66" s="511">
        <f t="shared" si="5"/>
      </c>
      <c r="O66" s="512" t="s">
        <v>504</v>
      </c>
      <c r="P66" s="507">
        <v>10</v>
      </c>
      <c r="Q66" s="513"/>
    </row>
    <row hidden="true" r="67">
      <c r="A67" s="506">
        <v>46067</v>
      </c>
      <c r="B67" s="507" t="s">
        <v>490</v>
      </c>
      <c r="C67" s="508" t="s">
        <v>489</v>
      </c>
      <c r="D67" s="507">
        <v>5</v>
      </c>
      <c r="E67" s="507">
        <v>37</v>
      </c>
      <c r="F67" s="507">
        <v>25</v>
      </c>
      <c r="G67" s="507">
        <v>25</v>
      </c>
      <c r="H67" s="507">
        <v>16</v>
      </c>
      <c r="I67" s="507">
        <v>2</v>
      </c>
      <c r="J67" s="510">
        <v>23697.799999999996</v>
      </c>
      <c r="K67" s="510">
        <v>18708</v>
      </c>
      <c r="L67" s="511">
        <f t="shared" si="0"/>
      </c>
      <c r="M67" s="511">
        <f t="shared" si="2"/>
      </c>
      <c r="N67" s="511">
        <f t="shared" si="5"/>
      </c>
      <c r="O67" s="514"/>
      <c r="P67" s="514"/>
      <c r="Q67" s="515"/>
    </row>
    <row hidden="true" r="68">
      <c r="A68" s="506">
        <v>46067</v>
      </c>
      <c r="B68" s="507" t="s">
        <v>495</v>
      </c>
      <c r="C68" s="508" t="s">
        <v>491</v>
      </c>
      <c r="D68" s="507">
        <v>5</v>
      </c>
      <c r="E68" s="507">
        <v>38</v>
      </c>
      <c r="F68" s="507">
        <v>32</v>
      </c>
      <c r="G68" s="507">
        <v>27</v>
      </c>
      <c r="H68" s="507">
        <v>22</v>
      </c>
      <c r="I68" s="507">
        <v>4</v>
      </c>
      <c r="J68" s="510">
        <v>30582.8</v>
      </c>
      <c r="K68" s="510">
        <v>21313.96</v>
      </c>
      <c r="L68" s="511">
        <f t="shared" si="0"/>
      </c>
      <c r="M68" s="511">
        <f t="shared" si="2"/>
      </c>
      <c r="N68" s="511">
        <f t="shared" si="5"/>
      </c>
      <c r="O68" s="512" t="s">
        <v>505</v>
      </c>
      <c r="P68" s="507">
        <v>8</v>
      </c>
      <c r="Q68" s="515"/>
    </row>
    <row hidden="true" r="69">
      <c r="A69" s="506">
        <v>46067</v>
      </c>
      <c r="B69" s="507" t="s">
        <v>498</v>
      </c>
      <c r="C69" s="508" t="s">
        <v>493</v>
      </c>
      <c r="D69" s="507">
        <v>5</v>
      </c>
      <c r="E69" s="507">
        <v>71</v>
      </c>
      <c r="F69" s="507">
        <v>55</v>
      </c>
      <c r="G69" s="507">
        <v>42</v>
      </c>
      <c r="H69" s="507">
        <v>35</v>
      </c>
      <c r="I69" s="507">
        <v>3</v>
      </c>
      <c r="J69" s="510">
        <v>53858.600000000006</v>
      </c>
      <c r="K69" s="510">
        <v>23839.859999999997</v>
      </c>
      <c r="L69" s="511">
        <f t="shared" si="0"/>
      </c>
      <c r="M69" s="511">
        <f>J69/H69</f>
      </c>
      <c r="N69" s="511">
        <f>K69/H69</f>
      </c>
      <c r="O69" s="512" t="s">
        <v>506</v>
      </c>
      <c r="P69" s="507">
        <v>2</v>
      </c>
      <c r="Q69" s="514"/>
    </row>
    <row hidden="true" r="70">
      <c r="A70" s="516">
        <v>46067</v>
      </c>
      <c r="B70" s="517"/>
      <c r="C70" s="517"/>
      <c r="D70" s="517">
        <f>SUM(D66:D69)</f>
      </c>
      <c r="E70" s="517">
        <f>SUM(E66:E69)</f>
      </c>
      <c r="F70" s="517">
        <f>SUM(F66:F69)</f>
      </c>
      <c r="G70" s="517">
        <f>SUM(G66:G69)</f>
      </c>
      <c r="H70" s="517">
        <f>SUM(H66:H69)</f>
      </c>
      <c r="I70" s="517">
        <f>SUM(I66:I69)</f>
      </c>
      <c r="J70" s="517">
        <f>SUM(J66:J69)</f>
      </c>
      <c r="K70" s="517">
        <f>SUM(K66:K69)</f>
      </c>
      <c r="L70" s="518">
        <f t="shared" si="0"/>
      </c>
      <c r="M70" s="518">
        <f t="shared" ref="M70:M72" si="3">J70/F70</f>
      </c>
      <c r="N70" s="518">
        <f t="shared" ref="N70:N90" si="6">K70/F70</f>
      </c>
      <c r="O70" s="519"/>
      <c r="P70" s="517">
        <f>P66+P67+P68+P69</f>
      </c>
      <c r="Q70" s="519"/>
    </row>
    <row hidden="true" r="71">
      <c r="A71" s="506">
        <v>46068</v>
      </c>
      <c r="B71" s="507" t="s">
        <v>485</v>
      </c>
      <c r="C71" s="508" t="s">
        <v>486</v>
      </c>
      <c r="D71" s="507">
        <v>5</v>
      </c>
      <c r="E71" s="509">
        <v>176</v>
      </c>
      <c r="F71" s="507">
        <v>138</v>
      </c>
      <c r="G71" s="507">
        <v>109</v>
      </c>
      <c r="H71" s="507">
        <v>89</v>
      </c>
      <c r="I71" s="507">
        <v>15</v>
      </c>
      <c r="J71" s="510">
        <v>145239.90000000002</v>
      </c>
      <c r="K71" s="507">
        <v>76923.19</v>
      </c>
      <c r="L71" s="511">
        <f t="shared" si="0"/>
      </c>
      <c r="M71" s="511">
        <f t="shared" si="3"/>
      </c>
      <c r="N71" s="511">
        <f t="shared" si="6"/>
      </c>
      <c r="O71" s="512" t="s">
        <v>504</v>
      </c>
      <c r="P71" s="507">
        <v>10</v>
      </c>
      <c r="Q71" s="513"/>
    </row>
    <row hidden="true" r="72">
      <c r="A72" s="506">
        <v>46068</v>
      </c>
      <c r="B72" s="507" t="s">
        <v>495</v>
      </c>
      <c r="C72" s="508" t="s">
        <v>489</v>
      </c>
      <c r="D72" s="507">
        <v>5</v>
      </c>
      <c r="E72" s="507">
        <v>55</v>
      </c>
      <c r="F72" s="507">
        <v>49</v>
      </c>
      <c r="G72" s="507">
        <v>41</v>
      </c>
      <c r="H72" s="507">
        <v>30</v>
      </c>
      <c r="I72" s="507">
        <v>5</v>
      </c>
      <c r="J72" s="510">
        <v>52640.600000000006</v>
      </c>
      <c r="K72" s="510">
        <v>31918.920000000002</v>
      </c>
      <c r="L72" s="511">
        <f t="shared" si="0"/>
      </c>
      <c r="M72" s="511">
        <f t="shared" si="3"/>
      </c>
      <c r="N72" s="511">
        <f t="shared" si="6"/>
      </c>
      <c r="O72" s="514"/>
      <c r="P72" s="514"/>
      <c r="Q72" s="515"/>
    </row>
    <row hidden="true" r="73">
      <c r="A73" s="506">
        <v>46068</v>
      </c>
      <c r="B73" s="507" t="s">
        <v>490</v>
      </c>
      <c r="C73" s="508" t="s">
        <v>507</v>
      </c>
      <c r="D73" s="507">
        <v>4</v>
      </c>
      <c r="E73" s="507">
        <v>64</v>
      </c>
      <c r="F73" s="507">
        <v>49</v>
      </c>
      <c r="G73" s="507">
        <v>40</v>
      </c>
      <c r="H73" s="507">
        <v>36</v>
      </c>
      <c r="I73" s="507">
        <v>9</v>
      </c>
      <c r="J73" s="521">
        <v>42526.5</v>
      </c>
      <c r="K73" s="510">
        <v>24756.72</v>
      </c>
      <c r="L73" s="511">
        <f>J72/K73</f>
      </c>
      <c r="M73" s="511">
        <f>J72/F73</f>
      </c>
      <c r="N73" s="511">
        <f t="shared" si="6"/>
      </c>
      <c r="O73" s="512" t="s">
        <v>508</v>
      </c>
      <c r="P73" s="507">
        <v>1.6</v>
      </c>
      <c r="Q73" s="515"/>
    </row>
    <row hidden="true" r="74">
      <c r="A74" s="516">
        <v>46068</v>
      </c>
      <c r="B74" s="517"/>
      <c r="C74" s="517"/>
      <c r="D74" s="517">
        <f>SUM(D71:D73)</f>
      </c>
      <c r="E74" s="517">
        <f>SUM(E71:E73)</f>
      </c>
      <c r="F74" s="517">
        <f>SUM(F71:F73)</f>
      </c>
      <c r="G74" s="517">
        <f>SUM(G71:G73)</f>
      </c>
      <c r="H74" s="517">
        <f>SUM(H71:H73)</f>
      </c>
      <c r="I74" s="517">
        <f>SUM(I71:I73)</f>
      </c>
      <c r="J74" s="517">
        <f>SUM(J71:J73)</f>
      </c>
      <c r="K74" s="517">
        <f>SUM(K71:K73)</f>
      </c>
      <c r="L74" s="518">
        <f t="shared" ref="L74:L122" si="1">J74/K74</f>
      </c>
      <c r="M74" s="518">
        <f t="shared" ref="M74:M122" si="4">J74/F74</f>
      </c>
      <c r="N74" s="518">
        <f t="shared" si="6"/>
      </c>
      <c r="O74" s="519"/>
      <c r="P74" s="517">
        <f>P73+P72+P71</f>
      </c>
      <c r="Q74" s="519"/>
    </row>
    <row hidden="true" r="75">
      <c r="A75" s="506">
        <v>46069</v>
      </c>
      <c r="B75" s="507" t="s">
        <v>490</v>
      </c>
      <c r="C75" s="508" t="s">
        <v>509</v>
      </c>
      <c r="D75" s="507">
        <v>5</v>
      </c>
      <c r="E75" s="509">
        <v>57</v>
      </c>
      <c r="F75" s="507">
        <v>43</v>
      </c>
      <c r="G75" s="507">
        <v>36</v>
      </c>
      <c r="H75" s="507">
        <v>27</v>
      </c>
      <c r="I75" s="507">
        <v>2</v>
      </c>
      <c r="J75" s="510">
        <v>50163.200000000004</v>
      </c>
      <c r="K75" s="507">
        <v>27139.45</v>
      </c>
      <c r="L75" s="511">
        <f t="shared" si="1"/>
      </c>
      <c r="M75" s="511">
        <f t="shared" si="4"/>
      </c>
      <c r="N75" s="511">
        <f t="shared" si="6"/>
      </c>
      <c r="O75" s="512" t="s">
        <v>497</v>
      </c>
      <c r="P75" s="507">
        <v>5</v>
      </c>
      <c r="Q75" s="513"/>
    </row>
    <row hidden="true" r="76">
      <c r="A76" s="516">
        <v>46069</v>
      </c>
      <c r="B76" s="517"/>
      <c r="C76" s="517"/>
      <c r="D76" s="517">
        <f>SUM(D75)</f>
      </c>
      <c r="E76" s="517">
        <f>SUM(E75)</f>
      </c>
      <c r="F76" s="517">
        <f>SUM(F75)</f>
      </c>
      <c r="G76" s="517">
        <f>SUM(G75)</f>
      </c>
      <c r="H76" s="517">
        <f>SUM(H75)</f>
      </c>
      <c r="I76" s="517">
        <f>SUM(I75)</f>
      </c>
      <c r="J76" s="517">
        <f>SUM(J75)</f>
      </c>
      <c r="K76" s="517">
        <f>SUM(K75)</f>
      </c>
      <c r="L76" s="518">
        <f t="shared" si="1"/>
      </c>
      <c r="M76" s="518">
        <f t="shared" si="4"/>
      </c>
      <c r="N76" s="518">
        <f t="shared" si="6"/>
      </c>
      <c r="O76" s="519"/>
      <c r="P76" s="517">
        <f>P75</f>
      </c>
      <c r="Q76" s="519"/>
    </row>
    <row hidden="true" r="77">
      <c r="A77" s="506">
        <v>46070</v>
      </c>
      <c r="B77" s="507" t="s">
        <v>490</v>
      </c>
      <c r="C77" s="508" t="s">
        <v>510</v>
      </c>
      <c r="D77" s="507">
        <v>5</v>
      </c>
      <c r="E77" s="509">
        <v>81</v>
      </c>
      <c r="F77" s="507">
        <v>58</v>
      </c>
      <c r="G77" s="507">
        <v>49</v>
      </c>
      <c r="H77" s="507">
        <v>34</v>
      </c>
      <c r="I77" s="507">
        <v>3</v>
      </c>
      <c r="J77" s="510">
        <v>60564.50000000001</v>
      </c>
      <c r="K77" s="507">
        <v>31559.220000000005</v>
      </c>
      <c r="L77" s="511">
        <f t="shared" si="1"/>
      </c>
      <c r="M77" s="511">
        <f t="shared" si="4"/>
      </c>
      <c r="N77" s="511">
        <f t="shared" si="6"/>
      </c>
      <c r="O77" s="512" t="s">
        <v>497</v>
      </c>
      <c r="P77" s="507">
        <v>5</v>
      </c>
      <c r="Q77" s="513"/>
    </row>
    <row hidden="true" r="78">
      <c r="A78" s="516">
        <v>46070</v>
      </c>
      <c r="B78" s="517"/>
      <c r="C78" s="517"/>
      <c r="D78" s="517">
        <f>SUM(D77)</f>
      </c>
      <c r="E78" s="517">
        <f>SUM(E77)</f>
      </c>
      <c r="F78" s="517">
        <f>SUM(F77)</f>
      </c>
      <c r="G78" s="517">
        <f>SUM(G77)</f>
      </c>
      <c r="H78" s="517">
        <f>SUM(H77)</f>
      </c>
      <c r="I78" s="517">
        <f>SUM(I77)</f>
      </c>
      <c r="J78" s="517">
        <f>SUM(J77)</f>
      </c>
      <c r="K78" s="517">
        <f>SUM(K77)</f>
      </c>
      <c r="L78" s="518">
        <f t="shared" si="1"/>
      </c>
      <c r="M78" s="518">
        <f t="shared" si="4"/>
      </c>
      <c r="N78" s="518">
        <f t="shared" si="6"/>
      </c>
      <c r="O78" s="519"/>
      <c r="P78" s="517">
        <f>P77</f>
      </c>
      <c r="Q78" s="519"/>
    </row>
    <row hidden="true" r="79">
      <c r="A79" s="506">
        <v>46071</v>
      </c>
      <c r="B79" s="507" t="s">
        <v>490</v>
      </c>
      <c r="C79" s="508" t="s">
        <v>496</v>
      </c>
      <c r="D79" s="507">
        <v>5</v>
      </c>
      <c r="E79" s="509">
        <v>197</v>
      </c>
      <c r="F79" s="507">
        <v>150</v>
      </c>
      <c r="G79" s="507">
        <v>126</v>
      </c>
      <c r="H79" s="507">
        <v>96</v>
      </c>
      <c r="I79" s="507">
        <v>33</v>
      </c>
      <c r="J79" s="510">
        <v>156686.89999999994</v>
      </c>
      <c r="K79" s="507">
        <v>75488.41999999998</v>
      </c>
      <c r="L79" s="511">
        <f t="shared" si="1"/>
      </c>
      <c r="M79" s="511">
        <f t="shared" si="4"/>
      </c>
      <c r="N79" s="511">
        <f t="shared" si="6"/>
      </c>
      <c r="O79" s="512" t="s">
        <v>511</v>
      </c>
      <c r="P79" s="507">
        <v>5</v>
      </c>
      <c r="Q79" s="513" t="s">
        <v>512</v>
      </c>
    </row>
    <row hidden="true" r="80">
      <c r="A80" s="516">
        <v>46071</v>
      </c>
      <c r="B80" s="517"/>
      <c r="C80" s="517"/>
      <c r="D80" s="517">
        <f>SUM(D79)</f>
      </c>
      <c r="E80" s="517">
        <f>SUM(E79)</f>
      </c>
      <c r="F80" s="517">
        <f>SUM(F79)</f>
      </c>
      <c r="G80" s="517">
        <f>SUM(G79)</f>
      </c>
      <c r="H80" s="517">
        <f>SUM(H79)</f>
      </c>
      <c r="I80" s="517">
        <f>SUM(I79)</f>
      </c>
      <c r="J80" s="517">
        <f>SUM(J79)</f>
      </c>
      <c r="K80" s="517">
        <f>SUM(K79)</f>
      </c>
      <c r="L80" s="518">
        <f t="shared" si="1"/>
      </c>
      <c r="M80" s="518">
        <f t="shared" si="4"/>
      </c>
      <c r="N80" s="518">
        <f t="shared" si="6"/>
      </c>
      <c r="O80" s="519"/>
      <c r="P80" s="517">
        <f>P79</f>
      </c>
      <c r="Q80" s="519"/>
    </row>
    <row hidden="true" r="81">
      <c r="A81" s="506">
        <v>46072</v>
      </c>
      <c r="B81" s="507" t="s">
        <v>490</v>
      </c>
      <c r="C81" s="508" t="s">
        <v>513</v>
      </c>
      <c r="D81" s="507">
        <v>3</v>
      </c>
      <c r="E81" s="509">
        <v>50</v>
      </c>
      <c r="F81" s="507">
        <v>36</v>
      </c>
      <c r="G81" s="507">
        <v>34</v>
      </c>
      <c r="H81" s="507">
        <v>25</v>
      </c>
      <c r="I81" s="507">
        <v>3</v>
      </c>
      <c r="J81" s="510">
        <v>29514.4</v>
      </c>
      <c r="K81" s="507">
        <v>26021.93</v>
      </c>
      <c r="L81" s="511">
        <f t="shared" si="1"/>
      </c>
      <c r="M81" s="511">
        <f t="shared" si="4"/>
      </c>
      <c r="N81" s="511">
        <f t="shared" si="6"/>
      </c>
      <c r="O81" s="512" t="s">
        <v>497</v>
      </c>
      <c r="P81" s="507">
        <v>3</v>
      </c>
      <c r="Q81" s="513"/>
    </row>
    <row hidden="true" r="82">
      <c r="A82" s="516">
        <v>46072</v>
      </c>
      <c r="B82" s="517"/>
      <c r="C82" s="517"/>
      <c r="D82" s="517">
        <f>SUM(D81)</f>
      </c>
      <c r="E82" s="517">
        <f>SUM(E81)</f>
      </c>
      <c r="F82" s="517">
        <f>SUM(F81)</f>
      </c>
      <c r="G82" s="517">
        <f>SUM(G81)</f>
      </c>
      <c r="H82" s="517">
        <f>SUM(H81)</f>
      </c>
      <c r="I82" s="517">
        <f>SUM(I81)</f>
      </c>
      <c r="J82" s="517">
        <f>SUM(J81)</f>
      </c>
      <c r="K82" s="517">
        <f>SUM(K81)</f>
      </c>
      <c r="L82" s="518">
        <f t="shared" si="1"/>
      </c>
      <c r="M82" s="518">
        <f t="shared" si="4"/>
      </c>
      <c r="N82" s="518">
        <f t="shared" si="6"/>
      </c>
      <c r="O82" s="519"/>
      <c r="P82" s="517">
        <f>P81</f>
      </c>
      <c r="Q82" s="519"/>
    </row>
    <row hidden="true" r="83">
      <c r="A83" s="506">
        <v>46073</v>
      </c>
      <c r="B83" s="507" t="s">
        <v>490</v>
      </c>
      <c r="C83" s="508" t="s">
        <v>510</v>
      </c>
      <c r="D83" s="507">
        <v>5</v>
      </c>
      <c r="E83" s="509">
        <v>94</v>
      </c>
      <c r="F83" s="507">
        <v>71</v>
      </c>
      <c r="G83" s="507">
        <v>43</v>
      </c>
      <c r="H83" s="507">
        <v>47</v>
      </c>
      <c r="I83" s="507">
        <v>10</v>
      </c>
      <c r="J83" s="510">
        <v>84434.40000000002</v>
      </c>
      <c r="K83" s="507">
        <v>34437.97</v>
      </c>
      <c r="L83" s="511">
        <f t="shared" si="1"/>
      </c>
      <c r="M83" s="511">
        <f t="shared" si="4"/>
      </c>
      <c r="N83" s="511">
        <f t="shared" si="6"/>
      </c>
      <c r="O83" s="512" t="s">
        <v>514</v>
      </c>
      <c r="P83" s="507">
        <v>2</v>
      </c>
      <c r="Q83" s="513"/>
    </row>
    <row hidden="true" r="84">
      <c r="A84" s="516">
        <v>46073</v>
      </c>
      <c r="B84" s="517"/>
      <c r="C84" s="517"/>
      <c r="D84" s="517">
        <f>SUM(D83)</f>
      </c>
      <c r="E84" s="517">
        <f>SUM(E83)</f>
      </c>
      <c r="F84" s="517">
        <f>SUM(F83)</f>
      </c>
      <c r="G84" s="517">
        <f>SUM(G83)</f>
      </c>
      <c r="H84" s="517">
        <f>SUM(H83)</f>
      </c>
      <c r="I84" s="517">
        <f>SUM(I83)</f>
      </c>
      <c r="J84" s="517">
        <f>SUM(J83)</f>
      </c>
      <c r="K84" s="517">
        <f>SUM(K83)</f>
      </c>
      <c r="L84" s="518">
        <f t="shared" si="1"/>
      </c>
      <c r="M84" s="518">
        <f t="shared" si="4"/>
      </c>
      <c r="N84" s="518">
        <f t="shared" si="6"/>
      </c>
      <c r="O84" s="519"/>
      <c r="P84" s="517">
        <f>P83</f>
      </c>
      <c r="Q84" s="519"/>
    </row>
    <row hidden="true" r="85">
      <c r="A85" s="506">
        <v>46074</v>
      </c>
      <c r="B85" s="507" t="s">
        <v>495</v>
      </c>
      <c r="C85" s="508" t="s">
        <v>515</v>
      </c>
      <c r="D85" s="507">
        <v>5</v>
      </c>
      <c r="E85" s="507">
        <v>78</v>
      </c>
      <c r="F85" s="507">
        <v>55</v>
      </c>
      <c r="G85" s="507">
        <v>45</v>
      </c>
      <c r="H85" s="507">
        <v>35</v>
      </c>
      <c r="I85" s="507">
        <v>6</v>
      </c>
      <c r="J85" s="510">
        <v>58288.600000000006</v>
      </c>
      <c r="K85" s="507">
        <v>31591.459999999995</v>
      </c>
      <c r="L85" s="511">
        <f t="shared" si="1"/>
      </c>
      <c r="M85" s="511">
        <f t="shared" si="4"/>
      </c>
      <c r="N85" s="511">
        <f t="shared" si="6"/>
      </c>
      <c r="O85" s="512" t="s">
        <v>516</v>
      </c>
      <c r="P85" s="507">
        <v>2</v>
      </c>
      <c r="Q85" s="513"/>
    </row>
    <row customHeight="true" ht="16.071428571428573" r="86">
      <c r="A86" s="506">
        <v>46074</v>
      </c>
      <c r="B86" s="507" t="s">
        <v>492</v>
      </c>
      <c r="C86" s="508" t="s">
        <v>496</v>
      </c>
      <c r="D86" s="507">
        <v>5</v>
      </c>
      <c r="E86" s="507">
        <v>128</v>
      </c>
      <c r="F86" s="507">
        <v>108</v>
      </c>
      <c r="G86" s="507">
        <v>84</v>
      </c>
      <c r="H86" s="507">
        <v>76</v>
      </c>
      <c r="I86" s="507">
        <v>16</v>
      </c>
      <c r="J86" s="510">
        <v>114338.4</v>
      </c>
      <c r="K86" s="507">
        <v>44208.509999999995</v>
      </c>
      <c r="L86" s="511">
        <f t="shared" si="1"/>
      </c>
      <c r="M86" s="511">
        <f t="shared" si="4"/>
      </c>
      <c r="N86" s="511">
        <f t="shared" si="6"/>
      </c>
      <c r="O86" s="512" t="s">
        <v>505</v>
      </c>
      <c r="P86" s="507">
        <v>7.4</v>
      </c>
      <c r="Q86" s="513"/>
    </row>
    <row hidden="true" r="87">
      <c r="A87" s="516">
        <v>46074</v>
      </c>
      <c r="B87" s="517"/>
      <c r="C87" s="517"/>
      <c r="D87" s="517">
        <f>SUM(D85:D86)</f>
      </c>
      <c r="E87" s="517">
        <f>SUM(E85:E86)</f>
      </c>
      <c r="F87" s="517">
        <f>SUM(F85:F86)</f>
      </c>
      <c r="G87" s="517">
        <f>SUM(G85:G86)</f>
      </c>
      <c r="H87" s="517">
        <f>SUM(H85:H86)</f>
      </c>
      <c r="I87" s="517">
        <f>SUM(I85:I86)</f>
      </c>
      <c r="J87" s="517">
        <f>SUM(J85:J86)</f>
      </c>
      <c r="K87" s="517">
        <f>SUM(K85:K86)</f>
      </c>
      <c r="L87" s="518">
        <f t="shared" si="1"/>
      </c>
      <c r="M87" s="518">
        <f t="shared" si="4"/>
      </c>
      <c r="N87" s="518">
        <f t="shared" si="6"/>
      </c>
      <c r="O87" s="519"/>
      <c r="P87" s="517">
        <f>SUM(P85:P86)</f>
      </c>
      <c r="Q87" s="519"/>
    </row>
    <row hidden="true" r="88">
      <c r="A88" s="506">
        <v>46075</v>
      </c>
      <c r="B88" s="507" t="s">
        <v>495</v>
      </c>
      <c r="C88" s="508" t="s">
        <v>486</v>
      </c>
      <c r="D88" s="507">
        <v>5</v>
      </c>
      <c r="E88" s="509">
        <v>134</v>
      </c>
      <c r="F88" s="507">
        <v>97</v>
      </c>
      <c r="G88" s="507">
        <v>77</v>
      </c>
      <c r="H88" s="507">
        <v>62</v>
      </c>
      <c r="I88" s="507">
        <v>8</v>
      </c>
      <c r="J88" s="510">
        <v>109136.6</v>
      </c>
      <c r="K88" s="507">
        <v>61185.05</v>
      </c>
      <c r="L88" s="511">
        <f t="shared" si="1"/>
      </c>
      <c r="M88" s="511">
        <f t="shared" si="4"/>
      </c>
      <c r="N88" s="511">
        <f t="shared" si="6"/>
      </c>
      <c r="O88" s="512" t="s">
        <v>487</v>
      </c>
      <c r="P88" s="507">
        <v>10</v>
      </c>
      <c r="Q88" s="513"/>
    </row>
    <row r="89">
      <c r="A89" s="506">
        <v>46075</v>
      </c>
      <c r="B89" s="507" t="s">
        <v>492</v>
      </c>
      <c r="C89" s="508" t="s">
        <v>489</v>
      </c>
      <c r="D89" s="507">
        <v>5</v>
      </c>
      <c r="E89" s="507">
        <v>75</v>
      </c>
      <c r="F89" s="507">
        <v>56</v>
      </c>
      <c r="G89" s="507">
        <v>46</v>
      </c>
      <c r="H89" s="507">
        <v>38</v>
      </c>
      <c r="I89" s="507">
        <v>4</v>
      </c>
      <c r="J89" s="510">
        <v>55788.400000000016</v>
      </c>
      <c r="K89" s="510">
        <v>28538.769999999997</v>
      </c>
      <c r="L89" s="511">
        <f t="shared" si="1"/>
      </c>
      <c r="M89" s="511">
        <f t="shared" si="4"/>
      </c>
      <c r="N89" s="511">
        <f t="shared" si="6"/>
      </c>
      <c r="O89" s="514"/>
      <c r="P89" s="514"/>
      <c r="Q89" s="515"/>
    </row>
    <row hidden="true" r="90">
      <c r="A90" s="506">
        <v>46075</v>
      </c>
      <c r="B90" s="507" t="s">
        <v>498</v>
      </c>
      <c r="C90" s="508" t="s">
        <v>491</v>
      </c>
      <c r="D90" s="507">
        <v>5</v>
      </c>
      <c r="E90" s="507">
        <v>71</v>
      </c>
      <c r="F90" s="507">
        <v>58</v>
      </c>
      <c r="G90" s="507">
        <v>40</v>
      </c>
      <c r="H90" s="507">
        <v>38</v>
      </c>
      <c r="I90" s="507">
        <v>8</v>
      </c>
      <c r="J90" s="510">
        <v>54708.8</v>
      </c>
      <c r="K90" s="510">
        <v>30958.54</v>
      </c>
      <c r="L90" s="511">
        <f t="shared" si="1"/>
      </c>
      <c r="M90" s="511">
        <f t="shared" si="4"/>
      </c>
      <c r="N90" s="511">
        <f t="shared" si="6"/>
      </c>
      <c r="O90" s="512" t="s">
        <v>517</v>
      </c>
      <c r="P90" s="507">
        <v>0.8</v>
      </c>
      <c r="Q90" s="515"/>
    </row>
    <row hidden="true" r="91">
      <c r="A91" s="506">
        <v>46075</v>
      </c>
      <c r="B91" s="507" t="s">
        <v>490</v>
      </c>
      <c r="C91" s="508" t="s">
        <v>493</v>
      </c>
      <c r="D91" s="507">
        <v>5</v>
      </c>
      <c r="E91" s="507">
        <v>105</v>
      </c>
      <c r="F91" s="507">
        <v>83</v>
      </c>
      <c r="G91" s="507">
        <v>60</v>
      </c>
      <c r="H91" s="507">
        <v>54</v>
      </c>
      <c r="I91" s="507">
        <v>12</v>
      </c>
      <c r="J91" s="510">
        <v>81708.3</v>
      </c>
      <c r="K91" s="510">
        <v>31796.96</v>
      </c>
      <c r="L91" s="511">
        <f t="shared" si="1"/>
      </c>
      <c r="M91" s="511">
        <f t="shared" si="4"/>
      </c>
      <c r="N91" s="511">
        <f>K91/H91</f>
      </c>
      <c r="O91" s="512" t="s">
        <v>503</v>
      </c>
      <c r="P91" s="507">
        <v>8</v>
      </c>
      <c r="Q91" s="514"/>
    </row>
    <row hidden="true" r="92">
      <c r="A92" s="516">
        <v>46075</v>
      </c>
      <c r="B92" s="517"/>
      <c r="C92" s="517"/>
      <c r="D92" s="517">
        <f>SUM(D88:D91)</f>
      </c>
      <c r="E92" s="517">
        <f>SUM(E88:E91)</f>
      </c>
      <c r="F92" s="517">
        <f>SUM(F88:F91)</f>
      </c>
      <c r="G92" s="517">
        <f>SUM(G88:G91)</f>
      </c>
      <c r="H92" s="517">
        <f>SUM(H88:H91)</f>
      </c>
      <c r="I92" s="517">
        <f>SUM(I88:I91)</f>
      </c>
      <c r="J92" s="517">
        <f>SUM(J88:J91)</f>
      </c>
      <c r="K92" s="517">
        <f>SUM(K88:K91)</f>
      </c>
      <c r="L92" s="518">
        <f t="shared" si="1"/>
      </c>
      <c r="M92" s="518">
        <f t="shared" si="4"/>
      </c>
      <c r="N92" s="518">
        <f t="shared" ref="N92:N95" si="7">K92/F92</f>
      </c>
      <c r="O92" s="519"/>
      <c r="P92" s="517">
        <f>P88+P89+P90+P91</f>
      </c>
      <c r="Q92" s="519"/>
    </row>
    <row r="93">
      <c r="A93" s="506">
        <v>46076</v>
      </c>
      <c r="B93" s="507" t="s">
        <v>492</v>
      </c>
      <c r="C93" s="508" t="s">
        <v>486</v>
      </c>
      <c r="D93" s="507">
        <v>5</v>
      </c>
      <c r="E93" s="509">
        <v>95</v>
      </c>
      <c r="F93" s="507">
        <v>66</v>
      </c>
      <c r="G93" s="507">
        <v>50</v>
      </c>
      <c r="H93" s="507">
        <v>45</v>
      </c>
      <c r="I93" s="507">
        <v>9</v>
      </c>
      <c r="J93" s="510">
        <v>68758.80000000002</v>
      </c>
      <c r="K93" s="507">
        <v>45544.020000000004</v>
      </c>
      <c r="L93" s="511">
        <f t="shared" si="1"/>
      </c>
      <c r="M93" s="511">
        <f t="shared" si="4"/>
      </c>
      <c r="N93" s="511">
        <f t="shared" si="7"/>
      </c>
      <c r="O93" s="512" t="s">
        <v>487</v>
      </c>
      <c r="P93" s="507">
        <v>10</v>
      </c>
      <c r="Q93" s="513"/>
    </row>
    <row hidden="true" r="94">
      <c r="A94" s="506">
        <v>46076</v>
      </c>
      <c r="B94" s="507" t="s">
        <v>490</v>
      </c>
      <c r="C94" s="508" t="s">
        <v>489</v>
      </c>
      <c r="D94" s="507">
        <v>5</v>
      </c>
      <c r="E94" s="507">
        <v>77</v>
      </c>
      <c r="F94" s="507">
        <v>53</v>
      </c>
      <c r="G94" s="507">
        <v>39</v>
      </c>
      <c r="H94" s="507">
        <v>36</v>
      </c>
      <c r="I94" s="507">
        <v>6</v>
      </c>
      <c r="J94" s="510">
        <v>57539.600000000006</v>
      </c>
      <c r="K94" s="510">
        <v>26276.829999999998</v>
      </c>
      <c r="L94" s="511">
        <f t="shared" si="1"/>
      </c>
      <c r="M94" s="511">
        <f t="shared" si="4"/>
      </c>
      <c r="N94" s="511">
        <f t="shared" si="7"/>
      </c>
      <c r="O94" s="514"/>
      <c r="P94" s="514"/>
      <c r="Q94" s="515"/>
    </row>
    <row hidden="true" r="95">
      <c r="A95" s="506">
        <v>46076</v>
      </c>
      <c r="B95" s="507" t="s">
        <v>495</v>
      </c>
      <c r="C95" s="508" t="s">
        <v>491</v>
      </c>
      <c r="D95" s="507">
        <v>5</v>
      </c>
      <c r="E95" s="507">
        <v>47</v>
      </c>
      <c r="F95" s="507">
        <v>36</v>
      </c>
      <c r="G95" s="507">
        <v>27</v>
      </c>
      <c r="H95" s="507">
        <v>19</v>
      </c>
      <c r="I95" s="507">
        <v>2</v>
      </c>
      <c r="J95" s="510">
        <v>30104.600000000013</v>
      </c>
      <c r="K95" s="510">
        <v>19805.949999999997</v>
      </c>
      <c r="L95" s="511">
        <f t="shared" si="1"/>
      </c>
      <c r="M95" s="511">
        <f t="shared" si="4"/>
      </c>
      <c r="N95" s="511">
        <f t="shared" si="7"/>
      </c>
      <c r="O95" s="512"/>
      <c r="P95" s="507"/>
      <c r="Q95" s="515"/>
    </row>
    <row hidden="true" r="96">
      <c r="A96" s="506">
        <v>46076</v>
      </c>
      <c r="B96" s="507" t="s">
        <v>498</v>
      </c>
      <c r="C96" s="508" t="s">
        <v>493</v>
      </c>
      <c r="D96" s="507">
        <v>5</v>
      </c>
      <c r="E96" s="507">
        <v>59</v>
      </c>
      <c r="F96" s="507">
        <v>52</v>
      </c>
      <c r="G96" s="507">
        <v>36</v>
      </c>
      <c r="H96" s="507">
        <v>30</v>
      </c>
      <c r="I96" s="507">
        <v>7</v>
      </c>
      <c r="J96" s="510">
        <v>56813.399999999994</v>
      </c>
      <c r="K96" s="510">
        <v>23063.600000000002</v>
      </c>
      <c r="L96" s="511">
        <f t="shared" si="1"/>
      </c>
      <c r="M96" s="511">
        <f t="shared" si="4"/>
      </c>
      <c r="N96" s="511">
        <f>K96/H96</f>
      </c>
      <c r="O96" s="512" t="s">
        <v>518</v>
      </c>
      <c r="P96" s="507">
        <v>10</v>
      </c>
      <c r="Q96" s="514"/>
    </row>
    <row hidden="true" r="97">
      <c r="A97" s="516">
        <v>46076</v>
      </c>
      <c r="B97" s="517"/>
      <c r="C97" s="517"/>
      <c r="D97" s="517">
        <f>SUM(D93:D96)</f>
      </c>
      <c r="E97" s="517">
        <f>SUM(E93:E96)</f>
      </c>
      <c r="F97" s="517">
        <f>SUM(F93:F96)</f>
      </c>
      <c r="G97" s="517">
        <f>SUM(G93:G96)</f>
      </c>
      <c r="H97" s="517">
        <f>SUM(H93:H96)</f>
      </c>
      <c r="I97" s="517">
        <f>SUM(I93:I96)</f>
      </c>
      <c r="J97" s="517">
        <f>SUM(J93:J96)</f>
      </c>
      <c r="K97" s="517">
        <f>SUM(K93:K96)</f>
      </c>
      <c r="L97" s="518">
        <f t="shared" si="1"/>
      </c>
      <c r="M97" s="518">
        <f t="shared" si="4"/>
      </c>
      <c r="N97" s="518">
        <f t="shared" ref="N97:N100" si="8">K97/F97</f>
      </c>
      <c r="O97" s="519"/>
      <c r="P97" s="517">
        <f>P93+P94+P95+P96</f>
      </c>
      <c r="Q97" s="519"/>
    </row>
    <row r="98">
      <c r="A98" s="506">
        <v>46077</v>
      </c>
      <c r="B98" s="507" t="s">
        <v>492</v>
      </c>
      <c r="C98" s="508" t="s">
        <v>486</v>
      </c>
      <c r="D98" s="507">
        <v>5</v>
      </c>
      <c r="E98" s="509">
        <v>57</v>
      </c>
      <c r="F98" s="507">
        <v>41</v>
      </c>
      <c r="G98" s="507">
        <v>35</v>
      </c>
      <c r="H98" s="507">
        <v>28</v>
      </c>
      <c r="I98" s="507">
        <v>1</v>
      </c>
      <c r="J98" s="510">
        <v>39963.600000000006</v>
      </c>
      <c r="K98" s="507">
        <v>25880.63</v>
      </c>
      <c r="L98" s="511">
        <f t="shared" si="1"/>
      </c>
      <c r="M98" s="511">
        <f t="shared" si="4"/>
      </c>
      <c r="N98" s="511">
        <f t="shared" si="8"/>
      </c>
      <c r="O98" s="512" t="s">
        <v>487</v>
      </c>
      <c r="P98" s="507">
        <v>10</v>
      </c>
      <c r="Q98" s="513"/>
    </row>
    <row hidden="true" r="99">
      <c r="A99" s="506">
        <v>46077</v>
      </c>
      <c r="B99" s="507" t="s">
        <v>495</v>
      </c>
      <c r="C99" s="508" t="s">
        <v>489</v>
      </c>
      <c r="D99" s="507">
        <v>5</v>
      </c>
      <c r="E99" s="507">
        <v>44</v>
      </c>
      <c r="F99" s="507">
        <v>38</v>
      </c>
      <c r="G99" s="507">
        <v>31</v>
      </c>
      <c r="H99" s="507">
        <v>28</v>
      </c>
      <c r="I99" s="507">
        <v>2</v>
      </c>
      <c r="J99" s="510">
        <v>35860.2</v>
      </c>
      <c r="K99" s="510">
        <v>24931.6</v>
      </c>
      <c r="L99" s="511">
        <f t="shared" si="1"/>
      </c>
      <c r="M99" s="511">
        <f t="shared" si="4"/>
      </c>
      <c r="N99" s="511">
        <f t="shared" si="8"/>
      </c>
      <c r="O99" s="514"/>
      <c r="P99" s="514"/>
      <c r="Q99" s="515"/>
    </row>
    <row hidden="true" r="100">
      <c r="A100" s="506">
        <v>46077</v>
      </c>
      <c r="B100" s="507" t="s">
        <v>490</v>
      </c>
      <c r="C100" s="508" t="s">
        <v>491</v>
      </c>
      <c r="D100" s="507">
        <v>5</v>
      </c>
      <c r="E100" s="507">
        <v>71</v>
      </c>
      <c r="F100" s="507">
        <v>59</v>
      </c>
      <c r="G100" s="507">
        <v>40</v>
      </c>
      <c r="H100" s="507">
        <v>41</v>
      </c>
      <c r="I100" s="507">
        <v>5</v>
      </c>
      <c r="J100" s="510">
        <v>65437.799999999996</v>
      </c>
      <c r="K100" s="510">
        <v>24069.21</v>
      </c>
      <c r="L100" s="511">
        <f t="shared" si="1"/>
      </c>
      <c r="M100" s="511">
        <f t="shared" si="4"/>
      </c>
      <c r="N100" s="511">
        <f t="shared" si="8"/>
      </c>
      <c r="O100" s="512"/>
      <c r="P100" s="507"/>
      <c r="Q100" s="515"/>
    </row>
    <row hidden="true" r="101">
      <c r="A101" s="506">
        <v>46077</v>
      </c>
      <c r="B101" s="507" t="s">
        <v>498</v>
      </c>
      <c r="C101" s="508" t="s">
        <v>493</v>
      </c>
      <c r="D101" s="507">
        <v>5</v>
      </c>
      <c r="E101" s="507">
        <v>88</v>
      </c>
      <c r="F101" s="507">
        <v>73</v>
      </c>
      <c r="G101" s="507">
        <v>46</v>
      </c>
      <c r="H101" s="507">
        <v>57</v>
      </c>
      <c r="I101" s="507">
        <v>8</v>
      </c>
      <c r="J101" s="510">
        <v>64007.40000000003</v>
      </c>
      <c r="K101" s="510">
        <v>35128.93</v>
      </c>
      <c r="L101" s="511">
        <f t="shared" si="1"/>
      </c>
      <c r="M101" s="511">
        <f t="shared" si="4"/>
      </c>
      <c r="N101" s="511">
        <f>K101/H101</f>
      </c>
      <c r="O101" s="512" t="s">
        <v>494</v>
      </c>
      <c r="P101" s="507">
        <v>10</v>
      </c>
      <c r="Q101" s="514"/>
    </row>
    <row hidden="true" r="102">
      <c r="A102" s="516">
        <v>46077</v>
      </c>
      <c r="B102" s="517"/>
      <c r="C102" s="517"/>
      <c r="D102" s="517">
        <f>SUM(D98:D101)</f>
      </c>
      <c r="E102" s="517">
        <f>SUM(E98:E101)</f>
      </c>
      <c r="F102" s="517">
        <f>SUM(F98:F101)</f>
      </c>
      <c r="G102" s="517">
        <f>SUM(G98:G101)</f>
      </c>
      <c r="H102" s="517">
        <f>SUM(H98:H101)</f>
      </c>
      <c r="I102" s="517">
        <f>SUM(I98:I101)</f>
      </c>
      <c r="J102" s="517">
        <f>SUM(J98:J101)</f>
      </c>
      <c r="K102" s="517">
        <f>SUM(K98:K101)</f>
      </c>
      <c r="L102" s="518">
        <f t="shared" si="1"/>
      </c>
      <c r="M102" s="518">
        <f t="shared" si="4"/>
      </c>
      <c r="N102" s="518">
        <f t="shared" ref="N102:N105" si="9">K102/F102</f>
      </c>
      <c r="O102" s="519"/>
      <c r="P102" s="517">
        <f>P98+P99+P100+P101</f>
      </c>
      <c r="Q102" s="519"/>
    </row>
    <row hidden="true" r="103">
      <c r="A103" s="506">
        <v>46078</v>
      </c>
      <c r="B103" s="507" t="s">
        <v>485</v>
      </c>
      <c r="C103" s="508" t="s">
        <v>486</v>
      </c>
      <c r="D103" s="507">
        <v>5</v>
      </c>
      <c r="E103" s="509">
        <v>67</v>
      </c>
      <c r="F103" s="507">
        <v>52</v>
      </c>
      <c r="G103" s="507">
        <v>39</v>
      </c>
      <c r="H103" s="507">
        <v>37</v>
      </c>
      <c r="I103" s="507">
        <v>7</v>
      </c>
      <c r="J103" s="510">
        <v>45658.00000000001</v>
      </c>
      <c r="K103" s="507">
        <v>30861.47</v>
      </c>
      <c r="L103" s="511">
        <f t="shared" si="1"/>
      </c>
      <c r="M103" s="511">
        <f t="shared" si="4"/>
      </c>
      <c r="N103" s="511">
        <f t="shared" si="9"/>
      </c>
      <c r="O103" s="512" t="s">
        <v>487</v>
      </c>
      <c r="P103" s="507">
        <v>10</v>
      </c>
      <c r="Q103" s="513"/>
    </row>
    <row r="104">
      <c r="A104" s="506">
        <v>46078</v>
      </c>
      <c r="B104" s="507" t="s">
        <v>492</v>
      </c>
      <c r="C104" s="508" t="s">
        <v>489</v>
      </c>
      <c r="D104" s="507">
        <v>5</v>
      </c>
      <c r="E104" s="507">
        <v>34</v>
      </c>
      <c r="F104" s="507">
        <v>28</v>
      </c>
      <c r="G104" s="507">
        <v>20</v>
      </c>
      <c r="H104" s="507">
        <v>20</v>
      </c>
      <c r="I104" s="507">
        <v>1</v>
      </c>
      <c r="J104" s="510">
        <v>30804.4</v>
      </c>
      <c r="K104" s="510">
        <v>17493.739999999998</v>
      </c>
      <c r="L104" s="511">
        <f t="shared" si="1"/>
      </c>
      <c r="M104" s="511">
        <f t="shared" si="4"/>
      </c>
      <c r="N104" s="511">
        <f t="shared" si="9"/>
      </c>
      <c r="O104" s="514"/>
      <c r="P104" s="514"/>
      <c r="Q104" s="515"/>
    </row>
    <row hidden="true" r="105">
      <c r="A105" s="506">
        <v>46078</v>
      </c>
      <c r="B105" s="507" t="s">
        <v>498</v>
      </c>
      <c r="C105" s="508" t="s">
        <v>491</v>
      </c>
      <c r="D105" s="507">
        <v>5</v>
      </c>
      <c r="E105" s="507">
        <v>67</v>
      </c>
      <c r="F105" s="507">
        <v>53</v>
      </c>
      <c r="G105" s="507">
        <v>28</v>
      </c>
      <c r="H105" s="507">
        <v>41</v>
      </c>
      <c r="I105" s="507">
        <v>8</v>
      </c>
      <c r="J105" s="510">
        <v>41238.5</v>
      </c>
      <c r="K105" s="510">
        <v>16910.18</v>
      </c>
      <c r="L105" s="511">
        <f t="shared" si="1"/>
      </c>
      <c r="M105" s="511">
        <f t="shared" si="4"/>
      </c>
      <c r="N105" s="511">
        <f t="shared" si="9"/>
      </c>
      <c r="O105" s="512"/>
      <c r="P105" s="507"/>
      <c r="Q105" s="515"/>
    </row>
    <row hidden="true" r="106">
      <c r="A106" s="506">
        <v>46078</v>
      </c>
      <c r="B106" s="507" t="s">
        <v>495</v>
      </c>
      <c r="C106" s="508" t="s">
        <v>493</v>
      </c>
      <c r="D106" s="507">
        <v>5</v>
      </c>
      <c r="E106" s="507">
        <v>78</v>
      </c>
      <c r="F106" s="507">
        <v>56</v>
      </c>
      <c r="G106" s="507">
        <v>37</v>
      </c>
      <c r="H106" s="507">
        <v>43</v>
      </c>
      <c r="I106" s="507">
        <v>9</v>
      </c>
      <c r="J106" s="510">
        <v>51318.000000000015</v>
      </c>
      <c r="K106" s="510">
        <v>26075.91</v>
      </c>
      <c r="L106" s="511">
        <f t="shared" si="1"/>
      </c>
      <c r="M106" s="511">
        <f t="shared" si="4"/>
      </c>
      <c r="N106" s="511">
        <f>K106/H106</f>
      </c>
      <c r="O106" s="512" t="s">
        <v>494</v>
      </c>
      <c r="P106" s="507">
        <v>10</v>
      </c>
      <c r="Q106" s="514"/>
    </row>
    <row hidden="true" r="107">
      <c r="A107" s="516">
        <v>46078</v>
      </c>
      <c r="B107" s="517"/>
      <c r="C107" s="517"/>
      <c r="D107" s="517">
        <f>SUM(D103:D106)</f>
      </c>
      <c r="E107" s="517">
        <f>SUM(E103:E106)</f>
      </c>
      <c r="F107" s="517">
        <f>SUM(F103:F106)</f>
      </c>
      <c r="G107" s="517">
        <f>SUM(G103:G106)</f>
      </c>
      <c r="H107" s="517">
        <f>SUM(H103:H106)</f>
      </c>
      <c r="I107" s="517">
        <f>SUM(I103:I106)</f>
      </c>
      <c r="J107" s="517">
        <f>SUM(J103:J106)</f>
      </c>
      <c r="K107" s="517">
        <f>SUM(K103:K106)</f>
      </c>
      <c r="L107" s="518">
        <f t="shared" si="1"/>
      </c>
      <c r="M107" s="518">
        <f t="shared" si="4"/>
      </c>
      <c r="N107" s="518">
        <f t="shared" ref="N107:N110" si="10">K107/F107</f>
      </c>
      <c r="O107" s="519"/>
      <c r="P107" s="517">
        <f>P103+P104+P105+P106</f>
      </c>
      <c r="Q107" s="519"/>
    </row>
    <row hidden="true" r="108">
      <c r="A108" s="506">
        <v>46079</v>
      </c>
      <c r="B108" s="507" t="s">
        <v>485</v>
      </c>
      <c r="C108" s="508" t="s">
        <v>486</v>
      </c>
      <c r="D108" s="507">
        <v>5</v>
      </c>
      <c r="E108" s="509">
        <v>92</v>
      </c>
      <c r="F108" s="507">
        <v>72</v>
      </c>
      <c r="G108" s="507">
        <v>43</v>
      </c>
      <c r="H108" s="507">
        <v>46</v>
      </c>
      <c r="I108" s="507">
        <v>10</v>
      </c>
      <c r="J108" s="510">
        <v>74120.80000000002</v>
      </c>
      <c r="K108" s="507">
        <v>34135.36</v>
      </c>
      <c r="L108" s="511">
        <f t="shared" si="1"/>
      </c>
      <c r="M108" s="511">
        <f t="shared" si="4"/>
      </c>
      <c r="N108" s="511">
        <f t="shared" si="10"/>
      </c>
      <c r="O108" s="512" t="s">
        <v>487</v>
      </c>
      <c r="P108" s="507">
        <v>10</v>
      </c>
      <c r="Q108" s="513"/>
    </row>
    <row r="109">
      <c r="A109" s="506">
        <v>46079</v>
      </c>
      <c r="B109" s="507" t="s">
        <v>492</v>
      </c>
      <c r="C109" s="508" t="s">
        <v>489</v>
      </c>
      <c r="D109" s="507">
        <v>5</v>
      </c>
      <c r="E109" s="507">
        <v>91</v>
      </c>
      <c r="F109" s="507">
        <v>67</v>
      </c>
      <c r="G109" s="507">
        <v>50</v>
      </c>
      <c r="H109" s="507">
        <v>52</v>
      </c>
      <c r="I109" s="507">
        <v>6</v>
      </c>
      <c r="J109" s="510">
        <v>55753.400000000016</v>
      </c>
      <c r="K109" s="510">
        <v>30428.55</v>
      </c>
      <c r="L109" s="511">
        <f t="shared" si="1"/>
      </c>
      <c r="M109" s="511">
        <f t="shared" si="4"/>
      </c>
      <c r="N109" s="511">
        <f t="shared" si="10"/>
      </c>
      <c r="O109" s="514"/>
      <c r="P109" s="514"/>
      <c r="Q109" s="515"/>
    </row>
    <row hidden="true" r="110">
      <c r="A110" s="506">
        <v>46079</v>
      </c>
      <c r="B110" s="507" t="s">
        <v>498</v>
      </c>
      <c r="C110" s="508" t="s">
        <v>491</v>
      </c>
      <c r="D110" s="507">
        <v>5</v>
      </c>
      <c r="E110" s="507">
        <v>41</v>
      </c>
      <c r="F110" s="507">
        <v>31</v>
      </c>
      <c r="G110" s="507">
        <v>18</v>
      </c>
      <c r="H110" s="507">
        <v>20</v>
      </c>
      <c r="I110" s="507">
        <v>3</v>
      </c>
      <c r="J110" s="510">
        <v>29545.799999999996</v>
      </c>
      <c r="K110" s="510">
        <v>17763.63</v>
      </c>
      <c r="L110" s="511">
        <f t="shared" si="1"/>
      </c>
      <c r="M110" s="511">
        <f t="shared" si="4"/>
      </c>
      <c r="N110" s="511">
        <f t="shared" si="10"/>
      </c>
      <c r="O110" s="512"/>
      <c r="P110" s="507"/>
      <c r="Q110" s="515"/>
    </row>
    <row hidden="true" r="111">
      <c r="A111" s="506">
        <v>46079</v>
      </c>
      <c r="B111" s="507" t="s">
        <v>495</v>
      </c>
      <c r="C111" s="508" t="s">
        <v>493</v>
      </c>
      <c r="D111" s="507">
        <v>5</v>
      </c>
      <c r="E111" s="507">
        <v>60</v>
      </c>
      <c r="F111" s="507">
        <v>44</v>
      </c>
      <c r="G111" s="507">
        <v>29</v>
      </c>
      <c r="H111" s="507">
        <v>31</v>
      </c>
      <c r="I111" s="507">
        <v>8</v>
      </c>
      <c r="J111" s="510">
        <v>42361.000000000015</v>
      </c>
      <c r="K111" s="510">
        <v>21335.61</v>
      </c>
      <c r="L111" s="511">
        <f t="shared" si="1"/>
      </c>
      <c r="M111" s="511">
        <f t="shared" si="4"/>
      </c>
      <c r="N111" s="511">
        <f>K111/H111</f>
      </c>
      <c r="O111" s="512" t="s">
        <v>494</v>
      </c>
      <c r="P111" s="507">
        <v>10</v>
      </c>
      <c r="Q111" s="514"/>
    </row>
    <row hidden="true" r="112">
      <c r="A112" s="516">
        <v>46079</v>
      </c>
      <c r="B112" s="517"/>
      <c r="C112" s="517"/>
      <c r="D112" s="517">
        <f>SUM(D108:D111)</f>
      </c>
      <c r="E112" s="517">
        <f>SUM(E108:E111)</f>
      </c>
      <c r="F112" s="517">
        <f>SUM(F108:F111)</f>
      </c>
      <c r="G112" s="517">
        <f>SUM(G108:G111)</f>
      </c>
      <c r="H112" s="517">
        <f>SUM(H108:H111)</f>
      </c>
      <c r="I112" s="517">
        <f>SUM(I108:I111)</f>
      </c>
      <c r="J112" s="517">
        <f>SUM(J108:J111)</f>
      </c>
      <c r="K112" s="517">
        <f>SUM(K108:K111)</f>
      </c>
      <c r="L112" s="518">
        <f t="shared" si="1"/>
      </c>
      <c r="M112" s="518">
        <f t="shared" si="4"/>
      </c>
      <c r="N112" s="518">
        <f t="shared" ref="N112:N115" si="11">K112/F112</f>
      </c>
      <c r="O112" s="519"/>
      <c r="P112" s="517">
        <f>P108+P109+P110+P111</f>
      </c>
      <c r="Q112" s="519"/>
    </row>
    <row hidden="true" r="113">
      <c r="A113" s="506">
        <v>46080</v>
      </c>
      <c r="B113" s="507" t="s">
        <v>485</v>
      </c>
      <c r="C113" s="508" t="s">
        <v>486</v>
      </c>
      <c r="D113" s="507">
        <v>5</v>
      </c>
      <c r="E113" s="509">
        <v>57</v>
      </c>
      <c r="F113" s="507">
        <v>41</v>
      </c>
      <c r="G113" s="507">
        <v>36</v>
      </c>
      <c r="H113" s="507">
        <v>30</v>
      </c>
      <c r="I113" s="507">
        <v>3</v>
      </c>
      <c r="J113" s="510">
        <v>41209</v>
      </c>
      <c r="K113" s="507">
        <v>30850.409999999996</v>
      </c>
      <c r="L113" s="511">
        <f t="shared" si="1"/>
      </c>
      <c r="M113" s="511">
        <f t="shared" si="4"/>
      </c>
      <c r="N113" s="511">
        <f t="shared" si="11"/>
      </c>
      <c r="O113" s="512" t="s">
        <v>487</v>
      </c>
      <c r="P113" s="507">
        <v>10</v>
      </c>
      <c r="Q113" s="513"/>
    </row>
    <row r="114">
      <c r="A114" s="506">
        <v>46080</v>
      </c>
      <c r="B114" s="507" t="s">
        <v>492</v>
      </c>
      <c r="C114" s="508" t="s">
        <v>489</v>
      </c>
      <c r="D114" s="507">
        <v>5</v>
      </c>
      <c r="E114" s="507">
        <v>64</v>
      </c>
      <c r="F114" s="507">
        <v>46</v>
      </c>
      <c r="G114" s="507">
        <v>35</v>
      </c>
      <c r="H114" s="507">
        <v>23</v>
      </c>
      <c r="I114" s="507">
        <v>3</v>
      </c>
      <c r="J114" s="510">
        <v>48284.399999999994</v>
      </c>
      <c r="K114" s="510">
        <v>21421.18</v>
      </c>
      <c r="L114" s="511">
        <f t="shared" si="1"/>
      </c>
      <c r="M114" s="511">
        <f t="shared" si="4"/>
      </c>
      <c r="N114" s="511">
        <f t="shared" si="11"/>
      </c>
      <c r="O114" s="514"/>
      <c r="P114" s="514"/>
      <c r="Q114" s="515"/>
    </row>
    <row hidden="true" r="115">
      <c r="A115" s="506">
        <v>46080</v>
      </c>
      <c r="B115" s="507" t="s">
        <v>498</v>
      </c>
      <c r="C115" s="508" t="s">
        <v>491</v>
      </c>
      <c r="D115" s="507">
        <v>5</v>
      </c>
      <c r="E115" s="507">
        <v>55</v>
      </c>
      <c r="F115" s="507">
        <v>42</v>
      </c>
      <c r="G115" s="507">
        <v>30</v>
      </c>
      <c r="H115" s="507">
        <v>29</v>
      </c>
      <c r="I115" s="507">
        <v>3</v>
      </c>
      <c r="J115" s="510">
        <v>38352.8</v>
      </c>
      <c r="K115" s="510">
        <v>22616.17</v>
      </c>
      <c r="L115" s="511">
        <f t="shared" si="1"/>
      </c>
      <c r="M115" s="511">
        <f t="shared" si="4"/>
      </c>
      <c r="N115" s="511">
        <f t="shared" si="11"/>
      </c>
      <c r="O115" s="512"/>
      <c r="P115" s="507"/>
      <c r="Q115" s="515"/>
    </row>
    <row hidden="true" r="116">
      <c r="A116" s="506">
        <v>46080</v>
      </c>
      <c r="B116" s="507" t="s">
        <v>495</v>
      </c>
      <c r="C116" s="508" t="s">
        <v>493</v>
      </c>
      <c r="D116" s="522">
        <v>4.5</v>
      </c>
      <c r="E116" s="507">
        <v>65</v>
      </c>
      <c r="F116" s="507">
        <v>52</v>
      </c>
      <c r="G116" s="507">
        <v>37</v>
      </c>
      <c r="H116" s="507">
        <v>34</v>
      </c>
      <c r="I116" s="507">
        <v>7</v>
      </c>
      <c r="J116" s="510">
        <v>49567.00000000001</v>
      </c>
      <c r="K116" s="510">
        <v>23303.86</v>
      </c>
      <c r="L116" s="511">
        <f t="shared" si="1"/>
      </c>
      <c r="M116" s="511">
        <f t="shared" si="4"/>
      </c>
      <c r="N116" s="511">
        <f>K116/H116</f>
      </c>
      <c r="O116" s="512" t="s">
        <v>494</v>
      </c>
      <c r="P116" s="507">
        <v>10</v>
      </c>
      <c r="Q116" s="514"/>
    </row>
    <row hidden="true" r="117">
      <c r="A117" s="516">
        <v>46080</v>
      </c>
      <c r="B117" s="517"/>
      <c r="C117" s="517"/>
      <c r="D117" s="517">
        <f>SUM(D113:D116)</f>
      </c>
      <c r="E117" s="517">
        <f>SUM(E113:E116)</f>
      </c>
      <c r="F117" s="517">
        <f>SUM(F113:F116)</f>
      </c>
      <c r="G117" s="517">
        <f>SUM(G113:G116)</f>
      </c>
      <c r="H117" s="517">
        <f>SUM(H113:H116)</f>
      </c>
      <c r="I117" s="517">
        <f>SUM(I113:I116)</f>
      </c>
      <c r="J117" s="517">
        <f>SUM(J113:J116)</f>
      </c>
      <c r="K117" s="517">
        <f>SUM(K113:K116)</f>
      </c>
      <c r="L117" s="518">
        <f t="shared" si="1"/>
      </c>
      <c r="M117" s="518">
        <f t="shared" si="4"/>
      </c>
      <c r="N117" s="518">
        <f t="shared" ref="N117:N120" si="12">K117/F117</f>
      </c>
      <c r="O117" s="519"/>
      <c r="P117" s="517">
        <f>P113+P114+P115+P116</f>
      </c>
      <c r="Q117" s="519"/>
    </row>
    <row r="118">
      <c r="A118" s="506">
        <v>46081</v>
      </c>
      <c r="B118" s="507" t="s">
        <v>492</v>
      </c>
      <c r="C118" s="508" t="s">
        <v>486</v>
      </c>
      <c r="D118" s="507">
        <v>5</v>
      </c>
      <c r="E118" s="509">
        <v>91</v>
      </c>
      <c r="F118" s="507">
        <v>73</v>
      </c>
      <c r="G118" s="507">
        <v>56</v>
      </c>
      <c r="H118" s="507">
        <v>38</v>
      </c>
      <c r="I118" s="507">
        <v>9</v>
      </c>
      <c r="J118" s="510">
        <v>74750.20000000003</v>
      </c>
      <c r="K118" s="507">
        <v>34937.06</v>
      </c>
      <c r="L118" s="511">
        <f t="shared" si="1"/>
      </c>
      <c r="M118" s="511">
        <f t="shared" si="4"/>
      </c>
      <c r="N118" s="511">
        <f t="shared" si="12"/>
      </c>
      <c r="O118" s="512" t="s">
        <v>487</v>
      </c>
      <c r="P118" s="507">
        <v>10</v>
      </c>
      <c r="Q118" s="513"/>
    </row>
    <row hidden="true" r="119">
      <c r="A119" s="506">
        <v>46081</v>
      </c>
      <c r="B119" s="507" t="s">
        <v>485</v>
      </c>
      <c r="C119" s="508" t="s">
        <v>489</v>
      </c>
      <c r="D119" s="507">
        <v>5</v>
      </c>
      <c r="E119" s="507">
        <v>80</v>
      </c>
      <c r="F119" s="507">
        <v>67</v>
      </c>
      <c r="G119" s="507">
        <v>45</v>
      </c>
      <c r="H119" s="507">
        <v>47</v>
      </c>
      <c r="I119" s="507">
        <v>6</v>
      </c>
      <c r="J119" s="510">
        <v>56952.90000000001</v>
      </c>
      <c r="K119" s="510">
        <v>29380.34</v>
      </c>
      <c r="L119" s="511">
        <f t="shared" si="1"/>
      </c>
      <c r="M119" s="511">
        <f t="shared" si="4"/>
      </c>
      <c r="N119" s="511">
        <f t="shared" si="12"/>
      </c>
      <c r="O119" s="514"/>
      <c r="P119" s="514"/>
      <c r="Q119" s="515"/>
    </row>
    <row hidden="true" r="120">
      <c r="A120" s="506">
        <v>46081</v>
      </c>
      <c r="B120" s="507" t="s">
        <v>498</v>
      </c>
      <c r="C120" s="508" t="s">
        <v>491</v>
      </c>
      <c r="D120" s="507">
        <v>5</v>
      </c>
      <c r="E120" s="507">
        <v>46</v>
      </c>
      <c r="F120" s="507">
        <v>34</v>
      </c>
      <c r="G120" s="507">
        <v>30</v>
      </c>
      <c r="H120" s="507">
        <v>22</v>
      </c>
      <c r="I120" s="507">
        <v>3</v>
      </c>
      <c r="J120" s="510">
        <v>35991.6</v>
      </c>
      <c r="K120" s="510">
        <v>23604.840000000004</v>
      </c>
      <c r="L120" s="511">
        <f t="shared" si="1"/>
      </c>
      <c r="M120" s="511">
        <f t="shared" si="4"/>
      </c>
      <c r="N120" s="511">
        <f t="shared" si="12"/>
      </c>
      <c r="O120" s="512"/>
      <c r="P120" s="507"/>
      <c r="Q120" s="515"/>
    </row>
    <row hidden="true" r="121">
      <c r="A121" s="506">
        <v>46081</v>
      </c>
      <c r="B121" s="507" t="s">
        <v>488</v>
      </c>
      <c r="C121" s="508" t="s">
        <v>493</v>
      </c>
      <c r="D121" s="507">
        <v>5</v>
      </c>
      <c r="E121" s="507">
        <v>97</v>
      </c>
      <c r="F121" s="507">
        <v>63</v>
      </c>
      <c r="G121" s="507">
        <v>50</v>
      </c>
      <c r="H121" s="507">
        <v>41</v>
      </c>
      <c r="I121" s="507">
        <v>7</v>
      </c>
      <c r="J121" s="510">
        <v>53904.7</v>
      </c>
      <c r="K121" s="510">
        <v>30794.920000000002</v>
      </c>
      <c r="L121" s="511">
        <f t="shared" si="1"/>
      </c>
      <c r="M121" s="511">
        <f t="shared" si="4"/>
      </c>
      <c r="N121" s="511">
        <f>K121/H121</f>
      </c>
      <c r="O121" s="512" t="s">
        <v>494</v>
      </c>
      <c r="P121" s="507">
        <v>10</v>
      </c>
      <c r="Q121" s="514"/>
    </row>
    <row hidden="true" r="122">
      <c r="A122" s="516">
        <v>46081</v>
      </c>
      <c r="B122" s="517"/>
      <c r="C122" s="517"/>
      <c r="D122" s="517">
        <f>SUM(D118:D121)</f>
      </c>
      <c r="E122" s="517">
        <f>SUM(E118:E121)</f>
      </c>
      <c r="F122" s="517">
        <f>SUM(F118:F121)</f>
      </c>
      <c r="G122" s="517">
        <f>SUM(G118:G121)</f>
      </c>
      <c r="H122" s="517">
        <f>SUM(H118:H121)</f>
      </c>
      <c r="I122" s="517">
        <f>SUM(I118:I121)</f>
      </c>
      <c r="J122" s="517">
        <f>SUM(J118:J121)</f>
      </c>
      <c r="K122" s="517">
        <f>SUM(K118:K121)</f>
      </c>
      <c r="L122" s="518">
        <f t="shared" si="1"/>
      </c>
      <c r="M122" s="518">
        <f t="shared" si="4"/>
      </c>
      <c r="N122" s="518">
        <f>K122/F122</f>
      </c>
      <c r="O122" s="519"/>
      <c r="P122" s="517">
        <f>P118+P119+P120+P121</f>
      </c>
      <c r="Q122" s="519"/>
    </row>
    <row hidden="true" r="123">
      <c r="J123" s="523"/>
      <c r="K123" s="523"/>
      <c r="L123" s="511"/>
    </row>
    <row hidden="true" r="124"/>
    <row hidden="true" r="125"/>
    <row hidden="true" r="126"/>
    <row hidden="true" r="127"/>
    <row hidden="true" r="128"/>
    <row hidden="true" r="129"/>
    <row hidden="true" r="130"/>
    <row hidden="true" r="131"/>
    <row hidden="true" r="132"/>
    <row hidden="true" r="133"/>
    <row hidden="true" r="134"/>
    <row hidden="true" r="135"/>
    <row hidden="true" r="136"/>
    <row hidden="true" r="137"/>
    <row hidden="true" r="138"/>
    <row hidden="true" r="139"/>
    <row r="140"/>
    <row r="141"/>
    <row r="142"/>
    <row r="143"/>
    <row r="144">
      <c r="C144" s="524"/>
    </row>
  </sheetData>
  <autoFilter ref="A1:Q139">
    <filterColumn colId="1">
      <filters>
        <filter val="武慧聪"/>
      </filters>
    </filterColumn>
  </autoFilter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2.64480633802817"/>
    <col collapsed="false" customWidth="true" hidden="false" max="8" min="8" style="0" width="11.211267605633802"/>
    <col collapsed="false" customWidth="true" hidden="false" max="12" min="12" style="0" width="12.64480633802817"/>
    <col collapsed="false" customWidth="true" hidden="false" max="4" min="4" style="0" width="11.211267605633802"/>
    <col collapsed="false" customWidth="true" hidden="false" max="7" min="7" style="0" width="11.211267605633802"/>
    <col collapsed="false" customWidth="true" hidden="false" max="11" min="11" style="0" width="12.56338028169014"/>
    <col collapsed="false" customWidth="true" hidden="false" max="15" min="15" style="0" width="11.211267605633802"/>
  </cols>
  <sheetData>
    <row r="1">
      <c r="A1" s="525" t="s">
        <v>519</v>
      </c>
      <c r="B1" s="526" t="s">
        <v>520</v>
      </c>
      <c r="C1" s="526" t="s">
        <v>521</v>
      </c>
      <c r="D1" s="526" t="s">
        <v>522</v>
      </c>
      <c r="E1" s="526" t="s">
        <v>523</v>
      </c>
      <c r="F1" s="526" t="s">
        <v>524</v>
      </c>
      <c r="G1" s="527" t="s">
        <v>525</v>
      </c>
      <c r="H1" s="528" t="s">
        <v>526</v>
      </c>
      <c r="I1" s="526" t="s">
        <v>527</v>
      </c>
      <c r="J1" s="526" t="s">
        <v>528</v>
      </c>
      <c r="K1" s="526" t="s">
        <v>529</v>
      </c>
      <c r="L1" s="529" t="s">
        <v>530</v>
      </c>
      <c r="M1" s="529" t="s">
        <v>531</v>
      </c>
      <c r="N1" s="529" t="s">
        <v>532</v>
      </c>
      <c r="O1" s="530" t="s">
        <v>533</v>
      </c>
      <c r="P1" s="530" t="s">
        <v>534</v>
      </c>
      <c r="Q1" s="530" t="s">
        <v>535</v>
      </c>
    </row>
    <row hidden="true" r="2">
      <c r="A2" s="531">
        <v>46023</v>
      </c>
      <c r="B2" s="532" t="s">
        <v>536</v>
      </c>
      <c r="C2" s="533" t="s">
        <v>537</v>
      </c>
      <c r="D2" s="532">
        <v>6</v>
      </c>
      <c r="E2" s="534">
        <v>82</v>
      </c>
      <c r="F2" s="532">
        <v>63</v>
      </c>
      <c r="G2" s="532">
        <v>49</v>
      </c>
      <c r="H2" s="532">
        <v>42</v>
      </c>
      <c r="I2" s="532">
        <v>8</v>
      </c>
      <c r="J2" s="535">
        <v>62788.2</v>
      </c>
      <c r="K2" s="532">
        <v>39994.75</v>
      </c>
      <c r="L2" s="536">
        <f t="shared" ref="L2:L142" si="2">J2/K2</f>
      </c>
      <c r="M2" s="536">
        <f t="shared" ref="M2:M142" si="1">J2/F2</f>
      </c>
      <c r="N2" s="536">
        <f t="shared" ref="N2:N142" si="3">K2/F2</f>
      </c>
      <c r="O2" s="537" t="s">
        <v>538</v>
      </c>
      <c r="P2" s="532">
        <v>10</v>
      </c>
      <c r="Q2" s="538"/>
    </row>
    <row hidden="true" r="3">
      <c r="A3" s="531">
        <v>46023</v>
      </c>
      <c r="B3" s="532" t="s">
        <v>539</v>
      </c>
      <c r="C3" s="533" t="s">
        <v>540</v>
      </c>
      <c r="D3" s="532">
        <v>4</v>
      </c>
      <c r="E3" s="532">
        <v>71</v>
      </c>
      <c r="F3" s="532">
        <v>51</v>
      </c>
      <c r="G3" s="532">
        <v>36</v>
      </c>
      <c r="H3" s="532">
        <v>32</v>
      </c>
      <c r="I3" s="532">
        <v>6</v>
      </c>
      <c r="J3" s="535">
        <v>47871.8</v>
      </c>
      <c r="K3" s="535">
        <v>25940.760000000002</v>
      </c>
      <c r="L3" s="536">
        <f t="shared" si="2"/>
      </c>
      <c r="M3" s="536">
        <f t="shared" si="1"/>
      </c>
      <c r="N3" s="536">
        <f t="shared" si="3"/>
      </c>
      <c r="O3" s="539"/>
      <c r="P3" s="539"/>
      <c r="Q3" s="540"/>
    </row>
    <row hidden="true" r="4">
      <c r="A4" s="531">
        <v>46023</v>
      </c>
      <c r="B4" s="532" t="s">
        <v>541</v>
      </c>
      <c r="C4" s="533" t="s">
        <v>542</v>
      </c>
      <c r="D4" s="532">
        <v>5</v>
      </c>
      <c r="E4" s="532">
        <v>71</v>
      </c>
      <c r="F4" s="532">
        <v>58</v>
      </c>
      <c r="G4" s="532">
        <v>36</v>
      </c>
      <c r="H4" s="532">
        <v>34</v>
      </c>
      <c r="I4" s="532">
        <v>9</v>
      </c>
      <c r="J4" s="535">
        <v>54388</v>
      </c>
      <c r="K4" s="535">
        <v>27835.58</v>
      </c>
      <c r="L4" s="536">
        <f t="shared" si="2"/>
      </c>
      <c r="M4" s="536">
        <f t="shared" si="1"/>
      </c>
      <c r="N4" s="536">
        <f t="shared" si="3"/>
      </c>
      <c r="O4" s="537"/>
      <c r="P4" s="539"/>
      <c r="Q4" s="540"/>
    </row>
    <row hidden="true" r="5">
      <c r="A5" s="531">
        <v>46023</v>
      </c>
      <c r="B5" s="532" t="s">
        <v>543</v>
      </c>
      <c r="C5" s="533" t="s">
        <v>544</v>
      </c>
      <c r="D5" s="532">
        <v>5</v>
      </c>
      <c r="E5" s="532">
        <v>100</v>
      </c>
      <c r="F5" s="532">
        <v>78</v>
      </c>
      <c r="G5" s="532">
        <v>62</v>
      </c>
      <c r="H5" s="532">
        <v>45</v>
      </c>
      <c r="I5" s="532">
        <v>8</v>
      </c>
      <c r="J5" s="535">
        <v>79078.2</v>
      </c>
      <c r="K5" s="535">
        <v>35687.17</v>
      </c>
      <c r="L5" s="536">
        <f t="shared" si="2"/>
      </c>
      <c r="M5" s="536">
        <f t="shared" si="1"/>
      </c>
      <c r="N5" s="536">
        <f t="shared" si="3"/>
      </c>
      <c r="O5" s="537" t="s">
        <v>545</v>
      </c>
      <c r="P5" s="532">
        <v>10</v>
      </c>
      <c r="Q5" s="539"/>
    </row>
    <row hidden="true" r="6">
      <c r="A6" s="541">
        <v>46023</v>
      </c>
      <c r="B6" s="542"/>
      <c r="C6" s="542"/>
      <c r="D6" s="542">
        <f>SUM(D2:D5)</f>
      </c>
      <c r="E6" s="542">
        <f>SUM(E2:E5)</f>
      </c>
      <c r="F6" s="542">
        <f>SUM(F2:F5)</f>
      </c>
      <c r="G6" s="542">
        <f>SUM(G2:G5)</f>
      </c>
      <c r="H6" s="542">
        <f>SUM(H2:H5)</f>
      </c>
      <c r="I6" s="542">
        <f>SUM(I2:I5)</f>
      </c>
      <c r="J6" s="542">
        <f>SUM(J2:J5)</f>
      </c>
      <c r="K6" s="542">
        <f>SUM(K2:K5)</f>
      </c>
      <c r="L6" s="543">
        <f t="shared" si="2"/>
      </c>
      <c r="M6" s="543">
        <f t="shared" si="1"/>
      </c>
      <c r="N6" s="543">
        <f t="shared" si="3"/>
      </c>
      <c r="O6" s="544"/>
      <c r="P6" s="542">
        <f>P2+P3+P4+P5</f>
      </c>
      <c r="Q6" s="544"/>
    </row>
    <row hidden="true" r="7">
      <c r="A7" s="531">
        <v>46024</v>
      </c>
      <c r="B7" s="532" t="s">
        <v>536</v>
      </c>
      <c r="C7" s="533" t="s">
        <v>546</v>
      </c>
      <c r="D7" s="532">
        <v>5</v>
      </c>
      <c r="E7" s="532">
        <v>91</v>
      </c>
      <c r="F7" s="532">
        <v>72</v>
      </c>
      <c r="G7" s="532">
        <v>52</v>
      </c>
      <c r="H7" s="532">
        <v>47</v>
      </c>
      <c r="I7" s="532">
        <v>8</v>
      </c>
      <c r="J7" s="535">
        <v>69827.2</v>
      </c>
      <c r="K7" s="535">
        <v>42661.42</v>
      </c>
      <c r="L7" s="536">
        <f t="shared" si="2"/>
      </c>
      <c r="M7" s="536">
        <f t="shared" si="1"/>
      </c>
      <c r="N7" s="536">
        <f t="shared" si="3"/>
      </c>
      <c r="O7" s="537" t="s">
        <v>538</v>
      </c>
      <c r="P7" s="532">
        <v>10</v>
      </c>
      <c r="Q7" s="538"/>
    </row>
    <row hidden="true" r="8">
      <c r="A8" s="531">
        <v>46024</v>
      </c>
      <c r="B8" s="532" t="s">
        <v>541</v>
      </c>
      <c r="C8" s="533" t="s">
        <v>547</v>
      </c>
      <c r="D8" s="532">
        <v>5</v>
      </c>
      <c r="E8" s="532">
        <v>118</v>
      </c>
      <c r="F8" s="532">
        <v>88</v>
      </c>
      <c r="G8" s="532">
        <v>70</v>
      </c>
      <c r="H8" s="532">
        <v>55</v>
      </c>
      <c r="I8" s="532">
        <v>9</v>
      </c>
      <c r="J8" s="535">
        <v>91083.29999999999</v>
      </c>
      <c r="K8" s="535">
        <v>43873.28</v>
      </c>
      <c r="L8" s="536">
        <f t="shared" si="2"/>
      </c>
      <c r="M8" s="536">
        <f t="shared" si="1"/>
      </c>
      <c r="N8" s="536">
        <f t="shared" si="3"/>
      </c>
      <c r="O8" s="539"/>
      <c r="P8" s="539"/>
      <c r="Q8" s="540"/>
    </row>
    <row hidden="true" r="9">
      <c r="A9" s="531">
        <v>46024</v>
      </c>
      <c r="B9" s="532" t="s">
        <v>539</v>
      </c>
      <c r="C9" s="533" t="s">
        <v>542</v>
      </c>
      <c r="D9" s="532">
        <v>5</v>
      </c>
      <c r="E9" s="532">
        <v>76</v>
      </c>
      <c r="F9" s="532">
        <v>58</v>
      </c>
      <c r="G9" s="532">
        <v>44</v>
      </c>
      <c r="H9" s="532">
        <v>44</v>
      </c>
      <c r="I9" s="532">
        <v>11</v>
      </c>
      <c r="J9" s="535">
        <v>54854</v>
      </c>
      <c r="K9" s="535">
        <v>32359.49</v>
      </c>
      <c r="L9" s="536">
        <f t="shared" si="2"/>
      </c>
      <c r="M9" s="536">
        <f t="shared" si="1"/>
      </c>
      <c r="N9" s="536">
        <f t="shared" si="3"/>
      </c>
      <c r="O9" s="537"/>
      <c r="P9" s="539"/>
      <c r="Q9" s="540"/>
    </row>
    <row hidden="true" r="10">
      <c r="A10" s="531">
        <v>46024</v>
      </c>
      <c r="B10" s="532" t="s">
        <v>543</v>
      </c>
      <c r="C10" s="533" t="s">
        <v>544</v>
      </c>
      <c r="D10" s="532">
        <v>5</v>
      </c>
      <c r="E10" s="532">
        <v>107</v>
      </c>
      <c r="F10" s="532">
        <v>86</v>
      </c>
      <c r="G10" s="532">
        <v>59</v>
      </c>
      <c r="H10" s="532">
        <v>62</v>
      </c>
      <c r="I10" s="532">
        <v>13</v>
      </c>
      <c r="J10" s="535">
        <v>62671.2</v>
      </c>
      <c r="K10" s="535">
        <v>37895.06</v>
      </c>
      <c r="L10" s="536">
        <f t="shared" si="2"/>
      </c>
      <c r="M10" s="536">
        <f t="shared" si="1"/>
      </c>
      <c r="N10" s="536">
        <f t="shared" si="3"/>
      </c>
      <c r="O10" s="537" t="s">
        <v>545</v>
      </c>
      <c r="P10" s="532">
        <v>10</v>
      </c>
      <c r="Q10" s="539"/>
    </row>
    <row hidden="true" r="11">
      <c r="A11" s="541">
        <v>46024</v>
      </c>
      <c r="B11" s="542"/>
      <c r="C11" s="542"/>
      <c r="D11" s="542">
        <f>SUM(D7:D10)</f>
      </c>
      <c r="E11" s="542">
        <f>SUM(E7:E10)</f>
      </c>
      <c r="F11" s="542">
        <f>SUM(F7:F10)</f>
      </c>
      <c r="G11" s="542">
        <f>SUM(G7:G10)</f>
      </c>
      <c r="H11" s="542">
        <f>SUM(H7:H10)</f>
      </c>
      <c r="I11" s="542">
        <f>SUM(I7:I10)</f>
      </c>
      <c r="J11" s="542">
        <f>SUM(J7:J10)</f>
      </c>
      <c r="K11" s="542">
        <f>SUM(K7:K10)</f>
      </c>
      <c r="L11" s="543">
        <f t="shared" si="2"/>
      </c>
      <c r="M11" s="543">
        <f t="shared" si="1"/>
      </c>
      <c r="N11" s="543">
        <f t="shared" si="3"/>
      </c>
      <c r="O11" s="544"/>
      <c r="P11" s="542">
        <f>P7+P8+P9+P10</f>
      </c>
      <c r="Q11" s="544"/>
    </row>
    <row hidden="true" r="12">
      <c r="A12" s="531">
        <v>46025</v>
      </c>
      <c r="B12" s="532" t="s">
        <v>541</v>
      </c>
      <c r="C12" s="533" t="s">
        <v>537</v>
      </c>
      <c r="D12" s="532">
        <v>6</v>
      </c>
      <c r="E12" s="532">
        <v>109</v>
      </c>
      <c r="F12" s="532">
        <v>87</v>
      </c>
      <c r="G12" s="532">
        <v>57</v>
      </c>
      <c r="H12" s="532">
        <v>56</v>
      </c>
      <c r="I12" s="532">
        <v>11</v>
      </c>
      <c r="J12" s="535">
        <v>87839.90000000001</v>
      </c>
      <c r="K12" s="535">
        <v>49595.61</v>
      </c>
      <c r="L12" s="536">
        <f t="shared" si="2"/>
      </c>
      <c r="M12" s="536">
        <f t="shared" si="1"/>
      </c>
      <c r="N12" s="536">
        <f t="shared" si="3"/>
      </c>
      <c r="O12" s="537" t="s">
        <v>538</v>
      </c>
      <c r="P12" s="532">
        <v>10</v>
      </c>
      <c r="Q12" s="538"/>
    </row>
    <row hidden="true" r="13">
      <c r="A13" s="531">
        <v>46025</v>
      </c>
      <c r="B13" s="532" t="s">
        <v>536</v>
      </c>
      <c r="C13" s="533" t="s">
        <v>548</v>
      </c>
      <c r="D13" s="532">
        <v>6</v>
      </c>
      <c r="E13" s="532">
        <v>75</v>
      </c>
      <c r="F13" s="532">
        <v>57</v>
      </c>
      <c r="G13" s="532">
        <v>46</v>
      </c>
      <c r="H13" s="532">
        <v>32</v>
      </c>
      <c r="I13" s="532">
        <v>5</v>
      </c>
      <c r="J13" s="535">
        <v>57851.399999999994</v>
      </c>
      <c r="K13" s="535">
        <v>35168.09</v>
      </c>
      <c r="L13" s="536">
        <f t="shared" si="2"/>
      </c>
      <c r="M13" s="536">
        <f t="shared" si="1"/>
      </c>
      <c r="N13" s="536">
        <f t="shared" si="3"/>
      </c>
      <c r="O13" s="539"/>
      <c r="P13" s="539"/>
      <c r="Q13" s="540"/>
    </row>
    <row hidden="true" r="14">
      <c r="A14" s="531">
        <v>46025</v>
      </c>
      <c r="B14" s="532" t="s">
        <v>543</v>
      </c>
      <c r="C14" s="533" t="s">
        <v>549</v>
      </c>
      <c r="D14" s="532">
        <v>3</v>
      </c>
      <c r="E14" s="532">
        <v>57</v>
      </c>
      <c r="F14" s="532">
        <v>41</v>
      </c>
      <c r="G14" s="532">
        <v>34</v>
      </c>
      <c r="H14" s="532">
        <v>28</v>
      </c>
      <c r="I14" s="532">
        <v>2</v>
      </c>
      <c r="J14" s="535">
        <v>33108.4</v>
      </c>
      <c r="K14" s="535">
        <v>23207.35</v>
      </c>
      <c r="L14" s="536">
        <f t="shared" si="2"/>
      </c>
      <c r="M14" s="536">
        <f t="shared" si="1"/>
      </c>
      <c r="N14" s="536">
        <f t="shared" si="3"/>
      </c>
      <c r="O14" s="537"/>
      <c r="P14" s="539"/>
      <c r="Q14" s="540"/>
    </row>
    <row hidden="true" r="15">
      <c r="A15" s="531">
        <v>46025</v>
      </c>
      <c r="B15" s="532" t="s">
        <v>539</v>
      </c>
      <c r="C15" s="533" t="s">
        <v>550</v>
      </c>
      <c r="D15" s="532">
        <v>2</v>
      </c>
      <c r="E15" s="532">
        <v>28</v>
      </c>
      <c r="F15" s="532">
        <v>25</v>
      </c>
      <c r="G15" s="532">
        <v>21</v>
      </c>
      <c r="H15" s="532">
        <v>11</v>
      </c>
      <c r="I15" s="532">
        <v>4</v>
      </c>
      <c r="J15" s="535">
        <v>27107.300000000003</v>
      </c>
      <c r="K15" s="535">
        <v>12899.509999999998</v>
      </c>
      <c r="L15" s="536">
        <f t="shared" si="2"/>
      </c>
      <c r="M15" s="536">
        <f t="shared" si="1"/>
      </c>
      <c r="N15" s="536">
        <f t="shared" si="3"/>
      </c>
      <c r="O15" s="537" t="s">
        <v>551</v>
      </c>
      <c r="P15" s="532">
        <v>7</v>
      </c>
      <c r="Q15" s="539"/>
    </row>
    <row hidden="true" r="16">
      <c r="A16" s="541">
        <v>46025</v>
      </c>
      <c r="B16" s="542"/>
      <c r="C16" s="542"/>
      <c r="D16" s="542">
        <f>SUM(D12:D15)</f>
      </c>
      <c r="E16" s="542">
        <f>SUM(E12:E15)</f>
      </c>
      <c r="F16" s="542">
        <f>SUM(F12:F15)</f>
      </c>
      <c r="G16" s="542">
        <f>SUM(G12:G15)</f>
      </c>
      <c r="H16" s="542">
        <f>SUM(H12:H15)</f>
      </c>
      <c r="I16" s="542">
        <f>SUM(I12:I15)</f>
      </c>
      <c r="J16" s="542">
        <f>SUM(J12:J15)</f>
      </c>
      <c r="K16" s="542">
        <f>SUM(K12:K15)</f>
      </c>
      <c r="L16" s="543">
        <f t="shared" si="2"/>
      </c>
      <c r="M16" s="543">
        <f t="shared" si="1"/>
      </c>
      <c r="N16" s="543">
        <f t="shared" si="3"/>
      </c>
      <c r="O16" s="544"/>
      <c r="P16" s="542">
        <f>P12+P13+P14+P15</f>
      </c>
      <c r="Q16" s="544"/>
    </row>
    <row hidden="true" r="17">
      <c r="A17" s="531">
        <v>46026</v>
      </c>
      <c r="B17" s="532" t="s">
        <v>543</v>
      </c>
      <c r="C17" s="533" t="s">
        <v>552</v>
      </c>
      <c r="D17" s="532">
        <v>3</v>
      </c>
      <c r="E17" s="532">
        <v>38</v>
      </c>
      <c r="F17" s="532">
        <v>32</v>
      </c>
      <c r="G17" s="532">
        <v>18</v>
      </c>
      <c r="H17" s="532">
        <v>21</v>
      </c>
      <c r="I17" s="532">
        <v>6</v>
      </c>
      <c r="J17" s="535">
        <v>30644.899999999998</v>
      </c>
      <c r="K17" s="535">
        <v>21092.589999999997</v>
      </c>
      <c r="L17" s="536">
        <f t="shared" si="2"/>
      </c>
      <c r="M17" s="536">
        <f t="shared" si="1"/>
      </c>
      <c r="N17" s="536">
        <f t="shared" si="3"/>
      </c>
      <c r="O17" s="537" t="s">
        <v>538</v>
      </c>
      <c r="P17" s="532">
        <v>10</v>
      </c>
      <c r="Q17" s="538"/>
    </row>
    <row r="18">
      <c r="A18" s="531">
        <v>46026</v>
      </c>
      <c r="B18" s="532" t="s">
        <v>553</v>
      </c>
      <c r="C18" s="533" t="s">
        <v>554</v>
      </c>
      <c r="D18" s="532">
        <v>6</v>
      </c>
      <c r="E18" s="532">
        <v>109</v>
      </c>
      <c r="F18" s="532">
        <v>79</v>
      </c>
      <c r="G18" s="532">
        <v>61</v>
      </c>
      <c r="H18" s="532">
        <v>59</v>
      </c>
      <c r="I18" s="532">
        <v>7</v>
      </c>
      <c r="J18" s="535">
        <v>60181.399999999994</v>
      </c>
      <c r="K18" s="535">
        <v>44728.04000000001</v>
      </c>
      <c r="L18" s="536">
        <f t="shared" si="2"/>
      </c>
      <c r="M18" s="536">
        <f t="shared" si="1"/>
      </c>
      <c r="N18" s="536">
        <f t="shared" si="3"/>
      </c>
      <c r="O18" s="539"/>
      <c r="P18" s="539"/>
      <c r="Q18" s="540"/>
    </row>
    <row hidden="true" r="19">
      <c r="A19" s="531">
        <v>46026</v>
      </c>
      <c r="B19" s="532" t="s">
        <v>536</v>
      </c>
      <c r="C19" s="533" t="s">
        <v>555</v>
      </c>
      <c r="D19" s="532">
        <v>6</v>
      </c>
      <c r="E19" s="532">
        <v>75</v>
      </c>
      <c r="F19" s="532">
        <v>55</v>
      </c>
      <c r="G19" s="532">
        <v>43</v>
      </c>
      <c r="H19" s="532">
        <v>34</v>
      </c>
      <c r="I19" s="532">
        <v>6</v>
      </c>
      <c r="J19" s="535">
        <v>59720.399999999994</v>
      </c>
      <c r="K19" s="535">
        <v>33898.299999999996</v>
      </c>
      <c r="L19" s="536">
        <f t="shared" si="2"/>
      </c>
      <c r="M19" s="536">
        <f t="shared" si="1"/>
      </c>
      <c r="N19" s="536">
        <f t="shared" si="3"/>
      </c>
      <c r="O19" s="537"/>
      <c r="P19" s="539"/>
      <c r="Q19" s="540"/>
    </row>
    <row hidden="true" r="20">
      <c r="A20" s="531">
        <v>46026</v>
      </c>
      <c r="B20" s="532" t="s">
        <v>539</v>
      </c>
      <c r="C20" s="533" t="s">
        <v>544</v>
      </c>
      <c r="D20" s="532">
        <v>5</v>
      </c>
      <c r="E20" s="532">
        <v>75</v>
      </c>
      <c r="F20" s="532">
        <v>60</v>
      </c>
      <c r="G20" s="532">
        <v>39</v>
      </c>
      <c r="H20" s="532">
        <v>34</v>
      </c>
      <c r="I20" s="532">
        <v>4</v>
      </c>
      <c r="J20" s="535">
        <v>67929.6</v>
      </c>
      <c r="K20" s="535">
        <v>29141.680000000004</v>
      </c>
      <c r="L20" s="536">
        <f t="shared" si="2"/>
      </c>
      <c r="M20" s="536">
        <f t="shared" si="1"/>
      </c>
      <c r="N20" s="536">
        <f t="shared" si="3"/>
      </c>
      <c r="O20" s="537" t="s">
        <v>545</v>
      </c>
      <c r="P20" s="532">
        <v>10</v>
      </c>
      <c r="Q20" s="539"/>
    </row>
    <row hidden="true" r="21">
      <c r="A21" s="541">
        <v>46026</v>
      </c>
      <c r="B21" s="542"/>
      <c r="C21" s="542"/>
      <c r="D21" s="542">
        <f>SUM(D17:D20)</f>
      </c>
      <c r="E21" s="542">
        <f>SUM(E17:E20)</f>
      </c>
      <c r="F21" s="542">
        <f>SUM(F17:F20)</f>
      </c>
      <c r="G21" s="542">
        <f>SUM(G17:G20)</f>
      </c>
      <c r="H21" s="542">
        <f>SUM(H17:H20)</f>
      </c>
      <c r="I21" s="542">
        <f>SUM(I17:I20)</f>
      </c>
      <c r="J21" s="542">
        <f>SUM(J17:J20)</f>
      </c>
      <c r="K21" s="542">
        <f>SUM(K17:K20)</f>
      </c>
      <c r="L21" s="543">
        <f t="shared" si="2"/>
      </c>
      <c r="M21" s="543">
        <f t="shared" si="1"/>
      </c>
      <c r="N21" s="543">
        <f t="shared" si="3"/>
      </c>
      <c r="O21" s="544"/>
      <c r="P21" s="542">
        <f>P17+P18+P19+P20</f>
      </c>
      <c r="Q21" s="544"/>
    </row>
    <row hidden="true" r="22">
      <c r="A22" s="531">
        <v>46027</v>
      </c>
      <c r="B22" s="532" t="s">
        <v>536</v>
      </c>
      <c r="C22" s="533" t="s">
        <v>546</v>
      </c>
      <c r="D22" s="532">
        <v>5</v>
      </c>
      <c r="E22" s="532">
        <v>90</v>
      </c>
      <c r="F22" s="532">
        <v>67</v>
      </c>
      <c r="G22" s="532">
        <v>58</v>
      </c>
      <c r="H22" s="532">
        <v>48</v>
      </c>
      <c r="I22" s="532">
        <v>5</v>
      </c>
      <c r="J22" s="535">
        <v>66174.40000000001</v>
      </c>
      <c r="K22" s="535">
        <v>41748.14</v>
      </c>
      <c r="L22" s="536">
        <f t="shared" si="2"/>
      </c>
      <c r="M22" s="536">
        <f t="shared" si="1"/>
      </c>
      <c r="N22" s="536">
        <f t="shared" si="3"/>
      </c>
      <c r="O22" s="537" t="s">
        <v>538</v>
      </c>
      <c r="P22" s="532">
        <v>10</v>
      </c>
      <c r="Q22" s="538"/>
    </row>
    <row hidden="true" r="23">
      <c r="A23" s="531">
        <v>46027</v>
      </c>
      <c r="B23" s="532" t="s">
        <v>541</v>
      </c>
      <c r="C23" s="533" t="s">
        <v>547</v>
      </c>
      <c r="D23" s="532">
        <v>5</v>
      </c>
      <c r="E23" s="532">
        <v>88</v>
      </c>
      <c r="F23" s="532">
        <v>66</v>
      </c>
      <c r="G23" s="532">
        <v>53</v>
      </c>
      <c r="H23" s="532">
        <v>35</v>
      </c>
      <c r="I23" s="532">
        <v>6</v>
      </c>
      <c r="J23" s="535">
        <v>69556.9</v>
      </c>
      <c r="K23" s="535">
        <v>39053.100000000006</v>
      </c>
      <c r="L23" s="536">
        <f t="shared" si="2"/>
      </c>
      <c r="M23" s="536">
        <f t="shared" si="1"/>
      </c>
      <c r="N23" s="536">
        <f t="shared" si="3"/>
      </c>
      <c r="O23" s="539"/>
      <c r="P23" s="539"/>
      <c r="Q23" s="540"/>
    </row>
    <row r="24">
      <c r="A24" s="531">
        <v>46027</v>
      </c>
      <c r="B24" s="532" t="s">
        <v>553</v>
      </c>
      <c r="C24" s="533" t="s">
        <v>542</v>
      </c>
      <c r="D24" s="532">
        <v>5</v>
      </c>
      <c r="E24" s="532">
        <v>94</v>
      </c>
      <c r="F24" s="532">
        <v>68</v>
      </c>
      <c r="G24" s="532">
        <v>50</v>
      </c>
      <c r="H24" s="532">
        <v>38</v>
      </c>
      <c r="I24" s="532">
        <v>8</v>
      </c>
      <c r="J24" s="535">
        <v>64366.39999999999</v>
      </c>
      <c r="K24" s="535">
        <v>35192.25</v>
      </c>
      <c r="L24" s="536">
        <f t="shared" si="2"/>
      </c>
      <c r="M24" s="536">
        <f t="shared" si="1"/>
      </c>
      <c r="N24" s="536">
        <f t="shared" si="3"/>
      </c>
      <c r="O24" s="537"/>
      <c r="P24" s="539"/>
      <c r="Q24" s="540"/>
    </row>
    <row hidden="true" r="25">
      <c r="A25" s="531">
        <v>46027</v>
      </c>
      <c r="B25" s="532" t="s">
        <v>543</v>
      </c>
      <c r="C25" s="533" t="s">
        <v>544</v>
      </c>
      <c r="D25" s="532">
        <v>5</v>
      </c>
      <c r="E25" s="532">
        <v>124</v>
      </c>
      <c r="F25" s="532">
        <v>94</v>
      </c>
      <c r="G25" s="532">
        <v>80</v>
      </c>
      <c r="H25" s="532">
        <v>68</v>
      </c>
      <c r="I25" s="532">
        <v>5</v>
      </c>
      <c r="J25" s="535">
        <v>91980</v>
      </c>
      <c r="K25" s="535">
        <v>48598.11000000001</v>
      </c>
      <c r="L25" s="536">
        <f t="shared" si="2"/>
      </c>
      <c r="M25" s="536">
        <f t="shared" si="1"/>
      </c>
      <c r="N25" s="536">
        <f t="shared" si="3"/>
      </c>
      <c r="O25" s="537" t="s">
        <v>545</v>
      </c>
      <c r="P25" s="532">
        <v>10</v>
      </c>
      <c r="Q25" s="539"/>
    </row>
    <row hidden="true" r="26">
      <c r="A26" s="541">
        <v>46027</v>
      </c>
      <c r="B26" s="542"/>
      <c r="C26" s="542"/>
      <c r="D26" s="542">
        <f>SUM(D22:D25)</f>
      </c>
      <c r="E26" s="542">
        <f>SUM(E22:E25)</f>
      </c>
      <c r="F26" s="542">
        <f>SUM(F22:F25)</f>
      </c>
      <c r="G26" s="542">
        <f>SUM(G22:G25)</f>
      </c>
      <c r="H26" s="542">
        <f>SUM(H22:H25)</f>
      </c>
      <c r="I26" s="542">
        <f>SUM(I22:I25)</f>
      </c>
      <c r="J26" s="542">
        <f>SUM(J22:J25)</f>
      </c>
      <c r="K26" s="542">
        <f>SUM(K22:K25)</f>
      </c>
      <c r="L26" s="543">
        <f t="shared" si="2"/>
      </c>
      <c r="M26" s="543">
        <f t="shared" si="1"/>
      </c>
      <c r="N26" s="543">
        <f t="shared" si="3"/>
      </c>
      <c r="O26" s="544"/>
      <c r="P26" s="542">
        <f>P22+P23+P24+P25</f>
      </c>
      <c r="Q26" s="544"/>
    </row>
    <row r="27">
      <c r="A27" s="531">
        <v>46028</v>
      </c>
      <c r="B27" s="532" t="s">
        <v>553</v>
      </c>
      <c r="C27" s="533" t="s">
        <v>546</v>
      </c>
      <c r="D27" s="532">
        <v>5</v>
      </c>
      <c r="E27" s="532">
        <v>91</v>
      </c>
      <c r="F27" s="532">
        <v>73</v>
      </c>
      <c r="G27" s="532">
        <v>57</v>
      </c>
      <c r="H27" s="532">
        <v>39</v>
      </c>
      <c r="I27" s="532">
        <v>6</v>
      </c>
      <c r="J27" s="535">
        <v>86160.3</v>
      </c>
      <c r="K27" s="535">
        <v>48195.47</v>
      </c>
      <c r="L27" s="536">
        <f t="shared" si="2"/>
      </c>
      <c r="M27" s="536">
        <f t="shared" si="1"/>
      </c>
      <c r="N27" s="536">
        <f t="shared" si="3"/>
      </c>
      <c r="O27" s="537" t="s">
        <v>556</v>
      </c>
      <c r="P27" s="532">
        <v>10</v>
      </c>
      <c r="Q27" s="538"/>
    </row>
    <row hidden="true" r="28">
      <c r="A28" s="531">
        <v>46028</v>
      </c>
      <c r="B28" s="532" t="s">
        <v>536</v>
      </c>
      <c r="C28" s="533" t="s">
        <v>547</v>
      </c>
      <c r="D28" s="532">
        <v>5</v>
      </c>
      <c r="E28" s="532">
        <v>73</v>
      </c>
      <c r="F28" s="532">
        <v>51</v>
      </c>
      <c r="G28" s="532">
        <v>44</v>
      </c>
      <c r="H28" s="532">
        <v>31</v>
      </c>
      <c r="I28" s="532">
        <v>4</v>
      </c>
      <c r="J28" s="535">
        <v>54652.2</v>
      </c>
      <c r="K28" s="535">
        <v>40026.74</v>
      </c>
      <c r="L28" s="536">
        <f t="shared" si="2"/>
      </c>
      <c r="M28" s="536">
        <f t="shared" si="1"/>
      </c>
      <c r="N28" s="536">
        <f t="shared" si="3"/>
      </c>
      <c r="O28" s="539"/>
      <c r="P28" s="539"/>
      <c r="Q28" s="540"/>
    </row>
    <row hidden="true" r="29">
      <c r="A29" s="531">
        <v>46028</v>
      </c>
      <c r="B29" s="532" t="s">
        <v>557</v>
      </c>
      <c r="C29" s="533" t="s">
        <v>558</v>
      </c>
      <c r="D29" s="532">
        <v>3</v>
      </c>
      <c r="E29" s="532">
        <v>29</v>
      </c>
      <c r="F29" s="532">
        <v>21</v>
      </c>
      <c r="G29" s="532">
        <v>21</v>
      </c>
      <c r="H29" s="532">
        <v>15</v>
      </c>
      <c r="I29" s="532">
        <v>1</v>
      </c>
      <c r="J29" s="535">
        <v>16410.199999999997</v>
      </c>
      <c r="K29" s="535">
        <v>17210.96</v>
      </c>
      <c r="L29" s="536">
        <f t="shared" si="2"/>
      </c>
      <c r="M29" s="536">
        <f t="shared" si="1"/>
      </c>
      <c r="N29" s="536">
        <f t="shared" si="3"/>
      </c>
      <c r="O29" s="537"/>
      <c r="P29" s="539"/>
      <c r="Q29" s="540"/>
    </row>
    <row customHeight="true" hidden="true" ht="16.071428571428573" r="30">
      <c r="A30" s="531">
        <v>46028</v>
      </c>
      <c r="B30" s="532" t="s">
        <v>539</v>
      </c>
      <c r="C30" s="533" t="s">
        <v>559</v>
      </c>
      <c r="D30" s="532">
        <v>2</v>
      </c>
      <c r="E30" s="532">
        <v>41</v>
      </c>
      <c r="F30" s="532">
        <v>33</v>
      </c>
      <c r="G30" s="532">
        <v>19</v>
      </c>
      <c r="H30" s="532">
        <v>21</v>
      </c>
      <c r="I30" s="532">
        <v>3</v>
      </c>
      <c r="J30" s="535">
        <v>25548.399999999998</v>
      </c>
      <c r="K30" s="535">
        <v>12163.45</v>
      </c>
      <c r="L30" s="536">
        <f t="shared" si="2"/>
      </c>
      <c r="M30" s="536">
        <f t="shared" si="1"/>
      </c>
      <c r="N30" s="536">
        <f t="shared" si="3"/>
      </c>
      <c r="O30" s="537"/>
      <c r="P30" s="532"/>
      <c r="Q30" s="539"/>
    </row>
    <row hidden="true" r="31">
      <c r="A31" s="531">
        <v>46028</v>
      </c>
      <c r="B31" s="532" t="s">
        <v>543</v>
      </c>
      <c r="C31" s="533" t="s">
        <v>544</v>
      </c>
      <c r="D31" s="532">
        <v>5</v>
      </c>
      <c r="E31" s="532">
        <v>103</v>
      </c>
      <c r="F31" s="532">
        <v>71</v>
      </c>
      <c r="G31" s="532">
        <v>59</v>
      </c>
      <c r="H31" s="532">
        <v>42</v>
      </c>
      <c r="I31" s="532">
        <v>8</v>
      </c>
      <c r="J31" s="535">
        <v>66132</v>
      </c>
      <c r="K31" s="535">
        <v>40028.57000000001</v>
      </c>
      <c r="L31" s="536">
        <f t="shared" si="2"/>
      </c>
      <c r="M31" s="536">
        <f t="shared" si="1"/>
      </c>
      <c r="N31" s="536">
        <f t="shared" si="3"/>
      </c>
      <c r="O31" s="537" t="s">
        <v>545</v>
      </c>
      <c r="P31" s="532">
        <v>10</v>
      </c>
      <c r="Q31" s="539"/>
    </row>
    <row hidden="true" r="32">
      <c r="A32" s="541">
        <v>46028</v>
      </c>
      <c r="B32" s="542"/>
      <c r="C32" s="542"/>
      <c r="D32" s="542">
        <f>SUM(D27:D31)</f>
      </c>
      <c r="E32" s="542">
        <f>SUM(E27:E31)</f>
      </c>
      <c r="F32" s="542">
        <f>SUM(F27:F31)</f>
      </c>
      <c r="G32" s="542">
        <f>SUM(G27:G31)</f>
      </c>
      <c r="H32" s="542">
        <f>SUM(H27:H31)</f>
      </c>
      <c r="I32" s="542">
        <f>SUM(I27:I31)</f>
      </c>
      <c r="J32" s="542">
        <f>SUM(J27:J31)</f>
      </c>
      <c r="K32" s="542">
        <f>SUM(K27:K31)</f>
      </c>
      <c r="L32" s="543">
        <f t="shared" si="2"/>
      </c>
      <c r="M32" s="543">
        <f t="shared" si="1"/>
      </c>
      <c r="N32" s="543">
        <f t="shared" si="3"/>
      </c>
      <c r="O32" s="544"/>
      <c r="P32" s="542">
        <f>P27+P28+P29+P31</f>
      </c>
      <c r="Q32" s="544"/>
    </row>
    <row r="33">
      <c r="A33" s="531">
        <v>46029</v>
      </c>
      <c r="B33" s="532" t="s">
        <v>553</v>
      </c>
      <c r="C33" s="533" t="s">
        <v>546</v>
      </c>
      <c r="D33" s="532">
        <v>5</v>
      </c>
      <c r="E33" s="532">
        <v>58</v>
      </c>
      <c r="F33" s="532">
        <v>44</v>
      </c>
      <c r="G33" s="532">
        <v>34</v>
      </c>
      <c r="H33" s="532">
        <v>26</v>
      </c>
      <c r="I33" s="532">
        <v>5</v>
      </c>
      <c r="J33" s="535">
        <v>35392.700000000004</v>
      </c>
      <c r="K33" s="535">
        <v>28344.019999999997</v>
      </c>
      <c r="L33" s="536">
        <f t="shared" si="2"/>
      </c>
      <c r="M33" s="536">
        <f t="shared" si="1"/>
      </c>
      <c r="N33" s="536">
        <f t="shared" si="3"/>
      </c>
      <c r="O33" s="537" t="s">
        <v>538</v>
      </c>
      <c r="P33" s="532">
        <v>10</v>
      </c>
      <c r="Q33" s="538"/>
    </row>
    <row hidden="true" r="34">
      <c r="A34" s="531">
        <v>46029</v>
      </c>
      <c r="B34" s="532" t="s">
        <v>536</v>
      </c>
      <c r="C34" s="533" t="s">
        <v>547</v>
      </c>
      <c r="D34" s="532">
        <v>5</v>
      </c>
      <c r="E34" s="532">
        <v>48</v>
      </c>
      <c r="F34" s="532">
        <v>38</v>
      </c>
      <c r="G34" s="532">
        <v>28</v>
      </c>
      <c r="H34" s="532">
        <v>28</v>
      </c>
      <c r="I34" s="532">
        <v>2</v>
      </c>
      <c r="J34" s="535">
        <v>36404.100000000006</v>
      </c>
      <c r="K34" s="535">
        <v>24303.800000000003</v>
      </c>
      <c r="L34" s="536">
        <f t="shared" si="2"/>
      </c>
      <c r="M34" s="536">
        <f t="shared" si="1"/>
      </c>
      <c r="N34" s="536">
        <f t="shared" si="3"/>
      </c>
      <c r="O34" s="539"/>
      <c r="P34" s="539"/>
      <c r="Q34" s="540"/>
    </row>
    <row hidden="true" r="35">
      <c r="A35" s="531">
        <v>46029</v>
      </c>
      <c r="B35" s="532" t="s">
        <v>557</v>
      </c>
      <c r="C35" s="533" t="s">
        <v>560</v>
      </c>
      <c r="D35" s="532">
        <v>2</v>
      </c>
      <c r="E35" s="532">
        <v>16</v>
      </c>
      <c r="F35" s="532">
        <v>12</v>
      </c>
      <c r="G35" s="532">
        <v>9</v>
      </c>
      <c r="H35" s="532">
        <v>12</v>
      </c>
      <c r="I35" s="532">
        <v>0</v>
      </c>
      <c r="J35" s="535">
        <v>8611.2</v>
      </c>
      <c r="K35" s="535">
        <v>8772.419999999998</v>
      </c>
      <c r="L35" s="536">
        <f t="shared" si="2"/>
      </c>
      <c r="M35" s="536">
        <f t="shared" si="1"/>
      </c>
      <c r="N35" s="536">
        <f t="shared" si="3"/>
      </c>
      <c r="O35" s="537"/>
      <c r="P35" s="539"/>
      <c r="Q35" s="540"/>
    </row>
    <row hidden="true" r="36">
      <c r="A36" s="531">
        <v>46029</v>
      </c>
      <c r="B36" s="532" t="s">
        <v>539</v>
      </c>
      <c r="C36" s="533" t="s">
        <v>549</v>
      </c>
      <c r="D36" s="532">
        <v>3</v>
      </c>
      <c r="E36" s="532">
        <v>55</v>
      </c>
      <c r="F36" s="532">
        <v>44</v>
      </c>
      <c r="G36" s="532">
        <v>27</v>
      </c>
      <c r="H36" s="532">
        <v>18</v>
      </c>
      <c r="I36" s="532">
        <v>6</v>
      </c>
      <c r="J36" s="535">
        <v>41152.7</v>
      </c>
      <c r="K36" s="535">
        <v>19450.58</v>
      </c>
      <c r="L36" s="536">
        <f t="shared" si="2"/>
      </c>
      <c r="M36" s="536">
        <f t="shared" si="1"/>
      </c>
      <c r="N36" s="536">
        <f t="shared" si="3"/>
      </c>
      <c r="O36" s="537"/>
      <c r="P36" s="532"/>
      <c r="Q36" s="539"/>
    </row>
    <row hidden="true" r="37">
      <c r="A37" s="531">
        <v>46029</v>
      </c>
      <c r="B37" s="532" t="s">
        <v>543</v>
      </c>
      <c r="C37" s="533" t="s">
        <v>544</v>
      </c>
      <c r="D37" s="532">
        <v>5</v>
      </c>
      <c r="E37" s="532">
        <v>120</v>
      </c>
      <c r="F37" s="532">
        <v>99</v>
      </c>
      <c r="G37" s="532">
        <v>76</v>
      </c>
      <c r="H37" s="532">
        <v>64</v>
      </c>
      <c r="I37" s="532">
        <v>15</v>
      </c>
      <c r="J37" s="535">
        <v>94230.90000000001</v>
      </c>
      <c r="K37" s="535">
        <v>40447.13</v>
      </c>
      <c r="L37" s="536">
        <f t="shared" si="2"/>
      </c>
      <c r="M37" s="536">
        <f t="shared" si="1"/>
      </c>
      <c r="N37" s="536">
        <f t="shared" si="3"/>
      </c>
      <c r="O37" s="537" t="s">
        <v>545</v>
      </c>
      <c r="P37" s="532">
        <v>10</v>
      </c>
      <c r="Q37" s="539"/>
    </row>
    <row hidden="true" r="38">
      <c r="A38" s="541">
        <v>46029</v>
      </c>
      <c r="B38" s="542"/>
      <c r="C38" s="542"/>
      <c r="D38" s="542">
        <f>SUM(D33:D37)</f>
      </c>
      <c r="E38" s="542">
        <f>SUM(E33:E37)</f>
      </c>
      <c r="F38" s="542">
        <f>SUM(F33:F37)</f>
      </c>
      <c r="G38" s="542">
        <f>SUM(G33:G37)</f>
      </c>
      <c r="H38" s="542">
        <f>SUM(H33:H37)</f>
      </c>
      <c r="I38" s="542">
        <f>SUM(I33:I37)</f>
      </c>
      <c r="J38" s="542">
        <f>SUM(J33:J37)</f>
      </c>
      <c r="K38" s="542">
        <f>SUM(K33:K37)</f>
      </c>
      <c r="L38" s="543">
        <f t="shared" si="2"/>
      </c>
      <c r="M38" s="543">
        <f t="shared" si="1"/>
      </c>
      <c r="N38" s="543">
        <f t="shared" si="3"/>
      </c>
      <c r="O38" s="544"/>
      <c r="P38" s="542">
        <f>P33+P34+P35+P37</f>
      </c>
      <c r="Q38" s="544"/>
    </row>
    <row hidden="true" r="39">
      <c r="A39" s="545">
        <v>46030</v>
      </c>
      <c r="B39" s="546" t="s">
        <v>536</v>
      </c>
      <c r="C39" s="547" t="s">
        <v>546</v>
      </c>
      <c r="D39" s="546">
        <v>5</v>
      </c>
      <c r="E39" s="546">
        <v>65</v>
      </c>
      <c r="F39" s="546">
        <v>55</v>
      </c>
      <c r="G39" s="546">
        <v>44</v>
      </c>
      <c r="H39" s="546">
        <v>35</v>
      </c>
      <c r="I39" s="546">
        <v>3</v>
      </c>
      <c r="J39" s="548">
        <v>47577.2</v>
      </c>
      <c r="K39" s="548">
        <v>29222.36</v>
      </c>
      <c r="L39" s="536">
        <f t="shared" si="2"/>
      </c>
      <c r="M39" s="536">
        <f t="shared" si="1"/>
      </c>
      <c r="N39" s="536">
        <f t="shared" si="3"/>
      </c>
      <c r="O39" s="549" t="s">
        <v>538</v>
      </c>
      <c r="P39" s="532">
        <v>9.5</v>
      </c>
      <c r="Q39" s="550"/>
    </row>
    <row r="40">
      <c r="A40" s="545">
        <v>46030</v>
      </c>
      <c r="B40" s="546" t="s">
        <v>553</v>
      </c>
      <c r="C40" s="533" t="s">
        <v>561</v>
      </c>
      <c r="D40" s="532">
        <v>4.5</v>
      </c>
      <c r="E40" s="546">
        <v>57</v>
      </c>
      <c r="F40" s="546">
        <v>40</v>
      </c>
      <c r="G40" s="546">
        <v>33</v>
      </c>
      <c r="H40" s="546">
        <v>26</v>
      </c>
      <c r="I40" s="546">
        <v>3</v>
      </c>
      <c r="J40" s="548">
        <v>31833.8</v>
      </c>
      <c r="K40" s="548">
        <v>27415.770000000004</v>
      </c>
      <c r="L40" s="536">
        <f t="shared" si="2"/>
      </c>
      <c r="M40" s="536">
        <f t="shared" si="1"/>
      </c>
      <c r="N40" s="536">
        <f t="shared" si="3"/>
      </c>
      <c r="O40" s="551"/>
      <c r="P40" s="551"/>
      <c r="Q40" s="552"/>
    </row>
    <row hidden="true" r="41">
      <c r="A41" s="553">
        <v>46030</v>
      </c>
      <c r="B41" s="542"/>
      <c r="C41" s="542"/>
      <c r="D41" s="542">
        <f>SUM(D39:D40)</f>
      </c>
      <c r="E41" s="542">
        <f>SUM(E39:E40)</f>
      </c>
      <c r="F41" s="542">
        <f>SUM(F39:F40)</f>
      </c>
      <c r="G41" s="542">
        <f>SUM(G39:G40)</f>
      </c>
      <c r="H41" s="542">
        <f>SUM(H39:H40)</f>
      </c>
      <c r="I41" s="542">
        <f>SUM(I39:I40)</f>
      </c>
      <c r="J41" s="542">
        <f>SUM(J39:J40)</f>
      </c>
      <c r="K41" s="542">
        <f>SUM(K39:K40)</f>
      </c>
      <c r="L41" s="543">
        <f t="shared" si="2"/>
      </c>
      <c r="M41" s="543">
        <f t="shared" si="1"/>
      </c>
      <c r="N41" s="543">
        <f t="shared" si="3"/>
      </c>
      <c r="O41" s="544"/>
      <c r="P41" s="542">
        <f>P39+P40</f>
      </c>
      <c r="Q41" s="544"/>
    </row>
    <row hidden="true" r="42">
      <c r="A42" s="531">
        <v>46033</v>
      </c>
      <c r="B42" s="532" t="s">
        <v>543</v>
      </c>
      <c r="C42" s="533" t="s">
        <v>562</v>
      </c>
      <c r="D42" s="532">
        <v>4</v>
      </c>
      <c r="E42" s="546">
        <v>58</v>
      </c>
      <c r="F42" s="546">
        <v>46</v>
      </c>
      <c r="G42" s="546">
        <v>32</v>
      </c>
      <c r="H42" s="546">
        <v>29</v>
      </c>
      <c r="I42" s="546">
        <v>7</v>
      </c>
      <c r="J42" s="548">
        <v>51671.2</v>
      </c>
      <c r="K42" s="548">
        <v>21871.809999999998</v>
      </c>
      <c r="L42" s="536">
        <f t="shared" si="2"/>
      </c>
      <c r="M42" s="536">
        <f t="shared" si="1"/>
      </c>
      <c r="N42" s="554">
        <f t="shared" si="3"/>
      </c>
      <c r="O42" s="555"/>
      <c r="P42" s="555"/>
      <c r="Q42" s="556"/>
    </row>
    <row hidden="true" r="43">
      <c r="A43" s="531">
        <v>46033</v>
      </c>
      <c r="B43" s="532" t="s">
        <v>536</v>
      </c>
      <c r="C43" s="533" t="s">
        <v>544</v>
      </c>
      <c r="D43" s="546">
        <v>5</v>
      </c>
      <c r="E43" s="546">
        <v>149</v>
      </c>
      <c r="F43" s="546">
        <v>88</v>
      </c>
      <c r="G43" s="546">
        <v>59</v>
      </c>
      <c r="H43" s="546">
        <v>66</v>
      </c>
      <c r="I43" s="546">
        <v>11</v>
      </c>
      <c r="J43" s="548">
        <v>81178.90000000001</v>
      </c>
      <c r="K43" s="548">
        <v>37867.52</v>
      </c>
      <c r="L43" s="536">
        <f t="shared" si="2"/>
      </c>
      <c r="M43" s="536">
        <f t="shared" si="1"/>
      </c>
      <c r="N43" s="536">
        <f t="shared" si="3"/>
      </c>
      <c r="O43" s="557" t="s">
        <v>563</v>
      </c>
      <c r="P43" s="558">
        <v>9</v>
      </c>
      <c r="Q43" s="552"/>
    </row>
    <row hidden="true" r="44">
      <c r="A44" s="541">
        <v>46033</v>
      </c>
      <c r="B44" s="542"/>
      <c r="C44" s="542"/>
      <c r="D44" s="542">
        <f>SUM(D42:D43)</f>
      </c>
      <c r="E44" s="542">
        <f>SUM(E42:E43)</f>
      </c>
      <c r="F44" s="542">
        <f>SUM(F42:F43)</f>
      </c>
      <c r="G44" s="542">
        <f>SUM(G42:G43)</f>
      </c>
      <c r="H44" s="542">
        <f>SUM(H42:H43)</f>
      </c>
      <c r="I44" s="542">
        <f>SUM(I42:I43)</f>
      </c>
      <c r="J44" s="542">
        <f>SUM(J42:J43)</f>
      </c>
      <c r="K44" s="542">
        <f>SUM(K42:K43)</f>
      </c>
      <c r="L44" s="543">
        <f t="shared" si="2"/>
      </c>
      <c r="M44" s="543">
        <f t="shared" si="1"/>
      </c>
      <c r="N44" s="543">
        <f t="shared" si="3"/>
      </c>
      <c r="O44" s="544"/>
      <c r="P44" s="542">
        <f>P43</f>
      </c>
      <c r="Q44" s="544"/>
    </row>
    <row hidden="true" r="45">
      <c r="A45" s="545">
        <v>46034</v>
      </c>
      <c r="B45" s="532" t="s">
        <v>541</v>
      </c>
      <c r="C45" s="533" t="s">
        <v>546</v>
      </c>
      <c r="D45" s="532">
        <v>5</v>
      </c>
      <c r="E45" s="559">
        <v>45</v>
      </c>
      <c r="F45" s="532">
        <v>34</v>
      </c>
      <c r="G45" s="532">
        <v>26</v>
      </c>
      <c r="H45" s="532">
        <v>17</v>
      </c>
      <c r="I45" s="532">
        <v>2</v>
      </c>
      <c r="J45" s="535">
        <v>40028.399999999994</v>
      </c>
      <c r="K45" s="532">
        <v>26805.05</v>
      </c>
      <c r="L45" s="536">
        <f t="shared" si="2"/>
      </c>
      <c r="M45" s="536">
        <f t="shared" si="1"/>
      </c>
      <c r="N45" s="536">
        <f t="shared" si="3"/>
      </c>
      <c r="O45" s="537" t="s">
        <v>564</v>
      </c>
      <c r="P45" s="532">
        <v>10</v>
      </c>
      <c r="Q45" s="538"/>
    </row>
    <row hidden="true" r="46">
      <c r="A46" s="545">
        <v>46034</v>
      </c>
      <c r="B46" s="532" t="s">
        <v>543</v>
      </c>
      <c r="C46" s="533" t="s">
        <v>547</v>
      </c>
      <c r="D46" s="532">
        <v>5</v>
      </c>
      <c r="E46" s="532">
        <v>49</v>
      </c>
      <c r="F46" s="532">
        <v>34</v>
      </c>
      <c r="G46" s="532">
        <v>27</v>
      </c>
      <c r="H46" s="532">
        <v>19</v>
      </c>
      <c r="I46" s="532">
        <v>4</v>
      </c>
      <c r="J46" s="535">
        <v>30352.999999999993</v>
      </c>
      <c r="K46" s="535">
        <v>20537.11</v>
      </c>
      <c r="L46" s="536">
        <f t="shared" si="2"/>
      </c>
      <c r="M46" s="536">
        <f t="shared" si="1"/>
      </c>
      <c r="N46" s="536">
        <f t="shared" si="3"/>
      </c>
      <c r="O46" s="539"/>
      <c r="P46" s="539"/>
      <c r="Q46" s="540"/>
    </row>
    <row hidden="true" r="47">
      <c r="A47" s="545">
        <v>46034</v>
      </c>
      <c r="B47" s="532" t="s">
        <v>536</v>
      </c>
      <c r="C47" s="533" t="s">
        <v>542</v>
      </c>
      <c r="D47" s="532">
        <v>5</v>
      </c>
      <c r="E47" s="532">
        <v>68</v>
      </c>
      <c r="F47" s="532">
        <v>56</v>
      </c>
      <c r="G47" s="532">
        <v>37</v>
      </c>
      <c r="H47" s="532">
        <v>32</v>
      </c>
      <c r="I47" s="532">
        <v>7</v>
      </c>
      <c r="J47" s="535">
        <v>54701.80000000001</v>
      </c>
      <c r="K47" s="535">
        <v>31320.370000000003</v>
      </c>
      <c r="L47" s="536">
        <f t="shared" si="2"/>
      </c>
      <c r="M47" s="536">
        <f t="shared" si="1"/>
      </c>
      <c r="N47" s="536">
        <f t="shared" si="3"/>
      </c>
      <c r="O47" s="537"/>
      <c r="P47" s="539"/>
      <c r="Q47" s="540"/>
    </row>
    <row r="48">
      <c r="A48" s="545">
        <v>46034</v>
      </c>
      <c r="B48" s="532" t="s">
        <v>553</v>
      </c>
      <c r="C48" s="533" t="s">
        <v>544</v>
      </c>
      <c r="D48" s="532">
        <v>5</v>
      </c>
      <c r="E48" s="532">
        <v>81</v>
      </c>
      <c r="F48" s="532">
        <v>66</v>
      </c>
      <c r="G48" s="532">
        <v>47</v>
      </c>
      <c r="H48" s="532">
        <v>39</v>
      </c>
      <c r="I48" s="532">
        <v>7</v>
      </c>
      <c r="J48" s="535">
        <v>54178.000000000015</v>
      </c>
      <c r="K48" s="535">
        <v>32043.85</v>
      </c>
      <c r="L48" s="536">
        <f t="shared" si="2"/>
      </c>
      <c r="M48" s="536">
        <f t="shared" si="1"/>
      </c>
      <c r="N48" s="536">
        <f t="shared" si="3"/>
      </c>
      <c r="O48" s="537" t="s">
        <v>563</v>
      </c>
      <c r="P48" s="532">
        <v>10</v>
      </c>
      <c r="Q48" s="539"/>
    </row>
    <row hidden="true" r="49">
      <c r="A49" s="541">
        <v>46034</v>
      </c>
      <c r="B49" s="542"/>
      <c r="C49" s="542"/>
      <c r="D49" s="542">
        <f>SUM(D45:D48)</f>
      </c>
      <c r="E49" s="542">
        <f>SUM(E45:E48)</f>
      </c>
      <c r="F49" s="542">
        <f>SUM(F45:F48)</f>
      </c>
      <c r="G49" s="542">
        <f>SUM(G45:G48)</f>
      </c>
      <c r="H49" s="542">
        <f>SUM(H45:H48)</f>
      </c>
      <c r="I49" s="542">
        <f>SUM(I45:I48)</f>
      </c>
      <c r="J49" s="542">
        <f>SUM(J45:J48)</f>
      </c>
      <c r="K49" s="542">
        <f>SUM(K45:K48)</f>
      </c>
      <c r="L49" s="543">
        <f t="shared" si="2"/>
      </c>
      <c r="M49" s="543">
        <f t="shared" si="1"/>
      </c>
      <c r="N49" s="543">
        <f t="shared" si="3"/>
      </c>
      <c r="O49" s="544"/>
      <c r="P49" s="542">
        <f>P45+P46+P47+P48</f>
      </c>
      <c r="Q49" s="544"/>
      <c r="R49" s="560"/>
      <c r="S49" s="560"/>
      <c r="T49" s="560"/>
    </row>
    <row hidden="true" r="50">
      <c r="A50" s="531">
        <v>46035</v>
      </c>
      <c r="B50" s="532" t="s">
        <v>541</v>
      </c>
      <c r="C50" s="533" t="s">
        <v>546</v>
      </c>
      <c r="D50" s="532">
        <v>5</v>
      </c>
      <c r="E50" s="559">
        <v>51</v>
      </c>
      <c r="F50" s="532">
        <v>41</v>
      </c>
      <c r="G50" s="532">
        <v>28</v>
      </c>
      <c r="H50" s="532">
        <v>22</v>
      </c>
      <c r="I50" s="532">
        <v>5</v>
      </c>
      <c r="J50" s="535">
        <v>42402.20000000001</v>
      </c>
      <c r="K50" s="532">
        <v>22640.839999999997</v>
      </c>
      <c r="L50" s="536">
        <f t="shared" si="2"/>
      </c>
      <c r="M50" s="536">
        <f t="shared" si="1"/>
      </c>
      <c r="N50" s="536">
        <f t="shared" si="3"/>
      </c>
      <c r="O50" s="537" t="s">
        <v>564</v>
      </c>
      <c r="P50" s="532">
        <v>10</v>
      </c>
      <c r="Q50" s="538"/>
    </row>
    <row hidden="true" r="51">
      <c r="A51" s="531">
        <v>46035</v>
      </c>
      <c r="B51" s="532" t="s">
        <v>536</v>
      </c>
      <c r="C51" s="533" t="s">
        <v>547</v>
      </c>
      <c r="D51" s="532">
        <v>5</v>
      </c>
      <c r="E51" s="532">
        <v>46</v>
      </c>
      <c r="F51" s="532">
        <v>35</v>
      </c>
      <c r="G51" s="532">
        <v>29</v>
      </c>
      <c r="H51" s="532">
        <v>19</v>
      </c>
      <c r="I51" s="532">
        <v>2</v>
      </c>
      <c r="J51" s="535">
        <v>40529.100000000006</v>
      </c>
      <c r="K51" s="535">
        <v>21713.2</v>
      </c>
      <c r="L51" s="536">
        <f t="shared" si="2"/>
      </c>
      <c r="M51" s="536">
        <f t="shared" si="1"/>
      </c>
      <c r="N51" s="536">
        <f t="shared" si="3"/>
      </c>
      <c r="O51" s="539"/>
      <c r="P51" s="539"/>
      <c r="Q51" s="540"/>
    </row>
    <row r="52">
      <c r="A52" s="531">
        <v>46035</v>
      </c>
      <c r="B52" s="532" t="s">
        <v>553</v>
      </c>
      <c r="C52" s="533" t="s">
        <v>542</v>
      </c>
      <c r="D52" s="532">
        <v>5</v>
      </c>
      <c r="E52" s="532">
        <v>71</v>
      </c>
      <c r="F52" s="532">
        <v>52</v>
      </c>
      <c r="G52" s="532">
        <v>39</v>
      </c>
      <c r="H52" s="532">
        <v>31</v>
      </c>
      <c r="I52" s="532">
        <v>7</v>
      </c>
      <c r="J52" s="535">
        <v>57414.500000000015</v>
      </c>
      <c r="K52" s="535">
        <v>28970.989999999998</v>
      </c>
      <c r="L52" s="536">
        <f t="shared" si="2"/>
      </c>
      <c r="M52" s="536">
        <f t="shared" si="1"/>
      </c>
      <c r="N52" s="536">
        <f t="shared" si="3"/>
      </c>
      <c r="O52" s="537"/>
      <c r="P52" s="539"/>
      <c r="Q52" s="540"/>
    </row>
    <row hidden="true" r="53">
      <c r="A53" s="531">
        <v>46035</v>
      </c>
      <c r="B53" s="532" t="s">
        <v>543</v>
      </c>
      <c r="C53" s="533" t="s">
        <v>544</v>
      </c>
      <c r="D53" s="532">
        <v>5</v>
      </c>
      <c r="E53" s="532">
        <v>95</v>
      </c>
      <c r="F53" s="532">
        <v>67</v>
      </c>
      <c r="G53" s="532">
        <v>49</v>
      </c>
      <c r="H53" s="532">
        <v>44</v>
      </c>
      <c r="I53" s="532">
        <v>7</v>
      </c>
      <c r="J53" s="535">
        <v>58135.600000000006</v>
      </c>
      <c r="K53" s="535">
        <v>32757.07</v>
      </c>
      <c r="L53" s="536">
        <f t="shared" si="2"/>
      </c>
      <c r="M53" s="536">
        <f t="shared" si="1"/>
      </c>
      <c r="N53" s="536">
        <f t="shared" si="3"/>
      </c>
      <c r="O53" s="537" t="s">
        <v>565</v>
      </c>
      <c r="P53" s="532">
        <v>10</v>
      </c>
      <c r="Q53" s="539"/>
    </row>
    <row hidden="true" r="54">
      <c r="A54" s="541">
        <v>46035</v>
      </c>
      <c r="B54" s="542"/>
      <c r="C54" s="542"/>
      <c r="D54" s="542">
        <f>SUM(D50:D53)</f>
      </c>
      <c r="E54" s="542">
        <f>SUM(E50:E53)</f>
      </c>
      <c r="F54" s="542">
        <f>SUM(F50:F53)</f>
      </c>
      <c r="G54" s="542">
        <f>SUM(G50:G53)</f>
      </c>
      <c r="H54" s="542">
        <f>SUM(H50:H53)</f>
      </c>
      <c r="I54" s="542">
        <f>SUM(I50:I53)</f>
      </c>
      <c r="J54" s="542">
        <f>SUM(J50:J53)</f>
      </c>
      <c r="K54" s="542">
        <f>SUM(K50:K53)</f>
      </c>
      <c r="L54" s="543">
        <f t="shared" si="2"/>
      </c>
      <c r="M54" s="543">
        <f t="shared" si="1"/>
      </c>
      <c r="N54" s="543">
        <f t="shared" si="3"/>
      </c>
      <c r="O54" s="544"/>
      <c r="P54" s="542">
        <f>P50+P51+P52+P53</f>
      </c>
      <c r="Q54" s="544"/>
      <c r="R54" s="560"/>
      <c r="S54" s="560"/>
      <c r="T54" s="560"/>
    </row>
    <row hidden="true" r="55">
      <c r="A55" s="531">
        <v>46036</v>
      </c>
      <c r="B55" s="532" t="s">
        <v>541</v>
      </c>
      <c r="C55" s="533" t="s">
        <v>546</v>
      </c>
      <c r="D55" s="532">
        <v>5</v>
      </c>
      <c r="E55" s="559">
        <v>60</v>
      </c>
      <c r="F55" s="532">
        <v>43</v>
      </c>
      <c r="G55" s="532">
        <v>26</v>
      </c>
      <c r="H55" s="532">
        <v>25</v>
      </c>
      <c r="I55" s="532">
        <v>5</v>
      </c>
      <c r="J55" s="535">
        <v>43923.8</v>
      </c>
      <c r="K55" s="532">
        <v>25247.7</v>
      </c>
      <c r="L55" s="536">
        <f t="shared" si="2"/>
      </c>
      <c r="M55" s="536">
        <f t="shared" si="1"/>
      </c>
      <c r="N55" s="536">
        <f t="shared" si="3"/>
      </c>
      <c r="O55" s="537" t="s">
        <v>564</v>
      </c>
      <c r="P55" s="532">
        <v>10</v>
      </c>
      <c r="Q55" s="538"/>
    </row>
    <row r="56">
      <c r="A56" s="531">
        <v>46036</v>
      </c>
      <c r="B56" s="532" t="s">
        <v>553</v>
      </c>
      <c r="C56" s="533" t="s">
        <v>547</v>
      </c>
      <c r="D56" s="532">
        <v>5</v>
      </c>
      <c r="E56" s="532">
        <v>73</v>
      </c>
      <c r="F56" s="532">
        <v>54</v>
      </c>
      <c r="G56" s="532">
        <v>37</v>
      </c>
      <c r="H56" s="532">
        <v>31</v>
      </c>
      <c r="I56" s="532">
        <v>5</v>
      </c>
      <c r="J56" s="535">
        <v>63716.8</v>
      </c>
      <c r="K56" s="535">
        <v>24805.32</v>
      </c>
      <c r="L56" s="536">
        <f t="shared" si="2"/>
      </c>
      <c r="M56" s="536">
        <f t="shared" si="1"/>
      </c>
      <c r="N56" s="536">
        <f t="shared" si="3"/>
      </c>
      <c r="O56" s="539"/>
      <c r="P56" s="539"/>
      <c r="Q56" s="540"/>
    </row>
    <row hidden="true" r="57">
      <c r="A57" s="531">
        <v>46036</v>
      </c>
      <c r="B57" s="532" t="s">
        <v>539</v>
      </c>
      <c r="C57" s="533" t="s">
        <v>542</v>
      </c>
      <c r="D57" s="532">
        <v>5</v>
      </c>
      <c r="E57" s="532">
        <v>60</v>
      </c>
      <c r="F57" s="532">
        <v>43</v>
      </c>
      <c r="G57" s="532">
        <v>34</v>
      </c>
      <c r="H57" s="532">
        <v>21</v>
      </c>
      <c r="I57" s="532">
        <v>5</v>
      </c>
      <c r="J57" s="535">
        <v>51798.2</v>
      </c>
      <c r="K57" s="535">
        <v>23376.79</v>
      </c>
      <c r="L57" s="536">
        <f t="shared" si="2"/>
      </c>
      <c r="M57" s="536">
        <f t="shared" si="1"/>
      </c>
      <c r="N57" s="536">
        <f t="shared" si="3"/>
      </c>
      <c r="O57" s="537"/>
      <c r="P57" s="539"/>
      <c r="Q57" s="540"/>
    </row>
    <row hidden="true" r="58">
      <c r="A58" s="531">
        <v>46036</v>
      </c>
      <c r="B58" s="532" t="s">
        <v>543</v>
      </c>
      <c r="C58" s="533" t="s">
        <v>544</v>
      </c>
      <c r="D58" s="532">
        <v>5</v>
      </c>
      <c r="E58" s="532">
        <v>86</v>
      </c>
      <c r="F58" s="532">
        <v>64</v>
      </c>
      <c r="G58" s="532">
        <v>45</v>
      </c>
      <c r="H58" s="532">
        <v>37</v>
      </c>
      <c r="I58" s="532">
        <v>6</v>
      </c>
      <c r="J58" s="535">
        <v>64233.40000000002</v>
      </c>
      <c r="K58" s="535">
        <v>30009.18</v>
      </c>
      <c r="L58" s="536">
        <f t="shared" si="2"/>
      </c>
      <c r="M58" s="536">
        <f t="shared" si="1"/>
      </c>
      <c r="N58" s="536">
        <f t="shared" si="3"/>
      </c>
      <c r="O58" s="537" t="s">
        <v>563</v>
      </c>
      <c r="P58" s="532">
        <v>10</v>
      </c>
      <c r="Q58" s="539"/>
    </row>
    <row hidden="true" r="59">
      <c r="A59" s="541">
        <v>46036</v>
      </c>
      <c r="B59" s="542"/>
      <c r="C59" s="542"/>
      <c r="D59" s="542">
        <f>SUM(D55:D58)</f>
      </c>
      <c r="E59" s="542">
        <f>SUM(E55:E58)</f>
      </c>
      <c r="F59" s="542">
        <f>SUM(F55:F58)</f>
      </c>
      <c r="G59" s="542">
        <f>SUM(G55:G58)</f>
      </c>
      <c r="H59" s="542">
        <f>SUM(H55:H58)</f>
      </c>
      <c r="I59" s="542">
        <f>SUM(I55:I58)</f>
      </c>
      <c r="J59" s="542">
        <f>SUM(J55:J58)</f>
      </c>
      <c r="K59" s="542">
        <f>SUM(K55:K58)</f>
      </c>
      <c r="L59" s="543">
        <f t="shared" si="2"/>
      </c>
      <c r="M59" s="543">
        <f t="shared" si="1"/>
      </c>
      <c r="N59" s="543">
        <f t="shared" si="3"/>
      </c>
      <c r="O59" s="544"/>
      <c r="P59" s="542">
        <f>P55+P56+P57+P58</f>
      </c>
      <c r="Q59" s="544"/>
      <c r="R59" s="560"/>
      <c r="S59" s="560"/>
      <c r="T59" s="560"/>
    </row>
    <row r="60">
      <c r="A60" s="531">
        <v>46037</v>
      </c>
      <c r="B60" s="532" t="s">
        <v>553</v>
      </c>
      <c r="C60" s="533" t="s">
        <v>546</v>
      </c>
      <c r="D60" s="532">
        <v>5</v>
      </c>
      <c r="E60" s="559">
        <v>96</v>
      </c>
      <c r="F60" s="532">
        <v>68</v>
      </c>
      <c r="G60" s="532">
        <v>50</v>
      </c>
      <c r="H60" s="532">
        <v>41</v>
      </c>
      <c r="I60" s="532">
        <v>8</v>
      </c>
      <c r="J60" s="535">
        <v>64291.60000000002</v>
      </c>
      <c r="K60" s="532">
        <v>34078.86</v>
      </c>
      <c r="L60" s="536">
        <f t="shared" si="2"/>
      </c>
      <c r="M60" s="536">
        <f t="shared" si="1"/>
      </c>
      <c r="N60" s="536">
        <f t="shared" si="3"/>
      </c>
      <c r="O60" s="537" t="s">
        <v>564</v>
      </c>
      <c r="P60" s="532">
        <v>10</v>
      </c>
      <c r="Q60" s="538"/>
    </row>
    <row hidden="true" r="61">
      <c r="A61" s="531">
        <v>46037</v>
      </c>
      <c r="B61" s="532" t="s">
        <v>536</v>
      </c>
      <c r="C61" s="533" t="s">
        <v>547</v>
      </c>
      <c r="D61" s="532">
        <v>5</v>
      </c>
      <c r="E61" s="532">
        <v>68</v>
      </c>
      <c r="F61" s="532">
        <v>50</v>
      </c>
      <c r="G61" s="532">
        <v>39</v>
      </c>
      <c r="H61" s="532">
        <v>32</v>
      </c>
      <c r="I61" s="532">
        <v>6</v>
      </c>
      <c r="J61" s="535">
        <v>49523.7</v>
      </c>
      <c r="K61" s="535">
        <v>31142.41</v>
      </c>
      <c r="L61" s="536">
        <f t="shared" si="2"/>
      </c>
      <c r="M61" s="536">
        <f t="shared" si="1"/>
      </c>
      <c r="N61" s="536">
        <f t="shared" si="3"/>
      </c>
      <c r="O61" s="539"/>
      <c r="P61" s="539"/>
      <c r="Q61" s="540"/>
    </row>
    <row hidden="true" r="62">
      <c r="A62" s="531">
        <v>46037</v>
      </c>
      <c r="B62" s="532" t="s">
        <v>543</v>
      </c>
      <c r="C62" s="533" t="s">
        <v>542</v>
      </c>
      <c r="D62" s="532">
        <v>5</v>
      </c>
      <c r="E62" s="532">
        <v>52</v>
      </c>
      <c r="F62" s="532">
        <v>36</v>
      </c>
      <c r="G62" s="532">
        <v>33</v>
      </c>
      <c r="H62" s="532">
        <v>24</v>
      </c>
      <c r="I62" s="532">
        <v>0</v>
      </c>
      <c r="J62" s="535">
        <v>41344.2</v>
      </c>
      <c r="K62" s="535">
        <v>25960.260000000002</v>
      </c>
      <c r="L62" s="536">
        <f t="shared" si="2"/>
      </c>
      <c r="M62" s="536">
        <f t="shared" si="1"/>
      </c>
      <c r="N62" s="536">
        <f t="shared" si="3"/>
      </c>
      <c r="O62" s="537"/>
      <c r="P62" s="539"/>
      <c r="Q62" s="540"/>
    </row>
    <row hidden="true" r="63">
      <c r="A63" s="531">
        <v>46037</v>
      </c>
      <c r="B63" s="532" t="s">
        <v>539</v>
      </c>
      <c r="C63" s="533" t="s">
        <v>544</v>
      </c>
      <c r="D63" s="532">
        <v>5</v>
      </c>
      <c r="E63" s="532">
        <v>45</v>
      </c>
      <c r="F63" s="532">
        <v>38</v>
      </c>
      <c r="G63" s="532">
        <v>33</v>
      </c>
      <c r="H63" s="532">
        <v>18</v>
      </c>
      <c r="I63" s="532">
        <v>3</v>
      </c>
      <c r="J63" s="535">
        <v>36659.80000000002</v>
      </c>
      <c r="K63" s="535">
        <v>29180.579999999998</v>
      </c>
      <c r="L63" s="536">
        <f t="shared" si="2"/>
      </c>
      <c r="M63" s="536">
        <f t="shared" si="1"/>
      </c>
      <c r="N63" s="536">
        <f t="shared" si="3"/>
      </c>
      <c r="O63" s="537" t="s">
        <v>563</v>
      </c>
      <c r="P63" s="532">
        <v>10</v>
      </c>
      <c r="Q63" s="539"/>
    </row>
    <row hidden="true" r="64">
      <c r="A64" s="541">
        <v>46037</v>
      </c>
      <c r="B64" s="542"/>
      <c r="C64" s="542"/>
      <c r="D64" s="542">
        <f>SUM(D60:D63)</f>
      </c>
      <c r="E64" s="542">
        <f>SUM(E60:E63)</f>
      </c>
      <c r="F64" s="542">
        <f>SUM(F60:F63)</f>
      </c>
      <c r="G64" s="542">
        <f>SUM(G60:G63)</f>
      </c>
      <c r="H64" s="542">
        <f>SUM(H60:H63)</f>
      </c>
      <c r="I64" s="542">
        <f>SUM(I60:I63)</f>
      </c>
      <c r="J64" s="542">
        <f>SUM(J60:J63)</f>
      </c>
      <c r="K64" s="542">
        <f>SUM(K60:K63)</f>
      </c>
      <c r="L64" s="543">
        <f t="shared" si="2"/>
      </c>
      <c r="M64" s="543">
        <f t="shared" si="1"/>
      </c>
      <c r="N64" s="543">
        <f t="shared" si="3"/>
      </c>
      <c r="O64" s="544"/>
      <c r="P64" s="542">
        <f>P60+P61+P62+P63</f>
      </c>
      <c r="Q64" s="544"/>
      <c r="R64" s="560"/>
      <c r="S64" s="560"/>
      <c r="T64" s="560"/>
    </row>
    <row r="65">
      <c r="A65" s="531">
        <v>46038</v>
      </c>
      <c r="B65" s="532" t="s">
        <v>553</v>
      </c>
      <c r="C65" s="533" t="s">
        <v>546</v>
      </c>
      <c r="D65" s="532">
        <v>5</v>
      </c>
      <c r="E65" s="559">
        <v>68</v>
      </c>
      <c r="F65" s="532">
        <v>51</v>
      </c>
      <c r="G65" s="532">
        <v>37</v>
      </c>
      <c r="H65" s="532">
        <v>31</v>
      </c>
      <c r="I65" s="532">
        <v>5</v>
      </c>
      <c r="J65" s="535">
        <v>53007.600000000006</v>
      </c>
      <c r="K65" s="532">
        <v>24231.34</v>
      </c>
      <c r="L65" s="536">
        <f t="shared" si="2"/>
      </c>
      <c r="M65" s="536">
        <f t="shared" si="1"/>
      </c>
      <c r="N65" s="536">
        <f t="shared" si="3"/>
      </c>
      <c r="O65" s="537" t="s">
        <v>564</v>
      </c>
      <c r="P65" s="532">
        <v>10</v>
      </c>
      <c r="Q65" s="538"/>
    </row>
    <row hidden="true" r="66">
      <c r="A66" s="531">
        <v>46038</v>
      </c>
      <c r="B66" s="532" t="s">
        <v>541</v>
      </c>
      <c r="C66" s="533" t="s">
        <v>547</v>
      </c>
      <c r="D66" s="532">
        <v>5</v>
      </c>
      <c r="E66" s="532">
        <v>44</v>
      </c>
      <c r="F66" s="532">
        <v>24</v>
      </c>
      <c r="G66" s="532">
        <v>17</v>
      </c>
      <c r="H66" s="532">
        <v>14</v>
      </c>
      <c r="I66" s="532">
        <v>2</v>
      </c>
      <c r="J66" s="535">
        <v>22215.8</v>
      </c>
      <c r="K66" s="535">
        <v>20928.76</v>
      </c>
      <c r="L66" s="536">
        <f t="shared" si="2"/>
      </c>
      <c r="M66" s="536">
        <f t="shared" si="1"/>
      </c>
      <c r="N66" s="536">
        <f t="shared" si="3"/>
      </c>
      <c r="O66" s="539"/>
      <c r="P66" s="539"/>
      <c r="Q66" s="540"/>
    </row>
    <row hidden="true" r="67">
      <c r="A67" s="545">
        <v>46038</v>
      </c>
      <c r="B67" s="532" t="s">
        <v>536</v>
      </c>
      <c r="C67" s="533" t="s">
        <v>542</v>
      </c>
      <c r="D67" s="532">
        <v>5</v>
      </c>
      <c r="E67" s="532">
        <v>36</v>
      </c>
      <c r="F67" s="532">
        <v>25</v>
      </c>
      <c r="G67" s="532">
        <v>24</v>
      </c>
      <c r="H67" s="532">
        <v>14</v>
      </c>
      <c r="I67" s="532">
        <v>2</v>
      </c>
      <c r="J67" s="535">
        <v>16156.199999999997</v>
      </c>
      <c r="K67" s="535">
        <v>17393.96</v>
      </c>
      <c r="L67" s="536">
        <f t="shared" si="2"/>
      </c>
      <c r="M67" s="536">
        <f t="shared" si="1"/>
      </c>
      <c r="N67" s="536">
        <f t="shared" si="3"/>
      </c>
      <c r="O67" s="537"/>
      <c r="P67" s="539"/>
      <c r="Q67" s="540"/>
    </row>
    <row hidden="true" r="68">
      <c r="A68" s="545">
        <v>46038</v>
      </c>
      <c r="B68" s="532" t="s">
        <v>543</v>
      </c>
      <c r="C68" s="533" t="s">
        <v>544</v>
      </c>
      <c r="D68" s="532">
        <v>5</v>
      </c>
      <c r="E68" s="532">
        <v>36</v>
      </c>
      <c r="F68" s="532">
        <v>24</v>
      </c>
      <c r="G68" s="532">
        <v>15</v>
      </c>
      <c r="H68" s="532">
        <v>14</v>
      </c>
      <c r="I68" s="532">
        <v>4</v>
      </c>
      <c r="J68" s="535">
        <v>15586.400000000009</v>
      </c>
      <c r="K68" s="535">
        <v>14738.550000000003</v>
      </c>
      <c r="L68" s="536">
        <f t="shared" si="2"/>
      </c>
      <c r="M68" s="536">
        <f t="shared" si="1"/>
      </c>
      <c r="N68" s="536">
        <f t="shared" si="3"/>
      </c>
      <c r="O68" s="537" t="s">
        <v>563</v>
      </c>
      <c r="P68" s="532">
        <v>10</v>
      </c>
      <c r="Q68" s="539"/>
    </row>
    <row hidden="true" r="69">
      <c r="A69" s="541">
        <v>46038</v>
      </c>
      <c r="B69" s="542"/>
      <c r="C69" s="542"/>
      <c r="D69" s="542">
        <f>SUM(D65:D68)</f>
      </c>
      <c r="E69" s="542">
        <f>SUM(E65:E68)</f>
      </c>
      <c r="F69" s="542">
        <f>SUM(F65:F68)</f>
      </c>
      <c r="G69" s="542">
        <f>SUM(G65:G68)</f>
      </c>
      <c r="H69" s="542">
        <f>SUM(H65:H68)</f>
      </c>
      <c r="I69" s="542">
        <f>SUM(I65:I68)</f>
      </c>
      <c r="J69" s="542">
        <f>SUM(J65:J68)</f>
      </c>
      <c r="K69" s="542">
        <f>SUM(K65:K68)</f>
      </c>
      <c r="L69" s="543">
        <f t="shared" si="2"/>
      </c>
      <c r="M69" s="543">
        <f t="shared" si="1"/>
      </c>
      <c r="N69" s="543">
        <f t="shared" si="3"/>
      </c>
      <c r="O69" s="544"/>
      <c r="P69" s="542">
        <f>P65+P66+P67+P68</f>
      </c>
      <c r="Q69" s="544"/>
      <c r="R69" s="560"/>
      <c r="S69" s="560"/>
      <c r="T69" s="560"/>
    </row>
    <row r="70">
      <c r="A70" s="531">
        <v>46039</v>
      </c>
      <c r="B70" s="532" t="s">
        <v>553</v>
      </c>
      <c r="C70" s="533" t="s">
        <v>546</v>
      </c>
      <c r="D70" s="532">
        <v>5</v>
      </c>
      <c r="E70" s="559">
        <v>110</v>
      </c>
      <c r="F70" s="532">
        <v>88</v>
      </c>
      <c r="G70" s="532">
        <v>72</v>
      </c>
      <c r="H70" s="532">
        <v>61</v>
      </c>
      <c r="I70" s="532">
        <v>6</v>
      </c>
      <c r="J70" s="535">
        <v>78407.40000000004</v>
      </c>
      <c r="K70" s="532">
        <v>43157.98</v>
      </c>
      <c r="L70" s="536">
        <f t="shared" si="2"/>
      </c>
      <c r="M70" s="536">
        <f t="shared" si="1"/>
      </c>
      <c r="N70" s="536">
        <f t="shared" si="3"/>
      </c>
      <c r="O70" s="537" t="s">
        <v>564</v>
      </c>
      <c r="P70" s="532">
        <v>10</v>
      </c>
      <c r="Q70" s="538"/>
    </row>
    <row hidden="true" r="71">
      <c r="A71" s="531">
        <v>46039</v>
      </c>
      <c r="B71" s="532" t="s">
        <v>541</v>
      </c>
      <c r="C71" s="533" t="s">
        <v>547</v>
      </c>
      <c r="D71" s="532">
        <v>5</v>
      </c>
      <c r="E71" s="532">
        <v>68</v>
      </c>
      <c r="F71" s="532">
        <v>57</v>
      </c>
      <c r="G71" s="532">
        <v>36</v>
      </c>
      <c r="H71" s="532">
        <v>34</v>
      </c>
      <c r="I71" s="532">
        <v>12</v>
      </c>
      <c r="J71" s="535">
        <v>58718.1</v>
      </c>
      <c r="K71" s="535">
        <v>31382.14</v>
      </c>
      <c r="L71" s="536">
        <f t="shared" si="2"/>
      </c>
      <c r="M71" s="536">
        <f t="shared" si="1"/>
      </c>
      <c r="N71" s="536">
        <f t="shared" si="3"/>
      </c>
      <c r="O71" s="539"/>
      <c r="P71" s="539"/>
      <c r="Q71" s="540"/>
    </row>
    <row hidden="true" r="72">
      <c r="A72" s="531">
        <v>46039</v>
      </c>
      <c r="B72" s="532" t="s">
        <v>536</v>
      </c>
      <c r="C72" s="533" t="s">
        <v>542</v>
      </c>
      <c r="D72" s="532">
        <v>5</v>
      </c>
      <c r="E72" s="532">
        <v>59</v>
      </c>
      <c r="F72" s="532">
        <v>42</v>
      </c>
      <c r="G72" s="532">
        <v>28</v>
      </c>
      <c r="H72" s="532">
        <v>25</v>
      </c>
      <c r="I72" s="532">
        <v>6</v>
      </c>
      <c r="J72" s="535">
        <v>38914.6</v>
      </c>
      <c r="K72" s="535">
        <v>20839.89</v>
      </c>
      <c r="L72" s="536">
        <f t="shared" si="2"/>
      </c>
      <c r="M72" s="536">
        <f t="shared" si="1"/>
      </c>
      <c r="N72" s="536">
        <f t="shared" si="3"/>
      </c>
      <c r="O72" s="537"/>
      <c r="P72" s="539"/>
      <c r="Q72" s="540"/>
    </row>
    <row hidden="true" r="73">
      <c r="A73" s="531">
        <v>46039</v>
      </c>
      <c r="B73" s="532" t="s">
        <v>539</v>
      </c>
      <c r="C73" s="533" t="s">
        <v>544</v>
      </c>
      <c r="D73" s="532">
        <v>5</v>
      </c>
      <c r="E73" s="532">
        <v>67</v>
      </c>
      <c r="F73" s="532">
        <v>47</v>
      </c>
      <c r="G73" s="532">
        <v>40</v>
      </c>
      <c r="H73" s="532">
        <v>21</v>
      </c>
      <c r="I73" s="532">
        <v>5</v>
      </c>
      <c r="J73" s="535">
        <v>52071.19999999998</v>
      </c>
      <c r="K73" s="535">
        <v>25555.480000000003</v>
      </c>
      <c r="L73" s="536">
        <f t="shared" si="2"/>
      </c>
      <c r="M73" s="536">
        <f t="shared" si="1"/>
      </c>
      <c r="N73" s="536">
        <f t="shared" si="3"/>
      </c>
      <c r="O73" s="537" t="s">
        <v>563</v>
      </c>
      <c r="P73" s="532">
        <v>10</v>
      </c>
      <c r="Q73" s="539"/>
    </row>
    <row hidden="true" r="74">
      <c r="A74" s="541">
        <v>46039</v>
      </c>
      <c r="B74" s="542"/>
      <c r="C74" s="542"/>
      <c r="D74" s="542">
        <f>SUM(D70:D73)</f>
      </c>
      <c r="E74" s="542">
        <f>SUM(E70:E73)</f>
      </c>
      <c r="F74" s="542">
        <f>SUM(F70:F73)</f>
      </c>
      <c r="G74" s="542">
        <f>SUM(G70:G73)</f>
      </c>
      <c r="H74" s="542">
        <f>SUM(H70:H73)</f>
      </c>
      <c r="I74" s="542">
        <f>SUM(I70:I73)</f>
      </c>
      <c r="J74" s="542">
        <f>SUM(J70:J73)</f>
      </c>
      <c r="K74" s="542">
        <f>SUM(K70:K73)</f>
      </c>
      <c r="L74" s="543">
        <f t="shared" si="2"/>
      </c>
      <c r="M74" s="543">
        <f t="shared" si="1"/>
      </c>
      <c r="N74" s="543">
        <f t="shared" si="3"/>
      </c>
      <c r="O74" s="544"/>
      <c r="P74" s="542">
        <f>P70+P71+P72+P73</f>
      </c>
      <c r="Q74" s="544"/>
      <c r="R74" s="560"/>
      <c r="S74" s="560"/>
      <c r="T74" s="560"/>
    </row>
    <row r="75">
      <c r="A75" s="531">
        <v>46040</v>
      </c>
      <c r="B75" s="532" t="s">
        <v>553</v>
      </c>
      <c r="C75" s="533" t="s">
        <v>546</v>
      </c>
      <c r="D75" s="532">
        <v>5</v>
      </c>
      <c r="E75" s="559">
        <v>107</v>
      </c>
      <c r="F75" s="532">
        <v>88</v>
      </c>
      <c r="G75" s="532">
        <v>65</v>
      </c>
      <c r="H75" s="532">
        <v>50</v>
      </c>
      <c r="I75" s="532">
        <v>9</v>
      </c>
      <c r="J75" s="535">
        <v>82148.40000000002</v>
      </c>
      <c r="K75" s="532">
        <v>41857.219999999994</v>
      </c>
      <c r="L75" s="536">
        <f t="shared" si="2"/>
      </c>
      <c r="M75" s="536">
        <f t="shared" si="1"/>
      </c>
      <c r="N75" s="536">
        <f t="shared" si="3"/>
      </c>
      <c r="O75" s="537" t="s">
        <v>564</v>
      </c>
      <c r="P75" s="532">
        <v>10</v>
      </c>
      <c r="Q75" s="538"/>
    </row>
    <row hidden="true" r="76">
      <c r="A76" s="531">
        <v>46040</v>
      </c>
      <c r="B76" s="532" t="s">
        <v>541</v>
      </c>
      <c r="C76" s="533" t="s">
        <v>547</v>
      </c>
      <c r="D76" s="532">
        <v>5</v>
      </c>
      <c r="E76" s="532">
        <v>66</v>
      </c>
      <c r="F76" s="532">
        <v>44</v>
      </c>
      <c r="G76" s="532">
        <v>33</v>
      </c>
      <c r="H76" s="532">
        <v>27</v>
      </c>
      <c r="I76" s="532">
        <v>2</v>
      </c>
      <c r="J76" s="535">
        <v>41223.2</v>
      </c>
      <c r="K76" s="535">
        <v>27286.410000000003</v>
      </c>
      <c r="L76" s="536">
        <f t="shared" si="2"/>
      </c>
      <c r="M76" s="536">
        <f t="shared" si="1"/>
      </c>
      <c r="N76" s="536">
        <f t="shared" si="3"/>
      </c>
      <c r="O76" s="539"/>
      <c r="P76" s="539"/>
      <c r="Q76" s="540"/>
    </row>
    <row hidden="true" r="77">
      <c r="A77" s="531">
        <v>46040</v>
      </c>
      <c r="B77" s="532" t="s">
        <v>536</v>
      </c>
      <c r="C77" s="533" t="s">
        <v>542</v>
      </c>
      <c r="D77" s="532">
        <v>5</v>
      </c>
      <c r="E77" s="532">
        <v>58</v>
      </c>
      <c r="F77" s="532">
        <v>45</v>
      </c>
      <c r="G77" s="532">
        <v>32</v>
      </c>
      <c r="H77" s="532">
        <v>32</v>
      </c>
      <c r="I77" s="532">
        <v>2</v>
      </c>
      <c r="J77" s="535">
        <v>37802.399999999994</v>
      </c>
      <c r="K77" s="535">
        <v>28819.619999999995</v>
      </c>
      <c r="L77" s="536">
        <f t="shared" si="2"/>
      </c>
      <c r="M77" s="536">
        <f t="shared" si="1"/>
      </c>
      <c r="N77" s="536">
        <f t="shared" si="3"/>
      </c>
      <c r="O77" s="537"/>
      <c r="P77" s="539"/>
      <c r="Q77" s="540"/>
    </row>
    <row hidden="true" r="78">
      <c r="A78" s="531">
        <v>46040</v>
      </c>
      <c r="B78" s="532" t="s">
        <v>543</v>
      </c>
      <c r="C78" s="533" t="s">
        <v>544</v>
      </c>
      <c r="D78" s="532">
        <v>5</v>
      </c>
      <c r="E78" s="532">
        <v>59</v>
      </c>
      <c r="F78" s="532">
        <v>46</v>
      </c>
      <c r="G78" s="532">
        <v>35</v>
      </c>
      <c r="H78" s="532">
        <v>31</v>
      </c>
      <c r="I78" s="532">
        <v>5</v>
      </c>
      <c r="J78" s="535">
        <v>47355.59999999999</v>
      </c>
      <c r="K78" s="535">
        <v>23739.87</v>
      </c>
      <c r="L78" s="536">
        <f t="shared" si="2"/>
      </c>
      <c r="M78" s="536">
        <f t="shared" si="1"/>
      </c>
      <c r="N78" s="536">
        <f t="shared" si="3"/>
      </c>
      <c r="O78" s="537" t="s">
        <v>563</v>
      </c>
      <c r="P78" s="532">
        <v>10</v>
      </c>
      <c r="Q78" s="539"/>
    </row>
    <row hidden="true" r="79">
      <c r="A79" s="541">
        <v>46040</v>
      </c>
      <c r="B79" s="542"/>
      <c r="C79" s="542"/>
      <c r="D79" s="542">
        <f>SUM(D75:D78)</f>
      </c>
      <c r="E79" s="542">
        <f>SUM(E75:E78)</f>
      </c>
      <c r="F79" s="542">
        <f>SUM(F75:F78)</f>
      </c>
      <c r="G79" s="542">
        <f>SUM(G75:G78)</f>
      </c>
      <c r="H79" s="542">
        <f>SUM(H75:H78)</f>
      </c>
      <c r="I79" s="542">
        <f>SUM(I75:I78)</f>
      </c>
      <c r="J79" s="542">
        <f>SUM(J75:J78)</f>
      </c>
      <c r="K79" s="542">
        <f>SUM(K75:K78)</f>
      </c>
      <c r="L79" s="543">
        <f t="shared" si="2"/>
      </c>
      <c r="M79" s="543">
        <f t="shared" si="1"/>
      </c>
      <c r="N79" s="543">
        <f t="shared" si="3"/>
      </c>
      <c r="O79" s="544"/>
      <c r="P79" s="542">
        <f>P75+P76+P77+P78</f>
      </c>
      <c r="Q79" s="544"/>
      <c r="R79" s="560"/>
      <c r="S79" s="560"/>
      <c r="T79" s="560"/>
    </row>
    <row r="80">
      <c r="A80" s="545">
        <v>46041</v>
      </c>
      <c r="B80" s="532" t="s">
        <v>553</v>
      </c>
      <c r="C80" s="533" t="s">
        <v>546</v>
      </c>
      <c r="D80" s="532">
        <v>5</v>
      </c>
      <c r="E80" s="559">
        <v>78</v>
      </c>
      <c r="F80" s="532">
        <v>60</v>
      </c>
      <c r="G80" s="532">
        <v>34</v>
      </c>
      <c r="H80" s="532">
        <v>44</v>
      </c>
      <c r="I80" s="532">
        <v>7</v>
      </c>
      <c r="J80" s="535">
        <v>60085</v>
      </c>
      <c r="K80" s="532">
        <v>28576.729999999996</v>
      </c>
      <c r="L80" s="536">
        <f t="shared" si="2"/>
      </c>
      <c r="M80" s="536">
        <f t="shared" si="1"/>
      </c>
      <c r="N80" s="536">
        <f t="shared" si="3"/>
      </c>
      <c r="O80" s="537" t="s">
        <v>564</v>
      </c>
      <c r="P80" s="532">
        <v>10</v>
      </c>
      <c r="Q80" s="538"/>
    </row>
    <row hidden="true" r="81">
      <c r="A81" s="545">
        <v>46041</v>
      </c>
      <c r="B81" s="532" t="s">
        <v>541</v>
      </c>
      <c r="C81" s="533" t="s">
        <v>547</v>
      </c>
      <c r="D81" s="532">
        <v>5</v>
      </c>
      <c r="E81" s="532">
        <v>73</v>
      </c>
      <c r="F81" s="532">
        <v>55</v>
      </c>
      <c r="G81" s="532">
        <v>36</v>
      </c>
      <c r="H81" s="532">
        <v>33</v>
      </c>
      <c r="I81" s="532">
        <v>8</v>
      </c>
      <c r="J81" s="535">
        <v>47233.799999999996</v>
      </c>
      <c r="K81" s="535">
        <v>26073.98</v>
      </c>
      <c r="L81" s="536">
        <f t="shared" si="2"/>
      </c>
      <c r="M81" s="536">
        <f t="shared" si="1"/>
      </c>
      <c r="N81" s="536">
        <f t="shared" si="3"/>
      </c>
      <c r="O81" s="539"/>
      <c r="P81" s="539"/>
      <c r="Q81" s="540"/>
    </row>
    <row hidden="true" r="82">
      <c r="A82" s="545">
        <v>46041</v>
      </c>
      <c r="B82" s="532" t="s">
        <v>543</v>
      </c>
      <c r="C82" s="533" t="s">
        <v>542</v>
      </c>
      <c r="D82" s="532">
        <v>5</v>
      </c>
      <c r="E82" s="532">
        <v>40</v>
      </c>
      <c r="F82" s="532">
        <v>32</v>
      </c>
      <c r="G82" s="532">
        <v>28</v>
      </c>
      <c r="H82" s="532">
        <v>22</v>
      </c>
      <c r="I82" s="532">
        <v>2</v>
      </c>
      <c r="J82" s="535">
        <v>33397.600000000006</v>
      </c>
      <c r="K82" s="535">
        <v>22318.979999999996</v>
      </c>
      <c r="L82" s="536">
        <f t="shared" si="2"/>
      </c>
      <c r="M82" s="536">
        <f t="shared" si="1"/>
      </c>
      <c r="N82" s="536">
        <f t="shared" si="3"/>
      </c>
      <c r="O82" s="537"/>
      <c r="P82" s="539"/>
      <c r="Q82" s="540"/>
    </row>
    <row hidden="true" r="83">
      <c r="A83" s="545">
        <v>46041</v>
      </c>
      <c r="B83" s="532" t="s">
        <v>536</v>
      </c>
      <c r="C83" s="533" t="s">
        <v>544</v>
      </c>
      <c r="D83" s="532">
        <v>5</v>
      </c>
      <c r="E83" s="532">
        <v>67</v>
      </c>
      <c r="F83" s="532">
        <v>37</v>
      </c>
      <c r="G83" s="532">
        <v>33</v>
      </c>
      <c r="H83" s="532">
        <v>22</v>
      </c>
      <c r="I83" s="532">
        <v>4</v>
      </c>
      <c r="J83" s="535">
        <v>40314.40000000001</v>
      </c>
      <c r="K83" s="535">
        <v>25712.47</v>
      </c>
      <c r="L83" s="536">
        <f t="shared" si="2"/>
      </c>
      <c r="M83" s="536">
        <f t="shared" si="1"/>
      </c>
      <c r="N83" s="536">
        <f t="shared" si="3"/>
      </c>
      <c r="O83" s="537" t="s">
        <v>563</v>
      </c>
      <c r="P83" s="532">
        <v>10</v>
      </c>
      <c r="Q83" s="539"/>
    </row>
    <row hidden="true" r="84">
      <c r="A84" s="541">
        <v>46041</v>
      </c>
      <c r="B84" s="542"/>
      <c r="C84" s="542"/>
      <c r="D84" s="542">
        <f>SUM(D80:D83)</f>
      </c>
      <c r="E84" s="542">
        <f>SUM(E80:E83)</f>
      </c>
      <c r="F84" s="542">
        <f>SUM(F80:F83)</f>
      </c>
      <c r="G84" s="542">
        <f>SUM(G80:G83)</f>
      </c>
      <c r="H84" s="542">
        <f>SUM(H80:H83)</f>
      </c>
      <c r="I84" s="542">
        <f>SUM(I80:I83)</f>
      </c>
      <c r="J84" s="542">
        <f>SUM(J80:J83)</f>
      </c>
      <c r="K84" s="542">
        <f>SUM(K80:K83)</f>
      </c>
      <c r="L84" s="543">
        <f t="shared" si="2"/>
      </c>
      <c r="M84" s="543">
        <f t="shared" si="1"/>
      </c>
      <c r="N84" s="543">
        <f t="shared" si="3"/>
      </c>
      <c r="O84" s="544"/>
      <c r="P84" s="542">
        <f>P80+P81+P82+P83</f>
      </c>
      <c r="Q84" s="544"/>
    </row>
    <row hidden="true" r="85">
      <c r="A85" s="531">
        <v>46042</v>
      </c>
      <c r="B85" s="532" t="s">
        <v>541</v>
      </c>
      <c r="C85" s="533" t="s">
        <v>546</v>
      </c>
      <c r="D85" s="532">
        <v>5</v>
      </c>
      <c r="E85" s="559">
        <v>49</v>
      </c>
      <c r="F85" s="532">
        <v>41</v>
      </c>
      <c r="G85" s="532">
        <v>24</v>
      </c>
      <c r="H85" s="532">
        <v>33</v>
      </c>
      <c r="I85" s="532">
        <v>3</v>
      </c>
      <c r="J85" s="535">
        <v>34109.4</v>
      </c>
      <c r="K85" s="532">
        <v>20225.62</v>
      </c>
      <c r="L85" s="536">
        <f t="shared" si="2"/>
      </c>
      <c r="M85" s="536">
        <f t="shared" si="1"/>
      </c>
      <c r="N85" s="536">
        <f t="shared" si="3"/>
      </c>
      <c r="O85" s="537" t="s">
        <v>556</v>
      </c>
      <c r="P85" s="532">
        <v>3</v>
      </c>
      <c r="Q85" s="538"/>
    </row>
    <row hidden="true" r="86">
      <c r="A86" s="531">
        <v>46042</v>
      </c>
      <c r="B86" s="532" t="s">
        <v>543</v>
      </c>
      <c r="C86" s="533" t="s">
        <v>547</v>
      </c>
      <c r="D86" s="532">
        <v>5</v>
      </c>
      <c r="E86" s="532">
        <v>46</v>
      </c>
      <c r="F86" s="532">
        <v>34</v>
      </c>
      <c r="G86" s="532">
        <v>29</v>
      </c>
      <c r="H86" s="532">
        <v>27</v>
      </c>
      <c r="I86" s="532">
        <v>2</v>
      </c>
      <c r="J86" s="535">
        <v>29469.4</v>
      </c>
      <c r="K86" s="535">
        <v>19294.660000000003</v>
      </c>
      <c r="L86" s="536">
        <f t="shared" si="2"/>
      </c>
      <c r="M86" s="536">
        <f t="shared" si="1"/>
      </c>
      <c r="N86" s="536">
        <f t="shared" si="3"/>
      </c>
      <c r="O86" s="539" t="s">
        <v>566</v>
      </c>
      <c r="P86" s="539">
        <v>7</v>
      </c>
      <c r="Q86" s="540"/>
    </row>
    <row hidden="true" r="87">
      <c r="A87" s="531">
        <v>46042</v>
      </c>
      <c r="B87" s="532" t="s">
        <v>536</v>
      </c>
      <c r="C87" s="533" t="s">
        <v>542</v>
      </c>
      <c r="D87" s="532">
        <v>5</v>
      </c>
      <c r="E87" s="532">
        <v>39</v>
      </c>
      <c r="F87" s="532">
        <v>25</v>
      </c>
      <c r="G87" s="532">
        <v>18</v>
      </c>
      <c r="H87" s="532">
        <v>16</v>
      </c>
      <c r="I87" s="532">
        <v>2</v>
      </c>
      <c r="J87" s="535">
        <v>25288.100000000002</v>
      </c>
      <c r="K87" s="535">
        <v>17635.17</v>
      </c>
      <c r="L87" s="536">
        <f t="shared" si="2"/>
      </c>
      <c r="M87" s="536">
        <f t="shared" si="1"/>
      </c>
      <c r="N87" s="536">
        <f t="shared" si="3"/>
      </c>
      <c r="O87" s="537"/>
      <c r="P87" s="539"/>
      <c r="Q87" s="540"/>
    </row>
    <row r="88">
      <c r="A88" s="531">
        <v>46042</v>
      </c>
      <c r="B88" s="532" t="s">
        <v>553</v>
      </c>
      <c r="C88" s="533" t="s">
        <v>544</v>
      </c>
      <c r="D88" s="532">
        <v>5</v>
      </c>
      <c r="E88" s="532">
        <v>77</v>
      </c>
      <c r="F88" s="532">
        <v>63</v>
      </c>
      <c r="G88" s="532">
        <v>51</v>
      </c>
      <c r="H88" s="532">
        <v>43</v>
      </c>
      <c r="I88" s="532">
        <v>5</v>
      </c>
      <c r="J88" s="535">
        <v>54633.00000000001</v>
      </c>
      <c r="K88" s="535">
        <v>22265.769999999997</v>
      </c>
      <c r="L88" s="536">
        <f t="shared" si="2"/>
      </c>
      <c r="M88" s="536">
        <f t="shared" si="1"/>
      </c>
      <c r="N88" s="536">
        <f t="shared" si="3"/>
      </c>
      <c r="O88" s="537" t="s">
        <v>563</v>
      </c>
      <c r="P88" s="532">
        <v>10</v>
      </c>
      <c r="Q88" s="539"/>
    </row>
    <row hidden="true" r="89">
      <c r="A89" s="541">
        <v>46042</v>
      </c>
      <c r="B89" s="542"/>
      <c r="C89" s="542"/>
      <c r="D89" s="542">
        <f>SUM(D85:D88)</f>
      </c>
      <c r="E89" s="542">
        <f>SUM(E85:E88)</f>
      </c>
      <c r="F89" s="542">
        <f>SUM(F85:F88)</f>
      </c>
      <c r="G89" s="542">
        <f>SUM(G85:G88)</f>
      </c>
      <c r="H89" s="542">
        <f>SUM(H85:H88)</f>
      </c>
      <c r="I89" s="542">
        <f>SUM(I85:I88)</f>
      </c>
      <c r="J89" s="542">
        <f>SUM(J85:J88)</f>
      </c>
      <c r="K89" s="542">
        <f>SUM(K85:K88)</f>
      </c>
      <c r="L89" s="543">
        <f t="shared" si="2"/>
      </c>
      <c r="M89" s="543">
        <f t="shared" si="1"/>
      </c>
      <c r="N89" s="543">
        <f t="shared" si="3"/>
      </c>
      <c r="O89" s="544"/>
      <c r="P89" s="542">
        <f>P85+P86+P87+P88</f>
      </c>
      <c r="Q89" s="544"/>
    </row>
    <row hidden="true" r="90">
      <c r="A90" s="531">
        <v>46043</v>
      </c>
      <c r="B90" s="532" t="s">
        <v>541</v>
      </c>
      <c r="C90" s="533" t="s">
        <v>546</v>
      </c>
      <c r="D90" s="532">
        <v>5</v>
      </c>
      <c r="E90" s="559">
        <v>41</v>
      </c>
      <c r="F90" s="532">
        <v>30</v>
      </c>
      <c r="G90" s="532">
        <v>22</v>
      </c>
      <c r="H90" s="532">
        <v>19</v>
      </c>
      <c r="I90" s="532">
        <v>4</v>
      </c>
      <c r="J90" s="535">
        <v>31627.199999999997</v>
      </c>
      <c r="K90" s="532">
        <v>24632.17</v>
      </c>
      <c r="L90" s="536">
        <f t="shared" si="2"/>
      </c>
      <c r="M90" s="536">
        <f t="shared" si="1"/>
      </c>
      <c r="N90" s="536">
        <f t="shared" si="3"/>
      </c>
      <c r="O90" s="537" t="s">
        <v>564</v>
      </c>
      <c r="P90" s="532">
        <v>10</v>
      </c>
      <c r="Q90" s="538"/>
    </row>
    <row hidden="true" r="91">
      <c r="A91" s="531">
        <v>46043</v>
      </c>
      <c r="B91" s="532" t="s">
        <v>536</v>
      </c>
      <c r="C91" s="533" t="s">
        <v>547</v>
      </c>
      <c r="D91" s="532">
        <v>5</v>
      </c>
      <c r="E91" s="532">
        <v>36</v>
      </c>
      <c r="F91" s="532">
        <v>31</v>
      </c>
      <c r="G91" s="532">
        <v>26</v>
      </c>
      <c r="H91" s="532">
        <v>17</v>
      </c>
      <c r="I91" s="532">
        <v>2</v>
      </c>
      <c r="J91" s="535">
        <v>29084.399999999998</v>
      </c>
      <c r="K91" s="535">
        <v>19051.14</v>
      </c>
      <c r="L91" s="536">
        <f t="shared" si="2"/>
      </c>
      <c r="M91" s="536">
        <f t="shared" si="1"/>
      </c>
      <c r="N91" s="536">
        <f t="shared" si="3"/>
      </c>
      <c r="O91" s="539"/>
      <c r="P91" s="539"/>
      <c r="Q91" s="540"/>
    </row>
    <row r="92">
      <c r="A92" s="531">
        <v>46043</v>
      </c>
      <c r="B92" s="532" t="s">
        <v>553</v>
      </c>
      <c r="C92" s="533" t="s">
        <v>567</v>
      </c>
      <c r="D92" s="532">
        <v>4</v>
      </c>
      <c r="E92" s="532">
        <v>64</v>
      </c>
      <c r="F92" s="532">
        <v>54</v>
      </c>
      <c r="G92" s="532">
        <v>41</v>
      </c>
      <c r="H92" s="532">
        <v>36</v>
      </c>
      <c r="I92" s="532">
        <v>7</v>
      </c>
      <c r="J92" s="535">
        <v>50051.40000000001</v>
      </c>
      <c r="K92" s="535">
        <v>20953.32</v>
      </c>
      <c r="L92" s="536">
        <f t="shared" si="2"/>
      </c>
      <c r="M92" s="536">
        <f t="shared" si="1"/>
      </c>
      <c r="N92" s="536">
        <f t="shared" si="3"/>
      </c>
      <c r="O92" s="537"/>
      <c r="P92" s="539"/>
      <c r="Q92" s="540"/>
    </row>
    <row hidden="true" r="93">
      <c r="A93" s="531">
        <v>46043</v>
      </c>
      <c r="B93" s="532" t="s">
        <v>539</v>
      </c>
      <c r="C93" s="533" t="s">
        <v>568</v>
      </c>
      <c r="D93" s="532">
        <v>5</v>
      </c>
      <c r="E93" s="532">
        <v>66</v>
      </c>
      <c r="F93" s="532">
        <v>53</v>
      </c>
      <c r="G93" s="532">
        <v>36</v>
      </c>
      <c r="H93" s="532">
        <v>31</v>
      </c>
      <c r="I93" s="532">
        <v>9</v>
      </c>
      <c r="J93" s="535">
        <v>49853.400000000016</v>
      </c>
      <c r="K93" s="535">
        <v>33775.130000000005</v>
      </c>
      <c r="L93" s="536">
        <f t="shared" si="2"/>
      </c>
      <c r="M93" s="536">
        <f t="shared" si="1"/>
      </c>
      <c r="N93" s="536">
        <f t="shared" si="3"/>
      </c>
      <c r="O93" s="537" t="s">
        <v>569</v>
      </c>
      <c r="P93" s="532">
        <v>9</v>
      </c>
      <c r="Q93" s="539"/>
    </row>
    <row hidden="true" r="94">
      <c r="A94" s="541">
        <v>46043</v>
      </c>
      <c r="B94" s="542"/>
      <c r="C94" s="542"/>
      <c r="D94" s="542">
        <f>SUM(D90:D93)</f>
      </c>
      <c r="E94" s="542">
        <f>SUM(E90:E93)</f>
      </c>
      <c r="F94" s="542">
        <f>SUM(F90:F93)</f>
      </c>
      <c r="G94" s="542">
        <f>SUM(G90:G93)</f>
      </c>
      <c r="H94" s="542">
        <f>SUM(H90:H93)</f>
      </c>
      <c r="I94" s="542">
        <f>SUM(I90:I93)</f>
      </c>
      <c r="J94" s="542">
        <f>SUM(J90:J93)</f>
      </c>
      <c r="K94" s="542">
        <f>SUM(K90:K93)</f>
      </c>
      <c r="L94" s="543">
        <f t="shared" si="2"/>
      </c>
      <c r="M94" s="543">
        <f t="shared" si="1"/>
      </c>
      <c r="N94" s="543">
        <f t="shared" si="3"/>
      </c>
      <c r="O94" s="544"/>
      <c r="P94" s="542">
        <f>P90+P91+P92+P93</f>
      </c>
      <c r="Q94" s="544"/>
    </row>
    <row hidden="true" r="95">
      <c r="A95" s="531">
        <v>46044</v>
      </c>
      <c r="B95" s="532" t="s">
        <v>536</v>
      </c>
      <c r="C95" s="533" t="s">
        <v>546</v>
      </c>
      <c r="D95" s="532">
        <v>5</v>
      </c>
      <c r="E95" s="559">
        <v>95</v>
      </c>
      <c r="F95" s="532">
        <v>76</v>
      </c>
      <c r="G95" s="532">
        <v>64</v>
      </c>
      <c r="H95" s="532">
        <v>44</v>
      </c>
      <c r="I95" s="532">
        <v>7</v>
      </c>
      <c r="J95" s="535">
        <v>74633.6</v>
      </c>
      <c r="K95" s="532">
        <v>43277.55</v>
      </c>
      <c r="L95" s="536">
        <f t="shared" si="2"/>
      </c>
      <c r="M95" s="536">
        <f t="shared" si="1"/>
      </c>
      <c r="N95" s="536">
        <f t="shared" si="3"/>
      </c>
      <c r="O95" s="537" t="s">
        <v>556</v>
      </c>
      <c r="P95" s="532">
        <v>11</v>
      </c>
      <c r="Q95" s="538"/>
    </row>
    <row hidden="true" r="96">
      <c r="A96" s="531">
        <v>46044</v>
      </c>
      <c r="B96" s="532" t="s">
        <v>539</v>
      </c>
      <c r="C96" s="533" t="s">
        <v>547</v>
      </c>
      <c r="D96" s="532">
        <v>5</v>
      </c>
      <c r="E96" s="532">
        <v>46</v>
      </c>
      <c r="F96" s="532">
        <v>33</v>
      </c>
      <c r="G96" s="532">
        <v>27</v>
      </c>
      <c r="H96" s="532">
        <v>16</v>
      </c>
      <c r="I96" s="532">
        <v>3</v>
      </c>
      <c r="J96" s="535">
        <v>28400</v>
      </c>
      <c r="K96" s="535">
        <v>24894.78</v>
      </c>
      <c r="L96" s="536">
        <f t="shared" si="2"/>
      </c>
      <c r="M96" s="536">
        <f t="shared" si="1"/>
      </c>
      <c r="N96" s="536">
        <f t="shared" si="3"/>
      </c>
      <c r="O96" s="539"/>
      <c r="P96" s="539"/>
      <c r="Q96" s="540"/>
    </row>
    <row r="97">
      <c r="A97" s="531">
        <v>46044</v>
      </c>
      <c r="B97" s="532" t="s">
        <v>553</v>
      </c>
      <c r="C97" s="533" t="s">
        <v>542</v>
      </c>
      <c r="D97" s="532">
        <v>5</v>
      </c>
      <c r="E97" s="532">
        <v>82</v>
      </c>
      <c r="F97" s="532">
        <v>63</v>
      </c>
      <c r="G97" s="532">
        <v>38</v>
      </c>
      <c r="H97" s="532">
        <v>36</v>
      </c>
      <c r="I97" s="532">
        <v>6</v>
      </c>
      <c r="J97" s="535">
        <v>61555.5</v>
      </c>
      <c r="K97" s="535">
        <v>26828.03</v>
      </c>
      <c r="L97" s="536">
        <f t="shared" si="2"/>
      </c>
      <c r="M97" s="536">
        <f t="shared" si="1"/>
      </c>
      <c r="N97" s="536">
        <f t="shared" si="3"/>
      </c>
      <c r="O97" s="537"/>
      <c r="P97" s="539"/>
      <c r="Q97" s="540"/>
    </row>
    <row hidden="true" r="98">
      <c r="A98" s="531">
        <v>46044</v>
      </c>
      <c r="B98" s="532" t="s">
        <v>543</v>
      </c>
      <c r="C98" s="533" t="s">
        <v>544</v>
      </c>
      <c r="D98" s="532">
        <v>5</v>
      </c>
      <c r="E98" s="532">
        <v>52</v>
      </c>
      <c r="F98" s="532">
        <v>37</v>
      </c>
      <c r="G98" s="532">
        <v>29</v>
      </c>
      <c r="H98" s="532">
        <v>21</v>
      </c>
      <c r="I98" s="532">
        <v>6</v>
      </c>
      <c r="J98" s="535">
        <v>38414</v>
      </c>
      <c r="K98" s="535">
        <v>25700.86</v>
      </c>
      <c r="L98" s="536">
        <f t="shared" si="2"/>
      </c>
      <c r="M98" s="536">
        <f t="shared" si="1"/>
      </c>
      <c r="N98" s="536">
        <f t="shared" si="3"/>
      </c>
      <c r="O98" s="537" t="s">
        <v>545</v>
      </c>
      <c r="P98" s="532">
        <v>9</v>
      </c>
      <c r="Q98" s="539"/>
    </row>
    <row hidden="true" r="99">
      <c r="A99" s="541">
        <v>46044</v>
      </c>
      <c r="B99" s="542"/>
      <c r="C99" s="542"/>
      <c r="D99" s="542">
        <f>SUM(D95:D98)</f>
      </c>
      <c r="E99" s="542">
        <f>SUM(E95:E98)</f>
      </c>
      <c r="F99" s="542">
        <f>SUM(F95:F98)</f>
      </c>
      <c r="G99" s="542">
        <f>SUM(G95:G98)</f>
      </c>
      <c r="H99" s="542">
        <f>SUM(H95:H98)</f>
      </c>
      <c r="I99" s="542">
        <f>SUM(I95:I98)</f>
      </c>
      <c r="J99" s="542">
        <f>SUM(J95:J98)</f>
      </c>
      <c r="K99" s="542">
        <f>SUM(K95:K98)</f>
      </c>
      <c r="L99" s="543">
        <f t="shared" si="2"/>
      </c>
      <c r="M99" s="543">
        <f t="shared" si="1"/>
      </c>
      <c r="N99" s="543">
        <f t="shared" si="3"/>
      </c>
      <c r="O99" s="544"/>
      <c r="P99" s="542">
        <f>P95+P96+P97+P98</f>
      </c>
      <c r="Q99" s="544"/>
    </row>
    <row hidden="true" r="100">
      <c r="A100" s="531">
        <v>46045</v>
      </c>
      <c r="B100" s="532" t="s">
        <v>541</v>
      </c>
      <c r="C100" s="533" t="s">
        <v>546</v>
      </c>
      <c r="D100" s="532">
        <v>5</v>
      </c>
      <c r="E100" s="559">
        <v>42</v>
      </c>
      <c r="F100" s="532">
        <v>30</v>
      </c>
      <c r="G100" s="532">
        <v>26</v>
      </c>
      <c r="H100" s="532">
        <v>17</v>
      </c>
      <c r="I100" s="532">
        <v>3</v>
      </c>
      <c r="J100" s="535">
        <v>31232</v>
      </c>
      <c r="K100" s="532">
        <v>22307.239999999998</v>
      </c>
      <c r="L100" s="536">
        <f t="shared" si="2"/>
      </c>
      <c r="M100" s="536">
        <f t="shared" si="1"/>
      </c>
      <c r="N100" s="536">
        <f t="shared" si="3"/>
      </c>
      <c r="O100" s="537" t="s">
        <v>538</v>
      </c>
      <c r="P100" s="532">
        <v>10</v>
      </c>
      <c r="Q100" s="538"/>
    </row>
    <row r="101">
      <c r="A101" s="531">
        <v>46045</v>
      </c>
      <c r="B101" s="532" t="s">
        <v>553</v>
      </c>
      <c r="C101" s="533" t="s">
        <v>547</v>
      </c>
      <c r="D101" s="532">
        <v>5</v>
      </c>
      <c r="E101" s="532">
        <v>62</v>
      </c>
      <c r="F101" s="532">
        <v>47</v>
      </c>
      <c r="G101" s="532">
        <v>35</v>
      </c>
      <c r="H101" s="532">
        <v>29</v>
      </c>
      <c r="I101" s="532">
        <v>7</v>
      </c>
      <c r="J101" s="535">
        <v>41680.8</v>
      </c>
      <c r="K101" s="535">
        <v>22632.390000000003</v>
      </c>
      <c r="L101" s="536">
        <f t="shared" si="2"/>
      </c>
      <c r="M101" s="536">
        <f t="shared" si="1"/>
      </c>
      <c r="N101" s="536">
        <f t="shared" si="3"/>
      </c>
      <c r="O101" s="539"/>
      <c r="P101" s="539"/>
      <c r="Q101" s="540"/>
    </row>
    <row hidden="true" r="102">
      <c r="A102" s="531">
        <v>46045</v>
      </c>
      <c r="B102" s="532" t="s">
        <v>539</v>
      </c>
      <c r="C102" s="533" t="s">
        <v>542</v>
      </c>
      <c r="D102" s="532">
        <v>5</v>
      </c>
      <c r="E102" s="532">
        <v>43</v>
      </c>
      <c r="F102" s="532">
        <v>34</v>
      </c>
      <c r="G102" s="532">
        <v>28</v>
      </c>
      <c r="H102" s="532">
        <v>19</v>
      </c>
      <c r="I102" s="532">
        <v>3</v>
      </c>
      <c r="J102" s="535">
        <v>31273.6</v>
      </c>
      <c r="K102" s="535">
        <v>23183.43</v>
      </c>
      <c r="L102" s="536">
        <f t="shared" si="2"/>
      </c>
      <c r="M102" s="536">
        <f t="shared" si="1"/>
      </c>
      <c r="N102" s="536">
        <f t="shared" si="3"/>
      </c>
      <c r="O102" s="537"/>
      <c r="P102" s="539"/>
      <c r="Q102" s="540"/>
    </row>
    <row hidden="true" r="103">
      <c r="A103" s="531">
        <v>46045</v>
      </c>
      <c r="B103" s="532" t="s">
        <v>543</v>
      </c>
      <c r="C103" s="533" t="s">
        <v>544</v>
      </c>
      <c r="D103" s="532">
        <v>5</v>
      </c>
      <c r="E103" s="532">
        <v>72</v>
      </c>
      <c r="F103" s="532">
        <v>50</v>
      </c>
      <c r="G103" s="532">
        <v>34</v>
      </c>
      <c r="H103" s="532">
        <v>35</v>
      </c>
      <c r="I103" s="532">
        <v>6</v>
      </c>
      <c r="J103" s="535">
        <v>44167.00000000001</v>
      </c>
      <c r="K103" s="535">
        <v>25986.690000000002</v>
      </c>
      <c r="L103" s="536">
        <f t="shared" si="2"/>
      </c>
      <c r="M103" s="536">
        <f t="shared" si="1"/>
      </c>
      <c r="N103" s="536">
        <f t="shared" si="3"/>
      </c>
      <c r="O103" s="537" t="s">
        <v>545</v>
      </c>
      <c r="P103" s="532">
        <v>10</v>
      </c>
      <c r="Q103" s="539"/>
    </row>
    <row hidden="true" r="104">
      <c r="A104" s="541">
        <v>46045</v>
      </c>
      <c r="B104" s="542"/>
      <c r="C104" s="542"/>
      <c r="D104" s="542">
        <f>SUM(D100:D103)</f>
      </c>
      <c r="E104" s="542">
        <f>SUM(E100:E103)</f>
      </c>
      <c r="F104" s="542">
        <f>SUM(F100:F103)</f>
      </c>
      <c r="G104" s="542">
        <f>SUM(G100:G103)</f>
      </c>
      <c r="H104" s="542">
        <f>SUM(H100:H103)</f>
      </c>
      <c r="I104" s="542">
        <f>SUM(I100:I103)</f>
      </c>
      <c r="J104" s="542">
        <f>SUM(J100:J103)</f>
      </c>
      <c r="K104" s="542">
        <f>SUM(K100:K103)</f>
      </c>
      <c r="L104" s="543">
        <f t="shared" si="2"/>
      </c>
      <c r="M104" s="543">
        <f t="shared" si="1"/>
      </c>
      <c r="N104" s="543">
        <f t="shared" si="3"/>
      </c>
      <c r="O104" s="544"/>
      <c r="P104" s="542">
        <f>P100+P101+P102+P103</f>
      </c>
      <c r="Q104" s="544"/>
    </row>
    <row hidden="true" r="105">
      <c r="A105" s="531">
        <v>46046</v>
      </c>
      <c r="B105" s="532" t="s">
        <v>536</v>
      </c>
      <c r="C105" s="533" t="s">
        <v>546</v>
      </c>
      <c r="D105" s="532">
        <v>5</v>
      </c>
      <c r="E105" s="559">
        <v>63</v>
      </c>
      <c r="F105" s="532">
        <v>51</v>
      </c>
      <c r="G105" s="532">
        <v>35</v>
      </c>
      <c r="H105" s="532">
        <v>31</v>
      </c>
      <c r="I105" s="532">
        <v>7</v>
      </c>
      <c r="J105" s="535">
        <v>51064.8</v>
      </c>
      <c r="K105" s="532">
        <v>29753.57</v>
      </c>
      <c r="L105" s="536">
        <f t="shared" si="2"/>
      </c>
      <c r="M105" s="536">
        <f t="shared" si="1"/>
      </c>
      <c r="N105" s="536">
        <f t="shared" si="3"/>
      </c>
      <c r="O105" s="537" t="s">
        <v>538</v>
      </c>
      <c r="P105" s="532">
        <v>10</v>
      </c>
      <c r="Q105" s="538"/>
    </row>
    <row r="106">
      <c r="A106" s="531">
        <v>46046</v>
      </c>
      <c r="B106" s="532" t="s">
        <v>553</v>
      </c>
      <c r="C106" s="533" t="s">
        <v>547</v>
      </c>
      <c r="D106" s="532">
        <v>5</v>
      </c>
      <c r="E106" s="532">
        <v>59</v>
      </c>
      <c r="F106" s="532">
        <v>49</v>
      </c>
      <c r="G106" s="532">
        <v>39</v>
      </c>
      <c r="H106" s="532">
        <v>27</v>
      </c>
      <c r="I106" s="532">
        <v>5</v>
      </c>
      <c r="J106" s="535">
        <v>46937.2</v>
      </c>
      <c r="K106" s="535">
        <v>26464.050000000003</v>
      </c>
      <c r="L106" s="536">
        <f t="shared" si="2"/>
      </c>
      <c r="M106" s="536">
        <f t="shared" si="1"/>
      </c>
      <c r="N106" s="536">
        <f t="shared" si="3"/>
      </c>
      <c r="O106" s="539"/>
      <c r="P106" s="539"/>
      <c r="Q106" s="540"/>
    </row>
    <row hidden="true" r="107">
      <c r="A107" s="531">
        <v>46046</v>
      </c>
      <c r="B107" s="532" t="s">
        <v>539</v>
      </c>
      <c r="C107" s="533" t="s">
        <v>542</v>
      </c>
      <c r="D107" s="532">
        <v>5</v>
      </c>
      <c r="E107" s="532">
        <v>34</v>
      </c>
      <c r="F107" s="532">
        <v>26</v>
      </c>
      <c r="G107" s="532">
        <v>19</v>
      </c>
      <c r="H107" s="532">
        <v>14</v>
      </c>
      <c r="I107" s="532">
        <v>0</v>
      </c>
      <c r="J107" s="535">
        <v>26858.200000000004</v>
      </c>
      <c r="K107" s="535">
        <v>19433.030000000002</v>
      </c>
      <c r="L107" s="536">
        <f t="shared" si="2"/>
      </c>
      <c r="M107" s="536">
        <f t="shared" si="1"/>
      </c>
      <c r="N107" s="536">
        <f t="shared" si="3"/>
      </c>
      <c r="O107" s="537"/>
      <c r="P107" s="539"/>
      <c r="Q107" s="540"/>
    </row>
    <row hidden="true" r="108">
      <c r="A108" s="531">
        <v>46046</v>
      </c>
      <c r="B108" s="532" t="s">
        <v>543</v>
      </c>
      <c r="C108" s="533" t="s">
        <v>544</v>
      </c>
      <c r="D108" s="532">
        <v>5</v>
      </c>
      <c r="E108" s="532">
        <v>37</v>
      </c>
      <c r="F108" s="532">
        <v>28</v>
      </c>
      <c r="G108" s="532">
        <v>22</v>
      </c>
      <c r="H108" s="532">
        <v>19</v>
      </c>
      <c r="I108" s="532">
        <v>2</v>
      </c>
      <c r="J108" s="535">
        <v>20729.600000000006</v>
      </c>
      <c r="K108" s="535">
        <v>15628.01</v>
      </c>
      <c r="L108" s="536">
        <f t="shared" si="2"/>
      </c>
      <c r="M108" s="536">
        <f t="shared" si="1"/>
      </c>
      <c r="N108" s="536">
        <f t="shared" si="3"/>
      </c>
      <c r="O108" s="537" t="s">
        <v>545</v>
      </c>
      <c r="P108" s="532">
        <v>10</v>
      </c>
      <c r="Q108" s="539"/>
    </row>
    <row hidden="true" r="109">
      <c r="A109" s="541">
        <v>46046</v>
      </c>
      <c r="B109" s="542"/>
      <c r="C109" s="542"/>
      <c r="D109" s="542">
        <f>SUM(D105:D108)</f>
      </c>
      <c r="E109" s="542">
        <f>SUM(E105:E108)</f>
      </c>
      <c r="F109" s="542">
        <f>SUM(F105:F108)</f>
      </c>
      <c r="G109" s="542">
        <f>SUM(G105:G108)</f>
      </c>
      <c r="H109" s="542">
        <f>SUM(H105:H108)</f>
      </c>
      <c r="I109" s="542">
        <f>SUM(I105:I108)</f>
      </c>
      <c r="J109" s="542">
        <f>SUM(J105:J108)</f>
      </c>
      <c r="K109" s="542">
        <f>SUM(K105:K108)</f>
      </c>
      <c r="L109" s="543">
        <f t="shared" si="2"/>
      </c>
      <c r="M109" s="543">
        <f t="shared" si="1"/>
      </c>
      <c r="N109" s="543">
        <f t="shared" si="3"/>
      </c>
      <c r="O109" s="544"/>
      <c r="P109" s="542">
        <f>P105+P106+P107+P108</f>
      </c>
      <c r="Q109" s="544"/>
    </row>
    <row hidden="true" r="110">
      <c r="A110" s="531">
        <v>46047</v>
      </c>
      <c r="B110" s="532" t="s">
        <v>536</v>
      </c>
      <c r="C110" s="533" t="s">
        <v>546</v>
      </c>
      <c r="D110" s="532">
        <v>5</v>
      </c>
      <c r="E110" s="559">
        <v>32</v>
      </c>
      <c r="F110" s="532">
        <v>26</v>
      </c>
      <c r="G110" s="532">
        <v>18</v>
      </c>
      <c r="H110" s="532">
        <v>10</v>
      </c>
      <c r="I110" s="532">
        <v>2</v>
      </c>
      <c r="J110" s="535">
        <v>26319.6</v>
      </c>
      <c r="K110" s="532">
        <v>21994.600000000002</v>
      </c>
      <c r="L110" s="536">
        <f t="shared" si="2"/>
      </c>
      <c r="M110" s="536">
        <f t="shared" si="1"/>
      </c>
      <c r="N110" s="536">
        <f t="shared" si="3"/>
      </c>
      <c r="O110" s="537" t="s">
        <v>538</v>
      </c>
      <c r="P110" s="532">
        <v>10</v>
      </c>
      <c r="Q110" s="538"/>
    </row>
    <row r="111">
      <c r="A111" s="531">
        <v>46047</v>
      </c>
      <c r="B111" s="532" t="s">
        <v>553</v>
      </c>
      <c r="C111" s="533" t="s">
        <v>547</v>
      </c>
      <c r="D111" s="532">
        <v>5</v>
      </c>
      <c r="E111" s="532">
        <v>22</v>
      </c>
      <c r="F111" s="532">
        <v>18</v>
      </c>
      <c r="G111" s="532">
        <v>16</v>
      </c>
      <c r="H111" s="532">
        <v>13</v>
      </c>
      <c r="I111" s="532">
        <v>1</v>
      </c>
      <c r="J111" s="535">
        <v>17763.199999999997</v>
      </c>
      <c r="K111" s="535">
        <v>10111.92</v>
      </c>
      <c r="L111" s="536">
        <f t="shared" si="2"/>
      </c>
      <c r="M111" s="536">
        <f t="shared" si="1"/>
      </c>
      <c r="N111" s="536">
        <f t="shared" si="3"/>
      </c>
      <c r="O111" s="539"/>
      <c r="P111" s="539"/>
      <c r="Q111" s="540"/>
    </row>
    <row hidden="true" r="112">
      <c r="A112" s="531">
        <v>46047</v>
      </c>
      <c r="B112" s="532" t="s">
        <v>541</v>
      </c>
      <c r="C112" s="533" t="s">
        <v>542</v>
      </c>
      <c r="D112" s="532">
        <v>5</v>
      </c>
      <c r="E112" s="532">
        <v>32</v>
      </c>
      <c r="F112" s="532">
        <v>28</v>
      </c>
      <c r="G112" s="532">
        <v>22</v>
      </c>
      <c r="H112" s="532">
        <v>18</v>
      </c>
      <c r="I112" s="532">
        <v>3</v>
      </c>
      <c r="J112" s="535">
        <v>30641</v>
      </c>
      <c r="K112" s="535">
        <v>14932.64</v>
      </c>
      <c r="L112" s="536">
        <f t="shared" si="2"/>
      </c>
      <c r="M112" s="536">
        <f t="shared" si="1"/>
      </c>
      <c r="N112" s="536">
        <f t="shared" si="3"/>
      </c>
      <c r="O112" s="537"/>
      <c r="P112" s="539"/>
      <c r="Q112" s="540"/>
    </row>
    <row hidden="true" r="113">
      <c r="A113" s="531">
        <v>46047</v>
      </c>
      <c r="B113" s="532" t="s">
        <v>543</v>
      </c>
      <c r="C113" s="533" t="s">
        <v>544</v>
      </c>
      <c r="D113" s="532">
        <v>5</v>
      </c>
      <c r="E113" s="532">
        <v>51</v>
      </c>
      <c r="F113" s="532">
        <v>41</v>
      </c>
      <c r="G113" s="532">
        <v>36</v>
      </c>
      <c r="H113" s="532">
        <v>25</v>
      </c>
      <c r="I113" s="532">
        <v>3</v>
      </c>
      <c r="J113" s="535">
        <v>35974.00000000001</v>
      </c>
      <c r="K113" s="535">
        <v>23662.88</v>
      </c>
      <c r="L113" s="536">
        <f t="shared" si="2"/>
      </c>
      <c r="M113" s="536">
        <f t="shared" si="1"/>
      </c>
      <c r="N113" s="536">
        <f t="shared" si="3"/>
      </c>
      <c r="O113" s="537" t="s">
        <v>545</v>
      </c>
      <c r="P113" s="532">
        <v>10</v>
      </c>
      <c r="Q113" s="539"/>
    </row>
    <row hidden="true" r="114">
      <c r="A114" s="541">
        <v>46047</v>
      </c>
      <c r="B114" s="542"/>
      <c r="C114" s="542"/>
      <c r="D114" s="542">
        <f>SUM(D110:D113)</f>
      </c>
      <c r="E114" s="542">
        <f>SUM(E110:E113)</f>
      </c>
      <c r="F114" s="542">
        <f>SUM(F110:F113)</f>
      </c>
      <c r="G114" s="542">
        <f>SUM(G110:G113)</f>
      </c>
      <c r="H114" s="542">
        <f>SUM(H110:H113)</f>
      </c>
      <c r="I114" s="542">
        <f>SUM(I110:I113)</f>
      </c>
      <c r="J114" s="542">
        <f>SUM(J110:J113)</f>
      </c>
      <c r="K114" s="542">
        <f>SUM(K110:K113)</f>
      </c>
      <c r="L114" s="543">
        <f t="shared" si="2"/>
      </c>
      <c r="M114" s="543">
        <f t="shared" si="1"/>
      </c>
      <c r="N114" s="543">
        <f t="shared" si="3"/>
      </c>
      <c r="O114" s="544"/>
      <c r="P114" s="542">
        <f>P110+P111+P112+P113</f>
      </c>
      <c r="Q114" s="544"/>
    </row>
    <row r="115">
      <c r="A115" s="531">
        <v>46048</v>
      </c>
      <c r="B115" s="532" t="s">
        <v>553</v>
      </c>
      <c r="C115" s="533" t="s">
        <v>546</v>
      </c>
      <c r="D115" s="532">
        <v>5</v>
      </c>
      <c r="E115" s="559">
        <v>50</v>
      </c>
      <c r="F115" s="532">
        <v>42</v>
      </c>
      <c r="G115" s="532">
        <v>32</v>
      </c>
      <c r="H115" s="532">
        <v>26</v>
      </c>
      <c r="I115" s="532">
        <v>3</v>
      </c>
      <c r="J115" s="535">
        <v>43990</v>
      </c>
      <c r="K115" s="532">
        <v>21474.66</v>
      </c>
      <c r="L115" s="536">
        <f t="shared" si="2"/>
      </c>
      <c r="M115" s="536">
        <f t="shared" si="1"/>
      </c>
      <c r="N115" s="536">
        <f t="shared" si="3"/>
      </c>
      <c r="O115" s="537" t="s">
        <v>538</v>
      </c>
      <c r="P115" s="532">
        <v>10</v>
      </c>
      <c r="Q115" s="538"/>
    </row>
    <row hidden="true" r="116">
      <c r="A116" s="531">
        <v>46048</v>
      </c>
      <c r="B116" s="532" t="s">
        <v>541</v>
      </c>
      <c r="C116" s="533" t="s">
        <v>547</v>
      </c>
      <c r="D116" s="532">
        <v>5</v>
      </c>
      <c r="E116" s="532">
        <v>43</v>
      </c>
      <c r="F116" s="532">
        <v>34</v>
      </c>
      <c r="G116" s="532">
        <v>25</v>
      </c>
      <c r="H116" s="532">
        <v>25</v>
      </c>
      <c r="I116" s="532">
        <v>7</v>
      </c>
      <c r="J116" s="535">
        <v>31602</v>
      </c>
      <c r="K116" s="535">
        <v>21663.85</v>
      </c>
      <c r="L116" s="536">
        <f t="shared" si="2"/>
      </c>
      <c r="M116" s="536">
        <f t="shared" si="1"/>
      </c>
      <c r="N116" s="536">
        <f t="shared" si="3"/>
      </c>
      <c r="O116" s="539"/>
      <c r="P116" s="539"/>
      <c r="Q116" s="540"/>
    </row>
    <row hidden="true" r="117">
      <c r="A117" s="531">
        <v>46048</v>
      </c>
      <c r="B117" s="532" t="s">
        <v>543</v>
      </c>
      <c r="C117" s="533" t="s">
        <v>542</v>
      </c>
      <c r="D117" s="532">
        <v>5</v>
      </c>
      <c r="E117" s="532">
        <v>40</v>
      </c>
      <c r="F117" s="532">
        <v>27</v>
      </c>
      <c r="G117" s="532">
        <v>18</v>
      </c>
      <c r="H117" s="532">
        <v>18</v>
      </c>
      <c r="I117" s="532">
        <v>3</v>
      </c>
      <c r="J117" s="535">
        <v>24801.09999999999</v>
      </c>
      <c r="K117" s="535">
        <v>18659.39</v>
      </c>
      <c r="L117" s="536">
        <f t="shared" si="2"/>
      </c>
      <c r="M117" s="536">
        <f t="shared" si="1"/>
      </c>
      <c r="N117" s="536">
        <f t="shared" si="3"/>
      </c>
      <c r="O117" s="537" t="s">
        <v>570</v>
      </c>
      <c r="P117" s="539">
        <v>1</v>
      </c>
      <c r="Q117" s="540"/>
    </row>
    <row hidden="true" r="118">
      <c r="A118" s="531">
        <v>46048</v>
      </c>
      <c r="B118" s="532" t="s">
        <v>539</v>
      </c>
      <c r="C118" s="533" t="s">
        <v>544</v>
      </c>
      <c r="D118" s="532">
        <v>5</v>
      </c>
      <c r="E118" s="532">
        <v>45</v>
      </c>
      <c r="F118" s="532">
        <v>22</v>
      </c>
      <c r="G118" s="532">
        <v>23</v>
      </c>
      <c r="H118" s="532">
        <v>16</v>
      </c>
      <c r="I118" s="532">
        <v>0</v>
      </c>
      <c r="J118" s="535">
        <v>21045.600000000006</v>
      </c>
      <c r="K118" s="535">
        <v>21952.25</v>
      </c>
      <c r="L118" s="536">
        <f t="shared" si="2"/>
      </c>
      <c r="M118" s="536">
        <f t="shared" si="1"/>
      </c>
      <c r="N118" s="536">
        <f t="shared" si="3"/>
      </c>
      <c r="O118" s="537" t="s">
        <v>551</v>
      </c>
      <c r="P118" s="532">
        <v>9</v>
      </c>
      <c r="Q118" s="539"/>
    </row>
    <row hidden="true" r="119">
      <c r="A119" s="541">
        <v>46048</v>
      </c>
      <c r="B119" s="542"/>
      <c r="C119" s="542"/>
      <c r="D119" s="542">
        <f>SUM(D115:D118)</f>
      </c>
      <c r="E119" s="542">
        <f>SUM(E115:E118)</f>
      </c>
      <c r="F119" s="542">
        <f>SUM(F115:F118)</f>
      </c>
      <c r="G119" s="542">
        <f>SUM(G115:G118)</f>
      </c>
      <c r="H119" s="542">
        <f>SUM(H115:H118)</f>
      </c>
      <c r="I119" s="542">
        <f>SUM(I115:I118)</f>
      </c>
      <c r="J119" s="542">
        <f>SUM(J115:J118)</f>
      </c>
      <c r="K119" s="542">
        <f>SUM(K115:K118)</f>
      </c>
      <c r="L119" s="543">
        <f t="shared" si="2"/>
      </c>
      <c r="M119" s="543">
        <f t="shared" si="1"/>
      </c>
      <c r="N119" s="543">
        <f t="shared" si="3"/>
      </c>
      <c r="O119" s="544"/>
      <c r="P119" s="542">
        <f>P115+P116+P117+P118</f>
      </c>
      <c r="Q119" s="544"/>
    </row>
    <row r="120">
      <c r="A120" s="531">
        <v>46049</v>
      </c>
      <c r="B120" s="532" t="s">
        <v>553</v>
      </c>
      <c r="C120" s="533" t="s">
        <v>546</v>
      </c>
      <c r="D120" s="532">
        <v>5</v>
      </c>
      <c r="E120" s="559">
        <v>47</v>
      </c>
      <c r="F120" s="532">
        <v>43</v>
      </c>
      <c r="G120" s="532">
        <v>34</v>
      </c>
      <c r="H120" s="532">
        <v>25</v>
      </c>
      <c r="I120" s="532">
        <v>4</v>
      </c>
      <c r="J120" s="535">
        <v>38445.40000000001</v>
      </c>
      <c r="K120" s="532">
        <v>23001.6</v>
      </c>
      <c r="L120" s="536">
        <f t="shared" si="2"/>
      </c>
      <c r="M120" s="536">
        <f t="shared" si="1"/>
      </c>
      <c r="N120" s="536">
        <f t="shared" si="3"/>
      </c>
      <c r="O120" s="537" t="s">
        <v>538</v>
      </c>
      <c r="P120" s="532">
        <v>11</v>
      </c>
      <c r="Q120" s="538"/>
    </row>
    <row hidden="true" r="121">
      <c r="A121" s="531">
        <v>46049</v>
      </c>
      <c r="B121" s="532" t="s">
        <v>539</v>
      </c>
      <c r="C121" s="533" t="s">
        <v>547</v>
      </c>
      <c r="D121" s="532">
        <v>5</v>
      </c>
      <c r="E121" s="532">
        <v>49</v>
      </c>
      <c r="F121" s="532">
        <v>35</v>
      </c>
      <c r="G121" s="532">
        <v>26</v>
      </c>
      <c r="H121" s="532">
        <v>24</v>
      </c>
      <c r="I121" s="532">
        <v>2</v>
      </c>
      <c r="J121" s="535">
        <v>26374.4</v>
      </c>
      <c r="K121" s="535">
        <v>18799.18</v>
      </c>
      <c r="L121" s="536">
        <f t="shared" si="2"/>
      </c>
      <c r="M121" s="536">
        <f t="shared" si="1"/>
      </c>
      <c r="N121" s="536">
        <f t="shared" si="3"/>
      </c>
      <c r="O121" s="539"/>
      <c r="P121" s="539"/>
      <c r="Q121" s="540"/>
    </row>
    <row hidden="true" r="122">
      <c r="A122" s="531">
        <v>46049</v>
      </c>
      <c r="B122" s="532" t="s">
        <v>541</v>
      </c>
      <c r="C122" s="533" t="s">
        <v>542</v>
      </c>
      <c r="D122" s="532">
        <v>5</v>
      </c>
      <c r="E122" s="532">
        <v>71</v>
      </c>
      <c r="F122" s="532">
        <v>62</v>
      </c>
      <c r="G122" s="532">
        <v>42</v>
      </c>
      <c r="H122" s="532">
        <v>38</v>
      </c>
      <c r="I122" s="532">
        <v>10</v>
      </c>
      <c r="J122" s="535">
        <v>63956.000000000015</v>
      </c>
      <c r="K122" s="535">
        <v>28084.42</v>
      </c>
      <c r="L122" s="536">
        <f t="shared" si="2"/>
      </c>
      <c r="M122" s="536">
        <f t="shared" si="1"/>
      </c>
      <c r="N122" s="536">
        <f t="shared" si="3"/>
      </c>
      <c r="O122" s="537" t="s">
        <v>570</v>
      </c>
      <c r="P122" s="539">
        <v>2</v>
      </c>
      <c r="Q122" s="540"/>
    </row>
    <row hidden="true" r="123">
      <c r="A123" s="531">
        <v>46049</v>
      </c>
      <c r="B123" s="532" t="s">
        <v>536</v>
      </c>
      <c r="C123" s="533" t="s">
        <v>544</v>
      </c>
      <c r="D123" s="532">
        <v>5</v>
      </c>
      <c r="E123" s="532">
        <v>74</v>
      </c>
      <c r="F123" s="532">
        <v>43</v>
      </c>
      <c r="G123" s="532">
        <v>37</v>
      </c>
      <c r="H123" s="532">
        <v>20</v>
      </c>
      <c r="I123" s="532">
        <v>4</v>
      </c>
      <c r="J123" s="535">
        <v>42358.8</v>
      </c>
      <c r="K123" s="535">
        <v>32680.320000000003</v>
      </c>
      <c r="L123" s="536">
        <f t="shared" si="2"/>
      </c>
      <c r="M123" s="536">
        <f t="shared" si="1"/>
      </c>
      <c r="N123" s="536">
        <f t="shared" si="3"/>
      </c>
      <c r="O123" s="537" t="s">
        <v>551</v>
      </c>
      <c r="P123" s="532">
        <v>7</v>
      </c>
      <c r="Q123" s="539"/>
    </row>
    <row hidden="true" r="124">
      <c r="A124" s="541">
        <v>46049</v>
      </c>
      <c r="B124" s="542"/>
      <c r="C124" s="542"/>
      <c r="D124" s="542">
        <f>SUM(D120:D123)</f>
      </c>
      <c r="E124" s="542">
        <f>SUM(E120:E123)</f>
      </c>
      <c r="F124" s="542">
        <f>SUM(F120:F123)</f>
      </c>
      <c r="G124" s="542">
        <f>SUM(G120:G123)</f>
      </c>
      <c r="H124" s="542">
        <f>SUM(H120:H123)</f>
      </c>
      <c r="I124" s="542">
        <f>SUM(I120:I123)</f>
      </c>
      <c r="J124" s="542">
        <f>SUM(J120:J123)</f>
      </c>
      <c r="K124" s="542">
        <f>SUM(K120:K123)</f>
      </c>
      <c r="L124" s="543">
        <f t="shared" si="2"/>
      </c>
      <c r="M124" s="543">
        <f t="shared" si="1"/>
      </c>
      <c r="N124" s="543">
        <f t="shared" si="3"/>
      </c>
      <c r="O124" s="544"/>
      <c r="P124" s="542">
        <f>P120+P121+P122+P123</f>
      </c>
      <c r="Q124" s="544"/>
    </row>
    <row hidden="true" r="125">
      <c r="A125" s="531">
        <v>46050</v>
      </c>
      <c r="B125" s="532" t="s">
        <v>541</v>
      </c>
      <c r="C125" s="533" t="s">
        <v>546</v>
      </c>
      <c r="D125" s="532">
        <v>5</v>
      </c>
      <c r="E125" s="559">
        <v>38</v>
      </c>
      <c r="F125" s="532">
        <v>30</v>
      </c>
      <c r="G125" s="532">
        <v>16</v>
      </c>
      <c r="H125" s="532">
        <v>21</v>
      </c>
      <c r="I125" s="532">
        <v>5</v>
      </c>
      <c r="J125" s="535">
        <v>24902.4</v>
      </c>
      <c r="K125" s="532">
        <v>16569.65</v>
      </c>
      <c r="L125" s="536">
        <f t="shared" si="2"/>
      </c>
      <c r="M125" s="536">
        <f t="shared" si="1"/>
      </c>
      <c r="N125" s="536">
        <f t="shared" si="3"/>
      </c>
      <c r="O125" s="537" t="s">
        <v>538</v>
      </c>
      <c r="P125" s="532">
        <v>10</v>
      </c>
      <c r="Q125" s="538"/>
    </row>
    <row r="126">
      <c r="A126" s="531">
        <v>46050</v>
      </c>
      <c r="B126" s="532" t="s">
        <v>553</v>
      </c>
      <c r="C126" s="533" t="s">
        <v>547</v>
      </c>
      <c r="D126" s="532">
        <v>5</v>
      </c>
      <c r="E126" s="532">
        <v>41</v>
      </c>
      <c r="F126" s="532">
        <v>31</v>
      </c>
      <c r="G126" s="532">
        <v>25</v>
      </c>
      <c r="H126" s="532">
        <v>21</v>
      </c>
      <c r="I126" s="532">
        <v>3</v>
      </c>
      <c r="J126" s="535">
        <v>33388</v>
      </c>
      <c r="K126" s="535">
        <v>14564.570000000002</v>
      </c>
      <c r="L126" s="536">
        <f t="shared" si="2"/>
      </c>
      <c r="M126" s="536">
        <f t="shared" si="1"/>
      </c>
      <c r="N126" s="536">
        <f t="shared" si="3"/>
      </c>
      <c r="O126" s="539"/>
      <c r="P126" s="539"/>
      <c r="Q126" s="540"/>
    </row>
    <row hidden="true" r="127">
      <c r="A127" s="541">
        <v>46050</v>
      </c>
      <c r="B127" s="542"/>
      <c r="C127" s="542"/>
      <c r="D127" s="542">
        <f>SUM(D125:D126)</f>
      </c>
      <c r="E127" s="542">
        <f>SUM(E125:E126)</f>
      </c>
      <c r="F127" s="542">
        <f>SUM(F125:F126)</f>
      </c>
      <c r="G127" s="542">
        <f>SUM(G125:G126)</f>
      </c>
      <c r="H127" s="542">
        <f>SUM(H125:H126)</f>
      </c>
      <c r="I127" s="542">
        <f>SUM(I125:I126)</f>
      </c>
      <c r="J127" s="542">
        <f>SUM(J125:J126)</f>
      </c>
      <c r="K127" s="542">
        <f>SUM(K125:K126)</f>
      </c>
      <c r="L127" s="543">
        <f t="shared" si="2"/>
      </c>
      <c r="M127" s="543">
        <f t="shared" si="1"/>
      </c>
      <c r="N127" s="543">
        <f t="shared" si="3"/>
      </c>
      <c r="O127" s="544"/>
      <c r="P127" s="542">
        <f>P125+P126</f>
      </c>
      <c r="Q127" s="544"/>
    </row>
    <row r="128">
      <c r="A128" s="531">
        <v>46051</v>
      </c>
      <c r="B128" s="532" t="s">
        <v>553</v>
      </c>
      <c r="C128" s="533" t="s">
        <v>546</v>
      </c>
      <c r="D128" s="532">
        <v>5</v>
      </c>
      <c r="E128" s="559">
        <v>42</v>
      </c>
      <c r="F128" s="532">
        <v>33</v>
      </c>
      <c r="G128" s="532">
        <v>26</v>
      </c>
      <c r="H128" s="532">
        <v>25</v>
      </c>
      <c r="I128" s="532">
        <v>4</v>
      </c>
      <c r="J128" s="535">
        <v>28126.799999999996</v>
      </c>
      <c r="K128" s="532">
        <v>20279.39</v>
      </c>
      <c r="L128" s="536">
        <f t="shared" si="2"/>
      </c>
      <c r="M128" s="536">
        <f t="shared" si="1"/>
      </c>
      <c r="N128" s="536">
        <f t="shared" si="3"/>
      </c>
      <c r="O128" s="537" t="s">
        <v>538</v>
      </c>
      <c r="P128" s="532">
        <v>10</v>
      </c>
      <c r="Q128" s="538"/>
    </row>
    <row hidden="true" r="129">
      <c r="A129" s="531">
        <v>46051</v>
      </c>
      <c r="B129" s="532" t="s">
        <v>539</v>
      </c>
      <c r="C129" s="533" t="s">
        <v>547</v>
      </c>
      <c r="D129" s="532">
        <v>5</v>
      </c>
      <c r="E129" s="532">
        <v>34</v>
      </c>
      <c r="F129" s="532">
        <v>26</v>
      </c>
      <c r="G129" s="532">
        <v>18</v>
      </c>
      <c r="H129" s="532">
        <v>19</v>
      </c>
      <c r="I129" s="532">
        <v>3</v>
      </c>
      <c r="J129" s="535">
        <v>27823.3</v>
      </c>
      <c r="K129" s="535">
        <v>16160.359999999999</v>
      </c>
      <c r="L129" s="536">
        <f t="shared" si="2"/>
      </c>
      <c r="M129" s="536">
        <f t="shared" si="1"/>
      </c>
      <c r="N129" s="536">
        <f t="shared" si="3"/>
      </c>
      <c r="O129" s="539"/>
      <c r="P129" s="539"/>
      <c r="Q129" s="540"/>
    </row>
    <row hidden="true" r="130">
      <c r="A130" s="531">
        <v>46051</v>
      </c>
      <c r="B130" s="532" t="s">
        <v>536</v>
      </c>
      <c r="C130" s="533" t="s">
        <v>542</v>
      </c>
      <c r="D130" s="532">
        <v>5</v>
      </c>
      <c r="E130" s="532">
        <v>59</v>
      </c>
      <c r="F130" s="532">
        <v>46</v>
      </c>
      <c r="G130" s="532">
        <v>36</v>
      </c>
      <c r="H130" s="532">
        <v>28</v>
      </c>
      <c r="I130" s="532">
        <v>6</v>
      </c>
      <c r="J130" s="535">
        <v>46136.2</v>
      </c>
      <c r="K130" s="535">
        <v>26872.26</v>
      </c>
      <c r="L130" s="536">
        <f t="shared" si="2"/>
      </c>
      <c r="M130" s="536">
        <f t="shared" si="1"/>
      </c>
      <c r="N130" s="536">
        <f t="shared" si="3"/>
      </c>
      <c r="O130" s="537"/>
      <c r="P130" s="532"/>
      <c r="Q130" s="540"/>
    </row>
    <row hidden="true" r="131">
      <c r="A131" s="531">
        <v>46051</v>
      </c>
      <c r="B131" s="532" t="s">
        <v>543</v>
      </c>
      <c r="C131" s="533" t="s">
        <v>544</v>
      </c>
      <c r="D131" s="532">
        <v>5</v>
      </c>
      <c r="E131" s="532">
        <v>46</v>
      </c>
      <c r="F131" s="532">
        <v>34</v>
      </c>
      <c r="G131" s="532">
        <v>29</v>
      </c>
      <c r="H131" s="532">
        <v>16</v>
      </c>
      <c r="I131" s="532">
        <v>3</v>
      </c>
      <c r="J131" s="535">
        <v>33981.40000000001</v>
      </c>
      <c r="K131" s="535">
        <v>21580.25</v>
      </c>
      <c r="L131" s="536">
        <f t="shared" si="2"/>
      </c>
      <c r="M131" s="536">
        <f t="shared" si="1"/>
      </c>
      <c r="N131" s="536">
        <f t="shared" si="3"/>
      </c>
      <c r="O131" s="537" t="s">
        <v>545</v>
      </c>
      <c r="P131" s="532">
        <v>10</v>
      </c>
      <c r="Q131" s="539"/>
    </row>
    <row hidden="true" r="132">
      <c r="A132" s="541">
        <v>46051</v>
      </c>
      <c r="B132" s="542"/>
      <c r="C132" s="542"/>
      <c r="D132" s="542">
        <f>SUM(D128:D131)</f>
      </c>
      <c r="E132" s="542">
        <f>SUM(E128:E131)</f>
      </c>
      <c r="F132" s="542">
        <f>SUM(F128:F131)</f>
      </c>
      <c r="G132" s="542">
        <f>SUM(G128:G131)</f>
      </c>
      <c r="H132" s="542">
        <f>SUM(H128:H131)</f>
      </c>
      <c r="I132" s="542">
        <f>SUM(I128:I131)</f>
      </c>
      <c r="J132" s="542">
        <f>SUM(J128:J131)</f>
      </c>
      <c r="K132" s="542">
        <f>SUM(K128:K131)</f>
      </c>
      <c r="L132" s="543">
        <f t="shared" si="2"/>
      </c>
      <c r="M132" s="543">
        <f t="shared" si="1"/>
      </c>
      <c r="N132" s="543">
        <f t="shared" si="3"/>
      </c>
      <c r="O132" s="544"/>
      <c r="P132" s="542">
        <f>P128+P129+P130+P131</f>
      </c>
      <c r="Q132" s="544"/>
    </row>
    <row r="133">
      <c r="A133" s="531">
        <v>46052</v>
      </c>
      <c r="B133" s="532" t="s">
        <v>553</v>
      </c>
      <c r="C133" s="533" t="s">
        <v>546</v>
      </c>
      <c r="D133" s="532">
        <v>5</v>
      </c>
      <c r="E133" s="559">
        <v>62</v>
      </c>
      <c r="F133" s="532">
        <v>45</v>
      </c>
      <c r="G133" s="532">
        <v>32</v>
      </c>
      <c r="H133" s="532">
        <v>30</v>
      </c>
      <c r="I133" s="532">
        <v>5</v>
      </c>
      <c r="J133" s="535">
        <v>49197.3</v>
      </c>
      <c r="K133" s="532">
        <v>25226.129999999997</v>
      </c>
      <c r="L133" s="536">
        <f t="shared" si="2"/>
      </c>
      <c r="M133" s="536">
        <f t="shared" si="1"/>
      </c>
      <c r="N133" s="536">
        <f t="shared" si="3"/>
      </c>
      <c r="O133" s="537" t="s">
        <v>538</v>
      </c>
      <c r="P133" s="532">
        <v>10</v>
      </c>
      <c r="Q133" s="538"/>
    </row>
    <row hidden="true" r="134">
      <c r="A134" s="531">
        <v>46052</v>
      </c>
      <c r="B134" s="532" t="s">
        <v>536</v>
      </c>
      <c r="C134" s="533" t="s">
        <v>547</v>
      </c>
      <c r="D134" s="532">
        <v>5</v>
      </c>
      <c r="E134" s="532">
        <v>35</v>
      </c>
      <c r="F134" s="532">
        <v>28</v>
      </c>
      <c r="G134" s="532">
        <v>20</v>
      </c>
      <c r="H134" s="532">
        <v>16</v>
      </c>
      <c r="I134" s="532">
        <v>1</v>
      </c>
      <c r="J134" s="535">
        <v>31858.6</v>
      </c>
      <c r="K134" s="535">
        <v>17790.89</v>
      </c>
      <c r="L134" s="536">
        <f t="shared" si="2"/>
      </c>
      <c r="M134" s="536">
        <f t="shared" si="1"/>
      </c>
      <c r="N134" s="536">
        <f t="shared" si="3"/>
      </c>
      <c r="O134" s="539"/>
      <c r="P134" s="539"/>
      <c r="Q134" s="540"/>
    </row>
    <row hidden="true" r="135">
      <c r="A135" s="531">
        <v>46052</v>
      </c>
      <c r="B135" s="532" t="s">
        <v>539</v>
      </c>
      <c r="C135" s="533" t="s">
        <v>542</v>
      </c>
      <c r="D135" s="532">
        <v>5</v>
      </c>
      <c r="E135" s="532">
        <v>31</v>
      </c>
      <c r="F135" s="532">
        <v>25</v>
      </c>
      <c r="G135" s="532">
        <v>23</v>
      </c>
      <c r="H135" s="532">
        <v>14</v>
      </c>
      <c r="I135" s="532">
        <v>1</v>
      </c>
      <c r="J135" s="535">
        <v>28117.799999999996</v>
      </c>
      <c r="K135" s="535">
        <v>14715.79</v>
      </c>
      <c r="L135" s="536">
        <f t="shared" si="2"/>
      </c>
      <c r="M135" s="536">
        <f t="shared" si="1"/>
      </c>
      <c r="N135" s="536">
        <f t="shared" si="3"/>
      </c>
      <c r="O135" s="537"/>
      <c r="P135" s="532"/>
      <c r="Q135" s="540"/>
    </row>
    <row hidden="true" r="136">
      <c r="A136" s="531">
        <v>46052</v>
      </c>
      <c r="B136" s="532" t="s">
        <v>543</v>
      </c>
      <c r="C136" s="533" t="s">
        <v>544</v>
      </c>
      <c r="D136" s="532">
        <v>5</v>
      </c>
      <c r="E136" s="532">
        <v>43</v>
      </c>
      <c r="F136" s="532">
        <v>29</v>
      </c>
      <c r="G136" s="532">
        <v>18</v>
      </c>
      <c r="H136" s="532">
        <v>16</v>
      </c>
      <c r="I136" s="532">
        <v>5</v>
      </c>
      <c r="J136" s="535">
        <v>31254.199999999997</v>
      </c>
      <c r="K136" s="535">
        <v>14774.53</v>
      </c>
      <c r="L136" s="536">
        <f t="shared" si="2"/>
      </c>
      <c r="M136" s="536">
        <f t="shared" si="1"/>
      </c>
      <c r="N136" s="536">
        <f t="shared" si="3"/>
      </c>
      <c r="O136" s="537" t="s">
        <v>545</v>
      </c>
      <c r="P136" s="532">
        <v>10</v>
      </c>
      <c r="Q136" s="539"/>
    </row>
    <row hidden="true" r="137">
      <c r="A137" s="541">
        <v>46052</v>
      </c>
      <c r="B137" s="542"/>
      <c r="C137" s="542"/>
      <c r="D137" s="542">
        <f>SUM(D133:D136)</f>
      </c>
      <c r="E137" s="542">
        <f>SUM(E133:E136)</f>
      </c>
      <c r="F137" s="542">
        <f>SUM(F133:F136)</f>
      </c>
      <c r="G137" s="542">
        <f>SUM(G133:G136)</f>
      </c>
      <c r="H137" s="542">
        <f>SUM(H133:H136)</f>
      </c>
      <c r="I137" s="542">
        <f>SUM(I133:I136)</f>
      </c>
      <c r="J137" s="542">
        <f>SUM(J133:J136)</f>
      </c>
      <c r="K137" s="542">
        <f>SUM(K133:K136)</f>
      </c>
      <c r="L137" s="543">
        <f t="shared" si="2"/>
      </c>
      <c r="M137" s="543">
        <f t="shared" si="1"/>
      </c>
      <c r="N137" s="543">
        <f t="shared" si="3"/>
      </c>
      <c r="O137" s="544"/>
      <c r="P137" s="542">
        <f>P133+P134+P135+P136</f>
      </c>
      <c r="Q137" s="544"/>
    </row>
    <row hidden="true" r="138">
      <c r="A138" s="531">
        <v>46053</v>
      </c>
      <c r="B138" s="532" t="s">
        <v>536</v>
      </c>
      <c r="C138" s="533" t="s">
        <v>546</v>
      </c>
      <c r="D138" s="532">
        <v>5</v>
      </c>
      <c r="E138" s="559">
        <v>30</v>
      </c>
      <c r="F138" s="532">
        <v>22</v>
      </c>
      <c r="G138" s="532">
        <v>16</v>
      </c>
      <c r="H138" s="532">
        <v>9</v>
      </c>
      <c r="I138" s="532">
        <v>2</v>
      </c>
      <c r="J138" s="535">
        <v>27730.999999999996</v>
      </c>
      <c r="K138" s="532">
        <v>19537.85</v>
      </c>
      <c r="L138" s="536">
        <f t="shared" si="2"/>
      </c>
      <c r="M138" s="536">
        <f t="shared" si="1"/>
      </c>
      <c r="N138" s="536">
        <f t="shared" si="3"/>
      </c>
      <c r="O138" s="537" t="s">
        <v>538</v>
      </c>
      <c r="P138" s="532">
        <v>10</v>
      </c>
      <c r="Q138" s="538"/>
    </row>
    <row hidden="true" r="139">
      <c r="A139" s="531">
        <v>46053</v>
      </c>
      <c r="B139" s="532" t="s">
        <v>539</v>
      </c>
      <c r="C139" s="533" t="s">
        <v>547</v>
      </c>
      <c r="D139" s="532">
        <v>5</v>
      </c>
      <c r="E139" s="532">
        <v>33</v>
      </c>
      <c r="F139" s="532">
        <v>25</v>
      </c>
      <c r="G139" s="532">
        <v>19</v>
      </c>
      <c r="H139" s="532">
        <v>14</v>
      </c>
      <c r="I139" s="532">
        <v>3</v>
      </c>
      <c r="J139" s="535">
        <v>17814.9</v>
      </c>
      <c r="K139" s="535">
        <v>13675.880000000001</v>
      </c>
      <c r="L139" s="536">
        <f t="shared" si="2"/>
      </c>
      <c r="M139" s="536">
        <f t="shared" si="1"/>
      </c>
      <c r="N139" s="536">
        <f t="shared" si="3"/>
      </c>
      <c r="O139" s="539"/>
      <c r="P139" s="539"/>
      <c r="Q139" s="540"/>
    </row>
    <row r="140">
      <c r="A140" s="531">
        <v>46053</v>
      </c>
      <c r="B140" s="532" t="s">
        <v>553</v>
      </c>
      <c r="C140" s="533" t="s">
        <v>542</v>
      </c>
      <c r="D140" s="532">
        <v>5</v>
      </c>
      <c r="E140" s="532">
        <v>50</v>
      </c>
      <c r="F140" s="532">
        <v>39</v>
      </c>
      <c r="G140" s="532">
        <v>23</v>
      </c>
      <c r="H140" s="532">
        <v>22</v>
      </c>
      <c r="I140" s="532">
        <v>6</v>
      </c>
      <c r="J140" s="535">
        <v>46089.8</v>
      </c>
      <c r="K140" s="535">
        <v>15086.510000000002</v>
      </c>
      <c r="L140" s="536">
        <f t="shared" si="2"/>
      </c>
      <c r="M140" s="536">
        <f t="shared" si="1"/>
      </c>
      <c r="N140" s="536">
        <f t="shared" si="3"/>
      </c>
      <c r="O140" s="537"/>
      <c r="P140" s="532"/>
      <c r="Q140" s="540"/>
    </row>
    <row hidden="true" r="141">
      <c r="A141" s="531">
        <v>46053</v>
      </c>
      <c r="B141" s="532" t="s">
        <v>543</v>
      </c>
      <c r="C141" s="533" t="s">
        <v>544</v>
      </c>
      <c r="D141" s="532">
        <v>5</v>
      </c>
      <c r="E141" s="532">
        <v>75</v>
      </c>
      <c r="F141" s="532">
        <v>57</v>
      </c>
      <c r="G141" s="532">
        <v>41</v>
      </c>
      <c r="H141" s="532">
        <v>41</v>
      </c>
      <c r="I141" s="532">
        <v>10</v>
      </c>
      <c r="J141" s="535">
        <v>53409.9</v>
      </c>
      <c r="K141" s="535">
        <v>24300.99</v>
      </c>
      <c r="L141" s="536">
        <f t="shared" si="2"/>
      </c>
      <c r="M141" s="536">
        <f t="shared" si="1"/>
      </c>
      <c r="N141" s="536">
        <f t="shared" si="3"/>
      </c>
      <c r="O141" s="537" t="s">
        <v>545</v>
      </c>
      <c r="P141" s="532">
        <v>10</v>
      </c>
      <c r="Q141" s="539"/>
    </row>
    <row hidden="true" r="142">
      <c r="A142" s="541">
        <v>46053</v>
      </c>
      <c r="B142" s="542"/>
      <c r="C142" s="542"/>
      <c r="D142" s="542">
        <f>SUM(D138:D141)</f>
      </c>
      <c r="E142" s="542">
        <f>SUM(E138:E141)</f>
      </c>
      <c r="F142" s="542">
        <f>SUM(F138:F141)</f>
      </c>
      <c r="G142" s="542">
        <f>SUM(G138:G141)</f>
      </c>
      <c r="H142" s="542">
        <f>SUM(H138:H141)</f>
      </c>
      <c r="I142" s="542">
        <f>SUM(I138:I141)</f>
      </c>
      <c r="J142" s="542">
        <f>SUM(J138:J141)</f>
      </c>
      <c r="K142" s="542">
        <f>SUM(K138:K141)</f>
      </c>
      <c r="L142" s="543">
        <f t="shared" si="2"/>
      </c>
      <c r="M142" s="543">
        <f t="shared" si="1"/>
      </c>
      <c r="N142" s="543">
        <f t="shared" si="3"/>
      </c>
      <c r="O142" s="544"/>
      <c r="P142" s="542">
        <f>P138+P139+P140+P141</f>
      </c>
      <c r="Q142" s="544"/>
    </row>
    <row hidden="true" r="143">
      <c r="J143" s="561"/>
      <c r="K143" s="561"/>
      <c r="L143" s="536"/>
    </row>
    <row hidden="true" r="144">
      <c r="J144" s="561"/>
      <c r="K144" s="562"/>
      <c r="L144" s="536"/>
    </row>
    <row hidden="true" r="145">
      <c r="J145" s="561"/>
      <c r="K145" s="563"/>
      <c r="L145" s="536"/>
    </row>
    <row hidden="true" r="146">
      <c r="D146" s="564"/>
      <c r="J146" s="564"/>
      <c r="K146" s="563"/>
      <c r="L146" s="536"/>
    </row>
    <row hidden="true" r="147">
      <c r="J147" s="563"/>
      <c r="K147" s="561"/>
      <c r="L147" s="536"/>
    </row>
    <row hidden="true" r="148">
      <c r="J148" s="563"/>
      <c r="K148" s="561"/>
      <c r="L148" s="536"/>
    </row>
    <row hidden="true" r="149">
      <c r="J149" s="563"/>
      <c r="K149" s="561"/>
      <c r="L149" s="536"/>
    </row>
    <row hidden="true" r="150">
      <c r="J150" s="564"/>
      <c r="K150" s="564"/>
    </row>
    <row hidden="true" r="151">
      <c r="L151" s="536"/>
    </row>
    <row hidden="true" r="152">
      <c r="J152" s="563"/>
      <c r="K152" s="563"/>
      <c r="L152" s="536"/>
    </row>
    <row hidden="true" r="153">
      <c r="J153" s="561"/>
      <c r="K153" s="564"/>
    </row>
    <row r="154">
      <c r="J154" s="565"/>
      <c r="K154" s="566"/>
      <c r="L154" s="536"/>
    </row>
    <row r="155">
      <c r="I155" s="567"/>
      <c r="J155" s="562"/>
      <c r="L155" s="536"/>
    </row>
    <row r="156">
      <c r="F156" s="568"/>
      <c r="G156" s="568">
        <f t="shared" ref="G156:G160" si="0">E156/C156</f>
      </c>
      <c r="I156" s="569"/>
      <c r="J156" s="570"/>
      <c r="K156" s="562"/>
      <c r="L156" s="536"/>
    </row>
    <row r="157">
      <c r="F157" s="568"/>
      <c r="G157" s="568">
        <f t="shared" si="0"/>
      </c>
      <c r="I157" s="569"/>
      <c r="J157" s="570"/>
    </row>
    <row r="158">
      <c r="F158" s="568"/>
      <c r="G158" s="568">
        <f t="shared" si="0"/>
      </c>
      <c r="I158" s="535"/>
    </row>
    <row r="159">
      <c r="F159" s="568"/>
      <c r="G159" s="568">
        <f t="shared" si="0"/>
      </c>
      <c r="I159" s="535"/>
    </row>
    <row r="160">
      <c r="F160" s="568"/>
      <c r="G160" s="568">
        <f t="shared" si="0"/>
      </c>
      <c r="I160" s="535"/>
    </row>
    <row r="161">
      <c r="I161" s="535"/>
    </row>
    <row r="162">
      <c r="I162" s="535"/>
    </row>
    <row r="163"/>
    <row r="164"/>
    <row r="165"/>
    <row r="166"/>
    <row r="167"/>
    <row r="168"/>
    <row r="169">
      <c r="E169" s="571">
        <v>2961169.2099999995</v>
      </c>
      <c r="F169" s="571">
        <v>5242717.460000001</v>
      </c>
      <c r="G169" s="571">
        <v>3025169.0899999994</v>
      </c>
      <c r="H169" s="571">
        <v>6058913.36</v>
      </c>
      <c r="I169" s="571">
        <v>2569246.2</v>
      </c>
      <c r="J169">
        <v>2959429.54</v>
      </c>
      <c r="K169">
        <v>1174411.2100000002</v>
      </c>
      <c r="L169">
        <v>1702430.29</v>
      </c>
    </row>
  </sheetData>
  <autoFilter ref="A1:P153">
    <filterColumn colId="1">
      <filters>
        <filter val="武慧聪"/>
      </filters>
    </filterColumn>
  </autoFilter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572" t="s">
        <v>571</v>
      </c>
      <c r="B1" s="573" t="s">
        <v>572</v>
      </c>
      <c r="C1" s="573" t="s">
        <v>573</v>
      </c>
      <c r="D1" s="573" t="s">
        <v>574</v>
      </c>
      <c r="E1" s="573" t="s">
        <v>575</v>
      </c>
      <c r="F1" s="573" t="s">
        <v>576</v>
      </c>
      <c r="G1" s="574" t="s">
        <v>577</v>
      </c>
      <c r="H1" s="575" t="s">
        <v>578</v>
      </c>
      <c r="I1" s="573" t="s">
        <v>579</v>
      </c>
      <c r="J1" s="573" t="s">
        <v>580</v>
      </c>
      <c r="K1" s="573" t="s">
        <v>581</v>
      </c>
      <c r="L1" s="576" t="s">
        <v>582</v>
      </c>
      <c r="M1" s="576" t="s">
        <v>583</v>
      </c>
      <c r="N1" s="576" t="s">
        <v>584</v>
      </c>
      <c r="O1" s="577" t="s">
        <v>585</v>
      </c>
      <c r="P1" s="577" t="s">
        <v>586</v>
      </c>
      <c r="Q1" s="577" t="s">
        <v>587</v>
      </c>
    </row>
    <row hidden="true" r="2">
      <c r="A2" s="578">
        <v>45992</v>
      </c>
      <c r="B2" s="579" t="s">
        <v>588</v>
      </c>
      <c r="C2" s="580" t="s">
        <v>589</v>
      </c>
      <c r="D2" s="579">
        <v>5</v>
      </c>
      <c r="E2" s="579">
        <v>54</v>
      </c>
      <c r="F2" s="579">
        <v>43</v>
      </c>
      <c r="G2" s="579">
        <v>31</v>
      </c>
      <c r="H2" s="579">
        <v>33</v>
      </c>
      <c r="I2" s="579">
        <v>8</v>
      </c>
      <c r="J2" s="581">
        <v>44045.4</v>
      </c>
      <c r="K2" s="581">
        <v>29455.409999999996</v>
      </c>
      <c r="L2" s="582">
        <f t="shared" ref="L2:L159" si="2">J2/K2</f>
      </c>
      <c r="M2" s="582">
        <f t="shared" ref="M2:M159" si="0">J2/F2</f>
      </c>
      <c r="N2" s="582">
        <f t="shared" ref="N2:N159" si="3">K2/F2</f>
      </c>
      <c r="O2" s="583" t="s">
        <v>590</v>
      </c>
      <c r="P2" s="579">
        <v>10</v>
      </c>
      <c r="Q2" s="584"/>
    </row>
    <row hidden="true" r="3">
      <c r="A3" s="578">
        <v>45992</v>
      </c>
      <c r="B3" s="579" t="s">
        <v>591</v>
      </c>
      <c r="C3" s="580" t="s">
        <v>592</v>
      </c>
      <c r="D3" s="579">
        <v>5</v>
      </c>
      <c r="E3" s="579">
        <v>72</v>
      </c>
      <c r="F3" s="579">
        <v>57</v>
      </c>
      <c r="G3" s="579">
        <v>40</v>
      </c>
      <c r="H3" s="579">
        <v>49</v>
      </c>
      <c r="I3" s="579">
        <v>10</v>
      </c>
      <c r="J3" s="581">
        <v>52469.60000000004</v>
      </c>
      <c r="K3" s="581">
        <v>25874.58</v>
      </c>
      <c r="L3" s="582">
        <f t="shared" si="2"/>
      </c>
      <c r="M3" s="582">
        <f t="shared" si="0"/>
      </c>
      <c r="N3" s="582">
        <f t="shared" si="3"/>
      </c>
      <c r="O3" s="585"/>
      <c r="P3" s="585"/>
      <c r="Q3" s="586"/>
    </row>
    <row r="4">
      <c r="A4" s="578">
        <v>45992</v>
      </c>
      <c r="B4" s="579" t="s">
        <v>593</v>
      </c>
      <c r="C4" s="580" t="s">
        <v>594</v>
      </c>
      <c r="D4" s="579">
        <v>5</v>
      </c>
      <c r="E4" s="579">
        <v>67</v>
      </c>
      <c r="F4" s="579">
        <v>60</v>
      </c>
      <c r="G4" s="579">
        <v>36</v>
      </c>
      <c r="H4" s="579">
        <v>49</v>
      </c>
      <c r="I4" s="579">
        <v>7</v>
      </c>
      <c r="J4" s="581">
        <v>70606.80000000002</v>
      </c>
      <c r="K4" s="581">
        <v>27294.54</v>
      </c>
      <c r="L4" s="582">
        <f t="shared" si="2"/>
      </c>
      <c r="M4" s="582">
        <f t="shared" si="0"/>
      </c>
      <c r="N4" s="582">
        <f t="shared" si="3"/>
      </c>
      <c r="O4" s="583"/>
      <c r="P4" s="579"/>
      <c r="Q4" s="587"/>
    </row>
    <row hidden="true" r="5">
      <c r="A5" s="578">
        <v>45992</v>
      </c>
      <c r="B5" s="579" t="s">
        <v>595</v>
      </c>
      <c r="C5" s="580" t="s">
        <v>596</v>
      </c>
      <c r="D5" s="579">
        <v>5</v>
      </c>
      <c r="E5" s="579">
        <v>61</v>
      </c>
      <c r="F5" s="579">
        <v>52</v>
      </c>
      <c r="G5" s="579">
        <v>30</v>
      </c>
      <c r="H5" s="579">
        <v>39</v>
      </c>
      <c r="I5" s="579">
        <v>5</v>
      </c>
      <c r="J5" s="581">
        <v>71938.8</v>
      </c>
      <c r="K5" s="581">
        <v>24680.880000000005</v>
      </c>
      <c r="L5" s="582">
        <f t="shared" si="2"/>
      </c>
      <c r="M5" s="582">
        <f t="shared" si="0"/>
      </c>
      <c r="N5" s="582">
        <f t="shared" si="3"/>
      </c>
      <c r="O5" s="585" t="s">
        <v>597</v>
      </c>
      <c r="P5" s="579">
        <v>10</v>
      </c>
      <c r="Q5" s="585"/>
    </row>
    <row hidden="true" r="6">
      <c r="A6" s="588">
        <v>45992</v>
      </c>
      <c r="B6" s="589"/>
      <c r="C6" s="589"/>
      <c r="D6" s="589">
        <f>SUM(D2:D5)</f>
      </c>
      <c r="E6" s="589">
        <f>SUM(E2:E5)</f>
      </c>
      <c r="F6" s="589">
        <f>SUM(F2:F5)</f>
      </c>
      <c r="G6" s="589">
        <f>SUM(G2:G5)</f>
      </c>
      <c r="H6" s="589">
        <f>SUM(H2:H5)</f>
      </c>
      <c r="I6" s="589">
        <f>SUM(I2:I5)</f>
      </c>
      <c r="J6" s="589">
        <f>SUM(J2:J5)</f>
      </c>
      <c r="K6" s="589">
        <f>SUM(K2:K5)</f>
      </c>
      <c r="L6" s="590">
        <f t="shared" si="2"/>
      </c>
      <c r="M6" s="590">
        <f t="shared" si="0"/>
      </c>
      <c r="N6" s="590">
        <f t="shared" si="3"/>
      </c>
      <c r="O6" s="591"/>
      <c r="P6" s="589">
        <f>P2+P3+P4+P5</f>
      </c>
      <c r="Q6" s="591"/>
    </row>
    <row hidden="true" r="7">
      <c r="A7" s="578">
        <v>45993</v>
      </c>
      <c r="B7" s="579" t="s">
        <v>588</v>
      </c>
      <c r="C7" s="580" t="s">
        <v>589</v>
      </c>
      <c r="D7" s="579">
        <v>5</v>
      </c>
      <c r="E7" s="579">
        <v>44</v>
      </c>
      <c r="F7" s="579">
        <v>32</v>
      </c>
      <c r="G7" s="579">
        <v>26</v>
      </c>
      <c r="H7" s="579">
        <v>28</v>
      </c>
      <c r="I7" s="579">
        <v>3</v>
      </c>
      <c r="J7" s="581">
        <v>30292.199999999997</v>
      </c>
      <c r="K7" s="581">
        <v>26422.33</v>
      </c>
      <c r="L7" s="582">
        <f t="shared" si="2"/>
      </c>
      <c r="M7" s="582">
        <f t="shared" si="0"/>
      </c>
      <c r="N7" s="582">
        <f t="shared" si="3"/>
      </c>
      <c r="O7" s="583" t="s">
        <v>598</v>
      </c>
      <c r="P7" s="579">
        <v>11.5</v>
      </c>
      <c r="Q7" s="584"/>
    </row>
    <row hidden="true" r="8">
      <c r="A8" s="578">
        <v>45993</v>
      </c>
      <c r="B8" s="579" t="s">
        <v>591</v>
      </c>
      <c r="C8" s="580" t="s">
        <v>592</v>
      </c>
      <c r="D8" s="579">
        <v>5</v>
      </c>
      <c r="E8" s="579">
        <v>51</v>
      </c>
      <c r="F8" s="579">
        <v>36</v>
      </c>
      <c r="G8" s="579">
        <v>32</v>
      </c>
      <c r="H8" s="579">
        <v>28</v>
      </c>
      <c r="I8" s="579">
        <v>3</v>
      </c>
      <c r="J8" s="581">
        <v>46012.799999999996</v>
      </c>
      <c r="K8" s="581">
        <v>24051.510000000002</v>
      </c>
      <c r="L8" s="582">
        <f t="shared" si="2"/>
      </c>
      <c r="M8" s="582">
        <f t="shared" si="0"/>
      </c>
      <c r="N8" s="582">
        <f t="shared" si="3"/>
      </c>
      <c r="O8" s="585"/>
      <c r="P8" s="585"/>
      <c r="Q8" s="586"/>
    </row>
    <row hidden="true" r="9">
      <c r="A9" s="578">
        <v>45993</v>
      </c>
      <c r="B9" s="579" t="s">
        <v>599</v>
      </c>
      <c r="C9" s="580" t="s">
        <v>594</v>
      </c>
      <c r="D9" s="579">
        <v>5</v>
      </c>
      <c r="E9" s="579">
        <v>30</v>
      </c>
      <c r="F9" s="579">
        <v>25</v>
      </c>
      <c r="G9" s="579">
        <v>20</v>
      </c>
      <c r="H9" s="579">
        <v>16</v>
      </c>
      <c r="I9" s="579">
        <v>3</v>
      </c>
      <c r="J9" s="581">
        <v>33838.600000000006</v>
      </c>
      <c r="K9" s="581">
        <v>16022.84</v>
      </c>
      <c r="L9" s="582">
        <f t="shared" si="2"/>
      </c>
      <c r="M9" s="582">
        <f t="shared" si="0"/>
      </c>
      <c r="N9" s="582">
        <f t="shared" si="3"/>
      </c>
      <c r="O9" s="583"/>
      <c r="P9" s="579"/>
      <c r="Q9" s="587"/>
    </row>
    <row hidden="true" r="10">
      <c r="A10" s="578">
        <v>45993</v>
      </c>
      <c r="B10" s="579" t="s">
        <v>595</v>
      </c>
      <c r="C10" s="580" t="s">
        <v>596</v>
      </c>
      <c r="D10" s="579">
        <v>5</v>
      </c>
      <c r="E10" s="579">
        <v>36</v>
      </c>
      <c r="F10" s="579">
        <v>26</v>
      </c>
      <c r="G10" s="579">
        <v>21</v>
      </c>
      <c r="H10" s="579">
        <v>20</v>
      </c>
      <c r="I10" s="579">
        <v>4</v>
      </c>
      <c r="J10" s="581">
        <v>29456.4</v>
      </c>
      <c r="K10" s="581">
        <v>18541.08</v>
      </c>
      <c r="L10" s="582">
        <f t="shared" si="2"/>
      </c>
      <c r="M10" s="582">
        <f t="shared" si="0"/>
      </c>
      <c r="N10" s="582">
        <f t="shared" si="3"/>
      </c>
      <c r="O10" s="585" t="s">
        <v>597</v>
      </c>
      <c r="P10" s="579">
        <v>8.5</v>
      </c>
      <c r="Q10" s="585"/>
    </row>
    <row hidden="true" r="11">
      <c r="A11" s="588">
        <v>45993</v>
      </c>
      <c r="B11" s="589"/>
      <c r="C11" s="589"/>
      <c r="D11" s="589">
        <f>SUM(D7:D10)</f>
      </c>
      <c r="E11" s="589">
        <f>SUM(E7:E10)</f>
      </c>
      <c r="F11" s="589">
        <f>SUM(F7:F10)</f>
      </c>
      <c r="G11" s="589">
        <f>SUM(G7:G10)</f>
      </c>
      <c r="H11" s="589">
        <f>SUM(H7:H10)</f>
      </c>
      <c r="I11" s="589">
        <f>SUM(I7:I10)</f>
      </c>
      <c r="J11" s="589">
        <f>SUM(J7:J10)</f>
      </c>
      <c r="K11" s="589">
        <f>SUM(K7:K10)</f>
      </c>
      <c r="L11" s="590">
        <f t="shared" si="2"/>
      </c>
      <c r="M11" s="590">
        <f t="shared" si="0"/>
      </c>
      <c r="N11" s="590">
        <f t="shared" si="3"/>
      </c>
      <c r="O11" s="591"/>
      <c r="P11" s="589">
        <f>P7+P8+P9+P10</f>
      </c>
      <c r="Q11" s="591"/>
    </row>
    <row r="12">
      <c r="A12" s="578">
        <v>45994</v>
      </c>
      <c r="B12" s="579" t="s">
        <v>593</v>
      </c>
      <c r="C12" s="580" t="s">
        <v>589</v>
      </c>
      <c r="D12" s="579">
        <v>5</v>
      </c>
      <c r="E12" s="579">
        <v>40</v>
      </c>
      <c r="F12" s="579">
        <v>28</v>
      </c>
      <c r="G12" s="579">
        <v>25</v>
      </c>
      <c r="H12" s="579">
        <v>22</v>
      </c>
      <c r="I12" s="579">
        <v>1</v>
      </c>
      <c r="J12" s="581">
        <v>32442.199999999997</v>
      </c>
      <c r="K12" s="581">
        <v>21973.96</v>
      </c>
      <c r="L12" s="582">
        <f t="shared" si="2"/>
      </c>
      <c r="M12" s="582">
        <f t="shared" si="0"/>
      </c>
      <c r="N12" s="582">
        <f t="shared" si="3"/>
      </c>
      <c r="O12" s="583" t="s">
        <v>598</v>
      </c>
      <c r="P12" s="579">
        <v>10</v>
      </c>
      <c r="Q12" s="584"/>
    </row>
    <row hidden="true" r="13">
      <c r="A13" s="578">
        <v>45994</v>
      </c>
      <c r="B13" s="579" t="s">
        <v>588</v>
      </c>
      <c r="C13" s="580" t="s">
        <v>592</v>
      </c>
      <c r="D13" s="579">
        <v>5</v>
      </c>
      <c r="E13" s="579">
        <v>54</v>
      </c>
      <c r="F13" s="579">
        <v>40</v>
      </c>
      <c r="G13" s="579">
        <v>29</v>
      </c>
      <c r="H13" s="579">
        <v>29</v>
      </c>
      <c r="I13" s="579">
        <v>4</v>
      </c>
      <c r="J13" s="581">
        <v>43976.6</v>
      </c>
      <c r="K13" s="581">
        <v>21129.559999999998</v>
      </c>
      <c r="L13" s="582">
        <f t="shared" si="2"/>
      </c>
      <c r="M13" s="582">
        <f t="shared" si="0"/>
      </c>
      <c r="N13" s="582">
        <f t="shared" si="3"/>
      </c>
      <c r="O13" s="585"/>
      <c r="P13" s="585"/>
      <c r="Q13" s="586"/>
    </row>
    <row hidden="true" r="14">
      <c r="A14" s="578">
        <v>45994</v>
      </c>
      <c r="B14" s="579" t="s">
        <v>599</v>
      </c>
      <c r="C14" s="580" t="s">
        <v>594</v>
      </c>
      <c r="D14" s="579">
        <v>5</v>
      </c>
      <c r="E14" s="579">
        <v>32</v>
      </c>
      <c r="F14" s="579">
        <v>24</v>
      </c>
      <c r="G14" s="579">
        <v>18</v>
      </c>
      <c r="H14" s="579">
        <v>17</v>
      </c>
      <c r="I14" s="579">
        <v>1</v>
      </c>
      <c r="J14" s="581">
        <v>35252.4</v>
      </c>
      <c r="K14" s="581">
        <v>19389.25</v>
      </c>
      <c r="L14" s="582">
        <f t="shared" si="2"/>
      </c>
      <c r="M14" s="582">
        <f t="shared" si="0"/>
      </c>
      <c r="N14" s="582">
        <f t="shared" si="3"/>
      </c>
      <c r="O14" s="583"/>
      <c r="P14" s="579"/>
      <c r="Q14" s="587"/>
    </row>
    <row hidden="true" r="15">
      <c r="A15" s="578">
        <v>45994</v>
      </c>
      <c r="B15" s="579" t="s">
        <v>591</v>
      </c>
      <c r="C15" s="580" t="s">
        <v>596</v>
      </c>
      <c r="D15" s="579">
        <v>5</v>
      </c>
      <c r="E15" s="579">
        <v>35</v>
      </c>
      <c r="F15" s="579">
        <v>24</v>
      </c>
      <c r="G15" s="579">
        <v>17</v>
      </c>
      <c r="H15" s="579">
        <v>15</v>
      </c>
      <c r="I15" s="579">
        <v>3</v>
      </c>
      <c r="J15" s="581">
        <v>26487</v>
      </c>
      <c r="K15" s="581">
        <v>15591.890000000001</v>
      </c>
      <c r="L15" s="582">
        <f t="shared" si="2"/>
      </c>
      <c r="M15" s="582">
        <f t="shared" si="0"/>
      </c>
      <c r="N15" s="582">
        <f t="shared" si="3"/>
      </c>
      <c r="O15" s="585" t="s">
        <v>600</v>
      </c>
      <c r="P15" s="579">
        <v>10</v>
      </c>
      <c r="Q15" s="585"/>
    </row>
    <row hidden="true" r="16">
      <c r="A16" s="588">
        <v>45994</v>
      </c>
      <c r="B16" s="589"/>
      <c r="C16" s="589"/>
      <c r="D16" s="589">
        <f>SUM(D12:D15)</f>
      </c>
      <c r="E16" s="589">
        <f>SUM(E12:E15)</f>
      </c>
      <c r="F16" s="589">
        <f>SUM(F12:F15)</f>
      </c>
      <c r="G16" s="589">
        <f>SUM(G12:G15)</f>
      </c>
      <c r="H16" s="589">
        <f>SUM(H12:H15)</f>
      </c>
      <c r="I16" s="589">
        <f>SUM(I12:I15)</f>
      </c>
      <c r="J16" s="589">
        <f>SUM(J12:J15)</f>
      </c>
      <c r="K16" s="589">
        <f>SUM(K12:K15)</f>
      </c>
      <c r="L16" s="590">
        <f t="shared" si="2"/>
      </c>
      <c r="M16" s="590">
        <f t="shared" si="0"/>
      </c>
      <c r="N16" s="590">
        <f t="shared" si="3"/>
      </c>
      <c r="O16" s="591"/>
      <c r="P16" s="589">
        <f>P12+P13+P14+P15</f>
      </c>
      <c r="Q16" s="591"/>
    </row>
    <row r="17">
      <c r="A17" s="578">
        <v>45995</v>
      </c>
      <c r="B17" s="579" t="s">
        <v>593</v>
      </c>
      <c r="C17" s="580" t="s">
        <v>589</v>
      </c>
      <c r="D17" s="579">
        <v>5</v>
      </c>
      <c r="E17" s="579">
        <v>67</v>
      </c>
      <c r="F17" s="579">
        <v>52</v>
      </c>
      <c r="G17" s="579">
        <v>30</v>
      </c>
      <c r="H17" s="579">
        <v>33</v>
      </c>
      <c r="I17" s="579">
        <v>7</v>
      </c>
      <c r="J17" s="581">
        <v>86884.2</v>
      </c>
      <c r="K17" s="581">
        <v>24012.98</v>
      </c>
      <c r="L17" s="582">
        <f t="shared" si="2"/>
      </c>
      <c r="M17" s="582">
        <f t="shared" si="0"/>
      </c>
      <c r="N17" s="582">
        <f t="shared" si="3"/>
      </c>
      <c r="O17" s="583" t="s">
        <v>598</v>
      </c>
      <c r="P17" s="579">
        <v>10</v>
      </c>
      <c r="Q17" s="584"/>
    </row>
    <row hidden="true" r="18">
      <c r="A18" s="578">
        <v>45995</v>
      </c>
      <c r="B18" s="579" t="s">
        <v>588</v>
      </c>
      <c r="C18" s="580" t="s">
        <v>592</v>
      </c>
      <c r="D18" s="579">
        <v>5</v>
      </c>
      <c r="E18" s="579">
        <v>41</v>
      </c>
      <c r="F18" s="579">
        <v>30</v>
      </c>
      <c r="G18" s="579">
        <v>23</v>
      </c>
      <c r="H18" s="579">
        <v>24</v>
      </c>
      <c r="I18" s="579">
        <v>4</v>
      </c>
      <c r="J18" s="581">
        <v>31348.399999999998</v>
      </c>
      <c r="K18" s="581">
        <v>21137.39</v>
      </c>
      <c r="L18" s="582">
        <f t="shared" si="2"/>
      </c>
      <c r="M18" s="582">
        <f t="shared" si="0"/>
      </c>
      <c r="N18" s="582">
        <f t="shared" si="3"/>
      </c>
      <c r="O18" s="585"/>
      <c r="P18" s="585"/>
      <c r="Q18" s="586"/>
    </row>
    <row hidden="true" r="19">
      <c r="A19" s="578">
        <v>45995</v>
      </c>
      <c r="B19" s="579" t="s">
        <v>591</v>
      </c>
      <c r="C19" s="580" t="s">
        <v>594</v>
      </c>
      <c r="D19" s="579">
        <v>5</v>
      </c>
      <c r="E19" s="579">
        <v>46</v>
      </c>
      <c r="F19" s="579">
        <v>39</v>
      </c>
      <c r="G19" s="579">
        <v>23</v>
      </c>
      <c r="H19" s="579">
        <v>33</v>
      </c>
      <c r="I19" s="579">
        <v>5</v>
      </c>
      <c r="J19" s="581">
        <v>34018.2</v>
      </c>
      <c r="K19" s="581">
        <v>16838.77</v>
      </c>
      <c r="L19" s="582">
        <f t="shared" si="2"/>
      </c>
      <c r="M19" s="582">
        <f t="shared" si="0"/>
      </c>
      <c r="N19" s="582">
        <f t="shared" si="3"/>
      </c>
      <c r="O19" s="583"/>
      <c r="P19" s="579"/>
      <c r="Q19" s="587"/>
    </row>
    <row hidden="true" r="20">
      <c r="A20" s="578">
        <v>45995</v>
      </c>
      <c r="B20" s="579" t="s">
        <v>595</v>
      </c>
      <c r="C20" s="580" t="s">
        <v>596</v>
      </c>
      <c r="D20" s="579">
        <v>5</v>
      </c>
      <c r="E20" s="579">
        <v>38</v>
      </c>
      <c r="F20" s="579">
        <v>30</v>
      </c>
      <c r="G20" s="579">
        <v>23</v>
      </c>
      <c r="H20" s="579">
        <v>24</v>
      </c>
      <c r="I20" s="579">
        <v>3</v>
      </c>
      <c r="J20" s="581">
        <v>33331</v>
      </c>
      <c r="K20" s="581">
        <v>18639.58</v>
      </c>
      <c r="L20" s="582">
        <f t="shared" si="2"/>
      </c>
      <c r="M20" s="582">
        <f t="shared" si="0"/>
      </c>
      <c r="N20" s="582">
        <f t="shared" si="3"/>
      </c>
      <c r="O20" s="585" t="s">
        <v>600</v>
      </c>
      <c r="P20" s="579">
        <v>10</v>
      </c>
      <c r="Q20" s="585"/>
    </row>
    <row hidden="true" r="21">
      <c r="A21" s="588">
        <v>45995</v>
      </c>
      <c r="B21" s="589"/>
      <c r="C21" s="589"/>
      <c r="D21" s="589">
        <f>SUM(D17:D20)</f>
      </c>
      <c r="E21" s="589">
        <f>SUM(E17:E20)</f>
      </c>
      <c r="F21" s="589">
        <f>SUM(F17:F20)</f>
      </c>
      <c r="G21" s="589">
        <f>SUM(G17:G20)</f>
      </c>
      <c r="H21" s="589">
        <f>SUM(H17:H20)</f>
      </c>
      <c r="I21" s="589">
        <f>SUM(I17:I20)</f>
      </c>
      <c r="J21" s="589">
        <f>SUM(J17:J20)</f>
      </c>
      <c r="K21" s="589">
        <f>SUM(K17:K20)</f>
      </c>
      <c r="L21" s="590">
        <f t="shared" si="2"/>
      </c>
      <c r="M21" s="590">
        <f t="shared" si="0"/>
      </c>
      <c r="N21" s="590">
        <f t="shared" si="3"/>
      </c>
      <c r="O21" s="591"/>
      <c r="P21" s="589">
        <f>P17+P18+P19+P20</f>
      </c>
      <c r="Q21" s="591"/>
    </row>
    <row hidden="true" r="22">
      <c r="A22" s="578">
        <v>45996</v>
      </c>
      <c r="B22" s="579" t="s">
        <v>588</v>
      </c>
      <c r="C22" s="580" t="s">
        <v>589</v>
      </c>
      <c r="D22" s="579">
        <v>5</v>
      </c>
      <c r="E22" s="579">
        <v>68</v>
      </c>
      <c r="F22" s="579">
        <v>52</v>
      </c>
      <c r="G22" s="579">
        <v>36</v>
      </c>
      <c r="H22" s="579">
        <v>45</v>
      </c>
      <c r="I22" s="579">
        <v>8</v>
      </c>
      <c r="J22" s="581">
        <v>43654.6</v>
      </c>
      <c r="K22" s="581">
        <v>26968.350000000002</v>
      </c>
      <c r="L22" s="582">
        <f t="shared" si="2"/>
      </c>
      <c r="M22" s="582">
        <f t="shared" si="0"/>
      </c>
      <c r="N22" s="582">
        <f t="shared" si="3"/>
      </c>
      <c r="O22" s="583" t="s">
        <v>598</v>
      </c>
      <c r="P22" s="579">
        <v>10</v>
      </c>
      <c r="Q22" s="584"/>
    </row>
    <row r="23">
      <c r="A23" s="578">
        <v>45996</v>
      </c>
      <c r="B23" s="579" t="s">
        <v>593</v>
      </c>
      <c r="C23" s="580" t="s">
        <v>592</v>
      </c>
      <c r="D23" s="579">
        <v>5</v>
      </c>
      <c r="E23" s="579">
        <v>46</v>
      </c>
      <c r="F23" s="579">
        <v>30</v>
      </c>
      <c r="G23" s="579">
        <v>21</v>
      </c>
      <c r="H23" s="579">
        <v>19</v>
      </c>
      <c r="I23" s="579">
        <v>4</v>
      </c>
      <c r="J23" s="581">
        <v>34622</v>
      </c>
      <c r="K23" s="581">
        <v>21999.769999999997</v>
      </c>
      <c r="L23" s="582">
        <f t="shared" si="2"/>
      </c>
      <c r="M23" s="582">
        <f t="shared" si="0"/>
      </c>
      <c r="N23" s="582">
        <f t="shared" si="3"/>
      </c>
      <c r="O23" s="585"/>
      <c r="P23" s="585"/>
      <c r="Q23" s="586"/>
    </row>
    <row hidden="true" r="24">
      <c r="A24" s="578">
        <v>45996</v>
      </c>
      <c r="B24" s="579" t="s">
        <v>595</v>
      </c>
      <c r="C24" s="580" t="s">
        <v>594</v>
      </c>
      <c r="D24" s="579">
        <v>5</v>
      </c>
      <c r="E24" s="579">
        <v>38</v>
      </c>
      <c r="F24" s="579">
        <v>27</v>
      </c>
      <c r="G24" s="579">
        <v>22</v>
      </c>
      <c r="H24" s="579">
        <v>18</v>
      </c>
      <c r="I24" s="579">
        <v>3</v>
      </c>
      <c r="J24" s="581">
        <v>29928.200000000004</v>
      </c>
      <c r="K24" s="581">
        <v>17922.89</v>
      </c>
      <c r="L24" s="582">
        <f t="shared" si="2"/>
      </c>
      <c r="M24" s="582">
        <f t="shared" si="0"/>
      </c>
      <c r="N24" s="582">
        <f t="shared" si="3"/>
      </c>
      <c r="O24" s="583"/>
      <c r="P24" s="579"/>
      <c r="Q24" s="587"/>
    </row>
    <row hidden="true" r="25">
      <c r="A25" s="578">
        <v>45996</v>
      </c>
      <c r="B25" s="579" t="s">
        <v>591</v>
      </c>
      <c r="C25" s="580" t="s">
        <v>596</v>
      </c>
      <c r="D25" s="579">
        <v>5</v>
      </c>
      <c r="E25" s="579">
        <v>43</v>
      </c>
      <c r="F25" s="579">
        <v>30</v>
      </c>
      <c r="G25" s="579">
        <v>26</v>
      </c>
      <c r="H25" s="579">
        <v>27</v>
      </c>
      <c r="I25" s="579">
        <v>4</v>
      </c>
      <c r="J25" s="581">
        <v>27061.600000000002</v>
      </c>
      <c r="K25" s="581">
        <v>18883.910000000003</v>
      </c>
      <c r="L25" s="582">
        <f t="shared" si="2"/>
      </c>
      <c r="M25" s="582">
        <f t="shared" si="0"/>
      </c>
      <c r="N25" s="582">
        <f t="shared" si="3"/>
      </c>
      <c r="O25" s="585" t="s">
        <v>600</v>
      </c>
      <c r="P25" s="579">
        <v>10</v>
      </c>
      <c r="Q25" s="585"/>
    </row>
    <row hidden="true" r="26">
      <c r="A26" s="588">
        <v>45996</v>
      </c>
      <c r="B26" s="589"/>
      <c r="C26" s="589"/>
      <c r="D26" s="589">
        <f>SUM(D22:D25)</f>
      </c>
      <c r="E26" s="589">
        <f>SUM(E22:E25)</f>
      </c>
      <c r="F26" s="589">
        <f>SUM(F22:F25)</f>
      </c>
      <c r="G26" s="589">
        <f>SUM(G22:G25)</f>
      </c>
      <c r="H26" s="589">
        <f>SUM(H22:H25)</f>
      </c>
      <c r="I26" s="589">
        <f>SUM(I22:I25)</f>
      </c>
      <c r="J26" s="589">
        <f>SUM(J22:J25)</f>
      </c>
      <c r="K26" s="589">
        <f>SUM(K22:K25)</f>
      </c>
      <c r="L26" s="590">
        <f t="shared" si="2"/>
      </c>
      <c r="M26" s="590">
        <f t="shared" si="0"/>
      </c>
      <c r="N26" s="590">
        <f t="shared" si="3"/>
      </c>
      <c r="O26" s="591"/>
      <c r="P26" s="589">
        <f>P22+P23+P24+P25</f>
      </c>
      <c r="Q26" s="591"/>
    </row>
    <row hidden="true" r="27">
      <c r="A27" s="578">
        <v>45997</v>
      </c>
      <c r="B27" s="579" t="s">
        <v>588</v>
      </c>
      <c r="C27" s="580" t="s">
        <v>589</v>
      </c>
      <c r="D27" s="579">
        <v>5</v>
      </c>
      <c r="E27" s="579">
        <v>65</v>
      </c>
      <c r="F27" s="579">
        <v>33</v>
      </c>
      <c r="G27" s="579">
        <v>23</v>
      </c>
      <c r="H27" s="579">
        <v>23</v>
      </c>
      <c r="I27" s="579">
        <v>6</v>
      </c>
      <c r="J27" s="581">
        <v>34622.799999999996</v>
      </c>
      <c r="K27" s="581">
        <v>22793.210000000003</v>
      </c>
      <c r="L27" s="582">
        <f t="shared" si="2"/>
      </c>
      <c r="M27" s="582">
        <f t="shared" si="0"/>
      </c>
      <c r="N27" s="582">
        <f t="shared" si="3"/>
      </c>
      <c r="O27" s="583" t="s">
        <v>598</v>
      </c>
      <c r="P27" s="579">
        <v>10</v>
      </c>
      <c r="Q27" s="584"/>
    </row>
    <row hidden="true" r="28">
      <c r="A28" s="578">
        <v>45997</v>
      </c>
      <c r="B28" s="579" t="s">
        <v>595</v>
      </c>
      <c r="C28" s="580" t="s">
        <v>592</v>
      </c>
      <c r="D28" s="579">
        <v>5</v>
      </c>
      <c r="E28" s="579">
        <v>25</v>
      </c>
      <c r="F28" s="579">
        <v>14</v>
      </c>
      <c r="G28" s="579">
        <v>13</v>
      </c>
      <c r="H28" s="579">
        <v>10</v>
      </c>
      <c r="I28" s="579">
        <v>1</v>
      </c>
      <c r="J28" s="581">
        <v>15083.8</v>
      </c>
      <c r="K28" s="581">
        <v>16186.419999999998</v>
      </c>
      <c r="L28" s="582">
        <f t="shared" si="2"/>
      </c>
      <c r="M28" s="582">
        <f t="shared" si="0"/>
      </c>
      <c r="N28" s="582">
        <f t="shared" si="3"/>
      </c>
      <c r="O28" s="585"/>
      <c r="P28" s="585"/>
      <c r="Q28" s="586"/>
    </row>
    <row r="29">
      <c r="A29" s="578">
        <v>45997</v>
      </c>
      <c r="B29" s="579" t="s">
        <v>593</v>
      </c>
      <c r="C29" s="580" t="s">
        <v>594</v>
      </c>
      <c r="D29" s="579">
        <v>5</v>
      </c>
      <c r="E29" s="579">
        <v>48</v>
      </c>
      <c r="F29" s="579">
        <v>37</v>
      </c>
      <c r="G29" s="579">
        <v>27</v>
      </c>
      <c r="H29" s="579">
        <v>33</v>
      </c>
      <c r="I29" s="579">
        <v>4</v>
      </c>
      <c r="J29" s="581">
        <v>28324.6</v>
      </c>
      <c r="K29" s="581">
        <v>18596.179999999997</v>
      </c>
      <c r="L29" s="582">
        <f t="shared" si="2"/>
      </c>
      <c r="M29" s="582">
        <f t="shared" si="0"/>
      </c>
      <c r="N29" s="582">
        <f t="shared" si="3"/>
      </c>
      <c r="O29" s="583"/>
      <c r="P29" s="579"/>
      <c r="Q29" s="587"/>
    </row>
    <row hidden="true" r="30">
      <c r="A30" s="578">
        <v>45997</v>
      </c>
      <c r="B30" s="579" t="s">
        <v>599</v>
      </c>
      <c r="C30" s="580" t="s">
        <v>596</v>
      </c>
      <c r="D30" s="579">
        <v>5</v>
      </c>
      <c r="E30" s="579">
        <v>46</v>
      </c>
      <c r="F30" s="579">
        <v>37</v>
      </c>
      <c r="G30" s="579">
        <v>27</v>
      </c>
      <c r="H30" s="579">
        <v>32</v>
      </c>
      <c r="I30" s="579">
        <v>4</v>
      </c>
      <c r="J30" s="581">
        <v>33477.799999999996</v>
      </c>
      <c r="K30" s="581">
        <v>17475.58</v>
      </c>
      <c r="L30" s="582">
        <f t="shared" si="2"/>
      </c>
      <c r="M30" s="582">
        <f t="shared" si="0"/>
      </c>
      <c r="N30" s="582">
        <f t="shared" si="3"/>
      </c>
      <c r="O30" s="585" t="s">
        <v>600</v>
      </c>
      <c r="P30" s="579">
        <v>10</v>
      </c>
      <c r="Q30" s="585"/>
    </row>
    <row hidden="true" r="31">
      <c r="A31" s="588">
        <v>45997</v>
      </c>
      <c r="B31" s="589"/>
      <c r="C31" s="589"/>
      <c r="D31" s="589">
        <f>SUM(D27:D30)</f>
      </c>
      <c r="E31" s="589">
        <f>SUM(E27:E30)</f>
      </c>
      <c r="F31" s="589">
        <f>SUM(F27:F30)</f>
      </c>
      <c r="G31" s="589">
        <f>SUM(G27:G30)</f>
      </c>
      <c r="H31" s="589">
        <f>SUM(H27:H30)</f>
      </c>
      <c r="I31" s="589">
        <f>SUM(I27:I30)</f>
      </c>
      <c r="J31" s="589">
        <f>SUM(J27:J30)</f>
      </c>
      <c r="K31" s="589">
        <f>SUM(K27:K30)</f>
      </c>
      <c r="L31" s="590">
        <f t="shared" si="2"/>
      </c>
      <c r="M31" s="590">
        <f t="shared" si="0"/>
      </c>
      <c r="N31" s="590">
        <f t="shared" si="3"/>
      </c>
      <c r="O31" s="591"/>
      <c r="P31" s="589">
        <f>P27+P28+P29+P30</f>
      </c>
      <c r="Q31" s="591"/>
    </row>
    <row hidden="true" r="32">
      <c r="A32" s="578">
        <v>45998</v>
      </c>
      <c r="B32" s="579" t="s">
        <v>595</v>
      </c>
      <c r="C32" s="580" t="s">
        <v>589</v>
      </c>
      <c r="D32" s="579">
        <v>5</v>
      </c>
      <c r="E32" s="579">
        <v>45</v>
      </c>
      <c r="F32" s="579">
        <v>28</v>
      </c>
      <c r="G32" s="579">
        <v>18</v>
      </c>
      <c r="H32" s="579">
        <v>23</v>
      </c>
      <c r="I32" s="579">
        <v>5</v>
      </c>
      <c r="J32" s="581">
        <v>26354.199999999997</v>
      </c>
      <c r="K32" s="581">
        <v>20319.85</v>
      </c>
      <c r="L32" s="582">
        <f t="shared" si="2"/>
      </c>
      <c r="M32" s="582">
        <f t="shared" si="0"/>
      </c>
      <c r="N32" s="582">
        <f t="shared" si="3"/>
      </c>
      <c r="O32" s="583" t="s">
        <v>598</v>
      </c>
      <c r="P32" s="579">
        <v>10</v>
      </c>
      <c r="Q32" s="584"/>
    </row>
    <row hidden="true" r="33">
      <c r="A33" s="578">
        <v>45998</v>
      </c>
      <c r="B33" s="579" t="s">
        <v>591</v>
      </c>
      <c r="C33" s="580" t="s">
        <v>592</v>
      </c>
      <c r="D33" s="579">
        <v>5</v>
      </c>
      <c r="E33" s="579">
        <v>53</v>
      </c>
      <c r="F33" s="579">
        <v>33</v>
      </c>
      <c r="G33" s="579">
        <v>27</v>
      </c>
      <c r="H33" s="579">
        <v>25</v>
      </c>
      <c r="I33" s="579">
        <v>3</v>
      </c>
      <c r="J33" s="581">
        <v>48157.4</v>
      </c>
      <c r="K33" s="581">
        <v>19630.670000000002</v>
      </c>
      <c r="L33" s="582">
        <f t="shared" si="2"/>
      </c>
      <c r="M33" s="582">
        <f t="shared" si="0"/>
      </c>
      <c r="N33" s="582">
        <f t="shared" si="3"/>
      </c>
      <c r="O33" s="585"/>
      <c r="P33" s="585"/>
      <c r="Q33" s="586"/>
    </row>
    <row hidden="true" r="34">
      <c r="A34" s="578">
        <v>45998</v>
      </c>
      <c r="B34" s="579" t="s">
        <v>599</v>
      </c>
      <c r="C34" s="580" t="s">
        <v>601</v>
      </c>
      <c r="D34" s="579">
        <v>2</v>
      </c>
      <c r="E34" s="579">
        <v>14</v>
      </c>
      <c r="F34" s="579">
        <v>10</v>
      </c>
      <c r="G34" s="579">
        <v>6</v>
      </c>
      <c r="H34" s="579">
        <v>6</v>
      </c>
      <c r="I34" s="579">
        <v>1</v>
      </c>
      <c r="J34" s="581">
        <v>14553.199999999997</v>
      </c>
      <c r="K34" s="581">
        <v>4817.65</v>
      </c>
      <c r="L34" s="582">
        <f t="shared" si="2"/>
      </c>
      <c r="M34" s="582">
        <f t="shared" si="0"/>
      </c>
      <c r="N34" s="582">
        <f t="shared" si="3"/>
      </c>
      <c r="O34" s="583"/>
      <c r="P34" s="579"/>
      <c r="Q34" s="587"/>
    </row>
    <row customHeight="true" hidden="true" ht="16.071428571428573" r="35">
      <c r="A35" s="578">
        <v>45998</v>
      </c>
      <c r="B35" s="579" t="s">
        <v>588</v>
      </c>
      <c r="C35" s="580" t="s">
        <v>602</v>
      </c>
      <c r="D35" s="579">
        <v>3</v>
      </c>
      <c r="E35" s="579">
        <v>37</v>
      </c>
      <c r="F35" s="579">
        <v>30</v>
      </c>
      <c r="G35" s="579">
        <v>23</v>
      </c>
      <c r="H35" s="579">
        <v>26</v>
      </c>
      <c r="I35" s="579">
        <v>4</v>
      </c>
      <c r="J35" s="581">
        <v>23255.8</v>
      </c>
      <c r="K35" s="581">
        <v>12982.08</v>
      </c>
      <c r="L35" s="582">
        <f t="shared" si="2"/>
      </c>
      <c r="M35" s="582">
        <f t="shared" si="0"/>
      </c>
      <c r="N35" s="582">
        <f t="shared" si="3"/>
      </c>
      <c r="O35" s="583"/>
      <c r="P35" s="579"/>
      <c r="Q35" s="587"/>
    </row>
    <row r="36">
      <c r="A36" s="578">
        <v>45998</v>
      </c>
      <c r="B36" s="579" t="s">
        <v>593</v>
      </c>
      <c r="C36" s="580" t="s">
        <v>596</v>
      </c>
      <c r="D36" s="579">
        <v>5</v>
      </c>
      <c r="E36" s="579">
        <v>66</v>
      </c>
      <c r="F36" s="579">
        <v>44</v>
      </c>
      <c r="G36" s="579">
        <v>35</v>
      </c>
      <c r="H36" s="579">
        <v>32</v>
      </c>
      <c r="I36" s="579">
        <v>4</v>
      </c>
      <c r="J36" s="581">
        <v>50418.2</v>
      </c>
      <c r="K36" s="581">
        <v>24055.38</v>
      </c>
      <c r="L36" s="582">
        <f t="shared" si="2"/>
      </c>
      <c r="M36" s="582">
        <f t="shared" si="0"/>
      </c>
      <c r="N36" s="582">
        <f t="shared" si="3"/>
      </c>
      <c r="O36" s="585" t="s">
        <v>600</v>
      </c>
      <c r="P36" s="579">
        <v>10</v>
      </c>
      <c r="Q36" s="585"/>
    </row>
    <row hidden="true" r="37">
      <c r="A37" s="588">
        <v>45998</v>
      </c>
      <c r="B37" s="589"/>
      <c r="C37" s="589"/>
      <c r="D37" s="589">
        <f>SUM(D32:D36)</f>
      </c>
      <c r="E37" s="589">
        <f>SUM(E32:E36)</f>
      </c>
      <c r="F37" s="589">
        <f>SUM(F32:F36)</f>
      </c>
      <c r="G37" s="589">
        <f>SUM(G32:G36)</f>
      </c>
      <c r="H37" s="589">
        <f>SUM(H32:H36)</f>
      </c>
      <c r="I37" s="589">
        <f>SUM(I32:I36)</f>
      </c>
      <c r="J37" s="589">
        <f>SUM(J32:J36)</f>
      </c>
      <c r="K37" s="589">
        <f>SUM(K32:K36)</f>
      </c>
      <c r="L37" s="590">
        <f t="shared" si="2"/>
      </c>
      <c r="M37" s="590">
        <f t="shared" si="0"/>
      </c>
      <c r="N37" s="590">
        <f t="shared" si="3"/>
      </c>
      <c r="O37" s="591"/>
      <c r="P37" s="589">
        <f>P32+P33+P34+P36</f>
      </c>
      <c r="Q37" s="591"/>
    </row>
    <row hidden="true" r="38">
      <c r="A38" s="578">
        <v>45999</v>
      </c>
      <c r="B38" s="579" t="s">
        <v>595</v>
      </c>
      <c r="C38" s="580" t="s">
        <v>603</v>
      </c>
      <c r="D38" s="579">
        <v>6</v>
      </c>
      <c r="E38" s="579">
        <v>67</v>
      </c>
      <c r="F38" s="579">
        <v>51</v>
      </c>
      <c r="G38" s="579">
        <v>39</v>
      </c>
      <c r="H38" s="579">
        <v>41</v>
      </c>
      <c r="I38" s="579">
        <v>7</v>
      </c>
      <c r="J38" s="581">
        <v>47347.4</v>
      </c>
      <c r="K38" s="581">
        <v>31359.82</v>
      </c>
      <c r="L38" s="582">
        <f t="shared" si="2"/>
      </c>
      <c r="M38" s="582">
        <f t="shared" si="0"/>
      </c>
      <c r="N38" s="582">
        <f t="shared" si="3"/>
      </c>
      <c r="O38" s="583" t="s">
        <v>598</v>
      </c>
      <c r="P38" s="579">
        <v>9</v>
      </c>
      <c r="Q38" s="584"/>
    </row>
    <row hidden="true" r="39">
      <c r="A39" s="578">
        <v>45999</v>
      </c>
      <c r="B39" s="579" t="s">
        <v>588</v>
      </c>
      <c r="C39" s="580" t="s">
        <v>604</v>
      </c>
      <c r="D39" s="579">
        <v>6</v>
      </c>
      <c r="E39" s="579">
        <v>72</v>
      </c>
      <c r="F39" s="579">
        <v>54</v>
      </c>
      <c r="G39" s="579">
        <v>38</v>
      </c>
      <c r="H39" s="579">
        <v>38</v>
      </c>
      <c r="I39" s="579">
        <v>5</v>
      </c>
      <c r="J39" s="581">
        <v>72383.6</v>
      </c>
      <c r="K39" s="581">
        <v>30726.1</v>
      </c>
      <c r="L39" s="582">
        <f t="shared" si="2"/>
      </c>
      <c r="M39" s="582">
        <f t="shared" si="0"/>
      </c>
      <c r="N39" s="582">
        <f t="shared" si="3"/>
      </c>
      <c r="O39" s="585"/>
      <c r="P39" s="585"/>
      <c r="Q39" s="586"/>
    </row>
    <row r="40">
      <c r="A40" s="578">
        <v>45999</v>
      </c>
      <c r="B40" s="579" t="s">
        <v>593</v>
      </c>
      <c r="C40" s="580" t="s">
        <v>605</v>
      </c>
      <c r="D40" s="579">
        <v>6</v>
      </c>
      <c r="E40" s="579">
        <v>70</v>
      </c>
      <c r="F40" s="579">
        <v>54</v>
      </c>
      <c r="G40" s="579">
        <v>37</v>
      </c>
      <c r="H40" s="579">
        <v>45</v>
      </c>
      <c r="I40" s="579">
        <v>6</v>
      </c>
      <c r="J40" s="581">
        <v>49976.439999999995</v>
      </c>
      <c r="K40" s="581">
        <v>23424.049999999996</v>
      </c>
      <c r="L40" s="582">
        <f t="shared" si="2"/>
      </c>
      <c r="M40" s="582">
        <f t="shared" si="0"/>
      </c>
      <c r="N40" s="582">
        <f t="shared" si="3"/>
      </c>
      <c r="O40" s="583" t="s">
        <v>606</v>
      </c>
      <c r="P40" s="579">
        <v>9</v>
      </c>
      <c r="Q40" s="587"/>
    </row>
    <row hidden="true" r="41">
      <c r="A41" s="588">
        <v>45999</v>
      </c>
      <c r="B41" s="589"/>
      <c r="C41" s="589"/>
      <c r="D41" s="589">
        <f>SUM(D38:D40)</f>
      </c>
      <c r="E41" s="589">
        <f>SUM(E38:E40)</f>
      </c>
      <c r="F41" s="589">
        <f>SUM(F38:F40)</f>
      </c>
      <c r="G41" s="589">
        <f>SUM(G38:G40)</f>
      </c>
      <c r="H41" s="589">
        <f>SUM(H38:H40)</f>
      </c>
      <c r="I41" s="589">
        <f>SUM(I38:I40)</f>
      </c>
      <c r="J41" s="589">
        <f>SUM(J38:J40)</f>
      </c>
      <c r="K41" s="589">
        <f>SUM(K38:K40)</f>
      </c>
      <c r="L41" s="590">
        <f t="shared" si="2"/>
      </c>
      <c r="M41" s="590">
        <f t="shared" si="0"/>
      </c>
      <c r="N41" s="590">
        <f t="shared" si="3"/>
      </c>
      <c r="O41" s="591"/>
      <c r="P41" s="589">
        <f>P40+P38</f>
      </c>
      <c r="Q41" s="591"/>
    </row>
    <row hidden="true" r="42">
      <c r="A42" s="578">
        <v>46000</v>
      </c>
      <c r="B42" s="579" t="s">
        <v>588</v>
      </c>
      <c r="C42" s="580" t="s">
        <v>603</v>
      </c>
      <c r="D42" s="579">
        <v>6</v>
      </c>
      <c r="E42" s="579">
        <v>59</v>
      </c>
      <c r="F42" s="579">
        <v>40</v>
      </c>
      <c r="G42" s="579">
        <v>32</v>
      </c>
      <c r="H42" s="579">
        <v>32</v>
      </c>
      <c r="I42" s="579">
        <v>3</v>
      </c>
      <c r="J42" s="581">
        <v>39314.40000000001</v>
      </c>
      <c r="K42" s="581">
        <v>28849.22</v>
      </c>
      <c r="L42" s="582">
        <f t="shared" si="2"/>
      </c>
      <c r="M42" s="582">
        <f t="shared" si="0"/>
      </c>
      <c r="N42" s="582">
        <f t="shared" si="3"/>
      </c>
      <c r="O42" s="583" t="s">
        <v>598</v>
      </c>
      <c r="P42" s="579">
        <v>9</v>
      </c>
      <c r="Q42" s="584"/>
    </row>
    <row r="43">
      <c r="A43" s="578">
        <v>46000</v>
      </c>
      <c r="B43" s="579" t="s">
        <v>593</v>
      </c>
      <c r="C43" s="580" t="s">
        <v>604</v>
      </c>
      <c r="D43" s="579">
        <v>6</v>
      </c>
      <c r="E43" s="579">
        <v>85</v>
      </c>
      <c r="F43" s="579">
        <v>62</v>
      </c>
      <c r="G43" s="579">
        <v>45</v>
      </c>
      <c r="H43" s="579">
        <v>43</v>
      </c>
      <c r="I43" s="579">
        <v>8</v>
      </c>
      <c r="J43" s="581">
        <v>70344.4</v>
      </c>
      <c r="K43" s="581">
        <v>31501.46</v>
      </c>
      <c r="L43" s="582">
        <f t="shared" si="2"/>
      </c>
      <c r="M43" s="582">
        <f t="shared" si="0"/>
      </c>
      <c r="N43" s="582">
        <f t="shared" si="3"/>
      </c>
      <c r="O43" s="585"/>
      <c r="P43" s="585"/>
      <c r="Q43" s="586"/>
    </row>
    <row hidden="true" r="44">
      <c r="A44" s="578">
        <v>46000</v>
      </c>
      <c r="B44" s="579" t="s">
        <v>595</v>
      </c>
      <c r="C44" s="580" t="s">
        <v>605</v>
      </c>
      <c r="D44" s="579">
        <v>6</v>
      </c>
      <c r="E44" s="579">
        <v>79</v>
      </c>
      <c r="F44" s="579">
        <v>56</v>
      </c>
      <c r="G44" s="579">
        <v>41</v>
      </c>
      <c r="H44" s="579">
        <v>41</v>
      </c>
      <c r="I44" s="579">
        <v>8</v>
      </c>
      <c r="J44" s="581">
        <v>78257.6</v>
      </c>
      <c r="K44" s="581">
        <v>28435.139999999996</v>
      </c>
      <c r="L44" s="582">
        <f t="shared" si="2"/>
      </c>
      <c r="M44" s="582">
        <f t="shared" si="0"/>
      </c>
      <c r="N44" s="582">
        <f t="shared" si="3"/>
      </c>
      <c r="O44" s="583" t="s">
        <v>606</v>
      </c>
      <c r="P44" s="579">
        <v>9</v>
      </c>
      <c r="Q44" s="587"/>
    </row>
    <row hidden="true" r="45">
      <c r="A45" s="588">
        <v>46000</v>
      </c>
      <c r="B45" s="589"/>
      <c r="C45" s="589"/>
      <c r="D45" s="589">
        <f>SUM(D42:D44)</f>
      </c>
      <c r="E45" s="589">
        <f>SUM(E42:E44)</f>
      </c>
      <c r="F45" s="589">
        <f>SUM(F42:F44)</f>
      </c>
      <c r="G45" s="589">
        <f>SUM(G42:G44)</f>
      </c>
      <c r="H45" s="589">
        <f>SUM(H42:H44)</f>
      </c>
      <c r="I45" s="589">
        <f>SUM(I42:I44)</f>
      </c>
      <c r="J45" s="589">
        <f>SUM(J42:J44)</f>
      </c>
      <c r="K45" s="589">
        <f>SUM(K42:K44)</f>
      </c>
      <c r="L45" s="590">
        <f t="shared" si="2"/>
      </c>
      <c r="M45" s="590">
        <f t="shared" si="0"/>
      </c>
      <c r="N45" s="590">
        <f t="shared" si="3"/>
      </c>
      <c r="O45" s="591"/>
      <c r="P45" s="589">
        <f>P44+P42</f>
      </c>
      <c r="Q45" s="591"/>
    </row>
    <row r="46">
      <c r="A46" s="578">
        <v>46001</v>
      </c>
      <c r="B46" s="579" t="s">
        <v>593</v>
      </c>
      <c r="C46" s="580" t="s">
        <v>603</v>
      </c>
      <c r="D46" s="579">
        <v>6</v>
      </c>
      <c r="E46" s="579">
        <v>82</v>
      </c>
      <c r="F46" s="579">
        <v>60</v>
      </c>
      <c r="G46" s="579">
        <v>43</v>
      </c>
      <c r="H46" s="579">
        <v>45</v>
      </c>
      <c r="I46" s="579">
        <v>11</v>
      </c>
      <c r="J46" s="581">
        <v>79516.8</v>
      </c>
      <c r="K46" s="581">
        <v>35403.28</v>
      </c>
      <c r="L46" s="582">
        <f t="shared" si="2"/>
      </c>
      <c r="M46" s="582">
        <f t="shared" si="0"/>
      </c>
      <c r="N46" s="582">
        <f t="shared" si="3"/>
      </c>
      <c r="O46" s="583" t="s">
        <v>607</v>
      </c>
      <c r="P46" s="579">
        <v>9</v>
      </c>
      <c r="Q46" s="584"/>
    </row>
    <row hidden="true" r="47">
      <c r="A47" s="578">
        <v>46001</v>
      </c>
      <c r="B47" s="579" t="s">
        <v>595</v>
      </c>
      <c r="C47" s="580" t="s">
        <v>604</v>
      </c>
      <c r="D47" s="579">
        <v>6</v>
      </c>
      <c r="E47" s="579">
        <v>51</v>
      </c>
      <c r="F47" s="579">
        <v>38</v>
      </c>
      <c r="G47" s="579">
        <v>27</v>
      </c>
      <c r="H47" s="579">
        <v>33</v>
      </c>
      <c r="I47" s="579">
        <v>6</v>
      </c>
      <c r="J47" s="581">
        <v>28066.6</v>
      </c>
      <c r="K47" s="581">
        <v>21707.5</v>
      </c>
      <c r="L47" s="582">
        <f t="shared" si="2"/>
      </c>
      <c r="M47" s="582">
        <f t="shared" si="0"/>
      </c>
      <c r="N47" s="582">
        <f t="shared" si="3"/>
      </c>
      <c r="O47" s="585"/>
      <c r="P47" s="585"/>
      <c r="Q47" s="586"/>
    </row>
    <row hidden="true" r="48">
      <c r="A48" s="578">
        <v>46001</v>
      </c>
      <c r="B48" s="579" t="s">
        <v>588</v>
      </c>
      <c r="C48" s="580" t="s">
        <v>605</v>
      </c>
      <c r="D48" s="579">
        <v>6</v>
      </c>
      <c r="E48" s="579">
        <v>71</v>
      </c>
      <c r="F48" s="579">
        <v>53</v>
      </c>
      <c r="G48" s="579">
        <v>31</v>
      </c>
      <c r="H48" s="579">
        <v>46</v>
      </c>
      <c r="I48" s="579">
        <v>7</v>
      </c>
      <c r="J48" s="581">
        <v>41122.8</v>
      </c>
      <c r="K48" s="581">
        <v>22679.72</v>
      </c>
      <c r="L48" s="582">
        <f t="shared" si="2"/>
      </c>
      <c r="M48" s="582">
        <f t="shared" si="0"/>
      </c>
      <c r="N48" s="582">
        <f t="shared" si="3"/>
      </c>
      <c r="O48" s="583" t="s">
        <v>606</v>
      </c>
      <c r="P48" s="579">
        <v>9</v>
      </c>
      <c r="Q48" s="587"/>
    </row>
    <row hidden="true" r="49">
      <c r="A49" s="588">
        <v>46001</v>
      </c>
      <c r="B49" s="589"/>
      <c r="C49" s="589"/>
      <c r="D49" s="589">
        <f>SUM(D46:D48)</f>
      </c>
      <c r="E49" s="589">
        <f>SUM(E46:E48)</f>
      </c>
      <c r="F49" s="589">
        <f>SUM(F46:F48)</f>
      </c>
      <c r="G49" s="589">
        <f>SUM(G46:G48)</f>
      </c>
      <c r="H49" s="589">
        <f>SUM(H46:H48)</f>
      </c>
      <c r="I49" s="589">
        <f>SUM(I46:I48)</f>
      </c>
      <c r="J49" s="589">
        <f>SUM(J46:J48)</f>
      </c>
      <c r="K49" s="589">
        <f>SUM(K46:K48)</f>
      </c>
      <c r="L49" s="590">
        <f t="shared" si="2"/>
      </c>
      <c r="M49" s="590">
        <f t="shared" si="0"/>
      </c>
      <c r="N49" s="590">
        <f t="shared" si="3"/>
      </c>
      <c r="O49" s="591"/>
      <c r="P49" s="589">
        <f>P48+P46</f>
      </c>
      <c r="Q49" s="591"/>
    </row>
    <row r="50">
      <c r="A50" s="578">
        <v>46002</v>
      </c>
      <c r="B50" s="579" t="s">
        <v>593</v>
      </c>
      <c r="C50" s="580" t="s">
        <v>589</v>
      </c>
      <c r="D50" s="579">
        <v>5</v>
      </c>
      <c r="E50" s="579">
        <v>47</v>
      </c>
      <c r="F50" s="579">
        <v>35</v>
      </c>
      <c r="G50" s="579">
        <v>22</v>
      </c>
      <c r="H50" s="579">
        <v>26</v>
      </c>
      <c r="I50" s="579">
        <v>7</v>
      </c>
      <c r="J50" s="581">
        <v>41049.8</v>
      </c>
      <c r="K50" s="581">
        <v>21623.34</v>
      </c>
      <c r="L50" s="582">
        <f t="shared" si="2"/>
      </c>
      <c r="M50" s="582">
        <f t="shared" si="0"/>
      </c>
      <c r="N50" s="582">
        <f t="shared" si="3"/>
      </c>
      <c r="O50" s="583" t="s">
        <v>607</v>
      </c>
      <c r="P50" s="579">
        <v>10</v>
      </c>
      <c r="Q50" s="584"/>
    </row>
    <row hidden="true" r="51">
      <c r="A51" s="578">
        <v>46002</v>
      </c>
      <c r="B51" s="579" t="s">
        <v>588</v>
      </c>
      <c r="C51" s="580" t="s">
        <v>592</v>
      </c>
      <c r="D51" s="579">
        <v>5</v>
      </c>
      <c r="E51" s="579">
        <v>47</v>
      </c>
      <c r="F51" s="579">
        <v>39</v>
      </c>
      <c r="G51" s="579">
        <v>31</v>
      </c>
      <c r="H51" s="579">
        <v>26</v>
      </c>
      <c r="I51" s="579">
        <v>7</v>
      </c>
      <c r="J51" s="581">
        <v>44790.8</v>
      </c>
      <c r="K51" s="581">
        <v>23818.41</v>
      </c>
      <c r="L51" s="582">
        <f t="shared" si="2"/>
      </c>
      <c r="M51" s="582">
        <f t="shared" si="0"/>
      </c>
      <c r="N51" s="582">
        <f t="shared" si="3"/>
      </c>
      <c r="O51" s="585"/>
      <c r="P51" s="585"/>
      <c r="Q51" s="586"/>
    </row>
    <row hidden="true" r="52">
      <c r="A52" s="578">
        <v>46002</v>
      </c>
      <c r="B52" s="579" t="s">
        <v>599</v>
      </c>
      <c r="C52" s="580" t="s">
        <v>594</v>
      </c>
      <c r="D52" s="579">
        <v>5</v>
      </c>
      <c r="E52" s="579">
        <v>46</v>
      </c>
      <c r="F52" s="579">
        <v>30</v>
      </c>
      <c r="G52" s="579">
        <v>19</v>
      </c>
      <c r="H52" s="579">
        <v>23</v>
      </c>
      <c r="I52" s="579">
        <v>3</v>
      </c>
      <c r="J52" s="581">
        <v>26341.600000000002</v>
      </c>
      <c r="K52" s="581">
        <v>16629.059999999998</v>
      </c>
      <c r="L52" s="582">
        <f t="shared" si="2"/>
      </c>
      <c r="M52" s="582">
        <f t="shared" si="0"/>
      </c>
      <c r="N52" s="582">
        <f t="shared" si="3"/>
      </c>
      <c r="O52" s="583"/>
      <c r="P52" s="579"/>
      <c r="Q52" s="587"/>
    </row>
    <row hidden="true" r="53">
      <c r="A53" s="578">
        <v>46002</v>
      </c>
      <c r="B53" s="579" t="s">
        <v>595</v>
      </c>
      <c r="C53" s="580" t="s">
        <v>596</v>
      </c>
      <c r="D53" s="579">
        <v>5</v>
      </c>
      <c r="E53" s="579">
        <v>62</v>
      </c>
      <c r="F53" s="579">
        <v>36</v>
      </c>
      <c r="G53" s="579">
        <v>30</v>
      </c>
      <c r="H53" s="579">
        <v>28</v>
      </c>
      <c r="I53" s="579">
        <v>4</v>
      </c>
      <c r="J53" s="581">
        <v>36123.2</v>
      </c>
      <c r="K53" s="581">
        <v>18177.42</v>
      </c>
      <c r="L53" s="582">
        <f t="shared" si="2"/>
      </c>
      <c r="M53" s="582">
        <f t="shared" si="0"/>
      </c>
      <c r="N53" s="582">
        <f t="shared" si="3"/>
      </c>
      <c r="O53" s="585" t="s">
        <v>600</v>
      </c>
      <c r="P53" s="579">
        <v>10</v>
      </c>
      <c r="Q53" s="585"/>
    </row>
    <row hidden="true" r="54">
      <c r="A54" s="588">
        <v>46002</v>
      </c>
      <c r="B54" s="589"/>
      <c r="C54" s="589"/>
      <c r="D54" s="589">
        <f>SUM(D50:D53)</f>
      </c>
      <c r="E54" s="589">
        <f>SUM(E50:E53)</f>
      </c>
      <c r="F54" s="589">
        <f>SUM(F50:F53)</f>
      </c>
      <c r="G54" s="589">
        <f>SUM(G50:G53)</f>
      </c>
      <c r="H54" s="589">
        <f>SUM(H50:H53)</f>
      </c>
      <c r="I54" s="589">
        <f>SUM(I50:I53)</f>
      </c>
      <c r="J54" s="589">
        <f>SUM(J50:J53)</f>
      </c>
      <c r="K54" s="589">
        <f>SUM(K50:K53)</f>
      </c>
      <c r="L54" s="590">
        <f t="shared" si="2"/>
      </c>
      <c r="M54" s="590">
        <f t="shared" si="0"/>
      </c>
      <c r="N54" s="590">
        <f t="shared" si="3"/>
      </c>
      <c r="O54" s="591"/>
      <c r="P54" s="589">
        <f>P50+P51+P52+P53</f>
      </c>
      <c r="Q54" s="591"/>
    </row>
    <row hidden="true" r="55">
      <c r="A55" s="578">
        <v>46003</v>
      </c>
      <c r="B55" s="579" t="s">
        <v>588</v>
      </c>
      <c r="C55" s="580" t="s">
        <v>589</v>
      </c>
      <c r="D55" s="579">
        <v>5</v>
      </c>
      <c r="E55" s="579">
        <v>66</v>
      </c>
      <c r="F55" s="579">
        <v>49</v>
      </c>
      <c r="G55" s="579">
        <v>39</v>
      </c>
      <c r="H55" s="579">
        <v>40</v>
      </c>
      <c r="I55" s="579">
        <v>4</v>
      </c>
      <c r="J55" s="581">
        <v>53997</v>
      </c>
      <c r="K55" s="581">
        <v>27529.25</v>
      </c>
      <c r="L55" s="582">
        <f t="shared" si="2"/>
      </c>
      <c r="M55" s="582">
        <f t="shared" si="0"/>
      </c>
      <c r="N55" s="582">
        <f t="shared" si="3"/>
      </c>
      <c r="O55" s="583" t="s">
        <v>607</v>
      </c>
      <c r="P55" s="579">
        <v>10</v>
      </c>
      <c r="Q55" s="584"/>
    </row>
    <row hidden="true" r="56">
      <c r="A56" s="578">
        <v>46003</v>
      </c>
      <c r="B56" s="579" t="s">
        <v>591</v>
      </c>
      <c r="C56" s="580" t="s">
        <v>592</v>
      </c>
      <c r="D56" s="579">
        <v>5</v>
      </c>
      <c r="E56" s="579">
        <v>19</v>
      </c>
      <c r="F56" s="579">
        <v>9</v>
      </c>
      <c r="G56" s="579">
        <v>7</v>
      </c>
      <c r="H56" s="579">
        <v>6</v>
      </c>
      <c r="I56" s="579">
        <v>0</v>
      </c>
      <c r="J56" s="581">
        <v>8572.8</v>
      </c>
      <c r="K56" s="581">
        <v>17349.4</v>
      </c>
      <c r="L56" s="582">
        <f t="shared" si="2"/>
      </c>
      <c r="M56" s="582">
        <f t="shared" si="0"/>
      </c>
      <c r="N56" s="582">
        <f t="shared" si="3"/>
      </c>
      <c r="O56" s="585"/>
      <c r="P56" s="585"/>
      <c r="Q56" s="586"/>
    </row>
    <row r="57">
      <c r="A57" s="578">
        <v>46003</v>
      </c>
      <c r="B57" s="579" t="s">
        <v>593</v>
      </c>
      <c r="C57" s="580" t="s">
        <v>594</v>
      </c>
      <c r="D57" s="579">
        <v>5</v>
      </c>
      <c r="E57" s="579">
        <v>33</v>
      </c>
      <c r="F57" s="579">
        <v>22</v>
      </c>
      <c r="G57" s="579">
        <v>15</v>
      </c>
      <c r="H57" s="579">
        <v>17</v>
      </c>
      <c r="I57" s="579">
        <v>1</v>
      </c>
      <c r="J57" s="581">
        <v>22757.6</v>
      </c>
      <c r="K57" s="581">
        <v>11536.65</v>
      </c>
      <c r="L57" s="582">
        <f t="shared" si="2"/>
      </c>
      <c r="M57" s="582">
        <f t="shared" si="0"/>
      </c>
      <c r="N57" s="582">
        <f t="shared" si="3"/>
      </c>
      <c r="O57" s="583"/>
      <c r="P57" s="579"/>
      <c r="Q57" s="587"/>
    </row>
    <row hidden="true" r="58">
      <c r="A58" s="578">
        <v>46003</v>
      </c>
      <c r="B58" s="579" t="s">
        <v>595</v>
      </c>
      <c r="C58" s="580" t="s">
        <v>596</v>
      </c>
      <c r="D58" s="579">
        <v>5</v>
      </c>
      <c r="E58" s="579">
        <v>54</v>
      </c>
      <c r="F58" s="579">
        <v>38</v>
      </c>
      <c r="G58" s="579">
        <v>30</v>
      </c>
      <c r="H58" s="579">
        <v>29</v>
      </c>
      <c r="I58" s="579">
        <v>5</v>
      </c>
      <c r="J58" s="581">
        <v>47309.799999999996</v>
      </c>
      <c r="K58" s="581">
        <v>17392.29</v>
      </c>
      <c r="L58" s="582">
        <f t="shared" si="2"/>
      </c>
      <c r="M58" s="582">
        <f t="shared" si="0"/>
      </c>
      <c r="N58" s="582">
        <f t="shared" si="3"/>
      </c>
      <c r="O58" s="585" t="s">
        <v>608</v>
      </c>
      <c r="P58" s="579">
        <v>10</v>
      </c>
      <c r="Q58" s="585"/>
    </row>
    <row hidden="true" r="59">
      <c r="A59" s="588">
        <v>46003</v>
      </c>
      <c r="B59" s="589"/>
      <c r="C59" s="589"/>
      <c r="D59" s="589">
        <f>SUM(D55:D58)</f>
      </c>
      <c r="E59" s="589">
        <f>SUM(E55:E58)</f>
      </c>
      <c r="F59" s="589">
        <f>SUM(F55:F58)</f>
      </c>
      <c r="G59" s="589">
        <f>SUM(G55:G58)</f>
      </c>
      <c r="H59" s="589">
        <f>SUM(H55:H58)</f>
      </c>
      <c r="I59" s="589">
        <f>SUM(I55:I58)</f>
      </c>
      <c r="J59" s="589">
        <f>SUM(J55:J58)</f>
      </c>
      <c r="K59" s="589">
        <f>SUM(K55:K58)</f>
      </c>
      <c r="L59" s="590">
        <f t="shared" si="2"/>
      </c>
      <c r="M59" s="590">
        <f t="shared" si="0"/>
      </c>
      <c r="N59" s="590">
        <f t="shared" si="3"/>
      </c>
      <c r="O59" s="591"/>
      <c r="P59" s="589">
        <f>P55+P56+P57+P58</f>
      </c>
      <c r="Q59" s="591"/>
    </row>
    <row hidden="true" r="60">
      <c r="A60" s="578">
        <v>46004</v>
      </c>
      <c r="B60" s="579" t="s">
        <v>591</v>
      </c>
      <c r="C60" s="580" t="s">
        <v>589</v>
      </c>
      <c r="D60" s="579">
        <v>5</v>
      </c>
      <c r="E60" s="579">
        <v>69</v>
      </c>
      <c r="F60" s="579">
        <v>54</v>
      </c>
      <c r="G60" s="579">
        <v>42</v>
      </c>
      <c r="H60" s="579">
        <v>45</v>
      </c>
      <c r="I60" s="579">
        <v>7</v>
      </c>
      <c r="J60" s="581">
        <v>52889.6</v>
      </c>
      <c r="K60" s="581">
        <v>31397.73</v>
      </c>
      <c r="L60" s="582">
        <f t="shared" si="2"/>
      </c>
      <c r="M60" s="582">
        <f t="shared" si="0"/>
      </c>
      <c r="N60" s="582">
        <f t="shared" si="3"/>
      </c>
      <c r="O60" s="583" t="s">
        <v>609</v>
      </c>
      <c r="P60" s="579">
        <v>10</v>
      </c>
      <c r="Q60" s="584"/>
    </row>
    <row r="61">
      <c r="A61" s="578">
        <v>46004</v>
      </c>
      <c r="B61" s="579" t="s">
        <v>593</v>
      </c>
      <c r="C61" s="580" t="s">
        <v>592</v>
      </c>
      <c r="D61" s="579">
        <v>5</v>
      </c>
      <c r="E61" s="579">
        <v>70</v>
      </c>
      <c r="F61" s="579">
        <v>57</v>
      </c>
      <c r="G61" s="579">
        <v>42</v>
      </c>
      <c r="H61" s="579">
        <v>38</v>
      </c>
      <c r="I61" s="579">
        <v>9</v>
      </c>
      <c r="J61" s="581">
        <v>80294.00000000001</v>
      </c>
      <c r="K61" s="581">
        <v>23974.59</v>
      </c>
      <c r="L61" s="582">
        <f t="shared" si="2"/>
      </c>
      <c r="M61" s="582">
        <f t="shared" si="0"/>
      </c>
      <c r="N61" s="582">
        <f t="shared" si="3"/>
      </c>
      <c r="O61" s="585"/>
      <c r="P61" s="585"/>
      <c r="Q61" s="586"/>
    </row>
    <row hidden="true" r="62">
      <c r="A62" s="578">
        <v>46004</v>
      </c>
      <c r="B62" s="579" t="s">
        <v>595</v>
      </c>
      <c r="C62" s="580" t="s">
        <v>594</v>
      </c>
      <c r="D62" s="579">
        <v>5</v>
      </c>
      <c r="E62" s="579">
        <v>67</v>
      </c>
      <c r="F62" s="579">
        <v>50</v>
      </c>
      <c r="G62" s="579">
        <v>34</v>
      </c>
      <c r="H62" s="579">
        <v>33</v>
      </c>
      <c r="I62" s="579">
        <v>6</v>
      </c>
      <c r="J62" s="581">
        <v>58494</v>
      </c>
      <c r="K62" s="581">
        <v>29551.53</v>
      </c>
      <c r="L62" s="582">
        <f t="shared" si="2"/>
      </c>
      <c r="M62" s="582">
        <f t="shared" si="0"/>
      </c>
      <c r="N62" s="582">
        <f t="shared" si="3"/>
      </c>
      <c r="O62" s="583"/>
      <c r="P62" s="579"/>
      <c r="Q62" s="587"/>
    </row>
    <row hidden="true" r="63">
      <c r="A63" s="578">
        <v>46004</v>
      </c>
      <c r="B63" s="579" t="s">
        <v>599</v>
      </c>
      <c r="C63" s="580" t="s">
        <v>596</v>
      </c>
      <c r="D63" s="579">
        <v>5</v>
      </c>
      <c r="E63" s="579">
        <v>65</v>
      </c>
      <c r="F63" s="579">
        <v>41</v>
      </c>
      <c r="G63" s="579">
        <v>36</v>
      </c>
      <c r="H63" s="579">
        <v>32</v>
      </c>
      <c r="I63" s="579">
        <v>2</v>
      </c>
      <c r="J63" s="581">
        <v>45993.19999999999</v>
      </c>
      <c r="K63" s="581">
        <v>28118.28</v>
      </c>
      <c r="L63" s="582">
        <f t="shared" si="2"/>
      </c>
      <c r="M63" s="582">
        <f t="shared" si="0"/>
      </c>
      <c r="N63" s="582">
        <f t="shared" si="3"/>
      </c>
      <c r="O63" s="585" t="s">
        <v>608</v>
      </c>
      <c r="P63" s="579">
        <v>10</v>
      </c>
      <c r="Q63" s="585"/>
    </row>
    <row hidden="true" r="64">
      <c r="A64" s="588">
        <v>46004</v>
      </c>
      <c r="B64" s="589"/>
      <c r="C64" s="589"/>
      <c r="D64" s="589">
        <f>SUM(D60:D63)</f>
      </c>
      <c r="E64" s="589">
        <f>SUM(E60:E63)</f>
      </c>
      <c r="F64" s="589">
        <f>SUM(F60:F63)</f>
      </c>
      <c r="G64" s="589">
        <f>SUM(G60:G63)</f>
      </c>
      <c r="H64" s="589">
        <f>SUM(H60:H63)</f>
      </c>
      <c r="I64" s="589">
        <f>SUM(I60:I63)</f>
      </c>
      <c r="J64" s="589">
        <f>SUM(J60:J63)</f>
      </c>
      <c r="K64" s="589">
        <f>SUM(K60:K63)</f>
      </c>
      <c r="L64" s="590">
        <f t="shared" si="2"/>
      </c>
      <c r="M64" s="590">
        <f t="shared" si="0"/>
      </c>
      <c r="N64" s="590">
        <f t="shared" si="3"/>
      </c>
      <c r="O64" s="591"/>
      <c r="P64" s="589">
        <f>P60+P61+P62+P63</f>
      </c>
      <c r="Q64" s="591"/>
    </row>
    <row hidden="true" r="65">
      <c r="A65" s="578">
        <v>46005</v>
      </c>
      <c r="B65" s="579" t="s">
        <v>588</v>
      </c>
      <c r="C65" s="580" t="s">
        <v>589</v>
      </c>
      <c r="D65" s="579">
        <v>5</v>
      </c>
      <c r="E65" s="579">
        <v>54</v>
      </c>
      <c r="F65" s="579">
        <v>40</v>
      </c>
      <c r="G65" s="579">
        <v>31</v>
      </c>
      <c r="H65" s="579">
        <v>31</v>
      </c>
      <c r="I65" s="579">
        <v>4</v>
      </c>
      <c r="J65" s="581">
        <v>42787.8</v>
      </c>
      <c r="K65" s="581">
        <v>25293.47</v>
      </c>
      <c r="L65" s="582">
        <f t="shared" si="2"/>
      </c>
      <c r="M65" s="582">
        <f t="shared" si="0"/>
      </c>
      <c r="N65" s="582">
        <f t="shared" si="3"/>
      </c>
      <c r="O65" s="583" t="s">
        <v>590</v>
      </c>
      <c r="P65" s="579">
        <v>10</v>
      </c>
      <c r="Q65" s="584"/>
    </row>
    <row r="66">
      <c r="A66" s="578">
        <v>46005</v>
      </c>
      <c r="B66" s="579" t="s">
        <v>593</v>
      </c>
      <c r="C66" s="580" t="s">
        <v>592</v>
      </c>
      <c r="D66" s="579">
        <v>5</v>
      </c>
      <c r="E66" s="579">
        <v>44</v>
      </c>
      <c r="F66" s="579">
        <v>32</v>
      </c>
      <c r="G66" s="579">
        <v>25</v>
      </c>
      <c r="H66" s="579">
        <v>28</v>
      </c>
      <c r="I66" s="579">
        <v>2</v>
      </c>
      <c r="J66" s="581">
        <v>28771.999999999993</v>
      </c>
      <c r="K66" s="581">
        <v>22181.67</v>
      </c>
      <c r="L66" s="582">
        <f t="shared" si="2"/>
      </c>
      <c r="M66" s="582">
        <f t="shared" si="0"/>
      </c>
      <c r="N66" s="582">
        <f t="shared" si="3"/>
      </c>
      <c r="O66" s="585"/>
      <c r="P66" s="585"/>
      <c r="Q66" s="586"/>
    </row>
    <row hidden="true" r="67">
      <c r="A67" s="578">
        <v>46005</v>
      </c>
      <c r="B67" s="579" t="s">
        <v>595</v>
      </c>
      <c r="C67" s="580" t="s">
        <v>594</v>
      </c>
      <c r="D67" s="579">
        <v>4</v>
      </c>
      <c r="E67" s="579">
        <v>11</v>
      </c>
      <c r="F67" s="579">
        <v>7</v>
      </c>
      <c r="G67" s="579">
        <v>11</v>
      </c>
      <c r="H67" s="579">
        <v>4</v>
      </c>
      <c r="I67" s="579">
        <v>0</v>
      </c>
      <c r="J67" s="581">
        <v>12849.6</v>
      </c>
      <c r="K67" s="581">
        <v>9696.81</v>
      </c>
      <c r="L67" s="582">
        <f t="shared" si="2"/>
      </c>
      <c r="M67" s="582">
        <f t="shared" si="0"/>
      </c>
      <c r="N67" s="582">
        <f t="shared" si="3"/>
      </c>
      <c r="O67" s="583"/>
      <c r="P67" s="579"/>
      <c r="Q67" s="587"/>
    </row>
    <row hidden="true" r="68">
      <c r="A68" s="578">
        <v>46005</v>
      </c>
      <c r="B68" s="579" t="s">
        <v>599</v>
      </c>
      <c r="C68" s="580" t="s">
        <v>596</v>
      </c>
      <c r="D68" s="579">
        <v>5</v>
      </c>
      <c r="E68" s="579">
        <v>35</v>
      </c>
      <c r="F68" s="579">
        <v>28</v>
      </c>
      <c r="G68" s="579">
        <v>19</v>
      </c>
      <c r="H68" s="579">
        <v>24</v>
      </c>
      <c r="I68" s="579">
        <v>2</v>
      </c>
      <c r="J68" s="581">
        <v>31618.6</v>
      </c>
      <c r="K68" s="581">
        <v>13078.58</v>
      </c>
      <c r="L68" s="582">
        <f t="shared" si="2"/>
      </c>
      <c r="M68" s="582">
        <f t="shared" si="0"/>
      </c>
      <c r="N68" s="582">
        <f t="shared" si="3"/>
      </c>
      <c r="O68" s="585" t="s">
        <v>608</v>
      </c>
      <c r="P68" s="579">
        <v>9</v>
      </c>
      <c r="Q68" s="585"/>
    </row>
    <row hidden="true" r="69">
      <c r="A69" s="588">
        <v>46005</v>
      </c>
      <c r="B69" s="589"/>
      <c r="C69" s="589"/>
      <c r="D69" s="589">
        <f>SUM(D65:D68)</f>
      </c>
      <c r="E69" s="589">
        <f>SUM(E65:E68)</f>
      </c>
      <c r="F69" s="589">
        <f>SUM(F65:F68)</f>
      </c>
      <c r="G69" s="589">
        <f>SUM(G65:G68)</f>
      </c>
      <c r="H69" s="589">
        <f>SUM(H65:H68)</f>
      </c>
      <c r="I69" s="589">
        <f>SUM(I65:I68)</f>
      </c>
      <c r="J69" s="589">
        <f>SUM(J65:J68)</f>
      </c>
      <c r="K69" s="589">
        <f>SUM(K65:K68)</f>
      </c>
      <c r="L69" s="590">
        <f t="shared" si="2"/>
      </c>
      <c r="M69" s="590">
        <f t="shared" si="0"/>
      </c>
      <c r="N69" s="590">
        <f t="shared" si="3"/>
      </c>
      <c r="O69" s="591"/>
      <c r="P69" s="589">
        <f>P65+P66+P67+P68</f>
      </c>
      <c r="Q69" s="591"/>
    </row>
    <row hidden="true" r="70">
      <c r="A70" s="578">
        <v>46006</v>
      </c>
      <c r="B70" s="579" t="s">
        <v>591</v>
      </c>
      <c r="C70" s="580" t="s">
        <v>589</v>
      </c>
      <c r="D70" s="579">
        <v>5</v>
      </c>
      <c r="E70" s="579">
        <v>34</v>
      </c>
      <c r="F70" s="579">
        <v>27</v>
      </c>
      <c r="G70" s="579">
        <v>23</v>
      </c>
      <c r="H70" s="579">
        <v>21</v>
      </c>
      <c r="I70" s="579">
        <v>3</v>
      </c>
      <c r="J70" s="581">
        <v>28516.399999999998</v>
      </c>
      <c r="K70" s="581">
        <v>17224.829999999998</v>
      </c>
      <c r="L70" s="582">
        <f t="shared" si="2"/>
      </c>
      <c r="M70" s="582">
        <f t="shared" si="0"/>
      </c>
      <c r="N70" s="582">
        <f t="shared" si="3"/>
      </c>
      <c r="O70" s="583" t="s">
        <v>590</v>
      </c>
      <c r="P70" s="579">
        <v>10</v>
      </c>
      <c r="Q70" s="584"/>
    </row>
    <row hidden="true" r="71">
      <c r="A71" s="578">
        <v>46006</v>
      </c>
      <c r="B71" s="579" t="s">
        <v>588</v>
      </c>
      <c r="C71" s="580" t="s">
        <v>592</v>
      </c>
      <c r="D71" s="579">
        <v>5</v>
      </c>
      <c r="E71" s="579">
        <v>60</v>
      </c>
      <c r="F71" s="579">
        <v>48</v>
      </c>
      <c r="G71" s="579">
        <v>36</v>
      </c>
      <c r="H71" s="579">
        <v>38</v>
      </c>
      <c r="I71" s="579">
        <v>5</v>
      </c>
      <c r="J71" s="581">
        <v>57194.399999999994</v>
      </c>
      <c r="K71" s="581">
        <v>25588.969999999998</v>
      </c>
      <c r="L71" s="582">
        <f t="shared" si="2"/>
      </c>
      <c r="M71" s="582">
        <f t="shared" si="0"/>
      </c>
      <c r="N71" s="582">
        <f t="shared" si="3"/>
      </c>
      <c r="O71" s="585"/>
      <c r="P71" s="585"/>
      <c r="Q71" s="586"/>
    </row>
    <row hidden="true" r="72">
      <c r="A72" s="578">
        <v>46006</v>
      </c>
      <c r="B72" s="579" t="s">
        <v>599</v>
      </c>
      <c r="C72" s="580" t="s">
        <v>594</v>
      </c>
      <c r="D72" s="579">
        <v>5</v>
      </c>
      <c r="E72" s="579">
        <v>30</v>
      </c>
      <c r="F72" s="579">
        <v>22</v>
      </c>
      <c r="G72" s="579">
        <v>11</v>
      </c>
      <c r="H72" s="579">
        <v>16</v>
      </c>
      <c r="I72" s="579">
        <v>3</v>
      </c>
      <c r="J72" s="581">
        <v>27038.199999999997</v>
      </c>
      <c r="K72" s="581">
        <v>15505.15</v>
      </c>
      <c r="L72" s="582">
        <f t="shared" si="2"/>
      </c>
      <c r="M72" s="582">
        <f t="shared" si="0"/>
      </c>
      <c r="N72" s="582">
        <f t="shared" si="3"/>
      </c>
      <c r="O72" s="583"/>
      <c r="P72" s="579"/>
      <c r="Q72" s="587"/>
    </row>
    <row r="73">
      <c r="A73" s="578">
        <v>46006</v>
      </c>
      <c r="B73" s="579" t="s">
        <v>593</v>
      </c>
      <c r="C73" s="580" t="s">
        <v>596</v>
      </c>
      <c r="D73" s="579">
        <v>5</v>
      </c>
      <c r="E73" s="579">
        <v>70</v>
      </c>
      <c r="F73" s="579">
        <v>46</v>
      </c>
      <c r="G73" s="579">
        <v>36</v>
      </c>
      <c r="H73" s="579">
        <v>33</v>
      </c>
      <c r="I73" s="579">
        <v>7</v>
      </c>
      <c r="J73" s="581">
        <v>63780.40000000001</v>
      </c>
      <c r="K73" s="581">
        <v>22375.25</v>
      </c>
      <c r="L73" s="582">
        <f t="shared" si="2"/>
      </c>
      <c r="M73" s="582">
        <f t="shared" si="0"/>
      </c>
      <c r="N73" s="582">
        <f t="shared" si="3"/>
      </c>
      <c r="O73" s="585" t="s">
        <v>608</v>
      </c>
      <c r="P73" s="579">
        <v>10</v>
      </c>
      <c r="Q73" s="585"/>
    </row>
    <row hidden="true" r="74">
      <c r="A74" s="588">
        <v>46006</v>
      </c>
      <c r="B74" s="589"/>
      <c r="C74" s="589"/>
      <c r="D74" s="589">
        <f>SUM(D70:D73)</f>
      </c>
      <c r="E74" s="589">
        <f>SUM(E70:E73)</f>
      </c>
      <c r="F74" s="589">
        <f>SUM(F70:F73)</f>
      </c>
      <c r="G74" s="589">
        <f>SUM(G70:G73)</f>
      </c>
      <c r="H74" s="589">
        <f>SUM(H70:H73)</f>
      </c>
      <c r="I74" s="589">
        <f>SUM(I70:I73)</f>
      </c>
      <c r="J74" s="589">
        <f>SUM(J70:J73)</f>
      </c>
      <c r="K74" s="589">
        <f>SUM(K70:K73)</f>
      </c>
      <c r="L74" s="590">
        <f t="shared" si="2"/>
      </c>
      <c r="M74" s="590">
        <f t="shared" si="0"/>
      </c>
      <c r="N74" s="590">
        <f t="shared" si="3"/>
      </c>
      <c r="O74" s="591"/>
      <c r="P74" s="589">
        <f>P70+P71+P72+P73</f>
      </c>
      <c r="Q74" s="591"/>
    </row>
    <row hidden="true" r="75">
      <c r="A75" s="578">
        <v>46007</v>
      </c>
      <c r="B75" s="579" t="s">
        <v>588</v>
      </c>
      <c r="C75" s="580" t="s">
        <v>589</v>
      </c>
      <c r="D75" s="579">
        <v>5</v>
      </c>
      <c r="E75" s="579">
        <v>48</v>
      </c>
      <c r="F75" s="579">
        <v>31</v>
      </c>
      <c r="G75" s="579">
        <v>23</v>
      </c>
      <c r="H75" s="579">
        <v>25</v>
      </c>
      <c r="I75" s="579">
        <v>5</v>
      </c>
      <c r="J75" s="581">
        <v>36906.2</v>
      </c>
      <c r="K75" s="581">
        <v>21893.68</v>
      </c>
      <c r="L75" s="582">
        <f t="shared" si="2"/>
      </c>
      <c r="M75" s="582">
        <f t="shared" si="0"/>
      </c>
      <c r="N75" s="582">
        <f t="shared" si="3"/>
      </c>
      <c r="O75" s="583" t="s">
        <v>590</v>
      </c>
      <c r="P75" s="579">
        <v>10</v>
      </c>
      <c r="Q75" s="584"/>
    </row>
    <row hidden="true" r="76">
      <c r="A76" s="578">
        <v>46007</v>
      </c>
      <c r="B76" s="579" t="s">
        <v>591</v>
      </c>
      <c r="C76" s="580" t="s">
        <v>592</v>
      </c>
      <c r="D76" s="579">
        <v>5</v>
      </c>
      <c r="E76" s="579">
        <v>25</v>
      </c>
      <c r="F76" s="579">
        <v>16</v>
      </c>
      <c r="G76" s="579">
        <v>11</v>
      </c>
      <c r="H76" s="579">
        <v>13</v>
      </c>
      <c r="I76" s="579">
        <v>2</v>
      </c>
      <c r="J76" s="581">
        <v>17611.6</v>
      </c>
      <c r="K76" s="581">
        <v>17424.399999999998</v>
      </c>
      <c r="L76" s="582">
        <f t="shared" si="2"/>
      </c>
      <c r="M76" s="582">
        <f t="shared" si="0"/>
      </c>
      <c r="N76" s="582">
        <f t="shared" si="3"/>
      </c>
      <c r="O76" s="585"/>
      <c r="P76" s="585"/>
      <c r="Q76" s="586"/>
    </row>
    <row hidden="true" r="77">
      <c r="A77" s="578">
        <v>46007</v>
      </c>
      <c r="B77" s="579" t="s">
        <v>595</v>
      </c>
      <c r="C77" s="580" t="s">
        <v>594</v>
      </c>
      <c r="D77" s="579">
        <v>5</v>
      </c>
      <c r="E77" s="579">
        <v>28</v>
      </c>
      <c r="F77" s="579">
        <v>18</v>
      </c>
      <c r="G77" s="579">
        <v>9</v>
      </c>
      <c r="H77" s="579">
        <v>13</v>
      </c>
      <c r="I77" s="579">
        <v>3</v>
      </c>
      <c r="J77" s="581">
        <v>29248.4</v>
      </c>
      <c r="K77" s="581">
        <v>13487.53</v>
      </c>
      <c r="L77" s="582">
        <f t="shared" si="2"/>
      </c>
      <c r="M77" s="582">
        <f t="shared" si="0"/>
      </c>
      <c r="N77" s="582">
        <f t="shared" si="3"/>
      </c>
      <c r="O77" s="583"/>
      <c r="P77" s="579"/>
      <c r="Q77" s="587"/>
    </row>
    <row r="78">
      <c r="A78" s="578">
        <v>46007</v>
      </c>
      <c r="B78" s="579" t="s">
        <v>593</v>
      </c>
      <c r="C78" s="580" t="s">
        <v>596</v>
      </c>
      <c r="D78" s="579">
        <v>5</v>
      </c>
      <c r="E78" s="579">
        <v>63</v>
      </c>
      <c r="F78" s="579">
        <v>47</v>
      </c>
      <c r="G78" s="579">
        <v>35</v>
      </c>
      <c r="H78" s="579">
        <v>41</v>
      </c>
      <c r="I78" s="579">
        <v>7</v>
      </c>
      <c r="J78" s="581">
        <v>54511.8</v>
      </c>
      <c r="K78" s="581">
        <v>16533.43</v>
      </c>
      <c r="L78" s="582">
        <f t="shared" si="2"/>
      </c>
      <c r="M78" s="582">
        <f t="shared" si="0"/>
      </c>
      <c r="N78" s="582">
        <f t="shared" si="3"/>
      </c>
      <c r="O78" s="585" t="s">
        <v>608</v>
      </c>
      <c r="P78" s="579">
        <v>10</v>
      </c>
      <c r="Q78" s="585"/>
    </row>
    <row hidden="true" r="79">
      <c r="A79" s="588">
        <v>46007</v>
      </c>
      <c r="B79" s="589"/>
      <c r="C79" s="589"/>
      <c r="D79" s="589">
        <f>SUM(D75:D78)</f>
      </c>
      <c r="E79" s="589">
        <f>SUM(E75:E78)</f>
      </c>
      <c r="F79" s="589">
        <f>SUM(F75:F78)</f>
      </c>
      <c r="G79" s="589">
        <f>SUM(G75:G78)</f>
      </c>
      <c r="H79" s="589">
        <f>SUM(H75:H78)</f>
      </c>
      <c r="I79" s="589">
        <f>SUM(I75:I78)</f>
      </c>
      <c r="J79" s="589">
        <f>SUM(J75:J78)</f>
      </c>
      <c r="K79" s="589">
        <f>SUM(K75:K78)</f>
      </c>
      <c r="L79" s="590">
        <f t="shared" si="2"/>
      </c>
      <c r="M79" s="590">
        <f t="shared" si="0"/>
      </c>
      <c r="N79" s="590">
        <f t="shared" si="3"/>
      </c>
      <c r="O79" s="591"/>
      <c r="P79" s="589">
        <f>P75+P76+P77+P78</f>
      </c>
      <c r="Q79" s="591"/>
    </row>
    <row hidden="true" r="80">
      <c r="A80" s="578">
        <v>46008</v>
      </c>
      <c r="B80" s="579" t="s">
        <v>591</v>
      </c>
      <c r="C80" s="580" t="s">
        <v>589</v>
      </c>
      <c r="D80" s="579">
        <v>5</v>
      </c>
      <c r="E80" s="579">
        <v>59</v>
      </c>
      <c r="F80" s="579">
        <v>46</v>
      </c>
      <c r="G80" s="579">
        <v>29</v>
      </c>
      <c r="H80" s="579">
        <v>35</v>
      </c>
      <c r="I80" s="579">
        <v>6</v>
      </c>
      <c r="J80" s="581">
        <v>50294.8</v>
      </c>
      <c r="K80" s="581">
        <v>26073.39</v>
      </c>
      <c r="L80" s="582">
        <f t="shared" si="2"/>
      </c>
      <c r="M80" s="582">
        <f t="shared" si="0"/>
      </c>
      <c r="N80" s="582">
        <f t="shared" si="3"/>
      </c>
      <c r="O80" s="583" t="s">
        <v>590</v>
      </c>
      <c r="P80" s="579">
        <v>10</v>
      </c>
      <c r="Q80" s="584"/>
    </row>
    <row hidden="true" r="81">
      <c r="A81" s="578">
        <v>46008</v>
      </c>
      <c r="B81" s="579" t="s">
        <v>599</v>
      </c>
      <c r="C81" s="580" t="s">
        <v>592</v>
      </c>
      <c r="D81" s="579">
        <v>5</v>
      </c>
      <c r="E81" s="579">
        <v>72</v>
      </c>
      <c r="F81" s="579">
        <v>55</v>
      </c>
      <c r="G81" s="579">
        <v>47</v>
      </c>
      <c r="H81" s="579">
        <v>43</v>
      </c>
      <c r="I81" s="579">
        <v>5</v>
      </c>
      <c r="J81" s="581">
        <v>58761.2</v>
      </c>
      <c r="K81" s="581">
        <v>29479.24</v>
      </c>
      <c r="L81" s="582">
        <f t="shared" si="2"/>
      </c>
      <c r="M81" s="582">
        <f t="shared" si="0"/>
      </c>
      <c r="N81" s="582">
        <f t="shared" si="3"/>
      </c>
      <c r="O81" s="585"/>
      <c r="P81" s="585"/>
      <c r="Q81" s="586"/>
    </row>
    <row r="82">
      <c r="A82" s="578">
        <v>46008</v>
      </c>
      <c r="B82" s="579" t="s">
        <v>593</v>
      </c>
      <c r="C82" s="580" t="s">
        <v>594</v>
      </c>
      <c r="D82" s="579">
        <v>5</v>
      </c>
      <c r="E82" s="579">
        <v>125</v>
      </c>
      <c r="F82" s="579">
        <v>92</v>
      </c>
      <c r="G82" s="579">
        <v>65</v>
      </c>
      <c r="H82" s="579">
        <v>72</v>
      </c>
      <c r="I82" s="579">
        <v>13</v>
      </c>
      <c r="J82" s="581">
        <v>93264.8</v>
      </c>
      <c r="K82" s="581">
        <v>46732.130000000005</v>
      </c>
      <c r="L82" s="582">
        <f t="shared" si="2"/>
      </c>
      <c r="M82" s="582">
        <f t="shared" si="0"/>
      </c>
      <c r="N82" s="582">
        <f t="shared" si="3"/>
      </c>
      <c r="O82" s="583" t="s">
        <v>610</v>
      </c>
      <c r="P82" s="579">
        <v>8</v>
      </c>
      <c r="Q82" s="587"/>
    </row>
    <row hidden="true" r="83">
      <c r="A83" s="578">
        <v>46008</v>
      </c>
      <c r="B83" s="579" t="s">
        <v>595</v>
      </c>
      <c r="C83" s="580" t="s">
        <v>596</v>
      </c>
      <c r="D83" s="579">
        <v>5</v>
      </c>
      <c r="E83" s="579">
        <v>75</v>
      </c>
      <c r="F83" s="579">
        <v>62</v>
      </c>
      <c r="G83" s="579">
        <v>43</v>
      </c>
      <c r="H83" s="579">
        <v>43</v>
      </c>
      <c r="I83" s="579">
        <v>6</v>
      </c>
      <c r="J83" s="581">
        <v>68036.40000000001</v>
      </c>
      <c r="K83" s="581">
        <v>35006.49</v>
      </c>
      <c r="L83" s="582">
        <f t="shared" si="2"/>
      </c>
      <c r="M83" s="582">
        <f t="shared" si="0"/>
      </c>
      <c r="N83" s="582">
        <f t="shared" si="3"/>
      </c>
      <c r="O83" s="585" t="s">
        <v>597</v>
      </c>
      <c r="P83" s="579">
        <v>2</v>
      </c>
      <c r="Q83" s="585"/>
    </row>
    <row hidden="true" r="84">
      <c r="A84" s="588">
        <v>46008</v>
      </c>
      <c r="B84" s="589"/>
      <c r="C84" s="589"/>
      <c r="D84" s="589">
        <f>SUM(D80:D83)</f>
      </c>
      <c r="E84" s="589">
        <f>SUM(E80:E83)</f>
      </c>
      <c r="F84" s="589">
        <f>SUM(F80:F83)</f>
      </c>
      <c r="G84" s="589">
        <f>SUM(G80:G83)</f>
      </c>
      <c r="H84" s="589">
        <f>SUM(H80:H83)</f>
      </c>
      <c r="I84" s="589">
        <f>SUM(I80:I83)</f>
      </c>
      <c r="J84" s="589">
        <f>SUM(J80:J83)</f>
      </c>
      <c r="K84" s="589">
        <f>SUM(K80:K83)</f>
      </c>
      <c r="L84" s="590">
        <f t="shared" si="2"/>
      </c>
      <c r="M84" s="590">
        <f t="shared" si="0"/>
      </c>
      <c r="N84" s="590">
        <f t="shared" si="3"/>
      </c>
      <c r="O84" s="591"/>
      <c r="P84" s="589">
        <f>P80+P81+P82+P83</f>
      </c>
      <c r="Q84" s="591"/>
    </row>
    <row hidden="true" r="85">
      <c r="A85" s="578">
        <v>46009</v>
      </c>
      <c r="B85" s="579" t="s">
        <v>599</v>
      </c>
      <c r="C85" s="580" t="s">
        <v>589</v>
      </c>
      <c r="D85" s="579">
        <v>5</v>
      </c>
      <c r="E85" s="579">
        <v>47</v>
      </c>
      <c r="F85" s="579">
        <v>29</v>
      </c>
      <c r="G85" s="579">
        <v>24</v>
      </c>
      <c r="H85" s="579">
        <v>25</v>
      </c>
      <c r="I85" s="579">
        <v>2</v>
      </c>
      <c r="J85" s="581">
        <v>25295.399999999998</v>
      </c>
      <c r="K85" s="581">
        <v>24611.63</v>
      </c>
      <c r="L85" s="582">
        <f t="shared" si="2"/>
      </c>
      <c r="M85" s="582">
        <f t="shared" si="0"/>
      </c>
      <c r="N85" s="582">
        <f t="shared" si="3"/>
      </c>
      <c r="O85" s="583" t="s">
        <v>590</v>
      </c>
      <c r="P85" s="579">
        <v>10</v>
      </c>
      <c r="Q85" s="584"/>
    </row>
    <row r="86">
      <c r="A86" s="578">
        <v>46009</v>
      </c>
      <c r="B86" s="579" t="s">
        <v>593</v>
      </c>
      <c r="C86" s="580" t="s">
        <v>592</v>
      </c>
      <c r="D86" s="579">
        <v>5</v>
      </c>
      <c r="E86" s="579">
        <v>61</v>
      </c>
      <c r="F86" s="579">
        <v>41</v>
      </c>
      <c r="G86" s="579">
        <v>34</v>
      </c>
      <c r="H86" s="579">
        <v>26</v>
      </c>
      <c r="I86" s="579">
        <v>3</v>
      </c>
      <c r="J86" s="581">
        <v>51125.6</v>
      </c>
      <c r="K86" s="581">
        <v>22084.239999999998</v>
      </c>
      <c r="L86" s="582">
        <f t="shared" si="2"/>
      </c>
      <c r="M86" s="582">
        <f t="shared" si="0"/>
      </c>
      <c r="N86" s="582">
        <f t="shared" si="3"/>
      </c>
      <c r="O86" s="585"/>
      <c r="P86" s="585"/>
      <c r="Q86" s="586"/>
    </row>
    <row hidden="true" r="87">
      <c r="A87" s="578">
        <v>46009</v>
      </c>
      <c r="B87" s="579" t="s">
        <v>588</v>
      </c>
      <c r="C87" s="580" t="s">
        <v>594</v>
      </c>
      <c r="D87" s="579">
        <v>5</v>
      </c>
      <c r="E87" s="579">
        <v>72</v>
      </c>
      <c r="F87" s="579">
        <v>56</v>
      </c>
      <c r="G87" s="579">
        <v>37</v>
      </c>
      <c r="H87" s="579">
        <v>35</v>
      </c>
      <c r="I87" s="579">
        <v>7</v>
      </c>
      <c r="J87" s="581">
        <v>62699.59999999999</v>
      </c>
      <c r="K87" s="581">
        <v>28676.25</v>
      </c>
      <c r="L87" s="582">
        <f t="shared" si="2"/>
      </c>
      <c r="M87" s="582">
        <f t="shared" si="0"/>
      </c>
      <c r="N87" s="582">
        <f t="shared" si="3"/>
      </c>
      <c r="O87" s="583"/>
      <c r="P87" s="579"/>
      <c r="Q87" s="587"/>
    </row>
    <row hidden="true" r="88">
      <c r="A88" s="578">
        <v>46009</v>
      </c>
      <c r="B88" s="579" t="s">
        <v>595</v>
      </c>
      <c r="C88" s="580" t="s">
        <v>596</v>
      </c>
      <c r="D88" s="579">
        <v>5</v>
      </c>
      <c r="E88" s="579">
        <v>54</v>
      </c>
      <c r="F88" s="579">
        <v>41</v>
      </c>
      <c r="G88" s="579">
        <v>37</v>
      </c>
      <c r="H88" s="579">
        <v>32</v>
      </c>
      <c r="I88" s="579">
        <v>2</v>
      </c>
      <c r="J88" s="581">
        <v>37714.2</v>
      </c>
      <c r="K88" s="581">
        <v>28557.850000000002</v>
      </c>
      <c r="L88" s="582">
        <f t="shared" si="2"/>
      </c>
      <c r="M88" s="582">
        <f t="shared" si="0"/>
      </c>
      <c r="N88" s="582">
        <f t="shared" si="3"/>
      </c>
      <c r="O88" s="585" t="s">
        <v>608</v>
      </c>
      <c r="P88" s="579">
        <v>10</v>
      </c>
      <c r="Q88" s="585"/>
    </row>
    <row hidden="true" r="89">
      <c r="A89" s="588">
        <v>46009</v>
      </c>
      <c r="B89" s="589"/>
      <c r="C89" s="589"/>
      <c r="D89" s="589">
        <f>SUM(D85:D88)</f>
      </c>
      <c r="E89" s="589">
        <f>SUM(E85:E88)</f>
      </c>
      <c r="F89" s="589">
        <f>SUM(F85:F88)</f>
      </c>
      <c r="G89" s="589">
        <f>SUM(G85:G88)</f>
      </c>
      <c r="H89" s="589">
        <f>SUM(H85:H88)</f>
      </c>
      <c r="I89" s="589">
        <f>SUM(I85:I88)</f>
      </c>
      <c r="J89" s="589">
        <f>SUM(J85:J88)</f>
      </c>
      <c r="K89" s="589">
        <f>SUM(K85:K88)</f>
      </c>
      <c r="L89" s="590">
        <f t="shared" si="2"/>
      </c>
      <c r="M89" s="590">
        <f t="shared" si="0"/>
      </c>
      <c r="N89" s="590">
        <f t="shared" si="3"/>
      </c>
      <c r="O89" s="591"/>
      <c r="P89" s="589">
        <f>P85+P86+P87+P88</f>
      </c>
      <c r="Q89" s="591"/>
    </row>
    <row hidden="true" r="90">
      <c r="A90" s="578">
        <v>46010</v>
      </c>
      <c r="B90" s="579" t="s">
        <v>588</v>
      </c>
      <c r="C90" s="580" t="s">
        <v>589</v>
      </c>
      <c r="D90" s="579">
        <v>5</v>
      </c>
      <c r="E90" s="579">
        <v>57</v>
      </c>
      <c r="F90" s="579">
        <v>35</v>
      </c>
      <c r="G90" s="579">
        <v>26</v>
      </c>
      <c r="H90" s="579">
        <v>26</v>
      </c>
      <c r="I90" s="579">
        <v>2</v>
      </c>
      <c r="J90" s="581">
        <v>48342</v>
      </c>
      <c r="K90" s="581">
        <v>24302.61</v>
      </c>
      <c r="L90" s="582">
        <f t="shared" si="2"/>
      </c>
      <c r="M90" s="582">
        <f t="shared" si="0"/>
      </c>
      <c r="N90" s="582">
        <f t="shared" si="3"/>
      </c>
      <c r="O90" s="583" t="s">
        <v>590</v>
      </c>
      <c r="P90" s="579">
        <v>10</v>
      </c>
      <c r="Q90" s="584"/>
    </row>
    <row hidden="true" r="91">
      <c r="A91" s="578">
        <v>46010</v>
      </c>
      <c r="B91" s="579" t="s">
        <v>591</v>
      </c>
      <c r="C91" s="580" t="s">
        <v>592</v>
      </c>
      <c r="D91" s="579">
        <v>5</v>
      </c>
      <c r="E91" s="579">
        <v>43</v>
      </c>
      <c r="F91" s="579">
        <v>32</v>
      </c>
      <c r="G91" s="579">
        <v>28</v>
      </c>
      <c r="H91" s="579">
        <v>20</v>
      </c>
      <c r="I91" s="579">
        <v>3</v>
      </c>
      <c r="J91" s="581">
        <v>36531.399999999994</v>
      </c>
      <c r="K91" s="581">
        <v>20999.070000000003</v>
      </c>
      <c r="L91" s="582">
        <f t="shared" si="2"/>
      </c>
      <c r="M91" s="582">
        <f t="shared" si="0"/>
      </c>
      <c r="N91" s="582">
        <f t="shared" si="3"/>
      </c>
      <c r="O91" s="585"/>
      <c r="P91" s="585"/>
      <c r="Q91" s="586"/>
    </row>
    <row hidden="true" r="92">
      <c r="A92" s="578">
        <v>46010</v>
      </c>
      <c r="B92" s="579" t="s">
        <v>599</v>
      </c>
      <c r="C92" s="580" t="s">
        <v>594</v>
      </c>
      <c r="D92" s="579">
        <v>5</v>
      </c>
      <c r="E92" s="579">
        <v>50</v>
      </c>
      <c r="F92" s="579">
        <v>35</v>
      </c>
      <c r="G92" s="579">
        <v>32</v>
      </c>
      <c r="H92" s="579">
        <v>26</v>
      </c>
      <c r="I92" s="579">
        <v>2</v>
      </c>
      <c r="J92" s="581">
        <v>33224</v>
      </c>
      <c r="K92" s="581">
        <v>20894.09</v>
      </c>
      <c r="L92" s="582">
        <f t="shared" si="2"/>
      </c>
      <c r="M92" s="582">
        <f t="shared" si="0"/>
      </c>
      <c r="N92" s="582">
        <f t="shared" si="3"/>
      </c>
      <c r="O92" s="583"/>
      <c r="P92" s="579"/>
      <c r="Q92" s="587"/>
    </row>
    <row hidden="true" r="93">
      <c r="A93" s="578">
        <v>46010</v>
      </c>
      <c r="B93" s="579" t="s">
        <v>595</v>
      </c>
      <c r="C93" s="580" t="s">
        <v>596</v>
      </c>
      <c r="D93" s="579">
        <v>5</v>
      </c>
      <c r="E93" s="579">
        <v>52</v>
      </c>
      <c r="F93" s="579">
        <v>36</v>
      </c>
      <c r="G93" s="579">
        <v>25</v>
      </c>
      <c r="H93" s="579">
        <v>25</v>
      </c>
      <c r="I93" s="579">
        <v>6</v>
      </c>
      <c r="J93" s="581">
        <v>43440.4</v>
      </c>
      <c r="K93" s="581">
        <v>21295.09</v>
      </c>
      <c r="L93" s="582">
        <f t="shared" si="2"/>
      </c>
      <c r="M93" s="582">
        <f t="shared" si="0"/>
      </c>
      <c r="N93" s="582">
        <f t="shared" si="3"/>
      </c>
      <c r="O93" s="585" t="s">
        <v>608</v>
      </c>
      <c r="P93" s="579">
        <v>10</v>
      </c>
      <c r="Q93" s="585"/>
    </row>
    <row hidden="true" r="94">
      <c r="A94" s="588">
        <v>46010</v>
      </c>
      <c r="B94" s="589"/>
      <c r="C94" s="589"/>
      <c r="D94" s="589">
        <f>SUM(D90:D93)</f>
      </c>
      <c r="E94" s="589">
        <f>SUM(E90:E93)</f>
      </c>
      <c r="F94" s="589">
        <f>SUM(F90:F93)</f>
      </c>
      <c r="G94" s="589">
        <f>SUM(G90:G93)</f>
      </c>
      <c r="H94" s="589">
        <f>SUM(H90:H93)</f>
      </c>
      <c r="I94" s="589">
        <f>SUM(I90:I93)</f>
      </c>
      <c r="J94" s="589">
        <f>SUM(J90:J93)</f>
      </c>
      <c r="K94" s="589">
        <f>SUM(K90:K93)</f>
      </c>
      <c r="L94" s="590">
        <f t="shared" si="2"/>
      </c>
      <c r="M94" s="590">
        <f t="shared" si="0"/>
      </c>
      <c r="N94" s="590">
        <f t="shared" si="3"/>
      </c>
      <c r="O94" s="591"/>
      <c r="P94" s="589">
        <f>P90+P91+P92+P93</f>
      </c>
      <c r="Q94" s="591"/>
    </row>
    <row hidden="true" r="95">
      <c r="A95" s="578">
        <v>46011</v>
      </c>
      <c r="B95" s="579" t="s">
        <v>588</v>
      </c>
      <c r="C95" s="580" t="s">
        <v>589</v>
      </c>
      <c r="D95" s="579">
        <v>5</v>
      </c>
      <c r="E95" s="579">
        <v>71</v>
      </c>
      <c r="F95" s="579">
        <v>60</v>
      </c>
      <c r="G95" s="579">
        <v>39</v>
      </c>
      <c r="H95" s="579">
        <v>48</v>
      </c>
      <c r="I95" s="579">
        <v>9</v>
      </c>
      <c r="J95" s="581">
        <v>57695.4</v>
      </c>
      <c r="K95" s="581">
        <v>33311.54</v>
      </c>
      <c r="L95" s="582">
        <f t="shared" si="2"/>
      </c>
      <c r="M95" s="582">
        <f t="shared" si="0"/>
      </c>
      <c r="N95" s="582">
        <f t="shared" si="3"/>
      </c>
      <c r="O95" s="583" t="s">
        <v>590</v>
      </c>
      <c r="P95" s="579">
        <v>10</v>
      </c>
      <c r="Q95" s="584"/>
    </row>
    <row hidden="true" r="96">
      <c r="A96" s="578">
        <v>46011</v>
      </c>
      <c r="B96" s="579" t="s">
        <v>591</v>
      </c>
      <c r="C96" s="580" t="s">
        <v>592</v>
      </c>
      <c r="D96" s="579">
        <v>5</v>
      </c>
      <c r="E96" s="579">
        <v>69</v>
      </c>
      <c r="F96" s="579">
        <v>56</v>
      </c>
      <c r="G96" s="579">
        <v>45</v>
      </c>
      <c r="H96" s="579">
        <v>44</v>
      </c>
      <c r="I96" s="579">
        <v>5</v>
      </c>
      <c r="J96" s="581">
        <v>72021.4</v>
      </c>
      <c r="K96" s="581">
        <v>31189.35</v>
      </c>
      <c r="L96" s="582">
        <f t="shared" si="2"/>
      </c>
      <c r="M96" s="582">
        <f t="shared" si="0"/>
      </c>
      <c r="N96" s="582">
        <f t="shared" si="3"/>
      </c>
      <c r="O96" s="585"/>
      <c r="P96" s="585"/>
      <c r="Q96" s="586"/>
    </row>
    <row r="97">
      <c r="A97" s="578">
        <v>46011</v>
      </c>
      <c r="B97" s="579" t="s">
        <v>593</v>
      </c>
      <c r="C97" s="580" t="s">
        <v>594</v>
      </c>
      <c r="D97" s="579">
        <v>5</v>
      </c>
      <c r="E97" s="579">
        <v>58</v>
      </c>
      <c r="F97" s="579">
        <v>43</v>
      </c>
      <c r="G97" s="579">
        <v>30</v>
      </c>
      <c r="H97" s="579">
        <v>32</v>
      </c>
      <c r="I97" s="579">
        <v>5</v>
      </c>
      <c r="J97" s="581">
        <v>63424.99999999999</v>
      </c>
      <c r="K97" s="581">
        <v>25654.299999999996</v>
      </c>
      <c r="L97" s="582">
        <f t="shared" si="2"/>
      </c>
      <c r="M97" s="582">
        <f t="shared" si="0"/>
      </c>
      <c r="N97" s="582">
        <f t="shared" si="3"/>
      </c>
      <c r="O97" s="583"/>
      <c r="P97" s="579"/>
      <c r="Q97" s="587"/>
    </row>
    <row hidden="true" r="98">
      <c r="A98" s="578">
        <v>46011</v>
      </c>
      <c r="B98" s="579" t="s">
        <v>595</v>
      </c>
      <c r="C98" s="580" t="s">
        <v>596</v>
      </c>
      <c r="D98" s="579">
        <v>5</v>
      </c>
      <c r="E98" s="579">
        <v>51</v>
      </c>
      <c r="F98" s="579">
        <v>37</v>
      </c>
      <c r="G98" s="579">
        <v>32</v>
      </c>
      <c r="H98" s="579">
        <v>28</v>
      </c>
      <c r="I98" s="579">
        <v>3</v>
      </c>
      <c r="J98" s="581">
        <v>35812.4</v>
      </c>
      <c r="K98" s="581">
        <v>29300.659999999996</v>
      </c>
      <c r="L98" s="582">
        <f t="shared" si="2"/>
      </c>
      <c r="M98" s="582">
        <f t="shared" si="0"/>
      </c>
      <c r="N98" s="582">
        <f t="shared" si="3"/>
      </c>
      <c r="O98" s="585" t="s">
        <v>608</v>
      </c>
      <c r="P98" s="579">
        <v>10</v>
      </c>
      <c r="Q98" s="585"/>
    </row>
    <row hidden="true" r="99">
      <c r="A99" s="588">
        <v>46011</v>
      </c>
      <c r="B99" s="589"/>
      <c r="C99" s="589"/>
      <c r="D99" s="589">
        <f>SUM(D95:D98)</f>
      </c>
      <c r="E99" s="589">
        <f>SUM(E95:E98)</f>
      </c>
      <c r="F99" s="589">
        <f>SUM(F95:F98)</f>
      </c>
      <c r="G99" s="589">
        <f>SUM(G95:G98)</f>
      </c>
      <c r="H99" s="589">
        <f>SUM(H95:H98)</f>
      </c>
      <c r="I99" s="589">
        <f>SUM(I95:I98)</f>
      </c>
      <c r="J99" s="589">
        <f>SUM(J95:J98)</f>
      </c>
      <c r="K99" s="589">
        <f>SUM(K95:K98)</f>
      </c>
      <c r="L99" s="590">
        <f t="shared" si="2"/>
      </c>
      <c r="M99" s="590">
        <f t="shared" si="0"/>
      </c>
      <c r="N99" s="590">
        <f t="shared" si="3"/>
      </c>
      <c r="O99" s="591"/>
      <c r="P99" s="589">
        <f>P95+P96+P97+P98</f>
      </c>
      <c r="Q99" s="591"/>
    </row>
    <row hidden="true" r="100">
      <c r="A100" s="578">
        <v>46012</v>
      </c>
      <c r="B100" s="579" t="s">
        <v>591</v>
      </c>
      <c r="C100" s="580" t="s">
        <v>589</v>
      </c>
      <c r="D100" s="579">
        <v>5</v>
      </c>
      <c r="E100" s="579">
        <v>49</v>
      </c>
      <c r="F100" s="579">
        <v>35</v>
      </c>
      <c r="G100" s="579">
        <v>23</v>
      </c>
      <c r="H100" s="579">
        <v>23</v>
      </c>
      <c r="I100" s="579">
        <v>3</v>
      </c>
      <c r="J100" s="581">
        <v>55040.2</v>
      </c>
      <c r="K100" s="581">
        <v>24161.690000000002</v>
      </c>
      <c r="L100" s="582">
        <f t="shared" si="2"/>
      </c>
      <c r="M100" s="582">
        <f t="shared" si="0"/>
      </c>
      <c r="N100" s="582">
        <f t="shared" si="3"/>
      </c>
      <c r="O100" s="583" t="s">
        <v>590</v>
      </c>
      <c r="P100" s="579">
        <v>10</v>
      </c>
      <c r="Q100" s="584"/>
    </row>
    <row hidden="true" r="101">
      <c r="A101" s="578">
        <v>46012</v>
      </c>
      <c r="B101" s="579" t="s">
        <v>599</v>
      </c>
      <c r="C101" s="580" t="s">
        <v>592</v>
      </c>
      <c r="D101" s="579">
        <v>5</v>
      </c>
      <c r="E101" s="579">
        <v>31</v>
      </c>
      <c r="F101" s="579">
        <v>23</v>
      </c>
      <c r="G101" s="579">
        <v>21</v>
      </c>
      <c r="H101" s="579">
        <v>17</v>
      </c>
      <c r="I101" s="579">
        <v>3</v>
      </c>
      <c r="J101" s="581">
        <v>24058.199999999997</v>
      </c>
      <c r="K101" s="581">
        <v>18840.27</v>
      </c>
      <c r="L101" s="582">
        <f t="shared" si="2"/>
      </c>
      <c r="M101" s="582">
        <f t="shared" si="0"/>
      </c>
      <c r="N101" s="582">
        <f t="shared" si="3"/>
      </c>
      <c r="O101" s="585"/>
      <c r="P101" s="585"/>
      <c r="Q101" s="586"/>
    </row>
    <row r="102">
      <c r="A102" s="578">
        <v>46012</v>
      </c>
      <c r="B102" s="579" t="s">
        <v>593</v>
      </c>
      <c r="C102" s="580" t="s">
        <v>594</v>
      </c>
      <c r="D102" s="579">
        <v>5</v>
      </c>
      <c r="E102" s="579">
        <v>62</v>
      </c>
      <c r="F102" s="579">
        <v>43</v>
      </c>
      <c r="G102" s="579">
        <v>30</v>
      </c>
      <c r="H102" s="579">
        <v>27</v>
      </c>
      <c r="I102" s="579">
        <v>5</v>
      </c>
      <c r="J102" s="581">
        <v>69120.79999999999</v>
      </c>
      <c r="K102" s="581">
        <v>19267.5</v>
      </c>
      <c r="L102" s="582">
        <f t="shared" si="2"/>
      </c>
      <c r="M102" s="582">
        <f t="shared" si="0"/>
      </c>
      <c r="N102" s="582">
        <f t="shared" si="3"/>
      </c>
      <c r="O102" s="583"/>
      <c r="P102" s="579"/>
      <c r="Q102" s="587"/>
    </row>
    <row hidden="true" r="103">
      <c r="A103" s="578">
        <v>46012</v>
      </c>
      <c r="B103" s="579" t="s">
        <v>595</v>
      </c>
      <c r="C103" s="580" t="s">
        <v>596</v>
      </c>
      <c r="D103" s="579">
        <v>5</v>
      </c>
      <c r="E103" s="579">
        <v>53</v>
      </c>
      <c r="F103" s="579">
        <v>41</v>
      </c>
      <c r="G103" s="579">
        <v>28</v>
      </c>
      <c r="H103" s="579">
        <v>33</v>
      </c>
      <c r="I103" s="579">
        <v>4</v>
      </c>
      <c r="J103" s="581">
        <v>39783.4</v>
      </c>
      <c r="K103" s="581">
        <v>23894.800000000003</v>
      </c>
      <c r="L103" s="582">
        <f t="shared" si="2"/>
      </c>
      <c r="M103" s="582">
        <f t="shared" si="0"/>
      </c>
      <c r="N103" s="582">
        <f t="shared" si="3"/>
      </c>
      <c r="O103" s="585" t="s">
        <v>608</v>
      </c>
      <c r="P103" s="579">
        <v>10</v>
      </c>
      <c r="Q103" s="585"/>
    </row>
    <row hidden="true" r="104">
      <c r="A104" s="588">
        <v>46012</v>
      </c>
      <c r="B104" s="589"/>
      <c r="C104" s="589"/>
      <c r="D104" s="589">
        <f>SUM(D100:D103)</f>
      </c>
      <c r="E104" s="589">
        <f>SUM(E100:E103)</f>
      </c>
      <c r="F104" s="589">
        <f>SUM(F100:F103)</f>
      </c>
      <c r="G104" s="589">
        <f>SUM(G100:G103)</f>
      </c>
      <c r="H104" s="589">
        <f>SUM(H100:H103)</f>
      </c>
      <c r="I104" s="589">
        <f>SUM(I100:I103)</f>
      </c>
      <c r="J104" s="589">
        <f>SUM(J100:J103)</f>
      </c>
      <c r="K104" s="589">
        <f>SUM(K100:K103)</f>
      </c>
      <c r="L104" s="590">
        <f t="shared" si="2"/>
      </c>
      <c r="M104" s="590">
        <f t="shared" si="0"/>
      </c>
      <c r="N104" s="590">
        <f t="shared" si="3"/>
      </c>
      <c r="O104" s="591"/>
      <c r="P104" s="589">
        <f>P100+P101+P102+P103</f>
      </c>
      <c r="Q104" s="591"/>
    </row>
    <row hidden="true" r="105">
      <c r="A105" s="578">
        <v>46013</v>
      </c>
      <c r="B105" s="579" t="s">
        <v>588</v>
      </c>
      <c r="C105" s="580" t="s">
        <v>589</v>
      </c>
      <c r="D105" s="579">
        <v>5</v>
      </c>
      <c r="E105" s="579">
        <v>35</v>
      </c>
      <c r="F105" s="579">
        <v>26</v>
      </c>
      <c r="G105" s="579">
        <v>15</v>
      </c>
      <c r="H105" s="579">
        <v>20</v>
      </c>
      <c r="I105" s="579">
        <v>7</v>
      </c>
      <c r="J105" s="581">
        <v>35331.6</v>
      </c>
      <c r="K105" s="581">
        <v>16238.220000000001</v>
      </c>
      <c r="L105" s="582">
        <f t="shared" si="2"/>
      </c>
      <c r="M105" s="582">
        <f t="shared" si="0"/>
      </c>
      <c r="N105" s="582">
        <f t="shared" si="3"/>
      </c>
      <c r="O105" s="583" t="s">
        <v>590</v>
      </c>
      <c r="P105" s="579">
        <v>10</v>
      </c>
      <c r="Q105" s="584"/>
    </row>
    <row hidden="true" r="106">
      <c r="A106" s="578">
        <v>46013</v>
      </c>
      <c r="B106" s="579" t="s">
        <v>595</v>
      </c>
      <c r="C106" s="580" t="s">
        <v>592</v>
      </c>
      <c r="D106" s="579">
        <v>5</v>
      </c>
      <c r="E106" s="579">
        <v>16</v>
      </c>
      <c r="F106" s="579">
        <v>9</v>
      </c>
      <c r="G106" s="579">
        <v>8</v>
      </c>
      <c r="H106" s="579">
        <v>5</v>
      </c>
      <c r="I106" s="579">
        <v>0</v>
      </c>
      <c r="J106" s="581">
        <v>10369.2</v>
      </c>
      <c r="K106" s="581">
        <v>11686.86</v>
      </c>
      <c r="L106" s="582">
        <f t="shared" si="2"/>
      </c>
      <c r="M106" s="582">
        <f t="shared" si="0"/>
      </c>
      <c r="N106" s="582">
        <f t="shared" si="3"/>
      </c>
      <c r="O106" s="585"/>
      <c r="P106" s="585"/>
      <c r="Q106" s="586"/>
    </row>
    <row hidden="true" r="107">
      <c r="A107" s="578">
        <v>46013</v>
      </c>
      <c r="B107" s="579" t="s">
        <v>599</v>
      </c>
      <c r="C107" s="580" t="s">
        <v>594</v>
      </c>
      <c r="D107" s="579">
        <v>5</v>
      </c>
      <c r="E107" s="579">
        <v>38</v>
      </c>
      <c r="F107" s="579">
        <v>30</v>
      </c>
      <c r="G107" s="579">
        <v>19</v>
      </c>
      <c r="H107" s="579">
        <v>24</v>
      </c>
      <c r="I107" s="579">
        <v>7</v>
      </c>
      <c r="J107" s="581">
        <v>36708.200000000004</v>
      </c>
      <c r="K107" s="581">
        <v>15595.86</v>
      </c>
      <c r="L107" s="582">
        <f t="shared" si="2"/>
      </c>
      <c r="M107" s="582">
        <f t="shared" si="0"/>
      </c>
      <c r="N107" s="582">
        <f t="shared" si="3"/>
      </c>
      <c r="O107" s="583" t="s">
        <v>610</v>
      </c>
      <c r="P107" s="579">
        <v>8</v>
      </c>
      <c r="Q107" s="587"/>
    </row>
    <row r="108">
      <c r="A108" s="578">
        <v>46013</v>
      </c>
      <c r="B108" s="579" t="s">
        <v>593</v>
      </c>
      <c r="C108" s="580" t="s">
        <v>596</v>
      </c>
      <c r="D108" s="579">
        <v>5</v>
      </c>
      <c r="E108" s="579">
        <v>74</v>
      </c>
      <c r="F108" s="579">
        <v>53</v>
      </c>
      <c r="G108" s="579">
        <v>43</v>
      </c>
      <c r="H108" s="579">
        <v>35</v>
      </c>
      <c r="I108" s="579">
        <v>6</v>
      </c>
      <c r="J108" s="581">
        <v>68254</v>
      </c>
      <c r="K108" s="581">
        <v>21691.43</v>
      </c>
      <c r="L108" s="582">
        <f t="shared" si="2"/>
      </c>
      <c r="M108" s="582">
        <f t="shared" si="0"/>
      </c>
      <c r="N108" s="582">
        <f t="shared" si="3"/>
      </c>
      <c r="O108" s="585" t="s">
        <v>597</v>
      </c>
      <c r="P108" s="579">
        <v>2</v>
      </c>
      <c r="Q108" s="585"/>
    </row>
    <row hidden="true" r="109">
      <c r="A109" s="588">
        <v>46013</v>
      </c>
      <c r="B109" s="589"/>
      <c r="C109" s="589"/>
      <c r="D109" s="589">
        <f>SUM(D105:D108)</f>
      </c>
      <c r="E109" s="589">
        <f>SUM(E105:E108)</f>
      </c>
      <c r="F109" s="589">
        <f>SUM(F105:F108)</f>
      </c>
      <c r="G109" s="589">
        <f>SUM(G105:G108)</f>
      </c>
      <c r="H109" s="589">
        <f>SUM(H105:H108)</f>
      </c>
      <c r="I109" s="589">
        <f>SUM(I105:I108)</f>
      </c>
      <c r="J109" s="589">
        <f>SUM(J105:J108)</f>
      </c>
      <c r="K109" s="589">
        <f>SUM(K105:K108)</f>
      </c>
      <c r="L109" s="590">
        <f t="shared" si="2"/>
      </c>
      <c r="M109" s="590">
        <f t="shared" si="0"/>
      </c>
      <c r="N109" s="590">
        <f t="shared" si="3"/>
      </c>
      <c r="O109" s="591"/>
      <c r="P109" s="589">
        <f>P105+P106+P107+P108</f>
      </c>
      <c r="Q109" s="591"/>
    </row>
    <row hidden="true" r="110">
      <c r="A110" s="578">
        <v>46014</v>
      </c>
      <c r="B110" s="579" t="s">
        <v>588</v>
      </c>
      <c r="C110" s="580" t="s">
        <v>589</v>
      </c>
      <c r="D110" s="579">
        <v>5</v>
      </c>
      <c r="E110" s="579">
        <v>74</v>
      </c>
      <c r="F110" s="579">
        <v>59</v>
      </c>
      <c r="G110" s="579">
        <v>39</v>
      </c>
      <c r="H110" s="579">
        <v>49</v>
      </c>
      <c r="I110" s="579">
        <v>11</v>
      </c>
      <c r="J110" s="581">
        <v>66508.59999999999</v>
      </c>
      <c r="K110" s="581">
        <v>31085.519999999997</v>
      </c>
      <c r="L110" s="582">
        <f t="shared" si="2"/>
      </c>
      <c r="M110" s="582">
        <f t="shared" si="0"/>
      </c>
      <c r="N110" s="582">
        <f t="shared" si="3"/>
      </c>
      <c r="O110" s="583" t="s">
        <v>590</v>
      </c>
      <c r="P110" s="579">
        <v>10</v>
      </c>
      <c r="Q110" s="584"/>
    </row>
    <row hidden="true" r="111">
      <c r="A111" s="578">
        <v>46014</v>
      </c>
      <c r="B111" s="579" t="s">
        <v>591</v>
      </c>
      <c r="C111" s="580" t="s">
        <v>611</v>
      </c>
      <c r="D111" s="579">
        <v>4</v>
      </c>
      <c r="E111" s="579">
        <v>41</v>
      </c>
      <c r="F111" s="579">
        <v>31</v>
      </c>
      <c r="G111" s="579">
        <v>21</v>
      </c>
      <c r="H111" s="579">
        <v>23</v>
      </c>
      <c r="I111" s="579">
        <v>4</v>
      </c>
      <c r="J111" s="581">
        <v>50664.8</v>
      </c>
      <c r="K111" s="581">
        <v>17444.239999999998</v>
      </c>
      <c r="L111" s="582">
        <f t="shared" si="2"/>
      </c>
      <c r="M111" s="582">
        <f t="shared" si="0"/>
      </c>
      <c r="N111" s="582">
        <f t="shared" si="3"/>
      </c>
      <c r="O111" s="585"/>
      <c r="P111" s="585"/>
      <c r="Q111" s="586"/>
    </row>
    <row customHeight="true" hidden="true" ht="16.071428571428573" r="112">
      <c r="A112" s="578">
        <v>46014</v>
      </c>
      <c r="B112" s="579" t="s">
        <v>599</v>
      </c>
      <c r="C112" s="580" t="s">
        <v>612</v>
      </c>
      <c r="D112" s="579">
        <v>4</v>
      </c>
      <c r="E112" s="579">
        <v>39</v>
      </c>
      <c r="F112" s="579">
        <v>32</v>
      </c>
      <c r="G112" s="579">
        <v>22</v>
      </c>
      <c r="H112" s="579">
        <v>25</v>
      </c>
      <c r="I112" s="579">
        <v>5</v>
      </c>
      <c r="J112" s="581">
        <v>33911.399999999994</v>
      </c>
      <c r="K112" s="581">
        <v>16272.74</v>
      </c>
      <c r="L112" s="582">
        <f t="shared" si="2"/>
      </c>
      <c r="M112" s="582">
        <f t="shared" si="0"/>
      </c>
      <c r="N112" s="582">
        <f t="shared" si="3"/>
      </c>
      <c r="O112" s="585"/>
      <c r="P112" s="585"/>
      <c r="Q112" s="586"/>
    </row>
    <row hidden="true" r="113">
      <c r="A113" s="578">
        <v>46014</v>
      </c>
      <c r="B113" s="579" t="s">
        <v>613</v>
      </c>
      <c r="C113" s="580" t="s">
        <v>614</v>
      </c>
      <c r="D113" s="579">
        <v>2</v>
      </c>
      <c r="E113" s="579">
        <v>18</v>
      </c>
      <c r="F113" s="579">
        <v>11</v>
      </c>
      <c r="G113" s="579">
        <v>8</v>
      </c>
      <c r="H113" s="579">
        <v>4</v>
      </c>
      <c r="I113" s="579">
        <v>1</v>
      </c>
      <c r="J113" s="581">
        <v>28452.199999999997</v>
      </c>
      <c r="K113" s="581">
        <v>8439.81</v>
      </c>
      <c r="L113" s="582">
        <f t="shared" si="2"/>
      </c>
      <c r="M113" s="582">
        <f t="shared" si="0"/>
      </c>
      <c r="N113" s="582">
        <f t="shared" si="3"/>
      </c>
      <c r="O113" s="583"/>
      <c r="P113" s="579"/>
      <c r="Q113" s="587"/>
    </row>
    <row r="114">
      <c r="A114" s="578">
        <v>46014</v>
      </c>
      <c r="B114" s="579" t="s">
        <v>593</v>
      </c>
      <c r="C114" s="580" t="s">
        <v>596</v>
      </c>
      <c r="D114" s="579">
        <v>5</v>
      </c>
      <c r="E114" s="579">
        <v>54</v>
      </c>
      <c r="F114" s="579">
        <v>36</v>
      </c>
      <c r="G114" s="579">
        <v>25</v>
      </c>
      <c r="H114" s="579">
        <v>30</v>
      </c>
      <c r="I114" s="579">
        <v>4</v>
      </c>
      <c r="J114" s="581">
        <v>35966.2</v>
      </c>
      <c r="K114" s="581">
        <v>16965.01</v>
      </c>
      <c r="L114" s="582">
        <f t="shared" si="2"/>
      </c>
      <c r="M114" s="582">
        <f t="shared" si="0"/>
      </c>
      <c r="N114" s="582">
        <f t="shared" si="3"/>
      </c>
      <c r="O114" s="585" t="s">
        <v>608</v>
      </c>
      <c r="P114" s="579">
        <v>10</v>
      </c>
      <c r="Q114" s="585"/>
    </row>
    <row hidden="true" r="115">
      <c r="A115" s="588">
        <v>46014</v>
      </c>
      <c r="B115" s="589"/>
      <c r="C115" s="589"/>
      <c r="D115" s="589">
        <f>SUM(D110:D114)</f>
      </c>
      <c r="E115" s="589">
        <f>SUM(E110:E114)</f>
      </c>
      <c r="F115" s="589">
        <f>SUM(F110:F114)</f>
      </c>
      <c r="G115" s="589">
        <f>SUM(G110:G114)</f>
      </c>
      <c r="H115" s="589">
        <f>SUM(H110:H114)</f>
      </c>
      <c r="I115" s="589">
        <f>SUM(I110:I114)</f>
      </c>
      <c r="J115" s="589">
        <f>SUM(J110:J114)</f>
      </c>
      <c r="K115" s="589">
        <f>SUM(K110:K114)</f>
      </c>
      <c r="L115" s="590">
        <f t="shared" si="2"/>
      </c>
      <c r="M115" s="590">
        <f t="shared" si="0"/>
      </c>
      <c r="N115" s="590">
        <f t="shared" si="3"/>
      </c>
      <c r="O115" s="591"/>
      <c r="P115" s="589">
        <f>P110+P111+P113+P114</f>
      </c>
      <c r="Q115" s="591"/>
    </row>
    <row hidden="true" r="116">
      <c r="A116" s="578">
        <v>46015</v>
      </c>
      <c r="B116" s="579" t="s">
        <v>591</v>
      </c>
      <c r="C116" s="580" t="s">
        <v>589</v>
      </c>
      <c r="D116" s="579">
        <v>5</v>
      </c>
      <c r="E116" s="579">
        <v>44</v>
      </c>
      <c r="F116" s="579">
        <v>30</v>
      </c>
      <c r="G116" s="579">
        <v>24</v>
      </c>
      <c r="H116" s="579">
        <v>21</v>
      </c>
      <c r="I116" s="579">
        <v>3</v>
      </c>
      <c r="J116" s="581">
        <v>37207.600000000006</v>
      </c>
      <c r="K116" s="581">
        <v>22484.04</v>
      </c>
      <c r="L116" s="582">
        <f t="shared" si="2"/>
      </c>
      <c r="M116" s="582">
        <f t="shared" si="0"/>
      </c>
      <c r="N116" s="582">
        <f t="shared" si="3"/>
      </c>
      <c r="O116" s="583" t="s">
        <v>590</v>
      </c>
      <c r="P116" s="579">
        <v>10</v>
      </c>
      <c r="Q116" s="584"/>
    </row>
    <row hidden="true" r="117">
      <c r="A117" s="578">
        <v>46015</v>
      </c>
      <c r="B117" s="579" t="s">
        <v>588</v>
      </c>
      <c r="C117" s="580" t="s">
        <v>611</v>
      </c>
      <c r="D117" s="579">
        <v>4</v>
      </c>
      <c r="E117" s="579">
        <v>41</v>
      </c>
      <c r="F117" s="579">
        <v>31</v>
      </c>
      <c r="G117" s="579">
        <v>26</v>
      </c>
      <c r="H117" s="579">
        <v>26</v>
      </c>
      <c r="I117" s="579">
        <v>2</v>
      </c>
      <c r="J117" s="581">
        <v>27170.4</v>
      </c>
      <c r="K117" s="581">
        <v>17637.25</v>
      </c>
      <c r="L117" s="582">
        <f t="shared" si="2"/>
      </c>
      <c r="M117" s="582">
        <f t="shared" si="0"/>
      </c>
      <c r="N117" s="582">
        <f t="shared" si="3"/>
      </c>
      <c r="O117" s="585"/>
      <c r="P117" s="585"/>
      <c r="Q117" s="586"/>
    </row>
    <row hidden="true" r="118">
      <c r="A118" s="578">
        <v>46015</v>
      </c>
      <c r="B118" s="579" t="s">
        <v>595</v>
      </c>
      <c r="C118" s="580" t="s">
        <v>612</v>
      </c>
      <c r="D118" s="579">
        <v>4</v>
      </c>
      <c r="E118" s="579">
        <v>26</v>
      </c>
      <c r="F118" s="579">
        <v>15</v>
      </c>
      <c r="G118" s="579">
        <v>14</v>
      </c>
      <c r="H118" s="579">
        <v>11</v>
      </c>
      <c r="I118" s="579">
        <v>1</v>
      </c>
      <c r="J118" s="581">
        <v>14137.999999999998</v>
      </c>
      <c r="K118" s="581">
        <v>12219.55</v>
      </c>
      <c r="L118" s="582">
        <f t="shared" si="2"/>
      </c>
      <c r="M118" s="582">
        <f t="shared" si="0"/>
      </c>
      <c r="N118" s="582">
        <f t="shared" si="3"/>
      </c>
      <c r="O118" s="585"/>
      <c r="P118" s="585"/>
      <c r="Q118" s="586"/>
    </row>
    <row hidden="true" r="119">
      <c r="A119" s="578">
        <v>46015</v>
      </c>
      <c r="B119" s="579" t="s">
        <v>613</v>
      </c>
      <c r="C119" s="580" t="s">
        <v>614</v>
      </c>
      <c r="D119" s="579">
        <v>2</v>
      </c>
      <c r="E119" s="579">
        <v>17</v>
      </c>
      <c r="F119" s="579">
        <v>13</v>
      </c>
      <c r="G119" s="579">
        <v>8</v>
      </c>
      <c r="H119" s="579">
        <v>12</v>
      </c>
      <c r="I119" s="579">
        <v>2</v>
      </c>
      <c r="J119" s="581">
        <v>10603.2</v>
      </c>
      <c r="K119" s="581">
        <v>7475.15</v>
      </c>
      <c r="L119" s="582">
        <f t="shared" si="2"/>
      </c>
      <c r="M119" s="582">
        <f t="shared" si="0"/>
      </c>
      <c r="N119" s="582">
        <f t="shared" si="3"/>
      </c>
      <c r="O119" s="583"/>
      <c r="P119" s="579"/>
      <c r="Q119" s="587"/>
    </row>
    <row r="120">
      <c r="A120" s="578">
        <v>46015</v>
      </c>
      <c r="B120" s="579" t="s">
        <v>593</v>
      </c>
      <c r="C120" s="580" t="s">
        <v>596</v>
      </c>
      <c r="D120" s="579">
        <v>5</v>
      </c>
      <c r="E120" s="579">
        <v>68</v>
      </c>
      <c r="F120" s="579">
        <v>55</v>
      </c>
      <c r="G120" s="579">
        <v>37</v>
      </c>
      <c r="H120" s="579">
        <v>38</v>
      </c>
      <c r="I120" s="579">
        <v>9</v>
      </c>
      <c r="J120" s="581">
        <v>71398.4</v>
      </c>
      <c r="K120" s="581">
        <v>19863.379999999997</v>
      </c>
      <c r="L120" s="582">
        <f t="shared" si="2"/>
      </c>
      <c r="M120" s="582">
        <f t="shared" si="0"/>
      </c>
      <c r="N120" s="582">
        <f t="shared" si="3"/>
      </c>
      <c r="O120" s="585" t="s">
        <v>608</v>
      </c>
      <c r="P120" s="579">
        <v>10</v>
      </c>
      <c r="Q120" s="585"/>
    </row>
    <row hidden="true" r="121">
      <c r="A121" s="588">
        <v>46015</v>
      </c>
      <c r="B121" s="589"/>
      <c r="C121" s="589"/>
      <c r="D121" s="589">
        <f>SUM(D116:D120)</f>
      </c>
      <c r="E121" s="589">
        <f>SUM(E116:E120)</f>
      </c>
      <c r="F121" s="589">
        <f>SUM(F116:F120)</f>
      </c>
      <c r="G121" s="589">
        <f>SUM(G116:G120)</f>
      </c>
      <c r="H121" s="589">
        <f>SUM(H116:H120)</f>
      </c>
      <c r="I121" s="589">
        <f>SUM(I116:I120)</f>
      </c>
      <c r="J121" s="589">
        <f>SUM(J116:J120)</f>
      </c>
      <c r="K121" s="589">
        <f>SUM(K116:K120)</f>
      </c>
      <c r="L121" s="590">
        <f t="shared" si="2"/>
      </c>
      <c r="M121" s="590">
        <f t="shared" si="0"/>
      </c>
      <c r="N121" s="590">
        <f t="shared" si="3"/>
      </c>
      <c r="O121" s="591"/>
      <c r="P121" s="589">
        <f>P116+P117+P119+P120</f>
      </c>
      <c r="Q121" s="591"/>
    </row>
    <row hidden="true" r="122">
      <c r="A122" s="578">
        <v>46016</v>
      </c>
      <c r="B122" s="579" t="s">
        <v>588</v>
      </c>
      <c r="C122" s="580" t="s">
        <v>589</v>
      </c>
      <c r="D122" s="579">
        <v>5</v>
      </c>
      <c r="E122" s="579">
        <v>43</v>
      </c>
      <c r="F122" s="579">
        <v>34</v>
      </c>
      <c r="G122" s="579">
        <v>19</v>
      </c>
      <c r="H122" s="579">
        <v>28</v>
      </c>
      <c r="I122" s="579">
        <v>7</v>
      </c>
      <c r="J122" s="581">
        <v>29641.4</v>
      </c>
      <c r="K122" s="581">
        <v>19520.67</v>
      </c>
      <c r="L122" s="582">
        <f t="shared" si="2"/>
      </c>
      <c r="M122" s="582">
        <f t="shared" si="0"/>
      </c>
      <c r="N122" s="582">
        <f t="shared" si="3"/>
      </c>
      <c r="O122" s="583" t="s">
        <v>590</v>
      </c>
      <c r="P122" s="579">
        <v>10</v>
      </c>
      <c r="Q122" s="584"/>
    </row>
    <row hidden="true" r="123">
      <c r="A123" s="578">
        <v>46016</v>
      </c>
      <c r="B123" s="579" t="s">
        <v>599</v>
      </c>
      <c r="C123" s="580" t="s">
        <v>611</v>
      </c>
      <c r="D123" s="579">
        <v>4</v>
      </c>
      <c r="E123" s="579">
        <v>28</v>
      </c>
      <c r="F123" s="579">
        <v>22</v>
      </c>
      <c r="G123" s="579">
        <v>19</v>
      </c>
      <c r="H123" s="579">
        <v>18</v>
      </c>
      <c r="I123" s="579">
        <v>1</v>
      </c>
      <c r="J123" s="581">
        <v>18306.2</v>
      </c>
      <c r="K123" s="581">
        <v>17924.370000000003</v>
      </c>
      <c r="L123" s="582">
        <f t="shared" si="2"/>
      </c>
      <c r="M123" s="582">
        <f t="shared" si="0"/>
      </c>
      <c r="N123" s="582">
        <f t="shared" si="3"/>
      </c>
      <c r="O123" s="585"/>
      <c r="P123" s="585"/>
      <c r="Q123" s="586"/>
    </row>
    <row r="124">
      <c r="A124" s="578">
        <v>46016</v>
      </c>
      <c r="B124" s="579" t="s">
        <v>593</v>
      </c>
      <c r="C124" s="580" t="s">
        <v>612</v>
      </c>
      <c r="D124" s="579">
        <v>4</v>
      </c>
      <c r="E124" s="579">
        <v>31</v>
      </c>
      <c r="F124" s="579">
        <v>25</v>
      </c>
      <c r="G124" s="579">
        <v>19</v>
      </c>
      <c r="H124" s="579">
        <v>20</v>
      </c>
      <c r="I124" s="579">
        <v>3</v>
      </c>
      <c r="J124" s="581">
        <v>29764.800000000003</v>
      </c>
      <c r="K124" s="581">
        <v>14634.26</v>
      </c>
      <c r="L124" s="582">
        <f t="shared" si="2"/>
      </c>
      <c r="M124" s="582">
        <f t="shared" si="0"/>
      </c>
      <c r="N124" s="582">
        <f t="shared" si="3"/>
      </c>
      <c r="O124" s="585"/>
      <c r="P124" s="585"/>
      <c r="Q124" s="586"/>
    </row>
    <row hidden="true" r="125">
      <c r="A125" s="578">
        <v>46016</v>
      </c>
      <c r="B125" s="579" t="s">
        <v>613</v>
      </c>
      <c r="C125" s="580" t="s">
        <v>614</v>
      </c>
      <c r="D125" s="579">
        <v>2</v>
      </c>
      <c r="E125" s="579">
        <v>14</v>
      </c>
      <c r="F125" s="579">
        <v>5</v>
      </c>
      <c r="G125" s="579">
        <v>4</v>
      </c>
      <c r="H125" s="579">
        <v>5</v>
      </c>
      <c r="I125" s="579">
        <v>0</v>
      </c>
      <c r="J125" s="581">
        <v>4027.4000000000005</v>
      </c>
      <c r="K125" s="581">
        <v>6026.700000000001</v>
      </c>
      <c r="L125" s="582">
        <f t="shared" si="2"/>
      </c>
      <c r="M125" s="582">
        <f t="shared" si="0"/>
      </c>
      <c r="N125" s="582">
        <f t="shared" si="3"/>
      </c>
      <c r="O125" s="583"/>
      <c r="P125" s="579"/>
      <c r="Q125" s="587"/>
    </row>
    <row hidden="true" r="126">
      <c r="A126" s="578">
        <v>46016</v>
      </c>
      <c r="B126" s="579" t="s">
        <v>595</v>
      </c>
      <c r="C126" s="580" t="s">
        <v>596</v>
      </c>
      <c r="D126" s="579">
        <v>5</v>
      </c>
      <c r="E126" s="579">
        <v>37</v>
      </c>
      <c r="F126" s="579">
        <v>29</v>
      </c>
      <c r="G126" s="579">
        <v>25</v>
      </c>
      <c r="H126" s="579">
        <v>20</v>
      </c>
      <c r="I126" s="579">
        <v>3</v>
      </c>
      <c r="J126" s="581">
        <v>35458</v>
      </c>
      <c r="K126" s="581">
        <v>16230.639999999998</v>
      </c>
      <c r="L126" s="582">
        <f t="shared" si="2"/>
      </c>
      <c r="M126" s="582">
        <f t="shared" si="0"/>
      </c>
      <c r="N126" s="582">
        <f t="shared" si="3"/>
      </c>
      <c r="O126" s="585" t="s">
        <v>608</v>
      </c>
      <c r="P126" s="579">
        <v>10</v>
      </c>
      <c r="Q126" s="585"/>
    </row>
    <row hidden="true" r="127">
      <c r="A127" s="588">
        <v>46016</v>
      </c>
      <c r="B127" s="589"/>
      <c r="C127" s="589"/>
      <c r="D127" s="589">
        <f>SUM(D122:D126)</f>
      </c>
      <c r="E127" s="589">
        <f>SUM(E122:E126)</f>
      </c>
      <c r="F127" s="589">
        <f>SUM(F122:F126)</f>
      </c>
      <c r="G127" s="589">
        <f>SUM(G122:G126)</f>
      </c>
      <c r="H127" s="589">
        <f>SUM(H122:H126)</f>
      </c>
      <c r="I127" s="589">
        <f>SUM(I122:I126)</f>
      </c>
      <c r="J127" s="589">
        <f>SUM(J122:J126)</f>
      </c>
      <c r="K127" s="589">
        <f>SUM(K122:K126)</f>
      </c>
      <c r="L127" s="590">
        <f t="shared" si="2"/>
      </c>
      <c r="M127" s="590">
        <f t="shared" si="0"/>
      </c>
      <c r="N127" s="590">
        <f t="shared" si="3"/>
      </c>
      <c r="O127" s="591"/>
      <c r="P127" s="589">
        <f>P122+P123+P125+P126</f>
      </c>
      <c r="Q127" s="591"/>
    </row>
    <row hidden="true" r="128">
      <c r="A128" s="578">
        <v>46017</v>
      </c>
      <c r="B128" s="579" t="s">
        <v>591</v>
      </c>
      <c r="C128" s="580" t="s">
        <v>589</v>
      </c>
      <c r="D128" s="579">
        <v>5</v>
      </c>
      <c r="E128" s="579">
        <v>35</v>
      </c>
      <c r="F128" s="579">
        <v>27</v>
      </c>
      <c r="G128" s="579">
        <v>20</v>
      </c>
      <c r="H128" s="579">
        <v>21</v>
      </c>
      <c r="I128" s="579">
        <v>4</v>
      </c>
      <c r="J128" s="581">
        <v>32041</v>
      </c>
      <c r="K128" s="581">
        <v>18790.300000000003</v>
      </c>
      <c r="L128" s="582">
        <f t="shared" si="2"/>
      </c>
      <c r="M128" s="582">
        <f t="shared" si="0"/>
      </c>
      <c r="N128" s="582">
        <f t="shared" si="3"/>
      </c>
      <c r="O128" s="583" t="s">
        <v>590</v>
      </c>
      <c r="P128" s="579">
        <v>10</v>
      </c>
      <c r="Q128" s="584"/>
    </row>
    <row hidden="true" r="129">
      <c r="A129" s="578">
        <v>46017</v>
      </c>
      <c r="B129" s="579" t="s">
        <v>595</v>
      </c>
      <c r="C129" s="580" t="s">
        <v>592</v>
      </c>
      <c r="D129" s="579">
        <v>5</v>
      </c>
      <c r="E129" s="579">
        <v>56</v>
      </c>
      <c r="F129" s="579">
        <v>42</v>
      </c>
      <c r="G129" s="579">
        <v>34</v>
      </c>
      <c r="H129" s="579">
        <v>30</v>
      </c>
      <c r="I129" s="579">
        <v>3</v>
      </c>
      <c r="J129" s="581">
        <v>40535</v>
      </c>
      <c r="K129" s="581">
        <v>25068.590000000004</v>
      </c>
      <c r="L129" s="582">
        <f t="shared" si="2"/>
      </c>
      <c r="M129" s="582">
        <f t="shared" si="0"/>
      </c>
      <c r="N129" s="582">
        <f t="shared" si="3"/>
      </c>
      <c r="O129" s="585"/>
      <c r="P129" s="585"/>
      <c r="Q129" s="586"/>
    </row>
    <row r="130">
      <c r="A130" s="578">
        <v>46017</v>
      </c>
      <c r="B130" s="579" t="s">
        <v>593</v>
      </c>
      <c r="C130" s="580" t="s">
        <v>594</v>
      </c>
      <c r="D130" s="579">
        <v>5</v>
      </c>
      <c r="E130" s="579">
        <v>51</v>
      </c>
      <c r="F130" s="579">
        <v>43</v>
      </c>
      <c r="G130" s="579">
        <v>33</v>
      </c>
      <c r="H130" s="579">
        <v>29</v>
      </c>
      <c r="I130" s="579">
        <v>4</v>
      </c>
      <c r="J130" s="581">
        <v>51243.8</v>
      </c>
      <c r="K130" s="581">
        <v>18947.33</v>
      </c>
      <c r="L130" s="582">
        <f t="shared" si="2"/>
      </c>
      <c r="M130" s="582">
        <f t="shared" si="0"/>
      </c>
      <c r="N130" s="582">
        <f t="shared" si="3"/>
      </c>
      <c r="P130" s="579"/>
      <c r="Q130" s="587"/>
    </row>
    <row hidden="true" r="131">
      <c r="A131" s="578">
        <v>46017</v>
      </c>
      <c r="B131" s="579" t="s">
        <v>599</v>
      </c>
      <c r="C131" s="580" t="s">
        <v>596</v>
      </c>
      <c r="D131" s="579">
        <v>5</v>
      </c>
      <c r="E131" s="579">
        <v>48</v>
      </c>
      <c r="F131" s="579">
        <v>37</v>
      </c>
      <c r="G131" s="579">
        <v>29</v>
      </c>
      <c r="H131" s="579">
        <v>31</v>
      </c>
      <c r="I131" s="579">
        <v>5</v>
      </c>
      <c r="J131" s="581">
        <v>35971</v>
      </c>
      <c r="K131" s="581">
        <v>20793.379999999997</v>
      </c>
      <c r="L131" s="582">
        <f t="shared" si="2"/>
      </c>
      <c r="M131" s="582">
        <f t="shared" si="0"/>
      </c>
      <c r="N131" s="582">
        <f t="shared" si="3"/>
      </c>
      <c r="O131" s="583" t="s">
        <v>608</v>
      </c>
      <c r="P131" s="579">
        <v>10</v>
      </c>
      <c r="Q131" s="585"/>
    </row>
    <row hidden="true" r="132">
      <c r="A132" s="588">
        <v>46017</v>
      </c>
      <c r="B132" s="589"/>
      <c r="C132" s="589"/>
      <c r="D132" s="589">
        <f>SUM(D128:D131)</f>
      </c>
      <c r="E132" s="589">
        <f>SUM(E128:E131)</f>
      </c>
      <c r="F132" s="589">
        <f>SUM(F128:F131)</f>
      </c>
      <c r="G132" s="589">
        <f>SUM(G128:G131)</f>
      </c>
      <c r="H132" s="589">
        <f>SUM(H128:H131)</f>
      </c>
      <c r="I132" s="589">
        <f>SUM(I128:I131)</f>
      </c>
      <c r="J132" s="589">
        <f>SUM(J128:J131)</f>
      </c>
      <c r="K132" s="589">
        <f>SUM(K128:K131)</f>
      </c>
      <c r="L132" s="590">
        <f t="shared" si="2"/>
      </c>
      <c r="M132" s="590">
        <f t="shared" si="0"/>
      </c>
      <c r="N132" s="590">
        <f t="shared" si="3"/>
      </c>
      <c r="O132" s="591"/>
      <c r="P132" s="589">
        <f>P128+P129+P130+P131</f>
      </c>
      <c r="Q132" s="591"/>
    </row>
    <row hidden="true" r="133">
      <c r="A133" s="578">
        <v>46018</v>
      </c>
      <c r="B133" s="579" t="s">
        <v>595</v>
      </c>
      <c r="C133" s="580" t="s">
        <v>615</v>
      </c>
      <c r="D133" s="579">
        <v>4</v>
      </c>
      <c r="E133" s="579">
        <v>43</v>
      </c>
      <c r="F133" s="579">
        <v>33</v>
      </c>
      <c r="G133" s="579">
        <v>21</v>
      </c>
      <c r="H133" s="579">
        <v>16</v>
      </c>
      <c r="I133" s="579">
        <v>4</v>
      </c>
      <c r="J133" s="581">
        <v>28672.199999999997</v>
      </c>
      <c r="K133" s="581">
        <v>20331.12</v>
      </c>
      <c r="L133" s="582">
        <f t="shared" si="2"/>
      </c>
      <c r="M133" s="582">
        <f t="shared" si="0"/>
      </c>
      <c r="N133" s="582">
        <f t="shared" si="3"/>
      </c>
      <c r="O133" s="583" t="s">
        <v>616</v>
      </c>
      <c r="P133" s="579">
        <v>10</v>
      </c>
      <c r="Q133" s="584"/>
    </row>
    <row r="134">
      <c r="A134" s="578">
        <v>46018</v>
      </c>
      <c r="B134" s="579" t="s">
        <v>593</v>
      </c>
      <c r="C134" s="580" t="s">
        <v>617</v>
      </c>
      <c r="D134" s="579">
        <v>5</v>
      </c>
      <c r="E134" s="579">
        <v>41</v>
      </c>
      <c r="F134" s="579">
        <v>36</v>
      </c>
      <c r="G134" s="579">
        <v>33</v>
      </c>
      <c r="H134" s="579">
        <v>26</v>
      </c>
      <c r="I134" s="579">
        <v>2</v>
      </c>
      <c r="J134" s="581">
        <v>41265.4</v>
      </c>
      <c r="K134" s="581">
        <v>18663.57</v>
      </c>
      <c r="L134" s="582">
        <f t="shared" si="2"/>
      </c>
      <c r="M134" s="582">
        <f t="shared" si="0"/>
      </c>
      <c r="N134" s="582">
        <f t="shared" si="3"/>
      </c>
      <c r="O134" s="585"/>
      <c r="P134" s="585"/>
      <c r="Q134" s="586"/>
    </row>
    <row customHeight="true" hidden="true" ht="16.071428571428573" r="135">
      <c r="A135" s="578">
        <v>46018</v>
      </c>
      <c r="B135" s="579" t="s">
        <v>591</v>
      </c>
      <c r="C135" s="580" t="s">
        <v>612</v>
      </c>
      <c r="D135" s="579">
        <v>4</v>
      </c>
      <c r="E135" s="579">
        <v>31</v>
      </c>
      <c r="F135" s="579">
        <v>19</v>
      </c>
      <c r="G135" s="579">
        <v>16</v>
      </c>
      <c r="H135" s="579">
        <v>13</v>
      </c>
      <c r="I135" s="579">
        <v>1</v>
      </c>
      <c r="J135" s="581">
        <v>19103.799999999996</v>
      </c>
      <c r="K135" s="581">
        <v>13295.439999999999</v>
      </c>
      <c r="L135" s="582">
        <f t="shared" si="2"/>
      </c>
      <c r="M135" s="582">
        <f t="shared" si="0"/>
      </c>
      <c r="N135" s="582">
        <f t="shared" si="3"/>
      </c>
      <c r="O135" s="585"/>
      <c r="P135" s="585"/>
      <c r="Q135" s="586"/>
    </row>
    <row hidden="true" r="136">
      <c r="A136" s="578">
        <v>46018</v>
      </c>
      <c r="B136" s="579" t="s">
        <v>613</v>
      </c>
      <c r="C136" s="580" t="s">
        <v>614</v>
      </c>
      <c r="D136" s="579">
        <v>2</v>
      </c>
      <c r="E136" s="579">
        <v>8</v>
      </c>
      <c r="F136" s="579">
        <v>6</v>
      </c>
      <c r="G136" s="579">
        <v>2</v>
      </c>
      <c r="H136" s="579">
        <v>6</v>
      </c>
      <c r="I136" s="579">
        <v>2</v>
      </c>
      <c r="J136" s="581">
        <v>3154.7999999999997</v>
      </c>
      <c r="K136" s="581">
        <v>5634.610000000001</v>
      </c>
      <c r="L136" s="582">
        <f t="shared" si="2"/>
      </c>
      <c r="M136" s="582">
        <f t="shared" si="0"/>
      </c>
      <c r="N136" s="582">
        <f t="shared" si="3"/>
      </c>
      <c r="P136" s="579"/>
      <c r="Q136" s="587"/>
    </row>
    <row hidden="true" r="137">
      <c r="A137" s="578">
        <v>46018</v>
      </c>
      <c r="B137" s="579" t="s">
        <v>599</v>
      </c>
      <c r="C137" s="580" t="s">
        <v>596</v>
      </c>
      <c r="D137" s="579">
        <v>5</v>
      </c>
      <c r="E137" s="579">
        <v>56</v>
      </c>
      <c r="F137" s="579">
        <v>47</v>
      </c>
      <c r="G137" s="579">
        <v>32</v>
      </c>
      <c r="H137" s="579">
        <v>32</v>
      </c>
      <c r="I137" s="579">
        <v>5</v>
      </c>
      <c r="J137" s="581">
        <v>56261.4</v>
      </c>
      <c r="K137" s="581">
        <v>19220.420000000002</v>
      </c>
      <c r="L137" s="582">
        <f t="shared" si="2"/>
      </c>
      <c r="M137" s="582">
        <f t="shared" si="0"/>
      </c>
      <c r="N137" s="582">
        <f t="shared" si="3"/>
      </c>
      <c r="O137" s="583" t="s">
        <v>608</v>
      </c>
      <c r="P137" s="579">
        <v>10</v>
      </c>
      <c r="Q137" s="585"/>
    </row>
    <row hidden="true" r="138">
      <c r="A138" s="588">
        <v>46018</v>
      </c>
      <c r="B138" s="589"/>
      <c r="C138" s="589"/>
      <c r="D138" s="589">
        <f>SUM(D133:D137)</f>
      </c>
      <c r="E138" s="589">
        <f>SUM(E133:E137)</f>
      </c>
      <c r="F138" s="589">
        <f>SUM(F133:F137)</f>
      </c>
      <c r="G138" s="589">
        <f>SUM(G133:G137)</f>
      </c>
      <c r="H138" s="589">
        <f>SUM(H133:H137)</f>
      </c>
      <c r="I138" s="589">
        <f>SUM(I133:I137)</f>
      </c>
      <c r="J138" s="589">
        <f>SUM(J133:J137)</f>
      </c>
      <c r="K138" s="589">
        <f>SUM(K133:K137)</f>
      </c>
      <c r="L138" s="590">
        <f t="shared" si="2"/>
      </c>
      <c r="M138" s="590">
        <f t="shared" si="0"/>
      </c>
      <c r="N138" s="590">
        <f t="shared" si="3"/>
      </c>
      <c r="O138" s="591"/>
      <c r="P138" s="589">
        <f>P133+P134+P136+P137</f>
      </c>
      <c r="Q138" s="591"/>
    </row>
    <row r="139">
      <c r="A139" s="578">
        <v>46019</v>
      </c>
      <c r="B139" s="579" t="s">
        <v>593</v>
      </c>
      <c r="C139" s="580" t="s">
        <v>589</v>
      </c>
      <c r="D139" s="579">
        <v>5</v>
      </c>
      <c r="E139" s="579">
        <v>54</v>
      </c>
      <c r="F139" s="579">
        <v>42</v>
      </c>
      <c r="G139" s="579">
        <v>29</v>
      </c>
      <c r="H139" s="579">
        <v>25</v>
      </c>
      <c r="I139" s="579">
        <v>4</v>
      </c>
      <c r="J139" s="581">
        <v>53782</v>
      </c>
      <c r="K139" s="581">
        <v>28872.449999999997</v>
      </c>
      <c r="L139" s="582">
        <f t="shared" si="2"/>
      </c>
      <c r="M139" s="582">
        <f t="shared" si="0"/>
      </c>
      <c r="N139" s="582">
        <f t="shared" si="3"/>
      </c>
      <c r="O139" s="583" t="s">
        <v>590</v>
      </c>
      <c r="P139" s="579">
        <v>10</v>
      </c>
      <c r="Q139" s="584"/>
    </row>
    <row hidden="true" r="140">
      <c r="A140" s="578">
        <v>46019</v>
      </c>
      <c r="B140" s="579" t="s">
        <v>591</v>
      </c>
      <c r="C140" s="580" t="s">
        <v>611</v>
      </c>
      <c r="D140" s="579">
        <v>4</v>
      </c>
      <c r="E140" s="579">
        <v>43</v>
      </c>
      <c r="F140" s="579">
        <v>31</v>
      </c>
      <c r="G140" s="579">
        <v>29</v>
      </c>
      <c r="H140" s="579">
        <v>18</v>
      </c>
      <c r="I140" s="579">
        <v>2</v>
      </c>
      <c r="J140" s="581">
        <v>40829.799999999996</v>
      </c>
      <c r="K140" s="581">
        <v>21079.909999999996</v>
      </c>
      <c r="L140" s="582">
        <f t="shared" si="2"/>
      </c>
      <c r="M140" s="582">
        <f t="shared" si="0"/>
      </c>
      <c r="N140" s="582">
        <f t="shared" si="3"/>
      </c>
      <c r="O140" s="585"/>
      <c r="P140" s="585"/>
      <c r="Q140" s="586"/>
    </row>
    <row hidden="true" r="141">
      <c r="A141" s="578">
        <v>46019</v>
      </c>
      <c r="B141" s="579" t="s">
        <v>599</v>
      </c>
      <c r="C141" s="580" t="s">
        <v>612</v>
      </c>
      <c r="D141" s="579">
        <v>4</v>
      </c>
      <c r="E141" s="579">
        <v>53</v>
      </c>
      <c r="F141" s="579">
        <v>39</v>
      </c>
      <c r="G141" s="579">
        <v>28</v>
      </c>
      <c r="H141" s="579">
        <v>28</v>
      </c>
      <c r="I141" s="579">
        <v>5</v>
      </c>
      <c r="J141" s="581">
        <v>55853.8</v>
      </c>
      <c r="K141" s="581">
        <v>15859.649999999998</v>
      </c>
      <c r="L141" s="582">
        <f t="shared" si="2"/>
      </c>
      <c r="M141" s="582">
        <f t="shared" si="0"/>
      </c>
      <c r="N141" s="582">
        <f t="shared" si="3"/>
      </c>
      <c r="O141" s="585"/>
      <c r="P141" s="585"/>
      <c r="Q141" s="586"/>
    </row>
    <row hidden="true" r="142">
      <c r="A142" s="578">
        <v>46019</v>
      </c>
      <c r="B142" s="579" t="s">
        <v>613</v>
      </c>
      <c r="C142" s="580" t="s">
        <v>614</v>
      </c>
      <c r="D142" s="579">
        <v>2</v>
      </c>
      <c r="E142" s="579">
        <v>29</v>
      </c>
      <c r="F142" s="579">
        <v>23</v>
      </c>
      <c r="G142" s="579">
        <v>11</v>
      </c>
      <c r="H142" s="579">
        <v>22</v>
      </c>
      <c r="I142" s="579">
        <v>6</v>
      </c>
      <c r="J142" s="581">
        <v>15284.8</v>
      </c>
      <c r="K142" s="581">
        <v>8532.96</v>
      </c>
      <c r="L142" s="582">
        <f t="shared" si="2"/>
      </c>
      <c r="M142" s="582">
        <f t="shared" si="0"/>
      </c>
      <c r="N142" s="582">
        <f t="shared" si="3"/>
      </c>
      <c r="P142" s="579"/>
      <c r="Q142" s="587"/>
    </row>
    <row hidden="true" r="143">
      <c r="A143" s="578">
        <v>46019</v>
      </c>
      <c r="B143" s="579" t="s">
        <v>595</v>
      </c>
      <c r="C143" s="580" t="s">
        <v>596</v>
      </c>
      <c r="D143" s="579">
        <v>5</v>
      </c>
      <c r="E143" s="579">
        <v>58</v>
      </c>
      <c r="F143" s="579">
        <v>42</v>
      </c>
      <c r="G143" s="579">
        <v>29</v>
      </c>
      <c r="H143" s="579">
        <v>33</v>
      </c>
      <c r="I143" s="579">
        <v>8</v>
      </c>
      <c r="J143" s="581">
        <v>52229.8</v>
      </c>
      <c r="K143" s="581">
        <v>21388.82</v>
      </c>
      <c r="L143" s="582">
        <f t="shared" si="2"/>
      </c>
      <c r="M143" s="582">
        <f t="shared" si="0"/>
      </c>
      <c r="N143" s="582">
        <f t="shared" si="3"/>
      </c>
      <c r="O143" s="583" t="s">
        <v>608</v>
      </c>
      <c r="P143" s="579">
        <v>10</v>
      </c>
      <c r="Q143" s="585"/>
    </row>
    <row hidden="true" r="144">
      <c r="A144" s="588">
        <v>46019</v>
      </c>
      <c r="B144" s="589"/>
      <c r="C144" s="589"/>
      <c r="D144" s="589">
        <f>SUM(D139:D143)</f>
      </c>
      <c r="E144" s="589">
        <f>SUM(E139:E143)</f>
      </c>
      <c r="F144" s="589">
        <f>SUM(F139:F143)</f>
      </c>
      <c r="G144" s="589">
        <f>SUM(G139:G143)</f>
      </c>
      <c r="H144" s="589">
        <f>SUM(H139:H143)</f>
      </c>
      <c r="I144" s="589">
        <f>SUM(I139:I143)</f>
      </c>
      <c r="J144" s="589">
        <f>SUM(J139:J143)</f>
      </c>
      <c r="K144" s="589">
        <f>SUM(K139:K143)</f>
      </c>
      <c r="L144" s="590">
        <f t="shared" si="2"/>
      </c>
      <c r="M144" s="590">
        <f t="shared" si="0"/>
      </c>
      <c r="N144" s="590">
        <f t="shared" si="3"/>
      </c>
      <c r="O144" s="591"/>
      <c r="P144" s="589">
        <f>P139+P140+P142+P143</f>
      </c>
      <c r="Q144" s="591"/>
    </row>
    <row r="145">
      <c r="A145" s="578">
        <v>46020</v>
      </c>
      <c r="B145" s="579" t="s">
        <v>593</v>
      </c>
      <c r="C145" s="580" t="s">
        <v>589</v>
      </c>
      <c r="D145" s="579">
        <v>5</v>
      </c>
      <c r="E145" s="579">
        <v>73</v>
      </c>
      <c r="F145" s="579">
        <v>57</v>
      </c>
      <c r="G145" s="579">
        <v>35</v>
      </c>
      <c r="H145" s="579">
        <v>43</v>
      </c>
      <c r="I145" s="579">
        <v>10</v>
      </c>
      <c r="J145" s="581">
        <v>78367</v>
      </c>
      <c r="K145" s="581">
        <v>26072.56</v>
      </c>
      <c r="L145" s="582">
        <f t="shared" si="2"/>
      </c>
      <c r="M145" s="582">
        <f t="shared" si="0"/>
      </c>
      <c r="N145" s="582">
        <f t="shared" si="3"/>
      </c>
      <c r="O145" s="583" t="s">
        <v>590</v>
      </c>
      <c r="P145" s="579">
        <v>10</v>
      </c>
      <c r="Q145" s="584"/>
    </row>
    <row hidden="true" r="146">
      <c r="A146" s="578">
        <v>46020</v>
      </c>
      <c r="B146" s="579" t="s">
        <v>591</v>
      </c>
      <c r="C146" s="580" t="s">
        <v>592</v>
      </c>
      <c r="D146" s="579">
        <v>5</v>
      </c>
      <c r="E146" s="579">
        <v>70</v>
      </c>
      <c r="F146" s="579">
        <v>56</v>
      </c>
      <c r="G146" s="579">
        <v>41</v>
      </c>
      <c r="H146" s="579">
        <v>38</v>
      </c>
      <c r="I146" s="579">
        <v>5</v>
      </c>
      <c r="J146" s="581">
        <v>63348</v>
      </c>
      <c r="K146" s="581">
        <v>29209.9</v>
      </c>
      <c r="L146" s="582">
        <f t="shared" si="2"/>
      </c>
      <c r="M146" s="582">
        <f t="shared" si="0"/>
      </c>
      <c r="N146" s="582">
        <f t="shared" si="3"/>
      </c>
      <c r="O146" s="585"/>
      <c r="P146" s="585"/>
      <c r="Q146" s="586"/>
    </row>
    <row hidden="true" r="147">
      <c r="A147" s="578">
        <v>46020</v>
      </c>
      <c r="B147" s="579" t="s">
        <v>599</v>
      </c>
      <c r="C147" s="580" t="s">
        <v>594</v>
      </c>
      <c r="D147" s="579">
        <v>5</v>
      </c>
      <c r="E147" s="579">
        <v>38</v>
      </c>
      <c r="F147" s="579">
        <v>29</v>
      </c>
      <c r="G147" s="579">
        <v>19</v>
      </c>
      <c r="H147" s="579">
        <v>22</v>
      </c>
      <c r="I147" s="579">
        <v>4</v>
      </c>
      <c r="J147" s="581">
        <v>36453.6</v>
      </c>
      <c r="K147" s="581">
        <v>21794.510000000002</v>
      </c>
      <c r="L147" s="582">
        <f t="shared" si="2"/>
      </c>
      <c r="M147" s="582">
        <f t="shared" si="0"/>
      </c>
      <c r="N147" s="582">
        <f t="shared" si="3"/>
      </c>
      <c r="O147" s="585"/>
      <c r="P147" s="585"/>
      <c r="Q147" s="586"/>
    </row>
    <row hidden="true" r="148">
      <c r="A148" s="578">
        <v>46020</v>
      </c>
      <c r="B148" s="579" t="s">
        <v>595</v>
      </c>
      <c r="C148" s="580" t="s">
        <v>596</v>
      </c>
      <c r="D148" s="579">
        <v>5</v>
      </c>
      <c r="E148" s="579">
        <v>63</v>
      </c>
      <c r="F148" s="579">
        <v>43</v>
      </c>
      <c r="G148" s="579">
        <v>28</v>
      </c>
      <c r="H148" s="579">
        <v>29</v>
      </c>
      <c r="I148" s="579">
        <v>8</v>
      </c>
      <c r="J148" s="581">
        <v>60158.40000000001</v>
      </c>
      <c r="K148" s="581">
        <v>22141.530000000002</v>
      </c>
      <c r="L148" s="582">
        <f t="shared" si="2"/>
      </c>
      <c r="M148" s="582">
        <f t="shared" si="0"/>
      </c>
      <c r="N148" s="582">
        <f t="shared" si="3"/>
      </c>
      <c r="O148" s="583" t="s">
        <v>608</v>
      </c>
      <c r="P148" s="579">
        <v>10</v>
      </c>
      <c r="Q148" s="585"/>
    </row>
    <row hidden="true" r="149">
      <c r="A149" s="588">
        <v>46020</v>
      </c>
      <c r="B149" s="589"/>
      <c r="C149" s="589"/>
      <c r="D149" s="589">
        <f>SUM(D145:D148)</f>
      </c>
      <c r="E149" s="589">
        <f>SUM(E145:E148)</f>
      </c>
      <c r="F149" s="589">
        <f>SUM(F145:F148)</f>
      </c>
      <c r="G149" s="589">
        <f>SUM(G145:G148)</f>
      </c>
      <c r="H149" s="589">
        <f>SUM(H145:H148)</f>
      </c>
      <c r="I149" s="589">
        <f>SUM(I145:I148)</f>
      </c>
      <c r="J149" s="589">
        <f>SUM(J145:J148)</f>
      </c>
      <c r="K149" s="589">
        <f>SUM(K145:K148)</f>
      </c>
      <c r="L149" s="590">
        <f t="shared" si="2"/>
      </c>
      <c r="M149" s="590">
        <f t="shared" si="0"/>
      </c>
      <c r="N149" s="590">
        <f t="shared" si="3"/>
      </c>
      <c r="O149" s="591"/>
      <c r="P149" s="589">
        <f>P145+P146+P147+P148</f>
      </c>
      <c r="Q149" s="591"/>
    </row>
    <row r="150">
      <c r="A150" s="578">
        <v>46021</v>
      </c>
      <c r="B150" s="579" t="s">
        <v>593</v>
      </c>
      <c r="C150" s="580" t="s">
        <v>589</v>
      </c>
      <c r="D150" s="579">
        <v>5</v>
      </c>
      <c r="E150" s="579">
        <v>65</v>
      </c>
      <c r="F150" s="579">
        <v>56</v>
      </c>
      <c r="G150" s="579">
        <v>39</v>
      </c>
      <c r="H150" s="579">
        <v>42</v>
      </c>
      <c r="I150" s="579">
        <v>3</v>
      </c>
      <c r="J150" s="581">
        <v>59555.600000000006</v>
      </c>
      <c r="K150" s="581">
        <v>28310.640000000003</v>
      </c>
      <c r="L150" s="582">
        <f t="shared" si="2"/>
      </c>
      <c r="M150" s="582">
        <f t="shared" si="0"/>
      </c>
      <c r="N150" s="582">
        <f t="shared" si="3"/>
      </c>
      <c r="O150" s="583" t="s">
        <v>590</v>
      </c>
      <c r="P150" s="579">
        <v>10</v>
      </c>
      <c r="Q150" s="584"/>
    </row>
    <row hidden="true" r="151">
      <c r="A151" s="578">
        <v>46021</v>
      </c>
      <c r="B151" s="579" t="s">
        <v>591</v>
      </c>
      <c r="C151" s="580" t="s">
        <v>592</v>
      </c>
      <c r="D151" s="579">
        <v>5</v>
      </c>
      <c r="E151" s="579">
        <v>81</v>
      </c>
      <c r="F151" s="579">
        <v>63</v>
      </c>
      <c r="G151" s="579">
        <v>55</v>
      </c>
      <c r="H151" s="579">
        <v>36</v>
      </c>
      <c r="I151" s="579">
        <v>2</v>
      </c>
      <c r="J151" s="581">
        <v>58626.49999999999</v>
      </c>
      <c r="K151" s="581">
        <v>33938.66</v>
      </c>
      <c r="L151" s="582">
        <f t="shared" si="2"/>
      </c>
      <c r="M151" s="582">
        <f t="shared" si="0"/>
      </c>
      <c r="N151" s="582">
        <f t="shared" si="3"/>
      </c>
      <c r="O151" s="585"/>
      <c r="P151" s="585"/>
      <c r="Q151" s="586"/>
    </row>
    <row hidden="true" r="152">
      <c r="A152" s="578">
        <v>46021</v>
      </c>
      <c r="B152" s="579" t="s">
        <v>599</v>
      </c>
      <c r="C152" s="580" t="s">
        <v>594</v>
      </c>
      <c r="D152" s="579">
        <v>5</v>
      </c>
      <c r="E152" s="579">
        <v>140</v>
      </c>
      <c r="F152" s="579">
        <v>104</v>
      </c>
      <c r="G152" s="579">
        <v>77</v>
      </c>
      <c r="H152" s="579">
        <v>65</v>
      </c>
      <c r="I152" s="579">
        <v>10</v>
      </c>
      <c r="J152" s="581">
        <v>102810</v>
      </c>
      <c r="K152" s="581">
        <v>49523.170000000006</v>
      </c>
      <c r="L152" s="582">
        <f t="shared" si="2"/>
      </c>
      <c r="M152" s="582">
        <f t="shared" si="0"/>
      </c>
      <c r="N152" s="582">
        <f t="shared" si="3"/>
      </c>
      <c r="O152" s="583" t="s">
        <v>610</v>
      </c>
      <c r="P152" s="585">
        <v>8</v>
      </c>
      <c r="Q152" s="586"/>
    </row>
    <row hidden="true" r="153">
      <c r="A153" s="578">
        <v>46021</v>
      </c>
      <c r="B153" s="579" t="s">
        <v>595</v>
      </c>
      <c r="C153" s="580" t="s">
        <v>596</v>
      </c>
      <c r="D153" s="579">
        <v>5</v>
      </c>
      <c r="E153" s="579">
        <v>87</v>
      </c>
      <c r="F153" s="579">
        <v>71</v>
      </c>
      <c r="G153" s="579">
        <v>56</v>
      </c>
      <c r="H153" s="579">
        <v>44</v>
      </c>
      <c r="I153" s="579">
        <v>10</v>
      </c>
      <c r="J153" s="581">
        <v>69381</v>
      </c>
      <c r="K153" s="581">
        <v>45321.8</v>
      </c>
      <c r="L153" s="582">
        <f t="shared" si="2"/>
      </c>
      <c r="M153" s="582">
        <f t="shared" si="0"/>
      </c>
      <c r="N153" s="582">
        <f t="shared" si="3"/>
      </c>
      <c r="O153" s="583" t="s">
        <v>597</v>
      </c>
      <c r="P153" s="579">
        <v>2</v>
      </c>
      <c r="Q153" s="585"/>
    </row>
    <row hidden="true" r="154">
      <c r="A154" s="588">
        <v>46021</v>
      </c>
      <c r="B154" s="589"/>
      <c r="C154" s="589"/>
      <c r="D154" s="589">
        <f>SUM(D150:D153)</f>
      </c>
      <c r="E154" s="589">
        <f>SUM(E150:E153)</f>
      </c>
      <c r="F154" s="589">
        <f>SUM(F150:F153)</f>
      </c>
      <c r="G154" s="589">
        <f>SUM(G150:G153)</f>
      </c>
      <c r="H154" s="589">
        <f>SUM(H150:H153)</f>
      </c>
      <c r="I154" s="589">
        <f>SUM(I150:I153)</f>
      </c>
      <c r="J154" s="589">
        <f>SUM(J150:J153)</f>
      </c>
      <c r="K154" s="589">
        <f>SUM(K150:K153)</f>
      </c>
      <c r="L154" s="590">
        <f t="shared" si="2"/>
      </c>
      <c r="M154" s="590">
        <f t="shared" si="0"/>
      </c>
      <c r="N154" s="590">
        <f t="shared" si="3"/>
      </c>
      <c r="O154" s="591"/>
      <c r="P154" s="589">
        <f>P150+P151+P152+P153</f>
      </c>
      <c r="Q154" s="591"/>
    </row>
    <row hidden="true" r="155">
      <c r="A155" s="578">
        <v>46022</v>
      </c>
      <c r="B155" s="579" t="s">
        <v>591</v>
      </c>
      <c r="C155" s="580" t="s">
        <v>589</v>
      </c>
      <c r="D155" s="592">
        <v>4.5</v>
      </c>
      <c r="E155" s="579">
        <v>53</v>
      </c>
      <c r="F155" s="579">
        <v>37</v>
      </c>
      <c r="G155" s="579">
        <v>30</v>
      </c>
      <c r="H155" s="579">
        <v>30</v>
      </c>
      <c r="I155" s="579">
        <v>3</v>
      </c>
      <c r="J155" s="581">
        <v>33747</v>
      </c>
      <c r="K155" s="581">
        <v>31454.08</v>
      </c>
      <c r="L155" s="582">
        <f t="shared" si="2"/>
      </c>
      <c r="M155" s="582">
        <f t="shared" si="0"/>
      </c>
      <c r="N155" s="582">
        <f t="shared" si="3"/>
      </c>
      <c r="O155" s="583" t="s">
        <v>590</v>
      </c>
      <c r="P155" s="579">
        <v>10</v>
      </c>
      <c r="Q155" s="584"/>
    </row>
    <row hidden="true" r="156">
      <c r="A156" s="578">
        <v>46022</v>
      </c>
      <c r="B156" s="579" t="s">
        <v>595</v>
      </c>
      <c r="C156" s="580" t="s">
        <v>592</v>
      </c>
      <c r="D156" s="592">
        <v>4.5</v>
      </c>
      <c r="E156" s="579">
        <v>83</v>
      </c>
      <c r="F156" s="579">
        <v>69</v>
      </c>
      <c r="G156" s="579">
        <v>47</v>
      </c>
      <c r="H156" s="579">
        <v>49</v>
      </c>
      <c r="I156" s="579">
        <v>10</v>
      </c>
      <c r="J156" s="581">
        <v>59823</v>
      </c>
      <c r="K156" s="581">
        <v>30283.159999999996</v>
      </c>
      <c r="L156" s="582">
        <f t="shared" si="2"/>
      </c>
      <c r="M156" s="582">
        <f t="shared" si="0"/>
      </c>
      <c r="N156" s="582">
        <f t="shared" si="3"/>
      </c>
      <c r="O156" s="585"/>
      <c r="P156" s="585"/>
      <c r="Q156" s="586"/>
    </row>
    <row hidden="true" r="157">
      <c r="A157" s="578">
        <v>46022</v>
      </c>
      <c r="B157" s="579" t="s">
        <v>588</v>
      </c>
      <c r="C157" s="580" t="s">
        <v>594</v>
      </c>
      <c r="D157" s="579">
        <v>5</v>
      </c>
      <c r="E157" s="579">
        <v>78</v>
      </c>
      <c r="F157" s="579">
        <v>52</v>
      </c>
      <c r="G157" s="579">
        <v>38</v>
      </c>
      <c r="H157" s="579">
        <v>31</v>
      </c>
      <c r="I157" s="579">
        <v>7</v>
      </c>
      <c r="J157" s="581">
        <v>54281.899999999994</v>
      </c>
      <c r="K157" s="581">
        <v>25057.95</v>
      </c>
      <c r="L157" s="582">
        <f t="shared" si="2"/>
      </c>
      <c r="M157" s="582">
        <f t="shared" si="0"/>
      </c>
      <c r="N157" s="582">
        <f t="shared" si="3"/>
      </c>
      <c r="O157" s="583"/>
      <c r="P157" s="585"/>
      <c r="Q157" s="586"/>
    </row>
    <row hidden="true" r="158">
      <c r="A158" s="578">
        <v>46022</v>
      </c>
      <c r="B158" s="579" t="s">
        <v>599</v>
      </c>
      <c r="C158" s="580" t="s">
        <v>596</v>
      </c>
      <c r="D158" s="579">
        <v>5</v>
      </c>
      <c r="E158" s="579">
        <v>112</v>
      </c>
      <c r="F158" s="579">
        <v>77</v>
      </c>
      <c r="G158" s="579">
        <v>58</v>
      </c>
      <c r="H158" s="579">
        <v>42</v>
      </c>
      <c r="I158" s="579">
        <v>9</v>
      </c>
      <c r="J158" s="581">
        <v>80933.69999999998</v>
      </c>
      <c r="K158" s="581">
        <v>34248.76</v>
      </c>
      <c r="L158" s="582">
        <f t="shared" si="2"/>
      </c>
      <c r="M158" s="582">
        <f t="shared" si="0"/>
      </c>
      <c r="N158" s="582">
        <f t="shared" si="3"/>
      </c>
      <c r="O158" s="583" t="s">
        <v>608</v>
      </c>
      <c r="P158" s="579">
        <v>10</v>
      </c>
      <c r="Q158" s="585"/>
    </row>
    <row hidden="true" r="159">
      <c r="A159" s="588">
        <v>46022</v>
      </c>
      <c r="B159" s="589"/>
      <c r="C159" s="589"/>
      <c r="D159" s="589">
        <f>SUM(D155:D158)</f>
      </c>
      <c r="E159" s="589">
        <f>SUM(E155:E158)</f>
      </c>
      <c r="F159" s="589">
        <f>SUM(F155:F158)</f>
      </c>
      <c r="G159" s="589">
        <f>SUM(G155:G158)</f>
      </c>
      <c r="H159" s="589">
        <f>SUM(H155:H158)</f>
      </c>
      <c r="I159" s="589">
        <f>SUM(I155:I158)</f>
      </c>
      <c r="J159" s="589">
        <f>SUM(J155:J158)</f>
      </c>
      <c r="K159" s="589">
        <f>SUM(K155:K158)</f>
      </c>
      <c r="L159" s="590">
        <f t="shared" si="2"/>
      </c>
      <c r="M159" s="590">
        <f t="shared" si="0"/>
      </c>
      <c r="N159" s="590">
        <f t="shared" si="3"/>
      </c>
      <c r="O159" s="591"/>
      <c r="P159" s="589">
        <f>P155+P156+P157+P158</f>
      </c>
      <c r="Q159" s="591"/>
    </row>
    <row hidden="true" r="160"/>
    <row hidden="true" r="161"/>
    <row hidden="true" r="162"/>
    <row hidden="true" r="163"/>
    <row hidden="true" r="164"/>
    <row hidden="true" r="165"/>
    <row hidden="true" r="166"/>
    <row hidden="true" r="167"/>
    <row hidden="true" r="168"/>
    <row hidden="true" r="169"/>
    <row hidden="true" r="170"/>
    <row hidden="true" r="171"/>
    <row hidden="true" r="172"/>
    <row hidden="true" r="173"/>
    <row customHeight="true" hidden="true" ht="16.071428571428573" r="174">
      <c r="A174" s="578"/>
      <c r="B174" s="579"/>
      <c r="C174" s="580"/>
      <c r="D174" s="579"/>
      <c r="E174" s="593"/>
      <c r="F174" s="579"/>
      <c r="G174" s="579"/>
      <c r="H174" s="579"/>
      <c r="I174" s="579"/>
      <c r="J174" s="581"/>
      <c r="K174" s="579"/>
      <c r="L174" s="582"/>
      <c r="M174" s="582"/>
      <c r="N174" s="582"/>
      <c r="O174" s="583"/>
      <c r="P174" s="579"/>
      <c r="Q174" s="584"/>
    </row>
    <row customHeight="true" hidden="true" ht="16.071428571428573" r="175">
      <c r="A175" s="578"/>
      <c r="B175" s="579"/>
      <c r="C175" s="580"/>
      <c r="D175" s="579"/>
      <c r="E175" s="579"/>
      <c r="F175" s="579"/>
      <c r="G175" s="579"/>
      <c r="H175" s="579"/>
      <c r="I175" s="579"/>
      <c r="J175" s="581"/>
      <c r="K175" s="581"/>
      <c r="L175" s="582"/>
      <c r="M175" s="582"/>
      <c r="N175" s="582"/>
      <c r="O175" s="583"/>
      <c r="P175" s="579"/>
      <c r="Q175" s="584"/>
    </row>
    <row customHeight="true" hidden="true" ht="16.071428571428573" r="176">
      <c r="A176" s="578"/>
      <c r="B176" s="579"/>
      <c r="C176" s="580"/>
      <c r="D176" s="579"/>
      <c r="E176" s="579"/>
      <c r="F176" s="579"/>
      <c r="G176" s="579"/>
      <c r="H176" s="579"/>
      <c r="I176" s="579"/>
      <c r="J176" s="581"/>
      <c r="K176" s="581"/>
      <c r="L176" s="582"/>
      <c r="M176" s="582"/>
      <c r="N176" s="582"/>
      <c r="O176" s="585"/>
      <c r="P176" s="585"/>
      <c r="Q176" s="586"/>
    </row>
    <row customHeight="true" hidden="true" ht="16.071428571428573" r="177">
      <c r="A177" s="578"/>
      <c r="B177" s="579"/>
      <c r="C177" s="580"/>
      <c r="D177" s="579"/>
      <c r="E177" s="579"/>
      <c r="F177" s="579"/>
      <c r="G177" s="579"/>
      <c r="H177" s="579"/>
      <c r="I177" s="579"/>
      <c r="J177" s="581"/>
      <c r="K177" s="581"/>
      <c r="L177" s="582"/>
      <c r="M177" s="582"/>
      <c r="N177" s="582"/>
      <c r="O177" s="583"/>
      <c r="P177" s="585"/>
      <c r="Q177" s="586"/>
    </row>
    <row customHeight="true" hidden="true" ht="16.071428571428573" r="178"/>
    <row customHeight="true" hidden="true" ht="16.071428571428573" r="179"/>
    <row customHeight="true" hidden="true" ht="16.071428571428573" r="180">
      <c r="F180" s="594"/>
      <c r="H180" s="594"/>
      <c r="I180" s="594"/>
    </row>
    <row customHeight="true" hidden="true" ht="16.071428571428573" r="181">
      <c r="F181" s="594"/>
      <c r="H181" s="594"/>
      <c r="I181" s="594"/>
    </row>
    <row customHeight="true" hidden="true" ht="16.071428571428573" r="182">
      <c r="F182" s="594"/>
      <c r="H182" s="594"/>
      <c r="I182" s="594"/>
    </row>
    <row customHeight="true" hidden="true" ht="16.071428571428573" r="183">
      <c r="D183" s="595"/>
      <c r="E183" s="595"/>
      <c r="F183" s="596"/>
      <c r="G183" s="597"/>
      <c r="H183" s="598"/>
    </row>
    <row customHeight="true" hidden="true" ht="16.071428571428573" r="184">
      <c r="D184" s="595"/>
      <c r="E184" s="595"/>
      <c r="F184" s="596"/>
      <c r="G184" s="599"/>
      <c r="H184" s="598"/>
    </row>
    <row customHeight="true" hidden="true" ht="16.071428571428573" r="185">
      <c r="D185" s="595"/>
      <c r="E185" s="595"/>
      <c r="F185" s="596"/>
      <c r="G185" s="599"/>
      <c r="H185" s="598"/>
    </row>
    <row customHeight="true" hidden="true" ht="16.071428571428573" r="186">
      <c r="D186" s="595"/>
      <c r="E186" s="595"/>
      <c r="F186" s="596"/>
      <c r="G186" s="599"/>
      <c r="H186" s="598"/>
    </row>
    <row customHeight="true" hidden="true" ht="16.071428571428573" r="187">
      <c r="D187" s="595"/>
      <c r="E187" s="595"/>
      <c r="F187" s="596"/>
      <c r="G187" s="599"/>
      <c r="H187" s="598"/>
    </row>
    <row customHeight="true" hidden="true" ht="16.071428571428573" r="188">
      <c r="D188" s="595"/>
      <c r="E188" s="595"/>
      <c r="F188" s="596"/>
      <c r="G188" s="599"/>
      <c r="H188" s="598"/>
    </row>
    <row customHeight="true" hidden="true" ht="16.071428571428573" r="189">
      <c r="D189" s="595"/>
      <c r="E189" s="595"/>
      <c r="F189" s="596"/>
      <c r="G189" s="599"/>
      <c r="H189" s="598"/>
    </row>
    <row customHeight="true" hidden="true" ht="16.071428571428573" r="190">
      <c r="A190" s="578"/>
      <c r="B190" s="579"/>
      <c r="C190" s="580"/>
      <c r="D190" s="579"/>
      <c r="E190" s="579"/>
      <c r="F190" s="579"/>
      <c r="G190" s="579"/>
      <c r="H190" s="579"/>
      <c r="I190" s="579"/>
      <c r="J190" s="581"/>
      <c r="K190" s="581"/>
      <c r="L190" s="582"/>
      <c r="M190" s="582"/>
      <c r="N190" s="582"/>
      <c r="O190" s="583"/>
      <c r="P190" s="579"/>
      <c r="Q190" s="585"/>
    </row>
    <row customHeight="true" hidden="true" ht="16.071428571428573" r="191">
      <c r="A191" s="578"/>
      <c r="B191" s="579"/>
      <c r="C191" s="580"/>
      <c r="D191" s="579"/>
      <c r="E191" s="579"/>
      <c r="F191" s="579"/>
      <c r="G191" s="579"/>
      <c r="H191" s="579"/>
      <c r="I191" s="579"/>
      <c r="J191" s="581"/>
      <c r="K191" s="581"/>
      <c r="L191" s="582"/>
      <c r="M191" s="582"/>
      <c r="N191" s="582"/>
      <c r="O191" s="583"/>
      <c r="P191" s="579"/>
      <c r="Q191" s="584"/>
    </row>
    <row customHeight="true" hidden="true" ht="16.071428571428573" r="192">
      <c r="A192" s="578"/>
      <c r="B192" s="579"/>
      <c r="C192" s="580"/>
      <c r="D192" s="579"/>
      <c r="E192" s="579"/>
      <c r="F192" s="579"/>
      <c r="G192" s="579"/>
      <c r="H192" s="579"/>
      <c r="I192" s="579"/>
      <c r="J192" s="581"/>
      <c r="K192" s="581"/>
      <c r="L192" s="582"/>
      <c r="M192" s="582"/>
      <c r="N192" s="582"/>
      <c r="O192" s="585"/>
      <c r="P192" s="585"/>
      <c r="Q192" s="586"/>
    </row>
    <row customHeight="true" hidden="true" ht="16.071428571428573" r="193">
      <c r="A193" s="578"/>
      <c r="B193" s="579"/>
      <c r="C193" s="580"/>
      <c r="D193" s="579"/>
      <c r="E193" s="579"/>
      <c r="F193" s="579"/>
      <c r="G193" s="579"/>
      <c r="H193" s="579"/>
      <c r="I193" s="579"/>
      <c r="J193" s="581"/>
      <c r="K193" s="581"/>
      <c r="L193" s="582"/>
      <c r="M193" s="582"/>
      <c r="N193" s="582"/>
      <c r="O193" s="583"/>
      <c r="P193" s="585"/>
      <c r="Q193" s="586"/>
    </row>
    <row customHeight="true" hidden="true" ht="16.071428571428573" r="194">
      <c r="A194" s="578"/>
      <c r="B194" s="579"/>
      <c r="C194" s="580"/>
      <c r="D194" s="579"/>
      <c r="E194" s="579"/>
      <c r="F194" s="579"/>
      <c r="G194" s="579"/>
      <c r="H194" s="579"/>
      <c r="I194" s="579"/>
      <c r="J194" s="581"/>
      <c r="K194" s="581"/>
      <c r="L194" s="582"/>
      <c r="M194" s="582"/>
      <c r="N194" s="582"/>
      <c r="O194" s="585"/>
      <c r="P194" s="585"/>
      <c r="Q194" s="586"/>
    </row>
    <row customHeight="true" hidden="true" ht="16.071428571428573" r="195">
      <c r="A195" s="578"/>
      <c r="B195" s="579"/>
      <c r="C195" s="580"/>
      <c r="D195" s="579"/>
      <c r="E195" s="593"/>
      <c r="F195" s="579"/>
      <c r="G195" s="579"/>
      <c r="H195" s="579"/>
      <c r="I195" s="579"/>
      <c r="J195" s="581"/>
      <c r="K195" s="579"/>
      <c r="L195" s="582"/>
      <c r="M195" s="582"/>
      <c r="N195" s="582"/>
      <c r="O195" s="583"/>
      <c r="P195" s="579"/>
      <c r="Q195" s="584"/>
    </row>
    <row customHeight="true" hidden="true" ht="16.071428571428573" r="196">
      <c r="A196" s="578"/>
      <c r="B196" s="579"/>
      <c r="C196" s="580"/>
      <c r="D196" s="579"/>
      <c r="E196" s="579"/>
      <c r="F196" s="579"/>
      <c r="G196" s="579"/>
      <c r="H196" s="579"/>
      <c r="I196" s="579"/>
      <c r="J196" s="581"/>
      <c r="K196" s="581"/>
      <c r="L196" s="582"/>
      <c r="M196" s="582"/>
      <c r="N196" s="582"/>
      <c r="O196" s="583"/>
      <c r="P196" s="579"/>
      <c r="Q196" s="584"/>
    </row>
    <row customHeight="true" hidden="true" ht="16.071428571428573" r="197">
      <c r="A197" s="578"/>
      <c r="B197" s="579"/>
      <c r="C197" s="580"/>
      <c r="D197" s="579"/>
      <c r="E197" s="579"/>
      <c r="F197" s="579"/>
      <c r="G197" s="579"/>
      <c r="H197" s="579"/>
      <c r="I197" s="579"/>
      <c r="J197" s="581"/>
      <c r="K197" s="581"/>
      <c r="L197" s="582"/>
      <c r="M197" s="582"/>
      <c r="N197" s="582"/>
      <c r="O197" s="585"/>
      <c r="P197" s="585"/>
      <c r="Q197" s="586"/>
    </row>
    <row customHeight="true" hidden="true" ht="16.071428571428573" r="198">
      <c r="A198" s="578"/>
      <c r="B198" s="579"/>
      <c r="C198" s="580"/>
      <c r="D198" s="579"/>
      <c r="E198" s="579"/>
      <c r="F198" s="579"/>
      <c r="G198" s="579"/>
      <c r="H198" s="579"/>
      <c r="I198" s="579"/>
      <c r="J198" s="581"/>
      <c r="K198" s="581"/>
      <c r="L198" s="582"/>
      <c r="M198" s="582"/>
      <c r="N198" s="582"/>
      <c r="O198" s="583"/>
      <c r="P198" s="585"/>
      <c r="Q198" s="586"/>
    </row>
    <row customHeight="true" hidden="true" ht="16.071428571428573" r="199">
      <c r="A199" s="578"/>
      <c r="B199" s="579"/>
      <c r="C199" s="580"/>
      <c r="D199" s="579"/>
      <c r="E199" s="579"/>
      <c r="F199" s="579"/>
      <c r="G199" s="579"/>
      <c r="H199" s="579"/>
      <c r="I199" s="579"/>
      <c r="J199" s="581"/>
      <c r="K199" s="581"/>
      <c r="L199" s="582"/>
      <c r="M199" s="582"/>
      <c r="N199" s="582"/>
      <c r="O199" s="583"/>
      <c r="P199" s="579"/>
      <c r="Q199" s="584"/>
    </row>
    <row customHeight="true" hidden="true" ht="16.071428571428573" r="200">
      <c r="A200" s="578"/>
      <c r="B200" s="579"/>
      <c r="C200" s="580"/>
      <c r="D200" s="579"/>
      <c r="E200" s="579"/>
      <c r="F200" s="579"/>
      <c r="G200" s="579"/>
      <c r="H200" s="579"/>
      <c r="I200" s="579"/>
      <c r="J200" s="581"/>
      <c r="K200" s="581"/>
      <c r="L200" s="582"/>
      <c r="M200" s="582"/>
      <c r="N200" s="582"/>
      <c r="O200" s="583"/>
      <c r="P200" s="585"/>
      <c r="Q200" s="586"/>
    </row>
    <row r="201">
      <c r="H201" s="598"/>
      <c r="J201" s="582"/>
      <c r="K201" s="600"/>
      <c r="L201" s="582"/>
    </row>
    <row customHeight="true" ht="16.071428571428573" r="202">
      <c r="H202" s="601"/>
      <c r="I202" s="601"/>
    </row>
    <row customHeight="true" ht="16.071428571428573" r="203">
      <c r="H203" s="601"/>
      <c r="I203" s="601"/>
    </row>
    <row customHeight="true" ht="16.071428571428573" r="204">
      <c r="H204" s="601"/>
      <c r="I204" s="601"/>
    </row>
    <row customHeight="true" ht="16.071428571428573" r="205">
      <c r="H205" s="601"/>
      <c r="I205" s="601"/>
    </row>
    <row customHeight="true" ht="16.071428571428573" r="206">
      <c r="H206" s="601"/>
      <c r="I206" s="601"/>
    </row>
    <row customHeight="true" ht="16.071428571428573" r="207">
      <c r="H207" s="601"/>
      <c r="I207" s="601"/>
    </row>
    <row customHeight="true" ht="16.071428571428573" r="208">
      <c r="H208" s="601"/>
      <c r="I208" s="601"/>
    </row>
    <row customHeight="true" ht="16.071428571428573" r="209"/>
    <row customHeight="true" ht="16.071428571428573" r="210">
      <c r="H210" s="594"/>
      <c r="I210" s="594"/>
    </row>
    <row customHeight="true" ht="16.071428571428573" r="211"/>
    <row r="212">
      <c r="L212" s="582"/>
    </row>
    <row r="213">
      <c r="L213" s="582"/>
    </row>
    <row r="214">
      <c r="L214" s="582"/>
    </row>
    <row r="215">
      <c r="H215" s="581"/>
      <c r="I215" s="581"/>
    </row>
    <row r="216"/>
    <row r="217">
      <c r="G217" s="600"/>
      <c r="H217" s="600"/>
      <c r="L217" s="582"/>
    </row>
    <row r="218">
      <c r="G218" s="600"/>
    </row>
    <row r="219"/>
    <row r="220"/>
    <row r="221"/>
    <row r="222">
      <c r="F222" s="602"/>
      <c r="G222" s="603">
        <f t="shared" ref="G222:G226" si="1">E222/C222</f>
      </c>
    </row>
    <row r="223">
      <c r="F223" s="602"/>
      <c r="G223" s="603">
        <f t="shared" si="1"/>
      </c>
    </row>
    <row r="224">
      <c r="F224" s="602"/>
      <c r="G224" s="603">
        <f t="shared" si="1"/>
      </c>
    </row>
    <row r="225">
      <c r="F225" s="602"/>
      <c r="G225" s="603">
        <f t="shared" si="1"/>
      </c>
    </row>
    <row r="226">
      <c r="F226" s="602"/>
      <c r="G226" s="603">
        <f t="shared" si="1"/>
      </c>
    </row>
  </sheetData>
  <autoFilter ref="A1:P200">
    <filterColumn colId="1">
      <filters>
        <filter val="武慧聪"/>
      </filters>
    </filterColumn>
  </autoFilter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4" min="4" style="0" width="11.211267605633802"/>
  </cols>
  <sheetData>
    <row r="1">
      <c r="A1" s="604" t="s">
        <v>618</v>
      </c>
      <c r="B1" s="605" t="s">
        <v>619</v>
      </c>
      <c r="C1" s="605" t="s">
        <v>620</v>
      </c>
      <c r="D1" s="605" t="s">
        <v>621</v>
      </c>
      <c r="E1" s="605" t="s">
        <v>622</v>
      </c>
      <c r="F1" s="605" t="s">
        <v>623</v>
      </c>
      <c r="G1" s="606" t="s">
        <v>624</v>
      </c>
      <c r="H1" s="607" t="s">
        <v>625</v>
      </c>
      <c r="I1" s="605" t="s">
        <v>626</v>
      </c>
      <c r="J1" s="605" t="s">
        <v>627</v>
      </c>
      <c r="K1" s="605" t="s">
        <v>628</v>
      </c>
      <c r="L1" s="608" t="s">
        <v>629</v>
      </c>
      <c r="M1" s="608" t="s">
        <v>630</v>
      </c>
      <c r="N1" s="608" t="s">
        <v>631</v>
      </c>
      <c r="O1" s="609" t="s">
        <v>632</v>
      </c>
      <c r="P1" s="609" t="s">
        <v>633</v>
      </c>
      <c r="Q1" s="609" t="s">
        <v>634</v>
      </c>
    </row>
    <row hidden="true" r="2">
      <c r="A2" s="610">
        <v>45962</v>
      </c>
      <c r="B2" s="611" t="s">
        <v>635</v>
      </c>
      <c r="C2" s="612" t="s">
        <v>636</v>
      </c>
      <c r="D2" s="611">
        <v>5</v>
      </c>
      <c r="E2" s="611">
        <v>48</v>
      </c>
      <c r="F2" s="611">
        <v>31</v>
      </c>
      <c r="G2" s="611">
        <v>23</v>
      </c>
      <c r="H2" s="611">
        <v>21</v>
      </c>
      <c r="I2" s="611">
        <v>2</v>
      </c>
      <c r="J2" s="613">
        <v>28421.999999999996</v>
      </c>
      <c r="K2" s="613">
        <v>20775.460000000003</v>
      </c>
      <c r="L2" s="614">
        <f t="shared" ref="L2:L138" si="0">J2/K2</f>
      </c>
      <c r="M2" s="614">
        <f t="shared" ref="M2:M138" si="1">J2/F2</f>
      </c>
      <c r="N2" s="614">
        <f t="shared" ref="N2:N138" si="2">K2/F2</f>
      </c>
      <c r="O2" s="615" t="s">
        <v>637</v>
      </c>
      <c r="P2" s="611">
        <v>10</v>
      </c>
      <c r="Q2" s="616"/>
    </row>
    <row hidden="true" r="3">
      <c r="A3" s="610">
        <v>45962</v>
      </c>
      <c r="B3" s="611" t="s">
        <v>638</v>
      </c>
      <c r="C3" s="612" t="s">
        <v>639</v>
      </c>
      <c r="D3" s="611">
        <v>5</v>
      </c>
      <c r="E3" s="611">
        <v>87</v>
      </c>
      <c r="F3" s="611">
        <v>56</v>
      </c>
      <c r="G3" s="611">
        <v>43</v>
      </c>
      <c r="H3" s="611">
        <v>37</v>
      </c>
      <c r="I3" s="611">
        <v>3</v>
      </c>
      <c r="J3" s="613">
        <v>78523.79999999999</v>
      </c>
      <c r="K3" s="613">
        <v>27084.72</v>
      </c>
      <c r="L3" s="614">
        <f t="shared" si="0"/>
      </c>
      <c r="M3" s="614">
        <f t="shared" si="1"/>
      </c>
      <c r="N3" s="614">
        <f t="shared" si="2"/>
      </c>
      <c r="O3" s="617"/>
      <c r="P3" s="617"/>
      <c r="Q3" s="617"/>
    </row>
    <row r="4">
      <c r="A4" s="618">
        <v>45962</v>
      </c>
      <c r="B4" s="611" t="s">
        <v>640</v>
      </c>
      <c r="C4" s="612" t="s">
        <v>641</v>
      </c>
      <c r="D4" s="611">
        <v>5</v>
      </c>
      <c r="E4" s="611">
        <v>74</v>
      </c>
      <c r="F4" s="611">
        <v>54</v>
      </c>
      <c r="G4" s="611">
        <v>42</v>
      </c>
      <c r="H4" s="611">
        <v>38</v>
      </c>
      <c r="I4" s="611">
        <v>6</v>
      </c>
      <c r="J4" s="613">
        <v>62182</v>
      </c>
      <c r="K4" s="613">
        <v>28754.699999999997</v>
      </c>
      <c r="L4" s="614">
        <f t="shared" si="0"/>
      </c>
      <c r="M4" s="614">
        <f t="shared" si="1"/>
      </c>
      <c r="N4" s="614">
        <f t="shared" si="2"/>
      </c>
      <c r="O4" s="615"/>
      <c r="P4" s="611"/>
      <c r="Q4" s="619"/>
    </row>
    <row hidden="true" r="5">
      <c r="A5" s="618">
        <v>45962</v>
      </c>
      <c r="B5" s="611" t="s">
        <v>642</v>
      </c>
      <c r="C5" s="612" t="s">
        <v>643</v>
      </c>
      <c r="D5" s="611">
        <v>5</v>
      </c>
      <c r="E5" s="611">
        <v>59</v>
      </c>
      <c r="F5" s="611">
        <v>37</v>
      </c>
      <c r="G5" s="611">
        <v>30</v>
      </c>
      <c r="H5" s="611">
        <v>25</v>
      </c>
      <c r="I5" s="611">
        <v>3</v>
      </c>
      <c r="J5" s="613">
        <v>41684.8</v>
      </c>
      <c r="K5" s="613">
        <v>30188.309999999998</v>
      </c>
      <c r="L5" s="614">
        <f t="shared" si="0"/>
      </c>
      <c r="M5" s="614">
        <f t="shared" si="1"/>
      </c>
      <c r="N5" s="614">
        <f t="shared" si="2"/>
      </c>
      <c r="O5" s="615" t="s">
        <v>644</v>
      </c>
      <c r="P5" s="615">
        <v>10</v>
      </c>
      <c r="Q5" s="620"/>
    </row>
    <row hidden="true" r="6">
      <c r="A6" s="621">
        <v>45962</v>
      </c>
      <c r="B6" s="622"/>
      <c r="C6" s="622"/>
      <c r="D6" s="622">
        <f>SUM(D2:D5)</f>
      </c>
      <c r="E6" s="622">
        <f>SUM(E2:E5)</f>
      </c>
      <c r="F6" s="622">
        <f>SUM(F2:F5)</f>
      </c>
      <c r="G6" s="622">
        <f>SUM(G2:G5)</f>
      </c>
      <c r="H6" s="622">
        <f>SUM(H2:H5)</f>
      </c>
      <c r="I6" s="622">
        <f>SUM(I2:I5)</f>
      </c>
      <c r="J6" s="622">
        <f>SUM(J2:J5)</f>
      </c>
      <c r="K6" s="622">
        <f>SUM(K2:K5)</f>
      </c>
      <c r="L6" s="623">
        <f t="shared" si="0"/>
      </c>
      <c r="M6" s="623">
        <f t="shared" si="1"/>
      </c>
      <c r="N6" s="623">
        <f t="shared" si="2"/>
      </c>
      <c r="O6" s="624"/>
      <c r="P6" s="622">
        <f>P2+P3+P4+P5</f>
      </c>
      <c r="Q6" s="624"/>
    </row>
    <row hidden="true" r="7">
      <c r="A7" s="610">
        <v>45963</v>
      </c>
      <c r="B7" s="611" t="s">
        <v>638</v>
      </c>
      <c r="C7" s="612" t="s">
        <v>636</v>
      </c>
      <c r="D7" s="611">
        <v>5</v>
      </c>
      <c r="E7" s="611">
        <v>39</v>
      </c>
      <c r="F7" s="611">
        <v>24</v>
      </c>
      <c r="G7" s="611">
        <v>17</v>
      </c>
      <c r="H7" s="611">
        <v>18</v>
      </c>
      <c r="I7" s="611">
        <v>1</v>
      </c>
      <c r="J7" s="613">
        <v>32690.6</v>
      </c>
      <c r="K7" s="613">
        <v>19034.25</v>
      </c>
      <c r="L7" s="614">
        <f t="shared" si="0"/>
      </c>
      <c r="M7" s="614">
        <f t="shared" si="1"/>
      </c>
      <c r="N7" s="614">
        <f t="shared" si="2"/>
      </c>
      <c r="O7" s="615" t="s">
        <v>637</v>
      </c>
      <c r="P7" s="611">
        <v>10</v>
      </c>
      <c r="Q7" s="616"/>
    </row>
    <row r="8">
      <c r="A8" s="610">
        <v>45963</v>
      </c>
      <c r="B8" s="611" t="s">
        <v>640</v>
      </c>
      <c r="C8" s="612" t="s">
        <v>639</v>
      </c>
      <c r="D8" s="611">
        <v>5</v>
      </c>
      <c r="E8" s="611">
        <v>71</v>
      </c>
      <c r="F8" s="611">
        <v>55</v>
      </c>
      <c r="G8" s="611">
        <v>38</v>
      </c>
      <c r="H8" s="611">
        <v>44</v>
      </c>
      <c r="I8" s="611">
        <v>6</v>
      </c>
      <c r="J8" s="613">
        <v>62885.2</v>
      </c>
      <c r="K8" s="613">
        <v>22614.39</v>
      </c>
      <c r="L8" s="614">
        <f t="shared" si="0"/>
      </c>
      <c r="M8" s="614">
        <f t="shared" si="1"/>
      </c>
      <c r="N8" s="614">
        <f t="shared" si="2"/>
      </c>
      <c r="O8" s="617"/>
      <c r="P8" s="617"/>
      <c r="Q8" s="617"/>
    </row>
    <row hidden="true" r="9">
      <c r="A9" s="610">
        <v>45963</v>
      </c>
      <c r="B9" s="611" t="s">
        <v>635</v>
      </c>
      <c r="C9" s="612" t="s">
        <v>641</v>
      </c>
      <c r="D9" s="611">
        <v>5</v>
      </c>
      <c r="E9" s="611">
        <v>50</v>
      </c>
      <c r="F9" s="611">
        <v>37</v>
      </c>
      <c r="G9" s="611">
        <v>24</v>
      </c>
      <c r="H9" s="611">
        <v>26</v>
      </c>
      <c r="I9" s="611">
        <v>4</v>
      </c>
      <c r="J9" s="613">
        <v>49944.399999999994</v>
      </c>
      <c r="K9" s="613">
        <v>25131.78</v>
      </c>
      <c r="L9" s="614">
        <f t="shared" si="0"/>
      </c>
      <c r="M9" s="614">
        <f t="shared" si="1"/>
      </c>
      <c r="N9" s="614">
        <f t="shared" si="2"/>
      </c>
      <c r="O9" s="615"/>
      <c r="P9" s="611"/>
      <c r="Q9" s="619"/>
    </row>
    <row hidden="true" r="10">
      <c r="A10" s="610">
        <v>45963</v>
      </c>
      <c r="B10" s="611" t="s">
        <v>642</v>
      </c>
      <c r="C10" s="612" t="s">
        <v>643</v>
      </c>
      <c r="D10" s="611">
        <v>5</v>
      </c>
      <c r="E10" s="611">
        <v>80</v>
      </c>
      <c r="F10" s="611">
        <v>49</v>
      </c>
      <c r="G10" s="611">
        <v>37</v>
      </c>
      <c r="H10" s="611">
        <v>31</v>
      </c>
      <c r="I10" s="611">
        <v>8</v>
      </c>
      <c r="J10" s="613">
        <v>52267.2</v>
      </c>
      <c r="K10" s="613">
        <v>22023.84</v>
      </c>
      <c r="L10" s="614">
        <f t="shared" si="0"/>
      </c>
      <c r="M10" s="614">
        <f t="shared" si="1"/>
      </c>
      <c r="N10" s="614">
        <f t="shared" si="2"/>
      </c>
      <c r="O10" s="615" t="s">
        <v>644</v>
      </c>
      <c r="P10" s="615">
        <v>10</v>
      </c>
      <c r="Q10" s="620"/>
    </row>
    <row hidden="true" r="11">
      <c r="A11" s="621">
        <v>45963</v>
      </c>
      <c r="B11" s="622"/>
      <c r="C11" s="622"/>
      <c r="D11" s="622">
        <f>SUM(D7:D10)</f>
      </c>
      <c r="E11" s="622">
        <f>SUM(E7:E10)</f>
      </c>
      <c r="F11" s="622">
        <f>SUM(F7:F10)</f>
      </c>
      <c r="G11" s="622">
        <f>SUM(G7:G10)</f>
      </c>
      <c r="H11" s="622">
        <f>SUM(H7:H10)</f>
      </c>
      <c r="I11" s="622">
        <f>SUM(I7:I10)</f>
      </c>
      <c r="J11" s="622">
        <f>SUM(J7:J10)</f>
      </c>
      <c r="K11" s="622">
        <f>SUM(K7:K10)</f>
      </c>
      <c r="L11" s="623">
        <f t="shared" si="0"/>
      </c>
      <c r="M11" s="623">
        <f t="shared" si="1"/>
      </c>
      <c r="N11" s="623">
        <f t="shared" si="2"/>
      </c>
      <c r="O11" s="624"/>
      <c r="P11" s="622">
        <f>P7+P8+P9+P10</f>
      </c>
      <c r="Q11" s="624"/>
    </row>
    <row hidden="true" r="12">
      <c r="A12" s="610">
        <v>45964</v>
      </c>
      <c r="B12" s="611" t="s">
        <v>638</v>
      </c>
      <c r="C12" s="612" t="s">
        <v>636</v>
      </c>
      <c r="D12" s="611">
        <v>5</v>
      </c>
      <c r="E12" s="611">
        <v>51</v>
      </c>
      <c r="F12" s="611">
        <v>33</v>
      </c>
      <c r="G12" s="611">
        <v>25</v>
      </c>
      <c r="H12" s="611">
        <v>24</v>
      </c>
      <c r="I12" s="611">
        <v>1</v>
      </c>
      <c r="J12" s="613">
        <v>44022</v>
      </c>
      <c r="K12" s="613">
        <v>18652.45</v>
      </c>
      <c r="L12" s="614">
        <f t="shared" si="0"/>
      </c>
      <c r="M12" s="614">
        <f t="shared" si="1"/>
      </c>
      <c r="N12" s="614">
        <f t="shared" si="2"/>
      </c>
      <c r="O12" s="615" t="s">
        <v>637</v>
      </c>
      <c r="P12" s="611">
        <v>10</v>
      </c>
      <c r="Q12" s="616"/>
    </row>
    <row hidden="true" r="13">
      <c r="A13" s="610">
        <v>45964</v>
      </c>
      <c r="B13" s="611" t="s">
        <v>635</v>
      </c>
      <c r="C13" s="612" t="s">
        <v>639</v>
      </c>
      <c r="D13" s="611">
        <v>5</v>
      </c>
      <c r="E13" s="611">
        <v>95</v>
      </c>
      <c r="F13" s="611">
        <v>74</v>
      </c>
      <c r="G13" s="611">
        <v>46</v>
      </c>
      <c r="H13" s="611">
        <v>62</v>
      </c>
      <c r="I13" s="611">
        <v>14</v>
      </c>
      <c r="J13" s="613">
        <v>87457.2</v>
      </c>
      <c r="K13" s="613">
        <v>32646.41</v>
      </c>
      <c r="L13" s="614">
        <f t="shared" si="0"/>
      </c>
      <c r="M13" s="614">
        <f t="shared" si="1"/>
      </c>
      <c r="N13" s="614">
        <f t="shared" si="2"/>
      </c>
      <c r="O13" s="617"/>
      <c r="P13" s="617"/>
      <c r="Q13" s="617"/>
    </row>
    <row hidden="true" r="14">
      <c r="A14" s="610">
        <v>45964</v>
      </c>
      <c r="B14" s="611" t="s">
        <v>645</v>
      </c>
      <c r="C14" s="612" t="s">
        <v>641</v>
      </c>
      <c r="D14" s="611">
        <v>5</v>
      </c>
      <c r="E14" s="611">
        <v>77</v>
      </c>
      <c r="F14" s="611">
        <v>49</v>
      </c>
      <c r="G14" s="611">
        <v>42</v>
      </c>
      <c r="H14" s="611">
        <v>34</v>
      </c>
      <c r="I14" s="611">
        <v>6</v>
      </c>
      <c r="J14" s="613">
        <v>46419</v>
      </c>
      <c r="K14" s="613">
        <v>32574.380000000005</v>
      </c>
      <c r="L14" s="614">
        <f t="shared" si="0"/>
      </c>
      <c r="M14" s="614">
        <f t="shared" si="1"/>
      </c>
      <c r="N14" s="614">
        <f t="shared" si="2"/>
      </c>
      <c r="O14" s="615" t="s">
        <v>646</v>
      </c>
      <c r="P14" s="611">
        <v>5</v>
      </c>
      <c r="Q14" s="619"/>
    </row>
    <row hidden="true" r="15">
      <c r="A15" s="610">
        <v>45964</v>
      </c>
      <c r="B15" s="611" t="s">
        <v>642</v>
      </c>
      <c r="C15" s="612" t="s">
        <v>643</v>
      </c>
      <c r="D15" s="611">
        <v>5</v>
      </c>
      <c r="E15" s="611">
        <v>65</v>
      </c>
      <c r="F15" s="611">
        <v>52</v>
      </c>
      <c r="G15" s="611">
        <v>34</v>
      </c>
      <c r="H15" s="611">
        <v>34</v>
      </c>
      <c r="I15" s="611">
        <v>8</v>
      </c>
      <c r="J15" s="613">
        <v>76468.4</v>
      </c>
      <c r="K15" s="613">
        <v>30375.399999999998</v>
      </c>
      <c r="L15" s="614">
        <f t="shared" si="0"/>
      </c>
      <c r="M15" s="614">
        <f t="shared" si="1"/>
      </c>
      <c r="N15" s="614">
        <f t="shared" si="2"/>
      </c>
      <c r="O15" s="615" t="s">
        <v>647</v>
      </c>
      <c r="P15" s="615">
        <v>5</v>
      </c>
      <c r="Q15" s="620"/>
    </row>
    <row hidden="true" r="16">
      <c r="A16" s="621">
        <v>45964</v>
      </c>
      <c r="B16" s="622"/>
      <c r="C16" s="622"/>
      <c r="D16" s="622">
        <f>SUM(D12:D15)</f>
      </c>
      <c r="E16" s="622">
        <f>SUM(E12:E15)</f>
      </c>
      <c r="F16" s="622">
        <f>SUM(F12:F15)</f>
      </c>
      <c r="G16" s="622">
        <f>SUM(G12:G15)</f>
      </c>
      <c r="H16" s="622">
        <f>SUM(H12:H15)</f>
      </c>
      <c r="I16" s="622">
        <f>SUM(I12:I15)</f>
      </c>
      <c r="J16" s="622">
        <f>SUM(J12:J15)</f>
      </c>
      <c r="K16" s="622">
        <f>SUM(K12:K15)</f>
      </c>
      <c r="L16" s="623">
        <f t="shared" si="0"/>
      </c>
      <c r="M16" s="623">
        <f t="shared" si="1"/>
      </c>
      <c r="N16" s="623">
        <f t="shared" si="2"/>
      </c>
      <c r="O16" s="624"/>
      <c r="P16" s="622">
        <f>P12+P13+P14+P15</f>
      </c>
      <c r="Q16" s="624"/>
    </row>
    <row hidden="true" r="17">
      <c r="A17" s="610">
        <v>45965</v>
      </c>
      <c r="B17" s="611" t="s">
        <v>638</v>
      </c>
      <c r="C17" s="612" t="s">
        <v>636</v>
      </c>
      <c r="D17" s="611">
        <v>5</v>
      </c>
      <c r="E17" s="611">
        <v>38</v>
      </c>
      <c r="F17" s="611">
        <v>31</v>
      </c>
      <c r="G17" s="611">
        <v>22</v>
      </c>
      <c r="H17" s="611">
        <v>20</v>
      </c>
      <c r="I17" s="611">
        <v>5</v>
      </c>
      <c r="J17" s="613">
        <v>51924.600000000006</v>
      </c>
      <c r="K17" s="613">
        <v>22270.57</v>
      </c>
      <c r="L17" s="614">
        <f t="shared" si="0"/>
      </c>
      <c r="M17" s="614">
        <f t="shared" si="1"/>
      </c>
      <c r="N17" s="614">
        <f t="shared" si="2"/>
      </c>
      <c r="O17" s="615" t="s">
        <v>637</v>
      </c>
      <c r="P17" s="611">
        <v>10</v>
      </c>
      <c r="Q17" s="616"/>
    </row>
    <row hidden="true" r="18">
      <c r="A18" s="610">
        <v>45965</v>
      </c>
      <c r="B18" s="611" t="s">
        <v>635</v>
      </c>
      <c r="C18" s="612" t="s">
        <v>639</v>
      </c>
      <c r="D18" s="611">
        <v>5</v>
      </c>
      <c r="E18" s="611">
        <v>60</v>
      </c>
      <c r="F18" s="611">
        <v>44</v>
      </c>
      <c r="G18" s="611">
        <v>27</v>
      </c>
      <c r="H18" s="611">
        <v>32</v>
      </c>
      <c r="I18" s="611">
        <v>8</v>
      </c>
      <c r="J18" s="613">
        <v>47223.8</v>
      </c>
      <c r="K18" s="613">
        <v>19703.469999999998</v>
      </c>
      <c r="L18" s="614">
        <f t="shared" si="0"/>
      </c>
      <c r="M18" s="614">
        <f t="shared" si="1"/>
      </c>
      <c r="N18" s="614">
        <f t="shared" si="2"/>
      </c>
      <c r="O18" s="617"/>
      <c r="P18" s="617"/>
      <c r="Q18" s="617"/>
    </row>
    <row r="19">
      <c r="A19" s="610">
        <v>45965</v>
      </c>
      <c r="B19" s="611" t="s">
        <v>640</v>
      </c>
      <c r="C19" s="612" t="s">
        <v>641</v>
      </c>
      <c r="D19" s="611">
        <v>5</v>
      </c>
      <c r="E19" s="611">
        <v>69</v>
      </c>
      <c r="F19" s="611">
        <v>48</v>
      </c>
      <c r="G19" s="611">
        <v>28</v>
      </c>
      <c r="H19" s="611">
        <v>39</v>
      </c>
      <c r="I19" s="611">
        <v>11</v>
      </c>
      <c r="J19" s="613">
        <v>46972.2</v>
      </c>
      <c r="K19" s="613">
        <v>18716.06</v>
      </c>
      <c r="L19" s="614">
        <f t="shared" si="0"/>
      </c>
      <c r="M19" s="614">
        <f t="shared" si="1"/>
      </c>
      <c r="N19" s="614">
        <f t="shared" si="2"/>
      </c>
      <c r="O19" s="615"/>
      <c r="P19" s="611"/>
      <c r="Q19" s="619"/>
    </row>
    <row hidden="true" r="20">
      <c r="A20" s="610">
        <v>45965</v>
      </c>
      <c r="B20" s="611" t="s">
        <v>642</v>
      </c>
      <c r="C20" s="612" t="s">
        <v>643</v>
      </c>
      <c r="D20" s="611">
        <v>5</v>
      </c>
      <c r="E20" s="611">
        <v>72</v>
      </c>
      <c r="F20" s="611">
        <v>45</v>
      </c>
      <c r="G20" s="611">
        <v>35</v>
      </c>
      <c r="H20" s="611">
        <v>32</v>
      </c>
      <c r="I20" s="611">
        <v>6</v>
      </c>
      <c r="J20" s="613">
        <v>46764.4</v>
      </c>
      <c r="K20" s="613">
        <v>26061.39</v>
      </c>
      <c r="L20" s="614">
        <f t="shared" si="0"/>
      </c>
      <c r="M20" s="614">
        <f t="shared" si="1"/>
      </c>
      <c r="N20" s="614">
        <f t="shared" si="2"/>
      </c>
      <c r="O20" s="615" t="s">
        <v>648</v>
      </c>
      <c r="P20" s="615">
        <v>10</v>
      </c>
      <c r="Q20" s="620"/>
    </row>
    <row hidden="true" r="21">
      <c r="A21" s="621">
        <v>45965</v>
      </c>
      <c r="B21" s="622"/>
      <c r="C21" s="622"/>
      <c r="D21" s="622">
        <f>SUM(D17:D20)</f>
      </c>
      <c r="E21" s="622">
        <f>SUM(E17:E20)</f>
      </c>
      <c r="F21" s="622">
        <f>SUM(F17:F20)</f>
      </c>
      <c r="G21" s="622">
        <f>SUM(G17:G20)</f>
      </c>
      <c r="H21" s="622">
        <f>SUM(H17:H20)</f>
      </c>
      <c r="I21" s="622">
        <f>SUM(I17:I20)</f>
      </c>
      <c r="J21" s="622">
        <f>SUM(J17:J20)</f>
      </c>
      <c r="K21" s="622">
        <f>SUM(K17:K20)</f>
      </c>
      <c r="L21" s="623">
        <f t="shared" si="0"/>
      </c>
      <c r="M21" s="623">
        <f t="shared" si="1"/>
      </c>
      <c r="N21" s="623">
        <f t="shared" si="2"/>
      </c>
      <c r="O21" s="624"/>
      <c r="P21" s="622">
        <f>P17+P18+P19+P20</f>
      </c>
      <c r="Q21" s="624"/>
    </row>
    <row hidden="true" r="22">
      <c r="A22" s="610">
        <v>45966</v>
      </c>
      <c r="B22" s="611" t="s">
        <v>635</v>
      </c>
      <c r="C22" s="612" t="s">
        <v>649</v>
      </c>
      <c r="D22" s="611">
        <v>3</v>
      </c>
      <c r="E22" s="611">
        <v>22</v>
      </c>
      <c r="F22" s="611">
        <v>14</v>
      </c>
      <c r="G22" s="611">
        <v>10</v>
      </c>
      <c r="H22" s="611">
        <v>9</v>
      </c>
      <c r="I22" s="611">
        <v>3</v>
      </c>
      <c r="J22" s="613">
        <v>24567.6</v>
      </c>
      <c r="K22" s="613">
        <v>10547.14</v>
      </c>
      <c r="L22" s="614">
        <f t="shared" si="0"/>
      </c>
      <c r="M22" s="614">
        <f t="shared" si="1"/>
      </c>
      <c r="N22" s="614">
        <f t="shared" si="2"/>
      </c>
      <c r="O22" s="615" t="s">
        <v>650</v>
      </c>
      <c r="P22" s="611">
        <v>10</v>
      </c>
      <c r="Q22" s="616"/>
    </row>
    <row hidden="true" r="23">
      <c r="A23" s="610">
        <v>45966</v>
      </c>
      <c r="B23" s="611" t="s">
        <v>638</v>
      </c>
      <c r="C23" s="612" t="s">
        <v>651</v>
      </c>
      <c r="D23" s="611">
        <v>6</v>
      </c>
      <c r="E23" s="611">
        <v>63</v>
      </c>
      <c r="F23" s="611">
        <v>41</v>
      </c>
      <c r="G23" s="611">
        <v>28</v>
      </c>
      <c r="H23" s="611">
        <v>36</v>
      </c>
      <c r="I23" s="611">
        <v>3</v>
      </c>
      <c r="J23" s="613">
        <v>31729.000000000004</v>
      </c>
      <c r="K23" s="613">
        <v>25075.52</v>
      </c>
      <c r="L23" s="614">
        <f t="shared" si="0"/>
      </c>
      <c r="M23" s="614">
        <f t="shared" si="1"/>
      </c>
      <c r="N23" s="614">
        <f t="shared" si="2"/>
      </c>
      <c r="O23" s="617"/>
      <c r="P23" s="617"/>
      <c r="Q23" s="617"/>
    </row>
    <row hidden="true" r="24">
      <c r="A24" s="610">
        <v>45966</v>
      </c>
      <c r="B24" s="611" t="s">
        <v>645</v>
      </c>
      <c r="C24" s="612" t="s">
        <v>652</v>
      </c>
      <c r="D24" s="611">
        <v>5</v>
      </c>
      <c r="E24" s="611">
        <v>85</v>
      </c>
      <c r="F24" s="611">
        <v>58</v>
      </c>
      <c r="G24" s="611">
        <v>41</v>
      </c>
      <c r="H24" s="611">
        <v>50</v>
      </c>
      <c r="I24" s="611">
        <v>6</v>
      </c>
      <c r="J24" s="613">
        <v>49471.8</v>
      </c>
      <c r="K24" s="613">
        <v>27910.75</v>
      </c>
      <c r="L24" s="614">
        <f t="shared" si="0"/>
      </c>
      <c r="M24" s="614">
        <f t="shared" si="1"/>
      </c>
      <c r="N24" s="614">
        <f t="shared" si="2"/>
      </c>
      <c r="O24" s="615"/>
      <c r="P24" s="611"/>
      <c r="Q24" s="619"/>
    </row>
    <row r="25">
      <c r="A25" s="610">
        <v>45966</v>
      </c>
      <c r="B25" s="611" t="s">
        <v>640</v>
      </c>
      <c r="C25" s="612" t="s">
        <v>653</v>
      </c>
      <c r="D25" s="611">
        <v>6</v>
      </c>
      <c r="E25" s="611">
        <v>100</v>
      </c>
      <c r="F25" s="611">
        <v>64</v>
      </c>
      <c r="G25" s="611">
        <v>62</v>
      </c>
      <c r="H25" s="611">
        <v>48</v>
      </c>
      <c r="I25" s="611">
        <v>3</v>
      </c>
      <c r="J25" s="613">
        <v>70434.20000000001</v>
      </c>
      <c r="K25" s="613">
        <v>41533.25</v>
      </c>
      <c r="L25" s="614">
        <f t="shared" si="0"/>
      </c>
      <c r="M25" s="614">
        <f t="shared" si="1"/>
      </c>
      <c r="N25" s="614">
        <f t="shared" si="2"/>
      </c>
      <c r="O25" s="615" t="s">
        <v>654</v>
      </c>
      <c r="P25" s="615">
        <v>10</v>
      </c>
      <c r="Q25" s="620"/>
    </row>
    <row hidden="true" r="26">
      <c r="A26" s="621">
        <v>45966</v>
      </c>
      <c r="B26" s="622"/>
      <c r="C26" s="622"/>
      <c r="D26" s="622">
        <f>SUM(D22:D25)</f>
      </c>
      <c r="E26" s="622">
        <f>SUM(E22:E25)</f>
      </c>
      <c r="F26" s="622">
        <f>SUM(F22:F25)</f>
      </c>
      <c r="G26" s="622">
        <f>SUM(G22:G25)</f>
      </c>
      <c r="H26" s="622">
        <f>SUM(H22:H25)</f>
      </c>
      <c r="I26" s="622">
        <f>SUM(I22:I25)</f>
      </c>
      <c r="J26" s="622">
        <f>SUM(J22:J25)</f>
      </c>
      <c r="K26" s="622">
        <f>SUM(K22:K25)</f>
      </c>
      <c r="L26" s="623">
        <f t="shared" si="0"/>
      </c>
      <c r="M26" s="623">
        <f t="shared" si="1"/>
      </c>
      <c r="N26" s="623">
        <f t="shared" si="2"/>
      </c>
      <c r="O26" s="624"/>
      <c r="P26" s="622">
        <f>P22+P23+P24+P25</f>
      </c>
      <c r="Q26" s="624"/>
    </row>
    <row hidden="true" r="27">
      <c r="A27" s="610">
        <v>45967</v>
      </c>
      <c r="B27" s="611" t="s">
        <v>638</v>
      </c>
      <c r="C27" s="612" t="s">
        <v>636</v>
      </c>
      <c r="D27" s="611">
        <v>5</v>
      </c>
      <c r="E27" s="611">
        <v>50</v>
      </c>
      <c r="F27" s="611">
        <v>31</v>
      </c>
      <c r="G27" s="611">
        <v>23</v>
      </c>
      <c r="H27" s="611">
        <v>27</v>
      </c>
      <c r="I27" s="611">
        <v>4</v>
      </c>
      <c r="J27" s="613">
        <v>30086.8</v>
      </c>
      <c r="K27" s="613">
        <v>19181.41</v>
      </c>
      <c r="L27" s="614">
        <f t="shared" si="0"/>
      </c>
      <c r="M27" s="614">
        <f t="shared" si="1"/>
      </c>
      <c r="N27" s="614">
        <f t="shared" si="2"/>
      </c>
      <c r="O27" s="615" t="s">
        <v>650</v>
      </c>
      <c r="P27" s="611">
        <v>10</v>
      </c>
      <c r="Q27" s="616"/>
    </row>
    <row r="28">
      <c r="A28" s="610">
        <v>45967</v>
      </c>
      <c r="B28" s="611" t="s">
        <v>640</v>
      </c>
      <c r="C28" s="612" t="s">
        <v>639</v>
      </c>
      <c r="D28" s="611">
        <v>5</v>
      </c>
      <c r="E28" s="611">
        <v>47</v>
      </c>
      <c r="F28" s="611">
        <v>33</v>
      </c>
      <c r="G28" s="611">
        <v>22</v>
      </c>
      <c r="H28" s="611">
        <v>26</v>
      </c>
      <c r="I28" s="611">
        <v>3</v>
      </c>
      <c r="J28" s="613">
        <v>32744</v>
      </c>
      <c r="K28" s="613">
        <v>17881.550000000003</v>
      </c>
      <c r="L28" s="614">
        <f t="shared" si="0"/>
      </c>
      <c r="M28" s="614">
        <f t="shared" si="1"/>
      </c>
      <c r="N28" s="614">
        <f t="shared" si="2"/>
      </c>
      <c r="O28" s="617"/>
      <c r="P28" s="617"/>
      <c r="Q28" s="617"/>
    </row>
    <row hidden="true" r="29">
      <c r="A29" s="610">
        <v>45967</v>
      </c>
      <c r="B29" s="611" t="s">
        <v>645</v>
      </c>
      <c r="C29" s="612" t="s">
        <v>641</v>
      </c>
      <c r="D29" s="611">
        <v>5</v>
      </c>
      <c r="E29" s="611">
        <v>21</v>
      </c>
      <c r="F29" s="611">
        <v>13</v>
      </c>
      <c r="G29" s="611">
        <v>12</v>
      </c>
      <c r="H29" s="611">
        <v>13</v>
      </c>
      <c r="I29" s="611">
        <v>2</v>
      </c>
      <c r="J29" s="613">
        <v>8605</v>
      </c>
      <c r="K29" s="613">
        <v>15507.970000000001</v>
      </c>
      <c r="L29" s="614">
        <f t="shared" si="0"/>
      </c>
      <c r="M29" s="614">
        <f t="shared" si="1"/>
      </c>
      <c r="N29" s="614">
        <f t="shared" si="2"/>
      </c>
      <c r="O29" s="615"/>
      <c r="P29" s="611"/>
      <c r="Q29" s="619"/>
    </row>
    <row hidden="true" r="30">
      <c r="A30" s="610">
        <v>45967</v>
      </c>
      <c r="B30" s="611" t="s">
        <v>642</v>
      </c>
      <c r="C30" s="612" t="s">
        <v>643</v>
      </c>
      <c r="D30" s="611">
        <v>5</v>
      </c>
      <c r="E30" s="611">
        <v>45</v>
      </c>
      <c r="F30" s="611">
        <v>32</v>
      </c>
      <c r="G30" s="611">
        <v>20</v>
      </c>
      <c r="H30" s="611">
        <v>23</v>
      </c>
      <c r="I30" s="611">
        <v>3</v>
      </c>
      <c r="J30" s="613">
        <v>35744.8</v>
      </c>
      <c r="K30" s="613">
        <v>15520.94</v>
      </c>
      <c r="L30" s="614">
        <f t="shared" si="0"/>
      </c>
      <c r="M30" s="614">
        <f t="shared" si="1"/>
      </c>
      <c r="N30" s="614">
        <f t="shared" si="2"/>
      </c>
      <c r="O30" s="615" t="s">
        <v>654</v>
      </c>
      <c r="P30" s="615">
        <v>10</v>
      </c>
      <c r="Q30" s="620"/>
    </row>
    <row hidden="true" r="31">
      <c r="A31" s="621">
        <v>45967</v>
      </c>
      <c r="B31" s="622"/>
      <c r="C31" s="622"/>
      <c r="D31" s="622">
        <f>SUM(D27:D30)</f>
      </c>
      <c r="E31" s="622">
        <f>SUM(E27:E30)</f>
      </c>
      <c r="F31" s="622">
        <f>SUM(F27:F30)</f>
      </c>
      <c r="G31" s="622">
        <f>SUM(G27:G30)</f>
      </c>
      <c r="H31" s="622">
        <f>SUM(H27:H30)</f>
      </c>
      <c r="I31" s="622">
        <f>SUM(I27:I30)</f>
      </c>
      <c r="J31" s="622">
        <f>SUM(J27:J30)</f>
      </c>
      <c r="K31" s="622">
        <f>SUM(K27:K30)</f>
      </c>
      <c r="L31" s="623">
        <f t="shared" si="0"/>
      </c>
      <c r="M31" s="623">
        <f t="shared" si="1"/>
      </c>
      <c r="N31" s="623">
        <f t="shared" si="2"/>
      </c>
      <c r="O31" s="624"/>
      <c r="P31" s="622">
        <f>P27+P28+P29+P30</f>
      </c>
      <c r="Q31" s="624"/>
    </row>
    <row hidden="true" r="32">
      <c r="A32" s="610">
        <v>45968</v>
      </c>
      <c r="B32" s="611" t="s">
        <v>638</v>
      </c>
      <c r="C32" s="612" t="s">
        <v>636</v>
      </c>
      <c r="D32" s="611">
        <v>5</v>
      </c>
      <c r="E32" s="611">
        <v>57</v>
      </c>
      <c r="F32" s="611">
        <v>42</v>
      </c>
      <c r="G32" s="611">
        <v>36</v>
      </c>
      <c r="H32" s="611">
        <v>35</v>
      </c>
      <c r="I32" s="611">
        <v>3</v>
      </c>
      <c r="J32" s="613">
        <v>40654.2</v>
      </c>
      <c r="K32" s="613">
        <v>22483.85</v>
      </c>
      <c r="L32" s="614">
        <f t="shared" si="0"/>
      </c>
      <c r="M32" s="614">
        <f t="shared" si="1"/>
      </c>
      <c r="N32" s="614">
        <f t="shared" si="2"/>
      </c>
      <c r="O32" s="615" t="s">
        <v>650</v>
      </c>
      <c r="P32" s="611">
        <v>10</v>
      </c>
      <c r="Q32" s="616"/>
    </row>
    <row hidden="true" r="33">
      <c r="A33" s="610">
        <v>45968</v>
      </c>
      <c r="B33" s="611" t="s">
        <v>645</v>
      </c>
      <c r="C33" s="612" t="s">
        <v>639</v>
      </c>
      <c r="D33" s="611">
        <v>5</v>
      </c>
      <c r="E33" s="611">
        <v>55</v>
      </c>
      <c r="F33" s="611">
        <v>34</v>
      </c>
      <c r="G33" s="611">
        <v>24</v>
      </c>
      <c r="H33" s="611">
        <v>28</v>
      </c>
      <c r="I33" s="611">
        <v>6</v>
      </c>
      <c r="J33" s="613">
        <v>32539.000000000004</v>
      </c>
      <c r="K33" s="613">
        <v>19677.61</v>
      </c>
      <c r="L33" s="614">
        <f t="shared" si="0"/>
      </c>
      <c r="M33" s="614">
        <f t="shared" si="1"/>
      </c>
      <c r="N33" s="614">
        <f t="shared" si="2"/>
      </c>
      <c r="O33" s="617"/>
      <c r="P33" s="617"/>
      <c r="Q33" s="617"/>
    </row>
    <row hidden="true" r="34">
      <c r="A34" s="610">
        <v>45968</v>
      </c>
      <c r="B34" s="611" t="s">
        <v>642</v>
      </c>
      <c r="C34" s="612" t="s">
        <v>641</v>
      </c>
      <c r="D34" s="611">
        <v>5</v>
      </c>
      <c r="E34" s="611">
        <v>39</v>
      </c>
      <c r="F34" s="611">
        <v>23</v>
      </c>
      <c r="G34" s="611">
        <v>12</v>
      </c>
      <c r="H34" s="611">
        <v>21</v>
      </c>
      <c r="I34" s="611">
        <v>2</v>
      </c>
      <c r="J34" s="613">
        <v>21944</v>
      </c>
      <c r="K34" s="613">
        <v>14796.779999999999</v>
      </c>
      <c r="L34" s="614">
        <f t="shared" si="0"/>
      </c>
      <c r="M34" s="614">
        <f t="shared" si="1"/>
      </c>
      <c r="N34" s="614">
        <f t="shared" si="2"/>
      </c>
      <c r="O34" s="615"/>
      <c r="P34" s="611"/>
      <c r="Q34" s="619"/>
    </row>
    <row r="35">
      <c r="A35" s="610">
        <v>45968</v>
      </c>
      <c r="B35" s="611" t="s">
        <v>640</v>
      </c>
      <c r="C35" s="612" t="s">
        <v>643</v>
      </c>
      <c r="D35" s="611">
        <v>5</v>
      </c>
      <c r="E35" s="611">
        <v>39</v>
      </c>
      <c r="F35" s="611">
        <v>26</v>
      </c>
      <c r="G35" s="611">
        <v>21</v>
      </c>
      <c r="H35" s="611">
        <v>22</v>
      </c>
      <c r="I35" s="611">
        <v>2</v>
      </c>
      <c r="J35" s="613">
        <v>32137.399999999994</v>
      </c>
      <c r="K35" s="613">
        <v>13177.52</v>
      </c>
      <c r="L35" s="614">
        <f t="shared" si="0"/>
      </c>
      <c r="M35" s="614">
        <f t="shared" si="1"/>
      </c>
      <c r="N35" s="614">
        <f t="shared" si="2"/>
      </c>
      <c r="O35" s="615" t="s">
        <v>654</v>
      </c>
      <c r="P35" s="615">
        <v>10</v>
      </c>
      <c r="Q35" s="620"/>
    </row>
    <row hidden="true" r="36">
      <c r="A36" s="621">
        <v>45968</v>
      </c>
      <c r="B36" s="622"/>
      <c r="C36" s="622"/>
      <c r="D36" s="622">
        <f>SUM(D32:D35)</f>
      </c>
      <c r="E36" s="622">
        <f>SUM(E32:E35)</f>
      </c>
      <c r="F36" s="622">
        <f>SUM(F32:F35)</f>
      </c>
      <c r="G36" s="622">
        <f>SUM(G32:G35)</f>
      </c>
      <c r="H36" s="622">
        <f>SUM(H32:H35)</f>
      </c>
      <c r="I36" s="622">
        <f>SUM(I32:I35)</f>
      </c>
      <c r="J36" s="622">
        <f>SUM(J32:J35)</f>
      </c>
      <c r="K36" s="622">
        <f>SUM(K32:K35)</f>
      </c>
      <c r="L36" s="623">
        <f t="shared" si="0"/>
      </c>
      <c r="M36" s="623">
        <f t="shared" si="1"/>
      </c>
      <c r="N36" s="623">
        <f t="shared" si="2"/>
      </c>
      <c r="O36" s="624"/>
      <c r="P36" s="622">
        <f>P32+P33+P34+P35</f>
      </c>
      <c r="Q36" s="624"/>
    </row>
    <row hidden="true" r="37">
      <c r="A37" s="610">
        <v>45969</v>
      </c>
      <c r="B37" s="611" t="s">
        <v>635</v>
      </c>
      <c r="C37" s="612" t="s">
        <v>636</v>
      </c>
      <c r="D37" s="611">
        <v>5</v>
      </c>
      <c r="E37" s="611">
        <v>40</v>
      </c>
      <c r="F37" s="611">
        <v>26</v>
      </c>
      <c r="G37" s="611">
        <v>15</v>
      </c>
      <c r="H37" s="611">
        <v>19</v>
      </c>
      <c r="I37" s="611">
        <v>4</v>
      </c>
      <c r="J37" s="613">
        <v>28013.399999999998</v>
      </c>
      <c r="K37" s="613">
        <v>16141.3</v>
      </c>
      <c r="L37" s="614">
        <f t="shared" si="0"/>
      </c>
      <c r="M37" s="614">
        <f t="shared" si="1"/>
      </c>
      <c r="N37" s="614">
        <f t="shared" si="2"/>
      </c>
      <c r="O37" s="615" t="s">
        <v>650</v>
      </c>
      <c r="P37" s="611">
        <v>10</v>
      </c>
      <c r="Q37" s="616"/>
    </row>
    <row hidden="true" r="38">
      <c r="A38" s="610">
        <v>45969</v>
      </c>
      <c r="B38" s="611" t="s">
        <v>638</v>
      </c>
      <c r="C38" s="612" t="s">
        <v>639</v>
      </c>
      <c r="D38" s="611">
        <v>5</v>
      </c>
      <c r="E38" s="611">
        <v>52</v>
      </c>
      <c r="F38" s="611">
        <v>39</v>
      </c>
      <c r="G38" s="611">
        <v>29</v>
      </c>
      <c r="H38" s="611">
        <v>34</v>
      </c>
      <c r="I38" s="611">
        <v>8</v>
      </c>
      <c r="J38" s="613">
        <v>32985.2</v>
      </c>
      <c r="K38" s="613">
        <v>15528.369999999999</v>
      </c>
      <c r="L38" s="614">
        <f t="shared" si="0"/>
      </c>
      <c r="M38" s="614">
        <f t="shared" si="1"/>
      </c>
      <c r="N38" s="614">
        <f t="shared" si="2"/>
      </c>
      <c r="O38" s="617"/>
      <c r="P38" s="617"/>
      <c r="Q38" s="617"/>
    </row>
    <row hidden="true" r="39">
      <c r="A39" s="610">
        <v>45969</v>
      </c>
      <c r="B39" s="611" t="s">
        <v>642</v>
      </c>
      <c r="C39" s="612" t="s">
        <v>641</v>
      </c>
      <c r="D39" s="611">
        <v>5</v>
      </c>
      <c r="E39" s="611">
        <v>36</v>
      </c>
      <c r="F39" s="611">
        <v>27</v>
      </c>
      <c r="G39" s="611">
        <v>18</v>
      </c>
      <c r="H39" s="611">
        <v>21</v>
      </c>
      <c r="I39" s="611">
        <v>4</v>
      </c>
      <c r="J39" s="613">
        <v>24210.4</v>
      </c>
      <c r="K39" s="613">
        <v>15063.099999999999</v>
      </c>
      <c r="L39" s="614">
        <f t="shared" si="0"/>
      </c>
      <c r="M39" s="614">
        <f t="shared" si="1"/>
      </c>
      <c r="N39" s="614">
        <f t="shared" si="2"/>
      </c>
      <c r="O39" s="615"/>
      <c r="P39" s="611"/>
      <c r="Q39" s="619"/>
    </row>
    <row r="40">
      <c r="A40" s="610">
        <v>45969</v>
      </c>
      <c r="B40" s="611" t="s">
        <v>640</v>
      </c>
      <c r="C40" s="612" t="s">
        <v>643</v>
      </c>
      <c r="D40" s="611">
        <v>5</v>
      </c>
      <c r="E40" s="611">
        <v>66</v>
      </c>
      <c r="F40" s="611">
        <v>42</v>
      </c>
      <c r="G40" s="611">
        <v>31</v>
      </c>
      <c r="H40" s="611">
        <v>28</v>
      </c>
      <c r="I40" s="611">
        <v>5</v>
      </c>
      <c r="J40" s="613">
        <v>51913.200000000004</v>
      </c>
      <c r="K40" s="613">
        <v>19107.4</v>
      </c>
      <c r="L40" s="614">
        <f t="shared" si="0"/>
      </c>
      <c r="M40" s="614">
        <f t="shared" si="1"/>
      </c>
      <c r="N40" s="614">
        <f t="shared" si="2"/>
      </c>
      <c r="O40" s="615" t="s">
        <v>654</v>
      </c>
      <c r="P40" s="615">
        <v>10</v>
      </c>
      <c r="Q40" s="620"/>
    </row>
    <row hidden="true" r="41">
      <c r="A41" s="621">
        <v>45969</v>
      </c>
      <c r="B41" s="622"/>
      <c r="C41" s="622"/>
      <c r="D41" s="622">
        <f>SUM(D37:D40)</f>
      </c>
      <c r="E41" s="622">
        <f>SUM(E37:E40)</f>
      </c>
      <c r="F41" s="622">
        <f>SUM(F37:F40)</f>
      </c>
      <c r="G41" s="622">
        <f>SUM(G37:G40)</f>
      </c>
      <c r="H41" s="622">
        <f>SUM(H37:H40)</f>
      </c>
      <c r="I41" s="622">
        <f>SUM(I37:I40)</f>
      </c>
      <c r="J41" s="622">
        <f>SUM(J37:J40)</f>
      </c>
      <c r="K41" s="622">
        <f>SUM(K37:K40)</f>
      </c>
      <c r="L41" s="623">
        <f t="shared" si="0"/>
      </c>
      <c r="M41" s="623">
        <f t="shared" si="1"/>
      </c>
      <c r="N41" s="623">
        <f t="shared" si="2"/>
      </c>
      <c r="O41" s="624"/>
      <c r="P41" s="622">
        <f>P37+P38+P39+P40</f>
      </c>
      <c r="Q41" s="624"/>
    </row>
    <row hidden="true" r="42">
      <c r="A42" s="610">
        <v>45970</v>
      </c>
      <c r="B42" s="611" t="s">
        <v>635</v>
      </c>
      <c r="C42" s="612" t="s">
        <v>636</v>
      </c>
      <c r="D42" s="611">
        <v>5</v>
      </c>
      <c r="E42" s="611">
        <v>96</v>
      </c>
      <c r="F42" s="611">
        <v>71</v>
      </c>
      <c r="G42" s="611">
        <v>48</v>
      </c>
      <c r="H42" s="611">
        <v>55</v>
      </c>
      <c r="I42" s="611">
        <v>12</v>
      </c>
      <c r="J42" s="613">
        <v>73835.4</v>
      </c>
      <c r="K42" s="613">
        <v>32040.340000000004</v>
      </c>
      <c r="L42" s="614">
        <f t="shared" si="0"/>
      </c>
      <c r="M42" s="614">
        <f t="shared" si="1"/>
      </c>
      <c r="N42" s="614">
        <f t="shared" si="2"/>
      </c>
      <c r="O42" s="615" t="s">
        <v>650</v>
      </c>
      <c r="P42" s="611">
        <v>10</v>
      </c>
      <c r="Q42" s="616"/>
    </row>
    <row hidden="true" r="43">
      <c r="A43" s="610">
        <v>45970</v>
      </c>
      <c r="B43" s="611" t="s">
        <v>638</v>
      </c>
      <c r="C43" s="612" t="s">
        <v>639</v>
      </c>
      <c r="D43" s="611">
        <v>5</v>
      </c>
      <c r="E43" s="611">
        <v>93</v>
      </c>
      <c r="F43" s="611">
        <v>56</v>
      </c>
      <c r="G43" s="611">
        <v>45</v>
      </c>
      <c r="H43" s="611">
        <v>36</v>
      </c>
      <c r="I43" s="611">
        <v>4</v>
      </c>
      <c r="J43" s="613">
        <v>69296.20000000001</v>
      </c>
      <c r="K43" s="613">
        <v>37643.64</v>
      </c>
      <c r="L43" s="614">
        <f t="shared" si="0"/>
      </c>
      <c r="M43" s="614">
        <f t="shared" si="1"/>
      </c>
      <c r="N43" s="614">
        <f t="shared" si="2"/>
      </c>
      <c r="O43" s="617"/>
      <c r="P43" s="617"/>
      <c r="Q43" s="617"/>
    </row>
    <row hidden="true" r="44">
      <c r="A44" s="610">
        <v>45970</v>
      </c>
      <c r="B44" s="611" t="s">
        <v>645</v>
      </c>
      <c r="C44" s="612" t="s">
        <v>641</v>
      </c>
      <c r="D44" s="611">
        <v>5</v>
      </c>
      <c r="E44" s="611">
        <v>85</v>
      </c>
      <c r="F44" s="611">
        <v>51</v>
      </c>
      <c r="G44" s="611">
        <v>44</v>
      </c>
      <c r="H44" s="611">
        <v>37</v>
      </c>
      <c r="I44" s="611">
        <v>6</v>
      </c>
      <c r="J44" s="613">
        <v>62549.59999999999</v>
      </c>
      <c r="K44" s="613">
        <v>30523.43</v>
      </c>
      <c r="L44" s="614">
        <f t="shared" si="0"/>
      </c>
      <c r="M44" s="614">
        <f t="shared" si="1"/>
      </c>
      <c r="N44" s="614">
        <f t="shared" si="2"/>
      </c>
      <c r="O44" s="615"/>
      <c r="P44" s="611"/>
      <c r="Q44" s="619"/>
    </row>
    <row hidden="true" r="45">
      <c r="A45" s="610">
        <v>45970</v>
      </c>
      <c r="B45" s="611" t="s">
        <v>642</v>
      </c>
      <c r="C45" s="612" t="s">
        <v>643</v>
      </c>
      <c r="D45" s="611">
        <v>5</v>
      </c>
      <c r="E45" s="611">
        <v>66</v>
      </c>
      <c r="F45" s="611">
        <v>51</v>
      </c>
      <c r="G45" s="611">
        <v>39</v>
      </c>
      <c r="H45" s="611">
        <v>40</v>
      </c>
      <c r="I45" s="611">
        <v>5</v>
      </c>
      <c r="J45" s="613">
        <v>52490.8</v>
      </c>
      <c r="K45" s="613">
        <v>31581.97</v>
      </c>
      <c r="L45" s="614">
        <f t="shared" si="0"/>
      </c>
      <c r="M45" s="614">
        <f t="shared" si="1"/>
      </c>
      <c r="N45" s="614">
        <f t="shared" si="2"/>
      </c>
      <c r="O45" s="615" t="s">
        <v>654</v>
      </c>
      <c r="P45" s="615">
        <v>10</v>
      </c>
      <c r="Q45" s="620"/>
    </row>
    <row hidden="true" r="46">
      <c r="A46" s="621">
        <v>45970</v>
      </c>
      <c r="B46" s="622"/>
      <c r="C46" s="622"/>
      <c r="D46" s="622">
        <f>SUM(D42:D45)</f>
      </c>
      <c r="E46" s="622">
        <f>SUM(E42:E45)</f>
      </c>
      <c r="F46" s="622">
        <f>SUM(F42:F45)</f>
      </c>
      <c r="G46" s="622">
        <f>SUM(G42:G45)</f>
      </c>
      <c r="H46" s="622">
        <f>SUM(H42:H45)</f>
      </c>
      <c r="I46" s="622">
        <f>SUM(I42:I45)</f>
      </c>
      <c r="J46" s="622">
        <f>SUM(J42:J45)</f>
      </c>
      <c r="K46" s="622">
        <f>SUM(K42:K45)</f>
      </c>
      <c r="L46" s="623">
        <f t="shared" si="0"/>
      </c>
      <c r="M46" s="623">
        <f t="shared" si="1"/>
      </c>
      <c r="N46" s="623">
        <f t="shared" si="2"/>
      </c>
      <c r="O46" s="624"/>
      <c r="P46" s="622">
        <f>P42+P43+P44+P45</f>
      </c>
      <c r="Q46" s="624"/>
    </row>
    <row hidden="true" r="47">
      <c r="A47" s="610">
        <v>45971</v>
      </c>
      <c r="B47" s="611" t="s">
        <v>635</v>
      </c>
      <c r="C47" s="612" t="s">
        <v>636</v>
      </c>
      <c r="D47" s="611">
        <v>5</v>
      </c>
      <c r="E47" s="611">
        <v>50</v>
      </c>
      <c r="F47" s="611">
        <v>37</v>
      </c>
      <c r="G47" s="611">
        <v>21</v>
      </c>
      <c r="H47" s="611">
        <v>23</v>
      </c>
      <c r="I47" s="611">
        <v>7</v>
      </c>
      <c r="J47" s="613">
        <v>49172.2</v>
      </c>
      <c r="K47" s="613">
        <v>15885.130000000001</v>
      </c>
      <c r="L47" s="614">
        <f t="shared" si="0"/>
      </c>
      <c r="M47" s="614">
        <f t="shared" si="1"/>
      </c>
      <c r="N47" s="614">
        <f t="shared" si="2"/>
      </c>
      <c r="O47" s="615" t="s">
        <v>650</v>
      </c>
      <c r="P47" s="611">
        <v>8</v>
      </c>
      <c r="Q47" s="616"/>
    </row>
    <row r="48">
      <c r="A48" s="610">
        <v>45971</v>
      </c>
      <c r="B48" s="611" t="s">
        <v>640</v>
      </c>
      <c r="C48" s="612" t="s">
        <v>639</v>
      </c>
      <c r="D48" s="611">
        <v>5</v>
      </c>
      <c r="E48" s="611">
        <v>77</v>
      </c>
      <c r="F48" s="611">
        <v>59</v>
      </c>
      <c r="G48" s="611">
        <v>43</v>
      </c>
      <c r="H48" s="611">
        <v>44</v>
      </c>
      <c r="I48" s="611">
        <v>10</v>
      </c>
      <c r="J48" s="613">
        <v>62667.6</v>
      </c>
      <c r="K48" s="613">
        <v>23875.160000000003</v>
      </c>
      <c r="L48" s="614">
        <f t="shared" si="0"/>
      </c>
      <c r="M48" s="614">
        <f t="shared" si="1"/>
      </c>
      <c r="N48" s="614">
        <f t="shared" si="2"/>
      </c>
      <c r="O48" s="617"/>
      <c r="P48" s="617"/>
      <c r="Q48" s="617"/>
    </row>
    <row hidden="true" r="49">
      <c r="A49" s="610">
        <v>45971</v>
      </c>
      <c r="B49" s="611" t="s">
        <v>645</v>
      </c>
      <c r="C49" s="612" t="s">
        <v>641</v>
      </c>
      <c r="D49" s="611">
        <v>5</v>
      </c>
      <c r="E49" s="611">
        <v>68</v>
      </c>
      <c r="F49" s="611">
        <v>52</v>
      </c>
      <c r="G49" s="611">
        <v>39</v>
      </c>
      <c r="H49" s="611">
        <v>40</v>
      </c>
      <c r="I49" s="611">
        <v>3</v>
      </c>
      <c r="J49" s="613">
        <v>59729.8</v>
      </c>
      <c r="K49" s="613">
        <v>27463.92</v>
      </c>
      <c r="L49" s="614">
        <f t="shared" si="0"/>
      </c>
      <c r="M49" s="614">
        <f t="shared" si="1"/>
      </c>
      <c r="N49" s="614">
        <f t="shared" si="2"/>
      </c>
      <c r="O49" s="615"/>
      <c r="P49" s="611"/>
      <c r="Q49" s="619"/>
    </row>
    <row hidden="true" r="50">
      <c r="A50" s="610">
        <v>45971</v>
      </c>
      <c r="B50" s="611" t="s">
        <v>642</v>
      </c>
      <c r="C50" s="612" t="s">
        <v>643</v>
      </c>
      <c r="D50" s="611">
        <v>5</v>
      </c>
      <c r="E50" s="611">
        <v>113</v>
      </c>
      <c r="F50" s="611">
        <v>62</v>
      </c>
      <c r="G50" s="611">
        <v>64</v>
      </c>
      <c r="H50" s="611">
        <v>50</v>
      </c>
      <c r="I50" s="611">
        <v>10</v>
      </c>
      <c r="J50" s="613">
        <v>86895.2</v>
      </c>
      <c r="K50" s="613">
        <v>40522.93000000001</v>
      </c>
      <c r="L50" s="614">
        <f t="shared" si="0"/>
      </c>
      <c r="M50" s="614">
        <f t="shared" si="1"/>
      </c>
      <c r="N50" s="614">
        <f t="shared" si="2"/>
      </c>
      <c r="O50" s="615" t="s">
        <v>654</v>
      </c>
      <c r="P50" s="615">
        <v>12</v>
      </c>
      <c r="Q50" s="620"/>
    </row>
    <row hidden="true" r="51">
      <c r="A51" s="621">
        <v>45971</v>
      </c>
      <c r="B51" s="622"/>
      <c r="C51" s="622"/>
      <c r="D51" s="622">
        <f>SUM(D47:D50)</f>
      </c>
      <c r="E51" s="622">
        <f>SUM(E47:E50)</f>
      </c>
      <c r="F51" s="622">
        <f>SUM(F47:F50)</f>
      </c>
      <c r="G51" s="622">
        <f>SUM(G47:G50)</f>
      </c>
      <c r="H51" s="622">
        <f>SUM(H47:H50)</f>
      </c>
      <c r="I51" s="622">
        <f>SUM(I47:I50)</f>
      </c>
      <c r="J51" s="622">
        <f>SUM(J47:J50)</f>
      </c>
      <c r="K51" s="622">
        <f>SUM(K47:K50)</f>
      </c>
      <c r="L51" s="623">
        <f t="shared" si="0"/>
      </c>
      <c r="M51" s="623">
        <f t="shared" si="1"/>
      </c>
      <c r="N51" s="623">
        <f t="shared" si="2"/>
      </c>
      <c r="O51" s="624"/>
      <c r="P51" s="622">
        <f>P47+P48+P49+P50</f>
      </c>
      <c r="Q51" s="624"/>
    </row>
    <row hidden="true" r="52">
      <c r="A52" s="610">
        <v>45972</v>
      </c>
      <c r="B52" s="611" t="s">
        <v>635</v>
      </c>
      <c r="C52" s="612" t="s">
        <v>636</v>
      </c>
      <c r="D52" s="611">
        <v>5</v>
      </c>
      <c r="E52" s="611">
        <v>86</v>
      </c>
      <c r="F52" s="611">
        <v>68</v>
      </c>
      <c r="G52" s="611">
        <v>41</v>
      </c>
      <c r="H52" s="611">
        <v>52</v>
      </c>
      <c r="I52" s="611">
        <v>13</v>
      </c>
      <c r="J52" s="613">
        <v>73953.2</v>
      </c>
      <c r="K52" s="613">
        <v>29769.1</v>
      </c>
      <c r="L52" s="614">
        <f t="shared" si="0"/>
      </c>
      <c r="M52" s="614">
        <f t="shared" si="1"/>
      </c>
      <c r="N52" s="614">
        <f t="shared" si="2"/>
      </c>
      <c r="O52" s="615" t="s">
        <v>650</v>
      </c>
      <c r="P52" s="611">
        <v>10</v>
      </c>
      <c r="Q52" s="616"/>
    </row>
    <row hidden="true" r="53">
      <c r="A53" s="610">
        <v>45972</v>
      </c>
      <c r="B53" s="611" t="s">
        <v>645</v>
      </c>
      <c r="C53" s="612" t="s">
        <v>639</v>
      </c>
      <c r="D53" s="611">
        <v>5</v>
      </c>
      <c r="E53" s="611">
        <v>97</v>
      </c>
      <c r="F53" s="611">
        <v>77</v>
      </c>
      <c r="G53" s="611">
        <v>50</v>
      </c>
      <c r="H53" s="611">
        <v>56</v>
      </c>
      <c r="I53" s="611">
        <v>12</v>
      </c>
      <c r="J53" s="613">
        <v>89967.20000000001</v>
      </c>
      <c r="K53" s="613">
        <v>31528.370000000003</v>
      </c>
      <c r="L53" s="614">
        <f t="shared" si="0"/>
      </c>
      <c r="M53" s="614">
        <f t="shared" si="1"/>
      </c>
      <c r="N53" s="614">
        <f t="shared" si="2"/>
      </c>
      <c r="O53" s="617"/>
      <c r="P53" s="617"/>
      <c r="Q53" s="617"/>
    </row>
    <row hidden="true" r="54">
      <c r="A54" s="610">
        <v>45972</v>
      </c>
      <c r="B54" s="611" t="s">
        <v>638</v>
      </c>
      <c r="C54" s="612" t="s">
        <v>641</v>
      </c>
      <c r="D54" s="611">
        <v>5</v>
      </c>
      <c r="E54" s="611">
        <v>62</v>
      </c>
      <c r="F54" s="611">
        <v>46</v>
      </c>
      <c r="G54" s="611">
        <v>43</v>
      </c>
      <c r="H54" s="611">
        <v>33</v>
      </c>
      <c r="I54" s="611">
        <v>3</v>
      </c>
      <c r="J54" s="613">
        <v>57525.8</v>
      </c>
      <c r="K54" s="613">
        <v>31401.190000000002</v>
      </c>
      <c r="L54" s="614">
        <f t="shared" si="0"/>
      </c>
      <c r="M54" s="614">
        <f t="shared" si="1"/>
      </c>
      <c r="N54" s="614">
        <f t="shared" si="2"/>
      </c>
      <c r="O54" s="615"/>
      <c r="P54" s="611"/>
      <c r="Q54" s="619"/>
    </row>
    <row r="55">
      <c r="A55" s="610">
        <v>45972</v>
      </c>
      <c r="B55" s="611" t="s">
        <v>640</v>
      </c>
      <c r="C55" s="612" t="s">
        <v>643</v>
      </c>
      <c r="D55" s="611">
        <v>5</v>
      </c>
      <c r="E55" s="611">
        <v>104</v>
      </c>
      <c r="F55" s="611">
        <v>65</v>
      </c>
      <c r="G55" s="611">
        <v>46</v>
      </c>
      <c r="H55" s="611">
        <v>50</v>
      </c>
      <c r="I55" s="611">
        <v>7</v>
      </c>
      <c r="J55" s="613">
        <v>77621.4</v>
      </c>
      <c r="K55" s="613">
        <v>35833.270000000004</v>
      </c>
      <c r="L55" s="614">
        <f t="shared" si="0"/>
      </c>
      <c r="M55" s="614">
        <f t="shared" si="1"/>
      </c>
      <c r="N55" s="614">
        <f t="shared" si="2"/>
      </c>
      <c r="O55" s="615" t="s">
        <v>654</v>
      </c>
      <c r="P55" s="615">
        <v>10</v>
      </c>
      <c r="Q55" s="620"/>
    </row>
    <row hidden="true" r="56">
      <c r="A56" s="621">
        <v>45972</v>
      </c>
      <c r="B56" s="622"/>
      <c r="C56" s="622"/>
      <c r="D56" s="622">
        <f>SUM(D52:D55)</f>
      </c>
      <c r="E56" s="622">
        <f>SUM(E52:E55)</f>
      </c>
      <c r="F56" s="622">
        <f>SUM(F52:F55)</f>
      </c>
      <c r="G56" s="622">
        <f>SUM(G52:G55)</f>
      </c>
      <c r="H56" s="622">
        <f>SUM(H52:H55)</f>
      </c>
      <c r="I56" s="622">
        <f>SUM(I52:I55)</f>
      </c>
      <c r="J56" s="622">
        <f>SUM(J52:J55)</f>
      </c>
      <c r="K56" s="622">
        <f>SUM(K52:K55)</f>
      </c>
      <c r="L56" s="623">
        <f t="shared" si="0"/>
      </c>
      <c r="M56" s="623">
        <f t="shared" si="1"/>
      </c>
      <c r="N56" s="623">
        <f t="shared" si="2"/>
      </c>
      <c r="O56" s="624"/>
      <c r="P56" s="622">
        <f>P52+P53+P54+P55</f>
      </c>
      <c r="Q56" s="624"/>
    </row>
    <row hidden="true" r="57">
      <c r="A57" s="610">
        <v>45973</v>
      </c>
      <c r="B57" s="611" t="s">
        <v>635</v>
      </c>
      <c r="C57" s="612" t="s">
        <v>636</v>
      </c>
      <c r="D57" s="611">
        <v>5</v>
      </c>
      <c r="E57" s="611">
        <v>66</v>
      </c>
      <c r="F57" s="611">
        <v>51</v>
      </c>
      <c r="G57" s="611">
        <v>32</v>
      </c>
      <c r="H57" s="611">
        <v>38</v>
      </c>
      <c r="I57" s="611">
        <v>8</v>
      </c>
      <c r="J57" s="613">
        <v>58706.6</v>
      </c>
      <c r="K57" s="613">
        <v>28012.300000000003</v>
      </c>
      <c r="L57" s="614">
        <f t="shared" si="0"/>
      </c>
      <c r="M57" s="614">
        <f t="shared" si="1"/>
      </c>
      <c r="N57" s="614">
        <f t="shared" si="2"/>
      </c>
      <c r="O57" s="615" t="s">
        <v>650</v>
      </c>
      <c r="P57" s="611">
        <v>10</v>
      </c>
      <c r="Q57" s="616"/>
    </row>
    <row r="58">
      <c r="A58" s="610">
        <v>45973</v>
      </c>
      <c r="B58" s="611" t="s">
        <v>640</v>
      </c>
      <c r="C58" s="612" t="s">
        <v>639</v>
      </c>
      <c r="D58" s="611">
        <v>5</v>
      </c>
      <c r="E58" s="611">
        <v>63</v>
      </c>
      <c r="F58" s="611">
        <v>49</v>
      </c>
      <c r="G58" s="611">
        <v>32</v>
      </c>
      <c r="H58" s="611">
        <v>42</v>
      </c>
      <c r="I58" s="611">
        <v>9</v>
      </c>
      <c r="J58" s="613">
        <v>40416.2</v>
      </c>
      <c r="K58" s="613">
        <v>26172.05</v>
      </c>
      <c r="L58" s="614">
        <f t="shared" si="0"/>
      </c>
      <c r="M58" s="614">
        <f t="shared" si="1"/>
      </c>
      <c r="N58" s="614">
        <f t="shared" si="2"/>
      </c>
      <c r="O58" s="617"/>
      <c r="P58" s="617"/>
      <c r="Q58" s="617"/>
    </row>
    <row hidden="true" r="59">
      <c r="A59" s="610">
        <v>45973</v>
      </c>
      <c r="B59" s="611" t="s">
        <v>638</v>
      </c>
      <c r="C59" s="612" t="s">
        <v>641</v>
      </c>
      <c r="D59" s="611">
        <v>5</v>
      </c>
      <c r="E59" s="611">
        <v>52</v>
      </c>
      <c r="F59" s="611">
        <v>34</v>
      </c>
      <c r="G59" s="611">
        <v>29</v>
      </c>
      <c r="H59" s="611">
        <v>24</v>
      </c>
      <c r="I59" s="611">
        <v>3</v>
      </c>
      <c r="J59" s="613">
        <v>40790.399999999994</v>
      </c>
      <c r="K59" s="613">
        <v>24443</v>
      </c>
      <c r="L59" s="614">
        <f t="shared" si="0"/>
      </c>
      <c r="M59" s="614">
        <f t="shared" si="1"/>
      </c>
      <c r="N59" s="614">
        <f t="shared" si="2"/>
      </c>
      <c r="O59" s="615"/>
      <c r="P59" s="611"/>
      <c r="Q59" s="619"/>
    </row>
    <row hidden="true" r="60">
      <c r="A60" s="610">
        <v>45973</v>
      </c>
      <c r="B60" s="611" t="s">
        <v>642</v>
      </c>
      <c r="C60" s="612" t="s">
        <v>643</v>
      </c>
      <c r="D60" s="611">
        <v>5</v>
      </c>
      <c r="E60" s="611">
        <v>51</v>
      </c>
      <c r="F60" s="611">
        <v>28</v>
      </c>
      <c r="G60" s="611">
        <v>22</v>
      </c>
      <c r="H60" s="611">
        <v>21</v>
      </c>
      <c r="I60" s="611">
        <v>2</v>
      </c>
      <c r="J60" s="613">
        <v>34002</v>
      </c>
      <c r="K60" s="613">
        <v>22132.57</v>
      </c>
      <c r="L60" s="614">
        <f t="shared" si="0"/>
      </c>
      <c r="M60" s="614">
        <f t="shared" si="1"/>
      </c>
      <c r="N60" s="614">
        <f t="shared" si="2"/>
      </c>
      <c r="O60" s="615" t="s">
        <v>654</v>
      </c>
      <c r="P60" s="615">
        <v>10</v>
      </c>
      <c r="Q60" s="620"/>
    </row>
    <row hidden="true" r="61">
      <c r="A61" s="621">
        <v>45973</v>
      </c>
      <c r="B61" s="622"/>
      <c r="C61" s="622"/>
      <c r="D61" s="622">
        <f>SUM(D57:D60)</f>
      </c>
      <c r="E61" s="622">
        <f>SUM(E57:E60)</f>
      </c>
      <c r="F61" s="622">
        <f>SUM(F57:F60)</f>
      </c>
      <c r="G61" s="622">
        <f>SUM(G57:G60)</f>
      </c>
      <c r="H61" s="622">
        <f>SUM(H57:H60)</f>
      </c>
      <c r="I61" s="622">
        <f>SUM(I57:I60)</f>
      </c>
      <c r="J61" s="622">
        <f>SUM(J57:J60)</f>
      </c>
      <c r="K61" s="622">
        <f>SUM(K57:K60)</f>
      </c>
      <c r="L61" s="623">
        <f t="shared" si="0"/>
      </c>
      <c r="M61" s="623">
        <f t="shared" si="1"/>
      </c>
      <c r="N61" s="623">
        <f t="shared" si="2"/>
      </c>
      <c r="O61" s="624"/>
      <c r="P61" s="622">
        <f>P57+P58+P59+P60</f>
      </c>
      <c r="Q61" s="624"/>
    </row>
    <row hidden="true" r="62">
      <c r="A62" s="610">
        <v>45974</v>
      </c>
      <c r="B62" s="611" t="s">
        <v>635</v>
      </c>
      <c r="C62" s="612" t="s">
        <v>636</v>
      </c>
      <c r="D62" s="611">
        <v>5</v>
      </c>
      <c r="E62" s="611">
        <v>65</v>
      </c>
      <c r="F62" s="611">
        <v>54</v>
      </c>
      <c r="G62" s="611">
        <v>30</v>
      </c>
      <c r="H62" s="611">
        <v>43</v>
      </c>
      <c r="I62" s="611">
        <v>5</v>
      </c>
      <c r="J62" s="613">
        <v>52904.8</v>
      </c>
      <c r="K62" s="613">
        <v>24736.92</v>
      </c>
      <c r="L62" s="614">
        <f t="shared" si="0"/>
      </c>
      <c r="M62" s="614">
        <f t="shared" si="1"/>
      </c>
      <c r="N62" s="614">
        <f t="shared" si="2"/>
      </c>
      <c r="O62" s="615" t="s">
        <v>650</v>
      </c>
      <c r="P62" s="611">
        <v>10</v>
      </c>
      <c r="Q62" s="616"/>
    </row>
    <row r="63">
      <c r="A63" s="610">
        <v>45974</v>
      </c>
      <c r="B63" s="611" t="s">
        <v>640</v>
      </c>
      <c r="C63" s="612" t="s">
        <v>639</v>
      </c>
      <c r="D63" s="611">
        <v>5</v>
      </c>
      <c r="E63" s="611">
        <v>41</v>
      </c>
      <c r="F63" s="611">
        <v>29</v>
      </c>
      <c r="G63" s="611">
        <v>25</v>
      </c>
      <c r="H63" s="611">
        <v>21</v>
      </c>
      <c r="I63" s="611">
        <v>2</v>
      </c>
      <c r="J63" s="613">
        <v>32808.2</v>
      </c>
      <c r="K63" s="613">
        <v>20477.5</v>
      </c>
      <c r="L63" s="614">
        <f t="shared" si="0"/>
      </c>
      <c r="M63" s="614">
        <f t="shared" si="1"/>
      </c>
      <c r="N63" s="614">
        <f t="shared" si="2"/>
      </c>
      <c r="O63" s="617"/>
      <c r="P63" s="617"/>
      <c r="Q63" s="617"/>
    </row>
    <row hidden="true" r="64">
      <c r="A64" s="610">
        <v>45974</v>
      </c>
      <c r="B64" s="611" t="s">
        <v>645</v>
      </c>
      <c r="C64" s="612" t="s">
        <v>641</v>
      </c>
      <c r="D64" s="611">
        <v>5</v>
      </c>
      <c r="E64" s="611">
        <v>41</v>
      </c>
      <c r="F64" s="611">
        <v>27</v>
      </c>
      <c r="G64" s="611">
        <v>18</v>
      </c>
      <c r="H64" s="611">
        <v>16</v>
      </c>
      <c r="I64" s="611">
        <v>5</v>
      </c>
      <c r="J64" s="613">
        <v>29973.199999999997</v>
      </c>
      <c r="K64" s="613">
        <v>15740.95</v>
      </c>
      <c r="L64" s="614">
        <f t="shared" si="0"/>
      </c>
      <c r="M64" s="614">
        <f t="shared" si="1"/>
      </c>
      <c r="N64" s="614">
        <f t="shared" si="2"/>
      </c>
      <c r="O64" s="615"/>
      <c r="P64" s="611"/>
      <c r="Q64" s="619"/>
    </row>
    <row hidden="true" r="65">
      <c r="A65" s="610">
        <v>45974</v>
      </c>
      <c r="B65" s="611" t="s">
        <v>642</v>
      </c>
      <c r="C65" s="612" t="s">
        <v>643</v>
      </c>
      <c r="D65" s="611">
        <v>5</v>
      </c>
      <c r="E65" s="611">
        <v>48</v>
      </c>
      <c r="F65" s="611">
        <v>29</v>
      </c>
      <c r="G65" s="611">
        <v>23</v>
      </c>
      <c r="H65" s="611">
        <v>19</v>
      </c>
      <c r="I65" s="611">
        <v>2</v>
      </c>
      <c r="J65" s="613">
        <v>30744.2</v>
      </c>
      <c r="K65" s="613">
        <v>17765.54</v>
      </c>
      <c r="L65" s="614">
        <f t="shared" si="0"/>
      </c>
      <c r="M65" s="614">
        <f t="shared" si="1"/>
      </c>
      <c r="N65" s="614">
        <f t="shared" si="2"/>
      </c>
      <c r="O65" s="615" t="s">
        <v>654</v>
      </c>
      <c r="P65" s="615">
        <v>10</v>
      </c>
      <c r="Q65" s="620"/>
    </row>
    <row hidden="true" r="66">
      <c r="A66" s="621">
        <v>45974</v>
      </c>
      <c r="B66" s="622"/>
      <c r="C66" s="622"/>
      <c r="D66" s="622">
        <f>SUM(D62:D65)</f>
      </c>
      <c r="E66" s="622">
        <f>SUM(E62:E65)</f>
      </c>
      <c r="F66" s="622">
        <f>SUM(F62:F65)</f>
      </c>
      <c r="G66" s="622">
        <f>SUM(G62:G65)</f>
      </c>
      <c r="H66" s="622">
        <f>SUM(H62:H65)</f>
      </c>
      <c r="I66" s="622">
        <f>SUM(I62:I65)</f>
      </c>
      <c r="J66" s="622">
        <f>SUM(J62:J65)</f>
      </c>
      <c r="K66" s="622">
        <f>SUM(K62:K65)</f>
      </c>
      <c r="L66" s="623">
        <f t="shared" si="0"/>
      </c>
      <c r="M66" s="623">
        <f t="shared" si="1"/>
      </c>
      <c r="N66" s="623">
        <f t="shared" si="2"/>
      </c>
      <c r="O66" s="624"/>
      <c r="P66" s="622">
        <f>P62+P63+P64+P65</f>
      </c>
      <c r="Q66" s="624"/>
    </row>
    <row hidden="true" r="67">
      <c r="A67" s="610">
        <v>45975</v>
      </c>
      <c r="B67" s="611" t="s">
        <v>635</v>
      </c>
      <c r="C67" s="612" t="s">
        <v>636</v>
      </c>
      <c r="D67" s="611">
        <v>5</v>
      </c>
      <c r="E67" s="611">
        <v>45</v>
      </c>
      <c r="F67" s="611">
        <v>35</v>
      </c>
      <c r="G67" s="611">
        <v>25</v>
      </c>
      <c r="H67" s="611">
        <v>24</v>
      </c>
      <c r="I67" s="611">
        <v>6</v>
      </c>
      <c r="J67" s="613">
        <v>41999.600000000006</v>
      </c>
      <c r="K67" s="613">
        <v>20199.82</v>
      </c>
      <c r="L67" s="614">
        <f t="shared" si="0"/>
      </c>
      <c r="M67" s="614">
        <f t="shared" si="1"/>
      </c>
      <c r="N67" s="614">
        <f t="shared" si="2"/>
      </c>
      <c r="O67" s="615" t="s">
        <v>650</v>
      </c>
      <c r="P67" s="611">
        <v>10</v>
      </c>
      <c r="Q67" s="616"/>
    </row>
    <row hidden="true" r="68">
      <c r="A68" s="610">
        <v>45975</v>
      </c>
      <c r="B68" s="611" t="s">
        <v>645</v>
      </c>
      <c r="C68" s="612" t="s">
        <v>639</v>
      </c>
      <c r="D68" s="611">
        <v>5</v>
      </c>
      <c r="E68" s="611">
        <v>66</v>
      </c>
      <c r="F68" s="611">
        <v>45</v>
      </c>
      <c r="G68" s="611">
        <v>31</v>
      </c>
      <c r="H68" s="611">
        <v>33</v>
      </c>
      <c r="I68" s="611">
        <v>4</v>
      </c>
      <c r="J68" s="613">
        <v>49677</v>
      </c>
      <c r="K68" s="613">
        <v>21078.139999999996</v>
      </c>
      <c r="L68" s="614">
        <f t="shared" si="0"/>
      </c>
      <c r="M68" s="614">
        <f t="shared" si="1"/>
      </c>
      <c r="N68" s="614">
        <f t="shared" si="2"/>
      </c>
      <c r="O68" s="617"/>
      <c r="P68" s="617"/>
      <c r="Q68" s="617"/>
    </row>
    <row hidden="true" r="69">
      <c r="A69" s="610">
        <v>45975</v>
      </c>
      <c r="B69" s="611" t="s">
        <v>638</v>
      </c>
      <c r="C69" s="612" t="s">
        <v>641</v>
      </c>
      <c r="D69" s="611">
        <v>5</v>
      </c>
      <c r="E69" s="611">
        <v>78</v>
      </c>
      <c r="F69" s="611">
        <v>58</v>
      </c>
      <c r="G69" s="611">
        <v>41</v>
      </c>
      <c r="H69" s="611">
        <v>45</v>
      </c>
      <c r="I69" s="611">
        <v>10</v>
      </c>
      <c r="J69" s="613">
        <v>60463.399999999994</v>
      </c>
      <c r="K69" s="613">
        <v>24669.609999999997</v>
      </c>
      <c r="L69" s="614">
        <f t="shared" si="0"/>
      </c>
      <c r="M69" s="614">
        <f t="shared" si="1"/>
      </c>
      <c r="N69" s="614">
        <f t="shared" si="2"/>
      </c>
      <c r="O69" s="615"/>
      <c r="P69" s="611"/>
      <c r="Q69" s="619"/>
    </row>
    <row r="70">
      <c r="A70" s="610">
        <v>45975</v>
      </c>
      <c r="B70" s="611" t="s">
        <v>640</v>
      </c>
      <c r="C70" s="612" t="s">
        <v>643</v>
      </c>
      <c r="D70" s="611">
        <v>5</v>
      </c>
      <c r="E70" s="611">
        <v>88</v>
      </c>
      <c r="F70" s="611">
        <v>61</v>
      </c>
      <c r="G70" s="611">
        <v>47</v>
      </c>
      <c r="H70" s="611">
        <v>48</v>
      </c>
      <c r="I70" s="611">
        <v>7</v>
      </c>
      <c r="J70" s="613">
        <v>63632.399999999994</v>
      </c>
      <c r="K70" s="613">
        <v>34910.939999999995</v>
      </c>
      <c r="L70" s="614">
        <f t="shared" si="0"/>
      </c>
      <c r="M70" s="614">
        <f t="shared" si="1"/>
      </c>
      <c r="N70" s="614">
        <f t="shared" si="2"/>
      </c>
      <c r="O70" s="615" t="s">
        <v>654</v>
      </c>
      <c r="P70" s="615">
        <v>10</v>
      </c>
      <c r="Q70" s="620"/>
    </row>
    <row hidden="true" r="71">
      <c r="A71" s="621">
        <v>45975</v>
      </c>
      <c r="B71" s="622"/>
      <c r="C71" s="622"/>
      <c r="D71" s="622">
        <f>SUM(D67:D70)</f>
      </c>
      <c r="E71" s="622">
        <f>SUM(E67:E70)</f>
      </c>
      <c r="F71" s="622">
        <f>SUM(F67:F70)</f>
      </c>
      <c r="G71" s="622">
        <f>SUM(G67:G70)</f>
      </c>
      <c r="H71" s="622">
        <f>SUM(H67:H70)</f>
      </c>
      <c r="I71" s="622">
        <f>SUM(I67:I70)</f>
      </c>
      <c r="J71" s="622">
        <f>SUM(J67:J70)</f>
      </c>
      <c r="K71" s="622">
        <f>SUM(K67:K70)</f>
      </c>
      <c r="L71" s="623">
        <f t="shared" si="0"/>
      </c>
      <c r="M71" s="623">
        <f t="shared" si="1"/>
      </c>
      <c r="N71" s="623">
        <f t="shared" si="2"/>
      </c>
      <c r="O71" s="624"/>
      <c r="P71" s="622">
        <f>P67+P68+P69+P70</f>
      </c>
      <c r="Q71" s="624"/>
    </row>
    <row hidden="true" r="72">
      <c r="A72" s="610">
        <v>45976</v>
      </c>
      <c r="B72" s="611" t="s">
        <v>635</v>
      </c>
      <c r="C72" s="612" t="s">
        <v>636</v>
      </c>
      <c r="D72" s="611">
        <v>5</v>
      </c>
      <c r="E72" s="611">
        <v>25</v>
      </c>
      <c r="F72" s="611">
        <v>18</v>
      </c>
      <c r="G72" s="611">
        <v>13</v>
      </c>
      <c r="H72" s="611">
        <v>12</v>
      </c>
      <c r="I72" s="611">
        <v>3</v>
      </c>
      <c r="J72" s="613">
        <v>21477.8</v>
      </c>
      <c r="K72" s="613">
        <v>19085.510000000002</v>
      </c>
      <c r="L72" s="614">
        <f t="shared" si="0"/>
      </c>
      <c r="M72" s="614">
        <f t="shared" si="1"/>
      </c>
      <c r="N72" s="614">
        <f t="shared" si="2"/>
      </c>
      <c r="O72" s="615" t="s">
        <v>650</v>
      </c>
      <c r="P72" s="611">
        <v>10</v>
      </c>
      <c r="Q72" s="616"/>
    </row>
    <row r="73">
      <c r="A73" s="610">
        <v>45976</v>
      </c>
      <c r="B73" s="611" t="s">
        <v>640</v>
      </c>
      <c r="C73" s="612" t="s">
        <v>639</v>
      </c>
      <c r="D73" s="611">
        <v>5</v>
      </c>
      <c r="E73" s="611">
        <v>67</v>
      </c>
      <c r="F73" s="611">
        <v>49</v>
      </c>
      <c r="G73" s="611">
        <v>28</v>
      </c>
      <c r="H73" s="611">
        <v>38</v>
      </c>
      <c r="I73" s="611">
        <v>10</v>
      </c>
      <c r="J73" s="613">
        <v>55100.79999999999</v>
      </c>
      <c r="K73" s="613">
        <v>19418.800000000003</v>
      </c>
      <c r="L73" s="614">
        <f t="shared" si="0"/>
      </c>
      <c r="M73" s="614">
        <f t="shared" si="1"/>
      </c>
      <c r="N73" s="614">
        <f t="shared" si="2"/>
      </c>
      <c r="O73" s="617"/>
      <c r="P73" s="617"/>
      <c r="Q73" s="617"/>
    </row>
    <row hidden="true" r="74">
      <c r="A74" s="610">
        <v>45976</v>
      </c>
      <c r="B74" s="611" t="s">
        <v>638</v>
      </c>
      <c r="C74" s="612" t="s">
        <v>641</v>
      </c>
      <c r="D74" s="611">
        <v>5</v>
      </c>
      <c r="E74" s="611">
        <v>47</v>
      </c>
      <c r="F74" s="611">
        <v>39</v>
      </c>
      <c r="G74" s="611">
        <v>23</v>
      </c>
      <c r="H74" s="611">
        <v>29</v>
      </c>
      <c r="I74" s="611">
        <v>5</v>
      </c>
      <c r="J74" s="613">
        <v>43525.2</v>
      </c>
      <c r="K74" s="613">
        <v>17522.149999999998</v>
      </c>
      <c r="L74" s="614">
        <f t="shared" si="0"/>
      </c>
      <c r="M74" s="614">
        <f t="shared" si="1"/>
      </c>
      <c r="N74" s="614">
        <f t="shared" si="2"/>
      </c>
      <c r="O74" s="615"/>
      <c r="P74" s="611"/>
      <c r="Q74" s="619"/>
    </row>
    <row hidden="true" r="75">
      <c r="A75" s="610">
        <v>45976</v>
      </c>
      <c r="B75" s="611" t="s">
        <v>642</v>
      </c>
      <c r="C75" s="612" t="s">
        <v>643</v>
      </c>
      <c r="D75" s="611">
        <v>5</v>
      </c>
      <c r="E75" s="611">
        <v>57</v>
      </c>
      <c r="F75" s="611">
        <v>39</v>
      </c>
      <c r="G75" s="611">
        <v>22</v>
      </c>
      <c r="H75" s="611">
        <v>33</v>
      </c>
      <c r="I75" s="611">
        <v>6</v>
      </c>
      <c r="J75" s="613">
        <v>32309.199999999997</v>
      </c>
      <c r="K75" s="613">
        <v>17579.88</v>
      </c>
      <c r="L75" s="614">
        <f t="shared" si="0"/>
      </c>
      <c r="M75" s="614">
        <f t="shared" si="1"/>
      </c>
      <c r="N75" s="614">
        <f t="shared" si="2"/>
      </c>
      <c r="O75" s="615" t="s">
        <v>654</v>
      </c>
      <c r="P75" s="615">
        <v>10</v>
      </c>
      <c r="Q75" s="620"/>
    </row>
    <row hidden="true" r="76">
      <c r="A76" s="621">
        <v>45976</v>
      </c>
      <c r="B76" s="622"/>
      <c r="C76" s="622"/>
      <c r="D76" s="622">
        <f>SUM(D72:D75)</f>
      </c>
      <c r="E76" s="622">
        <f>SUM(E72:E75)</f>
      </c>
      <c r="F76" s="622">
        <f>SUM(F72:F75)</f>
      </c>
      <c r="G76" s="622">
        <f>SUM(G72:G75)</f>
      </c>
      <c r="H76" s="622">
        <f>SUM(H72:H75)</f>
      </c>
      <c r="I76" s="622">
        <f>SUM(I72:I75)</f>
      </c>
      <c r="J76" s="622">
        <f>SUM(J72:J75)</f>
      </c>
      <c r="K76" s="622">
        <f>SUM(K72:K75)</f>
      </c>
      <c r="L76" s="623">
        <f t="shared" si="0"/>
      </c>
      <c r="M76" s="623">
        <f t="shared" si="1"/>
      </c>
      <c r="N76" s="623">
        <f t="shared" si="2"/>
      </c>
      <c r="O76" s="624"/>
      <c r="P76" s="622">
        <f>P72+P73+P74+P75</f>
      </c>
      <c r="Q76" s="624"/>
    </row>
    <row hidden="true" r="77">
      <c r="A77" s="610">
        <v>45977</v>
      </c>
      <c r="B77" s="611" t="s">
        <v>638</v>
      </c>
      <c r="C77" s="612" t="s">
        <v>636</v>
      </c>
      <c r="D77" s="611">
        <v>5</v>
      </c>
      <c r="E77" s="611">
        <v>47</v>
      </c>
      <c r="F77" s="611">
        <v>34</v>
      </c>
      <c r="G77" s="611">
        <v>28</v>
      </c>
      <c r="H77" s="611">
        <v>26</v>
      </c>
      <c r="I77" s="611">
        <v>2</v>
      </c>
      <c r="J77" s="613">
        <v>32294.6</v>
      </c>
      <c r="K77" s="613">
        <v>19315.43</v>
      </c>
      <c r="L77" s="614">
        <f t="shared" si="0"/>
      </c>
      <c r="M77" s="614">
        <f t="shared" si="1"/>
      </c>
      <c r="N77" s="614">
        <f t="shared" si="2"/>
      </c>
      <c r="O77" s="615" t="s">
        <v>650</v>
      </c>
      <c r="P77" s="611">
        <v>10</v>
      </c>
      <c r="Q77" s="616"/>
    </row>
    <row hidden="true" r="78">
      <c r="A78" s="610">
        <v>45977</v>
      </c>
      <c r="B78" s="611" t="s">
        <v>645</v>
      </c>
      <c r="C78" s="612" t="s">
        <v>639</v>
      </c>
      <c r="D78" s="611">
        <v>5</v>
      </c>
      <c r="E78" s="611">
        <v>47</v>
      </c>
      <c r="F78" s="611">
        <v>32</v>
      </c>
      <c r="G78" s="611">
        <v>28</v>
      </c>
      <c r="H78" s="611">
        <v>26</v>
      </c>
      <c r="I78" s="611">
        <v>2</v>
      </c>
      <c r="J78" s="613">
        <v>36606.2</v>
      </c>
      <c r="K78" s="613">
        <v>20054.469999999998</v>
      </c>
      <c r="L78" s="614">
        <f t="shared" si="0"/>
      </c>
      <c r="M78" s="614">
        <f t="shared" si="1"/>
      </c>
      <c r="N78" s="614">
        <f t="shared" si="2"/>
      </c>
      <c r="O78" s="617"/>
      <c r="P78" s="617"/>
      <c r="Q78" s="617"/>
    </row>
    <row hidden="true" r="79">
      <c r="A79" s="610">
        <v>45977</v>
      </c>
      <c r="B79" s="611" t="s">
        <v>642</v>
      </c>
      <c r="C79" s="612" t="s">
        <v>641</v>
      </c>
      <c r="D79" s="611">
        <v>5</v>
      </c>
      <c r="E79" s="611">
        <v>31</v>
      </c>
      <c r="F79" s="611">
        <v>21</v>
      </c>
      <c r="G79" s="611">
        <v>18</v>
      </c>
      <c r="H79" s="611">
        <v>16</v>
      </c>
      <c r="I79" s="611">
        <v>1</v>
      </c>
      <c r="J79" s="613">
        <v>20329.2</v>
      </c>
      <c r="K79" s="613">
        <v>16210.71</v>
      </c>
      <c r="L79" s="614">
        <f t="shared" si="0"/>
      </c>
      <c r="M79" s="614">
        <f t="shared" si="1"/>
      </c>
      <c r="N79" s="614">
        <f t="shared" si="2"/>
      </c>
      <c r="O79" s="615"/>
      <c r="P79" s="611"/>
      <c r="Q79" s="619"/>
    </row>
    <row r="80">
      <c r="A80" s="610">
        <v>45977</v>
      </c>
      <c r="B80" s="611" t="s">
        <v>640</v>
      </c>
      <c r="C80" s="612" t="s">
        <v>643</v>
      </c>
      <c r="D80" s="611">
        <v>5</v>
      </c>
      <c r="E80" s="611">
        <v>41</v>
      </c>
      <c r="F80" s="611">
        <v>28</v>
      </c>
      <c r="G80" s="611">
        <v>21</v>
      </c>
      <c r="H80" s="611">
        <v>16</v>
      </c>
      <c r="I80" s="611">
        <v>3</v>
      </c>
      <c r="J80" s="613">
        <v>33020.8</v>
      </c>
      <c r="K80" s="613">
        <v>16068.73</v>
      </c>
      <c r="L80" s="614">
        <f t="shared" si="0"/>
      </c>
      <c r="M80" s="614">
        <f t="shared" si="1"/>
      </c>
      <c r="N80" s="614">
        <f t="shared" si="2"/>
      </c>
      <c r="O80" s="615" t="s">
        <v>654</v>
      </c>
      <c r="P80" s="615">
        <v>10</v>
      </c>
      <c r="Q80" s="620"/>
    </row>
    <row hidden="true" r="81">
      <c r="A81" s="621">
        <v>45977</v>
      </c>
      <c r="B81" s="622"/>
      <c r="C81" s="622"/>
      <c r="D81" s="622">
        <f>SUM(D77:D80)</f>
      </c>
      <c r="E81" s="622">
        <f>SUM(E77:E80)</f>
      </c>
      <c r="F81" s="622">
        <f>SUM(F77:F80)</f>
      </c>
      <c r="G81" s="622">
        <f>SUM(G77:G80)</f>
      </c>
      <c r="H81" s="622">
        <f>SUM(H77:H80)</f>
      </c>
      <c r="I81" s="622">
        <f>SUM(I77:I80)</f>
      </c>
      <c r="J81" s="622">
        <f>SUM(J77:J80)</f>
      </c>
      <c r="K81" s="622">
        <f>SUM(K77:K80)</f>
      </c>
      <c r="L81" s="623">
        <f t="shared" si="0"/>
      </c>
      <c r="M81" s="623">
        <f t="shared" si="1"/>
      </c>
      <c r="N81" s="623">
        <f t="shared" si="2"/>
      </c>
      <c r="O81" s="624"/>
      <c r="P81" s="622">
        <f>P77+P78+P79+P80</f>
      </c>
      <c r="Q81" s="624"/>
    </row>
    <row hidden="true" r="82">
      <c r="A82" s="610">
        <v>45978</v>
      </c>
      <c r="B82" s="611" t="s">
        <v>638</v>
      </c>
      <c r="C82" s="612" t="s">
        <v>636</v>
      </c>
      <c r="D82" s="611">
        <v>5</v>
      </c>
      <c r="E82" s="611">
        <v>51</v>
      </c>
      <c r="F82" s="611">
        <v>40</v>
      </c>
      <c r="G82" s="611">
        <v>31</v>
      </c>
      <c r="H82" s="611">
        <v>29</v>
      </c>
      <c r="I82" s="611">
        <v>5</v>
      </c>
      <c r="J82" s="613">
        <v>39111.600000000006</v>
      </c>
      <c r="K82" s="613">
        <v>21946.05</v>
      </c>
      <c r="L82" s="614">
        <f t="shared" si="0"/>
      </c>
      <c r="M82" s="614">
        <f t="shared" si="1"/>
      </c>
      <c r="N82" s="614">
        <f t="shared" si="2"/>
      </c>
      <c r="O82" s="615" t="s">
        <v>650</v>
      </c>
      <c r="P82" s="611">
        <v>10</v>
      </c>
      <c r="Q82" s="616"/>
    </row>
    <row r="83">
      <c r="A83" s="610">
        <v>45978</v>
      </c>
      <c r="B83" s="611" t="s">
        <v>640</v>
      </c>
      <c r="C83" s="612" t="s">
        <v>639</v>
      </c>
      <c r="D83" s="611">
        <v>5</v>
      </c>
      <c r="E83" s="611">
        <v>49</v>
      </c>
      <c r="F83" s="611">
        <v>39</v>
      </c>
      <c r="G83" s="611">
        <v>33</v>
      </c>
      <c r="H83" s="611">
        <v>31</v>
      </c>
      <c r="I83" s="611">
        <v>2</v>
      </c>
      <c r="J83" s="613">
        <v>37883.4</v>
      </c>
      <c r="K83" s="613">
        <v>21646.58</v>
      </c>
      <c r="L83" s="614">
        <f t="shared" si="0"/>
      </c>
      <c r="M83" s="614">
        <f t="shared" si="1"/>
      </c>
      <c r="N83" s="614">
        <f t="shared" si="2"/>
      </c>
      <c r="O83" s="617"/>
      <c r="P83" s="617"/>
      <c r="Q83" s="617"/>
    </row>
    <row hidden="true" r="84">
      <c r="A84" s="610">
        <v>45978</v>
      </c>
      <c r="B84" s="611" t="s">
        <v>645</v>
      </c>
      <c r="C84" s="612" t="s">
        <v>641</v>
      </c>
      <c r="D84" s="611">
        <v>5</v>
      </c>
      <c r="E84" s="611">
        <v>50</v>
      </c>
      <c r="F84" s="611">
        <v>33</v>
      </c>
      <c r="G84" s="611">
        <v>28</v>
      </c>
      <c r="H84" s="611">
        <v>25</v>
      </c>
      <c r="I84" s="611">
        <v>5</v>
      </c>
      <c r="J84" s="613">
        <v>30447.999999999996</v>
      </c>
      <c r="K84" s="613">
        <v>23181.340000000004</v>
      </c>
      <c r="L84" s="614">
        <f t="shared" si="0"/>
      </c>
      <c r="M84" s="614">
        <f t="shared" si="1"/>
      </c>
      <c r="N84" s="614">
        <f t="shared" si="2"/>
      </c>
      <c r="O84" s="615"/>
      <c r="P84" s="611"/>
      <c r="Q84" s="619"/>
    </row>
    <row hidden="true" r="85">
      <c r="A85" s="610">
        <v>45978</v>
      </c>
      <c r="B85" s="611" t="s">
        <v>642</v>
      </c>
      <c r="C85" s="612" t="s">
        <v>643</v>
      </c>
      <c r="D85" s="611">
        <v>5</v>
      </c>
      <c r="E85" s="611">
        <v>54</v>
      </c>
      <c r="F85" s="611">
        <v>41</v>
      </c>
      <c r="G85" s="611">
        <v>25</v>
      </c>
      <c r="H85" s="611">
        <v>35</v>
      </c>
      <c r="I85" s="611">
        <v>5</v>
      </c>
      <c r="J85" s="613">
        <v>27412</v>
      </c>
      <c r="K85" s="613">
        <v>22107.36</v>
      </c>
      <c r="L85" s="614">
        <f t="shared" si="0"/>
      </c>
      <c r="M85" s="614">
        <f t="shared" si="1"/>
      </c>
      <c r="N85" s="614">
        <f t="shared" si="2"/>
      </c>
      <c r="O85" s="615" t="s">
        <v>654</v>
      </c>
      <c r="P85" s="615">
        <v>10</v>
      </c>
      <c r="Q85" s="620"/>
    </row>
    <row hidden="true" r="86">
      <c r="A86" s="621">
        <v>45978</v>
      </c>
      <c r="B86" s="622"/>
      <c r="C86" s="622"/>
      <c r="D86" s="622">
        <f>SUM(D82:D85)</f>
      </c>
      <c r="E86" s="622">
        <f>SUM(E82:E85)</f>
      </c>
      <c r="F86" s="622">
        <f>SUM(F82:F85)</f>
      </c>
      <c r="G86" s="622">
        <f>SUM(G82:G85)</f>
      </c>
      <c r="H86" s="622">
        <f>SUM(H82:H85)</f>
      </c>
      <c r="I86" s="622">
        <f>SUM(I82:I85)</f>
      </c>
      <c r="J86" s="622">
        <f>SUM(J82:J85)</f>
      </c>
      <c r="K86" s="622">
        <f>SUM(K82:K85)</f>
      </c>
      <c r="L86" s="623">
        <f t="shared" si="0"/>
      </c>
      <c r="M86" s="623">
        <f t="shared" si="1"/>
      </c>
      <c r="N86" s="623">
        <f t="shared" si="2"/>
      </c>
      <c r="O86" s="624"/>
      <c r="P86" s="622">
        <f>P82+P83+P84+P85</f>
      </c>
      <c r="Q86" s="624"/>
    </row>
    <row hidden="true" r="87">
      <c r="A87" s="610">
        <v>45979</v>
      </c>
      <c r="B87" s="611" t="s">
        <v>638</v>
      </c>
      <c r="C87" s="612" t="s">
        <v>636</v>
      </c>
      <c r="D87" s="611">
        <v>5</v>
      </c>
      <c r="E87" s="611">
        <v>53</v>
      </c>
      <c r="F87" s="611">
        <v>39</v>
      </c>
      <c r="G87" s="611">
        <v>29</v>
      </c>
      <c r="H87" s="611">
        <v>29</v>
      </c>
      <c r="I87" s="611">
        <v>4</v>
      </c>
      <c r="J87" s="613">
        <v>40104.4</v>
      </c>
      <c r="K87" s="613">
        <v>22473.85</v>
      </c>
      <c r="L87" s="614">
        <f t="shared" si="0"/>
      </c>
      <c r="M87" s="614">
        <f t="shared" si="1"/>
      </c>
      <c r="N87" s="614">
        <f t="shared" si="2"/>
      </c>
      <c r="O87" s="615" t="s">
        <v>650</v>
      </c>
      <c r="P87" s="611">
        <v>10</v>
      </c>
      <c r="Q87" s="616"/>
    </row>
    <row hidden="true" r="88">
      <c r="A88" s="610">
        <v>45979</v>
      </c>
      <c r="B88" s="611" t="s">
        <v>635</v>
      </c>
      <c r="C88" s="612" t="s">
        <v>639</v>
      </c>
      <c r="D88" s="611">
        <v>5</v>
      </c>
      <c r="E88" s="611">
        <v>36</v>
      </c>
      <c r="F88" s="611">
        <v>30</v>
      </c>
      <c r="G88" s="611">
        <v>23</v>
      </c>
      <c r="H88" s="611">
        <v>23</v>
      </c>
      <c r="I88" s="611">
        <v>4</v>
      </c>
      <c r="J88" s="613">
        <v>23688.6</v>
      </c>
      <c r="K88" s="613">
        <v>17924.6</v>
      </c>
      <c r="L88" s="614">
        <f t="shared" si="0"/>
      </c>
      <c r="M88" s="614">
        <f t="shared" si="1"/>
      </c>
      <c r="N88" s="614">
        <f t="shared" si="2"/>
      </c>
      <c r="O88" s="617"/>
      <c r="P88" s="617"/>
      <c r="Q88" s="617"/>
    </row>
    <row hidden="true" r="89">
      <c r="A89" s="610">
        <v>45979</v>
      </c>
      <c r="B89" s="611" t="s">
        <v>645</v>
      </c>
      <c r="C89" s="612" t="s">
        <v>641</v>
      </c>
      <c r="D89" s="611">
        <v>5</v>
      </c>
      <c r="E89" s="611">
        <v>42</v>
      </c>
      <c r="F89" s="611">
        <v>31</v>
      </c>
      <c r="G89" s="611">
        <v>20</v>
      </c>
      <c r="H89" s="611">
        <v>25</v>
      </c>
      <c r="I89" s="611">
        <v>7</v>
      </c>
      <c r="J89" s="613">
        <v>30056.399999999998</v>
      </c>
      <c r="K89" s="613">
        <v>17791.28</v>
      </c>
      <c r="L89" s="614">
        <f t="shared" si="0"/>
      </c>
      <c r="M89" s="614">
        <f t="shared" si="1"/>
      </c>
      <c r="N89" s="614">
        <f t="shared" si="2"/>
      </c>
      <c r="O89" s="615"/>
      <c r="P89" s="611"/>
      <c r="Q89" s="619"/>
    </row>
    <row r="90">
      <c r="A90" s="610">
        <v>45979</v>
      </c>
      <c r="B90" s="611" t="s">
        <v>640</v>
      </c>
      <c r="C90" s="612" t="s">
        <v>643</v>
      </c>
      <c r="D90" s="611">
        <v>5</v>
      </c>
      <c r="E90" s="611">
        <v>57</v>
      </c>
      <c r="F90" s="611">
        <v>43</v>
      </c>
      <c r="G90" s="611">
        <v>29</v>
      </c>
      <c r="H90" s="611">
        <v>31</v>
      </c>
      <c r="I90" s="611">
        <v>5</v>
      </c>
      <c r="J90" s="613">
        <v>54693.2</v>
      </c>
      <c r="K90" s="613">
        <v>22332.029999999995</v>
      </c>
      <c r="L90" s="614">
        <f t="shared" si="0"/>
      </c>
      <c r="M90" s="614">
        <f t="shared" si="1"/>
      </c>
      <c r="N90" s="614">
        <f t="shared" si="2"/>
      </c>
      <c r="O90" s="615" t="s">
        <v>654</v>
      </c>
      <c r="P90" s="615">
        <v>10</v>
      </c>
      <c r="Q90" s="620"/>
    </row>
    <row hidden="true" r="91">
      <c r="A91" s="621">
        <v>45979</v>
      </c>
      <c r="B91" s="622"/>
      <c r="C91" s="622"/>
      <c r="D91" s="622">
        <f>SUM(D87:D90)</f>
      </c>
      <c r="E91" s="622">
        <f>SUM(E87:E90)</f>
      </c>
      <c r="F91" s="622">
        <f>SUM(F87:F90)</f>
      </c>
      <c r="G91" s="622">
        <f>SUM(G87:G90)</f>
      </c>
      <c r="H91" s="622">
        <f>SUM(H87:H90)</f>
      </c>
      <c r="I91" s="622">
        <f>SUM(I87:I90)</f>
      </c>
      <c r="J91" s="622">
        <f>SUM(J87:J90)</f>
      </c>
      <c r="K91" s="622">
        <f>SUM(K87:K90)</f>
      </c>
      <c r="L91" s="623">
        <f t="shared" si="0"/>
      </c>
      <c r="M91" s="623">
        <f t="shared" si="1"/>
      </c>
      <c r="N91" s="623">
        <f t="shared" si="2"/>
      </c>
      <c r="O91" s="624"/>
      <c r="P91" s="622">
        <f>P87+P88+P89+P90</f>
      </c>
      <c r="Q91" s="624"/>
    </row>
    <row hidden="true" r="92">
      <c r="A92" s="610">
        <v>45980</v>
      </c>
      <c r="B92" s="611" t="s">
        <v>635</v>
      </c>
      <c r="C92" s="612" t="s">
        <v>636</v>
      </c>
      <c r="D92" s="611">
        <v>5</v>
      </c>
      <c r="E92" s="611">
        <v>34</v>
      </c>
      <c r="F92" s="611">
        <v>25</v>
      </c>
      <c r="G92" s="611">
        <v>18</v>
      </c>
      <c r="H92" s="611">
        <v>23</v>
      </c>
      <c r="I92" s="611">
        <v>4</v>
      </c>
      <c r="J92" s="613">
        <v>19521.4</v>
      </c>
      <c r="K92" s="613">
        <v>16481.47</v>
      </c>
      <c r="L92" s="614">
        <f t="shared" si="0"/>
      </c>
      <c r="M92" s="614">
        <f t="shared" si="1"/>
      </c>
      <c r="N92" s="614">
        <f t="shared" si="2"/>
      </c>
      <c r="O92" s="615" t="s">
        <v>655</v>
      </c>
      <c r="P92" s="611">
        <v>10</v>
      </c>
      <c r="Q92" s="616"/>
    </row>
    <row hidden="true" r="93">
      <c r="A93" s="610">
        <v>45980</v>
      </c>
      <c r="B93" s="611" t="s">
        <v>645</v>
      </c>
      <c r="C93" s="612" t="s">
        <v>639</v>
      </c>
      <c r="D93" s="611">
        <v>5</v>
      </c>
      <c r="E93" s="611">
        <v>27</v>
      </c>
      <c r="F93" s="611">
        <v>23</v>
      </c>
      <c r="G93" s="611">
        <v>12</v>
      </c>
      <c r="H93" s="611">
        <v>14</v>
      </c>
      <c r="I93" s="611">
        <v>3</v>
      </c>
      <c r="J93" s="613">
        <v>34091.2</v>
      </c>
      <c r="K93" s="613">
        <v>12450.25</v>
      </c>
      <c r="L93" s="614">
        <f t="shared" si="0"/>
      </c>
      <c r="M93" s="614">
        <f t="shared" si="1"/>
      </c>
      <c r="N93" s="614">
        <f t="shared" si="2"/>
      </c>
      <c r="O93" s="617"/>
      <c r="P93" s="617"/>
      <c r="Q93" s="617"/>
    </row>
    <row hidden="true" r="94">
      <c r="A94" s="610">
        <v>45980</v>
      </c>
      <c r="B94" s="611" t="s">
        <v>638</v>
      </c>
      <c r="C94" s="612" t="s">
        <v>641</v>
      </c>
      <c r="D94" s="611">
        <v>5</v>
      </c>
      <c r="E94" s="611">
        <v>61</v>
      </c>
      <c r="F94" s="611">
        <v>45</v>
      </c>
      <c r="G94" s="611">
        <v>33</v>
      </c>
      <c r="H94" s="611">
        <v>32</v>
      </c>
      <c r="I94" s="611">
        <v>6</v>
      </c>
      <c r="J94" s="613">
        <v>48972</v>
      </c>
      <c r="K94" s="613">
        <v>20080.079999999998</v>
      </c>
      <c r="L94" s="614">
        <f t="shared" si="0"/>
      </c>
      <c r="M94" s="614">
        <f t="shared" si="1"/>
      </c>
      <c r="N94" s="614">
        <f t="shared" si="2"/>
      </c>
      <c r="O94" s="615"/>
      <c r="P94" s="611"/>
      <c r="Q94" s="619"/>
    </row>
    <row hidden="true" r="95">
      <c r="A95" s="610">
        <v>45980</v>
      </c>
      <c r="B95" s="611" t="s">
        <v>642</v>
      </c>
      <c r="C95" s="612" t="s">
        <v>643</v>
      </c>
      <c r="D95" s="611">
        <v>5</v>
      </c>
      <c r="E95" s="611">
        <v>44</v>
      </c>
      <c r="F95" s="611">
        <v>33</v>
      </c>
      <c r="G95" s="611">
        <v>25</v>
      </c>
      <c r="H95" s="611">
        <v>22</v>
      </c>
      <c r="I95" s="611">
        <v>2</v>
      </c>
      <c r="J95" s="613">
        <v>36314.2</v>
      </c>
      <c r="K95" s="613">
        <v>19081.909999999996</v>
      </c>
      <c r="L95" s="614">
        <f t="shared" si="0"/>
      </c>
      <c r="M95" s="614">
        <f t="shared" si="1"/>
      </c>
      <c r="N95" s="614">
        <f t="shared" si="2"/>
      </c>
      <c r="O95" s="615" t="s">
        <v>654</v>
      </c>
      <c r="P95" s="615">
        <v>10</v>
      </c>
      <c r="Q95" s="620"/>
    </row>
    <row hidden="true" r="96">
      <c r="A96" s="621">
        <v>45980</v>
      </c>
      <c r="B96" s="622"/>
      <c r="C96" s="622"/>
      <c r="D96" s="622">
        <f>SUM(D92:D95)</f>
      </c>
      <c r="E96" s="622">
        <f>SUM(E92:E95)</f>
      </c>
      <c r="F96" s="622">
        <f>SUM(F92:F95)</f>
      </c>
      <c r="G96" s="622">
        <f>SUM(G92:G95)</f>
      </c>
      <c r="H96" s="622">
        <f>SUM(H92:H95)</f>
      </c>
      <c r="I96" s="622">
        <f>SUM(I92:I95)</f>
      </c>
      <c r="J96" s="622">
        <f>SUM(J92:J95)</f>
      </c>
      <c r="K96" s="622">
        <f>SUM(K92:K95)</f>
      </c>
      <c r="L96" s="623">
        <f t="shared" si="0"/>
      </c>
      <c r="M96" s="623">
        <f t="shared" si="1"/>
      </c>
      <c r="N96" s="623">
        <f t="shared" si="2"/>
      </c>
      <c r="O96" s="624"/>
      <c r="P96" s="622">
        <f>P92+P93+P94+P95</f>
      </c>
      <c r="Q96" s="624"/>
    </row>
    <row hidden="true" r="97">
      <c r="A97" s="610">
        <v>45981</v>
      </c>
      <c r="B97" s="611" t="s">
        <v>635</v>
      </c>
      <c r="C97" s="612" t="s">
        <v>636</v>
      </c>
      <c r="D97" s="611">
        <v>5</v>
      </c>
      <c r="E97" s="611">
        <v>66</v>
      </c>
      <c r="F97" s="611">
        <v>51</v>
      </c>
      <c r="G97" s="611">
        <v>29</v>
      </c>
      <c r="H97" s="611">
        <v>44</v>
      </c>
      <c r="I97" s="611">
        <v>9</v>
      </c>
      <c r="J97" s="613">
        <v>45337.2</v>
      </c>
      <c r="K97" s="613">
        <v>21408.45</v>
      </c>
      <c r="L97" s="614">
        <f t="shared" si="0"/>
      </c>
      <c r="M97" s="614">
        <f t="shared" si="1"/>
      </c>
      <c r="N97" s="614">
        <f t="shared" si="2"/>
      </c>
      <c r="O97" s="615" t="s">
        <v>650</v>
      </c>
      <c r="P97" s="611">
        <v>10</v>
      </c>
      <c r="Q97" s="616"/>
    </row>
    <row hidden="true" r="98">
      <c r="A98" s="610">
        <v>45981</v>
      </c>
      <c r="B98" s="611" t="s">
        <v>638</v>
      </c>
      <c r="C98" s="612" t="s">
        <v>639</v>
      </c>
      <c r="D98" s="611">
        <v>5</v>
      </c>
      <c r="E98" s="611">
        <v>50</v>
      </c>
      <c r="F98" s="611">
        <v>38</v>
      </c>
      <c r="G98" s="611">
        <v>27</v>
      </c>
      <c r="H98" s="611">
        <v>29</v>
      </c>
      <c r="I98" s="611">
        <v>8</v>
      </c>
      <c r="J98" s="613">
        <v>45379.8</v>
      </c>
      <c r="K98" s="613">
        <v>21231.92</v>
      </c>
      <c r="L98" s="614">
        <f t="shared" si="0"/>
      </c>
      <c r="M98" s="614">
        <f t="shared" si="1"/>
      </c>
      <c r="N98" s="614">
        <f t="shared" si="2"/>
      </c>
      <c r="O98" s="617"/>
      <c r="P98" s="617"/>
      <c r="Q98" s="617"/>
    </row>
    <row hidden="true" r="99">
      <c r="A99" s="610">
        <v>45981</v>
      </c>
      <c r="B99" s="611" t="s">
        <v>645</v>
      </c>
      <c r="C99" s="612" t="s">
        <v>641</v>
      </c>
      <c r="D99" s="611">
        <v>5</v>
      </c>
      <c r="E99" s="611">
        <v>38</v>
      </c>
      <c r="F99" s="611">
        <v>27</v>
      </c>
      <c r="G99" s="611">
        <v>21</v>
      </c>
      <c r="H99" s="611">
        <v>20</v>
      </c>
      <c r="I99" s="611">
        <v>1</v>
      </c>
      <c r="J99" s="613">
        <v>25127.6</v>
      </c>
      <c r="K99" s="613">
        <v>21203.71</v>
      </c>
      <c r="L99" s="614">
        <f t="shared" si="0"/>
      </c>
      <c r="M99" s="614">
        <f t="shared" si="1"/>
      </c>
      <c r="N99" s="614">
        <f t="shared" si="2"/>
      </c>
      <c r="O99" s="615"/>
      <c r="P99" s="611"/>
      <c r="Q99" s="619"/>
    </row>
    <row hidden="true" r="100">
      <c r="A100" s="610">
        <v>45981</v>
      </c>
      <c r="B100" s="611" t="s">
        <v>642</v>
      </c>
      <c r="C100" s="612" t="s">
        <v>643</v>
      </c>
      <c r="D100" s="611">
        <v>5</v>
      </c>
      <c r="E100" s="611">
        <v>53</v>
      </c>
      <c r="F100" s="611">
        <v>32</v>
      </c>
      <c r="G100" s="611">
        <v>29</v>
      </c>
      <c r="H100" s="611">
        <v>26</v>
      </c>
      <c r="I100" s="611">
        <v>3</v>
      </c>
      <c r="J100" s="613">
        <v>24219.600000000002</v>
      </c>
      <c r="K100" s="613">
        <v>22648.980000000003</v>
      </c>
      <c r="L100" s="614">
        <f t="shared" si="0"/>
      </c>
      <c r="M100" s="614">
        <f t="shared" si="1"/>
      </c>
      <c r="N100" s="614">
        <f t="shared" si="2"/>
      </c>
      <c r="O100" s="615" t="s">
        <v>654</v>
      </c>
      <c r="P100" s="615">
        <v>10</v>
      </c>
      <c r="Q100" s="620"/>
    </row>
    <row hidden="true" r="101">
      <c r="A101" s="621">
        <v>45981</v>
      </c>
      <c r="B101" s="622"/>
      <c r="C101" s="622"/>
      <c r="D101" s="622">
        <f>SUM(D97:D100)</f>
      </c>
      <c r="E101" s="622">
        <f>SUM(E97:E100)</f>
      </c>
      <c r="F101" s="622">
        <f>SUM(F97:F100)</f>
      </c>
      <c r="G101" s="622">
        <f>SUM(G97:G100)</f>
      </c>
      <c r="H101" s="622">
        <f>SUM(H97:H100)</f>
      </c>
      <c r="I101" s="622">
        <f>SUM(I97:I100)</f>
      </c>
      <c r="J101" s="622">
        <f>SUM(J97:J100)</f>
      </c>
      <c r="K101" s="622">
        <f>SUM(K97:K100)</f>
      </c>
      <c r="L101" s="623">
        <f t="shared" si="0"/>
      </c>
      <c r="M101" s="623">
        <f t="shared" si="1"/>
      </c>
      <c r="N101" s="623">
        <f t="shared" si="2"/>
      </c>
      <c r="O101" s="624"/>
      <c r="P101" s="622">
        <f>P97+P98+P99+P100</f>
      </c>
      <c r="Q101" s="624"/>
    </row>
    <row hidden="true" r="102">
      <c r="A102" s="610">
        <v>45982</v>
      </c>
      <c r="B102" s="611" t="s">
        <v>635</v>
      </c>
      <c r="C102" s="612" t="s">
        <v>636</v>
      </c>
      <c r="D102" s="611">
        <v>5</v>
      </c>
      <c r="E102" s="611">
        <v>35</v>
      </c>
      <c r="F102" s="611">
        <v>29</v>
      </c>
      <c r="G102" s="611">
        <v>23</v>
      </c>
      <c r="H102" s="611">
        <v>20</v>
      </c>
      <c r="I102" s="611">
        <v>5</v>
      </c>
      <c r="J102" s="613">
        <v>27257.4</v>
      </c>
      <c r="K102" s="613">
        <v>20105.08</v>
      </c>
      <c r="L102" s="614">
        <f t="shared" si="0"/>
      </c>
      <c r="M102" s="614">
        <f t="shared" si="1"/>
      </c>
      <c r="N102" s="614">
        <f t="shared" si="2"/>
      </c>
      <c r="O102" s="615" t="s">
        <v>650</v>
      </c>
      <c r="P102" s="611">
        <v>10</v>
      </c>
      <c r="Q102" s="616"/>
    </row>
    <row r="103">
      <c r="A103" s="610">
        <v>45982</v>
      </c>
      <c r="B103" s="611" t="s">
        <v>640</v>
      </c>
      <c r="C103" s="612" t="s">
        <v>639</v>
      </c>
      <c r="D103" s="611">
        <v>5</v>
      </c>
      <c r="E103" s="611">
        <v>51</v>
      </c>
      <c r="F103" s="611">
        <v>40</v>
      </c>
      <c r="G103" s="611">
        <v>32</v>
      </c>
      <c r="H103" s="611">
        <v>32</v>
      </c>
      <c r="I103" s="611">
        <v>4</v>
      </c>
      <c r="J103" s="613">
        <v>44910.200000000004</v>
      </c>
      <c r="K103" s="613">
        <v>20420.21</v>
      </c>
      <c r="L103" s="614">
        <f t="shared" si="0"/>
      </c>
      <c r="M103" s="614">
        <f t="shared" si="1"/>
      </c>
      <c r="N103" s="614">
        <f t="shared" si="2"/>
      </c>
      <c r="O103" s="617"/>
      <c r="P103" s="617"/>
      <c r="Q103" s="617"/>
    </row>
    <row hidden="true" r="104">
      <c r="A104" s="610">
        <v>45982</v>
      </c>
      <c r="B104" s="611" t="s">
        <v>638</v>
      </c>
      <c r="C104" s="612" t="s">
        <v>641</v>
      </c>
      <c r="D104" s="611">
        <v>5</v>
      </c>
      <c r="E104" s="611">
        <v>53</v>
      </c>
      <c r="F104" s="611">
        <v>33</v>
      </c>
      <c r="G104" s="611">
        <v>23</v>
      </c>
      <c r="H104" s="611">
        <v>27</v>
      </c>
      <c r="I104" s="611">
        <v>5</v>
      </c>
      <c r="J104" s="613">
        <v>34531.8</v>
      </c>
      <c r="K104" s="613">
        <v>20023.92</v>
      </c>
      <c r="L104" s="614">
        <f t="shared" si="0"/>
      </c>
      <c r="M104" s="614">
        <f t="shared" si="1"/>
      </c>
      <c r="N104" s="614">
        <f t="shared" si="2"/>
      </c>
      <c r="O104" s="615"/>
      <c r="P104" s="611"/>
      <c r="Q104" s="619"/>
    </row>
    <row hidden="true" r="105">
      <c r="A105" s="610">
        <v>45982</v>
      </c>
      <c r="B105" s="611" t="s">
        <v>642</v>
      </c>
      <c r="C105" s="612" t="s">
        <v>643</v>
      </c>
      <c r="D105" s="611">
        <v>5</v>
      </c>
      <c r="E105" s="611">
        <v>35</v>
      </c>
      <c r="F105" s="611">
        <v>23</v>
      </c>
      <c r="G105" s="611">
        <v>19</v>
      </c>
      <c r="H105" s="611">
        <v>15</v>
      </c>
      <c r="I105" s="611">
        <v>1</v>
      </c>
      <c r="J105" s="613">
        <v>27326.6</v>
      </c>
      <c r="K105" s="613">
        <v>18563.72</v>
      </c>
      <c r="L105" s="614">
        <f t="shared" si="0"/>
      </c>
      <c r="M105" s="614">
        <f t="shared" si="1"/>
      </c>
      <c r="N105" s="614">
        <f t="shared" si="2"/>
      </c>
      <c r="O105" s="615" t="s">
        <v>654</v>
      </c>
      <c r="P105" s="615">
        <v>10</v>
      </c>
      <c r="Q105" s="620"/>
    </row>
    <row hidden="true" r="106">
      <c r="A106" s="621">
        <v>45982</v>
      </c>
      <c r="B106" s="622"/>
      <c r="C106" s="622"/>
      <c r="D106" s="622">
        <f>SUM(D102:D105)</f>
      </c>
      <c r="E106" s="622">
        <f>SUM(E102:E105)</f>
      </c>
      <c r="F106" s="622">
        <f>SUM(F102:F105)</f>
      </c>
      <c r="G106" s="622">
        <f>SUM(G102:G105)</f>
      </c>
      <c r="H106" s="622">
        <f>SUM(H102:H105)</f>
      </c>
      <c r="I106" s="622">
        <f>SUM(I102:I105)</f>
      </c>
      <c r="J106" s="622">
        <f>SUM(J102:J105)</f>
      </c>
      <c r="K106" s="622">
        <f>SUM(K102:K105)</f>
      </c>
      <c r="L106" s="623">
        <f t="shared" si="0"/>
      </c>
      <c r="M106" s="623">
        <f t="shared" si="1"/>
      </c>
      <c r="N106" s="623">
        <f t="shared" si="2"/>
      </c>
      <c r="O106" s="624"/>
      <c r="P106" s="622">
        <f>P102+P103+P104+P105</f>
      </c>
      <c r="Q106" s="624"/>
    </row>
    <row hidden="true" r="107">
      <c r="A107" s="610">
        <v>45983</v>
      </c>
      <c r="B107" s="611" t="s">
        <v>635</v>
      </c>
      <c r="C107" s="612" t="s">
        <v>636</v>
      </c>
      <c r="D107" s="611">
        <v>5</v>
      </c>
      <c r="E107" s="611">
        <v>35</v>
      </c>
      <c r="F107" s="611">
        <v>27</v>
      </c>
      <c r="G107" s="611">
        <v>20</v>
      </c>
      <c r="H107" s="611">
        <v>21</v>
      </c>
      <c r="I107" s="611">
        <v>4</v>
      </c>
      <c r="J107" s="613">
        <v>32178.8</v>
      </c>
      <c r="K107" s="613">
        <v>20393.699999999997</v>
      </c>
      <c r="L107" s="614">
        <f t="shared" si="0"/>
      </c>
      <c r="M107" s="614">
        <f t="shared" si="1"/>
      </c>
      <c r="N107" s="614">
        <f t="shared" si="2"/>
      </c>
      <c r="O107" s="615" t="s">
        <v>650</v>
      </c>
      <c r="P107" s="611">
        <v>10</v>
      </c>
      <c r="Q107" s="616"/>
    </row>
    <row hidden="true" r="108">
      <c r="A108" s="610">
        <v>45983</v>
      </c>
      <c r="B108" s="611" t="s">
        <v>638</v>
      </c>
      <c r="C108" s="612" t="s">
        <v>639</v>
      </c>
      <c r="D108" s="611">
        <v>5</v>
      </c>
      <c r="E108" s="611">
        <v>41</v>
      </c>
      <c r="F108" s="611">
        <v>33</v>
      </c>
      <c r="G108" s="611">
        <v>20</v>
      </c>
      <c r="H108" s="611">
        <v>23</v>
      </c>
      <c r="I108" s="611">
        <v>6</v>
      </c>
      <c r="J108" s="613">
        <v>43424.600000000006</v>
      </c>
      <c r="K108" s="613">
        <v>16037.489999999998</v>
      </c>
      <c r="L108" s="614">
        <f t="shared" si="0"/>
      </c>
      <c r="M108" s="614">
        <f t="shared" si="1"/>
      </c>
      <c r="N108" s="614">
        <f t="shared" si="2"/>
      </c>
      <c r="O108" s="617"/>
      <c r="P108" s="617"/>
      <c r="Q108" s="617"/>
    </row>
    <row hidden="true" r="109">
      <c r="A109" s="610">
        <v>45983</v>
      </c>
      <c r="B109" s="611" t="s">
        <v>645</v>
      </c>
      <c r="C109" s="612" t="s">
        <v>641</v>
      </c>
      <c r="D109" s="611">
        <v>5</v>
      </c>
      <c r="E109" s="611">
        <v>32</v>
      </c>
      <c r="F109" s="611">
        <v>25</v>
      </c>
      <c r="G109" s="611">
        <v>16</v>
      </c>
      <c r="H109" s="611">
        <v>14</v>
      </c>
      <c r="I109" s="611">
        <v>3</v>
      </c>
      <c r="J109" s="613">
        <v>40227.6</v>
      </c>
      <c r="K109" s="613">
        <v>14454.869999999999</v>
      </c>
      <c r="L109" s="614">
        <f t="shared" si="0"/>
      </c>
      <c r="M109" s="614">
        <f t="shared" si="1"/>
      </c>
      <c r="N109" s="614">
        <f t="shared" si="2"/>
      </c>
      <c r="O109" s="615"/>
      <c r="P109" s="611"/>
      <c r="Q109" s="619"/>
    </row>
    <row r="110">
      <c r="A110" s="610">
        <v>45983</v>
      </c>
      <c r="B110" s="611" t="s">
        <v>640</v>
      </c>
      <c r="C110" s="612" t="s">
        <v>643</v>
      </c>
      <c r="D110" s="611">
        <v>5</v>
      </c>
      <c r="E110" s="611">
        <v>52</v>
      </c>
      <c r="F110" s="611">
        <v>35</v>
      </c>
      <c r="G110" s="611">
        <v>24</v>
      </c>
      <c r="H110" s="611">
        <v>24</v>
      </c>
      <c r="I110" s="611">
        <v>4</v>
      </c>
      <c r="J110" s="613">
        <v>42613.399999999994</v>
      </c>
      <c r="K110" s="613">
        <v>19526.74</v>
      </c>
      <c r="L110" s="614">
        <f t="shared" si="0"/>
      </c>
      <c r="M110" s="614">
        <f t="shared" si="1"/>
      </c>
      <c r="N110" s="614">
        <f t="shared" si="2"/>
      </c>
      <c r="O110" s="615" t="s">
        <v>654</v>
      </c>
      <c r="P110" s="615">
        <v>10</v>
      </c>
      <c r="Q110" s="620"/>
    </row>
    <row hidden="true" r="111">
      <c r="A111" s="621">
        <v>45983</v>
      </c>
      <c r="B111" s="622"/>
      <c r="C111" s="622"/>
      <c r="D111" s="622">
        <f>SUM(D107:D110)</f>
      </c>
      <c r="E111" s="622">
        <f>SUM(E107:E110)</f>
      </c>
      <c r="F111" s="622">
        <f>SUM(F107:F110)</f>
      </c>
      <c r="G111" s="622">
        <f>SUM(G107:G110)</f>
      </c>
      <c r="H111" s="622">
        <f>SUM(H107:H110)</f>
      </c>
      <c r="I111" s="622">
        <f>SUM(I107:I110)</f>
      </c>
      <c r="J111" s="622">
        <f>SUM(J107:J110)</f>
      </c>
      <c r="K111" s="622">
        <f>SUM(K107:K110)</f>
      </c>
      <c r="L111" s="623">
        <f t="shared" si="0"/>
      </c>
      <c r="M111" s="623">
        <f t="shared" si="1"/>
      </c>
      <c r="N111" s="623">
        <f t="shared" si="2"/>
      </c>
      <c r="O111" s="624"/>
      <c r="P111" s="622">
        <f>P107+P108+P109+P110</f>
      </c>
      <c r="Q111" s="624"/>
    </row>
    <row hidden="true" r="112">
      <c r="A112" s="610">
        <v>45984</v>
      </c>
      <c r="B112" s="611" t="s">
        <v>638</v>
      </c>
      <c r="C112" s="612" t="s">
        <v>656</v>
      </c>
      <c r="D112" s="611">
        <v>6</v>
      </c>
      <c r="E112" s="611">
        <v>72</v>
      </c>
      <c r="F112" s="611">
        <v>56</v>
      </c>
      <c r="G112" s="611">
        <v>42</v>
      </c>
      <c r="H112" s="611">
        <v>41</v>
      </c>
      <c r="I112" s="611">
        <v>6</v>
      </c>
      <c r="J112" s="613">
        <v>56349</v>
      </c>
      <c r="K112" s="613">
        <v>32299.83</v>
      </c>
      <c r="L112" s="614">
        <f t="shared" si="0"/>
      </c>
      <c r="M112" s="614">
        <f t="shared" si="1"/>
      </c>
      <c r="N112" s="614">
        <f t="shared" si="2"/>
      </c>
      <c r="O112" s="615" t="s">
        <v>650</v>
      </c>
      <c r="P112" s="611">
        <v>10</v>
      </c>
      <c r="Q112" s="616"/>
    </row>
    <row hidden="true" r="113">
      <c r="A113" s="610">
        <v>45984</v>
      </c>
      <c r="B113" s="611" t="s">
        <v>635</v>
      </c>
      <c r="C113" s="612" t="s">
        <v>657</v>
      </c>
      <c r="D113" s="611">
        <v>4</v>
      </c>
      <c r="E113" s="611">
        <v>29</v>
      </c>
      <c r="F113" s="611">
        <v>23</v>
      </c>
      <c r="G113" s="611">
        <v>17</v>
      </c>
      <c r="H113" s="611">
        <v>19</v>
      </c>
      <c r="I113" s="611">
        <v>5</v>
      </c>
      <c r="J113" s="613">
        <v>20386.399999999998</v>
      </c>
      <c r="K113" s="613">
        <v>15154.14</v>
      </c>
      <c r="L113" s="614">
        <f t="shared" si="0"/>
      </c>
      <c r="M113" s="614">
        <f t="shared" si="1"/>
      </c>
      <c r="N113" s="614">
        <f t="shared" si="2"/>
      </c>
      <c r="O113" s="617"/>
      <c r="P113" s="617"/>
      <c r="Q113" s="617"/>
    </row>
    <row hidden="true" r="114">
      <c r="A114" s="610">
        <v>45984</v>
      </c>
      <c r="B114" s="611" t="s">
        <v>645</v>
      </c>
      <c r="C114" s="612" t="s">
        <v>641</v>
      </c>
      <c r="D114" s="611">
        <v>5</v>
      </c>
      <c r="E114" s="611">
        <v>34</v>
      </c>
      <c r="F114" s="611">
        <v>20</v>
      </c>
      <c r="G114" s="611">
        <v>17</v>
      </c>
      <c r="H114" s="611">
        <v>14</v>
      </c>
      <c r="I114" s="611">
        <v>2</v>
      </c>
      <c r="J114" s="613">
        <v>21103.8</v>
      </c>
      <c r="K114" s="613">
        <v>19151.620000000003</v>
      </c>
      <c r="L114" s="614">
        <f t="shared" si="0"/>
      </c>
      <c r="M114" s="614">
        <f t="shared" si="1"/>
      </c>
      <c r="N114" s="614">
        <f t="shared" si="2"/>
      </c>
      <c r="O114" s="615" t="s">
        <v>658</v>
      </c>
      <c r="P114" s="611">
        <v>8</v>
      </c>
      <c r="Q114" s="619"/>
    </row>
    <row r="115">
      <c r="A115" s="610">
        <v>45984</v>
      </c>
      <c r="B115" s="611" t="s">
        <v>640</v>
      </c>
      <c r="C115" s="612" t="s">
        <v>643</v>
      </c>
      <c r="D115" s="611">
        <v>5</v>
      </c>
      <c r="E115" s="611">
        <v>44</v>
      </c>
      <c r="F115" s="611">
        <v>29</v>
      </c>
      <c r="G115" s="611">
        <v>23</v>
      </c>
      <c r="H115" s="611">
        <v>26</v>
      </c>
      <c r="I115" s="611">
        <v>4</v>
      </c>
      <c r="J115" s="613">
        <v>23213.799999999996</v>
      </c>
      <c r="K115" s="613">
        <v>18170.59</v>
      </c>
      <c r="L115" s="614">
        <f t="shared" si="0"/>
      </c>
      <c r="M115" s="614">
        <f t="shared" si="1"/>
      </c>
      <c r="N115" s="614">
        <f t="shared" si="2"/>
      </c>
      <c r="O115" s="615" t="s">
        <v>647</v>
      </c>
      <c r="P115" s="615">
        <v>2</v>
      </c>
      <c r="Q115" s="620"/>
    </row>
    <row hidden="true" r="116">
      <c r="A116" s="621">
        <v>45984</v>
      </c>
      <c r="B116" s="622"/>
      <c r="C116" s="622"/>
      <c r="D116" s="622">
        <f>SUM(D112:D115)</f>
      </c>
      <c r="E116" s="622">
        <f>SUM(E112:E115)</f>
      </c>
      <c r="F116" s="622">
        <f>SUM(F112:F115)</f>
      </c>
      <c r="G116" s="622">
        <f>SUM(G112:G115)</f>
      </c>
      <c r="H116" s="622">
        <f>SUM(H112:H115)</f>
      </c>
      <c r="I116" s="622">
        <f>SUM(I112:I115)</f>
      </c>
      <c r="J116" s="622">
        <f>SUM(J112:J115)</f>
      </c>
      <c r="K116" s="622">
        <f>SUM(K112:K115)</f>
      </c>
      <c r="L116" s="623">
        <f t="shared" si="0"/>
      </c>
      <c r="M116" s="623">
        <f t="shared" si="1"/>
      </c>
      <c r="N116" s="623">
        <f t="shared" si="2"/>
      </c>
      <c r="O116" s="624"/>
      <c r="P116" s="622">
        <f>P112+P113+P114+P115</f>
      </c>
      <c r="Q116" s="624"/>
    </row>
    <row hidden="true" r="117">
      <c r="A117" s="610">
        <v>45985</v>
      </c>
      <c r="B117" s="611" t="s">
        <v>635</v>
      </c>
      <c r="C117" s="612" t="s">
        <v>636</v>
      </c>
      <c r="D117" s="611">
        <v>5</v>
      </c>
      <c r="E117" s="611">
        <v>32</v>
      </c>
      <c r="F117" s="611">
        <v>20</v>
      </c>
      <c r="G117" s="611">
        <v>15</v>
      </c>
      <c r="H117" s="611">
        <v>15</v>
      </c>
      <c r="I117" s="611">
        <v>4</v>
      </c>
      <c r="J117" s="613">
        <v>18360.4</v>
      </c>
      <c r="K117" s="613">
        <v>16216.61</v>
      </c>
      <c r="L117" s="614">
        <f t="shared" si="0"/>
      </c>
      <c r="M117" s="614">
        <f t="shared" si="1"/>
      </c>
      <c r="N117" s="614">
        <f t="shared" si="2"/>
      </c>
      <c r="O117" s="615" t="s">
        <v>655</v>
      </c>
      <c r="P117" s="611">
        <v>10</v>
      </c>
      <c r="Q117" s="616"/>
    </row>
    <row hidden="true" r="118">
      <c r="A118" s="610">
        <v>45985</v>
      </c>
      <c r="B118" s="611" t="s">
        <v>645</v>
      </c>
      <c r="C118" s="612" t="s">
        <v>639</v>
      </c>
      <c r="D118" s="611">
        <v>5</v>
      </c>
      <c r="E118" s="611">
        <v>46</v>
      </c>
      <c r="F118" s="611">
        <v>36</v>
      </c>
      <c r="G118" s="611">
        <v>22</v>
      </c>
      <c r="H118" s="611">
        <v>31</v>
      </c>
      <c r="I118" s="611">
        <v>8</v>
      </c>
      <c r="J118" s="613">
        <v>37278.99999999999</v>
      </c>
      <c r="K118" s="613">
        <v>16401.989999999998</v>
      </c>
      <c r="L118" s="614">
        <f t="shared" si="0"/>
      </c>
      <c r="M118" s="614">
        <f t="shared" si="1"/>
      </c>
      <c r="N118" s="614">
        <f t="shared" si="2"/>
      </c>
      <c r="O118" s="617"/>
      <c r="P118" s="617"/>
      <c r="Q118" s="617"/>
    </row>
    <row hidden="true" r="119">
      <c r="A119" s="610">
        <v>45985</v>
      </c>
      <c r="B119" s="611" t="s">
        <v>642</v>
      </c>
      <c r="C119" s="612" t="s">
        <v>641</v>
      </c>
      <c r="D119" s="611">
        <v>5</v>
      </c>
      <c r="E119" s="611">
        <v>47</v>
      </c>
      <c r="F119" s="611">
        <v>30</v>
      </c>
      <c r="G119" s="611">
        <v>22</v>
      </c>
      <c r="H119" s="611">
        <v>25</v>
      </c>
      <c r="I119" s="611">
        <v>4</v>
      </c>
      <c r="J119" s="613">
        <v>23679.199999999997</v>
      </c>
      <c r="K119" s="613">
        <v>20142.13</v>
      </c>
      <c r="L119" s="614">
        <f t="shared" si="0"/>
      </c>
      <c r="M119" s="614">
        <f t="shared" si="1"/>
      </c>
      <c r="N119" s="614">
        <f t="shared" si="2"/>
      </c>
      <c r="O119" s="615"/>
      <c r="P119" s="611"/>
      <c r="Q119" s="619"/>
    </row>
    <row hidden="true" r="120">
      <c r="A120" s="610">
        <v>45985</v>
      </c>
      <c r="B120" s="611" t="s">
        <v>638</v>
      </c>
      <c r="C120" s="612" t="s">
        <v>643</v>
      </c>
      <c r="D120" s="611">
        <v>5</v>
      </c>
      <c r="E120" s="611">
        <v>74</v>
      </c>
      <c r="F120" s="611">
        <v>57</v>
      </c>
      <c r="G120" s="611">
        <v>48</v>
      </c>
      <c r="H120" s="611">
        <v>47</v>
      </c>
      <c r="I120" s="611">
        <v>8</v>
      </c>
      <c r="J120" s="613">
        <v>52477.399999999994</v>
      </c>
      <c r="K120" s="613">
        <v>22688.86</v>
      </c>
      <c r="L120" s="614">
        <f t="shared" si="0"/>
      </c>
      <c r="M120" s="614">
        <f t="shared" si="1"/>
      </c>
      <c r="N120" s="614">
        <f t="shared" si="2"/>
      </c>
      <c r="O120" s="615" t="s">
        <v>644</v>
      </c>
      <c r="P120" s="615">
        <v>10</v>
      </c>
      <c r="Q120" s="620"/>
    </row>
    <row hidden="true" r="121">
      <c r="A121" s="621">
        <v>45985</v>
      </c>
      <c r="B121" s="622"/>
      <c r="C121" s="622"/>
      <c r="D121" s="622">
        <f>SUM(D117:D120)</f>
      </c>
      <c r="E121" s="622">
        <f>SUM(E117:E120)</f>
      </c>
      <c r="F121" s="622">
        <f>SUM(F117:F120)</f>
      </c>
      <c r="G121" s="622">
        <f>SUM(G117:G120)</f>
      </c>
      <c r="H121" s="622">
        <f>SUM(H117:H120)</f>
      </c>
      <c r="I121" s="622">
        <f>SUM(I117:I120)</f>
      </c>
      <c r="J121" s="622">
        <f>SUM(J117:J120)</f>
      </c>
      <c r="K121" s="622">
        <f>SUM(K117:K120)</f>
      </c>
      <c r="L121" s="623">
        <f t="shared" si="0"/>
      </c>
      <c r="M121" s="623">
        <f t="shared" si="1"/>
      </c>
      <c r="N121" s="623">
        <f t="shared" si="2"/>
      </c>
      <c r="O121" s="624"/>
      <c r="P121" s="622">
        <f>P117+P118+P119+P120</f>
      </c>
      <c r="Q121" s="624"/>
    </row>
    <row hidden="true" r="122">
      <c r="A122" s="610">
        <v>45986</v>
      </c>
      <c r="B122" s="611" t="s">
        <v>645</v>
      </c>
      <c r="C122" s="612" t="s">
        <v>659</v>
      </c>
      <c r="D122" s="611">
        <v>1</v>
      </c>
      <c r="E122" s="611">
        <v>10</v>
      </c>
      <c r="F122" s="611">
        <v>6</v>
      </c>
      <c r="G122" s="611">
        <v>5</v>
      </c>
      <c r="H122" s="611">
        <v>5</v>
      </c>
      <c r="I122" s="611">
        <v>1</v>
      </c>
      <c r="J122" s="613">
        <v>4904.4</v>
      </c>
      <c r="K122" s="613">
        <v>10414.66</v>
      </c>
      <c r="L122" s="614">
        <f t="shared" si="0"/>
      </c>
      <c r="M122" s="614">
        <f t="shared" si="1"/>
      </c>
      <c r="N122" s="614">
        <f t="shared" si="2"/>
      </c>
      <c r="O122" s="615" t="s">
        <v>655</v>
      </c>
      <c r="P122" s="611">
        <v>1</v>
      </c>
      <c r="Q122" s="616"/>
    </row>
    <row hidden="true" r="123">
      <c r="A123" s="621">
        <v>45986</v>
      </c>
      <c r="B123" s="622"/>
      <c r="C123" s="622"/>
      <c r="D123" s="622">
        <f>SUM(D122)</f>
      </c>
      <c r="E123" s="622">
        <f>SUM(E122)</f>
      </c>
      <c r="F123" s="622">
        <f>SUM(F122)</f>
      </c>
      <c r="G123" s="622">
        <f>SUM(G122)</f>
      </c>
      <c r="H123" s="622">
        <f>SUM(H122)</f>
      </c>
      <c r="I123" s="622">
        <f>SUM(I122)</f>
      </c>
      <c r="J123" s="622">
        <f>SUM(J122)</f>
      </c>
      <c r="K123" s="622">
        <f>SUM(K122)</f>
      </c>
      <c r="L123" s="623">
        <f t="shared" si="0"/>
      </c>
      <c r="M123" s="623">
        <f t="shared" si="1"/>
      </c>
      <c r="N123" s="623">
        <f t="shared" si="2"/>
      </c>
      <c r="O123" s="624"/>
      <c r="P123" s="622">
        <f>P122</f>
      </c>
      <c r="Q123" s="624"/>
    </row>
    <row hidden="true" r="124">
      <c r="A124" s="610">
        <v>45989</v>
      </c>
      <c r="B124" s="611" t="s">
        <v>638</v>
      </c>
      <c r="C124" s="612" t="s">
        <v>660</v>
      </c>
      <c r="D124" s="611">
        <v>5</v>
      </c>
      <c r="E124" s="611">
        <v>54</v>
      </c>
      <c r="F124" s="611">
        <v>39</v>
      </c>
      <c r="G124" s="611">
        <v>27</v>
      </c>
      <c r="H124" s="611">
        <v>29</v>
      </c>
      <c r="I124" s="611">
        <v>5</v>
      </c>
      <c r="J124" s="613">
        <v>44097.8</v>
      </c>
      <c r="K124" s="613">
        <v>20988.510000000002</v>
      </c>
      <c r="L124" s="614">
        <f t="shared" si="0"/>
      </c>
      <c r="M124" s="614">
        <f t="shared" si="1"/>
      </c>
      <c r="N124" s="614">
        <f t="shared" si="2"/>
      </c>
      <c r="O124" s="615" t="s">
        <v>658</v>
      </c>
      <c r="P124" s="611">
        <v>10</v>
      </c>
      <c r="Q124" s="616"/>
    </row>
    <row hidden="true" r="125">
      <c r="A125" s="610">
        <v>45989</v>
      </c>
      <c r="B125" s="611" t="s">
        <v>635</v>
      </c>
      <c r="C125" s="612" t="s">
        <v>661</v>
      </c>
      <c r="D125" s="611">
        <v>5</v>
      </c>
      <c r="E125" s="611">
        <v>42</v>
      </c>
      <c r="F125" s="611">
        <v>32</v>
      </c>
      <c r="G125" s="611">
        <v>23</v>
      </c>
      <c r="H125" s="611">
        <v>28</v>
      </c>
      <c r="I125" s="611">
        <v>4</v>
      </c>
      <c r="J125" s="613">
        <v>30260.199999999997</v>
      </c>
      <c r="K125" s="613">
        <v>20399.04</v>
      </c>
      <c r="L125" s="614">
        <f t="shared" si="0"/>
      </c>
      <c r="M125" s="614">
        <f t="shared" si="1"/>
      </c>
      <c r="N125" s="614">
        <f t="shared" si="2"/>
      </c>
      <c r="O125" s="617"/>
      <c r="P125" s="617"/>
      <c r="Q125" s="617"/>
    </row>
    <row hidden="true" r="126">
      <c r="A126" s="618">
        <v>45989</v>
      </c>
      <c r="B126" s="611" t="s">
        <v>645</v>
      </c>
      <c r="C126" s="612" t="s">
        <v>662</v>
      </c>
      <c r="D126" s="611">
        <v>4</v>
      </c>
      <c r="E126" s="611">
        <v>43</v>
      </c>
      <c r="F126" s="611">
        <v>26</v>
      </c>
      <c r="G126" s="611">
        <v>21</v>
      </c>
      <c r="H126" s="611">
        <v>22</v>
      </c>
      <c r="I126" s="611">
        <v>5</v>
      </c>
      <c r="J126" s="613">
        <v>25500.4</v>
      </c>
      <c r="K126" s="613">
        <v>16152.380000000001</v>
      </c>
      <c r="L126" s="614">
        <f t="shared" si="0"/>
      </c>
      <c r="M126" s="614">
        <f t="shared" si="1"/>
      </c>
      <c r="N126" s="614">
        <f t="shared" si="2"/>
      </c>
      <c r="O126" s="615"/>
      <c r="P126" s="611"/>
      <c r="Q126" s="619"/>
    </row>
    <row r="127">
      <c r="A127" s="618">
        <v>45989</v>
      </c>
      <c r="B127" s="611" t="s">
        <v>640</v>
      </c>
      <c r="C127" s="612" t="s">
        <v>643</v>
      </c>
      <c r="D127" s="611">
        <v>5</v>
      </c>
      <c r="E127" s="611">
        <v>60</v>
      </c>
      <c r="F127" s="611">
        <v>40</v>
      </c>
      <c r="G127" s="611">
        <v>32</v>
      </c>
      <c r="H127" s="611">
        <v>31</v>
      </c>
      <c r="I127" s="611">
        <v>3</v>
      </c>
      <c r="J127" s="613">
        <v>43630.399999999994</v>
      </c>
      <c r="K127" s="613">
        <v>25935.050000000003</v>
      </c>
      <c r="L127" s="614">
        <f t="shared" si="0"/>
      </c>
      <c r="M127" s="614">
        <f t="shared" si="1"/>
      </c>
      <c r="N127" s="614">
        <f t="shared" si="2"/>
      </c>
      <c r="O127" s="615" t="s">
        <v>644</v>
      </c>
      <c r="P127" s="615">
        <v>9</v>
      </c>
      <c r="Q127" s="620"/>
    </row>
    <row hidden="true" r="128">
      <c r="A128" s="621">
        <v>45989</v>
      </c>
      <c r="B128" s="622"/>
      <c r="C128" s="622"/>
      <c r="D128" s="622">
        <f>SUM(D124:D127)</f>
      </c>
      <c r="E128" s="622">
        <f>SUM(E124:E127)</f>
      </c>
      <c r="F128" s="622">
        <f>SUM(F124:F127)</f>
      </c>
      <c r="G128" s="622">
        <f>SUM(G124:G127)</f>
      </c>
      <c r="H128" s="622">
        <f>SUM(H124:H127)</f>
      </c>
      <c r="I128" s="622">
        <f>SUM(I124:I127)</f>
      </c>
      <c r="J128" s="622">
        <f>SUM(J124:J127)</f>
      </c>
      <c r="K128" s="622">
        <f>SUM(K124:K127)</f>
      </c>
      <c r="L128" s="623">
        <f t="shared" si="0"/>
      </c>
      <c r="M128" s="623">
        <f t="shared" si="1"/>
      </c>
      <c r="N128" s="623">
        <f t="shared" si="2"/>
      </c>
      <c r="O128" s="624"/>
      <c r="P128" s="622">
        <f>P124+P125+P126+P127</f>
      </c>
      <c r="Q128" s="624"/>
    </row>
    <row hidden="true" r="129">
      <c r="A129" s="610">
        <v>45990</v>
      </c>
      <c r="B129" s="611" t="s">
        <v>635</v>
      </c>
      <c r="C129" s="612" t="s">
        <v>636</v>
      </c>
      <c r="D129" s="611">
        <v>5</v>
      </c>
      <c r="E129" s="611">
        <v>77</v>
      </c>
      <c r="F129" s="611">
        <v>55</v>
      </c>
      <c r="G129" s="611">
        <v>44</v>
      </c>
      <c r="H129" s="611">
        <v>40</v>
      </c>
      <c r="I129" s="611">
        <v>4</v>
      </c>
      <c r="J129" s="613">
        <v>58308.799999999996</v>
      </c>
      <c r="K129" s="613">
        <v>26640.65</v>
      </c>
      <c r="L129" s="614">
        <f t="shared" si="0"/>
      </c>
      <c r="M129" s="614">
        <f t="shared" si="1"/>
      </c>
      <c r="N129" s="614">
        <f t="shared" si="2"/>
      </c>
      <c r="O129" s="615" t="s">
        <v>637</v>
      </c>
      <c r="P129" s="611">
        <v>8</v>
      </c>
      <c r="Q129" s="616"/>
    </row>
    <row hidden="true" r="130">
      <c r="A130" s="610">
        <v>45990</v>
      </c>
      <c r="B130" s="611" t="s">
        <v>642</v>
      </c>
      <c r="C130" s="612" t="s">
        <v>639</v>
      </c>
      <c r="D130" s="611">
        <v>5</v>
      </c>
      <c r="E130" s="611">
        <v>39</v>
      </c>
      <c r="F130" s="611">
        <v>26</v>
      </c>
      <c r="G130" s="611">
        <v>19</v>
      </c>
      <c r="H130" s="611">
        <v>18</v>
      </c>
      <c r="I130" s="611">
        <v>3</v>
      </c>
      <c r="J130" s="613">
        <v>31151.999999999996</v>
      </c>
      <c r="K130" s="613">
        <v>23231</v>
      </c>
      <c r="L130" s="614">
        <f t="shared" si="0"/>
      </c>
      <c r="M130" s="614">
        <f t="shared" si="1"/>
      </c>
      <c r="N130" s="614">
        <f t="shared" si="2"/>
      </c>
      <c r="O130" s="620"/>
      <c r="P130" s="617"/>
      <c r="Q130" s="617"/>
    </row>
    <row hidden="true" r="131">
      <c r="A131" s="610">
        <v>45990</v>
      </c>
      <c r="B131" s="611" t="s">
        <v>645</v>
      </c>
      <c r="C131" s="612" t="s">
        <v>641</v>
      </c>
      <c r="D131" s="611">
        <v>5</v>
      </c>
      <c r="E131" s="611">
        <v>49</v>
      </c>
      <c r="F131" s="611">
        <v>35</v>
      </c>
      <c r="G131" s="611">
        <v>21</v>
      </c>
      <c r="H131" s="611">
        <v>29</v>
      </c>
      <c r="I131" s="611">
        <v>3</v>
      </c>
      <c r="J131" s="613">
        <v>35040.8</v>
      </c>
      <c r="K131" s="613">
        <v>23115.100000000002</v>
      </c>
      <c r="L131" s="614">
        <f t="shared" si="0"/>
      </c>
      <c r="M131" s="614">
        <f t="shared" si="1"/>
      </c>
      <c r="N131" s="614">
        <f t="shared" si="2"/>
      </c>
      <c r="O131" s="615" t="s">
        <v>646</v>
      </c>
      <c r="P131" s="611">
        <v>8</v>
      </c>
      <c r="Q131" s="619"/>
    </row>
    <row r="132">
      <c r="A132" s="610">
        <v>45990</v>
      </c>
      <c r="B132" s="611" t="s">
        <v>640</v>
      </c>
      <c r="C132" s="612" t="s">
        <v>643</v>
      </c>
      <c r="D132" s="611">
        <v>5</v>
      </c>
      <c r="E132" s="611">
        <v>56</v>
      </c>
      <c r="F132" s="611">
        <v>52</v>
      </c>
      <c r="G132" s="611">
        <v>46</v>
      </c>
      <c r="H132" s="611">
        <v>41</v>
      </c>
      <c r="I132" s="611">
        <v>6</v>
      </c>
      <c r="J132" s="613">
        <v>55566.79999999999</v>
      </c>
      <c r="K132" s="613">
        <v>27007.56</v>
      </c>
      <c r="L132" s="614">
        <f t="shared" si="0"/>
      </c>
      <c r="M132" s="614">
        <f t="shared" si="1"/>
      </c>
      <c r="N132" s="614">
        <f t="shared" si="2"/>
      </c>
      <c r="O132" s="620" t="s">
        <v>647</v>
      </c>
      <c r="P132" s="611">
        <v>4</v>
      </c>
      <c r="Q132" s="620"/>
    </row>
    <row hidden="true" r="133">
      <c r="A133" s="621">
        <v>45990</v>
      </c>
      <c r="B133" s="622"/>
      <c r="C133" s="622"/>
      <c r="D133" s="622">
        <f>SUM(D129:D132)</f>
      </c>
      <c r="E133" s="622">
        <f>SUM(E129:E132)</f>
      </c>
      <c r="F133" s="622">
        <f>SUM(F129:F132)</f>
      </c>
      <c r="G133" s="622">
        <f>SUM(G129:G132)</f>
      </c>
      <c r="H133" s="622">
        <f>SUM(H129:H132)</f>
      </c>
      <c r="I133" s="622">
        <f>SUM(I129:I132)</f>
      </c>
      <c r="J133" s="622">
        <f>SUM(J129:J132)</f>
      </c>
      <c r="K133" s="622">
        <f>SUM(K129:K132)</f>
      </c>
      <c r="L133" s="623">
        <f t="shared" si="0"/>
      </c>
      <c r="M133" s="623">
        <f t="shared" si="1"/>
      </c>
      <c r="N133" s="623">
        <f t="shared" si="2"/>
      </c>
      <c r="O133" s="624"/>
      <c r="P133" s="622">
        <f>P129+P130+P131+P132</f>
      </c>
      <c r="Q133" s="624"/>
    </row>
    <row hidden="true" r="134">
      <c r="A134" s="610">
        <v>45991</v>
      </c>
      <c r="B134" s="611" t="s">
        <v>635</v>
      </c>
      <c r="C134" s="612" t="s">
        <v>636</v>
      </c>
      <c r="D134" s="611">
        <v>5</v>
      </c>
      <c r="E134" s="611">
        <v>40</v>
      </c>
      <c r="F134" s="611">
        <v>27</v>
      </c>
      <c r="G134" s="611">
        <v>18</v>
      </c>
      <c r="H134" s="611">
        <v>25</v>
      </c>
      <c r="I134" s="611">
        <v>2</v>
      </c>
      <c r="J134" s="613">
        <v>23000.199999999997</v>
      </c>
      <c r="K134" s="613">
        <v>21931.84</v>
      </c>
      <c r="L134" s="614">
        <f t="shared" si="0"/>
      </c>
      <c r="M134" s="614">
        <f t="shared" si="1"/>
      </c>
      <c r="N134" s="614">
        <f t="shared" si="2"/>
      </c>
      <c r="O134" s="615" t="s">
        <v>637</v>
      </c>
      <c r="P134" s="611">
        <v>9</v>
      </c>
      <c r="Q134" s="616"/>
    </row>
    <row r="135">
      <c r="A135" s="610">
        <v>45991</v>
      </c>
      <c r="B135" s="611" t="s">
        <v>640</v>
      </c>
      <c r="C135" s="612" t="s">
        <v>639</v>
      </c>
      <c r="D135" s="611">
        <v>5</v>
      </c>
      <c r="E135" s="611">
        <v>26</v>
      </c>
      <c r="F135" s="611">
        <v>15</v>
      </c>
      <c r="G135" s="611">
        <v>13</v>
      </c>
      <c r="H135" s="611">
        <v>15</v>
      </c>
      <c r="I135" s="611">
        <v>3</v>
      </c>
      <c r="J135" s="613">
        <v>11746.400000000003</v>
      </c>
      <c r="K135" s="613">
        <v>14064.480000000003</v>
      </c>
      <c r="L135" s="614">
        <f t="shared" si="0"/>
      </c>
      <c r="M135" s="614">
        <f t="shared" si="1"/>
      </c>
      <c r="N135" s="614">
        <f t="shared" si="2"/>
      </c>
      <c r="O135" s="620" t="s">
        <v>663</v>
      </c>
      <c r="P135" s="620">
        <v>1</v>
      </c>
      <c r="Q135" s="617"/>
    </row>
    <row hidden="true" r="136">
      <c r="A136" s="610">
        <v>45991</v>
      </c>
      <c r="B136" s="611" t="s">
        <v>642</v>
      </c>
      <c r="C136" s="612" t="s">
        <v>641</v>
      </c>
      <c r="D136" s="625">
        <v>4</v>
      </c>
      <c r="E136" s="611">
        <v>36</v>
      </c>
      <c r="F136" s="611">
        <v>29</v>
      </c>
      <c r="G136" s="611">
        <v>17</v>
      </c>
      <c r="H136" s="611">
        <v>21</v>
      </c>
      <c r="I136" s="611">
        <v>2</v>
      </c>
      <c r="J136" s="613">
        <v>27116.800000000003</v>
      </c>
      <c r="K136" s="613">
        <v>13133.65</v>
      </c>
      <c r="L136" s="614">
        <f t="shared" si="0"/>
      </c>
      <c r="M136" s="614">
        <f t="shared" si="1"/>
      </c>
      <c r="N136" s="614">
        <f t="shared" si="2"/>
      </c>
      <c r="O136" s="615"/>
      <c r="P136" s="611"/>
      <c r="Q136" s="619"/>
    </row>
    <row hidden="true" r="137">
      <c r="A137" s="610">
        <v>45991</v>
      </c>
      <c r="B137" s="611" t="s">
        <v>638</v>
      </c>
      <c r="C137" s="612" t="s">
        <v>643</v>
      </c>
      <c r="D137" s="625">
        <v>4.5</v>
      </c>
      <c r="E137" s="611">
        <v>32</v>
      </c>
      <c r="F137" s="611">
        <v>22</v>
      </c>
      <c r="G137" s="611">
        <v>16</v>
      </c>
      <c r="H137" s="611">
        <v>17</v>
      </c>
      <c r="I137" s="611">
        <v>1</v>
      </c>
      <c r="J137" s="613">
        <v>26181.600000000002</v>
      </c>
      <c r="K137" s="613">
        <v>14658.81</v>
      </c>
      <c r="L137" s="614">
        <f t="shared" si="0"/>
      </c>
      <c r="M137" s="614">
        <f t="shared" si="1"/>
      </c>
      <c r="N137" s="614">
        <f t="shared" si="2"/>
      </c>
      <c r="O137" s="620" t="s">
        <v>647</v>
      </c>
      <c r="P137" s="611">
        <v>10</v>
      </c>
      <c r="Q137" s="620"/>
    </row>
    <row hidden="true" r="138">
      <c r="A138" s="621">
        <v>45991</v>
      </c>
      <c r="B138" s="622"/>
      <c r="C138" s="622"/>
      <c r="D138" s="622">
        <f>SUM(D134:D137)</f>
      </c>
      <c r="E138" s="622">
        <f>SUM(E134:E137)</f>
      </c>
      <c r="F138" s="622">
        <f>SUM(F134:F137)</f>
      </c>
      <c r="G138" s="622">
        <f>SUM(G134:G137)</f>
      </c>
      <c r="H138" s="622">
        <f>SUM(H134:H137)</f>
      </c>
      <c r="I138" s="622">
        <f>SUM(I134:I137)</f>
      </c>
      <c r="J138" s="622">
        <f>SUM(J134:J137)</f>
      </c>
      <c r="K138" s="622">
        <f>SUM(K134:K137)</f>
      </c>
      <c r="L138" s="623">
        <f t="shared" si="0"/>
      </c>
      <c r="M138" s="623">
        <f t="shared" si="1"/>
      </c>
      <c r="N138" s="623">
        <f t="shared" si="2"/>
      </c>
      <c r="O138" s="624"/>
      <c r="P138" s="622">
        <f>P134+P135+P136+P137</f>
      </c>
      <c r="Q138" s="624"/>
    </row>
    <row hidden="true" r="139"/>
    <row hidden="true" r="140">
      <c r="L140" s="614"/>
    </row>
    <row hidden="true" r="141"/>
    <row hidden="true" r="142">
      <c r="L142" s="614"/>
    </row>
    <row hidden="true" r="143"/>
    <row hidden="true" r="144">
      <c r="L144" s="614"/>
    </row>
    <row hidden="true" r="145"/>
    <row hidden="true" r="146"/>
    <row hidden="true" r="147">
      <c r="D147" s="626"/>
    </row>
    <row hidden="true" r="148">
      <c r="L148" s="614"/>
    </row>
    <row hidden="true" r="149">
      <c r="D149" s="627"/>
      <c r="K149" s="626"/>
    </row>
    <row hidden="true" r="150"/>
    <row r="151"/>
    <row r="152">
      <c r="J152" s="628"/>
      <c r="K152" s="629"/>
      <c r="L152" s="614"/>
    </row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>
      <c r="A172" s="630"/>
      <c r="B172" s="631"/>
      <c r="C172" s="631"/>
      <c r="D172" s="631"/>
      <c r="E172" s="632"/>
      <c r="F172" s="631"/>
      <c r="G172" s="633"/>
      <c r="H172" s="634"/>
      <c r="I172" s="631"/>
    </row>
    <row r="173">
      <c r="A173" s="618"/>
      <c r="B173" s="611"/>
      <c r="C173" s="613"/>
      <c r="D173" s="613"/>
      <c r="E173" s="614"/>
      <c r="F173" s="611"/>
      <c r="G173" s="611"/>
      <c r="H173" s="611"/>
      <c r="I173" s="611"/>
    </row>
    <row r="174">
      <c r="A174" s="610"/>
      <c r="B174" s="611"/>
      <c r="C174" s="613"/>
      <c r="D174" s="613"/>
      <c r="E174" s="614"/>
      <c r="F174" s="611"/>
      <c r="G174" s="611"/>
      <c r="H174" s="611"/>
      <c r="I174" s="611"/>
    </row>
    <row r="175">
      <c r="A175" s="610"/>
      <c r="B175" s="611"/>
      <c r="C175" s="613"/>
      <c r="D175" s="613"/>
      <c r="E175" s="614"/>
      <c r="F175" s="611"/>
      <c r="G175" s="611"/>
      <c r="H175" s="611"/>
      <c r="I175" s="611"/>
    </row>
    <row r="176">
      <c r="A176" s="610"/>
      <c r="B176" s="611"/>
      <c r="C176" s="613"/>
      <c r="D176" s="613"/>
      <c r="E176" s="614"/>
      <c r="F176" s="611"/>
      <c r="G176" s="611"/>
      <c r="H176" s="611"/>
      <c r="I176" s="611"/>
    </row>
    <row r="177">
      <c r="A177" s="610"/>
      <c r="B177" s="611"/>
      <c r="C177" s="613"/>
      <c r="D177" s="613"/>
      <c r="E177" s="614"/>
      <c r="F177" s="611"/>
      <c r="G177" s="611"/>
      <c r="H177" s="611"/>
      <c r="I177" s="611"/>
    </row>
    <row r="178">
      <c r="A178" s="610"/>
      <c r="B178" s="611"/>
      <c r="C178" s="613"/>
      <c r="D178" s="613"/>
      <c r="E178" s="614"/>
      <c r="F178" s="611"/>
      <c r="G178" s="611"/>
      <c r="H178" s="611"/>
      <c r="I178" s="611"/>
    </row>
    <row r="179">
      <c r="A179" s="610"/>
      <c r="B179" s="611"/>
      <c r="C179" s="613"/>
      <c r="D179" s="613"/>
      <c r="E179" s="614"/>
      <c r="F179" s="611"/>
      <c r="G179" s="611"/>
      <c r="H179" s="611"/>
      <c r="I179" s="611"/>
    </row>
  </sheetData>
  <autoFilter ref="A1:P150">
    <filterColumn colId="1">
      <filters>
        <filter val="尹小雨"/>
      </filters>
    </filterColumn>
  </autoFilter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2.64480633802817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</cols>
  <sheetData>
    <row r="1">
      <c r="A1" s="635" t="s">
        <v>664</v>
      </c>
      <c r="B1" s="636" t="s">
        <v>665</v>
      </c>
      <c r="C1" s="636" t="s">
        <v>666</v>
      </c>
      <c r="D1" s="636" t="s">
        <v>667</v>
      </c>
      <c r="E1" s="636" t="s">
        <v>668</v>
      </c>
      <c r="F1" s="636" t="s">
        <v>669</v>
      </c>
      <c r="G1" s="637" t="s">
        <v>670</v>
      </c>
      <c r="H1" s="638" t="s">
        <v>671</v>
      </c>
      <c r="I1" s="636" t="s">
        <v>672</v>
      </c>
      <c r="J1" s="636" t="s">
        <v>673</v>
      </c>
      <c r="K1" s="636" t="s">
        <v>674</v>
      </c>
      <c r="L1" s="639" t="s">
        <v>675</v>
      </c>
      <c r="M1" s="639" t="s">
        <v>676</v>
      </c>
      <c r="N1" s="639" t="s">
        <v>677</v>
      </c>
      <c r="O1" s="640" t="s">
        <v>678</v>
      </c>
      <c r="P1" s="640" t="s">
        <v>679</v>
      </c>
      <c r="Q1" s="640" t="s">
        <v>680</v>
      </c>
    </row>
    <row hidden="true" r="2">
      <c r="A2" s="641">
        <v>45931</v>
      </c>
      <c r="B2" s="642" t="s">
        <v>681</v>
      </c>
      <c r="C2" s="643" t="s">
        <v>682</v>
      </c>
      <c r="D2" s="642">
        <v>5</v>
      </c>
      <c r="E2" s="642">
        <v>39</v>
      </c>
      <c r="F2" s="642">
        <v>28</v>
      </c>
      <c r="G2" s="642">
        <v>18</v>
      </c>
      <c r="H2" s="642">
        <v>22</v>
      </c>
      <c r="I2" s="642">
        <v>5</v>
      </c>
      <c r="J2" s="644">
        <v>30477.6</v>
      </c>
      <c r="K2" s="644">
        <v>18613.050000000003</v>
      </c>
      <c r="L2" s="645">
        <f t="shared" ref="L2:L142" si="0">J2/K2</f>
      </c>
      <c r="M2" s="645">
        <f t="shared" ref="M2:M142" si="2">J2/F2</f>
      </c>
      <c r="N2" s="645">
        <f t="shared" ref="N2:N142" si="1">K2/F2</f>
      </c>
      <c r="O2" s="646" t="s">
        <v>683</v>
      </c>
      <c r="P2" s="642">
        <v>10</v>
      </c>
      <c r="Q2" s="647"/>
    </row>
    <row hidden="true" r="3">
      <c r="A3" s="641">
        <v>45931</v>
      </c>
      <c r="B3" s="642" t="s">
        <v>684</v>
      </c>
      <c r="C3" s="643" t="s">
        <v>685</v>
      </c>
      <c r="D3" s="642">
        <v>5</v>
      </c>
      <c r="E3" s="642">
        <v>34</v>
      </c>
      <c r="F3" s="642">
        <v>23</v>
      </c>
      <c r="G3" s="642">
        <v>20</v>
      </c>
      <c r="H3" s="642">
        <v>11</v>
      </c>
      <c r="I3" s="642">
        <v>1</v>
      </c>
      <c r="J3" s="644">
        <v>34938.799999999996</v>
      </c>
      <c r="K3" s="644">
        <v>16034.119999999999</v>
      </c>
      <c r="L3" s="645">
        <f t="shared" si="0"/>
      </c>
      <c r="M3" s="645">
        <f t="shared" si="2"/>
      </c>
      <c r="N3" s="645">
        <f t="shared" si="1"/>
      </c>
      <c r="O3" s="648"/>
      <c r="P3" s="648"/>
      <c r="Q3" s="648"/>
    </row>
    <row hidden="true" r="4">
      <c r="A4" s="641">
        <v>45931</v>
      </c>
      <c r="B4" s="642" t="s">
        <v>686</v>
      </c>
      <c r="C4" s="643" t="s">
        <v>687</v>
      </c>
      <c r="D4" s="642">
        <v>5</v>
      </c>
      <c r="E4" s="642">
        <v>33</v>
      </c>
      <c r="F4" s="642">
        <v>23</v>
      </c>
      <c r="G4" s="642">
        <v>19</v>
      </c>
      <c r="H4" s="642">
        <v>19</v>
      </c>
      <c r="I4" s="642">
        <v>1</v>
      </c>
      <c r="J4" s="644">
        <v>17888.6</v>
      </c>
      <c r="K4" s="644">
        <v>13493.41</v>
      </c>
      <c r="L4" s="645">
        <f t="shared" si="0"/>
      </c>
      <c r="M4" s="645">
        <f t="shared" si="2"/>
      </c>
      <c r="N4" s="645">
        <f t="shared" si="1"/>
      </c>
      <c r="O4" s="646"/>
      <c r="P4" s="642"/>
      <c r="Q4" s="649"/>
    </row>
    <row hidden="true" r="5">
      <c r="A5" s="641">
        <v>45931</v>
      </c>
      <c r="B5" s="642" t="s">
        <v>688</v>
      </c>
      <c r="C5" s="643" t="s">
        <v>689</v>
      </c>
      <c r="D5" s="642">
        <v>5</v>
      </c>
      <c r="E5" s="642">
        <v>40</v>
      </c>
      <c r="F5" s="642">
        <v>34</v>
      </c>
      <c r="G5" s="642">
        <v>27</v>
      </c>
      <c r="H5" s="642">
        <v>24</v>
      </c>
      <c r="I5" s="642">
        <v>2</v>
      </c>
      <c r="J5" s="644">
        <v>45454.2</v>
      </c>
      <c r="K5" s="644">
        <v>13325.32</v>
      </c>
      <c r="L5" s="645">
        <f t="shared" si="0"/>
      </c>
      <c r="M5" s="645">
        <f t="shared" si="2"/>
      </c>
      <c r="N5" s="645">
        <f t="shared" si="1"/>
      </c>
      <c r="O5" s="646" t="s">
        <v>690</v>
      </c>
      <c r="P5" s="646">
        <v>10</v>
      </c>
      <c r="Q5" s="650"/>
    </row>
    <row r="6">
      <c r="A6" s="651">
        <v>45931</v>
      </c>
      <c r="B6" s="652"/>
      <c r="C6" s="652"/>
      <c r="D6" s="652">
        <f>SUM(D2:D5)</f>
      </c>
      <c r="E6" s="652">
        <f>SUM(E2:E5)</f>
      </c>
      <c r="F6" s="652">
        <f>SUM(F2:F5)</f>
      </c>
      <c r="G6" s="652">
        <f>SUM(G2:G5)</f>
      </c>
      <c r="H6" s="652">
        <f>SUM(H2:H5)</f>
      </c>
      <c r="I6" s="652">
        <f>SUM(I2:I5)</f>
      </c>
      <c r="J6" s="652">
        <f>SUM(J2:J5)</f>
      </c>
      <c r="K6" s="652">
        <f>SUM(K2:K5)</f>
      </c>
      <c r="L6" s="653">
        <f t="shared" si="0"/>
      </c>
      <c r="M6" s="653">
        <f t="shared" si="2"/>
      </c>
      <c r="N6" s="653">
        <f t="shared" si="1"/>
      </c>
      <c r="O6" s="654"/>
      <c r="P6" s="652">
        <f>P2+P3+P4+P5</f>
      </c>
      <c r="Q6" s="654"/>
    </row>
    <row hidden="true" r="7">
      <c r="A7" s="641">
        <v>45932</v>
      </c>
      <c r="B7" s="642" t="s">
        <v>681</v>
      </c>
      <c r="C7" s="643" t="s">
        <v>682</v>
      </c>
      <c r="D7" s="642">
        <v>5</v>
      </c>
      <c r="E7" s="642">
        <v>40</v>
      </c>
      <c r="F7" s="642">
        <v>32</v>
      </c>
      <c r="G7" s="642">
        <v>25</v>
      </c>
      <c r="H7" s="642">
        <v>26</v>
      </c>
      <c r="I7" s="642">
        <v>2</v>
      </c>
      <c r="J7" s="644">
        <v>29971</v>
      </c>
      <c r="K7" s="644">
        <v>21924.37</v>
      </c>
      <c r="L7" s="645">
        <f t="shared" si="0"/>
      </c>
      <c r="M7" s="645">
        <f t="shared" si="2"/>
      </c>
      <c r="N7" s="645">
        <f t="shared" si="1"/>
      </c>
      <c r="O7" s="646" t="s">
        <v>683</v>
      </c>
      <c r="P7" s="642">
        <v>10</v>
      </c>
      <c r="Q7" s="647"/>
    </row>
    <row hidden="true" r="8">
      <c r="A8" s="641">
        <v>45932</v>
      </c>
      <c r="B8" s="642" t="s">
        <v>686</v>
      </c>
      <c r="C8" s="643" t="s">
        <v>685</v>
      </c>
      <c r="D8" s="642">
        <v>5</v>
      </c>
      <c r="E8" s="642">
        <v>100</v>
      </c>
      <c r="F8" s="642">
        <v>74</v>
      </c>
      <c r="G8" s="642">
        <v>47</v>
      </c>
      <c r="H8" s="642">
        <v>62</v>
      </c>
      <c r="I8" s="642">
        <v>15</v>
      </c>
      <c r="J8" s="644">
        <v>65976.4</v>
      </c>
      <c r="K8" s="644">
        <v>32674.959999999995</v>
      </c>
      <c r="L8" s="645">
        <f t="shared" si="0"/>
      </c>
      <c r="M8" s="645">
        <f t="shared" si="2"/>
      </c>
      <c r="N8" s="645">
        <f t="shared" si="1"/>
      </c>
      <c r="O8" s="648"/>
      <c r="P8" s="648"/>
      <c r="Q8" s="648"/>
    </row>
    <row hidden="true" r="9">
      <c r="A9" s="641">
        <v>45932</v>
      </c>
      <c r="B9" s="642" t="s">
        <v>684</v>
      </c>
      <c r="C9" s="643" t="s">
        <v>687</v>
      </c>
      <c r="D9" s="642">
        <v>5</v>
      </c>
      <c r="E9" s="642">
        <v>44</v>
      </c>
      <c r="F9" s="642">
        <v>33</v>
      </c>
      <c r="G9" s="642">
        <v>23</v>
      </c>
      <c r="H9" s="642">
        <v>26</v>
      </c>
      <c r="I9" s="642">
        <v>4</v>
      </c>
      <c r="J9" s="644">
        <v>36288.200000000004</v>
      </c>
      <c r="K9" s="644">
        <v>18544.79</v>
      </c>
      <c r="L9" s="645">
        <f t="shared" si="0"/>
      </c>
      <c r="M9" s="645">
        <f t="shared" si="2"/>
      </c>
      <c r="N9" s="645">
        <f t="shared" si="1"/>
      </c>
      <c r="O9" s="646"/>
      <c r="P9" s="642"/>
      <c r="Q9" s="649"/>
    </row>
    <row hidden="true" r="10">
      <c r="A10" s="641">
        <v>45932</v>
      </c>
      <c r="B10" s="642" t="s">
        <v>688</v>
      </c>
      <c r="C10" s="643" t="s">
        <v>689</v>
      </c>
      <c r="D10" s="642">
        <v>5</v>
      </c>
      <c r="E10" s="642">
        <v>56</v>
      </c>
      <c r="F10" s="642">
        <v>41</v>
      </c>
      <c r="G10" s="642">
        <v>28</v>
      </c>
      <c r="H10" s="642">
        <v>32</v>
      </c>
      <c r="I10" s="642">
        <v>6</v>
      </c>
      <c r="J10" s="644">
        <v>45744.4</v>
      </c>
      <c r="K10" s="644">
        <v>18991.88</v>
      </c>
      <c r="L10" s="645">
        <f t="shared" si="0"/>
      </c>
      <c r="M10" s="645">
        <f t="shared" si="2"/>
      </c>
      <c r="N10" s="645">
        <f t="shared" si="1"/>
      </c>
      <c r="O10" s="646" t="s">
        <v>690</v>
      </c>
      <c r="P10" s="646">
        <v>10</v>
      </c>
      <c r="Q10" s="650"/>
    </row>
    <row r="11">
      <c r="A11" s="651">
        <v>45932</v>
      </c>
      <c r="B11" s="652"/>
      <c r="C11" s="652"/>
      <c r="D11" s="652">
        <f>SUM(D7:D10)</f>
      </c>
      <c r="E11" s="652">
        <f>SUM(E7:E10)</f>
      </c>
      <c r="F11" s="652">
        <f>SUM(F7:F10)</f>
      </c>
      <c r="G11" s="652">
        <f>SUM(G7:G10)</f>
      </c>
      <c r="H11" s="652">
        <f>SUM(H7:H10)</f>
      </c>
      <c r="I11" s="652">
        <f>SUM(I7:I10)</f>
      </c>
      <c r="J11" s="652">
        <f>SUM(J7:J10)</f>
      </c>
      <c r="K11" s="652">
        <f>SUM(K7:K10)</f>
      </c>
      <c r="L11" s="653">
        <f t="shared" si="0"/>
      </c>
      <c r="M11" s="653">
        <f t="shared" si="2"/>
      </c>
      <c r="N11" s="653">
        <f t="shared" si="1"/>
      </c>
      <c r="O11" s="654"/>
      <c r="P11" s="652">
        <f>P7+P8+P9+P10</f>
      </c>
      <c r="Q11" s="654"/>
    </row>
    <row hidden="true" r="12">
      <c r="A12" s="641">
        <v>45933</v>
      </c>
      <c r="B12" s="642" t="s">
        <v>684</v>
      </c>
      <c r="C12" s="643" t="s">
        <v>682</v>
      </c>
      <c r="D12" s="642">
        <v>5</v>
      </c>
      <c r="E12" s="642">
        <v>63</v>
      </c>
      <c r="F12" s="642">
        <v>45</v>
      </c>
      <c r="G12" s="642">
        <v>32</v>
      </c>
      <c r="H12" s="642">
        <v>37</v>
      </c>
      <c r="I12" s="642">
        <v>7</v>
      </c>
      <c r="J12" s="644">
        <v>46842.2</v>
      </c>
      <c r="K12" s="644">
        <v>28336.93</v>
      </c>
      <c r="L12" s="645">
        <f t="shared" si="0"/>
      </c>
      <c r="M12" s="645">
        <f t="shared" si="2"/>
      </c>
      <c r="N12" s="645">
        <f t="shared" si="1"/>
      </c>
      <c r="O12" s="646" t="s">
        <v>683</v>
      </c>
      <c r="P12" s="642">
        <v>10</v>
      </c>
      <c r="Q12" s="647"/>
    </row>
    <row hidden="true" r="13">
      <c r="A13" s="641">
        <v>45933</v>
      </c>
      <c r="B13" s="642" t="s">
        <v>681</v>
      </c>
      <c r="C13" s="643" t="s">
        <v>685</v>
      </c>
      <c r="D13" s="642">
        <v>5</v>
      </c>
      <c r="E13" s="642">
        <v>60</v>
      </c>
      <c r="F13" s="642">
        <v>39</v>
      </c>
      <c r="G13" s="642">
        <v>27</v>
      </c>
      <c r="H13" s="642">
        <v>32</v>
      </c>
      <c r="I13" s="642">
        <v>4</v>
      </c>
      <c r="J13" s="644">
        <v>43450.2</v>
      </c>
      <c r="K13" s="644">
        <v>17810.69</v>
      </c>
      <c r="L13" s="645">
        <f t="shared" si="0"/>
      </c>
      <c r="M13" s="645">
        <f t="shared" si="2"/>
      </c>
      <c r="N13" s="645">
        <f t="shared" si="1"/>
      </c>
      <c r="O13" s="648"/>
      <c r="P13" s="648"/>
      <c r="Q13" s="648"/>
    </row>
    <row hidden="true" r="14">
      <c r="A14" s="641">
        <v>45933</v>
      </c>
      <c r="B14" s="642" t="s">
        <v>686</v>
      </c>
      <c r="C14" s="643" t="s">
        <v>687</v>
      </c>
      <c r="D14" s="642">
        <v>5</v>
      </c>
      <c r="E14" s="642">
        <v>91</v>
      </c>
      <c r="F14" s="642">
        <v>66</v>
      </c>
      <c r="G14" s="642">
        <v>47</v>
      </c>
      <c r="H14" s="642">
        <v>54</v>
      </c>
      <c r="I14" s="642">
        <v>8</v>
      </c>
      <c r="J14" s="644">
        <v>66355.8</v>
      </c>
      <c r="K14" s="644">
        <v>26693.35</v>
      </c>
      <c r="L14" s="645">
        <f t="shared" si="0"/>
      </c>
      <c r="M14" s="645">
        <f t="shared" si="2"/>
      </c>
      <c r="N14" s="645">
        <f t="shared" si="1"/>
      </c>
      <c r="O14" s="646"/>
      <c r="P14" s="642"/>
      <c r="Q14" s="649"/>
    </row>
    <row hidden="true" r="15">
      <c r="A15" s="641">
        <v>45933</v>
      </c>
      <c r="B15" s="642" t="s">
        <v>688</v>
      </c>
      <c r="C15" s="643" t="s">
        <v>689</v>
      </c>
      <c r="D15" s="642">
        <v>5</v>
      </c>
      <c r="E15" s="642">
        <v>91</v>
      </c>
      <c r="F15" s="642">
        <v>64</v>
      </c>
      <c r="G15" s="642">
        <v>47</v>
      </c>
      <c r="H15" s="642">
        <v>51</v>
      </c>
      <c r="I15" s="642">
        <v>11</v>
      </c>
      <c r="J15" s="644">
        <v>66039.20000000001</v>
      </c>
      <c r="K15" s="644">
        <v>34509.51</v>
      </c>
      <c r="L15" s="645">
        <f t="shared" si="0"/>
      </c>
      <c r="M15" s="645">
        <f t="shared" si="2"/>
      </c>
      <c r="N15" s="645">
        <f t="shared" si="1"/>
      </c>
      <c r="O15" s="646" t="s">
        <v>690</v>
      </c>
      <c r="P15" s="646">
        <v>10</v>
      </c>
      <c r="Q15" s="650"/>
    </row>
    <row r="16">
      <c r="A16" s="651">
        <v>45933</v>
      </c>
      <c r="B16" s="652"/>
      <c r="C16" s="652"/>
      <c r="D16" s="652">
        <f>SUM(D12:D15)</f>
      </c>
      <c r="E16" s="652">
        <f>SUM(E12:E15)</f>
      </c>
      <c r="F16" s="652">
        <f>SUM(F12:F15)</f>
      </c>
      <c r="G16" s="652">
        <f>SUM(G12:G15)</f>
      </c>
      <c r="H16" s="652">
        <f>SUM(H12:H15)</f>
      </c>
      <c r="I16" s="652">
        <f>SUM(I12:I15)</f>
      </c>
      <c r="J16" s="652">
        <f>SUM(J12:J15)</f>
      </c>
      <c r="K16" s="652">
        <f>SUM(K12:K15)</f>
      </c>
      <c r="L16" s="653">
        <f t="shared" si="0"/>
      </c>
      <c r="M16" s="653">
        <f t="shared" si="2"/>
      </c>
      <c r="N16" s="653">
        <f t="shared" si="1"/>
      </c>
      <c r="O16" s="654"/>
      <c r="P16" s="652">
        <f>P12+P13+P14+P15</f>
      </c>
      <c r="Q16" s="654"/>
    </row>
    <row hidden="true" r="17">
      <c r="A17" s="641">
        <v>45934</v>
      </c>
      <c r="B17" s="642" t="s">
        <v>681</v>
      </c>
      <c r="C17" s="643" t="s">
        <v>682</v>
      </c>
      <c r="D17" s="642">
        <v>5</v>
      </c>
      <c r="E17" s="642">
        <v>80</v>
      </c>
      <c r="F17" s="642">
        <v>58</v>
      </c>
      <c r="G17" s="642">
        <v>38</v>
      </c>
      <c r="H17" s="642">
        <v>50</v>
      </c>
      <c r="I17" s="642">
        <v>8</v>
      </c>
      <c r="J17" s="644">
        <v>51103</v>
      </c>
      <c r="K17" s="644">
        <v>28851.45</v>
      </c>
      <c r="L17" s="645">
        <f t="shared" si="0"/>
      </c>
      <c r="M17" s="645">
        <f t="shared" si="2"/>
      </c>
      <c r="N17" s="645">
        <f t="shared" si="1"/>
      </c>
      <c r="O17" s="646" t="s">
        <v>683</v>
      </c>
      <c r="P17" s="642">
        <v>10</v>
      </c>
      <c r="Q17" s="647"/>
    </row>
    <row hidden="true" r="18">
      <c r="A18" s="641">
        <v>45934</v>
      </c>
      <c r="B18" s="642" t="s">
        <v>686</v>
      </c>
      <c r="C18" s="643" t="s">
        <v>685</v>
      </c>
      <c r="D18" s="642">
        <v>5</v>
      </c>
      <c r="E18" s="642">
        <v>78</v>
      </c>
      <c r="F18" s="642">
        <v>50</v>
      </c>
      <c r="G18" s="642">
        <v>38</v>
      </c>
      <c r="H18" s="642">
        <v>35</v>
      </c>
      <c r="I18" s="642">
        <v>5</v>
      </c>
      <c r="J18" s="644">
        <v>54460.2</v>
      </c>
      <c r="K18" s="644">
        <v>24683.11</v>
      </c>
      <c r="L18" s="645">
        <f t="shared" si="0"/>
      </c>
      <c r="M18" s="645">
        <f t="shared" si="2"/>
      </c>
      <c r="N18" s="645">
        <f t="shared" si="1"/>
      </c>
      <c r="O18" s="648"/>
      <c r="P18" s="648"/>
      <c r="Q18" s="648"/>
    </row>
    <row hidden="true" r="19">
      <c r="A19" s="641">
        <v>45934</v>
      </c>
      <c r="B19" s="642" t="s">
        <v>691</v>
      </c>
      <c r="C19" s="643" t="s">
        <v>687</v>
      </c>
      <c r="D19" s="642">
        <v>5</v>
      </c>
      <c r="E19" s="642">
        <v>55</v>
      </c>
      <c r="F19" s="642">
        <v>34</v>
      </c>
      <c r="G19" s="642">
        <v>27</v>
      </c>
      <c r="H19" s="642">
        <v>26</v>
      </c>
      <c r="I19" s="642">
        <v>2</v>
      </c>
      <c r="J19" s="644">
        <v>35940</v>
      </c>
      <c r="K19" s="644">
        <v>20967.020000000004</v>
      </c>
      <c r="L19" s="645">
        <f t="shared" si="0"/>
      </c>
      <c r="M19" s="645">
        <f t="shared" si="2"/>
      </c>
      <c r="N19" s="645">
        <f t="shared" si="1"/>
      </c>
      <c r="O19" s="646"/>
      <c r="P19" s="642"/>
      <c r="Q19" s="649"/>
    </row>
    <row hidden="true" r="20">
      <c r="A20" s="641">
        <v>45934</v>
      </c>
      <c r="B20" s="642" t="s">
        <v>688</v>
      </c>
      <c r="C20" s="643" t="s">
        <v>689</v>
      </c>
      <c r="D20" s="642">
        <v>5</v>
      </c>
      <c r="E20" s="642">
        <v>83</v>
      </c>
      <c r="F20" s="642">
        <v>55</v>
      </c>
      <c r="G20" s="642">
        <v>48</v>
      </c>
      <c r="H20" s="642">
        <v>42</v>
      </c>
      <c r="I20" s="642">
        <v>4</v>
      </c>
      <c r="J20" s="644">
        <v>52231.799999999996</v>
      </c>
      <c r="K20" s="644">
        <v>33037.91</v>
      </c>
      <c r="L20" s="645">
        <f t="shared" si="0"/>
      </c>
      <c r="M20" s="645">
        <f t="shared" si="2"/>
      </c>
      <c r="N20" s="645">
        <f t="shared" si="1"/>
      </c>
      <c r="O20" s="646" t="s">
        <v>690</v>
      </c>
      <c r="P20" s="646">
        <v>10</v>
      </c>
      <c r="Q20" s="650"/>
    </row>
    <row r="21">
      <c r="A21" s="651">
        <v>45934</v>
      </c>
      <c r="B21" s="652"/>
      <c r="C21" s="652"/>
      <c r="D21" s="652">
        <f>SUM(D17:D20)</f>
      </c>
      <c r="E21" s="652">
        <f>SUM(E17:E20)</f>
      </c>
      <c r="F21" s="652">
        <f>SUM(F17:F20)</f>
      </c>
      <c r="G21" s="652">
        <f>SUM(G17:G20)</f>
      </c>
      <c r="H21" s="652">
        <f>SUM(H17:H20)</f>
      </c>
      <c r="I21" s="652">
        <f>SUM(I17:I20)</f>
      </c>
      <c r="J21" s="652">
        <f>SUM(J17:J20)</f>
      </c>
      <c r="K21" s="652">
        <f>SUM(K17:K20)</f>
      </c>
      <c r="L21" s="653">
        <f t="shared" si="0"/>
      </c>
      <c r="M21" s="653">
        <f t="shared" si="2"/>
      </c>
      <c r="N21" s="653">
        <f t="shared" si="1"/>
      </c>
      <c r="O21" s="654"/>
      <c r="P21" s="652">
        <f>P17+P18+P19+P20</f>
      </c>
      <c r="Q21" s="654"/>
    </row>
    <row hidden="true" r="22">
      <c r="A22" s="641">
        <v>45935</v>
      </c>
      <c r="B22" s="642" t="s">
        <v>681</v>
      </c>
      <c r="C22" s="643" t="s">
        <v>682</v>
      </c>
      <c r="D22" s="642">
        <v>5</v>
      </c>
      <c r="E22" s="642">
        <v>57</v>
      </c>
      <c r="F22" s="642">
        <v>41</v>
      </c>
      <c r="G22" s="642">
        <v>28</v>
      </c>
      <c r="H22" s="642">
        <v>28</v>
      </c>
      <c r="I22" s="642">
        <v>5</v>
      </c>
      <c r="J22" s="644">
        <v>45031.4</v>
      </c>
      <c r="K22" s="644">
        <v>24420.699999999997</v>
      </c>
      <c r="L22" s="645">
        <f t="shared" si="0"/>
      </c>
      <c r="M22" s="645">
        <f t="shared" si="2"/>
      </c>
      <c r="N22" s="645">
        <f t="shared" si="1"/>
      </c>
      <c r="O22" s="646" t="s">
        <v>683</v>
      </c>
      <c r="P22" s="642">
        <v>10</v>
      </c>
      <c r="Q22" s="647"/>
    </row>
    <row hidden="true" r="23">
      <c r="A23" s="641">
        <v>45935</v>
      </c>
      <c r="B23" s="642" t="s">
        <v>686</v>
      </c>
      <c r="C23" s="643" t="s">
        <v>685</v>
      </c>
      <c r="D23" s="642">
        <v>5</v>
      </c>
      <c r="E23" s="642">
        <v>68</v>
      </c>
      <c r="F23" s="642">
        <v>46</v>
      </c>
      <c r="G23" s="642">
        <v>40</v>
      </c>
      <c r="H23" s="642">
        <v>36</v>
      </c>
      <c r="I23" s="642">
        <v>4</v>
      </c>
      <c r="J23" s="644">
        <v>42905.6</v>
      </c>
      <c r="K23" s="644">
        <v>27716.33</v>
      </c>
      <c r="L23" s="645">
        <f t="shared" si="0"/>
      </c>
      <c r="M23" s="645">
        <f t="shared" si="2"/>
      </c>
      <c r="N23" s="645">
        <f t="shared" si="1"/>
      </c>
      <c r="O23" s="648"/>
      <c r="P23" s="648"/>
      <c r="Q23" s="648"/>
    </row>
    <row hidden="true" r="24">
      <c r="A24" s="641">
        <v>45935</v>
      </c>
      <c r="B24" s="642" t="s">
        <v>691</v>
      </c>
      <c r="C24" s="643" t="s">
        <v>687</v>
      </c>
      <c r="D24" s="642">
        <v>5</v>
      </c>
      <c r="E24" s="642">
        <v>48</v>
      </c>
      <c r="F24" s="642">
        <v>33</v>
      </c>
      <c r="G24" s="642">
        <v>24</v>
      </c>
      <c r="H24" s="642">
        <v>23</v>
      </c>
      <c r="I24" s="642">
        <v>4</v>
      </c>
      <c r="J24" s="644">
        <v>39649.2</v>
      </c>
      <c r="K24" s="644">
        <v>21492.760000000002</v>
      </c>
      <c r="L24" s="645">
        <f t="shared" si="0"/>
      </c>
      <c r="M24" s="645">
        <f t="shared" si="2"/>
      </c>
      <c r="N24" s="645">
        <f t="shared" si="1"/>
      </c>
      <c r="O24" s="646"/>
      <c r="P24" s="642"/>
      <c r="Q24" s="649"/>
    </row>
    <row hidden="true" r="25">
      <c r="A25" s="641">
        <v>45935</v>
      </c>
      <c r="B25" s="642" t="s">
        <v>688</v>
      </c>
      <c r="C25" s="643" t="s">
        <v>689</v>
      </c>
      <c r="D25" s="642">
        <v>5</v>
      </c>
      <c r="E25" s="642">
        <v>41</v>
      </c>
      <c r="F25" s="642">
        <v>35</v>
      </c>
      <c r="G25" s="642">
        <v>25</v>
      </c>
      <c r="H25" s="642">
        <v>27</v>
      </c>
      <c r="I25" s="642">
        <v>3</v>
      </c>
      <c r="J25" s="644">
        <v>41538.200000000004</v>
      </c>
      <c r="K25" s="644">
        <v>24007.05</v>
      </c>
      <c r="L25" s="645">
        <f t="shared" si="0"/>
      </c>
      <c r="M25" s="645">
        <f t="shared" si="2"/>
      </c>
      <c r="N25" s="645">
        <f t="shared" si="1"/>
      </c>
      <c r="O25" s="646" t="s">
        <v>690</v>
      </c>
      <c r="P25" s="646">
        <v>10</v>
      </c>
      <c r="Q25" s="650"/>
    </row>
    <row r="26">
      <c r="A26" s="651">
        <v>45935</v>
      </c>
      <c r="B26" s="652"/>
      <c r="C26" s="652"/>
      <c r="D26" s="652">
        <f>SUM(D22:D25)</f>
      </c>
      <c r="E26" s="652">
        <f>SUM(E22:E25)</f>
      </c>
      <c r="F26" s="652">
        <f>SUM(F22:F25)</f>
      </c>
      <c r="G26" s="652">
        <f>SUM(G22:G25)</f>
      </c>
      <c r="H26" s="652">
        <f>SUM(H22:H25)</f>
      </c>
      <c r="I26" s="652">
        <f>SUM(I22:I25)</f>
      </c>
      <c r="J26" s="652">
        <f>SUM(J22:J25)</f>
      </c>
      <c r="K26" s="652">
        <f>SUM(K22:K25)</f>
      </c>
      <c r="L26" s="653">
        <f t="shared" si="0"/>
      </c>
      <c r="M26" s="653">
        <f t="shared" si="2"/>
      </c>
      <c r="N26" s="653">
        <f t="shared" si="1"/>
      </c>
      <c r="O26" s="654"/>
      <c r="P26" s="652">
        <f>P22+P23+P24+P25</f>
      </c>
      <c r="Q26" s="654"/>
    </row>
    <row hidden="true" r="27">
      <c r="A27" s="655">
        <v>45936</v>
      </c>
      <c r="B27" s="656" t="s">
        <v>681</v>
      </c>
      <c r="C27" s="657" t="s">
        <v>682</v>
      </c>
      <c r="D27" s="656">
        <v>5</v>
      </c>
      <c r="E27" s="656">
        <v>71</v>
      </c>
      <c r="F27" s="656">
        <v>49</v>
      </c>
      <c r="G27" s="656">
        <v>34</v>
      </c>
      <c r="H27" s="656">
        <v>36</v>
      </c>
      <c r="I27" s="656">
        <v>7</v>
      </c>
      <c r="J27" s="658">
        <v>59787.4</v>
      </c>
      <c r="K27" s="658">
        <v>27025.61</v>
      </c>
      <c r="L27" s="659">
        <f t="shared" si="0"/>
      </c>
      <c r="M27" s="659">
        <f t="shared" si="2"/>
      </c>
      <c r="N27" s="659">
        <f t="shared" si="1"/>
      </c>
      <c r="O27" s="660" t="s">
        <v>683</v>
      </c>
      <c r="P27" s="642">
        <v>10</v>
      </c>
      <c r="Q27" s="647"/>
    </row>
    <row hidden="true" r="28">
      <c r="A28" s="655">
        <v>45936</v>
      </c>
      <c r="B28" s="656" t="s">
        <v>691</v>
      </c>
      <c r="C28" s="657" t="s">
        <v>685</v>
      </c>
      <c r="D28" s="656">
        <v>5</v>
      </c>
      <c r="E28" s="656">
        <v>35</v>
      </c>
      <c r="F28" s="656">
        <v>24</v>
      </c>
      <c r="G28" s="656">
        <v>11</v>
      </c>
      <c r="H28" s="656">
        <v>23</v>
      </c>
      <c r="I28" s="656">
        <v>6</v>
      </c>
      <c r="J28" s="658">
        <v>16709.6</v>
      </c>
      <c r="K28" s="658">
        <v>13839.74</v>
      </c>
      <c r="L28" s="659">
        <f t="shared" si="0"/>
      </c>
      <c r="M28" s="659">
        <f t="shared" si="2"/>
      </c>
      <c r="N28" s="659">
        <f t="shared" si="1"/>
      </c>
      <c r="O28" s="661"/>
      <c r="P28" s="648"/>
      <c r="Q28" s="648"/>
    </row>
    <row hidden="true" r="29">
      <c r="A29" s="655">
        <v>45936</v>
      </c>
      <c r="B29" s="656" t="s">
        <v>686</v>
      </c>
      <c r="C29" s="657" t="s">
        <v>687</v>
      </c>
      <c r="D29" s="656">
        <v>5</v>
      </c>
      <c r="E29" s="656">
        <v>35</v>
      </c>
      <c r="F29" s="656">
        <v>24</v>
      </c>
      <c r="G29" s="656">
        <v>12</v>
      </c>
      <c r="H29" s="656">
        <v>19</v>
      </c>
      <c r="I29" s="656">
        <v>5</v>
      </c>
      <c r="J29" s="658">
        <v>25453.2</v>
      </c>
      <c r="K29" s="658">
        <v>9135.779999999999</v>
      </c>
      <c r="L29" s="659">
        <f t="shared" si="0"/>
      </c>
      <c r="M29" s="659">
        <f t="shared" si="2"/>
      </c>
      <c r="N29" s="659">
        <f t="shared" si="1"/>
      </c>
      <c r="O29" s="660"/>
      <c r="P29" s="642"/>
      <c r="Q29" s="649"/>
    </row>
    <row hidden="true" r="30">
      <c r="A30" s="655">
        <v>45936</v>
      </c>
      <c r="B30" s="656" t="s">
        <v>688</v>
      </c>
      <c r="C30" s="657" t="s">
        <v>689</v>
      </c>
      <c r="D30" s="656">
        <v>5</v>
      </c>
      <c r="E30" s="656">
        <v>57</v>
      </c>
      <c r="F30" s="656">
        <v>32</v>
      </c>
      <c r="G30" s="656">
        <v>22</v>
      </c>
      <c r="H30" s="656">
        <v>26</v>
      </c>
      <c r="I30" s="656">
        <v>4</v>
      </c>
      <c r="J30" s="658">
        <v>32389</v>
      </c>
      <c r="K30" s="658">
        <v>24171.07</v>
      </c>
      <c r="L30" s="659">
        <f t="shared" si="0"/>
      </c>
      <c r="M30" s="659">
        <f t="shared" si="2"/>
      </c>
      <c r="N30" s="659">
        <f t="shared" si="1"/>
      </c>
      <c r="O30" s="660" t="s">
        <v>690</v>
      </c>
      <c r="P30" s="646">
        <v>10</v>
      </c>
      <c r="Q30" s="650"/>
    </row>
    <row r="31">
      <c r="A31" s="662">
        <v>45936</v>
      </c>
      <c r="B31" s="663"/>
      <c r="C31" s="663"/>
      <c r="D31" s="663">
        <f>SUM(D27:D30)</f>
      </c>
      <c r="E31" s="663">
        <f>SUM(E27:E30)</f>
      </c>
      <c r="F31" s="663">
        <f>SUM(F27:F30)</f>
      </c>
      <c r="G31" s="663">
        <f>SUM(G27:G30)</f>
      </c>
      <c r="H31" s="663">
        <f>SUM(H27:H30)</f>
      </c>
      <c r="I31" s="663">
        <f>SUM(I27:I30)</f>
      </c>
      <c r="J31" s="663">
        <f>SUM(J27:J30)</f>
      </c>
      <c r="K31" s="663">
        <f>SUM(K27:K30)</f>
      </c>
      <c r="L31" s="664">
        <f t="shared" si="0"/>
      </c>
      <c r="M31" s="664">
        <f t="shared" si="2"/>
      </c>
      <c r="N31" s="664">
        <f t="shared" si="1"/>
      </c>
      <c r="O31" s="665"/>
      <c r="P31" s="652">
        <f>P27+P28+P29+P30</f>
      </c>
      <c r="Q31" s="654"/>
    </row>
    <row hidden="true" r="32">
      <c r="A32" s="655">
        <v>45937</v>
      </c>
      <c r="B32" s="656" t="s">
        <v>681</v>
      </c>
      <c r="C32" s="657" t="s">
        <v>682</v>
      </c>
      <c r="D32" s="656">
        <v>5</v>
      </c>
      <c r="E32" s="656">
        <v>53</v>
      </c>
      <c r="F32" s="656">
        <v>38</v>
      </c>
      <c r="G32" s="656">
        <v>27</v>
      </c>
      <c r="H32" s="656">
        <v>27</v>
      </c>
      <c r="I32" s="656">
        <v>5</v>
      </c>
      <c r="J32" s="658">
        <v>43343.8</v>
      </c>
      <c r="K32" s="658">
        <v>25874.04</v>
      </c>
      <c r="L32" s="659">
        <f t="shared" si="0"/>
      </c>
      <c r="M32" s="659">
        <f t="shared" si="2"/>
      </c>
      <c r="N32" s="659">
        <f t="shared" si="1"/>
      </c>
      <c r="O32" s="660" t="s">
        <v>683</v>
      </c>
      <c r="P32" s="642">
        <v>10</v>
      </c>
      <c r="Q32" s="647"/>
    </row>
    <row hidden="true" r="33">
      <c r="A33" s="655">
        <v>45937</v>
      </c>
      <c r="B33" s="656" t="s">
        <v>686</v>
      </c>
      <c r="C33" s="657" t="s">
        <v>685</v>
      </c>
      <c r="D33" s="656">
        <v>5</v>
      </c>
      <c r="E33" s="656">
        <v>83</v>
      </c>
      <c r="F33" s="656">
        <v>49</v>
      </c>
      <c r="G33" s="656">
        <v>39</v>
      </c>
      <c r="H33" s="656">
        <v>32</v>
      </c>
      <c r="I33" s="656">
        <v>4</v>
      </c>
      <c r="J33" s="658">
        <v>51578.2</v>
      </c>
      <c r="K33" s="658">
        <v>28733.370000000003</v>
      </c>
      <c r="L33" s="659">
        <f t="shared" si="0"/>
      </c>
      <c r="M33" s="659">
        <f t="shared" si="2"/>
      </c>
      <c r="N33" s="659">
        <f t="shared" si="1"/>
      </c>
      <c r="O33" s="661"/>
      <c r="P33" s="648"/>
      <c r="Q33" s="648"/>
    </row>
    <row hidden="true" r="34">
      <c r="A34" s="655">
        <v>45937</v>
      </c>
      <c r="B34" s="656" t="s">
        <v>691</v>
      </c>
      <c r="C34" s="657" t="s">
        <v>687</v>
      </c>
      <c r="D34" s="656">
        <v>5</v>
      </c>
      <c r="E34" s="656">
        <v>52</v>
      </c>
      <c r="F34" s="656">
        <v>33</v>
      </c>
      <c r="G34" s="656">
        <v>22</v>
      </c>
      <c r="H34" s="656">
        <v>23</v>
      </c>
      <c r="I34" s="656">
        <v>2</v>
      </c>
      <c r="J34" s="658">
        <v>37392</v>
      </c>
      <c r="K34" s="658">
        <v>19661.46</v>
      </c>
      <c r="L34" s="659">
        <f t="shared" si="0"/>
      </c>
      <c r="M34" s="659">
        <f t="shared" si="2"/>
      </c>
      <c r="N34" s="659">
        <f t="shared" si="1"/>
      </c>
      <c r="O34" s="660"/>
      <c r="P34" s="642"/>
      <c r="Q34" s="649"/>
    </row>
    <row hidden="true" r="35">
      <c r="A35" s="655">
        <v>45937</v>
      </c>
      <c r="B35" s="656" t="s">
        <v>688</v>
      </c>
      <c r="C35" s="657" t="s">
        <v>689</v>
      </c>
      <c r="D35" s="656">
        <v>5</v>
      </c>
      <c r="E35" s="656">
        <v>54</v>
      </c>
      <c r="F35" s="656">
        <v>41</v>
      </c>
      <c r="G35" s="656">
        <v>31</v>
      </c>
      <c r="H35" s="656">
        <v>33</v>
      </c>
      <c r="I35" s="656">
        <v>5</v>
      </c>
      <c r="J35" s="658">
        <v>37195.6</v>
      </c>
      <c r="K35" s="658">
        <v>15947.769999999997</v>
      </c>
      <c r="L35" s="659">
        <f t="shared" si="0"/>
      </c>
      <c r="M35" s="659">
        <f t="shared" si="2"/>
      </c>
      <c r="N35" s="659">
        <f t="shared" si="1"/>
      </c>
      <c r="O35" s="660" t="s">
        <v>690</v>
      </c>
      <c r="P35" s="646">
        <v>10</v>
      </c>
      <c r="Q35" s="650"/>
    </row>
    <row r="36">
      <c r="A36" s="662">
        <v>45937</v>
      </c>
      <c r="B36" s="663"/>
      <c r="C36" s="663"/>
      <c r="D36" s="663">
        <f>SUM(D32:D35)</f>
      </c>
      <c r="E36" s="663">
        <f>SUM(E32:E35)</f>
      </c>
      <c r="F36" s="663">
        <f>SUM(F32:F35)</f>
      </c>
      <c r="G36" s="663">
        <f>SUM(G32:G35)</f>
      </c>
      <c r="H36" s="663">
        <f>SUM(H32:H35)</f>
      </c>
      <c r="I36" s="663">
        <f>SUM(I32:I35)</f>
      </c>
      <c r="J36" s="663">
        <f>SUM(J32:J35)</f>
      </c>
      <c r="K36" s="663">
        <f>SUM(K32:K35)</f>
      </c>
      <c r="L36" s="664">
        <f t="shared" si="0"/>
      </c>
      <c r="M36" s="664">
        <f t="shared" si="2"/>
      </c>
      <c r="N36" s="664">
        <f t="shared" si="1"/>
      </c>
      <c r="O36" s="665"/>
      <c r="P36" s="652">
        <f>P32+P33+P34+P35</f>
      </c>
      <c r="Q36" s="654"/>
    </row>
    <row hidden="true" r="37">
      <c r="A37" s="655">
        <v>45938</v>
      </c>
      <c r="B37" s="656" t="s">
        <v>681</v>
      </c>
      <c r="C37" s="657" t="s">
        <v>682</v>
      </c>
      <c r="D37" s="656">
        <v>5</v>
      </c>
      <c r="E37" s="656">
        <v>96</v>
      </c>
      <c r="F37" s="656">
        <v>74</v>
      </c>
      <c r="G37" s="656">
        <v>53</v>
      </c>
      <c r="H37" s="656">
        <v>59</v>
      </c>
      <c r="I37" s="656">
        <v>9</v>
      </c>
      <c r="J37" s="658">
        <v>76047.6</v>
      </c>
      <c r="K37" s="658">
        <v>40103.020000000004</v>
      </c>
      <c r="L37" s="659">
        <f t="shared" si="0"/>
      </c>
      <c r="M37" s="659">
        <f t="shared" si="2"/>
      </c>
      <c r="N37" s="659">
        <f t="shared" si="1"/>
      </c>
      <c r="O37" s="660" t="s">
        <v>683</v>
      </c>
      <c r="P37" s="642">
        <v>10</v>
      </c>
      <c r="Q37" s="647"/>
    </row>
    <row hidden="true" r="38">
      <c r="A38" s="655">
        <v>45938</v>
      </c>
      <c r="B38" s="656" t="s">
        <v>691</v>
      </c>
      <c r="C38" s="657" t="s">
        <v>685</v>
      </c>
      <c r="D38" s="656">
        <v>5</v>
      </c>
      <c r="E38" s="656">
        <v>70</v>
      </c>
      <c r="F38" s="656">
        <v>47</v>
      </c>
      <c r="G38" s="656">
        <v>39</v>
      </c>
      <c r="H38" s="656">
        <v>39</v>
      </c>
      <c r="I38" s="656">
        <v>4</v>
      </c>
      <c r="J38" s="658">
        <v>47819.2</v>
      </c>
      <c r="K38" s="658">
        <v>32714.46</v>
      </c>
      <c r="L38" s="659">
        <f t="shared" si="0"/>
      </c>
      <c r="M38" s="659">
        <f t="shared" si="2"/>
      </c>
      <c r="N38" s="659">
        <f t="shared" si="1"/>
      </c>
      <c r="O38" s="661"/>
      <c r="P38" s="648"/>
      <c r="Q38" s="648"/>
    </row>
    <row hidden="true" r="39">
      <c r="A39" s="655">
        <v>45938</v>
      </c>
      <c r="B39" s="656" t="s">
        <v>688</v>
      </c>
      <c r="C39" s="657" t="s">
        <v>687</v>
      </c>
      <c r="D39" s="656">
        <v>5</v>
      </c>
      <c r="E39" s="656">
        <v>19</v>
      </c>
      <c r="F39" s="656">
        <v>13</v>
      </c>
      <c r="G39" s="656">
        <v>10</v>
      </c>
      <c r="H39" s="656">
        <v>12</v>
      </c>
      <c r="I39" s="656">
        <v>2</v>
      </c>
      <c r="J39" s="658">
        <v>10268</v>
      </c>
      <c r="K39" s="658">
        <v>14031.5</v>
      </c>
      <c r="L39" s="659">
        <f t="shared" si="0"/>
      </c>
      <c r="M39" s="659">
        <f t="shared" si="2"/>
      </c>
      <c r="N39" s="659">
        <f t="shared" si="1"/>
      </c>
      <c r="O39" s="660"/>
      <c r="P39" s="642"/>
      <c r="Q39" s="649"/>
    </row>
    <row hidden="true" r="40">
      <c r="A40" s="655">
        <v>45938</v>
      </c>
      <c r="B40" s="656" t="s">
        <v>686</v>
      </c>
      <c r="C40" s="657" t="s">
        <v>689</v>
      </c>
      <c r="D40" s="656">
        <v>5</v>
      </c>
      <c r="E40" s="656">
        <v>36</v>
      </c>
      <c r="F40" s="656">
        <v>26</v>
      </c>
      <c r="G40" s="656">
        <v>19</v>
      </c>
      <c r="H40" s="656">
        <v>17</v>
      </c>
      <c r="I40" s="656">
        <v>2</v>
      </c>
      <c r="J40" s="658">
        <v>29244.999999999996</v>
      </c>
      <c r="K40" s="658">
        <v>13645.460000000001</v>
      </c>
      <c r="L40" s="659">
        <f t="shared" si="0"/>
      </c>
      <c r="M40" s="659">
        <f t="shared" si="2"/>
      </c>
      <c r="N40" s="659">
        <f t="shared" si="1"/>
      </c>
      <c r="O40" s="660" t="s">
        <v>690</v>
      </c>
      <c r="P40" s="646">
        <v>10</v>
      </c>
      <c r="Q40" s="650"/>
    </row>
    <row r="41">
      <c r="A41" s="662">
        <v>45938</v>
      </c>
      <c r="B41" s="663"/>
      <c r="C41" s="663"/>
      <c r="D41" s="663">
        <f>SUM(D37:D40)</f>
      </c>
      <c r="E41" s="663">
        <f>SUM(E37:E40)</f>
      </c>
      <c r="F41" s="663">
        <f>SUM(F37:F40)</f>
      </c>
      <c r="G41" s="663">
        <f>SUM(G37:G40)</f>
      </c>
      <c r="H41" s="663">
        <f>SUM(H37:H40)</f>
      </c>
      <c r="I41" s="663">
        <f>SUM(I37:I40)</f>
      </c>
      <c r="J41" s="663">
        <f>SUM(J37:J40)</f>
      </c>
      <c r="K41" s="663">
        <f>SUM(K37:K40)</f>
      </c>
      <c r="L41" s="664">
        <f t="shared" si="0"/>
      </c>
      <c r="M41" s="664">
        <f t="shared" si="2"/>
      </c>
      <c r="N41" s="664">
        <f t="shared" si="1"/>
      </c>
      <c r="O41" s="665"/>
      <c r="P41" s="652">
        <f>P37+P38+P39+P40</f>
      </c>
      <c r="Q41" s="654"/>
    </row>
    <row hidden="true" r="42">
      <c r="A42" s="655">
        <v>45939</v>
      </c>
      <c r="B42" s="656" t="s">
        <v>681</v>
      </c>
      <c r="C42" s="657" t="s">
        <v>682</v>
      </c>
      <c r="D42" s="656">
        <v>5</v>
      </c>
      <c r="E42" s="656">
        <v>51</v>
      </c>
      <c r="F42" s="656">
        <v>32</v>
      </c>
      <c r="G42" s="656">
        <v>22</v>
      </c>
      <c r="H42" s="656">
        <v>15</v>
      </c>
      <c r="I42" s="656">
        <v>4</v>
      </c>
      <c r="J42" s="658">
        <v>56053.399999999994</v>
      </c>
      <c r="K42" s="658">
        <v>20923.489999999998</v>
      </c>
      <c r="L42" s="659">
        <f t="shared" si="0"/>
      </c>
      <c r="M42" s="659">
        <f t="shared" si="2"/>
      </c>
      <c r="N42" s="659">
        <f t="shared" si="1"/>
      </c>
      <c r="O42" s="660" t="s">
        <v>683</v>
      </c>
      <c r="P42" s="642">
        <v>10</v>
      </c>
      <c r="Q42" s="647"/>
    </row>
    <row hidden="true" r="43">
      <c r="A43" s="655">
        <v>45939</v>
      </c>
      <c r="B43" s="656" t="s">
        <v>688</v>
      </c>
      <c r="C43" s="657" t="s">
        <v>685</v>
      </c>
      <c r="D43" s="656">
        <v>5</v>
      </c>
      <c r="E43" s="656">
        <v>57</v>
      </c>
      <c r="F43" s="656">
        <v>37</v>
      </c>
      <c r="G43" s="656">
        <v>32</v>
      </c>
      <c r="H43" s="656">
        <v>26</v>
      </c>
      <c r="I43" s="656">
        <v>0</v>
      </c>
      <c r="J43" s="658">
        <v>42700.200000000004</v>
      </c>
      <c r="K43" s="658">
        <v>27797.92</v>
      </c>
      <c r="L43" s="659">
        <f t="shared" si="0"/>
      </c>
      <c r="M43" s="659">
        <f t="shared" si="2"/>
      </c>
      <c r="N43" s="659">
        <f t="shared" si="1"/>
      </c>
      <c r="O43" s="661"/>
      <c r="P43" s="648"/>
      <c r="Q43" s="648"/>
    </row>
    <row hidden="true" r="44">
      <c r="A44" s="655">
        <v>45939</v>
      </c>
      <c r="B44" s="656" t="s">
        <v>691</v>
      </c>
      <c r="C44" s="657" t="s">
        <v>687</v>
      </c>
      <c r="D44" s="656">
        <v>5</v>
      </c>
      <c r="E44" s="656">
        <v>45</v>
      </c>
      <c r="F44" s="656">
        <v>30</v>
      </c>
      <c r="G44" s="656">
        <v>23</v>
      </c>
      <c r="H44" s="656">
        <v>26</v>
      </c>
      <c r="I44" s="656">
        <v>2</v>
      </c>
      <c r="J44" s="658">
        <v>28367.6</v>
      </c>
      <c r="K44" s="658">
        <v>18261.370000000003</v>
      </c>
      <c r="L44" s="659">
        <f t="shared" si="0"/>
      </c>
      <c r="M44" s="659">
        <f t="shared" si="2"/>
      </c>
      <c r="N44" s="659">
        <f t="shared" si="1"/>
      </c>
      <c r="O44" s="660"/>
      <c r="P44" s="642"/>
      <c r="Q44" s="649"/>
    </row>
    <row hidden="true" r="45">
      <c r="A45" s="655">
        <v>45939</v>
      </c>
      <c r="B45" s="656" t="s">
        <v>686</v>
      </c>
      <c r="C45" s="657" t="s">
        <v>689</v>
      </c>
      <c r="D45" s="656">
        <v>5</v>
      </c>
      <c r="E45" s="656">
        <v>37</v>
      </c>
      <c r="F45" s="656">
        <v>32</v>
      </c>
      <c r="G45" s="656">
        <v>22</v>
      </c>
      <c r="H45" s="656">
        <v>25</v>
      </c>
      <c r="I45" s="656">
        <v>4</v>
      </c>
      <c r="J45" s="658">
        <v>38758.2</v>
      </c>
      <c r="K45" s="658">
        <v>15069.589999999998</v>
      </c>
      <c r="L45" s="659">
        <f t="shared" si="0"/>
      </c>
      <c r="M45" s="659">
        <f t="shared" si="2"/>
      </c>
      <c r="N45" s="659">
        <f t="shared" si="1"/>
      </c>
      <c r="O45" s="660" t="s">
        <v>690</v>
      </c>
      <c r="P45" s="646">
        <v>10</v>
      </c>
      <c r="Q45" s="650"/>
    </row>
    <row r="46">
      <c r="A46" s="662">
        <v>45939</v>
      </c>
      <c r="B46" s="663"/>
      <c r="C46" s="663"/>
      <c r="D46" s="663">
        <f>SUM(D42:D45)</f>
      </c>
      <c r="E46" s="663">
        <f>SUM(E42:E45)</f>
      </c>
      <c r="F46" s="663">
        <f>SUM(F42:F45)</f>
      </c>
      <c r="G46" s="663">
        <f>SUM(G42:G45)</f>
      </c>
      <c r="H46" s="663">
        <f>SUM(H42:H45)</f>
      </c>
      <c r="I46" s="663">
        <f>SUM(I42:I45)</f>
      </c>
      <c r="J46" s="663">
        <f>SUM(J42:J45)</f>
      </c>
      <c r="K46" s="663">
        <f>SUM(K42:K45)</f>
      </c>
      <c r="L46" s="664">
        <f t="shared" si="0"/>
      </c>
      <c r="M46" s="664">
        <f t="shared" si="2"/>
      </c>
      <c r="N46" s="664">
        <f t="shared" si="1"/>
      </c>
      <c r="O46" s="665"/>
      <c r="P46" s="652">
        <f>P42+P43+P44+P45</f>
      </c>
      <c r="Q46" s="654"/>
    </row>
    <row hidden="true" r="47">
      <c r="A47" s="655">
        <v>45940</v>
      </c>
      <c r="B47" s="656" t="s">
        <v>684</v>
      </c>
      <c r="C47" s="657" t="s">
        <v>682</v>
      </c>
      <c r="D47" s="656">
        <v>5</v>
      </c>
      <c r="E47" s="656">
        <v>41</v>
      </c>
      <c r="F47" s="656">
        <v>27</v>
      </c>
      <c r="G47" s="656">
        <v>21</v>
      </c>
      <c r="H47" s="656">
        <v>20</v>
      </c>
      <c r="I47" s="656">
        <v>1</v>
      </c>
      <c r="J47" s="658">
        <v>37922.59999999999</v>
      </c>
      <c r="K47" s="658">
        <v>21526.309999999998</v>
      </c>
      <c r="L47" s="659">
        <f t="shared" si="0"/>
      </c>
      <c r="M47" s="659">
        <f t="shared" si="2"/>
      </c>
      <c r="N47" s="659">
        <f t="shared" si="1"/>
      </c>
      <c r="O47" s="660" t="s">
        <v>683</v>
      </c>
      <c r="P47" s="642">
        <v>10</v>
      </c>
      <c r="Q47" s="647"/>
    </row>
    <row hidden="true" r="48">
      <c r="A48" s="655">
        <v>45940</v>
      </c>
      <c r="B48" s="656" t="s">
        <v>686</v>
      </c>
      <c r="C48" s="657" t="s">
        <v>685</v>
      </c>
      <c r="D48" s="656">
        <v>5</v>
      </c>
      <c r="E48" s="656">
        <v>68</v>
      </c>
      <c r="F48" s="656">
        <v>47</v>
      </c>
      <c r="G48" s="656">
        <v>34</v>
      </c>
      <c r="H48" s="656">
        <v>36</v>
      </c>
      <c r="I48" s="656">
        <v>4</v>
      </c>
      <c r="J48" s="658">
        <v>43644.399999999994</v>
      </c>
      <c r="K48" s="658">
        <v>23689.17</v>
      </c>
      <c r="L48" s="659">
        <f t="shared" si="0"/>
      </c>
      <c r="M48" s="659">
        <f t="shared" si="2"/>
      </c>
      <c r="N48" s="659">
        <f t="shared" si="1"/>
      </c>
      <c r="O48" s="661"/>
      <c r="P48" s="648"/>
      <c r="Q48" s="648"/>
    </row>
    <row hidden="true" r="49">
      <c r="A49" s="655">
        <v>45940</v>
      </c>
      <c r="B49" s="656" t="s">
        <v>691</v>
      </c>
      <c r="C49" s="657" t="s">
        <v>687</v>
      </c>
      <c r="D49" s="656">
        <v>5</v>
      </c>
      <c r="E49" s="656">
        <v>60</v>
      </c>
      <c r="F49" s="656">
        <v>38</v>
      </c>
      <c r="G49" s="656">
        <v>33</v>
      </c>
      <c r="H49" s="656">
        <v>30</v>
      </c>
      <c r="I49" s="656">
        <v>4</v>
      </c>
      <c r="J49" s="658">
        <v>41783.6</v>
      </c>
      <c r="K49" s="658">
        <v>21449.620000000003</v>
      </c>
      <c r="L49" s="659">
        <f t="shared" si="0"/>
      </c>
      <c r="M49" s="659">
        <f t="shared" si="2"/>
      </c>
      <c r="N49" s="659">
        <f t="shared" si="1"/>
      </c>
      <c r="O49" s="660"/>
      <c r="P49" s="642"/>
      <c r="Q49" s="649"/>
    </row>
    <row hidden="true" r="50">
      <c r="A50" s="655">
        <v>45940</v>
      </c>
      <c r="B50" s="656" t="s">
        <v>688</v>
      </c>
      <c r="C50" s="657" t="s">
        <v>689</v>
      </c>
      <c r="D50" s="656">
        <v>5</v>
      </c>
      <c r="E50" s="656">
        <v>68</v>
      </c>
      <c r="F50" s="656">
        <v>46</v>
      </c>
      <c r="G50" s="656">
        <v>30</v>
      </c>
      <c r="H50" s="656">
        <v>30</v>
      </c>
      <c r="I50" s="656">
        <v>6</v>
      </c>
      <c r="J50" s="658">
        <v>49334.399999999994</v>
      </c>
      <c r="K50" s="658">
        <v>20925.9</v>
      </c>
      <c r="L50" s="659">
        <f t="shared" si="0"/>
      </c>
      <c r="M50" s="659">
        <f t="shared" si="2"/>
      </c>
      <c r="N50" s="659">
        <f t="shared" si="1"/>
      </c>
      <c r="O50" s="660" t="s">
        <v>690</v>
      </c>
      <c r="P50" s="646">
        <v>10</v>
      </c>
      <c r="Q50" s="650"/>
    </row>
    <row r="51">
      <c r="A51" s="662">
        <v>45940</v>
      </c>
      <c r="B51" s="663"/>
      <c r="C51" s="663"/>
      <c r="D51" s="663">
        <f>SUM(D47:D50)</f>
      </c>
      <c r="E51" s="663">
        <f>SUM(E47:E50)</f>
      </c>
      <c r="F51" s="663">
        <f>SUM(F47:F50)</f>
      </c>
      <c r="G51" s="663">
        <f>SUM(G47:G50)</f>
      </c>
      <c r="H51" s="663">
        <f>SUM(H47:H50)</f>
      </c>
      <c r="I51" s="663">
        <f>SUM(I47:I50)</f>
      </c>
      <c r="J51" s="663">
        <f>SUM(J47:J50)</f>
      </c>
      <c r="K51" s="663">
        <f>SUM(K47:K50)</f>
      </c>
      <c r="L51" s="664">
        <f t="shared" si="0"/>
      </c>
      <c r="M51" s="664">
        <f t="shared" si="2"/>
      </c>
      <c r="N51" s="664">
        <f t="shared" si="1"/>
      </c>
      <c r="O51" s="665"/>
      <c r="P51" s="652">
        <f>P47+P48+P49+P50</f>
      </c>
      <c r="Q51" s="654"/>
    </row>
    <row hidden="true" r="52">
      <c r="A52" s="655">
        <v>45941</v>
      </c>
      <c r="B52" s="656" t="s">
        <v>684</v>
      </c>
      <c r="C52" s="657" t="s">
        <v>682</v>
      </c>
      <c r="D52" s="656">
        <v>5</v>
      </c>
      <c r="E52" s="656">
        <v>39</v>
      </c>
      <c r="F52" s="656">
        <v>28</v>
      </c>
      <c r="G52" s="656">
        <v>24</v>
      </c>
      <c r="H52" s="656">
        <v>25</v>
      </c>
      <c r="I52" s="656">
        <v>2</v>
      </c>
      <c r="J52" s="658">
        <v>26048.6</v>
      </c>
      <c r="K52" s="658">
        <v>22351.89</v>
      </c>
      <c r="L52" s="659">
        <f t="shared" si="0"/>
      </c>
      <c r="M52" s="659">
        <f t="shared" si="2"/>
      </c>
      <c r="N52" s="659">
        <f t="shared" si="1"/>
      </c>
      <c r="O52" s="660" t="s">
        <v>683</v>
      </c>
      <c r="P52" s="642">
        <v>10</v>
      </c>
      <c r="Q52" s="647"/>
    </row>
    <row hidden="true" r="53">
      <c r="A53" s="655">
        <v>45941</v>
      </c>
      <c r="B53" s="656" t="s">
        <v>686</v>
      </c>
      <c r="C53" s="657" t="s">
        <v>685</v>
      </c>
      <c r="D53" s="656">
        <v>5</v>
      </c>
      <c r="E53" s="656">
        <v>30</v>
      </c>
      <c r="F53" s="656">
        <v>20</v>
      </c>
      <c r="G53" s="656">
        <v>17</v>
      </c>
      <c r="H53" s="656">
        <v>20</v>
      </c>
      <c r="I53" s="656">
        <v>2</v>
      </c>
      <c r="J53" s="658">
        <v>14232.4</v>
      </c>
      <c r="K53" s="658">
        <v>18018.120000000003</v>
      </c>
      <c r="L53" s="659">
        <f t="shared" si="0"/>
      </c>
      <c r="M53" s="659">
        <f t="shared" si="2"/>
      </c>
      <c r="N53" s="659">
        <f t="shared" si="1"/>
      </c>
      <c r="O53" s="661"/>
      <c r="P53" s="648"/>
      <c r="Q53" s="648"/>
    </row>
    <row hidden="true" r="54">
      <c r="A54" s="655">
        <v>45941</v>
      </c>
      <c r="B54" s="656" t="s">
        <v>691</v>
      </c>
      <c r="C54" s="657" t="s">
        <v>687</v>
      </c>
      <c r="D54" s="656">
        <v>5</v>
      </c>
      <c r="E54" s="656">
        <v>42</v>
      </c>
      <c r="F54" s="656">
        <v>33</v>
      </c>
      <c r="G54" s="656">
        <v>22</v>
      </c>
      <c r="H54" s="656">
        <v>28</v>
      </c>
      <c r="I54" s="656">
        <v>5</v>
      </c>
      <c r="J54" s="658">
        <v>31792</v>
      </c>
      <c r="K54" s="658">
        <v>16974.4</v>
      </c>
      <c r="L54" s="659">
        <f t="shared" si="0"/>
      </c>
      <c r="M54" s="659">
        <f t="shared" si="2"/>
      </c>
      <c r="N54" s="659">
        <f t="shared" si="1"/>
      </c>
      <c r="O54" s="660"/>
      <c r="P54" s="642"/>
      <c r="Q54" s="649"/>
    </row>
    <row hidden="true" r="55">
      <c r="A55" s="655">
        <v>45941</v>
      </c>
      <c r="B55" s="656" t="s">
        <v>688</v>
      </c>
      <c r="C55" s="657" t="s">
        <v>689</v>
      </c>
      <c r="D55" s="656">
        <v>5</v>
      </c>
      <c r="E55" s="656">
        <v>35</v>
      </c>
      <c r="F55" s="656">
        <v>22</v>
      </c>
      <c r="G55" s="656">
        <v>16</v>
      </c>
      <c r="H55" s="656">
        <v>18</v>
      </c>
      <c r="I55" s="656">
        <v>1</v>
      </c>
      <c r="J55" s="658">
        <v>18985.2</v>
      </c>
      <c r="K55" s="658">
        <v>15001.43</v>
      </c>
      <c r="L55" s="659">
        <f t="shared" si="0"/>
      </c>
      <c r="M55" s="659">
        <f t="shared" si="2"/>
      </c>
      <c r="N55" s="659">
        <f t="shared" si="1"/>
      </c>
      <c r="O55" s="660" t="s">
        <v>690</v>
      </c>
      <c r="P55" s="646">
        <v>10</v>
      </c>
      <c r="Q55" s="650"/>
    </row>
    <row r="56">
      <c r="A56" s="662">
        <v>45941</v>
      </c>
      <c r="B56" s="663"/>
      <c r="C56" s="663"/>
      <c r="D56" s="663">
        <f>SUM(D52:D55)</f>
      </c>
      <c r="E56" s="663">
        <f>SUM(E52:E55)</f>
      </c>
      <c r="F56" s="663">
        <f>SUM(F52:F55)</f>
      </c>
      <c r="G56" s="663">
        <f>SUM(G52:G55)</f>
      </c>
      <c r="H56" s="663">
        <f>SUM(H52:H55)</f>
      </c>
      <c r="I56" s="663">
        <f>SUM(I52:I55)</f>
      </c>
      <c r="J56" s="663">
        <f>SUM(J52:J55)</f>
      </c>
      <c r="K56" s="663">
        <f>SUM(K52:K55)</f>
      </c>
      <c r="L56" s="664">
        <f t="shared" si="0"/>
      </c>
      <c r="M56" s="664">
        <f t="shared" si="2"/>
      </c>
      <c r="N56" s="664">
        <f t="shared" si="1"/>
      </c>
      <c r="O56" s="665"/>
      <c r="P56" s="652">
        <f>P52+P53+P54+P55</f>
      </c>
      <c r="Q56" s="654"/>
    </row>
    <row hidden="true" r="57">
      <c r="A57" s="655">
        <v>45942</v>
      </c>
      <c r="B57" s="656" t="s">
        <v>684</v>
      </c>
      <c r="C57" s="657" t="s">
        <v>682</v>
      </c>
      <c r="D57" s="656">
        <v>5</v>
      </c>
      <c r="E57" s="656">
        <v>48</v>
      </c>
      <c r="F57" s="656">
        <v>34</v>
      </c>
      <c r="G57" s="656">
        <v>25</v>
      </c>
      <c r="H57" s="656">
        <v>25</v>
      </c>
      <c r="I57" s="656">
        <v>3</v>
      </c>
      <c r="J57" s="658">
        <v>39428.6</v>
      </c>
      <c r="K57" s="658">
        <v>20098.549999999996</v>
      </c>
      <c r="L57" s="659">
        <f t="shared" si="0"/>
      </c>
      <c r="M57" s="659">
        <f t="shared" si="2"/>
      </c>
      <c r="N57" s="659">
        <f t="shared" si="1"/>
      </c>
      <c r="O57" s="660" t="s">
        <v>692</v>
      </c>
      <c r="P57" s="642">
        <v>10</v>
      </c>
      <c r="Q57" s="647"/>
    </row>
    <row hidden="true" r="58">
      <c r="A58" s="655">
        <v>45942</v>
      </c>
      <c r="B58" s="656" t="s">
        <v>691</v>
      </c>
      <c r="C58" s="657" t="s">
        <v>685</v>
      </c>
      <c r="D58" s="656">
        <v>5</v>
      </c>
      <c r="E58" s="656">
        <v>67</v>
      </c>
      <c r="F58" s="656">
        <v>44</v>
      </c>
      <c r="G58" s="656">
        <v>37</v>
      </c>
      <c r="H58" s="656">
        <v>31</v>
      </c>
      <c r="I58" s="656">
        <v>3</v>
      </c>
      <c r="J58" s="658">
        <v>44246.799999999996</v>
      </c>
      <c r="K58" s="658">
        <v>27830.28</v>
      </c>
      <c r="L58" s="659">
        <f t="shared" si="0"/>
      </c>
      <c r="M58" s="659">
        <f t="shared" si="2"/>
      </c>
      <c r="N58" s="659">
        <f t="shared" si="1"/>
      </c>
      <c r="O58" s="661"/>
      <c r="P58" s="648"/>
      <c r="Q58" s="648"/>
    </row>
    <row hidden="true" r="59">
      <c r="A59" s="655">
        <v>45942</v>
      </c>
      <c r="B59" s="656" t="s">
        <v>686</v>
      </c>
      <c r="C59" s="657" t="s">
        <v>687</v>
      </c>
      <c r="D59" s="656">
        <v>5</v>
      </c>
      <c r="E59" s="656">
        <v>26</v>
      </c>
      <c r="F59" s="656">
        <v>18</v>
      </c>
      <c r="G59" s="656">
        <v>15</v>
      </c>
      <c r="H59" s="656">
        <v>11</v>
      </c>
      <c r="I59" s="656">
        <v>0</v>
      </c>
      <c r="J59" s="658">
        <v>23770.4</v>
      </c>
      <c r="K59" s="658">
        <v>17080.059999999998</v>
      </c>
      <c r="L59" s="659">
        <f t="shared" si="0"/>
      </c>
      <c r="M59" s="659">
        <f t="shared" si="2"/>
      </c>
      <c r="N59" s="659">
        <f t="shared" si="1"/>
      </c>
      <c r="O59" s="660"/>
      <c r="P59" s="642"/>
      <c r="Q59" s="649"/>
    </row>
    <row hidden="true" r="60">
      <c r="A60" s="655">
        <v>45942</v>
      </c>
      <c r="B60" s="656" t="s">
        <v>688</v>
      </c>
      <c r="C60" s="657" t="s">
        <v>689</v>
      </c>
      <c r="D60" s="656">
        <v>5</v>
      </c>
      <c r="E60" s="656">
        <v>21</v>
      </c>
      <c r="F60" s="656">
        <v>13</v>
      </c>
      <c r="G60" s="656">
        <v>12</v>
      </c>
      <c r="H60" s="656">
        <v>8</v>
      </c>
      <c r="I60" s="656">
        <v>0</v>
      </c>
      <c r="J60" s="658">
        <v>13346.600000000002</v>
      </c>
      <c r="K60" s="658">
        <v>10771.91</v>
      </c>
      <c r="L60" s="659">
        <f t="shared" si="0"/>
      </c>
      <c r="M60" s="659">
        <f t="shared" si="2"/>
      </c>
      <c r="N60" s="659">
        <f t="shared" si="1"/>
      </c>
      <c r="O60" s="660" t="s">
        <v>690</v>
      </c>
      <c r="P60" s="646">
        <v>10</v>
      </c>
      <c r="Q60" s="650"/>
    </row>
    <row r="61">
      <c r="A61" s="662">
        <v>45942</v>
      </c>
      <c r="B61" s="663"/>
      <c r="C61" s="663"/>
      <c r="D61" s="663">
        <f>SUM(D57:D60)</f>
      </c>
      <c r="E61" s="663">
        <f>SUM(E57:E60)</f>
      </c>
      <c r="F61" s="663">
        <f>SUM(F57:F60)</f>
      </c>
      <c r="G61" s="663">
        <f>SUM(G57:G60)</f>
      </c>
      <c r="H61" s="663">
        <f>SUM(H57:H60)</f>
      </c>
      <c r="I61" s="663">
        <f>SUM(I57:I60)</f>
      </c>
      <c r="J61" s="663">
        <f>SUM(J57:J60)</f>
      </c>
      <c r="K61" s="663">
        <f>SUM(K57:K60)</f>
      </c>
      <c r="L61" s="664">
        <f t="shared" si="0"/>
      </c>
      <c r="M61" s="664">
        <f t="shared" si="2"/>
      </c>
      <c r="N61" s="664">
        <f t="shared" si="1"/>
      </c>
      <c r="O61" s="665"/>
      <c r="P61" s="652">
        <f>P57+P58+P59+P60</f>
      </c>
      <c r="Q61" s="654"/>
    </row>
    <row hidden="true" r="62">
      <c r="A62" s="655">
        <v>45943</v>
      </c>
      <c r="B62" s="656" t="s">
        <v>684</v>
      </c>
      <c r="C62" s="657" t="s">
        <v>682</v>
      </c>
      <c r="D62" s="656">
        <v>5</v>
      </c>
      <c r="E62" s="656">
        <v>42</v>
      </c>
      <c r="F62" s="656">
        <v>33</v>
      </c>
      <c r="G62" s="656">
        <v>25</v>
      </c>
      <c r="H62" s="656">
        <v>27</v>
      </c>
      <c r="I62" s="656">
        <v>3</v>
      </c>
      <c r="J62" s="658">
        <v>30337.2</v>
      </c>
      <c r="K62" s="658">
        <v>18859.309999999998</v>
      </c>
      <c r="L62" s="659">
        <f t="shared" si="0"/>
      </c>
      <c r="M62" s="659">
        <f t="shared" si="2"/>
      </c>
      <c r="N62" s="659">
        <f t="shared" si="1"/>
      </c>
      <c r="O62" s="660" t="s">
        <v>683</v>
      </c>
      <c r="P62" s="642">
        <v>10</v>
      </c>
      <c r="Q62" s="647"/>
    </row>
    <row hidden="true" r="63">
      <c r="A63" s="655">
        <v>45943</v>
      </c>
      <c r="B63" s="656" t="s">
        <v>686</v>
      </c>
      <c r="C63" s="657" t="s">
        <v>685</v>
      </c>
      <c r="D63" s="656">
        <v>5</v>
      </c>
      <c r="E63" s="656">
        <v>41</v>
      </c>
      <c r="F63" s="656">
        <v>27</v>
      </c>
      <c r="G63" s="656">
        <v>19</v>
      </c>
      <c r="H63" s="656">
        <v>20</v>
      </c>
      <c r="I63" s="656">
        <v>4</v>
      </c>
      <c r="J63" s="658">
        <v>25551.2</v>
      </c>
      <c r="K63" s="658">
        <v>15533.7</v>
      </c>
      <c r="L63" s="659">
        <f t="shared" si="0"/>
      </c>
      <c r="M63" s="659">
        <f t="shared" si="2"/>
      </c>
      <c r="N63" s="659">
        <f t="shared" si="1"/>
      </c>
      <c r="O63" s="661"/>
      <c r="P63" s="648"/>
      <c r="Q63" s="648"/>
    </row>
    <row hidden="true" r="64">
      <c r="A64" s="655">
        <v>45943</v>
      </c>
      <c r="B64" s="656" t="s">
        <v>691</v>
      </c>
      <c r="C64" s="657" t="s">
        <v>687</v>
      </c>
      <c r="D64" s="656">
        <v>5</v>
      </c>
      <c r="E64" s="656">
        <v>37</v>
      </c>
      <c r="F64" s="656">
        <v>34</v>
      </c>
      <c r="G64" s="656">
        <v>23</v>
      </c>
      <c r="H64" s="656">
        <v>28</v>
      </c>
      <c r="I64" s="656">
        <v>4</v>
      </c>
      <c r="J64" s="658">
        <v>32546.600000000002</v>
      </c>
      <c r="K64" s="658">
        <v>15750.559999999998</v>
      </c>
      <c r="L64" s="659">
        <f t="shared" si="0"/>
      </c>
      <c r="M64" s="659">
        <f t="shared" si="2"/>
      </c>
      <c r="N64" s="659">
        <f t="shared" si="1"/>
      </c>
      <c r="O64" s="660"/>
      <c r="P64" s="642"/>
      <c r="Q64" s="649"/>
    </row>
    <row hidden="true" r="65">
      <c r="A65" s="655">
        <v>45943</v>
      </c>
      <c r="B65" s="656" t="s">
        <v>688</v>
      </c>
      <c r="C65" s="657" t="s">
        <v>689</v>
      </c>
      <c r="D65" s="656">
        <v>5</v>
      </c>
      <c r="E65" s="656">
        <v>25</v>
      </c>
      <c r="F65" s="656">
        <v>19</v>
      </c>
      <c r="G65" s="656">
        <v>16</v>
      </c>
      <c r="H65" s="656">
        <v>12</v>
      </c>
      <c r="I65" s="656">
        <v>2</v>
      </c>
      <c r="J65" s="658">
        <v>34756.8</v>
      </c>
      <c r="K65" s="658">
        <v>14873.270000000002</v>
      </c>
      <c r="L65" s="659">
        <f t="shared" si="0"/>
      </c>
      <c r="M65" s="659">
        <f t="shared" si="2"/>
      </c>
      <c r="N65" s="659">
        <f t="shared" si="1"/>
      </c>
      <c r="O65" s="660" t="s">
        <v>690</v>
      </c>
      <c r="P65" s="646">
        <v>10</v>
      </c>
      <c r="Q65" s="650"/>
    </row>
    <row r="66">
      <c r="A66" s="662">
        <v>45943</v>
      </c>
      <c r="B66" s="663"/>
      <c r="C66" s="663"/>
      <c r="D66" s="663">
        <f>SUM(D62:D65)</f>
      </c>
      <c r="E66" s="663">
        <f>SUM(E62:E65)</f>
      </c>
      <c r="F66" s="663">
        <f>SUM(F62:F65)</f>
      </c>
      <c r="G66" s="663">
        <f>SUM(G62:G65)</f>
      </c>
      <c r="H66" s="663">
        <f>SUM(H62:H65)</f>
      </c>
      <c r="I66" s="663">
        <f>SUM(I62:I65)</f>
      </c>
      <c r="J66" s="663">
        <f>SUM(J62:J65)</f>
      </c>
      <c r="K66" s="663">
        <f>SUM(K62:K65)</f>
      </c>
      <c r="L66" s="664">
        <f t="shared" si="0"/>
      </c>
      <c r="M66" s="664">
        <f t="shared" si="2"/>
      </c>
      <c r="N66" s="664">
        <f t="shared" si="1"/>
      </c>
      <c r="O66" s="665"/>
      <c r="P66" s="652">
        <f>P62+P63+P64+P65</f>
      </c>
      <c r="Q66" s="654"/>
    </row>
    <row hidden="true" r="67">
      <c r="A67" s="655">
        <v>45944</v>
      </c>
      <c r="B67" s="656" t="s">
        <v>684</v>
      </c>
      <c r="C67" s="657" t="s">
        <v>682</v>
      </c>
      <c r="D67" s="656">
        <v>5</v>
      </c>
      <c r="E67" s="656">
        <v>35</v>
      </c>
      <c r="F67" s="656">
        <v>26</v>
      </c>
      <c r="G67" s="656">
        <v>22</v>
      </c>
      <c r="H67" s="656">
        <v>21</v>
      </c>
      <c r="I67" s="656">
        <v>1</v>
      </c>
      <c r="J67" s="658">
        <v>20835.600000000002</v>
      </c>
      <c r="K67" s="658">
        <v>19381.14</v>
      </c>
      <c r="L67" s="659">
        <f t="shared" si="0"/>
      </c>
      <c r="M67" s="659">
        <f t="shared" si="2"/>
      </c>
      <c r="N67" s="659">
        <f t="shared" si="1"/>
      </c>
      <c r="O67" s="660" t="s">
        <v>683</v>
      </c>
      <c r="P67" s="642">
        <v>10</v>
      </c>
      <c r="Q67" s="647"/>
    </row>
    <row hidden="true" r="68">
      <c r="A68" s="655">
        <v>45944</v>
      </c>
      <c r="B68" s="656" t="s">
        <v>691</v>
      </c>
      <c r="C68" s="657" t="s">
        <v>685</v>
      </c>
      <c r="D68" s="656">
        <v>5</v>
      </c>
      <c r="E68" s="656">
        <v>68</v>
      </c>
      <c r="F68" s="656">
        <v>47</v>
      </c>
      <c r="G68" s="656">
        <v>33</v>
      </c>
      <c r="H68" s="656">
        <v>40</v>
      </c>
      <c r="I68" s="656">
        <v>6</v>
      </c>
      <c r="J68" s="658">
        <v>39824.399999999994</v>
      </c>
      <c r="K68" s="658">
        <v>27669.66</v>
      </c>
      <c r="L68" s="659">
        <f t="shared" si="0"/>
      </c>
      <c r="M68" s="659">
        <f t="shared" si="2"/>
      </c>
      <c r="N68" s="659">
        <f t="shared" si="1"/>
      </c>
      <c r="O68" s="661"/>
      <c r="P68" s="648"/>
      <c r="Q68" s="648"/>
    </row>
    <row hidden="true" r="69">
      <c r="A69" s="655">
        <v>45944</v>
      </c>
      <c r="B69" s="656" t="s">
        <v>686</v>
      </c>
      <c r="C69" s="657" t="s">
        <v>687</v>
      </c>
      <c r="D69" s="656">
        <v>5</v>
      </c>
      <c r="E69" s="656">
        <v>33</v>
      </c>
      <c r="F69" s="656">
        <v>19</v>
      </c>
      <c r="G69" s="656">
        <v>18</v>
      </c>
      <c r="H69" s="656">
        <v>17</v>
      </c>
      <c r="I69" s="656">
        <v>1</v>
      </c>
      <c r="J69" s="658">
        <v>11647.6</v>
      </c>
      <c r="K69" s="658">
        <v>15798.61</v>
      </c>
      <c r="L69" s="659">
        <f t="shared" si="0"/>
      </c>
      <c r="M69" s="659">
        <f t="shared" si="2"/>
      </c>
      <c r="N69" s="659">
        <f t="shared" si="1"/>
      </c>
      <c r="O69" s="660"/>
      <c r="P69" s="642"/>
      <c r="Q69" s="649"/>
    </row>
    <row hidden="true" r="70">
      <c r="A70" s="655">
        <v>45944</v>
      </c>
      <c r="B70" s="656" t="s">
        <v>688</v>
      </c>
      <c r="C70" s="657" t="s">
        <v>689</v>
      </c>
      <c r="D70" s="656">
        <v>5</v>
      </c>
      <c r="E70" s="656">
        <v>33</v>
      </c>
      <c r="F70" s="656">
        <v>22</v>
      </c>
      <c r="G70" s="656">
        <v>20</v>
      </c>
      <c r="H70" s="656">
        <v>11</v>
      </c>
      <c r="I70" s="656">
        <v>0</v>
      </c>
      <c r="J70" s="658">
        <v>27883.000000000004</v>
      </c>
      <c r="K70" s="658">
        <v>14062.539999999999</v>
      </c>
      <c r="L70" s="659">
        <f t="shared" si="0"/>
      </c>
      <c r="M70" s="659">
        <f t="shared" si="2"/>
      </c>
      <c r="N70" s="659">
        <f t="shared" si="1"/>
      </c>
      <c r="O70" s="660" t="s">
        <v>690</v>
      </c>
      <c r="P70" s="646">
        <v>10</v>
      </c>
      <c r="Q70" s="650"/>
    </row>
    <row r="71">
      <c r="A71" s="662">
        <v>45944</v>
      </c>
      <c r="B71" s="663"/>
      <c r="C71" s="663"/>
      <c r="D71" s="663">
        <f>SUM(D67:D70)</f>
      </c>
      <c r="E71" s="663">
        <f>SUM(E67:E70)</f>
      </c>
      <c r="F71" s="663">
        <f>SUM(F67:F70)</f>
      </c>
      <c r="G71" s="663">
        <f>SUM(G67:G70)</f>
      </c>
      <c r="H71" s="663">
        <f>SUM(H67:H70)</f>
      </c>
      <c r="I71" s="663">
        <f>SUM(I67:I70)</f>
      </c>
      <c r="J71" s="663">
        <f>SUM(J67:J70)</f>
      </c>
      <c r="K71" s="663">
        <f>SUM(K67:K70)</f>
      </c>
      <c r="L71" s="664">
        <f t="shared" si="0"/>
      </c>
      <c r="M71" s="664">
        <f t="shared" si="2"/>
      </c>
      <c r="N71" s="664">
        <f t="shared" si="1"/>
      </c>
      <c r="O71" s="665"/>
      <c r="P71" s="652">
        <f>P67+P68+P69+P70</f>
      </c>
      <c r="Q71" s="654"/>
    </row>
    <row hidden="true" r="72">
      <c r="A72" s="655">
        <v>45945</v>
      </c>
      <c r="B72" s="656" t="s">
        <v>686</v>
      </c>
      <c r="C72" s="657" t="s">
        <v>682</v>
      </c>
      <c r="D72" s="656">
        <v>5</v>
      </c>
      <c r="E72" s="656">
        <v>61</v>
      </c>
      <c r="F72" s="656">
        <v>50</v>
      </c>
      <c r="G72" s="656">
        <v>41</v>
      </c>
      <c r="H72" s="656">
        <v>41</v>
      </c>
      <c r="I72" s="656">
        <v>4</v>
      </c>
      <c r="J72" s="658">
        <v>42363.2</v>
      </c>
      <c r="K72" s="658">
        <v>27564.489999999998</v>
      </c>
      <c r="L72" s="659">
        <f t="shared" si="0"/>
      </c>
      <c r="M72" s="659">
        <f t="shared" si="2"/>
      </c>
      <c r="N72" s="659">
        <f t="shared" si="1"/>
      </c>
      <c r="O72" s="660" t="s">
        <v>683</v>
      </c>
      <c r="P72" s="642">
        <v>10</v>
      </c>
      <c r="Q72" s="647"/>
    </row>
    <row hidden="true" r="73">
      <c r="A73" s="655">
        <v>45945</v>
      </c>
      <c r="B73" s="656" t="s">
        <v>688</v>
      </c>
      <c r="C73" s="657" t="s">
        <v>685</v>
      </c>
      <c r="D73" s="656">
        <v>5</v>
      </c>
      <c r="E73" s="656">
        <v>69</v>
      </c>
      <c r="F73" s="656">
        <v>48</v>
      </c>
      <c r="G73" s="656">
        <v>30</v>
      </c>
      <c r="H73" s="656">
        <v>35</v>
      </c>
      <c r="I73" s="656">
        <v>7</v>
      </c>
      <c r="J73" s="658">
        <v>51259.600000000006</v>
      </c>
      <c r="K73" s="658">
        <v>22924.05</v>
      </c>
      <c r="L73" s="659">
        <f t="shared" si="0"/>
      </c>
      <c r="M73" s="659">
        <f t="shared" si="2"/>
      </c>
      <c r="N73" s="659">
        <f t="shared" si="1"/>
      </c>
      <c r="O73" s="661"/>
      <c r="P73" s="648"/>
      <c r="Q73" s="648"/>
    </row>
    <row hidden="true" r="74">
      <c r="A74" s="655">
        <v>45945</v>
      </c>
      <c r="B74" s="656" t="s">
        <v>691</v>
      </c>
      <c r="C74" s="657" t="s">
        <v>689</v>
      </c>
      <c r="D74" s="656">
        <v>5</v>
      </c>
      <c r="E74" s="656">
        <v>64</v>
      </c>
      <c r="F74" s="656">
        <v>48</v>
      </c>
      <c r="G74" s="656">
        <v>28</v>
      </c>
      <c r="H74" s="656">
        <v>36</v>
      </c>
      <c r="I74" s="656">
        <v>9</v>
      </c>
      <c r="J74" s="658">
        <v>54557.8</v>
      </c>
      <c r="K74" s="658">
        <v>24307.770000000004</v>
      </c>
      <c r="L74" s="659">
        <f t="shared" si="0"/>
      </c>
      <c r="M74" s="659">
        <f t="shared" si="2"/>
      </c>
      <c r="N74" s="659">
        <f t="shared" si="1"/>
      </c>
      <c r="O74" s="660" t="s">
        <v>690</v>
      </c>
      <c r="P74" s="646">
        <v>5</v>
      </c>
      <c r="Q74" s="650"/>
    </row>
    <row r="75">
      <c r="A75" s="662">
        <v>45945</v>
      </c>
      <c r="B75" s="663"/>
      <c r="C75" s="663"/>
      <c r="D75" s="663">
        <f>SUM(D72:D74)</f>
      </c>
      <c r="E75" s="663">
        <f>SUM(E72:E74)</f>
      </c>
      <c r="F75" s="663">
        <f>SUM(F72:F74)</f>
      </c>
      <c r="G75" s="663">
        <f>SUM(G72:G74)</f>
      </c>
      <c r="H75" s="663">
        <f>SUM(H72:H74)</f>
      </c>
      <c r="I75" s="663">
        <f>SUM(I72:I74)</f>
      </c>
      <c r="J75" s="663">
        <f>SUM(J72:J74)</f>
      </c>
      <c r="K75" s="663">
        <f>SUM(K72:K74)</f>
      </c>
      <c r="L75" s="664">
        <f t="shared" si="0"/>
      </c>
      <c r="M75" s="664">
        <f t="shared" si="2"/>
      </c>
      <c r="N75" s="664">
        <f t="shared" si="1"/>
      </c>
      <c r="O75" s="665"/>
      <c r="P75" s="652">
        <f>P74+P72</f>
      </c>
      <c r="Q75" s="654"/>
    </row>
    <row hidden="true" r="76">
      <c r="A76" s="655">
        <v>45946</v>
      </c>
      <c r="B76" s="656" t="s">
        <v>684</v>
      </c>
      <c r="C76" s="657" t="s">
        <v>682</v>
      </c>
      <c r="D76" s="656">
        <v>5</v>
      </c>
      <c r="E76" s="656">
        <v>47</v>
      </c>
      <c r="F76" s="656">
        <v>32</v>
      </c>
      <c r="G76" s="656">
        <v>28</v>
      </c>
      <c r="H76" s="656">
        <v>22</v>
      </c>
      <c r="I76" s="656">
        <v>0</v>
      </c>
      <c r="J76" s="658">
        <v>28657.8</v>
      </c>
      <c r="K76" s="658">
        <v>19726.1</v>
      </c>
      <c r="L76" s="659">
        <f t="shared" si="0"/>
      </c>
      <c r="M76" s="659">
        <f t="shared" si="2"/>
      </c>
      <c r="N76" s="659">
        <f t="shared" si="1"/>
      </c>
      <c r="O76" s="660" t="s">
        <v>683</v>
      </c>
      <c r="P76" s="642">
        <v>10</v>
      </c>
      <c r="Q76" s="647"/>
    </row>
    <row hidden="true" r="77">
      <c r="A77" s="655">
        <v>45946</v>
      </c>
      <c r="B77" s="656" t="s">
        <v>691</v>
      </c>
      <c r="C77" s="657" t="s">
        <v>685</v>
      </c>
      <c r="D77" s="656">
        <v>5</v>
      </c>
      <c r="E77" s="656">
        <v>35</v>
      </c>
      <c r="F77" s="656">
        <v>21</v>
      </c>
      <c r="G77" s="656">
        <v>20</v>
      </c>
      <c r="H77" s="656">
        <v>17</v>
      </c>
      <c r="I77" s="656">
        <v>2</v>
      </c>
      <c r="J77" s="658">
        <v>20638.199999999997</v>
      </c>
      <c r="K77" s="658">
        <v>19587.27</v>
      </c>
      <c r="L77" s="659">
        <f t="shared" si="0"/>
      </c>
      <c r="M77" s="659">
        <f t="shared" si="2"/>
      </c>
      <c r="N77" s="659">
        <f t="shared" si="1"/>
      </c>
      <c r="O77" s="661"/>
      <c r="P77" s="648"/>
      <c r="Q77" s="648"/>
    </row>
    <row hidden="true" r="78">
      <c r="A78" s="655">
        <v>45946</v>
      </c>
      <c r="B78" s="656" t="s">
        <v>686</v>
      </c>
      <c r="C78" s="657" t="s">
        <v>687</v>
      </c>
      <c r="D78" s="656">
        <v>5</v>
      </c>
      <c r="E78" s="656">
        <v>53</v>
      </c>
      <c r="F78" s="656">
        <v>41</v>
      </c>
      <c r="G78" s="656">
        <v>25</v>
      </c>
      <c r="H78" s="656">
        <v>27</v>
      </c>
      <c r="I78" s="656">
        <v>3</v>
      </c>
      <c r="J78" s="658">
        <v>52025</v>
      </c>
      <c r="K78" s="658">
        <v>19583.21</v>
      </c>
      <c r="L78" s="659">
        <f t="shared" si="0"/>
      </c>
      <c r="M78" s="659">
        <f t="shared" si="2"/>
      </c>
      <c r="N78" s="659">
        <f t="shared" si="1"/>
      </c>
      <c r="O78" s="660"/>
      <c r="P78" s="642"/>
      <c r="Q78" s="649"/>
    </row>
    <row hidden="true" r="79">
      <c r="A79" s="655">
        <v>45946</v>
      </c>
      <c r="B79" s="656" t="s">
        <v>688</v>
      </c>
      <c r="C79" s="657" t="s">
        <v>689</v>
      </c>
      <c r="D79" s="656">
        <v>5</v>
      </c>
      <c r="E79" s="656">
        <v>45</v>
      </c>
      <c r="F79" s="656">
        <v>28</v>
      </c>
      <c r="G79" s="656">
        <v>22</v>
      </c>
      <c r="H79" s="656">
        <v>21</v>
      </c>
      <c r="I79" s="656">
        <v>3</v>
      </c>
      <c r="J79" s="658">
        <v>35673</v>
      </c>
      <c r="K79" s="658">
        <v>19487.67</v>
      </c>
      <c r="L79" s="659">
        <f t="shared" si="0"/>
      </c>
      <c r="M79" s="659">
        <f t="shared" si="2"/>
      </c>
      <c r="N79" s="659">
        <f t="shared" si="1"/>
      </c>
      <c r="O79" s="660" t="s">
        <v>690</v>
      </c>
      <c r="P79" s="646">
        <v>10</v>
      </c>
      <c r="Q79" s="650"/>
    </row>
    <row r="80">
      <c r="A80" s="662">
        <v>45946</v>
      </c>
      <c r="B80" s="663"/>
      <c r="C80" s="663"/>
      <c r="D80" s="663">
        <f>SUM(D76:D79)</f>
      </c>
      <c r="E80" s="663">
        <f>SUM(E76:E79)</f>
      </c>
      <c r="F80" s="663">
        <f>SUM(F76:F79)</f>
      </c>
      <c r="G80" s="663">
        <f>SUM(G76:G79)</f>
      </c>
      <c r="H80" s="663">
        <f>SUM(H76:H79)</f>
      </c>
      <c r="I80" s="663">
        <f>SUM(I76:I79)</f>
      </c>
      <c r="J80" s="663">
        <f>SUM(J76:J79)</f>
      </c>
      <c r="K80" s="663">
        <f>SUM(K76:K79)</f>
      </c>
      <c r="L80" s="664">
        <f t="shared" si="0"/>
      </c>
      <c r="M80" s="664">
        <f t="shared" si="2"/>
      </c>
      <c r="N80" s="664">
        <f t="shared" si="1"/>
      </c>
      <c r="O80" s="665"/>
      <c r="P80" s="652">
        <f>P76+P77+P78+P79</f>
      </c>
      <c r="Q80" s="654"/>
    </row>
    <row hidden="true" r="81">
      <c r="A81" s="655">
        <v>45947</v>
      </c>
      <c r="B81" s="656" t="s">
        <v>686</v>
      </c>
      <c r="C81" s="657" t="s">
        <v>693</v>
      </c>
      <c r="D81" s="656">
        <v>5</v>
      </c>
      <c r="E81" s="656">
        <v>44</v>
      </c>
      <c r="F81" s="656">
        <v>34</v>
      </c>
      <c r="G81" s="656">
        <v>22</v>
      </c>
      <c r="H81" s="656">
        <v>27</v>
      </c>
      <c r="I81" s="656">
        <v>5</v>
      </c>
      <c r="J81" s="658">
        <v>27832.199999999997</v>
      </c>
      <c r="K81" s="658">
        <v>19166.5</v>
      </c>
      <c r="L81" s="659">
        <f t="shared" si="0"/>
      </c>
      <c r="M81" s="659">
        <f t="shared" si="2"/>
      </c>
      <c r="N81" s="659">
        <f t="shared" si="1"/>
      </c>
      <c r="O81" s="660" t="s">
        <v>694</v>
      </c>
      <c r="P81" s="646">
        <v>2.8</v>
      </c>
      <c r="Q81" s="648"/>
    </row>
    <row hidden="true" r="82">
      <c r="A82" s="655">
        <v>45947</v>
      </c>
      <c r="B82" s="656" t="s">
        <v>684</v>
      </c>
      <c r="C82" s="657" t="s">
        <v>695</v>
      </c>
      <c r="D82" s="656">
        <v>5</v>
      </c>
      <c r="E82" s="656">
        <v>52</v>
      </c>
      <c r="F82" s="656">
        <v>37</v>
      </c>
      <c r="G82" s="656">
        <v>28</v>
      </c>
      <c r="H82" s="656">
        <v>27</v>
      </c>
      <c r="I82" s="656">
        <v>2</v>
      </c>
      <c r="J82" s="658">
        <v>40608.4</v>
      </c>
      <c r="K82" s="658">
        <v>18471.56</v>
      </c>
      <c r="L82" s="659">
        <f t="shared" si="0"/>
      </c>
      <c r="M82" s="659">
        <f t="shared" si="2"/>
      </c>
      <c r="N82" s="659">
        <f t="shared" si="1"/>
      </c>
      <c r="O82" s="660"/>
      <c r="P82" s="642"/>
      <c r="Q82" s="649"/>
    </row>
    <row hidden="true" r="83">
      <c r="A83" s="655">
        <v>45947</v>
      </c>
      <c r="B83" s="656" t="s">
        <v>688</v>
      </c>
      <c r="C83" s="657" t="s">
        <v>696</v>
      </c>
      <c r="D83" s="656">
        <v>5</v>
      </c>
      <c r="E83" s="656">
        <v>46</v>
      </c>
      <c r="F83" s="656">
        <v>36</v>
      </c>
      <c r="G83" s="656">
        <v>26</v>
      </c>
      <c r="H83" s="656">
        <v>27</v>
      </c>
      <c r="I83" s="656">
        <v>6</v>
      </c>
      <c r="J83" s="658">
        <v>47608.399999999994</v>
      </c>
      <c r="K83" s="658">
        <v>19615.210000000003</v>
      </c>
      <c r="L83" s="659">
        <f t="shared" si="0"/>
      </c>
      <c r="M83" s="659">
        <f t="shared" si="2"/>
      </c>
      <c r="N83" s="659">
        <f t="shared" si="1"/>
      </c>
      <c r="O83" s="660" t="s">
        <v>697</v>
      </c>
      <c r="P83" s="646">
        <v>8</v>
      </c>
      <c r="Q83" s="650"/>
    </row>
    <row r="84">
      <c r="A84" s="662">
        <v>45947</v>
      </c>
      <c r="B84" s="663"/>
      <c r="C84" s="663"/>
      <c r="D84" s="663">
        <f>SUM(D81:D83)</f>
      </c>
      <c r="E84" s="663">
        <f>SUM(E81:E83)</f>
      </c>
      <c r="F84" s="663">
        <f>SUM(F81:F83)</f>
      </c>
      <c r="G84" s="663">
        <f>SUM(G81:G83)</f>
      </c>
      <c r="H84" s="663">
        <f>SUM(H81:H83)</f>
      </c>
      <c r="I84" s="663">
        <f>SUM(I81:I83)</f>
      </c>
      <c r="J84" s="663">
        <f>SUM(J81:J83)</f>
      </c>
      <c r="K84" s="663">
        <f>SUM(K81:K83)</f>
      </c>
      <c r="L84" s="664">
        <f t="shared" si="0"/>
      </c>
      <c r="M84" s="664">
        <f t="shared" si="2"/>
      </c>
      <c r="N84" s="664">
        <f t="shared" si="1"/>
      </c>
      <c r="O84" s="665"/>
      <c r="P84" s="652">
        <f>P81+P82+P83</f>
      </c>
      <c r="Q84" s="654"/>
    </row>
    <row hidden="true" r="85">
      <c r="A85" s="655">
        <v>45948</v>
      </c>
      <c r="B85" s="656" t="s">
        <v>688</v>
      </c>
      <c r="C85" s="657" t="s">
        <v>695</v>
      </c>
      <c r="D85" s="656">
        <v>5</v>
      </c>
      <c r="E85" s="656">
        <v>20</v>
      </c>
      <c r="F85" s="656">
        <v>14</v>
      </c>
      <c r="G85" s="656">
        <v>11</v>
      </c>
      <c r="H85" s="656">
        <v>9</v>
      </c>
      <c r="I85" s="656">
        <v>1</v>
      </c>
      <c r="J85" s="658">
        <v>16003.8</v>
      </c>
      <c r="K85" s="658">
        <v>14045.94</v>
      </c>
      <c r="L85" s="659">
        <f t="shared" si="0"/>
      </c>
      <c r="M85" s="659">
        <f t="shared" si="2"/>
      </c>
      <c r="N85" s="659">
        <f t="shared" si="1"/>
      </c>
      <c r="O85" s="660" t="s">
        <v>698</v>
      </c>
      <c r="P85" s="642">
        <v>4</v>
      </c>
      <c r="Q85" s="649"/>
    </row>
    <row hidden="true" r="86">
      <c r="A86" s="655">
        <v>45948</v>
      </c>
      <c r="B86" s="656" t="s">
        <v>684</v>
      </c>
      <c r="C86" s="657" t="s">
        <v>699</v>
      </c>
      <c r="D86" s="656">
        <v>2</v>
      </c>
      <c r="E86" s="656">
        <v>7</v>
      </c>
      <c r="F86" s="656">
        <v>4</v>
      </c>
      <c r="G86" s="656">
        <v>2</v>
      </c>
      <c r="H86" s="656">
        <v>4</v>
      </c>
      <c r="I86" s="656">
        <v>1</v>
      </c>
      <c r="J86" s="658">
        <v>3672</v>
      </c>
      <c r="K86" s="658">
        <v>4463.17</v>
      </c>
      <c r="L86" s="659">
        <f t="shared" si="0"/>
      </c>
      <c r="M86" s="659">
        <f t="shared" si="2"/>
      </c>
      <c r="N86" s="659">
        <f t="shared" si="1"/>
      </c>
      <c r="O86" s="660" t="s">
        <v>697</v>
      </c>
      <c r="P86" s="646">
        <v>3</v>
      </c>
      <c r="Q86" s="650"/>
    </row>
    <row r="87">
      <c r="A87" s="662">
        <v>45948</v>
      </c>
      <c r="B87" s="663"/>
      <c r="C87" s="663"/>
      <c r="D87" s="663">
        <f>SUM(D85:D86)</f>
      </c>
      <c r="E87" s="663">
        <f>SUM(E85:E86)</f>
      </c>
      <c r="F87" s="663">
        <f>SUM(F85:F86)</f>
      </c>
      <c r="G87" s="663">
        <f>SUM(G85:G86)</f>
      </c>
      <c r="H87" s="663">
        <f>SUM(H85:H86)</f>
      </c>
      <c r="I87" s="663">
        <f>SUM(I85:I86)</f>
      </c>
      <c r="J87" s="663">
        <f>SUM(J85:J86)</f>
      </c>
      <c r="K87" s="663">
        <f>SUM(K85:K86)</f>
      </c>
      <c r="L87" s="664">
        <f t="shared" si="0"/>
      </c>
      <c r="M87" s="664">
        <f t="shared" si="2"/>
      </c>
      <c r="N87" s="664">
        <f t="shared" si="1"/>
      </c>
      <c r="O87" s="665"/>
      <c r="P87" s="666"/>
      <c r="Q87" s="654"/>
    </row>
    <row hidden="true" r="88">
      <c r="A88" s="641">
        <v>45950</v>
      </c>
      <c r="B88" s="642" t="s">
        <v>684</v>
      </c>
      <c r="C88" s="643" t="s">
        <v>682</v>
      </c>
      <c r="D88" s="642">
        <v>5</v>
      </c>
      <c r="E88" s="642">
        <v>32</v>
      </c>
      <c r="F88" s="642">
        <v>28</v>
      </c>
      <c r="G88" s="642">
        <v>22</v>
      </c>
      <c r="H88" s="642">
        <v>26</v>
      </c>
      <c r="I88" s="642">
        <v>3</v>
      </c>
      <c r="J88" s="644">
        <v>30964</v>
      </c>
      <c r="K88" s="644">
        <v>16836.760000000002</v>
      </c>
      <c r="L88" s="645">
        <f t="shared" si="0"/>
      </c>
      <c r="M88" s="645">
        <f t="shared" si="2"/>
      </c>
      <c r="N88" s="645">
        <f t="shared" si="1"/>
      </c>
      <c r="O88" s="646" t="s">
        <v>692</v>
      </c>
      <c r="P88" s="642">
        <v>10</v>
      </c>
      <c r="Q88" s="647"/>
    </row>
    <row hidden="true" r="89">
      <c r="A89" s="641">
        <v>45950</v>
      </c>
      <c r="B89" s="642" t="s">
        <v>688</v>
      </c>
      <c r="C89" s="643" t="s">
        <v>685</v>
      </c>
      <c r="D89" s="642">
        <v>5</v>
      </c>
      <c r="E89" s="642">
        <v>39</v>
      </c>
      <c r="F89" s="642">
        <v>33</v>
      </c>
      <c r="G89" s="642">
        <v>22</v>
      </c>
      <c r="H89" s="642">
        <v>30</v>
      </c>
      <c r="I89" s="642">
        <v>6</v>
      </c>
      <c r="J89" s="644">
        <v>27677.4</v>
      </c>
      <c r="K89" s="644">
        <v>19642.55</v>
      </c>
      <c r="L89" s="645">
        <f t="shared" si="0"/>
      </c>
      <c r="M89" s="645">
        <f t="shared" si="2"/>
      </c>
      <c r="N89" s="645">
        <f t="shared" si="1"/>
      </c>
      <c r="O89" s="648"/>
      <c r="P89" s="648"/>
      <c r="Q89" s="648"/>
    </row>
    <row hidden="true" r="90">
      <c r="A90" s="641">
        <v>45950</v>
      </c>
      <c r="B90" s="642" t="s">
        <v>681</v>
      </c>
      <c r="C90" s="643" t="s">
        <v>700</v>
      </c>
      <c r="D90" s="642">
        <v>3</v>
      </c>
      <c r="E90" s="642">
        <v>18</v>
      </c>
      <c r="F90" s="642">
        <v>13</v>
      </c>
      <c r="G90" s="642">
        <v>11</v>
      </c>
      <c r="H90" s="642">
        <v>9</v>
      </c>
      <c r="I90" s="642">
        <v>1</v>
      </c>
      <c r="J90" s="644">
        <v>17210.4</v>
      </c>
      <c r="K90" s="644">
        <v>9608.689999999999</v>
      </c>
      <c r="L90" s="645">
        <f t="shared" si="0"/>
      </c>
      <c r="M90" s="645">
        <f t="shared" si="2"/>
      </c>
      <c r="N90" s="645">
        <f t="shared" si="1"/>
      </c>
      <c r="O90" s="646"/>
      <c r="P90" s="642"/>
      <c r="Q90" s="649"/>
    </row>
    <row hidden="true" r="91">
      <c r="A91" s="641">
        <v>45950</v>
      </c>
      <c r="B91" s="642" t="s">
        <v>686</v>
      </c>
      <c r="C91" s="643" t="s">
        <v>689</v>
      </c>
      <c r="D91" s="642">
        <v>5</v>
      </c>
      <c r="E91" s="642">
        <v>38</v>
      </c>
      <c r="F91" s="642">
        <v>21</v>
      </c>
      <c r="G91" s="642">
        <v>15</v>
      </c>
      <c r="H91" s="642">
        <v>11</v>
      </c>
      <c r="I91" s="642">
        <v>2</v>
      </c>
      <c r="J91" s="644">
        <v>24670.4</v>
      </c>
      <c r="K91" s="644">
        <v>13474.64</v>
      </c>
      <c r="L91" s="645">
        <f t="shared" si="0"/>
      </c>
      <c r="M91" s="645">
        <f t="shared" si="2"/>
      </c>
      <c r="N91" s="645">
        <f t="shared" si="1"/>
      </c>
      <c r="O91" s="646" t="s">
        <v>701</v>
      </c>
      <c r="P91" s="646">
        <v>8</v>
      </c>
      <c r="Q91" s="650"/>
    </row>
    <row r="92">
      <c r="A92" s="651">
        <v>45950</v>
      </c>
      <c r="B92" s="652"/>
      <c r="C92" s="652"/>
      <c r="D92" s="652">
        <f>SUM(D88:D91)</f>
      </c>
      <c r="E92" s="652">
        <f>SUM(E88:E91)</f>
      </c>
      <c r="F92" s="652">
        <f>SUM(F88:F91)</f>
      </c>
      <c r="G92" s="652">
        <f>SUM(G88:G91)</f>
      </c>
      <c r="H92" s="652">
        <f>SUM(H88:H91)</f>
      </c>
      <c r="I92" s="652">
        <f>SUM(I88:I91)</f>
      </c>
      <c r="J92" s="652">
        <f>SUM(J88:J91)</f>
      </c>
      <c r="K92" s="652">
        <f>SUM(K88:K91)</f>
      </c>
      <c r="L92" s="653">
        <f t="shared" si="0"/>
      </c>
      <c r="M92" s="653">
        <f t="shared" si="2"/>
      </c>
      <c r="N92" s="653">
        <f t="shared" si="1"/>
      </c>
      <c r="O92" s="654"/>
      <c r="P92" s="652">
        <f>P88+P89+P90+P91</f>
      </c>
      <c r="Q92" s="654"/>
    </row>
    <row hidden="true" r="93">
      <c r="A93" s="641">
        <v>45951</v>
      </c>
      <c r="B93" s="642" t="s">
        <v>681</v>
      </c>
      <c r="C93" s="643" t="s">
        <v>682</v>
      </c>
      <c r="D93" s="642">
        <v>5</v>
      </c>
      <c r="E93" s="642">
        <v>33</v>
      </c>
      <c r="F93" s="642">
        <v>20</v>
      </c>
      <c r="G93" s="642">
        <v>18</v>
      </c>
      <c r="H93" s="642">
        <v>13</v>
      </c>
      <c r="I93" s="642">
        <v>1</v>
      </c>
      <c r="J93" s="644">
        <v>22956.399999999998</v>
      </c>
      <c r="K93" s="644">
        <v>15580.59</v>
      </c>
      <c r="L93" s="645">
        <f t="shared" si="0"/>
      </c>
      <c r="M93" s="645">
        <f t="shared" si="2"/>
      </c>
      <c r="N93" s="645">
        <f t="shared" si="1"/>
      </c>
      <c r="O93" s="646" t="s">
        <v>692</v>
      </c>
      <c r="P93" s="642">
        <v>10</v>
      </c>
      <c r="Q93" s="647"/>
    </row>
    <row hidden="true" r="94">
      <c r="A94" s="641">
        <v>45951</v>
      </c>
      <c r="B94" s="642" t="s">
        <v>686</v>
      </c>
      <c r="C94" s="643" t="s">
        <v>685</v>
      </c>
      <c r="D94" s="642">
        <v>5</v>
      </c>
      <c r="E94" s="642">
        <v>35</v>
      </c>
      <c r="F94" s="642">
        <v>28</v>
      </c>
      <c r="G94" s="642">
        <v>26</v>
      </c>
      <c r="H94" s="642">
        <v>25</v>
      </c>
      <c r="I94" s="642">
        <v>0</v>
      </c>
      <c r="J94" s="644">
        <v>23001.8</v>
      </c>
      <c r="K94" s="644">
        <v>17883.43</v>
      </c>
      <c r="L94" s="645">
        <f t="shared" si="0"/>
      </c>
      <c r="M94" s="645">
        <f t="shared" si="2"/>
      </c>
      <c r="N94" s="645">
        <f t="shared" si="1"/>
      </c>
      <c r="O94" s="648"/>
      <c r="P94" s="648"/>
      <c r="Q94" s="648"/>
    </row>
    <row hidden="true" r="95">
      <c r="A95" s="641">
        <v>45951</v>
      </c>
      <c r="B95" s="642" t="s">
        <v>691</v>
      </c>
      <c r="C95" s="643" t="s">
        <v>687</v>
      </c>
      <c r="D95" s="642">
        <v>5</v>
      </c>
      <c r="E95" s="642">
        <v>26</v>
      </c>
      <c r="F95" s="642">
        <v>20</v>
      </c>
      <c r="G95" s="642">
        <v>17</v>
      </c>
      <c r="H95" s="642">
        <v>18</v>
      </c>
      <c r="I95" s="642">
        <v>0</v>
      </c>
      <c r="J95" s="644">
        <v>16348.8</v>
      </c>
      <c r="K95" s="644">
        <v>15928.31</v>
      </c>
      <c r="L95" s="645">
        <f t="shared" si="0"/>
      </c>
      <c r="M95" s="645">
        <f t="shared" si="2"/>
      </c>
      <c r="N95" s="645">
        <f t="shared" si="1"/>
      </c>
      <c r="O95" s="646"/>
      <c r="P95" s="642"/>
      <c r="Q95" s="649"/>
    </row>
    <row hidden="true" r="96">
      <c r="A96" s="641">
        <v>45951</v>
      </c>
      <c r="B96" s="642" t="s">
        <v>684</v>
      </c>
      <c r="C96" s="643" t="s">
        <v>689</v>
      </c>
      <c r="D96" s="642">
        <v>5</v>
      </c>
      <c r="E96" s="642">
        <v>28</v>
      </c>
      <c r="F96" s="642">
        <v>24</v>
      </c>
      <c r="G96" s="642">
        <v>16</v>
      </c>
      <c r="H96" s="642">
        <v>19</v>
      </c>
      <c r="I96" s="642">
        <v>4</v>
      </c>
      <c r="J96" s="644">
        <v>21210.6</v>
      </c>
      <c r="K96" s="644">
        <v>12900.24</v>
      </c>
      <c r="L96" s="645">
        <f t="shared" si="0"/>
      </c>
      <c r="M96" s="645">
        <f t="shared" si="2"/>
      </c>
      <c r="N96" s="645">
        <f t="shared" si="1"/>
      </c>
      <c r="O96" s="646" t="s">
        <v>701</v>
      </c>
      <c r="P96" s="646">
        <v>10</v>
      </c>
      <c r="Q96" s="650"/>
    </row>
    <row r="97">
      <c r="A97" s="651">
        <v>45951</v>
      </c>
      <c r="B97" s="652"/>
      <c r="C97" s="652"/>
      <c r="D97" s="652">
        <f>SUM(D93:D96)</f>
      </c>
      <c r="E97" s="652">
        <f>SUM(E93:E96)</f>
      </c>
      <c r="F97" s="652">
        <f>SUM(F93:F96)</f>
      </c>
      <c r="G97" s="652">
        <f>SUM(G93:G96)</f>
      </c>
      <c r="H97" s="652">
        <f>SUM(H93:H96)</f>
      </c>
      <c r="I97" s="652">
        <f>SUM(I93:I96)</f>
      </c>
      <c r="J97" s="652">
        <f>SUM(J93:J96)</f>
      </c>
      <c r="K97" s="652">
        <f>SUM(K93:K96)</f>
      </c>
      <c r="L97" s="653">
        <f t="shared" si="0"/>
      </c>
      <c r="M97" s="653">
        <f t="shared" si="2"/>
      </c>
      <c r="N97" s="653">
        <f t="shared" si="1"/>
      </c>
      <c r="O97" s="654"/>
      <c r="P97" s="652">
        <f>P93+P94+P95+P96</f>
      </c>
      <c r="Q97" s="654"/>
    </row>
    <row hidden="true" r="98">
      <c r="A98" s="641">
        <v>45953</v>
      </c>
      <c r="B98" s="642" t="s">
        <v>681</v>
      </c>
      <c r="C98" s="643" t="s">
        <v>702</v>
      </c>
      <c r="D98" s="642">
        <v>5</v>
      </c>
      <c r="E98" s="642">
        <v>21</v>
      </c>
      <c r="F98" s="642">
        <v>18</v>
      </c>
      <c r="G98" s="642">
        <v>14</v>
      </c>
      <c r="H98" s="642">
        <v>14</v>
      </c>
      <c r="I98" s="642">
        <v>0</v>
      </c>
      <c r="J98" s="644">
        <v>17051.2</v>
      </c>
      <c r="K98" s="644">
        <v>16936.69</v>
      </c>
      <c r="L98" s="645">
        <f t="shared" si="0"/>
      </c>
      <c r="M98" s="645">
        <f t="shared" si="2"/>
      </c>
      <c r="N98" s="645">
        <f t="shared" si="1"/>
      </c>
      <c r="O98" s="646" t="s">
        <v>698</v>
      </c>
      <c r="P98" s="642">
        <v>9</v>
      </c>
      <c r="Q98" s="647"/>
    </row>
    <row hidden="true" r="99">
      <c r="A99" s="641">
        <v>45953</v>
      </c>
      <c r="B99" s="642" t="s">
        <v>684</v>
      </c>
      <c r="C99" s="643" t="s">
        <v>703</v>
      </c>
      <c r="D99" s="642">
        <v>5</v>
      </c>
      <c r="E99" s="642">
        <v>28</v>
      </c>
      <c r="F99" s="642">
        <v>24</v>
      </c>
      <c r="G99" s="642">
        <v>19</v>
      </c>
      <c r="H99" s="642">
        <v>20</v>
      </c>
      <c r="I99" s="642">
        <v>1</v>
      </c>
      <c r="J99" s="644">
        <v>26815.600000000002</v>
      </c>
      <c r="K99" s="644">
        <v>15548.060000000001</v>
      </c>
      <c r="L99" s="645">
        <f t="shared" si="0"/>
      </c>
      <c r="M99" s="645">
        <f t="shared" si="2"/>
      </c>
      <c r="N99" s="645">
        <f t="shared" si="1"/>
      </c>
      <c r="O99" s="648"/>
      <c r="P99" s="648"/>
      <c r="Q99" s="648"/>
    </row>
    <row hidden="true" r="100">
      <c r="A100" s="641">
        <v>45953</v>
      </c>
      <c r="B100" s="642" t="s">
        <v>686</v>
      </c>
      <c r="C100" s="643" t="s">
        <v>704</v>
      </c>
      <c r="D100" s="642">
        <v>4</v>
      </c>
      <c r="E100" s="642">
        <v>39</v>
      </c>
      <c r="F100" s="642">
        <v>29</v>
      </c>
      <c r="G100" s="642">
        <v>20</v>
      </c>
      <c r="H100" s="642">
        <v>26</v>
      </c>
      <c r="I100" s="642">
        <v>5</v>
      </c>
      <c r="J100" s="644">
        <v>23393</v>
      </c>
      <c r="K100" s="644">
        <v>11464.04</v>
      </c>
      <c r="L100" s="645">
        <f t="shared" si="0"/>
      </c>
      <c r="M100" s="645">
        <f t="shared" si="2"/>
      </c>
      <c r="N100" s="645">
        <f t="shared" si="1"/>
      </c>
      <c r="O100" s="646"/>
      <c r="P100" s="642"/>
      <c r="Q100" s="649"/>
    </row>
    <row hidden="true" r="101">
      <c r="A101" s="641">
        <v>45953</v>
      </c>
      <c r="B101" s="642" t="s">
        <v>688</v>
      </c>
      <c r="C101" s="643" t="s">
        <v>689</v>
      </c>
      <c r="D101" s="642">
        <v>5</v>
      </c>
      <c r="E101" s="642">
        <v>43</v>
      </c>
      <c r="F101" s="642">
        <v>27</v>
      </c>
      <c r="G101" s="642">
        <v>20</v>
      </c>
      <c r="H101" s="642">
        <v>20</v>
      </c>
      <c r="I101" s="642">
        <v>3</v>
      </c>
      <c r="J101" s="644">
        <v>29814.399999999998</v>
      </c>
      <c r="K101" s="644">
        <v>15884.16</v>
      </c>
      <c r="L101" s="645">
        <f t="shared" si="0"/>
      </c>
      <c r="M101" s="645">
        <f t="shared" si="2"/>
      </c>
      <c r="N101" s="645">
        <f t="shared" si="1"/>
      </c>
      <c r="O101" s="646" t="s">
        <v>701</v>
      </c>
      <c r="P101" s="646">
        <v>10</v>
      </c>
      <c r="Q101" s="650"/>
    </row>
    <row r="102">
      <c r="A102" s="651">
        <v>45953</v>
      </c>
      <c r="B102" s="652"/>
      <c r="C102" s="652"/>
      <c r="D102" s="652">
        <f>SUM(D98:D101)</f>
      </c>
      <c r="E102" s="652">
        <f>SUM(E98:E101)</f>
      </c>
      <c r="F102" s="652">
        <f>SUM(F98:F101)</f>
      </c>
      <c r="G102" s="652">
        <f>SUM(G98:G101)</f>
      </c>
      <c r="H102" s="652">
        <f>SUM(H98:H101)</f>
      </c>
      <c r="I102" s="652">
        <f>SUM(I98:I101)</f>
      </c>
      <c r="J102" s="652">
        <f>SUM(J98:J101)</f>
      </c>
      <c r="K102" s="652">
        <f>SUM(K98:K101)</f>
      </c>
      <c r="L102" s="653">
        <f t="shared" si="0"/>
      </c>
      <c r="M102" s="653">
        <f t="shared" si="2"/>
      </c>
      <c r="N102" s="653">
        <f t="shared" si="1"/>
      </c>
      <c r="O102" s="654"/>
      <c r="P102" s="652">
        <f>P98+P99+P100+P101</f>
      </c>
      <c r="Q102" s="654"/>
    </row>
    <row hidden="true" r="103">
      <c r="A103" s="641">
        <v>45954</v>
      </c>
      <c r="B103" s="642" t="s">
        <v>681</v>
      </c>
      <c r="C103" s="643" t="s">
        <v>682</v>
      </c>
      <c r="D103" s="642">
        <v>5</v>
      </c>
      <c r="E103" s="642">
        <v>54</v>
      </c>
      <c r="F103" s="642">
        <v>41</v>
      </c>
      <c r="G103" s="642">
        <v>24</v>
      </c>
      <c r="H103" s="642">
        <v>24</v>
      </c>
      <c r="I103" s="642">
        <v>9</v>
      </c>
      <c r="J103" s="644">
        <v>47221.399999999994</v>
      </c>
      <c r="K103" s="644">
        <v>17354.1</v>
      </c>
      <c r="L103" s="645">
        <f t="shared" si="0"/>
      </c>
      <c r="M103" s="645">
        <f t="shared" si="2"/>
      </c>
      <c r="N103" s="645">
        <f t="shared" si="1"/>
      </c>
      <c r="O103" s="646" t="s">
        <v>705</v>
      </c>
      <c r="P103" s="642">
        <v>10</v>
      </c>
      <c r="Q103" s="647"/>
    </row>
    <row hidden="true" r="104">
      <c r="A104" s="641">
        <v>45954</v>
      </c>
      <c r="B104" s="642" t="s">
        <v>684</v>
      </c>
      <c r="C104" s="643" t="s">
        <v>685</v>
      </c>
      <c r="D104" s="642">
        <v>5</v>
      </c>
      <c r="E104" s="642">
        <v>44</v>
      </c>
      <c r="F104" s="642">
        <v>36</v>
      </c>
      <c r="G104" s="642">
        <v>27</v>
      </c>
      <c r="H104" s="642">
        <v>31</v>
      </c>
      <c r="I104" s="642">
        <v>4</v>
      </c>
      <c r="J104" s="644">
        <v>30876.4</v>
      </c>
      <c r="K104" s="644">
        <v>17894.1</v>
      </c>
      <c r="L104" s="645">
        <f t="shared" si="0"/>
      </c>
      <c r="M104" s="645">
        <f t="shared" si="2"/>
      </c>
      <c r="N104" s="645">
        <f t="shared" si="1"/>
      </c>
      <c r="O104" s="648"/>
      <c r="P104" s="648"/>
      <c r="Q104" s="648"/>
    </row>
    <row hidden="true" r="105">
      <c r="A105" s="641">
        <v>45954</v>
      </c>
      <c r="B105" s="642" t="s">
        <v>706</v>
      </c>
      <c r="C105" s="643" t="s">
        <v>687</v>
      </c>
      <c r="D105" s="642">
        <v>5</v>
      </c>
      <c r="E105" s="642">
        <v>37</v>
      </c>
      <c r="F105" s="642">
        <v>27</v>
      </c>
      <c r="G105" s="642">
        <v>20</v>
      </c>
      <c r="H105" s="642">
        <v>22</v>
      </c>
      <c r="I105" s="642">
        <v>5</v>
      </c>
      <c r="J105" s="644">
        <v>35273</v>
      </c>
      <c r="K105" s="644">
        <v>15732.46</v>
      </c>
      <c r="L105" s="645">
        <f t="shared" si="0"/>
      </c>
      <c r="M105" s="645">
        <f t="shared" si="2"/>
      </c>
      <c r="N105" s="645">
        <f t="shared" si="1"/>
      </c>
      <c r="O105" s="646"/>
      <c r="P105" s="642"/>
      <c r="Q105" s="649"/>
    </row>
    <row hidden="true" r="106">
      <c r="A106" s="641">
        <v>45954</v>
      </c>
      <c r="B106" s="642" t="s">
        <v>688</v>
      </c>
      <c r="C106" s="643" t="s">
        <v>689</v>
      </c>
      <c r="D106" s="642">
        <v>5</v>
      </c>
      <c r="E106" s="642">
        <v>36</v>
      </c>
      <c r="F106" s="642">
        <v>24</v>
      </c>
      <c r="G106" s="642">
        <v>18</v>
      </c>
      <c r="H106" s="642">
        <v>18</v>
      </c>
      <c r="I106" s="642">
        <v>3</v>
      </c>
      <c r="J106" s="644">
        <v>25332</v>
      </c>
      <c r="K106" s="644">
        <v>18242.04</v>
      </c>
      <c r="L106" s="645">
        <f t="shared" si="0"/>
      </c>
      <c r="M106" s="645">
        <f t="shared" si="2"/>
      </c>
      <c r="N106" s="645">
        <f t="shared" si="1"/>
      </c>
      <c r="O106" s="646" t="s">
        <v>701</v>
      </c>
      <c r="P106" s="646">
        <v>10</v>
      </c>
      <c r="Q106" s="650"/>
    </row>
    <row customHeight="true" ht="17.97618865966797" r="107">
      <c r="A107" s="651">
        <v>45954</v>
      </c>
      <c r="B107" s="652"/>
      <c r="C107" s="652"/>
      <c r="D107" s="652">
        <f>SUM(D103:D106)</f>
      </c>
      <c r="E107" s="652">
        <f>SUM(E103:E106)</f>
      </c>
      <c r="F107" s="652">
        <f>SUM(F103:F106)</f>
      </c>
      <c r="G107" s="652">
        <f>SUM(G103:G106)</f>
      </c>
      <c r="H107" s="652">
        <f>SUM(H103:H106)</f>
      </c>
      <c r="I107" s="652">
        <f>SUM(I103:I106)</f>
      </c>
      <c r="J107" s="652">
        <f>SUM(J103:J106)</f>
      </c>
      <c r="K107" s="652">
        <f>SUM(K103:K106)</f>
      </c>
      <c r="L107" s="653">
        <f t="shared" si="0"/>
      </c>
      <c r="M107" s="653">
        <f t="shared" si="2"/>
      </c>
      <c r="N107" s="653">
        <f t="shared" si="1"/>
      </c>
      <c r="O107" s="654"/>
      <c r="P107" s="652">
        <f>P103+P104+P105+P106</f>
      </c>
      <c r="Q107" s="654"/>
    </row>
    <row hidden="true" r="108">
      <c r="A108" s="667">
        <v>45955</v>
      </c>
      <c r="B108" s="642" t="s">
        <v>681</v>
      </c>
      <c r="C108" s="643" t="s">
        <v>707</v>
      </c>
      <c r="D108" s="642">
        <v>4.5</v>
      </c>
      <c r="E108" s="642">
        <v>20</v>
      </c>
      <c r="F108" s="642">
        <v>17</v>
      </c>
      <c r="G108" s="642">
        <v>12</v>
      </c>
      <c r="H108" s="642">
        <v>16</v>
      </c>
      <c r="I108" s="642">
        <v>3</v>
      </c>
      <c r="J108" s="644">
        <v>14883.399999999998</v>
      </c>
      <c r="K108" s="644">
        <v>14555.14</v>
      </c>
      <c r="L108" s="645">
        <f t="shared" si="0"/>
      </c>
      <c r="M108" s="645">
        <f t="shared" si="2"/>
      </c>
      <c r="N108" s="645">
        <f t="shared" si="1"/>
      </c>
      <c r="O108" s="646" t="s">
        <v>705</v>
      </c>
      <c r="P108" s="642">
        <v>9.5</v>
      </c>
      <c r="Q108" s="647"/>
    </row>
    <row hidden="true" r="109">
      <c r="A109" s="667">
        <v>45955</v>
      </c>
      <c r="B109" s="642" t="s">
        <v>684</v>
      </c>
      <c r="C109" s="643" t="s">
        <v>685</v>
      </c>
      <c r="D109" s="642">
        <v>5</v>
      </c>
      <c r="E109" s="642">
        <v>35</v>
      </c>
      <c r="F109" s="642">
        <v>29</v>
      </c>
      <c r="G109" s="642">
        <v>20</v>
      </c>
      <c r="H109" s="642">
        <v>20</v>
      </c>
      <c r="I109" s="642">
        <v>3</v>
      </c>
      <c r="J109" s="644">
        <v>32321.6</v>
      </c>
      <c r="K109" s="644">
        <v>16033.16</v>
      </c>
      <c r="L109" s="645">
        <f t="shared" si="0"/>
      </c>
      <c r="M109" s="645">
        <f t="shared" si="2"/>
      </c>
      <c r="N109" s="645">
        <f t="shared" si="1"/>
      </c>
      <c r="O109" s="648"/>
      <c r="P109" s="648"/>
      <c r="Q109" s="648"/>
    </row>
    <row hidden="true" r="110">
      <c r="A110" s="667">
        <v>45955</v>
      </c>
      <c r="B110" s="642" t="s">
        <v>706</v>
      </c>
      <c r="C110" s="643" t="s">
        <v>687</v>
      </c>
      <c r="D110" s="642">
        <v>5</v>
      </c>
      <c r="E110" s="642">
        <v>53</v>
      </c>
      <c r="F110" s="642">
        <v>39</v>
      </c>
      <c r="G110" s="642">
        <v>29</v>
      </c>
      <c r="H110" s="642">
        <v>24</v>
      </c>
      <c r="I110" s="642">
        <v>3</v>
      </c>
      <c r="J110" s="644">
        <v>48131.4</v>
      </c>
      <c r="K110" s="644">
        <v>16935.34</v>
      </c>
      <c r="L110" s="645">
        <f t="shared" si="0"/>
      </c>
      <c r="M110" s="645">
        <f t="shared" si="2"/>
      </c>
      <c r="N110" s="645">
        <f t="shared" si="1"/>
      </c>
      <c r="O110" s="646"/>
      <c r="P110" s="642"/>
      <c r="Q110" s="649"/>
    </row>
    <row hidden="true" r="111">
      <c r="A111" s="667">
        <v>45955</v>
      </c>
      <c r="B111" s="642" t="s">
        <v>688</v>
      </c>
      <c r="C111" s="643" t="s">
        <v>689</v>
      </c>
      <c r="D111" s="642">
        <v>5</v>
      </c>
      <c r="E111" s="642">
        <v>71</v>
      </c>
      <c r="F111" s="642">
        <v>44</v>
      </c>
      <c r="G111" s="642">
        <v>32</v>
      </c>
      <c r="H111" s="642">
        <v>32</v>
      </c>
      <c r="I111" s="642">
        <v>6</v>
      </c>
      <c r="J111" s="644">
        <v>43803</v>
      </c>
      <c r="K111" s="644">
        <v>24488.140000000003</v>
      </c>
      <c r="L111" s="645">
        <f t="shared" si="0"/>
      </c>
      <c r="M111" s="645">
        <f t="shared" si="2"/>
      </c>
      <c r="N111" s="645">
        <f t="shared" si="1"/>
      </c>
      <c r="O111" s="646" t="s">
        <v>701</v>
      </c>
      <c r="P111" s="646">
        <v>10</v>
      </c>
      <c r="Q111" s="650"/>
    </row>
    <row r="112">
      <c r="A112" s="651">
        <v>45955</v>
      </c>
      <c r="B112" s="652"/>
      <c r="C112" s="652"/>
      <c r="D112" s="652">
        <f>SUM(D108:D111)</f>
      </c>
      <c r="E112" s="652">
        <f>SUM(E108:E111)</f>
      </c>
      <c r="F112" s="652">
        <f>SUM(F108:F111)</f>
      </c>
      <c r="G112" s="652">
        <f>SUM(G108:G111)</f>
      </c>
      <c r="H112" s="652">
        <f>SUM(H108:H111)</f>
      </c>
      <c r="I112" s="652">
        <f>SUM(I108:I111)</f>
      </c>
      <c r="J112" s="652">
        <f>SUM(J108:J111)</f>
      </c>
      <c r="K112" s="652">
        <f>SUM(K108:K111)</f>
      </c>
      <c r="L112" s="653">
        <f t="shared" si="0"/>
      </c>
      <c r="M112" s="653">
        <f t="shared" si="2"/>
      </c>
      <c r="N112" s="653">
        <f t="shared" si="1"/>
      </c>
      <c r="O112" s="654"/>
      <c r="P112" s="652">
        <f>P108+P109+P110+P111</f>
      </c>
      <c r="Q112" s="654"/>
    </row>
    <row hidden="true" r="113">
      <c r="A113" s="641">
        <v>45956</v>
      </c>
      <c r="B113" s="642" t="s">
        <v>681</v>
      </c>
      <c r="C113" s="643" t="s">
        <v>682</v>
      </c>
      <c r="D113" s="642">
        <v>5</v>
      </c>
      <c r="E113" s="642">
        <v>28</v>
      </c>
      <c r="F113" s="642">
        <v>20</v>
      </c>
      <c r="G113" s="642">
        <v>12</v>
      </c>
      <c r="H113" s="642">
        <v>17</v>
      </c>
      <c r="I113" s="642">
        <v>3</v>
      </c>
      <c r="J113" s="644">
        <v>15887.600000000002</v>
      </c>
      <c r="K113" s="644">
        <v>17548.1</v>
      </c>
      <c r="L113" s="645">
        <f t="shared" si="0"/>
      </c>
      <c r="M113" s="645">
        <f t="shared" si="2"/>
      </c>
      <c r="N113" s="645">
        <f t="shared" si="1"/>
      </c>
      <c r="O113" s="646" t="s">
        <v>705</v>
      </c>
      <c r="P113" s="642">
        <v>10</v>
      </c>
      <c r="Q113" s="647"/>
    </row>
    <row hidden="true" r="114">
      <c r="A114" s="641">
        <v>45956</v>
      </c>
      <c r="B114" s="642" t="s">
        <v>684</v>
      </c>
      <c r="C114" s="643" t="s">
        <v>685</v>
      </c>
      <c r="D114" s="642">
        <v>5</v>
      </c>
      <c r="E114" s="642">
        <v>36</v>
      </c>
      <c r="F114" s="642">
        <v>27</v>
      </c>
      <c r="G114" s="642">
        <v>19</v>
      </c>
      <c r="H114" s="642">
        <v>20</v>
      </c>
      <c r="I114" s="642">
        <v>3</v>
      </c>
      <c r="J114" s="644">
        <v>33269.2</v>
      </c>
      <c r="K114" s="644">
        <v>14705.94</v>
      </c>
      <c r="L114" s="645">
        <f t="shared" si="0"/>
      </c>
      <c r="M114" s="645">
        <f t="shared" si="2"/>
      </c>
      <c r="N114" s="645">
        <f t="shared" si="1"/>
      </c>
      <c r="O114" s="648"/>
      <c r="P114" s="648"/>
      <c r="Q114" s="648"/>
    </row>
    <row hidden="true" r="115">
      <c r="A115" s="641">
        <v>45956</v>
      </c>
      <c r="B115" s="642" t="s">
        <v>706</v>
      </c>
      <c r="C115" s="643" t="s">
        <v>687</v>
      </c>
      <c r="D115" s="642">
        <v>5</v>
      </c>
      <c r="E115" s="642">
        <v>56</v>
      </c>
      <c r="F115" s="642">
        <v>46</v>
      </c>
      <c r="G115" s="642">
        <v>28</v>
      </c>
      <c r="H115" s="642">
        <v>39</v>
      </c>
      <c r="I115" s="642">
        <v>9</v>
      </c>
      <c r="J115" s="644">
        <v>44325.64</v>
      </c>
      <c r="K115" s="644">
        <v>16015.33</v>
      </c>
      <c r="L115" s="645">
        <f t="shared" si="0"/>
      </c>
      <c r="M115" s="645">
        <f t="shared" si="2"/>
      </c>
      <c r="N115" s="645">
        <f t="shared" si="1"/>
      </c>
      <c r="O115" s="646"/>
      <c r="P115" s="642"/>
      <c r="Q115" s="649"/>
    </row>
    <row hidden="true" r="116">
      <c r="A116" s="641">
        <v>45956</v>
      </c>
      <c r="B116" s="642" t="s">
        <v>688</v>
      </c>
      <c r="C116" s="643" t="s">
        <v>689</v>
      </c>
      <c r="D116" s="642">
        <v>5</v>
      </c>
      <c r="E116" s="642">
        <v>28</v>
      </c>
      <c r="F116" s="642">
        <v>19</v>
      </c>
      <c r="G116" s="642">
        <v>12</v>
      </c>
      <c r="H116" s="642">
        <v>16</v>
      </c>
      <c r="I116" s="642">
        <v>4</v>
      </c>
      <c r="J116" s="644">
        <v>18646.2</v>
      </c>
      <c r="K116" s="644">
        <v>14432.33</v>
      </c>
      <c r="L116" s="645">
        <f t="shared" si="0"/>
      </c>
      <c r="M116" s="645">
        <f t="shared" si="2"/>
      </c>
      <c r="N116" s="645">
        <f t="shared" si="1"/>
      </c>
      <c r="O116" s="646" t="s">
        <v>708</v>
      </c>
      <c r="P116" s="646">
        <v>10</v>
      </c>
      <c r="Q116" s="650"/>
    </row>
    <row r="117">
      <c r="A117" s="651">
        <v>45956</v>
      </c>
      <c r="B117" s="652"/>
      <c r="C117" s="652"/>
      <c r="D117" s="652">
        <f>SUM(D113:D116)</f>
      </c>
      <c r="E117" s="652">
        <f>SUM(E113:E116)</f>
      </c>
      <c r="F117" s="652">
        <f>SUM(F113:F116)</f>
      </c>
      <c r="G117" s="652">
        <f>SUM(G113:G116)</f>
      </c>
      <c r="H117" s="652">
        <f>SUM(H113:H116)</f>
      </c>
      <c r="I117" s="652">
        <f>SUM(I113:I116)</f>
      </c>
      <c r="J117" s="652">
        <f>SUM(J113:J116)</f>
      </c>
      <c r="K117" s="652">
        <f>SUM(K113:K116)</f>
      </c>
      <c r="L117" s="653">
        <f t="shared" si="0"/>
      </c>
      <c r="M117" s="653">
        <f t="shared" si="2"/>
      </c>
      <c r="N117" s="653">
        <f t="shared" si="1"/>
      </c>
      <c r="O117" s="654"/>
      <c r="P117" s="652">
        <f>P113+P114+P115+P116</f>
      </c>
      <c r="Q117" s="654"/>
    </row>
    <row hidden="true" r="118">
      <c r="A118" s="641">
        <v>45957</v>
      </c>
      <c r="B118" s="642" t="s">
        <v>681</v>
      </c>
      <c r="C118" s="643" t="s">
        <v>709</v>
      </c>
      <c r="D118" s="642">
        <v>5</v>
      </c>
      <c r="E118" s="642">
        <v>33</v>
      </c>
      <c r="F118" s="642">
        <v>23</v>
      </c>
      <c r="G118" s="642">
        <v>18</v>
      </c>
      <c r="H118" s="642">
        <v>20</v>
      </c>
      <c r="I118" s="642">
        <v>2</v>
      </c>
      <c r="J118" s="644">
        <v>20497.2</v>
      </c>
      <c r="K118" s="644">
        <v>14419.869999999999</v>
      </c>
      <c r="L118" s="645">
        <f t="shared" si="0"/>
      </c>
      <c r="M118" s="645">
        <f t="shared" si="2"/>
      </c>
      <c r="N118" s="645">
        <f t="shared" si="1"/>
      </c>
      <c r="O118" s="646" t="s">
        <v>705</v>
      </c>
      <c r="P118" s="642">
        <v>10</v>
      </c>
      <c r="Q118" s="647"/>
    </row>
    <row hidden="true" r="119">
      <c r="A119" s="641">
        <v>45957</v>
      </c>
      <c r="B119" s="642" t="s">
        <v>684</v>
      </c>
      <c r="C119" s="643" t="s">
        <v>685</v>
      </c>
      <c r="D119" s="642">
        <v>5</v>
      </c>
      <c r="E119" s="642">
        <v>50</v>
      </c>
      <c r="F119" s="642">
        <v>33</v>
      </c>
      <c r="G119" s="642">
        <v>25</v>
      </c>
      <c r="H119" s="642">
        <v>29</v>
      </c>
      <c r="I119" s="642">
        <v>4</v>
      </c>
      <c r="J119" s="644">
        <v>31759.6</v>
      </c>
      <c r="K119" s="644">
        <v>18106.22</v>
      </c>
      <c r="L119" s="645">
        <f t="shared" si="0"/>
      </c>
      <c r="M119" s="645">
        <f t="shared" si="2"/>
      </c>
      <c r="N119" s="645">
        <f t="shared" si="1"/>
      </c>
      <c r="O119" s="648"/>
      <c r="P119" s="648"/>
      <c r="Q119" s="648"/>
    </row>
    <row hidden="true" r="120">
      <c r="A120" s="641">
        <v>45957</v>
      </c>
      <c r="B120" s="642" t="s">
        <v>686</v>
      </c>
      <c r="C120" s="643" t="s">
        <v>687</v>
      </c>
      <c r="D120" s="642">
        <v>5</v>
      </c>
      <c r="E120" s="642">
        <v>23</v>
      </c>
      <c r="F120" s="642">
        <v>14</v>
      </c>
      <c r="G120" s="642">
        <v>11</v>
      </c>
      <c r="H120" s="642">
        <v>8</v>
      </c>
      <c r="I120" s="642">
        <v>0</v>
      </c>
      <c r="J120" s="644">
        <v>16339.8</v>
      </c>
      <c r="K120" s="644">
        <v>14442.93</v>
      </c>
      <c r="L120" s="645">
        <f t="shared" si="0"/>
      </c>
      <c r="M120" s="645">
        <f t="shared" si="2"/>
      </c>
      <c r="N120" s="645">
        <f t="shared" si="1"/>
      </c>
      <c r="O120" s="646"/>
      <c r="P120" s="642"/>
      <c r="Q120" s="649"/>
    </row>
    <row hidden="true" r="121">
      <c r="A121" s="641">
        <v>45957</v>
      </c>
      <c r="B121" s="642" t="s">
        <v>706</v>
      </c>
      <c r="C121" s="643" t="s">
        <v>689</v>
      </c>
      <c r="D121" s="642">
        <v>5</v>
      </c>
      <c r="E121" s="642">
        <v>37</v>
      </c>
      <c r="F121" s="642">
        <v>31</v>
      </c>
      <c r="G121" s="642">
        <v>17</v>
      </c>
      <c r="H121" s="642">
        <v>21</v>
      </c>
      <c r="I121" s="642">
        <v>5</v>
      </c>
      <c r="J121" s="644">
        <v>39031.2</v>
      </c>
      <c r="K121" s="644">
        <v>12387.36</v>
      </c>
      <c r="L121" s="645">
        <f t="shared" si="0"/>
      </c>
      <c r="M121" s="645">
        <f t="shared" si="2"/>
      </c>
      <c r="N121" s="645">
        <f t="shared" si="1"/>
      </c>
      <c r="O121" s="646" t="s">
        <v>701</v>
      </c>
      <c r="P121" s="646">
        <v>10</v>
      </c>
      <c r="Q121" s="650"/>
    </row>
    <row r="122">
      <c r="A122" s="651">
        <v>45957</v>
      </c>
      <c r="B122" s="652"/>
      <c r="C122" s="652"/>
      <c r="D122" s="652">
        <f>SUM(D118:D121)</f>
      </c>
      <c r="E122" s="652">
        <f>SUM(E118:E121)</f>
      </c>
      <c r="F122" s="652">
        <f>SUM(F118:F121)</f>
      </c>
      <c r="G122" s="652">
        <f>SUM(G118:G121)</f>
      </c>
      <c r="H122" s="652">
        <f>SUM(H118:H121)</f>
      </c>
      <c r="I122" s="652">
        <f>SUM(I118:I121)</f>
      </c>
      <c r="J122" s="652">
        <f>SUM(J118:J121)</f>
      </c>
      <c r="K122" s="652">
        <f>SUM(K118:K121)</f>
      </c>
      <c r="L122" s="653">
        <f t="shared" si="0"/>
      </c>
      <c r="M122" s="653">
        <f t="shared" si="2"/>
      </c>
      <c r="N122" s="653">
        <f t="shared" si="1"/>
      </c>
      <c r="O122" s="654"/>
      <c r="P122" s="652">
        <f>P118+P119+P120+P121</f>
      </c>
      <c r="Q122" s="654"/>
    </row>
    <row hidden="true" r="123">
      <c r="A123" s="641">
        <v>45958</v>
      </c>
      <c r="B123" s="642" t="s">
        <v>684</v>
      </c>
      <c r="C123" s="643" t="s">
        <v>682</v>
      </c>
      <c r="D123" s="642">
        <v>5</v>
      </c>
      <c r="E123" s="642">
        <v>29</v>
      </c>
      <c r="F123" s="642">
        <v>20</v>
      </c>
      <c r="G123" s="642">
        <v>12</v>
      </c>
      <c r="H123" s="642">
        <v>14</v>
      </c>
      <c r="I123" s="642">
        <v>5</v>
      </c>
      <c r="J123" s="644">
        <v>22092.8</v>
      </c>
      <c r="K123" s="644">
        <v>15960.25</v>
      </c>
      <c r="L123" s="645">
        <f t="shared" si="0"/>
      </c>
      <c r="M123" s="645">
        <f t="shared" si="2"/>
      </c>
      <c r="N123" s="645">
        <f t="shared" si="1"/>
      </c>
      <c r="O123" s="646" t="s">
        <v>705</v>
      </c>
      <c r="P123" s="642">
        <v>10</v>
      </c>
      <c r="Q123" s="647"/>
    </row>
    <row hidden="true" r="124">
      <c r="A124" s="641">
        <v>45958</v>
      </c>
      <c r="B124" s="642" t="s">
        <v>686</v>
      </c>
      <c r="C124" s="643" t="s">
        <v>685</v>
      </c>
      <c r="D124" s="642">
        <v>5</v>
      </c>
      <c r="E124" s="642">
        <v>30</v>
      </c>
      <c r="F124" s="642">
        <v>23</v>
      </c>
      <c r="G124" s="642">
        <v>20</v>
      </c>
      <c r="H124" s="642">
        <v>18</v>
      </c>
      <c r="I124" s="642">
        <v>3</v>
      </c>
      <c r="J124" s="644">
        <v>25859</v>
      </c>
      <c r="K124" s="644">
        <v>15979.68</v>
      </c>
      <c r="L124" s="645">
        <f t="shared" si="0"/>
      </c>
      <c r="M124" s="645">
        <f t="shared" si="2"/>
      </c>
      <c r="N124" s="645">
        <f t="shared" si="1"/>
      </c>
      <c r="O124" s="648"/>
      <c r="P124" s="648"/>
      <c r="Q124" s="648"/>
    </row>
    <row hidden="true" r="125">
      <c r="A125" s="641">
        <v>45958</v>
      </c>
      <c r="B125" s="642" t="s">
        <v>681</v>
      </c>
      <c r="C125" s="643" t="s">
        <v>687</v>
      </c>
      <c r="D125" s="642">
        <v>5</v>
      </c>
      <c r="E125" s="642">
        <v>45</v>
      </c>
      <c r="F125" s="642">
        <v>33</v>
      </c>
      <c r="G125" s="642">
        <v>20</v>
      </c>
      <c r="H125" s="642">
        <v>27</v>
      </c>
      <c r="I125" s="642">
        <v>6</v>
      </c>
      <c r="J125" s="644">
        <v>27915.6</v>
      </c>
      <c r="K125" s="644">
        <v>16361.909999999998</v>
      </c>
      <c r="L125" s="645">
        <f t="shared" si="0"/>
      </c>
      <c r="M125" s="645">
        <f t="shared" si="2"/>
      </c>
      <c r="N125" s="645">
        <f t="shared" si="1"/>
      </c>
      <c r="O125" s="646"/>
      <c r="P125" s="642"/>
      <c r="Q125" s="649"/>
    </row>
    <row hidden="true" r="126">
      <c r="A126" s="641">
        <v>45958</v>
      </c>
      <c r="B126" s="642" t="s">
        <v>706</v>
      </c>
      <c r="C126" s="643" t="s">
        <v>689</v>
      </c>
      <c r="D126" s="642">
        <v>5</v>
      </c>
      <c r="E126" s="642">
        <v>64</v>
      </c>
      <c r="F126" s="642">
        <v>46</v>
      </c>
      <c r="G126" s="642">
        <v>28</v>
      </c>
      <c r="H126" s="642">
        <v>40</v>
      </c>
      <c r="I126" s="642">
        <v>9</v>
      </c>
      <c r="J126" s="644">
        <v>43733.2</v>
      </c>
      <c r="K126" s="644">
        <v>18965.309999999998</v>
      </c>
      <c r="L126" s="645">
        <f t="shared" si="0"/>
      </c>
      <c r="M126" s="645">
        <f t="shared" si="2"/>
      </c>
      <c r="N126" s="645">
        <f t="shared" si="1"/>
      </c>
      <c r="O126" s="646" t="s">
        <v>701</v>
      </c>
      <c r="P126" s="646">
        <v>10</v>
      </c>
      <c r="Q126" s="650"/>
    </row>
    <row r="127">
      <c r="A127" s="651">
        <v>45958</v>
      </c>
      <c r="B127" s="652"/>
      <c r="C127" s="652"/>
      <c r="D127" s="652">
        <f>SUM(D123:D126)</f>
      </c>
      <c r="E127" s="652">
        <f>SUM(E123:E126)</f>
      </c>
      <c r="F127" s="652">
        <f>SUM(F123:F126)</f>
      </c>
      <c r="G127" s="652">
        <f>SUM(G123:G126)</f>
      </c>
      <c r="H127" s="652">
        <f>SUM(H123:H126)</f>
      </c>
      <c r="I127" s="652">
        <f>SUM(I123:I126)</f>
      </c>
      <c r="J127" s="652">
        <f>SUM(J123:J126)</f>
      </c>
      <c r="K127" s="652">
        <f>SUM(K123:K126)</f>
      </c>
      <c r="L127" s="653">
        <f t="shared" si="0"/>
      </c>
      <c r="M127" s="653">
        <f t="shared" si="2"/>
      </c>
      <c r="N127" s="653">
        <f t="shared" si="1"/>
      </c>
      <c r="O127" s="654"/>
      <c r="P127" s="652">
        <f>P123+P124+P125+P126</f>
      </c>
      <c r="Q127" s="654"/>
    </row>
    <row hidden="true" r="128">
      <c r="A128" s="641">
        <v>45959</v>
      </c>
      <c r="B128" s="642" t="s">
        <v>686</v>
      </c>
      <c r="C128" s="643" t="s">
        <v>682</v>
      </c>
      <c r="D128" s="642">
        <v>5</v>
      </c>
      <c r="E128" s="642">
        <v>46</v>
      </c>
      <c r="F128" s="642">
        <v>32</v>
      </c>
      <c r="G128" s="642">
        <v>23</v>
      </c>
      <c r="H128" s="642">
        <v>25</v>
      </c>
      <c r="I128" s="642">
        <v>3</v>
      </c>
      <c r="J128" s="644">
        <v>38701.399999999994</v>
      </c>
      <c r="K128" s="644">
        <v>20860.03</v>
      </c>
      <c r="L128" s="645">
        <f t="shared" si="0"/>
      </c>
      <c r="M128" s="645">
        <f t="shared" si="2"/>
      </c>
      <c r="N128" s="645">
        <f t="shared" si="1"/>
      </c>
      <c r="O128" s="646" t="s">
        <v>705</v>
      </c>
      <c r="P128" s="642">
        <v>10</v>
      </c>
      <c r="Q128" s="647"/>
    </row>
    <row hidden="true" r="129">
      <c r="A129" s="641">
        <v>45959</v>
      </c>
      <c r="B129" s="642" t="s">
        <v>681</v>
      </c>
      <c r="C129" s="643" t="s">
        <v>685</v>
      </c>
      <c r="D129" s="642">
        <v>5</v>
      </c>
      <c r="E129" s="642">
        <v>76</v>
      </c>
      <c r="F129" s="642">
        <v>54</v>
      </c>
      <c r="G129" s="642">
        <v>30</v>
      </c>
      <c r="H129" s="642">
        <v>46</v>
      </c>
      <c r="I129" s="642">
        <v>9</v>
      </c>
      <c r="J129" s="644">
        <v>41498.6</v>
      </c>
      <c r="K129" s="644">
        <v>21845.149999999998</v>
      </c>
      <c r="L129" s="645">
        <f t="shared" si="0"/>
      </c>
      <c r="M129" s="645">
        <f t="shared" si="2"/>
      </c>
      <c r="N129" s="645">
        <f t="shared" si="1"/>
      </c>
      <c r="O129" s="648"/>
      <c r="P129" s="648"/>
      <c r="Q129" s="648"/>
    </row>
    <row hidden="true" r="130">
      <c r="A130" s="641">
        <v>45959</v>
      </c>
      <c r="B130" s="642" t="s">
        <v>706</v>
      </c>
      <c r="C130" s="643" t="s">
        <v>687</v>
      </c>
      <c r="D130" s="642">
        <v>5</v>
      </c>
      <c r="E130" s="642">
        <v>68</v>
      </c>
      <c r="F130" s="642">
        <v>52</v>
      </c>
      <c r="G130" s="642">
        <v>38</v>
      </c>
      <c r="H130" s="642">
        <v>41</v>
      </c>
      <c r="I130" s="642">
        <v>9</v>
      </c>
      <c r="J130" s="644">
        <v>50857.99999999999</v>
      </c>
      <c r="K130" s="644">
        <v>25403.33</v>
      </c>
      <c r="L130" s="645">
        <f t="shared" si="0"/>
      </c>
      <c r="M130" s="645">
        <f t="shared" si="2"/>
      </c>
      <c r="N130" s="645">
        <f t="shared" si="1"/>
      </c>
      <c r="O130" s="646"/>
      <c r="P130" s="642"/>
      <c r="Q130" s="649"/>
    </row>
    <row hidden="true" r="131">
      <c r="A131" s="641">
        <v>45959</v>
      </c>
      <c r="B131" s="642" t="s">
        <v>684</v>
      </c>
      <c r="C131" s="643" t="s">
        <v>689</v>
      </c>
      <c r="D131" s="642">
        <v>5</v>
      </c>
      <c r="E131" s="642">
        <v>97</v>
      </c>
      <c r="F131" s="642">
        <v>79</v>
      </c>
      <c r="G131" s="642">
        <v>57</v>
      </c>
      <c r="H131" s="642">
        <v>59</v>
      </c>
      <c r="I131" s="642">
        <v>9</v>
      </c>
      <c r="J131" s="644">
        <v>80113.19999999998</v>
      </c>
      <c r="K131" s="644">
        <v>35765.619999999995</v>
      </c>
      <c r="L131" s="645">
        <f t="shared" si="0"/>
      </c>
      <c r="M131" s="645">
        <f t="shared" si="2"/>
      </c>
      <c r="N131" s="645">
        <f t="shared" si="1"/>
      </c>
      <c r="O131" s="646" t="s">
        <v>701</v>
      </c>
      <c r="P131" s="646">
        <v>10</v>
      </c>
      <c r="Q131" s="650"/>
    </row>
    <row r="132">
      <c r="A132" s="651">
        <v>45959</v>
      </c>
      <c r="B132" s="652"/>
      <c r="C132" s="652"/>
      <c r="D132" s="652">
        <f>SUM(D128:D131)</f>
      </c>
      <c r="E132" s="652">
        <f>SUM(E128:E131)</f>
      </c>
      <c r="F132" s="652">
        <f>SUM(F128:F131)</f>
      </c>
      <c r="G132" s="652">
        <f>SUM(G128:G131)</f>
      </c>
      <c r="H132" s="652">
        <f>SUM(H128:H131)</f>
      </c>
      <c r="I132" s="652">
        <f>SUM(I128:I131)</f>
      </c>
      <c r="J132" s="652">
        <f>SUM(J128:J131)</f>
      </c>
      <c r="K132" s="652">
        <f>SUM(K128:K131)</f>
      </c>
      <c r="L132" s="653">
        <f t="shared" si="0"/>
      </c>
      <c r="M132" s="653">
        <f t="shared" si="2"/>
      </c>
      <c r="N132" s="653">
        <f t="shared" si="1"/>
      </c>
      <c r="O132" s="654"/>
      <c r="P132" s="652">
        <f>P128+P129+P130+P131</f>
      </c>
      <c r="Q132" s="654"/>
    </row>
    <row hidden="true" r="133">
      <c r="A133" s="641">
        <v>45960</v>
      </c>
      <c r="B133" s="642" t="s">
        <v>686</v>
      </c>
      <c r="C133" s="643" t="s">
        <v>682</v>
      </c>
      <c r="D133" s="642">
        <v>5</v>
      </c>
      <c r="E133" s="642">
        <v>73</v>
      </c>
      <c r="F133" s="642">
        <v>57</v>
      </c>
      <c r="G133" s="642">
        <v>49</v>
      </c>
      <c r="H133" s="642">
        <v>43</v>
      </c>
      <c r="I133" s="642">
        <v>4</v>
      </c>
      <c r="J133" s="644">
        <v>51900.2</v>
      </c>
      <c r="K133" s="644">
        <v>32308.979999999996</v>
      </c>
      <c r="L133" s="645">
        <f t="shared" si="0"/>
      </c>
      <c r="M133" s="645">
        <f t="shared" si="2"/>
      </c>
      <c r="N133" s="645">
        <f t="shared" si="1"/>
      </c>
      <c r="O133" s="646" t="s">
        <v>705</v>
      </c>
      <c r="P133" s="642">
        <v>10</v>
      </c>
      <c r="Q133" s="647"/>
    </row>
    <row hidden="true" r="134">
      <c r="A134" s="641">
        <v>45960</v>
      </c>
      <c r="B134" s="642" t="s">
        <v>681</v>
      </c>
      <c r="C134" s="643" t="s">
        <v>685</v>
      </c>
      <c r="D134" s="642">
        <v>5</v>
      </c>
      <c r="E134" s="642">
        <v>111</v>
      </c>
      <c r="F134" s="642">
        <v>87</v>
      </c>
      <c r="G134" s="642">
        <v>61</v>
      </c>
      <c r="H134" s="642">
        <v>67</v>
      </c>
      <c r="I134" s="642">
        <v>11</v>
      </c>
      <c r="J134" s="644">
        <v>87730.8</v>
      </c>
      <c r="K134" s="644">
        <v>47907.47</v>
      </c>
      <c r="L134" s="645">
        <f t="shared" si="0"/>
      </c>
      <c r="M134" s="645">
        <f t="shared" si="2"/>
      </c>
      <c r="N134" s="645">
        <f t="shared" si="1"/>
      </c>
      <c r="O134" s="648"/>
      <c r="P134" s="648"/>
      <c r="Q134" s="648"/>
    </row>
    <row hidden="true" r="135">
      <c r="A135" s="641">
        <v>45960</v>
      </c>
      <c r="B135" s="642" t="s">
        <v>706</v>
      </c>
      <c r="C135" s="643" t="s">
        <v>687</v>
      </c>
      <c r="D135" s="642">
        <v>5</v>
      </c>
      <c r="E135" s="642">
        <v>63</v>
      </c>
      <c r="F135" s="642">
        <v>39</v>
      </c>
      <c r="G135" s="642">
        <v>34</v>
      </c>
      <c r="H135" s="642">
        <v>24</v>
      </c>
      <c r="I135" s="642">
        <v>4</v>
      </c>
      <c r="J135" s="644">
        <v>50297</v>
      </c>
      <c r="K135" s="644">
        <v>27869.25</v>
      </c>
      <c r="L135" s="645">
        <f t="shared" si="0"/>
      </c>
      <c r="M135" s="645">
        <f t="shared" si="2"/>
      </c>
      <c r="N135" s="645">
        <f t="shared" si="1"/>
      </c>
      <c r="O135" s="646"/>
      <c r="P135" s="642"/>
      <c r="Q135" s="649"/>
    </row>
    <row hidden="true" r="136">
      <c r="A136" s="641">
        <v>45960</v>
      </c>
      <c r="B136" s="642" t="s">
        <v>684</v>
      </c>
      <c r="C136" s="643" t="s">
        <v>689</v>
      </c>
      <c r="D136" s="642">
        <v>5</v>
      </c>
      <c r="E136" s="642">
        <v>90</v>
      </c>
      <c r="F136" s="642">
        <v>64</v>
      </c>
      <c r="G136" s="642">
        <v>41</v>
      </c>
      <c r="H136" s="642">
        <v>52</v>
      </c>
      <c r="I136" s="642">
        <v>10</v>
      </c>
      <c r="J136" s="644">
        <v>50461.99999999999</v>
      </c>
      <c r="K136" s="644">
        <v>24758.11</v>
      </c>
      <c r="L136" s="645">
        <f t="shared" si="0"/>
      </c>
      <c r="M136" s="645">
        <f t="shared" si="2"/>
      </c>
      <c r="N136" s="645">
        <f t="shared" si="1"/>
      </c>
      <c r="O136" s="646" t="s">
        <v>701</v>
      </c>
      <c r="P136" s="646">
        <v>10</v>
      </c>
      <c r="Q136" s="650"/>
    </row>
    <row r="137">
      <c r="A137" s="651">
        <v>45960</v>
      </c>
      <c r="B137" s="652"/>
      <c r="C137" s="652"/>
      <c r="D137" s="652">
        <f>SUM(D133:D136)</f>
      </c>
      <c r="E137" s="652">
        <f>SUM(E133:E136)</f>
      </c>
      <c r="F137" s="652">
        <f>SUM(F133:F136)</f>
      </c>
      <c r="G137" s="652">
        <f>SUM(G133:G136)</f>
      </c>
      <c r="H137" s="652">
        <f>SUM(H133:H136)</f>
      </c>
      <c r="I137" s="652">
        <f>SUM(I133:I136)</f>
      </c>
      <c r="J137" s="652">
        <f>SUM(J133:J136)</f>
      </c>
      <c r="K137" s="652">
        <f>SUM(K133:K136)</f>
      </c>
      <c r="L137" s="653">
        <f t="shared" si="0"/>
      </c>
      <c r="M137" s="653">
        <f t="shared" si="2"/>
      </c>
      <c r="N137" s="653">
        <f t="shared" si="1"/>
      </c>
      <c r="O137" s="654"/>
      <c r="P137" s="652">
        <f>P133+P134+P135+P136</f>
      </c>
      <c r="Q137" s="654"/>
    </row>
    <row hidden="true" r="138">
      <c r="A138" s="641">
        <v>45961</v>
      </c>
      <c r="B138" s="642" t="s">
        <v>686</v>
      </c>
      <c r="C138" s="643" t="s">
        <v>682</v>
      </c>
      <c r="D138" s="642">
        <v>5</v>
      </c>
      <c r="E138" s="642">
        <v>53</v>
      </c>
      <c r="F138" s="642">
        <v>37</v>
      </c>
      <c r="G138" s="642">
        <v>25</v>
      </c>
      <c r="H138" s="642">
        <v>31</v>
      </c>
      <c r="I138" s="642">
        <v>3</v>
      </c>
      <c r="J138" s="644">
        <v>38071</v>
      </c>
      <c r="K138" s="644">
        <v>23278.99</v>
      </c>
      <c r="L138" s="645">
        <f t="shared" si="0"/>
      </c>
      <c r="M138" s="645">
        <f t="shared" si="2"/>
      </c>
      <c r="N138" s="645">
        <f t="shared" si="1"/>
      </c>
      <c r="O138" s="646" t="s">
        <v>705</v>
      </c>
      <c r="P138" s="642">
        <v>10</v>
      </c>
      <c r="Q138" s="647"/>
    </row>
    <row hidden="true" r="139">
      <c r="A139" s="641">
        <v>45961</v>
      </c>
      <c r="B139" s="642" t="s">
        <v>681</v>
      </c>
      <c r="C139" s="643" t="s">
        <v>685</v>
      </c>
      <c r="D139" s="642">
        <v>5</v>
      </c>
      <c r="E139" s="642">
        <v>40</v>
      </c>
      <c r="F139" s="642">
        <v>31</v>
      </c>
      <c r="G139" s="642">
        <v>21</v>
      </c>
      <c r="H139" s="642">
        <v>20</v>
      </c>
      <c r="I139" s="642">
        <v>6</v>
      </c>
      <c r="J139" s="644">
        <v>32641.399999999998</v>
      </c>
      <c r="K139" s="644">
        <v>19694.300000000003</v>
      </c>
      <c r="L139" s="645">
        <f t="shared" si="0"/>
      </c>
      <c r="M139" s="645">
        <f t="shared" si="2"/>
      </c>
      <c r="N139" s="645">
        <f t="shared" si="1"/>
      </c>
      <c r="O139" s="648"/>
      <c r="P139" s="648"/>
      <c r="Q139" s="648"/>
    </row>
    <row hidden="true" r="140">
      <c r="A140" s="641">
        <v>45961</v>
      </c>
      <c r="B140" s="642" t="s">
        <v>706</v>
      </c>
      <c r="C140" s="643" t="s">
        <v>687</v>
      </c>
      <c r="D140" s="642">
        <v>5</v>
      </c>
      <c r="E140" s="642">
        <v>50</v>
      </c>
      <c r="F140" s="642">
        <v>43</v>
      </c>
      <c r="G140" s="642">
        <v>34</v>
      </c>
      <c r="H140" s="642">
        <v>31</v>
      </c>
      <c r="I140" s="642">
        <v>4</v>
      </c>
      <c r="J140" s="644">
        <v>43664</v>
      </c>
      <c r="K140" s="644">
        <v>17981.07</v>
      </c>
      <c r="L140" s="645">
        <f t="shared" si="0"/>
      </c>
      <c r="M140" s="645">
        <f t="shared" si="2"/>
      </c>
      <c r="N140" s="645">
        <f t="shared" si="1"/>
      </c>
      <c r="O140" s="646"/>
      <c r="P140" s="642"/>
      <c r="Q140" s="649"/>
    </row>
    <row hidden="true" r="141">
      <c r="A141" s="641">
        <v>45961</v>
      </c>
      <c r="B141" s="642" t="s">
        <v>684</v>
      </c>
      <c r="C141" s="643" t="s">
        <v>689</v>
      </c>
      <c r="D141" s="642">
        <v>5</v>
      </c>
      <c r="E141" s="642">
        <v>75</v>
      </c>
      <c r="F141" s="642">
        <v>52</v>
      </c>
      <c r="G141" s="642">
        <v>35</v>
      </c>
      <c r="H141" s="642">
        <v>42</v>
      </c>
      <c r="I141" s="642">
        <v>8</v>
      </c>
      <c r="J141" s="644">
        <v>52382.200000000004</v>
      </c>
      <c r="K141" s="644">
        <v>24813.33</v>
      </c>
      <c r="L141" s="645">
        <f t="shared" si="0"/>
      </c>
      <c r="M141" s="645">
        <f t="shared" si="2"/>
      </c>
      <c r="N141" s="645">
        <f t="shared" si="1"/>
      </c>
      <c r="O141" s="646" t="s">
        <v>701</v>
      </c>
      <c r="P141" s="646">
        <v>10</v>
      </c>
      <c r="Q141" s="650"/>
    </row>
    <row r="142">
      <c r="A142" s="651">
        <v>45961</v>
      </c>
      <c r="B142" s="652"/>
      <c r="C142" s="652"/>
      <c r="D142" s="652">
        <f>SUM(D138:D141)</f>
      </c>
      <c r="E142" s="652">
        <f>SUM(E138:E141)</f>
      </c>
      <c r="F142" s="652">
        <f>SUM(F138:F141)</f>
      </c>
      <c r="G142" s="652">
        <f>SUM(G138:G141)</f>
      </c>
      <c r="H142" s="652">
        <f>SUM(H138:H141)</f>
      </c>
      <c r="I142" s="652">
        <f>SUM(I138:I141)</f>
      </c>
      <c r="J142" s="652">
        <f>SUM(J138:J141)</f>
      </c>
      <c r="K142" s="652">
        <f>SUM(K138:K141)</f>
      </c>
      <c r="L142" s="653">
        <f t="shared" si="0"/>
      </c>
      <c r="M142" s="653">
        <f t="shared" si="2"/>
      </c>
      <c r="N142" s="653">
        <f t="shared" si="1"/>
      </c>
      <c r="O142" s="654"/>
      <c r="P142" s="652">
        <f>P138+P139+P140+P141</f>
      </c>
      <c r="Q142" s="654"/>
    </row>
    <row hidden="true" r="143"/>
    <row hidden="true" r="144"/>
    <row hidden="true" r="145"/>
    <row hidden="true" r="146"/>
    <row hidden="true" r="147"/>
    <row hidden="true" r="148"/>
    <row hidden="true" r="149"/>
    <row hidden="true" r="150"/>
    <row hidden="true" r="151">
      <c r="L151" s="645"/>
    </row>
    <row hidden="true" r="152">
      <c r="L152" s="645"/>
    </row>
    <row hidden="true" r="153"/>
    <row hidden="true" r="154"/>
    <row hidden="true" r="155"/>
    <row hidden="true" r="156"/>
    <row hidden="true" r="157"/>
    <row hidden="true" r="158"/>
    <row hidden="true" r="159">
      <c r="L159" s="645"/>
    </row>
    <row hidden="true" r="160">
      <c r="L160" s="645"/>
    </row>
    <row hidden="true" r="161">
      <c r="D161" s="668"/>
      <c r="E161" s="668"/>
      <c r="F161" s="668"/>
      <c r="G161" s="668"/>
      <c r="H161" s="668"/>
      <c r="I161" s="668"/>
      <c r="J161" s="668"/>
      <c r="K161" s="668"/>
    </row>
    <row hidden="true" r="162">
      <c r="L162" s="645"/>
    </row>
    <row hidden="true" r="163"/>
    <row hidden="true" r="164"/>
    <row hidden="true" r="165"/>
    <row hidden="true" r="166">
      <c r="L166" s="645"/>
    </row>
    <row hidden="true" r="167">
      <c r="L167" s="645"/>
    </row>
    <row hidden="true" r="168">
      <c r="L168" s="645"/>
    </row>
    <row hidden="true" r="169"/>
    <row hidden="true" r="170">
      <c r="J170" s="644"/>
      <c r="K170" s="644"/>
    </row>
    <row r="171">
      <c r="E171" s="669"/>
      <c r="F171" s="669"/>
      <c r="L171" s="645"/>
    </row>
    <row customHeight="true" ht="16.071428571428573" r="172">
      <c r="G172" s="668"/>
      <c r="L172" s="645"/>
    </row>
    <row r="173">
      <c r="G173" s="668"/>
    </row>
    <row r="174">
      <c r="G174" s="668"/>
    </row>
    <row r="175"/>
    <row r="176"/>
    <row r="177"/>
    <row r="178"/>
    <row r="179">
      <c r="L179" s="645"/>
    </row>
    <row r="180">
      <c r="L180" s="645"/>
    </row>
    <row r="181">
      <c r="L181" s="645"/>
    </row>
  </sheetData>
  <autoFilter ref="A1:P171">
    <filterColumn colId="5">
      <colorFilter cellColor="" dxfId="1"/>
    </filterColumn>
  </autoFilter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cols>
    <col collapsed="false" customWidth="true" hidden="false" max="15" min="15" style="0" width="11.211267605633802"/>
    <col collapsed="false" customWidth="true" hidden="false" max="18" min="18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6" min="16" style="0" width="11.211267605633802"/>
    <col collapsed="false" customWidth="true" hidden="false" max="17" min="17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4" min="14" style="0" width="11.211267605633802"/>
  </cols>
  <sheetData>
    <row r="1">
      <c r="A1" s="670" t="s">
        <v>710</v>
      </c>
      <c r="B1" s="671" t="s">
        <v>711</v>
      </c>
      <c r="C1" s="671" t="s">
        <v>712</v>
      </c>
      <c r="D1" s="671" t="s">
        <v>713</v>
      </c>
      <c r="E1" s="671" t="s">
        <v>714</v>
      </c>
      <c r="F1" s="671" t="s">
        <v>715</v>
      </c>
      <c r="G1" s="672" t="s">
        <v>716</v>
      </c>
      <c r="H1" s="673" t="s">
        <v>717</v>
      </c>
      <c r="I1" s="671" t="s">
        <v>718</v>
      </c>
      <c r="J1" s="671" t="s">
        <v>719</v>
      </c>
      <c r="K1" s="671" t="s">
        <v>720</v>
      </c>
      <c r="L1" s="674" t="s">
        <v>721</v>
      </c>
      <c r="M1" s="674" t="s">
        <v>722</v>
      </c>
      <c r="N1" s="674" t="s">
        <v>723</v>
      </c>
      <c r="O1" s="675" t="s">
        <v>724</v>
      </c>
      <c r="P1" s="675" t="s">
        <v>725</v>
      </c>
      <c r="Q1" s="675" t="s">
        <v>726</v>
      </c>
    </row>
    <row hidden="true" r="2">
      <c r="A2" s="676">
        <v>45901</v>
      </c>
      <c r="B2" s="677" t="s">
        <v>727</v>
      </c>
      <c r="C2" s="678" t="s">
        <v>728</v>
      </c>
      <c r="D2" s="677">
        <v>5</v>
      </c>
      <c r="E2" s="677">
        <v>66</v>
      </c>
      <c r="F2" s="677">
        <v>45</v>
      </c>
      <c r="G2" s="677">
        <v>31</v>
      </c>
      <c r="H2" s="677">
        <v>35</v>
      </c>
      <c r="I2" s="677">
        <v>7</v>
      </c>
      <c r="J2" s="679">
        <v>43618</v>
      </c>
      <c r="K2" s="679">
        <v>20846.100000000002</v>
      </c>
      <c r="L2" s="680">
        <f t="shared" ref="L2:L151" si="0">J2/K2</f>
      </c>
      <c r="M2" s="680">
        <f t="shared" ref="M2:M151" si="1">J2/F2</f>
      </c>
      <c r="N2" s="680">
        <f t="shared" ref="N2:N151" si="2">K2/F2</f>
      </c>
      <c r="O2" s="681" t="s">
        <v>729</v>
      </c>
      <c r="P2" s="677">
        <v>9</v>
      </c>
      <c r="Q2" s="682"/>
    </row>
    <row hidden="true" r="3">
      <c r="A3" s="676">
        <v>45901</v>
      </c>
      <c r="B3" s="677" t="s">
        <v>730</v>
      </c>
      <c r="C3" s="678" t="s">
        <v>731</v>
      </c>
      <c r="D3" s="677">
        <v>4</v>
      </c>
      <c r="E3" s="677">
        <v>70</v>
      </c>
      <c r="F3" s="677">
        <v>58</v>
      </c>
      <c r="G3" s="677">
        <v>35</v>
      </c>
      <c r="H3" s="677">
        <v>42</v>
      </c>
      <c r="I3" s="677">
        <v>8</v>
      </c>
      <c r="J3" s="679">
        <v>55284.4</v>
      </c>
      <c r="K3" s="683">
        <v>21557.99</v>
      </c>
      <c r="L3" s="680">
        <f t="shared" si="0"/>
      </c>
      <c r="M3" s="680">
        <f t="shared" si="1"/>
      </c>
      <c r="N3" s="680">
        <f t="shared" si="2"/>
      </c>
      <c r="O3" s="681" t="s">
        <v>732</v>
      </c>
      <c r="P3" s="677">
        <v>8</v>
      </c>
      <c r="Q3" s="684"/>
    </row>
    <row hidden="true" r="4">
      <c r="A4" s="676">
        <v>45901</v>
      </c>
      <c r="B4" s="677" t="s">
        <v>733</v>
      </c>
      <c r="C4" s="678" t="s">
        <v>734</v>
      </c>
      <c r="D4" s="677">
        <v>4</v>
      </c>
      <c r="E4" s="677">
        <v>42</v>
      </c>
      <c r="F4" s="677">
        <v>31</v>
      </c>
      <c r="G4" s="677">
        <v>22</v>
      </c>
      <c r="H4" s="677">
        <v>20</v>
      </c>
      <c r="I4" s="677">
        <v>4</v>
      </c>
      <c r="J4" s="683">
        <v>32909.8</v>
      </c>
      <c r="K4" s="679">
        <v>16180.45</v>
      </c>
      <c r="L4" s="680">
        <f t="shared" si="0"/>
      </c>
      <c r="M4" s="680">
        <f t="shared" si="1"/>
      </c>
      <c r="N4" s="680">
        <f t="shared" si="2"/>
      </c>
      <c r="O4" s="685"/>
      <c r="P4" s="686"/>
      <c r="Q4" s="684"/>
    </row>
    <row hidden="true" r="5">
      <c r="A5" s="676">
        <v>45901</v>
      </c>
      <c r="B5" s="677" t="s">
        <v>735</v>
      </c>
      <c r="C5" s="678" t="s">
        <v>736</v>
      </c>
      <c r="D5" s="677">
        <v>5</v>
      </c>
      <c r="E5" s="677">
        <v>68</v>
      </c>
      <c r="F5" s="677">
        <v>47</v>
      </c>
      <c r="G5" s="677">
        <v>38</v>
      </c>
      <c r="H5" s="677">
        <v>36</v>
      </c>
      <c r="I5" s="677">
        <v>5</v>
      </c>
      <c r="J5" s="683">
        <v>55432.45</v>
      </c>
      <c r="K5" s="683">
        <v>20411.35</v>
      </c>
      <c r="L5" s="680">
        <f t="shared" si="0"/>
      </c>
      <c r="M5" s="680">
        <f t="shared" si="1"/>
      </c>
      <c r="N5" s="680">
        <f t="shared" si="2"/>
      </c>
      <c r="O5" s="681" t="s">
        <v>737</v>
      </c>
      <c r="P5" s="677">
        <v>1</v>
      </c>
      <c r="Q5" s="684"/>
    </row>
    <row r="6">
      <c r="A6" s="687">
        <v>45901</v>
      </c>
      <c r="B6" s="688"/>
      <c r="C6" s="688"/>
      <c r="D6" s="688">
        <f>SUM(D2:D5)</f>
      </c>
      <c r="E6" s="688">
        <f>SUM(E2:E5)</f>
      </c>
      <c r="F6" s="688">
        <f>SUM(F2:F5)</f>
      </c>
      <c r="G6" s="688">
        <f>SUM(G2:G5)</f>
      </c>
      <c r="H6" s="688">
        <f>SUM(H2:H5)</f>
      </c>
      <c r="I6" s="688">
        <f>SUM(I2:I5)</f>
      </c>
      <c r="J6" s="688">
        <f>SUM(J2:J5)</f>
      </c>
      <c r="K6" s="688">
        <f>SUM(K2:K5)</f>
      </c>
      <c r="L6" s="689">
        <f t="shared" si="0"/>
      </c>
      <c r="M6" s="689">
        <f t="shared" si="1"/>
      </c>
      <c r="N6" s="689">
        <f t="shared" si="2"/>
      </c>
      <c r="O6" s="690"/>
      <c r="P6" s="688">
        <f>SUM(P2:P5)</f>
      </c>
      <c r="Q6" s="690"/>
    </row>
    <row hidden="true" r="7">
      <c r="A7" s="676">
        <v>45902</v>
      </c>
      <c r="B7" s="677" t="s">
        <v>727</v>
      </c>
      <c r="C7" s="678" t="s">
        <v>728</v>
      </c>
      <c r="D7" s="677">
        <v>5</v>
      </c>
      <c r="E7" s="677">
        <v>52</v>
      </c>
      <c r="F7" s="677">
        <v>40</v>
      </c>
      <c r="G7" s="677">
        <v>29</v>
      </c>
      <c r="H7" s="677">
        <v>31</v>
      </c>
      <c r="I7" s="677">
        <v>5</v>
      </c>
      <c r="J7" s="679">
        <v>39465.2</v>
      </c>
      <c r="K7" s="679">
        <v>20370.73</v>
      </c>
      <c r="L7" s="680">
        <f t="shared" si="0"/>
      </c>
      <c r="M7" s="680">
        <f t="shared" si="1"/>
      </c>
      <c r="N7" s="680">
        <f t="shared" si="2"/>
      </c>
      <c r="O7" s="681" t="s">
        <v>729</v>
      </c>
      <c r="P7" s="677">
        <v>9</v>
      </c>
      <c r="Q7" s="682"/>
    </row>
    <row hidden="true" r="8">
      <c r="A8" s="676">
        <v>45902</v>
      </c>
      <c r="B8" s="677" t="s">
        <v>733</v>
      </c>
      <c r="C8" s="678" t="s">
        <v>731</v>
      </c>
      <c r="D8" s="677">
        <v>4</v>
      </c>
      <c r="E8" s="677">
        <v>40</v>
      </c>
      <c r="F8" s="677">
        <v>29</v>
      </c>
      <c r="G8" s="677">
        <v>22</v>
      </c>
      <c r="H8" s="677">
        <v>21</v>
      </c>
      <c r="I8" s="677">
        <v>4</v>
      </c>
      <c r="J8" s="679">
        <v>23591.6</v>
      </c>
      <c r="K8" s="683">
        <v>14395.980000000001</v>
      </c>
      <c r="L8" s="680">
        <f t="shared" si="0"/>
      </c>
      <c r="M8" s="680">
        <f t="shared" si="1"/>
      </c>
      <c r="N8" s="680">
        <f t="shared" si="2"/>
      </c>
      <c r="O8" s="681"/>
      <c r="P8" s="677"/>
      <c r="Q8" s="684"/>
    </row>
    <row hidden="true" r="9">
      <c r="A9" s="676">
        <v>45902</v>
      </c>
      <c r="B9" s="677" t="s">
        <v>738</v>
      </c>
      <c r="C9" s="678" t="s">
        <v>734</v>
      </c>
      <c r="D9" s="677">
        <v>4</v>
      </c>
      <c r="E9" s="677">
        <v>35</v>
      </c>
      <c r="F9" s="677">
        <v>27</v>
      </c>
      <c r="G9" s="677">
        <v>16</v>
      </c>
      <c r="H9" s="677">
        <v>21</v>
      </c>
      <c r="I9" s="677">
        <v>6</v>
      </c>
      <c r="J9" s="683">
        <v>29919.2</v>
      </c>
      <c r="K9" s="679">
        <v>15163.689999999999</v>
      </c>
      <c r="L9" s="680">
        <f t="shared" si="0"/>
      </c>
      <c r="M9" s="680">
        <f t="shared" si="1"/>
      </c>
      <c r="N9" s="680">
        <f t="shared" si="2"/>
      </c>
      <c r="O9" s="685"/>
      <c r="P9" s="686"/>
      <c r="Q9" s="684"/>
    </row>
    <row hidden="true" r="10">
      <c r="A10" s="676">
        <v>45902</v>
      </c>
      <c r="B10" s="677" t="s">
        <v>730</v>
      </c>
      <c r="C10" s="678" t="s">
        <v>736</v>
      </c>
      <c r="D10" s="677">
        <v>5</v>
      </c>
      <c r="E10" s="677">
        <v>52</v>
      </c>
      <c r="F10" s="677">
        <v>40</v>
      </c>
      <c r="G10" s="677">
        <v>23</v>
      </c>
      <c r="H10" s="677">
        <v>30</v>
      </c>
      <c r="I10" s="677">
        <v>5</v>
      </c>
      <c r="J10" s="683">
        <v>37648.6</v>
      </c>
      <c r="K10" s="683">
        <v>18913.43</v>
      </c>
      <c r="L10" s="680">
        <f t="shared" si="0"/>
      </c>
      <c r="M10" s="680">
        <f t="shared" si="1"/>
      </c>
      <c r="N10" s="680">
        <f t="shared" si="2"/>
      </c>
      <c r="O10" s="681" t="s">
        <v>732</v>
      </c>
      <c r="P10" s="677">
        <v>9</v>
      </c>
      <c r="Q10" s="684"/>
    </row>
    <row r="11">
      <c r="A11" s="687">
        <v>45902</v>
      </c>
      <c r="B11" s="688"/>
      <c r="C11" s="688"/>
      <c r="D11" s="688">
        <f>SUM(D7:D10)</f>
      </c>
      <c r="E11" s="688">
        <f>SUM(E7:E10)</f>
      </c>
      <c r="F11" s="688">
        <f>SUM(F7:F10)</f>
      </c>
      <c r="G11" s="688">
        <f>SUM(G7:G10)</f>
      </c>
      <c r="H11" s="688">
        <f>SUM(H7:H10)</f>
      </c>
      <c r="I11" s="688">
        <f>SUM(I7:I10)</f>
      </c>
      <c r="J11" s="688">
        <f>SUM(J7:J10)</f>
      </c>
      <c r="K11" s="688">
        <f>SUM(K7:K10)</f>
      </c>
      <c r="L11" s="689">
        <f t="shared" si="0"/>
      </c>
      <c r="M11" s="689">
        <f t="shared" si="1"/>
      </c>
      <c r="N11" s="689">
        <f t="shared" si="2"/>
      </c>
      <c r="O11" s="690"/>
      <c r="P11" s="688">
        <f>SUM(P7:P10)</f>
      </c>
      <c r="Q11" s="690"/>
    </row>
    <row hidden="true" r="12">
      <c r="A12" s="676">
        <v>45903</v>
      </c>
      <c r="B12" s="677" t="s">
        <v>727</v>
      </c>
      <c r="C12" s="678" t="s">
        <v>728</v>
      </c>
      <c r="D12" s="677">
        <v>5</v>
      </c>
      <c r="E12" s="677">
        <v>87</v>
      </c>
      <c r="F12" s="677">
        <v>61</v>
      </c>
      <c r="G12" s="677">
        <v>40</v>
      </c>
      <c r="H12" s="677">
        <v>49</v>
      </c>
      <c r="I12" s="677">
        <v>11</v>
      </c>
      <c r="J12" s="679">
        <v>57739.59999999999</v>
      </c>
      <c r="K12" s="679">
        <v>28884.190000000002</v>
      </c>
      <c r="L12" s="680">
        <f t="shared" si="0"/>
      </c>
      <c r="M12" s="680">
        <f t="shared" si="1"/>
      </c>
      <c r="N12" s="680">
        <f t="shared" si="2"/>
      </c>
      <c r="O12" s="681" t="s">
        <v>729</v>
      </c>
      <c r="P12" s="677">
        <v>9</v>
      </c>
    </row>
    <row hidden="true" r="13">
      <c r="A13" s="676">
        <v>45903</v>
      </c>
      <c r="B13" s="677" t="s">
        <v>733</v>
      </c>
      <c r="C13" s="678" t="s">
        <v>731</v>
      </c>
      <c r="D13" s="677">
        <v>4</v>
      </c>
      <c r="E13" s="677">
        <v>53</v>
      </c>
      <c r="F13" s="677">
        <v>42</v>
      </c>
      <c r="G13" s="677">
        <v>28</v>
      </c>
      <c r="H13" s="677">
        <v>33</v>
      </c>
      <c r="I13" s="677">
        <v>8</v>
      </c>
      <c r="J13" s="679">
        <v>33050.4</v>
      </c>
      <c r="K13" s="683">
        <v>18991.969999999998</v>
      </c>
      <c r="L13" s="680">
        <f t="shared" si="0"/>
      </c>
      <c r="M13" s="680">
        <f t="shared" si="1"/>
      </c>
      <c r="N13" s="680">
        <f t="shared" si="2"/>
      </c>
      <c r="O13" s="681"/>
      <c r="P13" s="677"/>
    </row>
    <row hidden="true" r="14">
      <c r="A14" s="676">
        <v>45903</v>
      </c>
      <c r="B14" s="677" t="s">
        <v>738</v>
      </c>
      <c r="C14" s="678" t="s">
        <v>734</v>
      </c>
      <c r="D14" s="677">
        <v>4</v>
      </c>
      <c r="E14" s="677">
        <v>49</v>
      </c>
      <c r="F14" s="677">
        <v>42</v>
      </c>
      <c r="G14" s="677">
        <v>26</v>
      </c>
      <c r="H14" s="677">
        <v>29</v>
      </c>
      <c r="I14" s="677">
        <v>5</v>
      </c>
      <c r="J14" s="683">
        <v>39395.399999999994</v>
      </c>
      <c r="K14" s="679">
        <v>15922.91</v>
      </c>
      <c r="L14" s="680">
        <f t="shared" si="0"/>
      </c>
      <c r="M14" s="680">
        <f t="shared" si="1"/>
      </c>
      <c r="N14" s="680">
        <f t="shared" si="2"/>
      </c>
      <c r="O14" s="685"/>
      <c r="P14" s="686"/>
    </row>
    <row hidden="true" r="15">
      <c r="A15" s="676">
        <v>45903</v>
      </c>
      <c r="B15" s="677" t="s">
        <v>730</v>
      </c>
      <c r="C15" s="678" t="s">
        <v>736</v>
      </c>
      <c r="D15" s="677">
        <v>5</v>
      </c>
      <c r="E15" s="677">
        <v>120</v>
      </c>
      <c r="F15" s="677">
        <v>91</v>
      </c>
      <c r="G15" s="677">
        <v>44</v>
      </c>
      <c r="H15" s="677">
        <v>74</v>
      </c>
      <c r="I15" s="677">
        <v>15</v>
      </c>
      <c r="J15" s="683">
        <v>86538.2</v>
      </c>
      <c r="K15" s="683">
        <v>32859.479999999996</v>
      </c>
      <c r="L15" s="680">
        <f t="shared" si="0"/>
      </c>
      <c r="M15" s="680">
        <f t="shared" si="1"/>
      </c>
      <c r="N15" s="680">
        <f t="shared" si="2"/>
      </c>
      <c r="O15" s="681" t="s">
        <v>732</v>
      </c>
      <c r="P15" s="677">
        <v>9</v>
      </c>
    </row>
    <row r="16">
      <c r="A16" s="687">
        <v>45903</v>
      </c>
      <c r="B16" s="688"/>
      <c r="C16" s="688"/>
      <c r="D16" s="688">
        <f>SUM(D12:D15)</f>
      </c>
      <c r="E16" s="688">
        <f>SUM(E12:E15)</f>
      </c>
      <c r="F16" s="688">
        <f>SUM(F12:F15)</f>
      </c>
      <c r="G16" s="688">
        <f>SUM(G12:G15)</f>
      </c>
      <c r="H16" s="688">
        <f>SUM(H12:H15)</f>
      </c>
      <c r="I16" s="688">
        <f>SUM(I12:I15)</f>
      </c>
      <c r="J16" s="688">
        <f>SUM(J12:J15)</f>
      </c>
      <c r="K16" s="688">
        <f>SUM(K12:K15)</f>
      </c>
      <c r="L16" s="689">
        <f t="shared" si="0"/>
      </c>
      <c r="M16" s="689">
        <f t="shared" si="1"/>
      </c>
      <c r="N16" s="689">
        <f t="shared" si="2"/>
      </c>
      <c r="O16" s="690"/>
      <c r="P16" s="688">
        <f>SUM(P12:P15)</f>
      </c>
      <c r="Q16" s="690"/>
    </row>
    <row hidden="true" r="17">
      <c r="A17" s="676">
        <v>45904</v>
      </c>
      <c r="B17" s="677" t="s">
        <v>727</v>
      </c>
      <c r="C17" s="678" t="s">
        <v>728</v>
      </c>
      <c r="D17" s="677">
        <v>5</v>
      </c>
      <c r="E17" s="677">
        <v>64</v>
      </c>
      <c r="F17" s="677">
        <v>43</v>
      </c>
      <c r="G17" s="677">
        <v>23</v>
      </c>
      <c r="H17" s="677">
        <v>30</v>
      </c>
      <c r="I17" s="677">
        <v>7</v>
      </c>
      <c r="J17" s="679">
        <v>50015.2</v>
      </c>
      <c r="K17" s="679">
        <v>22819.850000000002</v>
      </c>
      <c r="L17" s="680">
        <f t="shared" si="0"/>
      </c>
      <c r="M17" s="680">
        <f t="shared" si="1"/>
      </c>
      <c r="N17" s="680">
        <f t="shared" si="2"/>
      </c>
      <c r="O17" s="681" t="s">
        <v>739</v>
      </c>
      <c r="P17" s="677">
        <v>9</v>
      </c>
      <c r="Q17" s="682"/>
    </row>
    <row hidden="true" r="18">
      <c r="A18" s="676">
        <v>45904</v>
      </c>
      <c r="B18" s="677" t="s">
        <v>733</v>
      </c>
      <c r="C18" s="678" t="s">
        <v>731</v>
      </c>
      <c r="D18" s="677">
        <v>4</v>
      </c>
      <c r="E18" s="677">
        <v>47</v>
      </c>
      <c r="F18" s="677">
        <v>25</v>
      </c>
      <c r="G18" s="677">
        <v>17</v>
      </c>
      <c r="H18" s="677">
        <v>21</v>
      </c>
      <c r="I18" s="677">
        <v>5</v>
      </c>
      <c r="J18" s="679">
        <v>18768.4</v>
      </c>
      <c r="K18" s="683">
        <v>14551.5</v>
      </c>
      <c r="L18" s="680">
        <f t="shared" si="0"/>
      </c>
      <c r="M18" s="680">
        <f t="shared" si="1"/>
      </c>
      <c r="N18" s="680">
        <f t="shared" si="2"/>
      </c>
      <c r="O18" s="681"/>
      <c r="P18" s="677"/>
      <c r="Q18" s="684"/>
    </row>
    <row hidden="true" r="19">
      <c r="A19" s="676">
        <v>45904</v>
      </c>
      <c r="B19" s="677" t="s">
        <v>738</v>
      </c>
      <c r="C19" s="678" t="s">
        <v>734</v>
      </c>
      <c r="D19" s="677">
        <v>4</v>
      </c>
      <c r="E19" s="677">
        <v>39</v>
      </c>
      <c r="F19" s="677">
        <v>25</v>
      </c>
      <c r="G19" s="677">
        <v>19</v>
      </c>
      <c r="H19" s="677">
        <v>18</v>
      </c>
      <c r="I19" s="677">
        <v>3</v>
      </c>
      <c r="J19" s="683">
        <v>23161.800000000003</v>
      </c>
      <c r="K19" s="679">
        <v>16652.809999999998</v>
      </c>
      <c r="L19" s="680">
        <f t="shared" si="0"/>
      </c>
      <c r="M19" s="680">
        <f t="shared" si="1"/>
      </c>
      <c r="N19" s="680">
        <f t="shared" si="2"/>
      </c>
      <c r="O19" s="685"/>
      <c r="P19" s="686"/>
      <c r="Q19" s="684"/>
    </row>
    <row hidden="true" r="20">
      <c r="A20" s="676">
        <v>45904</v>
      </c>
      <c r="B20" s="677" t="s">
        <v>730</v>
      </c>
      <c r="C20" s="678" t="s">
        <v>736</v>
      </c>
      <c r="D20" s="677">
        <v>5</v>
      </c>
      <c r="E20" s="677">
        <v>45</v>
      </c>
      <c r="F20" s="677">
        <v>29</v>
      </c>
      <c r="G20" s="677">
        <v>22</v>
      </c>
      <c r="H20" s="677">
        <v>21</v>
      </c>
      <c r="I20" s="677">
        <v>4</v>
      </c>
      <c r="J20" s="683">
        <v>35622.200000000004</v>
      </c>
      <c r="K20" s="683">
        <v>18575.640000000003</v>
      </c>
      <c r="L20" s="680">
        <f t="shared" si="0"/>
      </c>
      <c r="M20" s="680">
        <f t="shared" si="1"/>
      </c>
      <c r="N20" s="680">
        <f t="shared" si="2"/>
      </c>
      <c r="O20" s="681" t="s">
        <v>732</v>
      </c>
      <c r="P20" s="677">
        <v>9</v>
      </c>
      <c r="Q20" s="684"/>
    </row>
    <row r="21">
      <c r="A21" s="687">
        <v>45904</v>
      </c>
      <c r="B21" s="688"/>
      <c r="C21" s="688"/>
      <c r="D21" s="688">
        <f>SUM(D17:D20)</f>
      </c>
      <c r="E21" s="688">
        <f>SUM(E17:E20)</f>
      </c>
      <c r="F21" s="688">
        <f>SUM(F17:F20)</f>
      </c>
      <c r="G21" s="688">
        <f>SUM(G17:G20)</f>
      </c>
      <c r="H21" s="688">
        <f>SUM(H17:H20)</f>
      </c>
      <c r="I21" s="688">
        <f>SUM(I17:I20)</f>
      </c>
      <c r="J21" s="688">
        <f>SUM(J17:J20)</f>
      </c>
      <c r="K21" s="688">
        <f>SUM(K17:K20)</f>
      </c>
      <c r="L21" s="689">
        <f t="shared" si="0"/>
      </c>
      <c r="M21" s="689">
        <f t="shared" si="1"/>
      </c>
      <c r="N21" s="689">
        <f t="shared" si="2"/>
      </c>
      <c r="O21" s="690"/>
      <c r="P21" s="688">
        <f>SUM(P17:P20)</f>
      </c>
      <c r="Q21" s="690"/>
    </row>
    <row hidden="true" r="22">
      <c r="A22" s="676">
        <v>45905</v>
      </c>
      <c r="B22" s="677" t="s">
        <v>727</v>
      </c>
      <c r="C22" s="678" t="s">
        <v>740</v>
      </c>
      <c r="D22" s="677">
        <v>5</v>
      </c>
      <c r="E22" s="677">
        <v>86</v>
      </c>
      <c r="F22" s="677">
        <v>59</v>
      </c>
      <c r="G22" s="677">
        <v>42</v>
      </c>
      <c r="H22" s="677">
        <v>39</v>
      </c>
      <c r="I22" s="677">
        <v>9</v>
      </c>
      <c r="J22" s="679">
        <v>78955</v>
      </c>
      <c r="K22" s="679">
        <v>31450.390000000003</v>
      </c>
      <c r="L22" s="680">
        <f t="shared" si="0"/>
      </c>
      <c r="M22" s="680">
        <f t="shared" si="1"/>
      </c>
      <c r="N22" s="680">
        <f t="shared" si="2"/>
      </c>
      <c r="O22" s="681" t="s">
        <v>741</v>
      </c>
      <c r="P22" s="677">
        <v>10</v>
      </c>
      <c r="Q22" s="691"/>
    </row>
    <row hidden="true" r="23">
      <c r="A23" s="676">
        <v>45905</v>
      </c>
      <c r="B23" s="677" t="s">
        <v>730</v>
      </c>
      <c r="C23" s="678" t="s">
        <v>742</v>
      </c>
      <c r="D23" s="677">
        <v>5</v>
      </c>
      <c r="E23" s="677">
        <v>97</v>
      </c>
      <c r="F23" s="677">
        <v>74</v>
      </c>
      <c r="G23" s="677">
        <v>55</v>
      </c>
      <c r="H23" s="677">
        <v>57</v>
      </c>
      <c r="I23" s="677">
        <v>9</v>
      </c>
      <c r="J23" s="679">
        <v>75557.2</v>
      </c>
      <c r="K23" s="683">
        <v>46583.69</v>
      </c>
      <c r="L23" s="680">
        <f t="shared" si="0"/>
      </c>
      <c r="M23" s="680">
        <f t="shared" si="1"/>
      </c>
      <c r="N23" s="680">
        <f t="shared" si="2"/>
      </c>
      <c r="O23" s="681"/>
      <c r="P23" s="677"/>
      <c r="Q23" s="684"/>
    </row>
    <row hidden="true" r="24">
      <c r="A24" s="676">
        <v>45905</v>
      </c>
      <c r="B24" s="677" t="s">
        <v>738</v>
      </c>
      <c r="C24" s="678" t="s">
        <v>743</v>
      </c>
      <c r="D24" s="677">
        <v>5</v>
      </c>
      <c r="E24" s="677">
        <v>70</v>
      </c>
      <c r="F24" s="677">
        <v>53</v>
      </c>
      <c r="G24" s="677">
        <v>40</v>
      </c>
      <c r="H24" s="677">
        <v>38</v>
      </c>
      <c r="I24" s="677">
        <v>5</v>
      </c>
      <c r="J24" s="683">
        <v>57885.99999999999</v>
      </c>
      <c r="K24" s="679">
        <v>29282.55</v>
      </c>
      <c r="L24" s="680">
        <f t="shared" si="0"/>
      </c>
      <c r="M24" s="680">
        <f t="shared" si="1"/>
      </c>
      <c r="N24" s="680">
        <f t="shared" si="2"/>
      </c>
      <c r="O24" s="685"/>
      <c r="P24" s="686"/>
      <c r="Q24" s="684"/>
    </row>
    <row hidden="true" r="25">
      <c r="A25" s="676">
        <v>45905</v>
      </c>
      <c r="B25" s="677" t="s">
        <v>735</v>
      </c>
      <c r="C25" s="678" t="s">
        <v>744</v>
      </c>
      <c r="D25" s="677">
        <v>5</v>
      </c>
      <c r="E25" s="677">
        <v>131</v>
      </c>
      <c r="F25" s="677">
        <v>86</v>
      </c>
      <c r="G25" s="677">
        <v>57</v>
      </c>
      <c r="H25" s="677">
        <v>59</v>
      </c>
      <c r="I25" s="677">
        <v>11</v>
      </c>
      <c r="J25" s="683">
        <v>96921</v>
      </c>
      <c r="K25" s="683">
        <v>41330.36</v>
      </c>
      <c r="L25" s="680">
        <f t="shared" si="0"/>
      </c>
      <c r="M25" s="680">
        <f t="shared" si="1"/>
      </c>
      <c r="N25" s="680">
        <f t="shared" si="2"/>
      </c>
      <c r="O25" s="681" t="s">
        <v>745</v>
      </c>
      <c r="P25" s="677">
        <v>10</v>
      </c>
      <c r="Q25" s="692"/>
    </row>
    <row r="26">
      <c r="A26" s="687">
        <v>45905</v>
      </c>
      <c r="B26" s="688"/>
      <c r="C26" s="688"/>
      <c r="D26" s="688">
        <f>SUM(D22:D25)</f>
      </c>
      <c r="E26" s="688">
        <f>SUM(E22:E25)</f>
      </c>
      <c r="F26" s="688">
        <f>SUM(F22:F25)</f>
      </c>
      <c r="G26" s="688">
        <f>SUM(G22:G25)</f>
      </c>
      <c r="H26" s="688">
        <f>SUM(H22:H25)</f>
      </c>
      <c r="I26" s="688">
        <f>SUM(I22:I25)</f>
      </c>
      <c r="J26" s="688">
        <f>SUM(J22:J25)</f>
      </c>
      <c r="K26" s="688">
        <f>SUM(K22:K25)</f>
      </c>
      <c r="L26" s="689">
        <f t="shared" si="0"/>
      </c>
      <c r="M26" s="689">
        <f t="shared" si="1"/>
      </c>
      <c r="N26" s="689">
        <f t="shared" si="2"/>
      </c>
      <c r="O26" s="690"/>
      <c r="P26" s="688">
        <f>SUM(P22:P25)</f>
      </c>
      <c r="Q26" s="690"/>
    </row>
    <row hidden="true" r="27">
      <c r="A27" s="676">
        <v>45906</v>
      </c>
      <c r="B27" s="677" t="s">
        <v>730</v>
      </c>
      <c r="C27" s="678" t="s">
        <v>740</v>
      </c>
      <c r="D27" s="677">
        <v>5</v>
      </c>
      <c r="E27" s="677">
        <v>83</v>
      </c>
      <c r="F27" s="677">
        <v>64</v>
      </c>
      <c r="G27" s="677">
        <v>46</v>
      </c>
      <c r="H27" s="677">
        <v>49</v>
      </c>
      <c r="I27" s="677">
        <v>7</v>
      </c>
      <c r="J27" s="679">
        <v>74201.20000000001</v>
      </c>
      <c r="K27" s="679">
        <v>37323.159999999996</v>
      </c>
      <c r="L27" s="680">
        <f t="shared" si="0"/>
      </c>
      <c r="M27" s="680">
        <f t="shared" si="1"/>
      </c>
      <c r="N27" s="680">
        <f t="shared" si="2"/>
      </c>
      <c r="O27" s="681" t="s">
        <v>741</v>
      </c>
      <c r="P27" s="677">
        <v>10</v>
      </c>
      <c r="Q27" s="691"/>
    </row>
    <row hidden="true" r="28">
      <c r="A28" s="676">
        <v>45906</v>
      </c>
      <c r="B28" s="677" t="s">
        <v>727</v>
      </c>
      <c r="C28" s="678" t="s">
        <v>742</v>
      </c>
      <c r="D28" s="677">
        <v>5</v>
      </c>
      <c r="E28" s="677">
        <v>111</v>
      </c>
      <c r="F28" s="677">
        <v>80</v>
      </c>
      <c r="G28" s="677">
        <v>52</v>
      </c>
      <c r="H28" s="677">
        <v>65</v>
      </c>
      <c r="I28" s="677">
        <v>11</v>
      </c>
      <c r="J28" s="679">
        <v>76486.59999999998</v>
      </c>
      <c r="K28" s="683">
        <v>38946.62</v>
      </c>
      <c r="L28" s="680">
        <f t="shared" si="0"/>
      </c>
      <c r="M28" s="680">
        <f t="shared" si="1"/>
      </c>
      <c r="N28" s="680">
        <f t="shared" si="2"/>
      </c>
      <c r="O28" s="681"/>
      <c r="P28" s="677"/>
      <c r="Q28" s="684"/>
    </row>
    <row hidden="true" r="29">
      <c r="A29" s="676">
        <v>45906</v>
      </c>
      <c r="B29" s="677" t="s">
        <v>738</v>
      </c>
      <c r="C29" s="678" t="s">
        <v>743</v>
      </c>
      <c r="D29" s="677">
        <v>5</v>
      </c>
      <c r="E29" s="677">
        <v>76</v>
      </c>
      <c r="F29" s="677">
        <v>52</v>
      </c>
      <c r="G29" s="677">
        <v>41</v>
      </c>
      <c r="H29" s="677">
        <v>41</v>
      </c>
      <c r="I29" s="677">
        <v>4</v>
      </c>
      <c r="J29" s="683">
        <v>56160.2</v>
      </c>
      <c r="K29" s="679">
        <v>27772.870000000003</v>
      </c>
      <c r="L29" s="680">
        <f t="shared" si="0"/>
      </c>
      <c r="M29" s="680">
        <f t="shared" si="1"/>
      </c>
      <c r="N29" s="680">
        <f t="shared" si="2"/>
      </c>
      <c r="O29" s="685"/>
      <c r="P29" s="686"/>
      <c r="Q29" s="684"/>
    </row>
    <row hidden="true" r="30">
      <c r="A30" s="676">
        <v>45906</v>
      </c>
      <c r="B30" s="677" t="s">
        <v>735</v>
      </c>
      <c r="C30" s="678" t="s">
        <v>744</v>
      </c>
      <c r="D30" s="677">
        <v>5</v>
      </c>
      <c r="E30" s="677">
        <v>47</v>
      </c>
      <c r="F30" s="677">
        <v>31</v>
      </c>
      <c r="G30" s="677">
        <v>19</v>
      </c>
      <c r="H30" s="677">
        <v>21</v>
      </c>
      <c r="I30" s="677">
        <v>7</v>
      </c>
      <c r="J30" s="683">
        <v>41097.4</v>
      </c>
      <c r="K30" s="683">
        <v>24965.910000000003</v>
      </c>
      <c r="L30" s="680">
        <f t="shared" si="0"/>
      </c>
      <c r="M30" s="680">
        <f t="shared" si="1"/>
      </c>
      <c r="N30" s="680">
        <f t="shared" si="2"/>
      </c>
      <c r="O30" s="681" t="s">
        <v>745</v>
      </c>
      <c r="P30" s="677">
        <v>10</v>
      </c>
      <c r="Q30" s="692"/>
    </row>
    <row r="31">
      <c r="A31" s="687">
        <v>45906</v>
      </c>
      <c r="B31" s="688"/>
      <c r="C31" s="688"/>
      <c r="D31" s="688">
        <f>SUM(D27:D30)</f>
      </c>
      <c r="E31" s="688">
        <f>SUM(E27:E30)</f>
      </c>
      <c r="F31" s="688">
        <f>SUM(F27:F30)</f>
      </c>
      <c r="G31" s="688">
        <f>SUM(G27:G30)</f>
      </c>
      <c r="H31" s="688">
        <f>SUM(H27:H30)</f>
      </c>
      <c r="I31" s="688">
        <f>SUM(I27:I30)</f>
      </c>
      <c r="J31" s="688">
        <f>SUM(J27:J30)</f>
      </c>
      <c r="K31" s="688">
        <f>SUM(K27:K30)</f>
      </c>
      <c r="L31" s="689">
        <f t="shared" si="0"/>
      </c>
      <c r="M31" s="689">
        <f t="shared" si="1"/>
      </c>
      <c r="N31" s="689">
        <f t="shared" si="2"/>
      </c>
      <c r="O31" s="690"/>
      <c r="P31" s="688">
        <f>SUM(P27:P30)</f>
      </c>
      <c r="Q31" s="690"/>
    </row>
    <row hidden="true" r="32">
      <c r="A32" s="676">
        <v>45907</v>
      </c>
      <c r="B32" s="677" t="s">
        <v>730</v>
      </c>
      <c r="C32" s="678" t="s">
        <v>740</v>
      </c>
      <c r="D32" s="677">
        <v>5</v>
      </c>
      <c r="E32" s="677">
        <v>43</v>
      </c>
      <c r="F32" s="677">
        <v>36</v>
      </c>
      <c r="G32" s="677">
        <v>25</v>
      </c>
      <c r="H32" s="677">
        <v>27</v>
      </c>
      <c r="I32" s="677">
        <v>5</v>
      </c>
      <c r="J32" s="679">
        <v>49959.200000000004</v>
      </c>
      <c r="K32" s="679">
        <v>22757.839999999997</v>
      </c>
      <c r="L32" s="680">
        <f t="shared" si="0"/>
      </c>
      <c r="M32" s="680">
        <f t="shared" si="1"/>
      </c>
      <c r="N32" s="680">
        <f t="shared" si="2"/>
      </c>
      <c r="O32" s="681" t="s">
        <v>741</v>
      </c>
      <c r="P32" s="677">
        <v>10</v>
      </c>
      <c r="Q32" s="691"/>
    </row>
    <row hidden="true" r="33">
      <c r="A33" s="676">
        <v>45907</v>
      </c>
      <c r="B33" s="677" t="s">
        <v>727</v>
      </c>
      <c r="C33" s="678" t="s">
        <v>742</v>
      </c>
      <c r="D33" s="677">
        <v>5</v>
      </c>
      <c r="E33" s="677">
        <v>52</v>
      </c>
      <c r="F33" s="677">
        <v>35</v>
      </c>
      <c r="G33" s="677">
        <v>25</v>
      </c>
      <c r="H33" s="677">
        <v>24</v>
      </c>
      <c r="I33" s="677">
        <v>4</v>
      </c>
      <c r="J33" s="679">
        <v>52767.8</v>
      </c>
      <c r="K33" s="683">
        <v>20110.589999999997</v>
      </c>
      <c r="L33" s="680">
        <f t="shared" si="0"/>
      </c>
      <c r="M33" s="680">
        <f t="shared" si="1"/>
      </c>
      <c r="N33" s="680">
        <f t="shared" si="2"/>
      </c>
      <c r="O33" s="681"/>
      <c r="P33" s="677"/>
      <c r="Q33" s="684"/>
    </row>
    <row hidden="true" r="34">
      <c r="A34" s="676">
        <v>45907</v>
      </c>
      <c r="B34" s="677" t="s">
        <v>733</v>
      </c>
      <c r="C34" s="678" t="s">
        <v>743</v>
      </c>
      <c r="D34" s="677">
        <v>5</v>
      </c>
      <c r="E34" s="677">
        <v>24</v>
      </c>
      <c r="F34" s="677">
        <v>16</v>
      </c>
      <c r="G34" s="677">
        <v>9</v>
      </c>
      <c r="H34" s="677">
        <v>13</v>
      </c>
      <c r="I34" s="677">
        <v>1</v>
      </c>
      <c r="J34" s="683">
        <v>12206.2</v>
      </c>
      <c r="K34" s="679">
        <v>13829.330000000002</v>
      </c>
      <c r="L34" s="680">
        <f t="shared" si="0"/>
      </c>
      <c r="M34" s="680">
        <f t="shared" si="1"/>
      </c>
      <c r="N34" s="680">
        <f t="shared" si="2"/>
      </c>
      <c r="O34" s="685"/>
      <c r="P34" s="686"/>
      <c r="Q34" s="684"/>
    </row>
    <row hidden="true" r="35">
      <c r="A35" s="676">
        <v>45907</v>
      </c>
      <c r="B35" s="677" t="s">
        <v>735</v>
      </c>
      <c r="C35" s="678" t="s">
        <v>744</v>
      </c>
      <c r="D35" s="677">
        <v>5</v>
      </c>
      <c r="E35" s="677">
        <v>33</v>
      </c>
      <c r="F35" s="677">
        <v>27</v>
      </c>
      <c r="G35" s="677">
        <v>17</v>
      </c>
      <c r="H35" s="677">
        <v>16</v>
      </c>
      <c r="I35" s="677">
        <v>3</v>
      </c>
      <c r="J35" s="683">
        <v>31952</v>
      </c>
      <c r="K35" s="683">
        <v>12318.67</v>
      </c>
      <c r="L35" s="680">
        <f t="shared" si="0"/>
      </c>
      <c r="M35" s="680">
        <f t="shared" si="1"/>
      </c>
      <c r="N35" s="680">
        <f t="shared" si="2"/>
      </c>
      <c r="O35" s="681" t="s">
        <v>745</v>
      </c>
      <c r="P35" s="677">
        <v>10</v>
      </c>
      <c r="Q35" s="692"/>
    </row>
    <row customHeight="true" ht="17.380950564429874" r="36">
      <c r="A36" s="687">
        <v>45907</v>
      </c>
      <c r="B36" s="688"/>
      <c r="C36" s="688"/>
      <c r="D36" s="688">
        <f>SUM(D32:D35)</f>
      </c>
      <c r="E36" s="688">
        <f>SUM(E32:E35)</f>
      </c>
      <c r="F36" s="688">
        <f>SUM(F32:F35)</f>
      </c>
      <c r="G36" s="688">
        <f>SUM(G32:G35)</f>
      </c>
      <c r="H36" s="688">
        <f>SUM(H32:H35)</f>
      </c>
      <c r="I36" s="688">
        <f>SUM(I32:I35)</f>
      </c>
      <c r="J36" s="688">
        <f>SUM(J32:J35)</f>
      </c>
      <c r="K36" s="688">
        <f>SUM(K32:K35)</f>
      </c>
      <c r="L36" s="689">
        <f t="shared" si="0"/>
      </c>
      <c r="M36" s="689">
        <f t="shared" si="1"/>
      </c>
      <c r="N36" s="689">
        <f t="shared" si="2"/>
      </c>
      <c r="O36" s="690"/>
      <c r="P36" s="688">
        <f>SUM(P32:P35)</f>
      </c>
      <c r="Q36" s="690"/>
    </row>
    <row hidden="true" r="37">
      <c r="A37" s="676">
        <v>45908</v>
      </c>
      <c r="B37" s="677" t="s">
        <v>727</v>
      </c>
      <c r="C37" s="678" t="s">
        <v>740</v>
      </c>
      <c r="D37" s="677">
        <v>5</v>
      </c>
      <c r="E37" s="677">
        <v>78</v>
      </c>
      <c r="F37" s="677">
        <v>62</v>
      </c>
      <c r="G37" s="677">
        <v>43</v>
      </c>
      <c r="H37" s="677">
        <v>46</v>
      </c>
      <c r="I37" s="677">
        <v>7</v>
      </c>
      <c r="J37" s="679">
        <v>67777.79999999999</v>
      </c>
      <c r="K37" s="679">
        <v>30636.64</v>
      </c>
      <c r="L37" s="680">
        <f t="shared" si="0"/>
      </c>
      <c r="M37" s="680">
        <f t="shared" si="1"/>
      </c>
      <c r="N37" s="680">
        <f t="shared" si="2"/>
      </c>
      <c r="O37" s="681" t="s">
        <v>741</v>
      </c>
      <c r="P37" s="677">
        <v>10</v>
      </c>
      <c r="Q37" s="691"/>
    </row>
    <row hidden="true" r="38">
      <c r="A38" s="676">
        <v>45908</v>
      </c>
      <c r="B38" s="677" t="s">
        <v>733</v>
      </c>
      <c r="C38" s="678" t="s">
        <v>742</v>
      </c>
      <c r="D38" s="677">
        <v>5</v>
      </c>
      <c r="E38" s="677">
        <v>67</v>
      </c>
      <c r="F38" s="677">
        <v>43</v>
      </c>
      <c r="G38" s="677">
        <v>33</v>
      </c>
      <c r="H38" s="677">
        <v>38</v>
      </c>
      <c r="I38" s="677">
        <v>3</v>
      </c>
      <c r="J38" s="679">
        <v>36828.2</v>
      </c>
      <c r="K38" s="683">
        <v>33482.409999999996</v>
      </c>
      <c r="L38" s="680">
        <f t="shared" si="0"/>
      </c>
      <c r="M38" s="680">
        <f t="shared" si="1"/>
      </c>
      <c r="N38" s="680">
        <f t="shared" si="2"/>
      </c>
      <c r="O38" s="681"/>
      <c r="P38" s="677"/>
      <c r="Q38" s="684"/>
    </row>
    <row hidden="true" r="39">
      <c r="A39" s="676">
        <v>45908</v>
      </c>
      <c r="B39" s="677" t="s">
        <v>735</v>
      </c>
      <c r="C39" s="678" t="s">
        <v>743</v>
      </c>
      <c r="D39" s="677">
        <v>5</v>
      </c>
      <c r="E39" s="677">
        <v>51</v>
      </c>
      <c r="F39" s="677">
        <v>35</v>
      </c>
      <c r="G39" s="677">
        <v>22</v>
      </c>
      <c r="H39" s="677">
        <v>25</v>
      </c>
      <c r="I39" s="677">
        <v>5</v>
      </c>
      <c r="J39" s="683">
        <v>39419</v>
      </c>
      <c r="K39" s="679">
        <v>16054.670000000002</v>
      </c>
      <c r="L39" s="680">
        <f t="shared" si="0"/>
      </c>
      <c r="M39" s="680">
        <f t="shared" si="1"/>
      </c>
      <c r="N39" s="680">
        <f t="shared" si="2"/>
      </c>
      <c r="O39" s="685"/>
      <c r="P39" s="686"/>
      <c r="Q39" s="684"/>
    </row>
    <row hidden="true" r="40">
      <c r="A40" s="676">
        <v>45908</v>
      </c>
      <c r="B40" s="677" t="s">
        <v>730</v>
      </c>
      <c r="C40" s="678" t="s">
        <v>744</v>
      </c>
      <c r="D40" s="677">
        <v>5</v>
      </c>
      <c r="E40" s="677">
        <v>46</v>
      </c>
      <c r="F40" s="677">
        <v>25</v>
      </c>
      <c r="G40" s="677">
        <v>17</v>
      </c>
      <c r="H40" s="677">
        <v>19</v>
      </c>
      <c r="I40" s="677">
        <v>3</v>
      </c>
      <c r="J40" s="683">
        <v>25537.199999999997</v>
      </c>
      <c r="K40" s="683">
        <v>12530.41</v>
      </c>
      <c r="L40" s="680">
        <f t="shared" si="0"/>
      </c>
      <c r="M40" s="680">
        <f t="shared" si="1"/>
      </c>
      <c r="N40" s="680">
        <f t="shared" si="2"/>
      </c>
      <c r="O40" s="681" t="s">
        <v>745</v>
      </c>
      <c r="P40" s="677">
        <v>10</v>
      </c>
      <c r="Q40" s="692"/>
    </row>
    <row r="41">
      <c r="A41" s="687">
        <v>45908</v>
      </c>
      <c r="B41" s="688"/>
      <c r="C41" s="688"/>
      <c r="D41" s="688">
        <f>SUM(D37:D40)</f>
      </c>
      <c r="E41" s="688">
        <f>SUM(E37:E40)</f>
      </c>
      <c r="F41" s="688">
        <f>SUM(F37:F40)</f>
      </c>
      <c r="G41" s="688">
        <f>SUM(G37:G40)</f>
      </c>
      <c r="H41" s="688">
        <f>SUM(H37:H40)</f>
      </c>
      <c r="I41" s="688">
        <f>SUM(I37:I40)</f>
      </c>
      <c r="J41" s="688">
        <f>SUM(J37:J40)</f>
      </c>
      <c r="K41" s="688">
        <f>SUM(K37:K40)</f>
      </c>
      <c r="L41" s="689">
        <f t="shared" si="0"/>
      </c>
      <c r="M41" s="689">
        <f t="shared" si="1"/>
      </c>
      <c r="N41" s="689">
        <f t="shared" si="2"/>
      </c>
      <c r="O41" s="690"/>
      <c r="P41" s="688">
        <f>SUM(P37:P40)</f>
      </c>
      <c r="Q41" s="690"/>
    </row>
    <row hidden="true" r="42">
      <c r="A42" s="676">
        <v>45909</v>
      </c>
      <c r="B42" s="677" t="s">
        <v>727</v>
      </c>
      <c r="C42" s="678" t="s">
        <v>740</v>
      </c>
      <c r="D42" s="677">
        <v>5</v>
      </c>
      <c r="E42" s="677">
        <v>51</v>
      </c>
      <c r="F42" s="677">
        <v>37</v>
      </c>
      <c r="G42" s="677">
        <v>31</v>
      </c>
      <c r="H42" s="677">
        <v>30</v>
      </c>
      <c r="I42" s="677">
        <v>2</v>
      </c>
      <c r="J42" s="679">
        <v>30531.399999999994</v>
      </c>
      <c r="K42" s="679">
        <v>24006.519999999997</v>
      </c>
      <c r="L42" s="680">
        <f t="shared" si="0"/>
      </c>
      <c r="M42" s="680">
        <f t="shared" si="1"/>
      </c>
      <c r="N42" s="680">
        <f t="shared" si="2"/>
      </c>
      <c r="O42" s="681" t="s">
        <v>741</v>
      </c>
      <c r="P42" s="677">
        <v>10</v>
      </c>
      <c r="Q42" s="691"/>
    </row>
    <row hidden="true" r="43">
      <c r="A43" s="676">
        <v>45909</v>
      </c>
      <c r="B43" s="677" t="s">
        <v>733</v>
      </c>
      <c r="C43" s="678" t="s">
        <v>742</v>
      </c>
      <c r="D43" s="677">
        <v>5</v>
      </c>
      <c r="E43" s="677">
        <v>75</v>
      </c>
      <c r="F43" s="677">
        <v>47</v>
      </c>
      <c r="G43" s="677">
        <v>27</v>
      </c>
      <c r="H43" s="677">
        <v>39</v>
      </c>
      <c r="I43" s="677">
        <v>9</v>
      </c>
      <c r="J43" s="679">
        <v>34593.6</v>
      </c>
      <c r="K43" s="683">
        <v>19778.45</v>
      </c>
      <c r="L43" s="680">
        <f t="shared" si="0"/>
      </c>
      <c r="M43" s="680">
        <f t="shared" si="1"/>
      </c>
      <c r="N43" s="680">
        <f t="shared" si="2"/>
      </c>
      <c r="O43" s="681"/>
      <c r="P43" s="677"/>
      <c r="Q43" s="684"/>
    </row>
    <row hidden="true" r="44">
      <c r="A44" s="676">
        <v>45909</v>
      </c>
      <c r="B44" s="677" t="s">
        <v>738</v>
      </c>
      <c r="C44" s="678" t="s">
        <v>743</v>
      </c>
      <c r="D44" s="677">
        <v>5</v>
      </c>
      <c r="E44" s="677">
        <v>52</v>
      </c>
      <c r="F44" s="677">
        <v>40</v>
      </c>
      <c r="G44" s="677">
        <v>22</v>
      </c>
      <c r="H44" s="677">
        <v>32</v>
      </c>
      <c r="I44" s="677">
        <v>8</v>
      </c>
      <c r="J44" s="683">
        <v>43913.8</v>
      </c>
      <c r="K44" s="679">
        <v>20806.03</v>
      </c>
      <c r="L44" s="680">
        <f t="shared" si="0"/>
      </c>
      <c r="M44" s="680">
        <f t="shared" si="1"/>
      </c>
      <c r="N44" s="680">
        <f t="shared" si="2"/>
      </c>
      <c r="O44" s="685"/>
      <c r="P44" s="686"/>
      <c r="Q44" s="684"/>
    </row>
    <row hidden="true" r="45">
      <c r="A45" s="676">
        <v>45909</v>
      </c>
      <c r="B45" s="677" t="s">
        <v>735</v>
      </c>
      <c r="C45" s="678" t="s">
        <v>744</v>
      </c>
      <c r="D45" s="677">
        <v>5</v>
      </c>
      <c r="E45" s="677">
        <v>61</v>
      </c>
      <c r="F45" s="677">
        <v>35</v>
      </c>
      <c r="G45" s="677">
        <v>19</v>
      </c>
      <c r="H45" s="677">
        <v>27</v>
      </c>
      <c r="I45" s="677">
        <v>6</v>
      </c>
      <c r="J45" s="683">
        <v>44708.399999999994</v>
      </c>
      <c r="K45" s="683">
        <v>18554.15</v>
      </c>
      <c r="L45" s="680">
        <f t="shared" si="0"/>
      </c>
      <c r="M45" s="680">
        <f t="shared" si="1"/>
      </c>
      <c r="N45" s="680">
        <f t="shared" si="2"/>
      </c>
      <c r="O45" s="681" t="s">
        <v>745</v>
      </c>
      <c r="P45" s="677">
        <v>10</v>
      </c>
      <c r="Q45" s="692"/>
    </row>
    <row r="46">
      <c r="A46" s="687">
        <v>45909</v>
      </c>
      <c r="B46" s="688"/>
      <c r="C46" s="688"/>
      <c r="D46" s="688">
        <f>SUM(D42:D45)</f>
      </c>
      <c r="E46" s="688">
        <f>SUM(E42:E45)</f>
      </c>
      <c r="F46" s="688">
        <f>SUM(F42:F45)</f>
      </c>
      <c r="G46" s="688">
        <f>SUM(G42:G45)</f>
      </c>
      <c r="H46" s="688">
        <f>SUM(H42:H45)</f>
      </c>
      <c r="I46" s="688">
        <f>SUM(I42:I45)</f>
      </c>
      <c r="J46" s="688">
        <f>SUM(J42:J45)</f>
      </c>
      <c r="K46" s="688">
        <f>SUM(K42:K45)</f>
      </c>
      <c r="L46" s="689">
        <f t="shared" si="0"/>
      </c>
      <c r="M46" s="689">
        <f t="shared" si="1"/>
      </c>
      <c r="N46" s="689">
        <f t="shared" si="2"/>
      </c>
      <c r="O46" s="690"/>
      <c r="P46" s="688">
        <f>SUM(P42:P45)</f>
      </c>
      <c r="Q46" s="690"/>
    </row>
    <row hidden="true" r="47">
      <c r="A47" s="676">
        <v>45910</v>
      </c>
      <c r="B47" s="677" t="s">
        <v>727</v>
      </c>
      <c r="C47" s="678" t="s">
        <v>740</v>
      </c>
      <c r="D47" s="677">
        <v>5</v>
      </c>
      <c r="E47" s="677">
        <v>56</v>
      </c>
      <c r="F47" s="677">
        <v>27</v>
      </c>
      <c r="G47" s="677">
        <v>20</v>
      </c>
      <c r="H47" s="677">
        <v>21</v>
      </c>
      <c r="I47" s="677">
        <v>2</v>
      </c>
      <c r="J47" s="679">
        <v>24339.6</v>
      </c>
      <c r="K47" s="679">
        <v>18426.24</v>
      </c>
      <c r="L47" s="680">
        <f t="shared" si="0"/>
      </c>
      <c r="M47" s="680">
        <f t="shared" si="1"/>
      </c>
      <c r="N47" s="680">
        <f t="shared" si="2"/>
      </c>
      <c r="O47" s="681" t="s">
        <v>741</v>
      </c>
      <c r="P47" s="677">
        <v>10</v>
      </c>
      <c r="Q47" s="691"/>
    </row>
    <row hidden="true" r="48">
      <c r="A48" s="676">
        <v>45910</v>
      </c>
      <c r="B48" s="677" t="s">
        <v>730</v>
      </c>
      <c r="C48" s="678" t="s">
        <v>742</v>
      </c>
      <c r="D48" s="677">
        <v>5</v>
      </c>
      <c r="E48" s="677">
        <v>53</v>
      </c>
      <c r="F48" s="677">
        <v>29</v>
      </c>
      <c r="G48" s="677">
        <v>20</v>
      </c>
      <c r="H48" s="677">
        <v>24</v>
      </c>
      <c r="I48" s="677">
        <v>5</v>
      </c>
      <c r="J48" s="679">
        <v>27658</v>
      </c>
      <c r="K48" s="683">
        <v>16847.920000000002</v>
      </c>
      <c r="L48" s="680">
        <f t="shared" si="0"/>
      </c>
      <c r="M48" s="680">
        <f t="shared" si="1"/>
      </c>
      <c r="N48" s="680">
        <f t="shared" si="2"/>
      </c>
      <c r="O48" s="681"/>
      <c r="P48" s="677"/>
      <c r="Q48" s="684"/>
    </row>
    <row hidden="true" r="49">
      <c r="A49" s="676">
        <v>45910</v>
      </c>
      <c r="B49" s="677" t="s">
        <v>738</v>
      </c>
      <c r="C49" s="678" t="s">
        <v>743</v>
      </c>
      <c r="D49" s="677">
        <v>5</v>
      </c>
      <c r="E49" s="677">
        <v>39</v>
      </c>
      <c r="F49" s="677">
        <v>27</v>
      </c>
      <c r="G49" s="677">
        <v>18</v>
      </c>
      <c r="H49" s="677">
        <v>18</v>
      </c>
      <c r="I49" s="677">
        <v>1</v>
      </c>
      <c r="J49" s="683">
        <v>31121.199999999997</v>
      </c>
      <c r="K49" s="679">
        <v>20265.390000000003</v>
      </c>
      <c r="L49" s="680">
        <f t="shared" si="0"/>
      </c>
      <c r="M49" s="680">
        <f t="shared" si="1"/>
      </c>
      <c r="N49" s="680">
        <f t="shared" si="2"/>
      </c>
      <c r="O49" s="685"/>
      <c r="P49" s="686"/>
      <c r="Q49" s="684"/>
    </row>
    <row hidden="true" r="50">
      <c r="A50" s="676">
        <v>45910</v>
      </c>
      <c r="B50" s="677" t="s">
        <v>735</v>
      </c>
      <c r="C50" s="678" t="s">
        <v>744</v>
      </c>
      <c r="D50" s="677">
        <v>5</v>
      </c>
      <c r="E50" s="677">
        <v>47</v>
      </c>
      <c r="F50" s="677">
        <v>35</v>
      </c>
      <c r="G50" s="677">
        <v>26</v>
      </c>
      <c r="H50" s="677">
        <v>23</v>
      </c>
      <c r="I50" s="677">
        <v>4</v>
      </c>
      <c r="J50" s="683">
        <v>52604.6</v>
      </c>
      <c r="K50" s="683">
        <v>16347.339999999998</v>
      </c>
      <c r="L50" s="680">
        <f t="shared" si="0"/>
      </c>
      <c r="M50" s="680">
        <f t="shared" si="1"/>
      </c>
      <c r="N50" s="680">
        <f t="shared" si="2"/>
      </c>
      <c r="O50" s="681" t="s">
        <v>745</v>
      </c>
      <c r="P50" s="677">
        <v>10</v>
      </c>
      <c r="Q50" s="692"/>
    </row>
    <row r="51">
      <c r="A51" s="687">
        <v>45910</v>
      </c>
      <c r="B51" s="688"/>
      <c r="C51" s="688"/>
      <c r="D51" s="688">
        <f>SUM(D47:D50)</f>
      </c>
      <c r="E51" s="688">
        <f>SUM(E47:E50)</f>
      </c>
      <c r="F51" s="688">
        <f>SUM(F47:F50)</f>
      </c>
      <c r="G51" s="688">
        <f>SUM(G47:G50)</f>
      </c>
      <c r="H51" s="688">
        <f>SUM(H47:H50)</f>
      </c>
      <c r="I51" s="688">
        <f>SUM(I47:I50)</f>
      </c>
      <c r="J51" s="688">
        <f>SUM(J47:J50)</f>
      </c>
      <c r="K51" s="688">
        <f>SUM(K47:K50)</f>
      </c>
      <c r="L51" s="689">
        <f t="shared" si="0"/>
      </c>
      <c r="M51" s="689">
        <f t="shared" si="1"/>
      </c>
      <c r="N51" s="689">
        <f t="shared" si="2"/>
      </c>
      <c r="O51" s="690"/>
      <c r="P51" s="688">
        <f>SUM(P47:P50)</f>
      </c>
      <c r="Q51" s="690"/>
    </row>
    <row hidden="true" r="52">
      <c r="A52" s="676">
        <v>45911</v>
      </c>
      <c r="B52" s="677" t="s">
        <v>730</v>
      </c>
      <c r="C52" s="678" t="s">
        <v>740</v>
      </c>
      <c r="D52" s="677">
        <v>5</v>
      </c>
      <c r="E52" s="677">
        <v>55</v>
      </c>
      <c r="F52" s="677">
        <v>38</v>
      </c>
      <c r="G52" s="677">
        <v>27</v>
      </c>
      <c r="H52" s="677">
        <v>29</v>
      </c>
      <c r="I52" s="677">
        <v>3</v>
      </c>
      <c r="J52" s="679">
        <v>41095.600000000006</v>
      </c>
      <c r="K52" s="679">
        <v>17590.739999999998</v>
      </c>
      <c r="L52" s="680">
        <f t="shared" si="0"/>
      </c>
      <c r="M52" s="680">
        <f t="shared" si="1"/>
      </c>
      <c r="N52" s="680">
        <f t="shared" si="2"/>
      </c>
      <c r="O52" s="681" t="s">
        <v>741</v>
      </c>
      <c r="P52" s="677">
        <v>10</v>
      </c>
      <c r="Q52" s="691"/>
    </row>
    <row hidden="true" r="53">
      <c r="A53" s="676">
        <v>45911</v>
      </c>
      <c r="B53" s="677" t="s">
        <v>733</v>
      </c>
      <c r="C53" s="678" t="s">
        <v>742</v>
      </c>
      <c r="D53" s="677">
        <v>5</v>
      </c>
      <c r="E53" s="677">
        <v>52</v>
      </c>
      <c r="F53" s="677">
        <v>43</v>
      </c>
      <c r="G53" s="677">
        <v>27</v>
      </c>
      <c r="H53" s="677">
        <v>34</v>
      </c>
      <c r="I53" s="677">
        <v>7</v>
      </c>
      <c r="J53" s="679">
        <v>42585.2</v>
      </c>
      <c r="K53" s="683">
        <v>23953.81</v>
      </c>
      <c r="L53" s="680">
        <f t="shared" si="0"/>
      </c>
      <c r="M53" s="680">
        <f t="shared" si="1"/>
      </c>
      <c r="N53" s="680">
        <f t="shared" si="2"/>
      </c>
      <c r="O53" s="681"/>
      <c r="P53" s="677"/>
      <c r="Q53" s="684"/>
    </row>
    <row hidden="true" r="54">
      <c r="A54" s="676">
        <v>45911</v>
      </c>
      <c r="B54" s="677" t="s">
        <v>727</v>
      </c>
      <c r="C54" s="678" t="s">
        <v>743</v>
      </c>
      <c r="D54" s="677">
        <v>5</v>
      </c>
      <c r="E54" s="677">
        <v>81</v>
      </c>
      <c r="F54" s="677">
        <v>58</v>
      </c>
      <c r="G54" s="677">
        <v>31</v>
      </c>
      <c r="H54" s="677">
        <v>39</v>
      </c>
      <c r="I54" s="677">
        <v>11</v>
      </c>
      <c r="J54" s="683">
        <v>57291.799999999996</v>
      </c>
      <c r="K54" s="679">
        <v>24949.869999999995</v>
      </c>
      <c r="L54" s="680">
        <f t="shared" si="0"/>
      </c>
      <c r="M54" s="680">
        <f t="shared" si="1"/>
      </c>
      <c r="N54" s="680">
        <f t="shared" si="2"/>
      </c>
      <c r="O54" s="685"/>
      <c r="P54" s="686"/>
      <c r="Q54" s="684"/>
    </row>
    <row hidden="true" r="55">
      <c r="A55" s="676">
        <v>45911</v>
      </c>
      <c r="B55" s="677" t="s">
        <v>735</v>
      </c>
      <c r="C55" s="678" t="s">
        <v>744</v>
      </c>
      <c r="D55" s="677">
        <v>5</v>
      </c>
      <c r="E55" s="677">
        <v>131</v>
      </c>
      <c r="F55" s="677">
        <v>87</v>
      </c>
      <c r="G55" s="677">
        <v>60</v>
      </c>
      <c r="H55" s="677">
        <v>50</v>
      </c>
      <c r="I55" s="677">
        <v>17</v>
      </c>
      <c r="J55" s="683">
        <v>97992</v>
      </c>
      <c r="K55" s="683">
        <v>36462.24</v>
      </c>
      <c r="L55" s="680">
        <f t="shared" si="0"/>
      </c>
      <c r="M55" s="680">
        <f t="shared" si="1"/>
      </c>
      <c r="N55" s="680">
        <f t="shared" si="2"/>
      </c>
      <c r="O55" s="681" t="s">
        <v>745</v>
      </c>
      <c r="P55" s="677">
        <v>10</v>
      </c>
      <c r="Q55" s="692"/>
    </row>
    <row r="56">
      <c r="A56" s="687">
        <v>45911</v>
      </c>
      <c r="B56" s="688"/>
      <c r="C56" s="688"/>
      <c r="D56" s="688">
        <f>SUM(D52:D55)</f>
      </c>
      <c r="E56" s="688">
        <f>SUM(E52:E55)</f>
      </c>
      <c r="F56" s="688">
        <f>SUM(F52:F55)</f>
      </c>
      <c r="G56" s="688">
        <f>SUM(G52:G55)</f>
      </c>
      <c r="H56" s="688">
        <f>SUM(H52:H55)</f>
      </c>
      <c r="I56" s="688">
        <f>SUM(I52:I55)</f>
      </c>
      <c r="J56" s="688">
        <f>SUM(J52:J55)</f>
      </c>
      <c r="K56" s="688">
        <f>SUM(K52:K55)</f>
      </c>
      <c r="L56" s="689">
        <f t="shared" si="0"/>
      </c>
      <c r="M56" s="689">
        <f t="shared" si="1"/>
      </c>
      <c r="N56" s="689">
        <f t="shared" si="2"/>
      </c>
      <c r="O56" s="690"/>
      <c r="P56" s="688">
        <f>SUM(P52:P55)</f>
      </c>
      <c r="Q56" s="690"/>
    </row>
    <row hidden="true" r="57">
      <c r="A57" s="676">
        <v>45912</v>
      </c>
      <c r="B57" s="677" t="s">
        <v>730</v>
      </c>
      <c r="C57" s="678" t="s">
        <v>740</v>
      </c>
      <c r="D57" s="677">
        <v>5</v>
      </c>
      <c r="E57" s="677">
        <v>52</v>
      </c>
      <c r="F57" s="677">
        <v>41</v>
      </c>
      <c r="G57" s="677">
        <v>28</v>
      </c>
      <c r="H57" s="677">
        <v>31</v>
      </c>
      <c r="I57" s="677">
        <v>5</v>
      </c>
      <c r="J57" s="679">
        <v>44231.8</v>
      </c>
      <c r="K57" s="679">
        <v>25975.75</v>
      </c>
      <c r="L57" s="680">
        <f t="shared" si="0"/>
      </c>
      <c r="M57" s="680">
        <f t="shared" si="1"/>
      </c>
      <c r="N57" s="680">
        <f t="shared" si="2"/>
      </c>
      <c r="O57" s="681" t="s">
        <v>741</v>
      </c>
      <c r="P57" s="677">
        <v>10</v>
      </c>
      <c r="Q57" s="691"/>
    </row>
    <row hidden="true" r="58">
      <c r="A58" s="676">
        <v>45912</v>
      </c>
      <c r="B58" s="677" t="s">
        <v>727</v>
      </c>
      <c r="C58" s="678" t="s">
        <v>742</v>
      </c>
      <c r="D58" s="677">
        <v>5</v>
      </c>
      <c r="E58" s="677">
        <v>95</v>
      </c>
      <c r="F58" s="677">
        <v>65</v>
      </c>
      <c r="G58" s="677">
        <v>41</v>
      </c>
      <c r="H58" s="677">
        <v>47</v>
      </c>
      <c r="I58" s="677">
        <v>7</v>
      </c>
      <c r="J58" s="679">
        <v>74125.79999999999</v>
      </c>
      <c r="K58" s="683">
        <v>32226.82</v>
      </c>
      <c r="L58" s="680">
        <f t="shared" si="0"/>
      </c>
      <c r="M58" s="680">
        <f t="shared" si="1"/>
      </c>
      <c r="N58" s="680">
        <f t="shared" si="2"/>
      </c>
      <c r="O58" s="681"/>
      <c r="P58" s="677"/>
      <c r="Q58" s="684"/>
    </row>
    <row hidden="true" r="59">
      <c r="A59" s="676">
        <v>45912</v>
      </c>
      <c r="B59" s="677" t="s">
        <v>733</v>
      </c>
      <c r="C59" s="678" t="s">
        <v>743</v>
      </c>
      <c r="D59" s="677">
        <v>5</v>
      </c>
      <c r="E59" s="677">
        <v>51</v>
      </c>
      <c r="F59" s="677">
        <v>43</v>
      </c>
      <c r="G59" s="677">
        <v>29</v>
      </c>
      <c r="H59" s="677">
        <v>34</v>
      </c>
      <c r="I59" s="677">
        <v>6</v>
      </c>
      <c r="J59" s="683">
        <v>44707.200000000004</v>
      </c>
      <c r="K59" s="679">
        <v>24332.76</v>
      </c>
      <c r="L59" s="680">
        <f t="shared" si="0"/>
      </c>
      <c r="M59" s="680">
        <f t="shared" si="1"/>
      </c>
      <c r="N59" s="680">
        <f t="shared" si="2"/>
      </c>
      <c r="O59" s="685"/>
      <c r="P59" s="686"/>
      <c r="Q59" s="684"/>
    </row>
    <row hidden="true" r="60">
      <c r="A60" s="676">
        <v>45912</v>
      </c>
      <c r="B60" s="677" t="s">
        <v>738</v>
      </c>
      <c r="C60" s="678" t="s">
        <v>744</v>
      </c>
      <c r="D60" s="677">
        <v>5</v>
      </c>
      <c r="E60" s="677">
        <v>64</v>
      </c>
      <c r="F60" s="677">
        <v>39</v>
      </c>
      <c r="G60" s="677">
        <v>31</v>
      </c>
      <c r="H60" s="677">
        <v>29</v>
      </c>
      <c r="I60" s="677">
        <v>5</v>
      </c>
      <c r="J60" s="683">
        <v>46692.8</v>
      </c>
      <c r="K60" s="683">
        <v>23917.24</v>
      </c>
      <c r="L60" s="680">
        <f t="shared" si="0"/>
      </c>
      <c r="M60" s="680">
        <f t="shared" si="1"/>
      </c>
      <c r="N60" s="680">
        <f t="shared" si="2"/>
      </c>
      <c r="O60" s="681" t="s">
        <v>745</v>
      </c>
      <c r="P60" s="677">
        <v>10</v>
      </c>
      <c r="Q60" s="692"/>
    </row>
    <row r="61">
      <c r="A61" s="687">
        <v>45912</v>
      </c>
      <c r="B61" s="688"/>
      <c r="C61" s="688"/>
      <c r="D61" s="688">
        <f>SUM(D57:D60)</f>
      </c>
      <c r="E61" s="688">
        <f>SUM(E57:E60)</f>
      </c>
      <c r="F61" s="688">
        <f>SUM(F57:F60)</f>
      </c>
      <c r="G61" s="688">
        <f>SUM(G57:G60)</f>
      </c>
      <c r="H61" s="688">
        <f>SUM(H57:H60)</f>
      </c>
      <c r="I61" s="688">
        <f>SUM(I57:I60)</f>
      </c>
      <c r="J61" s="688">
        <f>SUM(J57:J60)</f>
      </c>
      <c r="K61" s="688">
        <f>SUM(K57:K60)</f>
      </c>
      <c r="L61" s="689">
        <f t="shared" si="0"/>
      </c>
      <c r="M61" s="689">
        <f t="shared" si="1"/>
      </c>
      <c r="N61" s="689">
        <f t="shared" si="2"/>
      </c>
      <c r="O61" s="690"/>
      <c r="P61" s="688">
        <f>SUM(P57:P60)</f>
      </c>
      <c r="Q61" s="690"/>
    </row>
    <row hidden="true" r="62">
      <c r="A62" s="676">
        <v>45913</v>
      </c>
      <c r="B62" s="677" t="s">
        <v>727</v>
      </c>
      <c r="C62" s="678" t="s">
        <v>740</v>
      </c>
      <c r="D62" s="677">
        <v>5</v>
      </c>
      <c r="E62" s="677">
        <v>63</v>
      </c>
      <c r="F62" s="677">
        <v>46</v>
      </c>
      <c r="G62" s="677">
        <v>30</v>
      </c>
      <c r="H62" s="677">
        <v>34</v>
      </c>
      <c r="I62" s="677">
        <v>4</v>
      </c>
      <c r="J62" s="679">
        <v>63828</v>
      </c>
      <c r="K62" s="679">
        <v>28033.719999999998</v>
      </c>
      <c r="L62" s="680">
        <f t="shared" si="0"/>
      </c>
      <c r="M62" s="680">
        <f t="shared" si="1"/>
      </c>
      <c r="N62" s="680">
        <f t="shared" si="2"/>
      </c>
      <c r="O62" s="681" t="s">
        <v>741</v>
      </c>
      <c r="P62" s="677">
        <v>10</v>
      </c>
      <c r="Q62" s="691"/>
    </row>
    <row hidden="true" r="63">
      <c r="A63" s="676">
        <v>45913</v>
      </c>
      <c r="B63" s="677" t="s">
        <v>730</v>
      </c>
      <c r="C63" s="678" t="s">
        <v>742</v>
      </c>
      <c r="D63" s="677">
        <v>5</v>
      </c>
      <c r="E63" s="677">
        <v>42</v>
      </c>
      <c r="F63" s="677">
        <v>27</v>
      </c>
      <c r="G63" s="677">
        <v>23</v>
      </c>
      <c r="H63" s="677">
        <v>22</v>
      </c>
      <c r="I63" s="677">
        <v>2</v>
      </c>
      <c r="J63" s="679">
        <v>25829.199999999997</v>
      </c>
      <c r="K63" s="683">
        <v>19499.87</v>
      </c>
      <c r="L63" s="680">
        <f t="shared" si="0"/>
      </c>
      <c r="M63" s="680">
        <f t="shared" si="1"/>
      </c>
      <c r="N63" s="680">
        <f t="shared" si="2"/>
      </c>
      <c r="O63" s="681"/>
      <c r="P63" s="677"/>
      <c r="Q63" s="684"/>
    </row>
    <row hidden="true" r="64">
      <c r="A64" s="676">
        <v>45913</v>
      </c>
      <c r="B64" s="677" t="s">
        <v>738</v>
      </c>
      <c r="C64" s="678" t="s">
        <v>743</v>
      </c>
      <c r="D64" s="677">
        <v>5</v>
      </c>
      <c r="E64" s="677">
        <v>53</v>
      </c>
      <c r="F64" s="677">
        <v>39</v>
      </c>
      <c r="G64" s="677">
        <v>23</v>
      </c>
      <c r="H64" s="677">
        <v>33</v>
      </c>
      <c r="I64" s="677">
        <v>4</v>
      </c>
      <c r="J64" s="683">
        <v>34804.399999999994</v>
      </c>
      <c r="K64" s="679">
        <v>20721.88</v>
      </c>
      <c r="L64" s="680">
        <f t="shared" si="0"/>
      </c>
      <c r="M64" s="680">
        <f t="shared" si="1"/>
      </c>
      <c r="N64" s="680">
        <f t="shared" si="2"/>
      </c>
      <c r="O64" s="685"/>
      <c r="P64" s="686"/>
      <c r="Q64" s="684"/>
    </row>
    <row hidden="true" r="65">
      <c r="A65" s="676">
        <v>45913</v>
      </c>
      <c r="B65" s="677" t="s">
        <v>735</v>
      </c>
      <c r="C65" s="678" t="s">
        <v>744</v>
      </c>
      <c r="D65" s="677">
        <v>5</v>
      </c>
      <c r="E65" s="677">
        <v>44</v>
      </c>
      <c r="F65" s="677">
        <v>34</v>
      </c>
      <c r="G65" s="677">
        <v>26</v>
      </c>
      <c r="H65" s="677">
        <v>23</v>
      </c>
      <c r="I65" s="677">
        <v>4</v>
      </c>
      <c r="J65" s="683">
        <v>32909</v>
      </c>
      <c r="K65" s="683">
        <v>21648.280000000002</v>
      </c>
      <c r="L65" s="680">
        <f t="shared" si="0"/>
      </c>
      <c r="M65" s="680">
        <f t="shared" si="1"/>
      </c>
      <c r="N65" s="680">
        <f t="shared" si="2"/>
      </c>
      <c r="O65" s="681" t="s">
        <v>745</v>
      </c>
      <c r="P65" s="677">
        <v>10</v>
      </c>
      <c r="Q65" s="692"/>
    </row>
    <row r="66">
      <c r="A66" s="687">
        <v>45913</v>
      </c>
      <c r="B66" s="688"/>
      <c r="C66" s="688"/>
      <c r="D66" s="688">
        <f>SUM(D62:D65)</f>
      </c>
      <c r="E66" s="688">
        <f>SUM(E62:E65)</f>
      </c>
      <c r="F66" s="688">
        <f>SUM(F62:F65)</f>
      </c>
      <c r="G66" s="688">
        <f>SUM(G62:G65)</f>
      </c>
      <c r="H66" s="688">
        <f>SUM(H62:H65)</f>
      </c>
      <c r="I66" s="688">
        <f>SUM(I62:I65)</f>
      </c>
      <c r="J66" s="688">
        <f>SUM(J62:J65)</f>
      </c>
      <c r="K66" s="688">
        <f>SUM(K62:K65)</f>
      </c>
      <c r="L66" s="689">
        <f t="shared" si="0"/>
      </c>
      <c r="M66" s="689">
        <f t="shared" si="1"/>
      </c>
      <c r="N66" s="689">
        <f t="shared" si="2"/>
      </c>
      <c r="O66" s="690"/>
      <c r="P66" s="688">
        <f>SUM(P62:P65)</f>
      </c>
      <c r="Q66" s="690"/>
    </row>
    <row hidden="true" r="67">
      <c r="A67" s="676">
        <v>45914</v>
      </c>
      <c r="B67" s="677" t="s">
        <v>727</v>
      </c>
      <c r="C67" s="678" t="s">
        <v>740</v>
      </c>
      <c r="D67" s="677">
        <v>5</v>
      </c>
      <c r="E67" s="677">
        <v>117</v>
      </c>
      <c r="F67" s="677">
        <v>80</v>
      </c>
      <c r="G67" s="677">
        <v>49</v>
      </c>
      <c r="H67" s="677">
        <v>61</v>
      </c>
      <c r="I67" s="677">
        <v>12</v>
      </c>
      <c r="J67" s="679">
        <v>85882.2</v>
      </c>
      <c r="K67" s="679">
        <v>41906.78</v>
      </c>
      <c r="L67" s="680">
        <f t="shared" si="0"/>
      </c>
      <c r="M67" s="680">
        <f t="shared" si="1"/>
      </c>
      <c r="N67" s="680">
        <f t="shared" si="2"/>
      </c>
      <c r="O67" s="681" t="s">
        <v>741</v>
      </c>
      <c r="P67" s="677">
        <v>10</v>
      </c>
      <c r="Q67" s="691"/>
    </row>
    <row hidden="true" r="68">
      <c r="A68" s="676">
        <v>45914</v>
      </c>
      <c r="B68" s="677" t="s">
        <v>730</v>
      </c>
      <c r="C68" s="678" t="s">
        <v>742</v>
      </c>
      <c r="D68" s="677">
        <v>5</v>
      </c>
      <c r="E68" s="677">
        <v>63</v>
      </c>
      <c r="F68" s="677">
        <v>45</v>
      </c>
      <c r="G68" s="677">
        <v>41</v>
      </c>
      <c r="H68" s="677">
        <v>36</v>
      </c>
      <c r="I68" s="677">
        <v>5</v>
      </c>
      <c r="J68" s="679">
        <v>45750.6</v>
      </c>
      <c r="K68" s="683">
        <v>23917.21</v>
      </c>
      <c r="L68" s="680">
        <f t="shared" si="0"/>
      </c>
      <c r="M68" s="680">
        <f t="shared" si="1"/>
      </c>
      <c r="N68" s="680">
        <f t="shared" si="2"/>
      </c>
      <c r="O68" s="681"/>
      <c r="P68" s="677"/>
      <c r="Q68" s="684"/>
    </row>
    <row hidden="true" r="69">
      <c r="A69" s="676">
        <v>45914</v>
      </c>
      <c r="B69" s="677" t="s">
        <v>738</v>
      </c>
      <c r="C69" s="678" t="s">
        <v>743</v>
      </c>
      <c r="D69" s="677">
        <v>5</v>
      </c>
      <c r="E69" s="677">
        <v>67</v>
      </c>
      <c r="F69" s="677">
        <v>47</v>
      </c>
      <c r="G69" s="677">
        <v>25</v>
      </c>
      <c r="H69" s="677">
        <v>43</v>
      </c>
      <c r="I69" s="677">
        <v>10</v>
      </c>
      <c r="J69" s="683">
        <v>37013</v>
      </c>
      <c r="K69" s="679">
        <v>25284.840000000004</v>
      </c>
      <c r="L69" s="680">
        <f t="shared" si="0"/>
      </c>
      <c r="M69" s="680">
        <f t="shared" si="1"/>
      </c>
      <c r="N69" s="680">
        <f t="shared" si="2"/>
      </c>
      <c r="O69" s="685"/>
      <c r="P69" s="686"/>
      <c r="Q69" s="684"/>
    </row>
    <row hidden="true" r="70">
      <c r="A70" s="676">
        <v>45914</v>
      </c>
      <c r="B70" s="677" t="s">
        <v>735</v>
      </c>
      <c r="C70" s="678" t="s">
        <v>744</v>
      </c>
      <c r="D70" s="677">
        <v>5</v>
      </c>
      <c r="E70" s="677">
        <v>63</v>
      </c>
      <c r="F70" s="677">
        <v>36</v>
      </c>
      <c r="G70" s="677">
        <v>28</v>
      </c>
      <c r="H70" s="677">
        <v>20</v>
      </c>
      <c r="I70" s="677">
        <v>2</v>
      </c>
      <c r="J70" s="683">
        <v>46407.399999999994</v>
      </c>
      <c r="K70" s="683">
        <v>20421.120000000003</v>
      </c>
      <c r="L70" s="680">
        <f t="shared" si="0"/>
      </c>
      <c r="M70" s="680">
        <f t="shared" si="1"/>
      </c>
      <c r="N70" s="680">
        <f t="shared" si="2"/>
      </c>
      <c r="O70" s="681" t="s">
        <v>745</v>
      </c>
      <c r="P70" s="677">
        <v>10</v>
      </c>
      <c r="Q70" s="692"/>
    </row>
    <row r="71">
      <c r="A71" s="687">
        <v>45914</v>
      </c>
      <c r="B71" s="688"/>
      <c r="C71" s="688"/>
      <c r="D71" s="688">
        <f>SUM(D67:D70)</f>
      </c>
      <c r="E71" s="688">
        <f>SUM(E67:E70)</f>
      </c>
      <c r="F71" s="688">
        <f>SUM(F67:F70)</f>
      </c>
      <c r="G71" s="688">
        <f>SUM(G67:G70)</f>
      </c>
      <c r="H71" s="688">
        <f>SUM(H67:H70)</f>
      </c>
      <c r="I71" s="688">
        <f>SUM(I67:I70)</f>
      </c>
      <c r="J71" s="688">
        <f>SUM(J67:J70)</f>
      </c>
      <c r="K71" s="688">
        <f>SUM(K67:K70)</f>
      </c>
      <c r="L71" s="689">
        <f t="shared" si="0"/>
      </c>
      <c r="M71" s="689">
        <f t="shared" si="1"/>
      </c>
      <c r="N71" s="689">
        <f t="shared" si="2"/>
      </c>
      <c r="O71" s="690"/>
      <c r="P71" s="688">
        <f>SUM(P67:P70)</f>
      </c>
      <c r="Q71" s="690"/>
    </row>
    <row hidden="true" r="72">
      <c r="A72" s="676">
        <v>45915</v>
      </c>
      <c r="B72" s="677" t="s">
        <v>730</v>
      </c>
      <c r="C72" s="678" t="s">
        <v>740</v>
      </c>
      <c r="D72" s="677">
        <v>5</v>
      </c>
      <c r="E72" s="677">
        <v>31</v>
      </c>
      <c r="F72" s="677">
        <v>20</v>
      </c>
      <c r="G72" s="677">
        <v>15</v>
      </c>
      <c r="H72" s="677">
        <v>17</v>
      </c>
      <c r="I72" s="677">
        <v>3</v>
      </c>
      <c r="J72" s="679">
        <v>20306.2</v>
      </c>
      <c r="K72" s="679">
        <v>18309.19</v>
      </c>
      <c r="L72" s="680">
        <f t="shared" si="0"/>
      </c>
      <c r="M72" s="680">
        <f t="shared" si="1"/>
      </c>
      <c r="N72" s="680">
        <f t="shared" si="2"/>
      </c>
      <c r="O72" s="681" t="s">
        <v>741</v>
      </c>
      <c r="P72" s="677">
        <v>10</v>
      </c>
      <c r="Q72" s="691"/>
    </row>
    <row hidden="true" r="73">
      <c r="A73" s="676">
        <v>45915</v>
      </c>
      <c r="B73" s="677" t="s">
        <v>727</v>
      </c>
      <c r="C73" s="678" t="s">
        <v>742</v>
      </c>
      <c r="D73" s="677">
        <v>5</v>
      </c>
      <c r="E73" s="677">
        <v>31</v>
      </c>
      <c r="F73" s="677">
        <v>28</v>
      </c>
      <c r="G73" s="677">
        <v>13</v>
      </c>
      <c r="H73" s="677">
        <v>22</v>
      </c>
      <c r="I73" s="677">
        <v>4</v>
      </c>
      <c r="J73" s="679">
        <v>28777</v>
      </c>
      <c r="K73" s="683">
        <v>12568.33</v>
      </c>
      <c r="L73" s="680">
        <f t="shared" si="0"/>
      </c>
      <c r="M73" s="680">
        <f t="shared" si="1"/>
      </c>
      <c r="N73" s="680">
        <f t="shared" si="2"/>
      </c>
      <c r="O73" s="681"/>
      <c r="P73" s="677"/>
      <c r="Q73" s="684"/>
    </row>
    <row hidden="true" r="74">
      <c r="A74" s="676">
        <v>45915</v>
      </c>
      <c r="B74" s="677" t="s">
        <v>733</v>
      </c>
      <c r="C74" s="678" t="s">
        <v>743</v>
      </c>
      <c r="D74" s="677">
        <v>5</v>
      </c>
      <c r="E74" s="677">
        <v>19</v>
      </c>
      <c r="F74" s="677">
        <v>16</v>
      </c>
      <c r="G74" s="677">
        <v>13</v>
      </c>
      <c r="H74" s="677">
        <v>12</v>
      </c>
      <c r="I74" s="677">
        <v>1</v>
      </c>
      <c r="J74" s="683">
        <v>19454.6</v>
      </c>
      <c r="K74" s="679">
        <v>13060.350000000002</v>
      </c>
      <c r="L74" s="680">
        <f t="shared" si="0"/>
      </c>
      <c r="M74" s="680">
        <f t="shared" si="1"/>
      </c>
      <c r="N74" s="680">
        <f t="shared" si="2"/>
      </c>
      <c r="O74" s="685"/>
      <c r="P74" s="686"/>
      <c r="Q74" s="684"/>
    </row>
    <row hidden="true" r="75">
      <c r="A75" s="676">
        <v>45915</v>
      </c>
      <c r="B75" s="677" t="s">
        <v>735</v>
      </c>
      <c r="C75" s="678" t="s">
        <v>744</v>
      </c>
      <c r="D75" s="677">
        <v>5</v>
      </c>
      <c r="E75" s="677">
        <v>36</v>
      </c>
      <c r="F75" s="677">
        <v>21</v>
      </c>
      <c r="G75" s="677">
        <v>19</v>
      </c>
      <c r="H75" s="677">
        <v>15</v>
      </c>
      <c r="I75" s="677">
        <v>0</v>
      </c>
      <c r="J75" s="683">
        <v>23082.8</v>
      </c>
      <c r="K75" s="679">
        <v>15408.41</v>
      </c>
      <c r="L75" s="680">
        <f t="shared" si="0"/>
      </c>
      <c r="M75" s="680">
        <f t="shared" si="1"/>
      </c>
      <c r="N75" s="680">
        <f t="shared" si="2"/>
      </c>
      <c r="O75" s="681" t="s">
        <v>745</v>
      </c>
      <c r="P75" s="677">
        <v>10</v>
      </c>
      <c r="Q75" s="692"/>
    </row>
    <row r="76">
      <c r="A76" s="687">
        <v>45915</v>
      </c>
      <c r="B76" s="688"/>
      <c r="C76" s="688"/>
      <c r="D76" s="688">
        <f>SUM(D72:D75)</f>
      </c>
      <c r="E76" s="688">
        <f>SUM(E72:E75)</f>
      </c>
      <c r="F76" s="688">
        <f>SUM(F72:F75)</f>
      </c>
      <c r="G76" s="688">
        <f>SUM(G72:G75)</f>
      </c>
      <c r="H76" s="688">
        <f>SUM(H72:H75)</f>
      </c>
      <c r="I76" s="688">
        <f>SUM(I72:I75)</f>
      </c>
      <c r="J76" s="688">
        <f>SUM(J72:J75)</f>
      </c>
      <c r="K76" s="688">
        <f>SUM(K72:K75)</f>
      </c>
      <c r="L76" s="689">
        <f t="shared" si="0"/>
      </c>
      <c r="M76" s="689">
        <f t="shared" si="1"/>
      </c>
      <c r="N76" s="689">
        <f t="shared" si="2"/>
      </c>
      <c r="O76" s="690"/>
      <c r="P76" s="688">
        <f>SUM(P72:P75)</f>
      </c>
      <c r="Q76" s="690"/>
    </row>
    <row hidden="true" r="77">
      <c r="A77" s="676">
        <v>45916</v>
      </c>
      <c r="B77" s="677" t="s">
        <v>730</v>
      </c>
      <c r="C77" s="678" t="s">
        <v>740</v>
      </c>
      <c r="D77" s="677">
        <v>5</v>
      </c>
      <c r="E77" s="677">
        <v>82</v>
      </c>
      <c r="F77" s="677">
        <v>64</v>
      </c>
      <c r="G77" s="677">
        <v>40</v>
      </c>
      <c r="H77" s="677">
        <v>47</v>
      </c>
      <c r="I77" s="677">
        <v>8</v>
      </c>
      <c r="J77" s="679">
        <v>64524</v>
      </c>
      <c r="K77" s="679">
        <v>29605.120000000003</v>
      </c>
      <c r="L77" s="680">
        <f t="shared" si="0"/>
      </c>
      <c r="M77" s="680">
        <f t="shared" si="1"/>
      </c>
      <c r="N77" s="680">
        <f t="shared" si="2"/>
      </c>
      <c r="O77" s="681" t="s">
        <v>741</v>
      </c>
      <c r="P77" s="677">
        <v>10</v>
      </c>
      <c r="Q77" s="691"/>
    </row>
    <row hidden="true" r="78">
      <c r="A78" s="676">
        <v>45916</v>
      </c>
      <c r="B78" s="677" t="s">
        <v>733</v>
      </c>
      <c r="C78" s="678" t="s">
        <v>742</v>
      </c>
      <c r="D78" s="677">
        <v>5</v>
      </c>
      <c r="E78" s="677">
        <v>51</v>
      </c>
      <c r="F78" s="677">
        <v>38</v>
      </c>
      <c r="G78" s="677">
        <v>27</v>
      </c>
      <c r="H78" s="677">
        <v>19</v>
      </c>
      <c r="I78" s="677">
        <v>3</v>
      </c>
      <c r="J78" s="679">
        <v>51735.2</v>
      </c>
      <c r="K78" s="683">
        <v>25709.18</v>
      </c>
      <c r="L78" s="680">
        <f t="shared" si="0"/>
      </c>
      <c r="M78" s="680">
        <f t="shared" si="1"/>
      </c>
      <c r="N78" s="680">
        <f t="shared" si="2"/>
      </c>
      <c r="O78" s="681"/>
      <c r="P78" s="677"/>
      <c r="Q78" s="684"/>
    </row>
    <row hidden="true" r="79">
      <c r="A79" s="693">
        <v>45916</v>
      </c>
      <c r="B79" s="677" t="s">
        <v>738</v>
      </c>
      <c r="C79" s="678" t="s">
        <v>743</v>
      </c>
      <c r="D79" s="677">
        <v>5</v>
      </c>
      <c r="E79" s="677">
        <v>54</v>
      </c>
      <c r="F79" s="677">
        <v>41</v>
      </c>
      <c r="G79" s="677">
        <v>30</v>
      </c>
      <c r="H79" s="677">
        <v>26</v>
      </c>
      <c r="I79" s="677">
        <v>3</v>
      </c>
      <c r="J79" s="683">
        <v>42721.2</v>
      </c>
      <c r="K79" s="679">
        <v>18879.28</v>
      </c>
      <c r="L79" s="680">
        <f t="shared" si="0"/>
      </c>
      <c r="M79" s="680">
        <f t="shared" si="1"/>
      </c>
      <c r="N79" s="680">
        <f t="shared" si="2"/>
      </c>
      <c r="O79" s="685"/>
      <c r="P79" s="686"/>
      <c r="Q79" s="684"/>
    </row>
    <row hidden="true" r="80">
      <c r="A80" s="693">
        <v>45916</v>
      </c>
      <c r="B80" s="677" t="s">
        <v>735</v>
      </c>
      <c r="C80" s="678" t="s">
        <v>744</v>
      </c>
      <c r="D80" s="677">
        <v>5</v>
      </c>
      <c r="E80" s="677">
        <v>80</v>
      </c>
      <c r="F80" s="677">
        <v>65</v>
      </c>
      <c r="G80" s="677">
        <v>43</v>
      </c>
      <c r="H80" s="677">
        <v>50</v>
      </c>
      <c r="I80" s="677">
        <v>10</v>
      </c>
      <c r="J80" s="683">
        <v>57337</v>
      </c>
      <c r="K80" s="683">
        <v>25316.829999999998</v>
      </c>
      <c r="L80" s="680">
        <f t="shared" si="0"/>
      </c>
      <c r="M80" s="680">
        <f t="shared" si="1"/>
      </c>
      <c r="N80" s="680">
        <f t="shared" si="2"/>
      </c>
      <c r="O80" s="681" t="s">
        <v>745</v>
      </c>
      <c r="P80" s="677">
        <v>10</v>
      </c>
      <c r="Q80" s="692"/>
    </row>
    <row r="81">
      <c r="A81" s="687">
        <v>45916</v>
      </c>
      <c r="B81" s="688"/>
      <c r="C81" s="688"/>
      <c r="D81" s="688">
        <f>SUM(D77:D80)</f>
      </c>
      <c r="E81" s="688">
        <f>SUM(E77:E80)</f>
      </c>
      <c r="F81" s="688">
        <f>SUM(F77:F80)</f>
      </c>
      <c r="G81" s="688">
        <f>SUM(G77:G80)</f>
      </c>
      <c r="H81" s="688">
        <f>SUM(H77:H80)</f>
      </c>
      <c r="I81" s="688">
        <f>SUM(I77:I80)</f>
      </c>
      <c r="J81" s="688">
        <f>SUM(J77:J80)</f>
      </c>
      <c r="K81" s="688">
        <f>SUM(K77:K80)</f>
      </c>
      <c r="L81" s="689">
        <f t="shared" si="0"/>
      </c>
      <c r="M81" s="689">
        <f t="shared" si="1"/>
      </c>
      <c r="N81" s="689">
        <f t="shared" si="2"/>
      </c>
      <c r="O81" s="690"/>
      <c r="P81" s="688">
        <f>SUM(P77:P80)</f>
      </c>
      <c r="Q81" s="690"/>
    </row>
    <row hidden="true" r="82">
      <c r="A82" s="676">
        <v>45917</v>
      </c>
      <c r="B82" s="677" t="s">
        <v>727</v>
      </c>
      <c r="C82" s="678" t="s">
        <v>740</v>
      </c>
      <c r="D82" s="677">
        <v>5</v>
      </c>
      <c r="E82" s="677">
        <v>94</v>
      </c>
      <c r="F82" s="677">
        <v>60</v>
      </c>
      <c r="G82" s="677">
        <v>40</v>
      </c>
      <c r="H82" s="677">
        <v>48</v>
      </c>
      <c r="I82" s="677">
        <v>7</v>
      </c>
      <c r="J82" s="679">
        <v>71212.2</v>
      </c>
      <c r="K82" s="679">
        <v>33003.869999999995</v>
      </c>
      <c r="L82" s="680">
        <f t="shared" si="0"/>
      </c>
      <c r="M82" s="680">
        <f t="shared" si="1"/>
      </c>
      <c r="N82" s="680">
        <f t="shared" si="2"/>
      </c>
      <c r="O82" s="681" t="s">
        <v>741</v>
      </c>
      <c r="P82" s="677">
        <v>10</v>
      </c>
      <c r="Q82" s="691"/>
    </row>
    <row hidden="true" r="83">
      <c r="A83" s="676">
        <v>45917</v>
      </c>
      <c r="B83" s="677" t="s">
        <v>738</v>
      </c>
      <c r="C83" s="678" t="s">
        <v>742</v>
      </c>
      <c r="D83" s="677">
        <v>5</v>
      </c>
      <c r="E83" s="677">
        <v>87</v>
      </c>
      <c r="F83" s="677">
        <v>61</v>
      </c>
      <c r="G83" s="677">
        <v>43</v>
      </c>
      <c r="H83" s="677">
        <v>50</v>
      </c>
      <c r="I83" s="677">
        <v>9</v>
      </c>
      <c r="J83" s="679">
        <v>65278.59999999999</v>
      </c>
      <c r="K83" s="683">
        <v>27119.82</v>
      </c>
      <c r="L83" s="680">
        <f t="shared" si="0"/>
      </c>
      <c r="M83" s="680">
        <f t="shared" si="1"/>
      </c>
      <c r="N83" s="680">
        <f t="shared" si="2"/>
      </c>
      <c r="O83" s="684"/>
      <c r="P83" s="684"/>
      <c r="Q83" s="684"/>
    </row>
    <row hidden="true" r="84">
      <c r="A84" s="676">
        <v>45917</v>
      </c>
      <c r="B84" s="677" t="s">
        <v>733</v>
      </c>
      <c r="C84" s="678" t="s">
        <v>743</v>
      </c>
      <c r="D84" s="677">
        <v>5</v>
      </c>
      <c r="E84" s="677">
        <v>61</v>
      </c>
      <c r="F84" s="677">
        <v>52</v>
      </c>
      <c r="G84" s="677">
        <v>33</v>
      </c>
      <c r="H84" s="677">
        <v>40</v>
      </c>
      <c r="I84" s="677">
        <v>6</v>
      </c>
      <c r="J84" s="683">
        <v>58323.6</v>
      </c>
      <c r="K84" s="679">
        <v>23935.79</v>
      </c>
      <c r="L84" s="680">
        <f t="shared" si="0"/>
      </c>
      <c r="M84" s="680">
        <f t="shared" si="1"/>
      </c>
      <c r="N84" s="680">
        <f t="shared" si="2"/>
      </c>
      <c r="O84" s="681" t="s">
        <v>729</v>
      </c>
      <c r="P84" s="677">
        <v>8</v>
      </c>
      <c r="Q84" s="684"/>
    </row>
    <row hidden="true" r="85">
      <c r="A85" s="676">
        <v>45917</v>
      </c>
      <c r="B85" s="677" t="s">
        <v>735</v>
      </c>
      <c r="C85" s="678" t="s">
        <v>744</v>
      </c>
      <c r="D85" s="677">
        <v>5</v>
      </c>
      <c r="E85" s="677">
        <v>113</v>
      </c>
      <c r="F85" s="677">
        <v>84</v>
      </c>
      <c r="G85" s="677">
        <v>62</v>
      </c>
      <c r="H85" s="677">
        <v>48</v>
      </c>
      <c r="I85" s="677">
        <v>9</v>
      </c>
      <c r="J85" s="683">
        <v>99583.59999999998</v>
      </c>
      <c r="K85" s="683">
        <v>33722.75</v>
      </c>
      <c r="L85" s="680">
        <f t="shared" si="0"/>
      </c>
      <c r="M85" s="680">
        <f t="shared" si="1"/>
      </c>
      <c r="N85" s="680">
        <f t="shared" si="2"/>
      </c>
      <c r="O85" s="681" t="s">
        <v>746</v>
      </c>
      <c r="P85" s="681">
        <v>2</v>
      </c>
      <c r="Q85" s="692"/>
    </row>
    <row r="86">
      <c r="A86" s="687">
        <v>45917</v>
      </c>
      <c r="B86" s="688"/>
      <c r="C86" s="688"/>
      <c r="D86" s="688">
        <f>SUM(D82:D85)</f>
      </c>
      <c r="E86" s="688">
        <f>SUM(E82:E85)</f>
      </c>
      <c r="F86" s="688">
        <f>SUM(F82:F85)</f>
      </c>
      <c r="G86" s="688">
        <f>SUM(G82:G85)</f>
      </c>
      <c r="H86" s="688">
        <f>SUM(H82:H85)</f>
      </c>
      <c r="I86" s="688">
        <f>SUM(I82:I85)</f>
      </c>
      <c r="J86" s="688">
        <f>SUM(J82:J85)</f>
      </c>
      <c r="K86" s="688">
        <f>SUM(K82:K85)</f>
      </c>
      <c r="L86" s="689">
        <f t="shared" si="0"/>
      </c>
      <c r="M86" s="689">
        <f t="shared" si="1"/>
      </c>
      <c r="N86" s="689">
        <f t="shared" si="2"/>
      </c>
      <c r="O86" s="690"/>
      <c r="P86" s="688">
        <f>SUM(P82:P84)</f>
      </c>
      <c r="Q86" s="690"/>
    </row>
    <row hidden="true" r="87">
      <c r="A87" s="676">
        <v>45918</v>
      </c>
      <c r="B87" s="677" t="s">
        <v>727</v>
      </c>
      <c r="C87" s="678" t="s">
        <v>740</v>
      </c>
      <c r="D87" s="677">
        <v>5</v>
      </c>
      <c r="E87" s="677">
        <v>62</v>
      </c>
      <c r="F87" s="677">
        <v>40</v>
      </c>
      <c r="G87" s="677">
        <v>25</v>
      </c>
      <c r="H87" s="677">
        <v>33</v>
      </c>
      <c r="I87" s="677">
        <v>5</v>
      </c>
      <c r="J87" s="679">
        <v>51918.799999999996</v>
      </c>
      <c r="K87" s="679">
        <v>29591.200000000004</v>
      </c>
      <c r="L87" s="680">
        <f t="shared" si="0"/>
      </c>
      <c r="M87" s="680">
        <f t="shared" si="1"/>
      </c>
      <c r="N87" s="680">
        <f t="shared" si="2"/>
      </c>
      <c r="O87" s="681" t="s">
        <v>741</v>
      </c>
      <c r="P87" s="677">
        <v>10</v>
      </c>
      <c r="Q87" s="691"/>
    </row>
    <row hidden="true" r="88">
      <c r="A88" s="676">
        <v>45918</v>
      </c>
      <c r="B88" s="677" t="s">
        <v>730</v>
      </c>
      <c r="C88" s="678" t="s">
        <v>742</v>
      </c>
      <c r="D88" s="677">
        <v>5</v>
      </c>
      <c r="E88" s="677">
        <v>90</v>
      </c>
      <c r="F88" s="677">
        <v>69</v>
      </c>
      <c r="G88" s="677">
        <v>56</v>
      </c>
      <c r="H88" s="677">
        <v>41</v>
      </c>
      <c r="I88" s="677">
        <v>7</v>
      </c>
      <c r="J88" s="679">
        <v>67614.7</v>
      </c>
      <c r="K88" s="683">
        <v>34398.21</v>
      </c>
      <c r="L88" s="680">
        <f t="shared" si="0"/>
      </c>
      <c r="M88" s="680">
        <f t="shared" si="1"/>
      </c>
      <c r="N88" s="680">
        <f t="shared" si="2"/>
      </c>
      <c r="O88" s="684"/>
      <c r="P88" s="684"/>
      <c r="Q88" s="684"/>
    </row>
    <row hidden="true" r="89">
      <c r="A89" s="676">
        <v>45918</v>
      </c>
      <c r="B89" s="677" t="s">
        <v>733</v>
      </c>
      <c r="C89" s="678" t="s">
        <v>743</v>
      </c>
      <c r="D89" s="677">
        <v>5</v>
      </c>
      <c r="E89" s="677">
        <v>47</v>
      </c>
      <c r="F89" s="677">
        <v>32</v>
      </c>
      <c r="G89" s="677">
        <v>23</v>
      </c>
      <c r="H89" s="677">
        <v>26</v>
      </c>
      <c r="I89" s="677">
        <v>5</v>
      </c>
      <c r="J89" s="683">
        <v>36389.600000000006</v>
      </c>
      <c r="K89" s="679">
        <v>23784.28</v>
      </c>
      <c r="L89" s="680">
        <f t="shared" si="0"/>
      </c>
      <c r="M89" s="680">
        <f t="shared" si="1"/>
      </c>
      <c r="N89" s="680">
        <f t="shared" si="2"/>
      </c>
      <c r="O89" s="681"/>
      <c r="P89" s="677"/>
      <c r="Q89" s="684"/>
    </row>
    <row hidden="true" r="90">
      <c r="A90" s="676">
        <v>45918</v>
      </c>
      <c r="B90" s="677" t="s">
        <v>735</v>
      </c>
      <c r="C90" s="678" t="s">
        <v>744</v>
      </c>
      <c r="D90" s="677">
        <v>5</v>
      </c>
      <c r="E90" s="677">
        <v>54</v>
      </c>
      <c r="F90" s="677">
        <v>44</v>
      </c>
      <c r="G90" s="677">
        <v>27</v>
      </c>
      <c r="H90" s="677">
        <v>35</v>
      </c>
      <c r="I90" s="677">
        <v>5</v>
      </c>
      <c r="J90" s="683">
        <v>47303.79999999998</v>
      </c>
      <c r="K90" s="683">
        <v>20017.37</v>
      </c>
      <c r="L90" s="680">
        <f t="shared" si="0"/>
      </c>
      <c r="M90" s="680">
        <f t="shared" si="1"/>
      </c>
      <c r="N90" s="680">
        <f t="shared" si="2"/>
      </c>
      <c r="O90" s="681" t="s">
        <v>746</v>
      </c>
      <c r="P90" s="681">
        <v>10</v>
      </c>
      <c r="Q90" s="692"/>
    </row>
    <row r="91">
      <c r="A91" s="687">
        <v>45918</v>
      </c>
      <c r="B91" s="688"/>
      <c r="C91" s="688"/>
      <c r="D91" s="688">
        <f>SUM(D87:D90)</f>
      </c>
      <c r="E91" s="688">
        <f>SUM(E87:E90)</f>
      </c>
      <c r="F91" s="688">
        <f>SUM(F87:F90)</f>
      </c>
      <c r="G91" s="688">
        <f>SUM(G87:G90)</f>
      </c>
      <c r="H91" s="688">
        <f>SUM(H87:H90)</f>
      </c>
      <c r="I91" s="688">
        <f>SUM(I87:I90)</f>
      </c>
      <c r="J91" s="688">
        <f>SUM(J87:J90)</f>
      </c>
      <c r="K91" s="688">
        <f>SUM(K87:K90)</f>
      </c>
      <c r="L91" s="689">
        <f t="shared" si="0"/>
      </c>
      <c r="M91" s="689">
        <f t="shared" si="1"/>
      </c>
      <c r="N91" s="689">
        <f t="shared" si="2"/>
      </c>
      <c r="O91" s="690"/>
      <c r="P91" s="688">
        <f>P87+P88+P89+P90</f>
      </c>
      <c r="Q91" s="690"/>
    </row>
    <row hidden="true" r="92">
      <c r="A92" s="676">
        <v>45919</v>
      </c>
      <c r="B92" s="677" t="s">
        <v>730</v>
      </c>
      <c r="C92" s="678" t="s">
        <v>740</v>
      </c>
      <c r="D92" s="677">
        <v>5</v>
      </c>
      <c r="E92" s="677">
        <v>75</v>
      </c>
      <c r="F92" s="677">
        <v>60</v>
      </c>
      <c r="G92" s="677">
        <v>41</v>
      </c>
      <c r="H92" s="677">
        <v>49</v>
      </c>
      <c r="I92" s="677">
        <v>7</v>
      </c>
      <c r="J92" s="679">
        <v>49341.4</v>
      </c>
      <c r="K92" s="679">
        <v>28197.31</v>
      </c>
      <c r="L92" s="680">
        <f t="shared" si="0"/>
      </c>
      <c r="M92" s="680">
        <f t="shared" si="1"/>
      </c>
      <c r="N92" s="680">
        <f t="shared" si="2"/>
      </c>
      <c r="O92" s="681" t="s">
        <v>741</v>
      </c>
      <c r="P92" s="677">
        <v>10</v>
      </c>
      <c r="Q92" s="691"/>
    </row>
    <row hidden="true" r="93">
      <c r="A93" s="676">
        <v>45919</v>
      </c>
      <c r="B93" s="677" t="s">
        <v>727</v>
      </c>
      <c r="C93" s="678" t="s">
        <v>742</v>
      </c>
      <c r="D93" s="677">
        <v>5</v>
      </c>
      <c r="E93" s="677">
        <v>53</v>
      </c>
      <c r="F93" s="677">
        <v>41</v>
      </c>
      <c r="G93" s="677">
        <v>22</v>
      </c>
      <c r="H93" s="677">
        <v>32</v>
      </c>
      <c r="I93" s="677">
        <v>9</v>
      </c>
      <c r="J93" s="679">
        <v>41892.6</v>
      </c>
      <c r="K93" s="679">
        <v>18421.26</v>
      </c>
      <c r="L93" s="680">
        <f t="shared" si="0"/>
      </c>
      <c r="M93" s="680">
        <f t="shared" si="1"/>
      </c>
      <c r="N93" s="680">
        <f t="shared" si="2"/>
      </c>
      <c r="O93" s="684"/>
      <c r="P93" s="684"/>
      <c r="Q93" s="684"/>
    </row>
    <row hidden="true" r="94">
      <c r="A94" s="676">
        <v>45919</v>
      </c>
      <c r="B94" s="677" t="s">
        <v>733</v>
      </c>
      <c r="C94" s="678" t="s">
        <v>743</v>
      </c>
      <c r="D94" s="677">
        <v>5</v>
      </c>
      <c r="E94" s="677">
        <v>33</v>
      </c>
      <c r="F94" s="677">
        <v>27</v>
      </c>
      <c r="G94" s="677">
        <v>20</v>
      </c>
      <c r="H94" s="677">
        <v>21</v>
      </c>
      <c r="I94" s="677">
        <v>6</v>
      </c>
      <c r="J94" s="679">
        <v>25410</v>
      </c>
      <c r="K94" s="679">
        <v>20204.17</v>
      </c>
      <c r="L94" s="680">
        <f t="shared" si="0"/>
      </c>
      <c r="M94" s="680">
        <f t="shared" si="1"/>
      </c>
      <c r="N94" s="680">
        <f t="shared" si="2"/>
      </c>
      <c r="O94" s="681"/>
      <c r="P94" s="677"/>
      <c r="Q94" s="694" t="s">
        <v>747</v>
      </c>
    </row>
    <row hidden="true" r="95">
      <c r="A95" s="676">
        <v>45919</v>
      </c>
      <c r="B95" s="677" t="s">
        <v>738</v>
      </c>
      <c r="C95" s="678" t="s">
        <v>744</v>
      </c>
      <c r="D95" s="677">
        <v>5</v>
      </c>
      <c r="E95" s="677">
        <v>71</v>
      </c>
      <c r="F95" s="677">
        <v>52</v>
      </c>
      <c r="G95" s="677">
        <v>40</v>
      </c>
      <c r="H95" s="677">
        <v>44</v>
      </c>
      <c r="I95" s="677">
        <v>12</v>
      </c>
      <c r="J95" s="679">
        <v>49413.8</v>
      </c>
      <c r="K95" s="679">
        <v>25314.3</v>
      </c>
      <c r="L95" s="680">
        <f t="shared" si="0"/>
      </c>
      <c r="M95" s="680">
        <f t="shared" si="1"/>
      </c>
      <c r="N95" s="680">
        <f t="shared" si="2"/>
      </c>
      <c r="O95" s="681" t="s">
        <v>748</v>
      </c>
      <c r="P95" s="681">
        <v>10</v>
      </c>
      <c r="Q95" s="692"/>
    </row>
    <row r="96">
      <c r="A96" s="687">
        <v>45919</v>
      </c>
      <c r="B96" s="688"/>
      <c r="C96" s="688"/>
      <c r="D96" s="688">
        <f>SUM(D92:D95)</f>
      </c>
      <c r="E96" s="688">
        <f>SUM(E92:E95)</f>
      </c>
      <c r="F96" s="688">
        <f>SUM(F92:F95)</f>
      </c>
      <c r="G96" s="688">
        <f>SUM(G92:G95)</f>
      </c>
      <c r="H96" s="688">
        <f>SUM(H92:H95)</f>
      </c>
      <c r="I96" s="688">
        <f>SUM(I92:I95)</f>
      </c>
      <c r="J96" s="688">
        <f>SUM(J92:J95)</f>
      </c>
      <c r="K96" s="688">
        <f>SUM(K92:K95)</f>
      </c>
      <c r="L96" s="689">
        <f t="shared" si="0"/>
      </c>
      <c r="M96" s="689">
        <f t="shared" si="1"/>
      </c>
      <c r="N96" s="689">
        <f t="shared" si="2"/>
      </c>
      <c r="O96" s="690"/>
      <c r="P96" s="688">
        <f>P92+P93+P94+P95</f>
      </c>
      <c r="Q96" s="690"/>
    </row>
    <row hidden="true" r="97">
      <c r="A97" s="676">
        <v>45920</v>
      </c>
      <c r="B97" s="677" t="s">
        <v>727</v>
      </c>
      <c r="C97" s="678" t="s">
        <v>740</v>
      </c>
      <c r="D97" s="677">
        <v>5</v>
      </c>
      <c r="E97" s="677">
        <v>42</v>
      </c>
      <c r="F97" s="677">
        <v>25</v>
      </c>
      <c r="G97" s="677">
        <v>20</v>
      </c>
      <c r="H97" s="677">
        <v>17</v>
      </c>
      <c r="I97" s="677">
        <v>2</v>
      </c>
      <c r="J97" s="679">
        <v>32334.999999999996</v>
      </c>
      <c r="K97" s="679">
        <v>25247.68</v>
      </c>
      <c r="L97" s="680">
        <f t="shared" si="0"/>
      </c>
      <c r="M97" s="680">
        <f t="shared" si="1"/>
      </c>
      <c r="N97" s="680">
        <f t="shared" si="2"/>
      </c>
      <c r="O97" s="681" t="s">
        <v>749</v>
      </c>
      <c r="P97" s="677">
        <v>10</v>
      </c>
      <c r="Q97" s="691"/>
    </row>
    <row hidden="true" r="98">
      <c r="A98" s="676">
        <v>45920</v>
      </c>
      <c r="B98" s="677" t="s">
        <v>730</v>
      </c>
      <c r="C98" s="678" t="s">
        <v>742</v>
      </c>
      <c r="D98" s="677">
        <v>5</v>
      </c>
      <c r="E98" s="677">
        <v>57</v>
      </c>
      <c r="F98" s="677">
        <v>43</v>
      </c>
      <c r="G98" s="677">
        <v>28</v>
      </c>
      <c r="H98" s="677">
        <v>31</v>
      </c>
      <c r="I98" s="677">
        <v>6</v>
      </c>
      <c r="J98" s="679">
        <v>39655.2</v>
      </c>
      <c r="K98" s="679">
        <v>16551.45</v>
      </c>
      <c r="L98" s="680">
        <f t="shared" si="0"/>
      </c>
      <c r="M98" s="680">
        <f t="shared" si="1"/>
      </c>
      <c r="N98" s="680">
        <f t="shared" si="2"/>
      </c>
      <c r="O98" s="684"/>
      <c r="P98" s="684"/>
      <c r="Q98" s="684"/>
    </row>
    <row hidden="true" r="99">
      <c r="A99" s="676">
        <v>45920</v>
      </c>
      <c r="B99" s="677" t="s">
        <v>738</v>
      </c>
      <c r="C99" s="678" t="s">
        <v>743</v>
      </c>
      <c r="D99" s="677">
        <v>5</v>
      </c>
      <c r="E99" s="677">
        <v>44</v>
      </c>
      <c r="F99" s="677">
        <v>32</v>
      </c>
      <c r="G99" s="677">
        <v>27</v>
      </c>
      <c r="H99" s="677">
        <v>19</v>
      </c>
      <c r="I99" s="677">
        <v>3</v>
      </c>
      <c r="J99" s="679">
        <v>43457.600000000006</v>
      </c>
      <c r="K99" s="679">
        <v>15039.06</v>
      </c>
      <c r="L99" s="680">
        <f t="shared" si="0"/>
      </c>
      <c r="M99" s="680">
        <f t="shared" si="1"/>
      </c>
      <c r="N99" s="680">
        <f t="shared" si="2"/>
      </c>
      <c r="O99" s="681"/>
      <c r="P99" s="677"/>
      <c r="Q99" s="694"/>
    </row>
    <row hidden="true" r="100">
      <c r="A100" s="676">
        <v>45920</v>
      </c>
      <c r="B100" s="677" t="s">
        <v>735</v>
      </c>
      <c r="C100" s="678" t="s">
        <v>744</v>
      </c>
      <c r="D100" s="677">
        <v>5</v>
      </c>
      <c r="E100" s="677">
        <v>101</v>
      </c>
      <c r="F100" s="677">
        <v>68</v>
      </c>
      <c r="G100" s="677">
        <v>49</v>
      </c>
      <c r="H100" s="677">
        <v>54</v>
      </c>
      <c r="I100" s="677">
        <v>7</v>
      </c>
      <c r="J100" s="679">
        <v>62290.2</v>
      </c>
      <c r="K100" s="679">
        <v>30294.58</v>
      </c>
      <c r="L100" s="680">
        <f t="shared" si="0"/>
      </c>
      <c r="M100" s="680">
        <f t="shared" si="1"/>
      </c>
      <c r="N100" s="680">
        <f t="shared" si="2"/>
      </c>
      <c r="O100" s="681" t="s">
        <v>750</v>
      </c>
      <c r="P100" s="681">
        <v>10</v>
      </c>
      <c r="Q100" s="692"/>
    </row>
    <row r="101">
      <c r="A101" s="687">
        <v>45920</v>
      </c>
      <c r="B101" s="688"/>
      <c r="C101" s="688"/>
      <c r="D101" s="688">
        <f>SUM(D97:D100)</f>
      </c>
      <c r="E101" s="688">
        <f>SUM(E97:E100)</f>
      </c>
      <c r="F101" s="688">
        <f>SUM(F97:F100)</f>
      </c>
      <c r="G101" s="688">
        <f>SUM(G97:G100)</f>
      </c>
      <c r="H101" s="688">
        <f>SUM(H97:H100)</f>
      </c>
      <c r="I101" s="688">
        <f>SUM(I97:I100)</f>
      </c>
      <c r="J101" s="688">
        <f>SUM(J97:J100)</f>
      </c>
      <c r="K101" s="688">
        <f>SUM(K97:K100)</f>
      </c>
      <c r="L101" s="689">
        <f t="shared" si="0"/>
      </c>
      <c r="M101" s="689">
        <f t="shared" si="1"/>
      </c>
      <c r="N101" s="689">
        <f t="shared" si="2"/>
      </c>
      <c r="O101" s="690"/>
      <c r="P101" s="688">
        <f>P97+P98+P99+P100</f>
      </c>
      <c r="Q101" s="690"/>
    </row>
    <row hidden="true" r="102">
      <c r="A102" s="676">
        <v>45921</v>
      </c>
      <c r="B102" s="677" t="s">
        <v>727</v>
      </c>
      <c r="C102" s="678" t="s">
        <v>740</v>
      </c>
      <c r="D102" s="677">
        <v>5</v>
      </c>
      <c r="E102" s="677">
        <v>113</v>
      </c>
      <c r="F102" s="677">
        <v>78</v>
      </c>
      <c r="G102" s="677">
        <v>51</v>
      </c>
      <c r="H102" s="677">
        <v>55</v>
      </c>
      <c r="I102" s="677">
        <v>9</v>
      </c>
      <c r="J102" s="679">
        <v>86240.20000000001</v>
      </c>
      <c r="K102" s="679">
        <v>43530.82</v>
      </c>
      <c r="L102" s="680">
        <f t="shared" si="0"/>
      </c>
      <c r="M102" s="680">
        <f t="shared" si="1"/>
      </c>
      <c r="N102" s="680">
        <f t="shared" si="2"/>
      </c>
      <c r="O102" s="681" t="s">
        <v>749</v>
      </c>
      <c r="P102" s="677">
        <v>10</v>
      </c>
      <c r="Q102" s="691"/>
    </row>
    <row hidden="true" r="103">
      <c r="A103" s="676">
        <v>45921</v>
      </c>
      <c r="B103" s="677" t="s">
        <v>730</v>
      </c>
      <c r="C103" s="678" t="s">
        <v>742</v>
      </c>
      <c r="D103" s="677">
        <v>5</v>
      </c>
      <c r="E103" s="677">
        <v>90</v>
      </c>
      <c r="F103" s="677">
        <v>59</v>
      </c>
      <c r="G103" s="677">
        <v>45</v>
      </c>
      <c r="H103" s="677">
        <v>44</v>
      </c>
      <c r="I103" s="677">
        <v>9</v>
      </c>
      <c r="J103" s="679">
        <v>69391.4</v>
      </c>
      <c r="K103" s="679">
        <v>30508.920000000002</v>
      </c>
      <c r="L103" s="680">
        <f t="shared" si="0"/>
      </c>
      <c r="M103" s="680">
        <f t="shared" si="1"/>
      </c>
      <c r="N103" s="680">
        <f t="shared" si="2"/>
      </c>
      <c r="O103" s="684"/>
      <c r="P103" s="684"/>
      <c r="Q103" s="684"/>
    </row>
    <row hidden="true" r="104">
      <c r="A104" s="676">
        <v>45921</v>
      </c>
      <c r="B104" s="677" t="s">
        <v>733</v>
      </c>
      <c r="C104" s="678" t="s">
        <v>743</v>
      </c>
      <c r="D104" s="677">
        <v>5</v>
      </c>
      <c r="E104" s="677">
        <v>56</v>
      </c>
      <c r="F104" s="677">
        <v>39</v>
      </c>
      <c r="G104" s="677">
        <v>30</v>
      </c>
      <c r="H104" s="677">
        <v>29</v>
      </c>
      <c r="I104" s="677">
        <v>3</v>
      </c>
      <c r="J104" s="679">
        <v>40324.600000000006</v>
      </c>
      <c r="K104" s="679">
        <v>32988.990000000005</v>
      </c>
      <c r="L104" s="680">
        <f t="shared" si="0"/>
      </c>
      <c r="M104" s="680">
        <f t="shared" si="1"/>
      </c>
      <c r="N104" s="680">
        <f t="shared" si="2"/>
      </c>
      <c r="O104" s="681"/>
      <c r="P104" s="677"/>
      <c r="Q104" s="694"/>
    </row>
    <row hidden="true" r="105">
      <c r="A105" s="676">
        <v>45921</v>
      </c>
      <c r="B105" s="677" t="s">
        <v>735</v>
      </c>
      <c r="C105" s="678" t="s">
        <v>744</v>
      </c>
      <c r="D105" s="677">
        <v>5</v>
      </c>
      <c r="E105" s="677">
        <v>108</v>
      </c>
      <c r="F105" s="677">
        <v>82</v>
      </c>
      <c r="G105" s="677">
        <v>65</v>
      </c>
      <c r="H105" s="677">
        <v>55</v>
      </c>
      <c r="I105" s="677">
        <v>9</v>
      </c>
      <c r="J105" s="679">
        <v>107286.6</v>
      </c>
      <c r="K105" s="679">
        <v>50173.60999999999</v>
      </c>
      <c r="L105" s="680">
        <f t="shared" si="0"/>
      </c>
      <c r="M105" s="680">
        <f t="shared" si="1"/>
      </c>
      <c r="N105" s="680">
        <f t="shared" si="2"/>
      </c>
      <c r="O105" s="681" t="s">
        <v>750</v>
      </c>
      <c r="P105" s="681">
        <v>10</v>
      </c>
      <c r="Q105" s="692"/>
    </row>
    <row r="106">
      <c r="A106" s="687">
        <v>45921</v>
      </c>
      <c r="B106" s="688"/>
      <c r="C106" s="688"/>
      <c r="D106" s="688">
        <f>SUM(D102:D105)</f>
      </c>
      <c r="E106" s="688">
        <f>SUM(E102:E105)</f>
      </c>
      <c r="F106" s="688">
        <f>SUM(F102:F105)</f>
      </c>
      <c r="G106" s="688">
        <f>SUM(G102:G105)</f>
      </c>
      <c r="H106" s="688">
        <f>SUM(H102:H105)</f>
      </c>
      <c r="I106" s="688">
        <f>SUM(I102:I105)</f>
      </c>
      <c r="J106" s="688">
        <f>SUM(J102:J105)</f>
      </c>
      <c r="K106" s="688">
        <f>SUM(K102:K105)</f>
      </c>
      <c r="L106" s="689">
        <f t="shared" si="0"/>
      </c>
      <c r="M106" s="689">
        <f t="shared" si="1"/>
      </c>
      <c r="N106" s="689">
        <f t="shared" si="2"/>
      </c>
      <c r="O106" s="690"/>
      <c r="P106" s="688">
        <f>P102+P103+P104+P105</f>
      </c>
      <c r="Q106" s="690"/>
    </row>
    <row hidden="true" r="107">
      <c r="A107" s="676">
        <v>45922</v>
      </c>
      <c r="B107" s="677" t="s">
        <v>730</v>
      </c>
      <c r="C107" s="678" t="s">
        <v>740</v>
      </c>
      <c r="D107" s="677">
        <v>5</v>
      </c>
      <c r="E107" s="677">
        <v>84</v>
      </c>
      <c r="F107" s="677">
        <v>52</v>
      </c>
      <c r="G107" s="677">
        <v>41</v>
      </c>
      <c r="H107" s="677">
        <v>38</v>
      </c>
      <c r="I107" s="677">
        <v>4</v>
      </c>
      <c r="J107" s="679">
        <v>48783.2</v>
      </c>
      <c r="K107" s="679">
        <v>29348.019999999997</v>
      </c>
      <c r="L107" s="680">
        <f t="shared" si="0"/>
      </c>
      <c r="M107" s="680">
        <f t="shared" si="1"/>
      </c>
      <c r="N107" s="680">
        <f t="shared" si="2"/>
      </c>
      <c r="O107" s="681" t="s">
        <v>749</v>
      </c>
      <c r="P107" s="677">
        <v>10</v>
      </c>
      <c r="Q107" s="691"/>
    </row>
    <row hidden="true" r="108">
      <c r="A108" s="676">
        <v>45922</v>
      </c>
      <c r="B108" s="677" t="s">
        <v>738</v>
      </c>
      <c r="C108" s="678" t="s">
        <v>742</v>
      </c>
      <c r="D108" s="677">
        <v>5</v>
      </c>
      <c r="E108" s="677">
        <v>40</v>
      </c>
      <c r="F108" s="677">
        <v>30</v>
      </c>
      <c r="G108" s="677">
        <v>22</v>
      </c>
      <c r="H108" s="677">
        <v>27</v>
      </c>
      <c r="I108" s="677">
        <v>3</v>
      </c>
      <c r="J108" s="679">
        <v>27198.6</v>
      </c>
      <c r="K108" s="679">
        <v>22051.38</v>
      </c>
      <c r="L108" s="680">
        <f t="shared" si="0"/>
      </c>
      <c r="M108" s="680">
        <f t="shared" si="1"/>
      </c>
      <c r="N108" s="680">
        <f t="shared" si="2"/>
      </c>
      <c r="O108" s="684"/>
      <c r="P108" s="684"/>
      <c r="Q108" s="684"/>
    </row>
    <row hidden="true" r="109">
      <c r="A109" s="676">
        <v>45922</v>
      </c>
      <c r="B109" s="677" t="s">
        <v>733</v>
      </c>
      <c r="C109" s="678" t="s">
        <v>743</v>
      </c>
      <c r="D109" s="677">
        <v>5</v>
      </c>
      <c r="E109" s="677">
        <v>50</v>
      </c>
      <c r="F109" s="677">
        <v>35</v>
      </c>
      <c r="G109" s="677">
        <v>23</v>
      </c>
      <c r="H109" s="677">
        <v>26</v>
      </c>
      <c r="I109" s="677">
        <v>4</v>
      </c>
      <c r="J109" s="679">
        <v>37417</v>
      </c>
      <c r="K109" s="679">
        <v>20734.07</v>
      </c>
      <c r="L109" s="680">
        <f t="shared" si="0"/>
      </c>
      <c r="M109" s="680">
        <f t="shared" si="1"/>
      </c>
      <c r="N109" s="680">
        <f t="shared" si="2"/>
      </c>
      <c r="O109" s="681"/>
      <c r="P109" s="677"/>
      <c r="Q109" s="694"/>
    </row>
    <row hidden="true" r="110">
      <c r="A110" s="676">
        <v>45922</v>
      </c>
      <c r="B110" s="677" t="s">
        <v>735</v>
      </c>
      <c r="C110" s="678" t="s">
        <v>744</v>
      </c>
      <c r="D110" s="677">
        <v>5</v>
      </c>
      <c r="E110" s="677">
        <v>50</v>
      </c>
      <c r="F110" s="677">
        <v>34</v>
      </c>
      <c r="G110" s="677">
        <v>29</v>
      </c>
      <c r="H110" s="677">
        <v>23</v>
      </c>
      <c r="I110" s="677">
        <v>2</v>
      </c>
      <c r="J110" s="679">
        <v>30886.800000000003</v>
      </c>
      <c r="K110" s="679">
        <v>21428.010000000002</v>
      </c>
      <c r="L110" s="680">
        <f t="shared" si="0"/>
      </c>
      <c r="M110" s="680">
        <f t="shared" si="1"/>
      </c>
      <c r="N110" s="680">
        <f t="shared" si="2"/>
      </c>
      <c r="O110" s="681" t="s">
        <v>750</v>
      </c>
      <c r="P110" s="681">
        <v>10</v>
      </c>
      <c r="Q110" s="692"/>
    </row>
    <row r="111">
      <c r="A111" s="687">
        <v>45922</v>
      </c>
      <c r="B111" s="688"/>
      <c r="C111" s="688"/>
      <c r="D111" s="688">
        <f>SUM(D107:D110)</f>
      </c>
      <c r="E111" s="688">
        <f>SUM(E107:E110)</f>
      </c>
      <c r="F111" s="688">
        <f>SUM(F107:F110)</f>
      </c>
      <c r="G111" s="688">
        <f>SUM(G107:G110)</f>
      </c>
      <c r="H111" s="688">
        <f>SUM(H107:H110)</f>
      </c>
      <c r="I111" s="688">
        <f>SUM(I107:I110)</f>
      </c>
      <c r="J111" s="688">
        <f>SUM(J107:J110)</f>
      </c>
      <c r="K111" s="688">
        <f>SUM(K107:K110)</f>
      </c>
      <c r="L111" s="689">
        <f t="shared" si="0"/>
      </c>
      <c r="M111" s="689">
        <f t="shared" si="1"/>
      </c>
      <c r="N111" s="689">
        <f t="shared" si="2"/>
      </c>
      <c r="O111" s="690"/>
      <c r="P111" s="688">
        <f>P107+P108+P109+P110</f>
      </c>
      <c r="Q111" s="690"/>
    </row>
    <row hidden="true" r="112">
      <c r="A112" s="676">
        <v>45923</v>
      </c>
      <c r="B112" s="677" t="s">
        <v>727</v>
      </c>
      <c r="C112" s="678" t="s">
        <v>740</v>
      </c>
      <c r="D112" s="677">
        <v>5</v>
      </c>
      <c r="E112" s="677">
        <v>80</v>
      </c>
      <c r="F112" s="677">
        <v>59</v>
      </c>
      <c r="G112" s="677">
        <v>37</v>
      </c>
      <c r="H112" s="677">
        <v>44</v>
      </c>
      <c r="I112" s="677">
        <v>8</v>
      </c>
      <c r="J112" s="679">
        <v>58237.399999999994</v>
      </c>
      <c r="K112" s="679">
        <v>31012.009999999995</v>
      </c>
      <c r="L112" s="680">
        <f t="shared" si="0"/>
      </c>
      <c r="M112" s="680">
        <f t="shared" si="1"/>
      </c>
      <c r="N112" s="680">
        <f t="shared" si="2"/>
      </c>
      <c r="O112" s="681" t="s">
        <v>749</v>
      </c>
      <c r="P112" s="677">
        <v>10</v>
      </c>
      <c r="Q112" s="691"/>
    </row>
    <row hidden="true" r="113">
      <c r="A113" s="676">
        <v>45923</v>
      </c>
      <c r="B113" s="677" t="s">
        <v>730</v>
      </c>
      <c r="C113" s="678" t="s">
        <v>742</v>
      </c>
      <c r="D113" s="677">
        <v>5</v>
      </c>
      <c r="E113" s="677">
        <v>56</v>
      </c>
      <c r="F113" s="677">
        <v>44</v>
      </c>
      <c r="G113" s="677">
        <v>27</v>
      </c>
      <c r="H113" s="677">
        <v>34</v>
      </c>
      <c r="I113" s="677">
        <v>6</v>
      </c>
      <c r="J113" s="679">
        <v>55560.799999999996</v>
      </c>
      <c r="K113" s="679">
        <v>21122.78</v>
      </c>
      <c r="L113" s="680">
        <f t="shared" si="0"/>
      </c>
      <c r="M113" s="680">
        <f t="shared" si="1"/>
      </c>
      <c r="N113" s="680">
        <f t="shared" si="2"/>
      </c>
      <c r="O113" s="684"/>
      <c r="P113" s="684"/>
      <c r="Q113" s="684"/>
    </row>
    <row hidden="true" r="114">
      <c r="A114" s="676">
        <v>45923</v>
      </c>
      <c r="B114" s="677" t="s">
        <v>733</v>
      </c>
      <c r="C114" s="678" t="s">
        <v>743</v>
      </c>
      <c r="D114" s="677">
        <v>5</v>
      </c>
      <c r="E114" s="677">
        <v>57</v>
      </c>
      <c r="F114" s="677">
        <v>42</v>
      </c>
      <c r="G114" s="677">
        <v>28</v>
      </c>
      <c r="H114" s="677">
        <v>36</v>
      </c>
      <c r="I114" s="677">
        <v>7</v>
      </c>
      <c r="J114" s="679">
        <v>40150.600000000006</v>
      </c>
      <c r="K114" s="679">
        <v>23127.800000000003</v>
      </c>
      <c r="L114" s="680">
        <f t="shared" si="0"/>
      </c>
      <c r="M114" s="680">
        <f t="shared" si="1"/>
      </c>
      <c r="N114" s="680">
        <f t="shared" si="2"/>
      </c>
      <c r="O114" s="681"/>
      <c r="P114" s="677"/>
      <c r="Q114" s="694"/>
    </row>
    <row hidden="true" r="115">
      <c r="A115" s="676">
        <v>45923</v>
      </c>
      <c r="B115" s="677" t="s">
        <v>735</v>
      </c>
      <c r="C115" s="678" t="s">
        <v>744</v>
      </c>
      <c r="D115" s="677">
        <v>5</v>
      </c>
      <c r="E115" s="677">
        <v>84</v>
      </c>
      <c r="F115" s="677">
        <v>58</v>
      </c>
      <c r="G115" s="677">
        <v>42</v>
      </c>
      <c r="H115" s="677">
        <v>38</v>
      </c>
      <c r="I115" s="677">
        <v>7</v>
      </c>
      <c r="J115" s="679">
        <v>75175</v>
      </c>
      <c r="K115" s="679">
        <v>27270.780000000002</v>
      </c>
      <c r="L115" s="680">
        <f t="shared" si="0"/>
      </c>
      <c r="M115" s="680">
        <f t="shared" si="1"/>
      </c>
      <c r="N115" s="680">
        <f t="shared" si="2"/>
      </c>
      <c r="O115" s="681" t="s">
        <v>750</v>
      </c>
      <c r="P115" s="681">
        <v>10</v>
      </c>
      <c r="Q115" s="692"/>
    </row>
    <row r="116">
      <c r="A116" s="687">
        <v>45923</v>
      </c>
      <c r="B116" s="688"/>
      <c r="C116" s="688"/>
      <c r="D116" s="688">
        <f>SUM(D112:D115)</f>
      </c>
      <c r="E116" s="688">
        <f>SUM(E112:E115)</f>
      </c>
      <c r="F116" s="688">
        <f>SUM(F112:F115)</f>
      </c>
      <c r="G116" s="688">
        <f>SUM(G112:G115)</f>
      </c>
      <c r="H116" s="688">
        <f>SUM(H112:H115)</f>
      </c>
      <c r="I116" s="688">
        <f>SUM(I112:I115)</f>
      </c>
      <c r="J116" s="688">
        <f>SUM(J112:J115)</f>
      </c>
      <c r="K116" s="688">
        <f>SUM(K112:K115)</f>
      </c>
      <c r="L116" s="689">
        <f t="shared" si="0"/>
      </c>
      <c r="M116" s="689">
        <f t="shared" si="1"/>
      </c>
      <c r="N116" s="689">
        <f t="shared" si="2"/>
      </c>
      <c r="O116" s="690"/>
      <c r="P116" s="688">
        <f>P112+P113+P114+P115</f>
      </c>
      <c r="Q116" s="690"/>
    </row>
    <row hidden="true" r="117">
      <c r="A117" s="676">
        <v>45924</v>
      </c>
      <c r="B117" s="677" t="s">
        <v>727</v>
      </c>
      <c r="C117" s="678" t="s">
        <v>740</v>
      </c>
      <c r="D117" s="677">
        <v>5</v>
      </c>
      <c r="E117" s="677">
        <v>102</v>
      </c>
      <c r="F117" s="677">
        <v>71</v>
      </c>
      <c r="G117" s="677">
        <v>53</v>
      </c>
      <c r="H117" s="677">
        <v>43</v>
      </c>
      <c r="I117" s="677">
        <v>9</v>
      </c>
      <c r="J117" s="679">
        <v>87617.8</v>
      </c>
      <c r="K117" s="679">
        <v>45384.63</v>
      </c>
      <c r="L117" s="680">
        <f t="shared" si="0"/>
      </c>
      <c r="M117" s="680">
        <f t="shared" si="1"/>
      </c>
      <c r="N117" s="680">
        <f t="shared" si="2"/>
      </c>
      <c r="O117" s="681" t="s">
        <v>749</v>
      </c>
      <c r="P117" s="677">
        <v>10</v>
      </c>
      <c r="Q117" s="691"/>
    </row>
    <row hidden="true" r="118">
      <c r="A118" s="676">
        <v>45924</v>
      </c>
      <c r="B118" s="677" t="s">
        <v>730</v>
      </c>
      <c r="C118" s="678" t="s">
        <v>742</v>
      </c>
      <c r="D118" s="677">
        <v>5</v>
      </c>
      <c r="E118" s="677">
        <v>119</v>
      </c>
      <c r="F118" s="677">
        <v>85</v>
      </c>
      <c r="G118" s="677">
        <v>56</v>
      </c>
      <c r="H118" s="677">
        <v>70</v>
      </c>
      <c r="I118" s="677">
        <v>11</v>
      </c>
      <c r="J118" s="679">
        <v>77395.8</v>
      </c>
      <c r="K118" s="679">
        <v>41396.600000000006</v>
      </c>
      <c r="L118" s="680">
        <f t="shared" si="0"/>
      </c>
      <c r="M118" s="680">
        <f t="shared" si="1"/>
      </c>
      <c r="N118" s="680">
        <f t="shared" si="2"/>
      </c>
      <c r="O118" s="684"/>
      <c r="P118" s="684"/>
      <c r="Q118" s="684"/>
    </row>
    <row hidden="true" r="119">
      <c r="A119" s="695">
        <v>45924</v>
      </c>
      <c r="B119" s="696" t="s">
        <v>738</v>
      </c>
      <c r="C119" s="697" t="s">
        <v>743</v>
      </c>
      <c r="D119" s="696">
        <v>5</v>
      </c>
      <c r="E119" s="696">
        <v>68</v>
      </c>
      <c r="F119" s="696">
        <v>45</v>
      </c>
      <c r="G119" s="696">
        <v>38</v>
      </c>
      <c r="H119" s="696">
        <v>36</v>
      </c>
      <c r="I119" s="696">
        <v>5</v>
      </c>
      <c r="J119" s="698">
        <v>40547.600000000006</v>
      </c>
      <c r="K119" s="698">
        <v>33881.97</v>
      </c>
      <c r="L119" s="699">
        <f t="shared" si="0"/>
      </c>
      <c r="M119" s="699">
        <f t="shared" si="1"/>
      </c>
      <c r="N119" s="699">
        <f t="shared" si="2"/>
      </c>
      <c r="O119" s="700"/>
      <c r="P119" s="696"/>
      <c r="Q119" s="701" t="s">
        <v>751</v>
      </c>
    </row>
    <row hidden="true" r="120">
      <c r="A120" s="676">
        <v>45924</v>
      </c>
      <c r="B120" s="677" t="s">
        <v>735</v>
      </c>
      <c r="C120" s="678" t="s">
        <v>744</v>
      </c>
      <c r="D120" s="677">
        <v>5</v>
      </c>
      <c r="E120" s="677">
        <v>97</v>
      </c>
      <c r="F120" s="677">
        <v>64</v>
      </c>
      <c r="G120" s="677">
        <v>45</v>
      </c>
      <c r="H120" s="677">
        <v>34</v>
      </c>
      <c r="I120" s="677">
        <v>7</v>
      </c>
      <c r="J120" s="679">
        <v>94137</v>
      </c>
      <c r="K120" s="679">
        <v>31330.389999999996</v>
      </c>
      <c r="L120" s="680">
        <f t="shared" si="0"/>
      </c>
      <c r="M120" s="680">
        <f t="shared" si="1"/>
      </c>
      <c r="N120" s="680">
        <f t="shared" si="2"/>
      </c>
      <c r="O120" s="681" t="s">
        <v>750</v>
      </c>
      <c r="P120" s="681">
        <v>10</v>
      </c>
      <c r="Q120" s="692"/>
    </row>
    <row r="121">
      <c r="A121" s="687">
        <v>45924</v>
      </c>
      <c r="B121" s="688"/>
      <c r="C121" s="688"/>
      <c r="D121" s="688">
        <f>SUM(D117:D120)</f>
      </c>
      <c r="E121" s="688">
        <f>SUM(E117:E120)</f>
      </c>
      <c r="F121" s="688">
        <f>SUM(F117:F120)</f>
      </c>
      <c r="G121" s="688">
        <f>SUM(G117:G120)</f>
      </c>
      <c r="H121" s="688">
        <f>SUM(H117:H120)</f>
      </c>
      <c r="I121" s="688">
        <f>SUM(I117:I120)</f>
      </c>
      <c r="J121" s="688">
        <f>SUM(J117:J120)</f>
      </c>
      <c r="K121" s="688">
        <f>SUM(K117:K120)</f>
      </c>
      <c r="L121" s="689">
        <f t="shared" si="0"/>
      </c>
      <c r="M121" s="689">
        <f t="shared" si="1"/>
      </c>
      <c r="N121" s="689">
        <f t="shared" si="2"/>
      </c>
      <c r="O121" s="690"/>
      <c r="P121" s="688">
        <f>P117+P118+P119+P120</f>
      </c>
      <c r="Q121" s="690"/>
    </row>
    <row hidden="true" r="122">
      <c r="A122" s="676">
        <v>45925</v>
      </c>
      <c r="B122" s="677" t="s">
        <v>730</v>
      </c>
      <c r="C122" s="678" t="s">
        <v>740</v>
      </c>
      <c r="D122" s="677">
        <v>5</v>
      </c>
      <c r="E122" s="677">
        <v>72</v>
      </c>
      <c r="F122" s="677">
        <v>55</v>
      </c>
      <c r="G122" s="677">
        <v>40</v>
      </c>
      <c r="H122" s="677">
        <v>44</v>
      </c>
      <c r="I122" s="677">
        <v>7</v>
      </c>
      <c r="J122" s="679">
        <v>48511.8</v>
      </c>
      <c r="K122" s="679">
        <v>26509.730000000003</v>
      </c>
      <c r="L122" s="680">
        <f t="shared" si="0"/>
      </c>
      <c r="M122" s="680">
        <f t="shared" si="1"/>
      </c>
      <c r="N122" s="680">
        <f t="shared" si="2"/>
      </c>
      <c r="O122" s="681" t="s">
        <v>749</v>
      </c>
      <c r="P122" s="677">
        <v>10</v>
      </c>
      <c r="Q122" s="691"/>
    </row>
    <row hidden="true" r="123">
      <c r="A123" s="676">
        <v>45925</v>
      </c>
      <c r="B123" s="677" t="s">
        <v>727</v>
      </c>
      <c r="C123" s="678" t="s">
        <v>742</v>
      </c>
      <c r="D123" s="677">
        <v>5</v>
      </c>
      <c r="E123" s="677">
        <v>87</v>
      </c>
      <c r="F123" s="677">
        <v>62</v>
      </c>
      <c r="G123" s="677">
        <v>41</v>
      </c>
      <c r="H123" s="677">
        <v>51</v>
      </c>
      <c r="I123" s="677">
        <v>11</v>
      </c>
      <c r="J123" s="679">
        <v>53698.2</v>
      </c>
      <c r="K123" s="679">
        <v>34948.32</v>
      </c>
      <c r="L123" s="680">
        <f t="shared" si="0"/>
      </c>
      <c r="M123" s="680">
        <f t="shared" si="1"/>
      </c>
      <c r="N123" s="680">
        <f t="shared" si="2"/>
      </c>
      <c r="O123" s="684"/>
      <c r="P123" s="684"/>
      <c r="Q123" s="684"/>
    </row>
    <row hidden="true" r="124">
      <c r="A124" s="676">
        <v>45925</v>
      </c>
      <c r="B124" s="677" t="s">
        <v>738</v>
      </c>
      <c r="C124" s="678" t="s">
        <v>743</v>
      </c>
      <c r="D124" s="677">
        <v>5</v>
      </c>
      <c r="E124" s="677">
        <v>40</v>
      </c>
      <c r="F124" s="677">
        <v>27</v>
      </c>
      <c r="G124" s="677">
        <v>21</v>
      </c>
      <c r="H124" s="677">
        <v>20</v>
      </c>
      <c r="I124" s="677">
        <v>4</v>
      </c>
      <c r="J124" s="679">
        <v>24395.2</v>
      </c>
      <c r="K124" s="679">
        <v>24477.3</v>
      </c>
      <c r="L124" s="680">
        <f t="shared" si="0"/>
      </c>
      <c r="M124" s="680">
        <f t="shared" si="1"/>
      </c>
      <c r="N124" s="680">
        <f t="shared" si="2"/>
      </c>
      <c r="O124" s="681"/>
      <c r="P124" s="677"/>
      <c r="Q124" s="694"/>
    </row>
    <row hidden="true" r="125">
      <c r="A125" s="676">
        <v>45925</v>
      </c>
      <c r="B125" s="677" t="s">
        <v>735</v>
      </c>
      <c r="C125" s="678" t="s">
        <v>744</v>
      </c>
      <c r="D125" s="677">
        <v>5</v>
      </c>
      <c r="E125" s="677">
        <v>34</v>
      </c>
      <c r="F125" s="677">
        <v>21</v>
      </c>
      <c r="G125" s="677">
        <v>16</v>
      </c>
      <c r="H125" s="677">
        <v>15</v>
      </c>
      <c r="I125" s="677">
        <v>1</v>
      </c>
      <c r="J125" s="679">
        <v>16962.6</v>
      </c>
      <c r="K125" s="679">
        <v>19026.1</v>
      </c>
      <c r="L125" s="680">
        <f t="shared" si="0"/>
      </c>
      <c r="M125" s="680">
        <f t="shared" si="1"/>
      </c>
      <c r="N125" s="680">
        <f t="shared" si="2"/>
      </c>
      <c r="O125" s="681" t="s">
        <v>752</v>
      </c>
      <c r="P125" s="681">
        <v>10</v>
      </c>
      <c r="Q125" s="692"/>
    </row>
    <row r="126">
      <c r="A126" s="687">
        <v>45925</v>
      </c>
      <c r="B126" s="688"/>
      <c r="C126" s="688"/>
      <c r="D126" s="688">
        <f>SUM(D122:D125)</f>
      </c>
      <c r="E126" s="688">
        <f>SUM(E122:E125)</f>
      </c>
      <c r="F126" s="688">
        <f>SUM(F122:F125)</f>
      </c>
      <c r="G126" s="688">
        <f>SUM(G122:G125)</f>
      </c>
      <c r="H126" s="688">
        <f>SUM(H122:H125)</f>
      </c>
      <c r="I126" s="688">
        <f>SUM(I122:I125)</f>
      </c>
      <c r="J126" s="688">
        <f>SUM(J122:J125)</f>
      </c>
      <c r="K126" s="688">
        <f>SUM(K122:K125)</f>
      </c>
      <c r="L126" s="689">
        <f t="shared" si="0"/>
      </c>
      <c r="M126" s="689">
        <f t="shared" si="1"/>
      </c>
      <c r="N126" s="689">
        <f t="shared" si="2"/>
      </c>
      <c r="O126" s="690"/>
      <c r="P126" s="688">
        <f>P122+P123+P124+P125</f>
      </c>
      <c r="Q126" s="690"/>
    </row>
    <row hidden="true" r="127">
      <c r="A127" s="676">
        <v>45926</v>
      </c>
      <c r="B127" s="677" t="s">
        <v>727</v>
      </c>
      <c r="C127" s="678" t="s">
        <v>740</v>
      </c>
      <c r="D127" s="677">
        <v>5</v>
      </c>
      <c r="E127" s="677">
        <v>64</v>
      </c>
      <c r="F127" s="677">
        <v>52</v>
      </c>
      <c r="G127" s="677">
        <v>36</v>
      </c>
      <c r="H127" s="677">
        <v>42</v>
      </c>
      <c r="I127" s="677">
        <v>7</v>
      </c>
      <c r="J127" s="679">
        <v>55352.8</v>
      </c>
      <c r="K127" s="679">
        <v>27884.7</v>
      </c>
      <c r="L127" s="680">
        <f t="shared" si="0"/>
      </c>
      <c r="M127" s="680">
        <f t="shared" si="1"/>
      </c>
      <c r="N127" s="680">
        <f t="shared" si="2"/>
      </c>
      <c r="O127" s="681" t="s">
        <v>741</v>
      </c>
      <c r="P127" s="677">
        <v>10</v>
      </c>
      <c r="Q127" s="691"/>
    </row>
    <row hidden="true" r="128">
      <c r="A128" s="676">
        <v>45926</v>
      </c>
      <c r="B128" s="677" t="s">
        <v>733</v>
      </c>
      <c r="C128" s="678" t="s">
        <v>742</v>
      </c>
      <c r="D128" s="677">
        <v>5</v>
      </c>
      <c r="E128" s="677">
        <v>80</v>
      </c>
      <c r="F128" s="677">
        <v>56</v>
      </c>
      <c r="G128" s="677">
        <v>41</v>
      </c>
      <c r="H128" s="677">
        <v>43</v>
      </c>
      <c r="I128" s="677">
        <v>4</v>
      </c>
      <c r="J128" s="679">
        <v>48662.6</v>
      </c>
      <c r="K128" s="679">
        <v>32054.06</v>
      </c>
      <c r="L128" s="680">
        <f t="shared" si="0"/>
      </c>
      <c r="M128" s="680">
        <f t="shared" si="1"/>
      </c>
      <c r="N128" s="680">
        <f t="shared" si="2"/>
      </c>
      <c r="O128" s="684"/>
      <c r="P128" s="684"/>
      <c r="Q128" s="684"/>
    </row>
    <row hidden="true" r="129">
      <c r="A129" s="676">
        <v>45926</v>
      </c>
      <c r="B129" s="677" t="s">
        <v>730</v>
      </c>
      <c r="C129" s="678" t="s">
        <v>743</v>
      </c>
      <c r="D129" s="677">
        <v>5</v>
      </c>
      <c r="E129" s="677">
        <v>62</v>
      </c>
      <c r="F129" s="677">
        <v>44</v>
      </c>
      <c r="G129" s="677">
        <v>35</v>
      </c>
      <c r="H129" s="677">
        <v>29</v>
      </c>
      <c r="I129" s="677">
        <v>5</v>
      </c>
      <c r="J129" s="679">
        <v>49925.8</v>
      </c>
      <c r="K129" s="679">
        <v>26725.2</v>
      </c>
      <c r="L129" s="680">
        <f t="shared" si="0"/>
      </c>
      <c r="M129" s="680">
        <f t="shared" si="1"/>
      </c>
      <c r="N129" s="680">
        <f t="shared" si="2"/>
      </c>
      <c r="O129" s="681"/>
      <c r="P129" s="677"/>
      <c r="Q129" s="694"/>
    </row>
    <row hidden="true" r="130">
      <c r="A130" s="676">
        <v>45926</v>
      </c>
      <c r="B130" s="677" t="s">
        <v>735</v>
      </c>
      <c r="C130" s="678" t="s">
        <v>744</v>
      </c>
      <c r="D130" s="677">
        <v>5</v>
      </c>
      <c r="E130" s="677">
        <v>144</v>
      </c>
      <c r="F130" s="677">
        <v>98</v>
      </c>
      <c r="G130" s="677">
        <v>62</v>
      </c>
      <c r="H130" s="677">
        <v>71</v>
      </c>
      <c r="I130" s="677">
        <v>13</v>
      </c>
      <c r="J130" s="679">
        <v>112178.6</v>
      </c>
      <c r="K130" s="679">
        <v>37567.39</v>
      </c>
      <c r="L130" s="680">
        <f t="shared" si="0"/>
      </c>
      <c r="M130" s="680">
        <f t="shared" si="1"/>
      </c>
      <c r="N130" s="680">
        <f t="shared" si="2"/>
      </c>
      <c r="O130" s="681" t="s">
        <v>752</v>
      </c>
      <c r="P130" s="681">
        <v>10</v>
      </c>
      <c r="Q130" s="692"/>
    </row>
    <row r="131">
      <c r="A131" s="687">
        <v>45926</v>
      </c>
      <c r="B131" s="688"/>
      <c r="C131" s="688"/>
      <c r="D131" s="688">
        <f>SUM(D127:D130)</f>
      </c>
      <c r="E131" s="688">
        <f>SUM(E127:E130)</f>
      </c>
      <c r="F131" s="688">
        <f>SUM(F127:F130)</f>
      </c>
      <c r="G131" s="688">
        <f>SUM(G127:G130)</f>
      </c>
      <c r="H131" s="688">
        <f>SUM(H127:H130)</f>
      </c>
      <c r="I131" s="688">
        <f>SUM(I127:I130)</f>
      </c>
      <c r="J131" s="688">
        <f>SUM(J127:J130)</f>
      </c>
      <c r="K131" s="688">
        <f>SUM(K127:K130)</f>
      </c>
      <c r="L131" s="689">
        <f t="shared" si="0"/>
      </c>
      <c r="M131" s="689">
        <f t="shared" si="1"/>
      </c>
      <c r="N131" s="689">
        <f t="shared" si="2"/>
      </c>
      <c r="O131" s="690"/>
      <c r="P131" s="688">
        <f>P127+P128+P129+P130</f>
      </c>
      <c r="Q131" s="690"/>
    </row>
    <row hidden="true" r="132">
      <c r="A132" s="676">
        <v>45927</v>
      </c>
      <c r="B132" s="677" t="s">
        <v>727</v>
      </c>
      <c r="C132" s="678" t="s">
        <v>740</v>
      </c>
      <c r="D132" s="677">
        <v>5</v>
      </c>
      <c r="E132" s="677">
        <v>107</v>
      </c>
      <c r="F132" s="677">
        <v>84</v>
      </c>
      <c r="G132" s="677">
        <v>52</v>
      </c>
      <c r="H132" s="677">
        <v>57</v>
      </c>
      <c r="I132" s="677">
        <v>16</v>
      </c>
      <c r="J132" s="679">
        <v>96580.79999999999</v>
      </c>
      <c r="K132" s="679">
        <v>44329.04</v>
      </c>
      <c r="L132" s="680">
        <f t="shared" si="0"/>
      </c>
      <c r="M132" s="680">
        <f t="shared" si="1"/>
      </c>
      <c r="N132" s="680">
        <f t="shared" si="2"/>
      </c>
      <c r="O132" s="681" t="s">
        <v>749</v>
      </c>
      <c r="P132" s="677">
        <v>10</v>
      </c>
      <c r="Q132" s="691"/>
    </row>
    <row hidden="true" r="133">
      <c r="A133" s="676">
        <v>45927</v>
      </c>
      <c r="B133" s="677" t="s">
        <v>730</v>
      </c>
      <c r="C133" s="678" t="s">
        <v>742</v>
      </c>
      <c r="D133" s="677">
        <v>5</v>
      </c>
      <c r="E133" s="677">
        <v>121</v>
      </c>
      <c r="F133" s="677">
        <v>91</v>
      </c>
      <c r="G133" s="677">
        <v>56</v>
      </c>
      <c r="H133" s="677">
        <v>70</v>
      </c>
      <c r="I133" s="677">
        <v>13</v>
      </c>
      <c r="J133" s="679">
        <v>89600.19999999998</v>
      </c>
      <c r="K133" s="679">
        <v>43011.72</v>
      </c>
      <c r="L133" s="680">
        <f t="shared" si="0"/>
      </c>
      <c r="M133" s="680">
        <f t="shared" si="1"/>
      </c>
      <c r="N133" s="680">
        <f t="shared" si="2"/>
      </c>
      <c r="O133" s="684"/>
      <c r="P133" s="684"/>
      <c r="Q133" s="684"/>
    </row>
    <row hidden="true" r="134">
      <c r="A134" s="676">
        <v>45927</v>
      </c>
      <c r="B134" s="677" t="s">
        <v>733</v>
      </c>
      <c r="C134" s="678" t="s">
        <v>743</v>
      </c>
      <c r="D134" s="677">
        <v>5</v>
      </c>
      <c r="E134" s="677">
        <v>48</v>
      </c>
      <c r="F134" s="677">
        <v>36</v>
      </c>
      <c r="G134" s="677">
        <v>33</v>
      </c>
      <c r="H134" s="677">
        <v>28</v>
      </c>
      <c r="I134" s="677">
        <v>4</v>
      </c>
      <c r="J134" s="679">
        <v>35684.4</v>
      </c>
      <c r="K134" s="679">
        <v>29275.839999999997</v>
      </c>
      <c r="L134" s="680">
        <f t="shared" si="0"/>
      </c>
      <c r="M134" s="680">
        <f t="shared" si="1"/>
      </c>
      <c r="N134" s="680">
        <f t="shared" si="2"/>
      </c>
      <c r="O134" s="681"/>
      <c r="P134" s="677"/>
      <c r="Q134" s="694"/>
    </row>
    <row hidden="true" r="135">
      <c r="A135" s="676">
        <v>45927</v>
      </c>
      <c r="B135" s="677" t="s">
        <v>735</v>
      </c>
      <c r="C135" s="678" t="s">
        <v>744</v>
      </c>
      <c r="D135" s="677">
        <v>5</v>
      </c>
      <c r="E135" s="677">
        <v>88</v>
      </c>
      <c r="F135" s="677">
        <v>58</v>
      </c>
      <c r="G135" s="677">
        <v>44</v>
      </c>
      <c r="H135" s="677">
        <v>36</v>
      </c>
      <c r="I135" s="677">
        <v>6</v>
      </c>
      <c r="J135" s="679">
        <v>68881.6</v>
      </c>
      <c r="K135" s="679">
        <v>38884.729999999996</v>
      </c>
      <c r="L135" s="680">
        <f t="shared" si="0"/>
      </c>
      <c r="M135" s="680">
        <f t="shared" si="1"/>
      </c>
      <c r="N135" s="680">
        <f t="shared" si="2"/>
      </c>
      <c r="O135" s="681" t="s">
        <v>750</v>
      </c>
      <c r="P135" s="681">
        <v>10</v>
      </c>
      <c r="Q135" s="692"/>
    </row>
    <row r="136">
      <c r="A136" s="687">
        <v>45927</v>
      </c>
      <c r="B136" s="688"/>
      <c r="C136" s="688"/>
      <c r="D136" s="688">
        <f>SUM(D132:D135)</f>
      </c>
      <c r="E136" s="688">
        <f>SUM(E132:E135)</f>
      </c>
      <c r="F136" s="688">
        <f>SUM(F132:F135)</f>
      </c>
      <c r="G136" s="688">
        <f>SUM(G132:G135)</f>
      </c>
      <c r="H136" s="688">
        <f>SUM(H132:H135)</f>
      </c>
      <c r="I136" s="688">
        <f>SUM(I132:I135)</f>
      </c>
      <c r="J136" s="688">
        <f>SUM(J132:J135)</f>
      </c>
      <c r="K136" s="688">
        <f>SUM(K132:K135)</f>
      </c>
      <c r="L136" s="689">
        <f t="shared" si="0"/>
      </c>
      <c r="M136" s="689">
        <f t="shared" si="1"/>
      </c>
      <c r="N136" s="689">
        <f t="shared" si="2"/>
      </c>
      <c r="O136" s="690"/>
      <c r="P136" s="688">
        <f>P132+P133+P134+P135</f>
      </c>
      <c r="Q136" s="690"/>
    </row>
    <row hidden="true" r="137">
      <c r="A137" s="676">
        <v>45928</v>
      </c>
      <c r="B137" s="677" t="s">
        <v>727</v>
      </c>
      <c r="C137" s="678" t="s">
        <v>740</v>
      </c>
      <c r="D137" s="677">
        <v>5</v>
      </c>
      <c r="E137" s="677">
        <v>75</v>
      </c>
      <c r="F137" s="677">
        <v>55</v>
      </c>
      <c r="G137" s="677">
        <v>40</v>
      </c>
      <c r="H137" s="677">
        <v>38</v>
      </c>
      <c r="I137" s="677">
        <v>7</v>
      </c>
      <c r="J137" s="679">
        <v>57218.6</v>
      </c>
      <c r="K137" s="679">
        <v>32153.02</v>
      </c>
      <c r="L137" s="680">
        <f t="shared" si="0"/>
      </c>
      <c r="M137" s="680">
        <f t="shared" si="1"/>
      </c>
      <c r="N137" s="680">
        <f t="shared" si="2"/>
      </c>
      <c r="O137" s="681" t="s">
        <v>749</v>
      </c>
      <c r="P137" s="677">
        <v>9</v>
      </c>
      <c r="Q137" s="691"/>
    </row>
    <row hidden="true" r="138">
      <c r="A138" s="676">
        <v>45928</v>
      </c>
      <c r="B138" s="677" t="s">
        <v>730</v>
      </c>
      <c r="C138" s="678" t="s">
        <v>742</v>
      </c>
      <c r="D138" s="677">
        <v>5</v>
      </c>
      <c r="E138" s="677">
        <v>62</v>
      </c>
      <c r="F138" s="677">
        <v>48</v>
      </c>
      <c r="G138" s="677">
        <v>33</v>
      </c>
      <c r="H138" s="677">
        <v>43</v>
      </c>
      <c r="I138" s="677">
        <v>6</v>
      </c>
      <c r="J138" s="679">
        <v>43724.79999999999</v>
      </c>
      <c r="K138" s="679">
        <v>27001.29</v>
      </c>
      <c r="L138" s="680">
        <f t="shared" si="0"/>
      </c>
      <c r="M138" s="680">
        <f t="shared" si="1"/>
      </c>
      <c r="N138" s="680">
        <f t="shared" si="2"/>
      </c>
      <c r="O138" s="684"/>
      <c r="P138" s="684"/>
      <c r="Q138" s="684"/>
    </row>
    <row hidden="true" r="139">
      <c r="A139" s="676">
        <v>45928</v>
      </c>
      <c r="B139" s="677" t="s">
        <v>738</v>
      </c>
      <c r="C139" s="678" t="s">
        <v>743</v>
      </c>
      <c r="D139" s="677">
        <v>5</v>
      </c>
      <c r="E139" s="677">
        <v>47</v>
      </c>
      <c r="F139" s="677">
        <v>35</v>
      </c>
      <c r="G139" s="677">
        <v>30</v>
      </c>
      <c r="H139" s="677">
        <v>29</v>
      </c>
      <c r="I139" s="677">
        <v>3</v>
      </c>
      <c r="J139" s="679">
        <v>31525.400000000016</v>
      </c>
      <c r="K139" s="679">
        <v>25286.03</v>
      </c>
      <c r="L139" s="680">
        <f t="shared" si="0"/>
      </c>
      <c r="M139" s="680">
        <f t="shared" si="1"/>
      </c>
      <c r="N139" s="680">
        <f t="shared" si="2"/>
      </c>
      <c r="O139" s="681" t="s">
        <v>737</v>
      </c>
      <c r="P139" s="677">
        <v>5</v>
      </c>
      <c r="Q139" s="694"/>
    </row>
    <row hidden="true" r="140">
      <c r="A140" s="676">
        <v>45928</v>
      </c>
      <c r="B140" s="677" t="s">
        <v>735</v>
      </c>
      <c r="C140" s="678" t="s">
        <v>744</v>
      </c>
      <c r="D140" s="677">
        <v>5</v>
      </c>
      <c r="E140" s="677">
        <v>67</v>
      </c>
      <c r="F140" s="677">
        <v>39</v>
      </c>
      <c r="G140" s="677">
        <v>28</v>
      </c>
      <c r="H140" s="677">
        <v>29</v>
      </c>
      <c r="I140" s="677">
        <v>6</v>
      </c>
      <c r="J140" s="679">
        <v>42589</v>
      </c>
      <c r="K140" s="679">
        <v>26036.350000000002</v>
      </c>
      <c r="L140" s="680">
        <f t="shared" si="0"/>
      </c>
      <c r="M140" s="680">
        <f t="shared" si="1"/>
      </c>
      <c r="N140" s="680">
        <f t="shared" si="2"/>
      </c>
      <c r="O140" s="681" t="s">
        <v>750</v>
      </c>
      <c r="P140" s="681">
        <v>6</v>
      </c>
      <c r="Q140" s="692"/>
    </row>
    <row r="141">
      <c r="A141" s="687">
        <v>45928</v>
      </c>
      <c r="B141" s="688"/>
      <c r="C141" s="688"/>
      <c r="D141" s="688">
        <f>SUM(D137:D140)</f>
      </c>
      <c r="E141" s="688">
        <f>SUM(E137:E140)</f>
      </c>
      <c r="F141" s="688">
        <f>SUM(F137:F140)</f>
      </c>
      <c r="G141" s="688">
        <f>SUM(G137:G140)</f>
      </c>
      <c r="H141" s="688">
        <f>SUM(H137:H140)</f>
      </c>
      <c r="I141" s="688">
        <f>SUM(I137:I140)</f>
      </c>
      <c r="J141" s="688">
        <f>SUM(J137:J140)</f>
      </c>
      <c r="K141" s="688">
        <f>SUM(K137:K140)</f>
      </c>
      <c r="L141" s="689">
        <f t="shared" si="0"/>
      </c>
      <c r="M141" s="689">
        <f t="shared" si="1"/>
      </c>
      <c r="N141" s="689">
        <f t="shared" si="2"/>
      </c>
      <c r="O141" s="690"/>
      <c r="P141" s="688">
        <f>P137+P138+P139+P140</f>
      </c>
      <c r="Q141" s="690"/>
    </row>
    <row hidden="true" r="142">
      <c r="A142" s="676">
        <v>45929</v>
      </c>
      <c r="B142" s="677" t="s">
        <v>727</v>
      </c>
      <c r="C142" s="678" t="s">
        <v>740</v>
      </c>
      <c r="D142" s="677">
        <v>5</v>
      </c>
      <c r="E142" s="677">
        <v>58</v>
      </c>
      <c r="F142" s="677">
        <v>39</v>
      </c>
      <c r="G142" s="677">
        <v>28</v>
      </c>
      <c r="H142" s="677">
        <v>30</v>
      </c>
      <c r="I142" s="677">
        <v>5</v>
      </c>
      <c r="J142" s="679">
        <v>37135</v>
      </c>
      <c r="K142" s="679">
        <v>20227.420000000002</v>
      </c>
      <c r="L142" s="680">
        <f t="shared" si="0"/>
      </c>
      <c r="M142" s="680">
        <f t="shared" si="1"/>
      </c>
      <c r="N142" s="680">
        <f t="shared" si="2"/>
      </c>
      <c r="O142" s="681" t="s">
        <v>749</v>
      </c>
      <c r="P142" s="677">
        <v>10</v>
      </c>
      <c r="Q142" s="691"/>
    </row>
    <row hidden="true" r="143">
      <c r="A143" s="676">
        <v>45929</v>
      </c>
      <c r="B143" s="677" t="s">
        <v>730</v>
      </c>
      <c r="C143" s="678" t="s">
        <v>742</v>
      </c>
      <c r="D143" s="677">
        <v>5</v>
      </c>
      <c r="E143" s="677">
        <v>40</v>
      </c>
      <c r="F143" s="677">
        <v>24</v>
      </c>
      <c r="G143" s="677">
        <v>20</v>
      </c>
      <c r="H143" s="677">
        <v>18</v>
      </c>
      <c r="I143" s="677">
        <v>2</v>
      </c>
      <c r="J143" s="679">
        <v>23164.8</v>
      </c>
      <c r="K143" s="679">
        <v>20887.369999999995</v>
      </c>
      <c r="L143" s="680">
        <f t="shared" si="0"/>
      </c>
      <c r="M143" s="680">
        <f t="shared" si="1"/>
      </c>
      <c r="N143" s="680">
        <f t="shared" si="2"/>
      </c>
      <c r="O143" s="684"/>
      <c r="P143" s="684"/>
      <c r="Q143" s="684"/>
    </row>
    <row hidden="true" r="144">
      <c r="A144" s="676">
        <v>45929</v>
      </c>
      <c r="B144" s="677" t="s">
        <v>738</v>
      </c>
      <c r="C144" s="678" t="s">
        <v>743</v>
      </c>
      <c r="D144" s="677">
        <v>5</v>
      </c>
      <c r="E144" s="677">
        <v>49</v>
      </c>
      <c r="F144" s="677">
        <v>38</v>
      </c>
      <c r="G144" s="677">
        <v>28</v>
      </c>
      <c r="H144" s="677">
        <v>27</v>
      </c>
      <c r="I144" s="677">
        <v>2</v>
      </c>
      <c r="J144" s="679">
        <v>45375.8</v>
      </c>
      <c r="K144" s="679">
        <v>21852.33</v>
      </c>
      <c r="L144" s="680">
        <f t="shared" si="0"/>
      </c>
      <c r="M144" s="680">
        <f t="shared" si="1"/>
      </c>
      <c r="N144" s="680">
        <f t="shared" si="2"/>
      </c>
      <c r="O144" s="681"/>
      <c r="P144" s="677"/>
      <c r="Q144" s="694"/>
    </row>
    <row hidden="true" r="145">
      <c r="A145" s="676">
        <v>45929</v>
      </c>
      <c r="B145" s="677" t="s">
        <v>735</v>
      </c>
      <c r="C145" s="678" t="s">
        <v>744</v>
      </c>
      <c r="D145" s="677">
        <v>5</v>
      </c>
      <c r="E145" s="677">
        <v>68</v>
      </c>
      <c r="F145" s="677">
        <v>51</v>
      </c>
      <c r="G145" s="677">
        <v>39</v>
      </c>
      <c r="H145" s="677">
        <v>39</v>
      </c>
      <c r="I145" s="677">
        <v>3</v>
      </c>
      <c r="J145" s="679">
        <v>50000.8</v>
      </c>
      <c r="K145" s="679">
        <v>24452.989999999998</v>
      </c>
      <c r="L145" s="680">
        <f t="shared" si="0"/>
      </c>
      <c r="M145" s="680">
        <f t="shared" si="1"/>
      </c>
      <c r="N145" s="680">
        <f t="shared" si="2"/>
      </c>
      <c r="O145" s="681" t="s">
        <v>750</v>
      </c>
      <c r="P145" s="681">
        <v>10</v>
      </c>
      <c r="Q145" s="692"/>
    </row>
    <row r="146">
      <c r="A146" s="687">
        <v>45929</v>
      </c>
      <c r="B146" s="688"/>
      <c r="C146" s="688"/>
      <c r="D146" s="688">
        <f>SUM(D142:D145)</f>
      </c>
      <c r="E146" s="688">
        <f>SUM(E142:E145)</f>
      </c>
      <c r="F146" s="688">
        <f>SUM(F142:F145)</f>
      </c>
      <c r="G146" s="688">
        <f>SUM(G142:G145)</f>
      </c>
      <c r="H146" s="688">
        <f>SUM(H142:H145)</f>
      </c>
      <c r="I146" s="688">
        <f>SUM(I142:I145)</f>
      </c>
      <c r="J146" s="688">
        <f>SUM(J142:J145)</f>
      </c>
      <c r="K146" s="688">
        <f>SUM(K142:K145)</f>
      </c>
      <c r="L146" s="689">
        <f t="shared" si="0"/>
      </c>
      <c r="M146" s="689">
        <f t="shared" si="1"/>
      </c>
      <c r="N146" s="689">
        <f t="shared" si="2"/>
      </c>
      <c r="O146" s="690"/>
      <c r="P146" s="688">
        <f>P142+P143+P144+P145</f>
      </c>
      <c r="Q146" s="690"/>
    </row>
    <row hidden="true" r="147">
      <c r="A147" s="676">
        <v>45930</v>
      </c>
      <c r="B147" s="677" t="s">
        <v>727</v>
      </c>
      <c r="C147" s="678" t="s">
        <v>740</v>
      </c>
      <c r="D147" s="677">
        <v>5</v>
      </c>
      <c r="E147" s="677">
        <v>60</v>
      </c>
      <c r="F147" s="677">
        <v>39</v>
      </c>
      <c r="G147" s="677">
        <v>25</v>
      </c>
      <c r="H147" s="677">
        <v>33</v>
      </c>
      <c r="I147" s="677">
        <v>5</v>
      </c>
      <c r="J147" s="679">
        <v>31788.6</v>
      </c>
      <c r="K147" s="679">
        <v>22705.47</v>
      </c>
      <c r="L147" s="680">
        <f t="shared" si="0"/>
      </c>
      <c r="M147" s="680">
        <f t="shared" si="1"/>
      </c>
      <c r="N147" s="680">
        <f t="shared" si="2"/>
      </c>
      <c r="O147" s="681" t="s">
        <v>749</v>
      </c>
      <c r="P147" s="677">
        <v>10</v>
      </c>
      <c r="Q147" s="691"/>
    </row>
    <row hidden="true" r="148">
      <c r="A148" s="676">
        <v>45930</v>
      </c>
      <c r="B148" s="677" t="s">
        <v>730</v>
      </c>
      <c r="C148" s="678" t="s">
        <v>742</v>
      </c>
      <c r="D148" s="677">
        <v>5</v>
      </c>
      <c r="E148" s="677">
        <v>54</v>
      </c>
      <c r="F148" s="677">
        <v>44</v>
      </c>
      <c r="G148" s="677">
        <v>28</v>
      </c>
      <c r="H148" s="677">
        <v>36</v>
      </c>
      <c r="I148" s="677">
        <v>7</v>
      </c>
      <c r="J148" s="679">
        <v>50810</v>
      </c>
      <c r="K148" s="679">
        <v>24536.57</v>
      </c>
      <c r="L148" s="680">
        <f t="shared" si="0"/>
      </c>
      <c r="M148" s="680">
        <f t="shared" si="1"/>
      </c>
      <c r="N148" s="680">
        <f t="shared" si="2"/>
      </c>
      <c r="O148" s="684"/>
      <c r="P148" s="684"/>
      <c r="Q148" s="684"/>
    </row>
    <row hidden="true" r="149">
      <c r="A149" s="676">
        <v>45930</v>
      </c>
      <c r="B149" s="677" t="s">
        <v>738</v>
      </c>
      <c r="C149" s="678" t="s">
        <v>743</v>
      </c>
      <c r="D149" s="677">
        <v>5</v>
      </c>
      <c r="E149" s="677">
        <v>40</v>
      </c>
      <c r="F149" s="677">
        <v>28</v>
      </c>
      <c r="G149" s="677">
        <v>22</v>
      </c>
      <c r="H149" s="677">
        <v>23</v>
      </c>
      <c r="I149" s="677">
        <v>3</v>
      </c>
      <c r="J149" s="679">
        <v>31373.800000000003</v>
      </c>
      <c r="K149" s="679">
        <v>21726.839999999997</v>
      </c>
      <c r="L149" s="680">
        <f t="shared" si="0"/>
      </c>
      <c r="M149" s="680">
        <f t="shared" si="1"/>
      </c>
      <c r="N149" s="680">
        <f t="shared" si="2"/>
      </c>
      <c r="O149" s="681"/>
      <c r="P149" s="677"/>
      <c r="Q149" s="694"/>
    </row>
    <row hidden="true" r="150">
      <c r="A150" s="676">
        <v>45930</v>
      </c>
      <c r="B150" s="677" t="s">
        <v>735</v>
      </c>
      <c r="C150" s="678" t="s">
        <v>753</v>
      </c>
      <c r="D150" s="677">
        <v>2</v>
      </c>
      <c r="E150" s="677">
        <v>20</v>
      </c>
      <c r="F150" s="677">
        <v>14</v>
      </c>
      <c r="G150" s="677">
        <v>7</v>
      </c>
      <c r="H150" s="677">
        <v>12</v>
      </c>
      <c r="I150" s="677">
        <v>1</v>
      </c>
      <c r="J150" s="679">
        <v>17905.6</v>
      </c>
      <c r="K150" s="679">
        <v>10896.26</v>
      </c>
      <c r="L150" s="680">
        <f t="shared" si="0"/>
      </c>
      <c r="M150" s="680">
        <f t="shared" si="1"/>
      </c>
      <c r="N150" s="680">
        <f t="shared" si="2"/>
      </c>
      <c r="O150" s="681" t="s">
        <v>739</v>
      </c>
      <c r="P150" s="681">
        <v>7</v>
      </c>
      <c r="Q150" s="692"/>
    </row>
    <row r="151">
      <c r="A151" s="687">
        <v>45930</v>
      </c>
      <c r="B151" s="688"/>
      <c r="C151" s="688"/>
      <c r="D151" s="688">
        <f>SUM(D147:D150)</f>
      </c>
      <c r="E151" s="688">
        <f>SUM(E147:E150)</f>
      </c>
      <c r="F151" s="688">
        <f>SUM(F147:F150)</f>
      </c>
      <c r="G151" s="688">
        <f>SUM(G147:G150)</f>
      </c>
      <c r="H151" s="688">
        <f>SUM(H147:H150)</f>
      </c>
      <c r="I151" s="688">
        <f>SUM(I147:I150)</f>
      </c>
      <c r="J151" s="688">
        <f>SUM(J147:J150)</f>
      </c>
      <c r="K151" s="688">
        <f>SUM(K147:K150)</f>
      </c>
      <c r="L151" s="689">
        <f t="shared" si="0"/>
      </c>
      <c r="M151" s="689">
        <f t="shared" si="1"/>
      </c>
      <c r="N151" s="689">
        <f t="shared" si="2"/>
      </c>
      <c r="O151" s="690"/>
      <c r="P151" s="688">
        <f>P147+P148+P149+P150</f>
      </c>
      <c r="Q151" s="690"/>
    </row>
    <row hidden="true" r="152">
      <c r="L152" s="680"/>
    </row>
    <row hidden="true" r="153">
      <c r="L153" s="680"/>
    </row>
    <row hidden="true" r="154">
      <c r="L154" s="680"/>
    </row>
    <row hidden="true" r="155">
      <c r="K155" s="702"/>
    </row>
    <row hidden="true" r="156">
      <c r="L156" s="680"/>
    </row>
    <row hidden="true" r="157"/>
    <row hidden="true" r="158"/>
    <row hidden="true" r="159"/>
    <row hidden="true" r="160">
      <c r="L160" s="680"/>
    </row>
    <row hidden="true" r="161"/>
    <row hidden="true" r="162">
      <c r="F162" s="703"/>
      <c r="G162" s="703"/>
      <c r="H162" s="703"/>
      <c r="I162" s="703"/>
      <c r="J162" s="703"/>
      <c r="K162" s="703"/>
      <c r="L162" s="680"/>
    </row>
    <row hidden="true" r="163"/>
    <row hidden="true" r="164">
      <c r="L164" s="680"/>
    </row>
    <row hidden="true" r="165">
      <c r="L165" s="680"/>
    </row>
    <row hidden="true" r="166">
      <c r="L166" s="680"/>
    </row>
    <row hidden="true" r="167"/>
    <row hidden="true" r="168">
      <c r="L168" s="680"/>
    </row>
    <row hidden="true" r="169"/>
  </sheetData>
  <autoFilter ref="A1:Q169">
    <filterColumn colId="5">
      <colorFilter cellColor="" dxfId="2"/>
    </filterColumn>
  </autoFilter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9" min="9" style="0" width="11.211267605633802"/>
  </cols>
  <sheetData>
    <row r="1">
      <c r="A1" s="704" t="s">
        <v>754</v>
      </c>
      <c r="B1" s="705" t="s">
        <v>755</v>
      </c>
      <c r="C1" s="705" t="s">
        <v>756</v>
      </c>
      <c r="D1" s="705" t="s">
        <v>757</v>
      </c>
      <c r="E1" s="705" t="s">
        <v>758</v>
      </c>
      <c r="F1" s="705" t="s">
        <v>759</v>
      </c>
      <c r="G1" s="706" t="s">
        <v>760</v>
      </c>
      <c r="H1" s="707" t="s">
        <v>761</v>
      </c>
      <c r="I1" s="705" t="s">
        <v>762</v>
      </c>
      <c r="J1" s="705" t="s">
        <v>763</v>
      </c>
      <c r="K1" s="705" t="s">
        <v>764</v>
      </c>
      <c r="L1" s="708" t="s">
        <v>765</v>
      </c>
      <c r="M1" s="708" t="s">
        <v>766</v>
      </c>
      <c r="N1" s="708" t="s">
        <v>767</v>
      </c>
      <c r="O1" s="709" t="s">
        <v>768</v>
      </c>
      <c r="P1" s="709" t="s">
        <v>769</v>
      </c>
      <c r="Q1" s="709" t="s">
        <v>770</v>
      </c>
    </row>
    <row hidden="true" r="2">
      <c r="A2" s="710">
        <v>45870</v>
      </c>
      <c r="B2" s="711" t="s">
        <v>771</v>
      </c>
      <c r="C2" s="712" t="s">
        <v>772</v>
      </c>
      <c r="D2" s="711">
        <v>5</v>
      </c>
      <c r="E2" s="711">
        <v>52</v>
      </c>
      <c r="F2" s="711">
        <v>41</v>
      </c>
      <c r="G2" s="711"/>
      <c r="H2" s="711">
        <v>29</v>
      </c>
      <c r="I2" s="711">
        <v>5</v>
      </c>
      <c r="J2" s="713">
        <v>34068.6</v>
      </c>
      <c r="K2" s="713">
        <v>17752.370000000003</v>
      </c>
      <c r="L2" s="714">
        <f t="shared" ref="L2:L155" si="1">J2/K2</f>
      </c>
      <c r="M2" s="714">
        <f t="shared" ref="M2:M155" si="2">J2/F2</f>
      </c>
      <c r="N2" s="714">
        <f t="shared" ref="N2:N155" si="0">K2/F2</f>
      </c>
      <c r="O2" s="715" t="s">
        <v>773</v>
      </c>
      <c r="P2" s="711">
        <v>9</v>
      </c>
    </row>
    <row hidden="true" r="3">
      <c r="A3" s="710">
        <v>45870</v>
      </c>
      <c r="B3" s="711" t="s">
        <v>774</v>
      </c>
      <c r="C3" s="712" t="s">
        <v>775</v>
      </c>
      <c r="D3" s="716">
        <v>4</v>
      </c>
      <c r="E3" s="711">
        <v>51</v>
      </c>
      <c r="F3" s="711">
        <v>34</v>
      </c>
      <c r="G3" s="711"/>
      <c r="H3" s="711">
        <v>24</v>
      </c>
      <c r="I3" s="711">
        <v>3</v>
      </c>
      <c r="J3" s="713">
        <v>42290</v>
      </c>
      <c r="K3" s="713">
        <v>14874.95</v>
      </c>
      <c r="L3" s="714">
        <f t="shared" si="1"/>
      </c>
      <c r="M3" s="714">
        <f t="shared" si="2"/>
      </c>
      <c r="N3" s="714">
        <f t="shared" si="0"/>
      </c>
      <c r="O3" s="717"/>
      <c r="P3" s="716"/>
    </row>
    <row hidden="true" r="4">
      <c r="A4" s="710">
        <v>45870</v>
      </c>
      <c r="B4" s="711" t="s">
        <v>776</v>
      </c>
      <c r="C4" s="718" t="s">
        <v>777</v>
      </c>
      <c r="D4" s="711">
        <v>3</v>
      </c>
      <c r="E4" s="711">
        <v>16</v>
      </c>
      <c r="F4" s="711">
        <v>12</v>
      </c>
      <c r="G4" s="711"/>
      <c r="H4" s="711">
        <v>8</v>
      </c>
      <c r="I4" s="711">
        <v>1</v>
      </c>
      <c r="J4" s="719">
        <v>13916.4</v>
      </c>
      <c r="K4" s="719">
        <v>9880.6</v>
      </c>
      <c r="L4" s="714">
        <f t="shared" si="1"/>
      </c>
      <c r="M4" s="714">
        <f t="shared" si="2"/>
      </c>
      <c r="N4" s="714">
        <f t="shared" si="0"/>
      </c>
      <c r="O4" s="717"/>
      <c r="P4" s="716"/>
    </row>
    <row hidden="true" r="5">
      <c r="A5" s="710">
        <v>45870</v>
      </c>
      <c r="B5" s="711" t="s">
        <v>778</v>
      </c>
      <c r="C5" s="718" t="s">
        <v>779</v>
      </c>
      <c r="D5" s="711">
        <v>5</v>
      </c>
      <c r="E5" s="711">
        <v>55</v>
      </c>
      <c r="F5" s="711">
        <v>41</v>
      </c>
      <c r="G5" s="711"/>
      <c r="H5" s="711">
        <v>28</v>
      </c>
      <c r="I5" s="711">
        <v>6</v>
      </c>
      <c r="J5" s="711">
        <v>44394.2</v>
      </c>
      <c r="K5" s="719">
        <v>18536.12</v>
      </c>
      <c r="L5" s="714">
        <f t="shared" si="1"/>
      </c>
      <c r="M5" s="714">
        <f t="shared" si="2"/>
      </c>
      <c r="N5" s="714">
        <f t="shared" si="0"/>
      </c>
      <c r="O5" s="715" t="s">
        <v>780</v>
      </c>
      <c r="P5" s="711">
        <v>8</v>
      </c>
    </row>
    <row r="6">
      <c r="A6" s="720">
        <v>45870</v>
      </c>
      <c r="B6" s="721"/>
      <c r="C6" s="721"/>
      <c r="D6" s="722">
        <f>SUM(D2:D5)</f>
      </c>
      <c r="E6" s="722">
        <f>SUM(E2:E5)</f>
      </c>
      <c r="F6" s="722">
        <f>SUM(F2:F5)</f>
      </c>
      <c r="G6" s="722"/>
      <c r="H6" s="722">
        <f>SUM(H2:H5)</f>
      </c>
      <c r="I6" s="722">
        <f>SUM(I2:I5)</f>
      </c>
      <c r="J6" s="722">
        <f>SUM(J2:J5)</f>
      </c>
      <c r="K6" s="722">
        <f>SUM(K2:K5)</f>
      </c>
      <c r="L6" s="723">
        <f t="shared" si="1"/>
      </c>
      <c r="M6" s="723">
        <f t="shared" si="2"/>
      </c>
      <c r="N6" s="723">
        <f t="shared" si="0"/>
      </c>
      <c r="O6" s="724"/>
      <c r="P6" s="722">
        <f>SUM(P2:P5)</f>
      </c>
      <c r="Q6" s="724"/>
    </row>
    <row hidden="true" r="7">
      <c r="A7" s="710">
        <v>45871</v>
      </c>
      <c r="B7" s="711" t="s">
        <v>781</v>
      </c>
      <c r="C7" s="712" t="s">
        <v>772</v>
      </c>
      <c r="D7" s="711">
        <v>5</v>
      </c>
      <c r="E7" s="711">
        <v>46</v>
      </c>
      <c r="F7" s="711">
        <v>31</v>
      </c>
      <c r="G7" s="711"/>
      <c r="H7" s="711">
        <v>25</v>
      </c>
      <c r="I7" s="711">
        <v>4</v>
      </c>
      <c r="J7" s="713">
        <v>38946.4</v>
      </c>
      <c r="K7" s="713">
        <v>18882.920000000002</v>
      </c>
      <c r="L7" s="714">
        <f t="shared" si="1"/>
      </c>
      <c r="M7" s="714">
        <f t="shared" si="2"/>
      </c>
      <c r="N7" s="714">
        <f t="shared" si="0"/>
      </c>
      <c r="O7" s="715" t="s">
        <v>773</v>
      </c>
      <c r="P7" s="711">
        <v>9</v>
      </c>
    </row>
    <row hidden="true" r="8">
      <c r="A8" s="710">
        <v>45871</v>
      </c>
      <c r="B8" s="711" t="s">
        <v>778</v>
      </c>
      <c r="C8" s="712" t="s">
        <v>775</v>
      </c>
      <c r="D8" s="716">
        <v>4</v>
      </c>
      <c r="E8" s="711">
        <v>44</v>
      </c>
      <c r="F8" s="711">
        <v>36</v>
      </c>
      <c r="G8" s="711"/>
      <c r="H8" s="711">
        <v>25</v>
      </c>
      <c r="I8" s="711">
        <v>4</v>
      </c>
      <c r="J8" s="713">
        <v>45007.8</v>
      </c>
      <c r="K8" s="713">
        <v>16629.579999999998</v>
      </c>
      <c r="L8" s="714">
        <f t="shared" si="1"/>
      </c>
      <c r="M8" s="714">
        <f t="shared" si="2"/>
      </c>
      <c r="N8" s="714">
        <f t="shared" si="0"/>
      </c>
      <c r="O8" s="717"/>
      <c r="P8" s="716"/>
    </row>
    <row hidden="true" r="9">
      <c r="A9" s="710">
        <v>45871</v>
      </c>
      <c r="B9" s="711" t="s">
        <v>774</v>
      </c>
      <c r="C9" s="718" t="s">
        <v>777</v>
      </c>
      <c r="D9" s="711">
        <v>3</v>
      </c>
      <c r="E9" s="711">
        <v>26</v>
      </c>
      <c r="F9" s="711">
        <v>19</v>
      </c>
      <c r="G9" s="711"/>
      <c r="H9" s="711">
        <v>12</v>
      </c>
      <c r="I9" s="711">
        <v>1</v>
      </c>
      <c r="J9" s="719">
        <v>24561.8</v>
      </c>
      <c r="K9" s="719">
        <v>10336.21</v>
      </c>
      <c r="L9" s="714">
        <f t="shared" si="1"/>
      </c>
      <c r="M9" s="714">
        <f t="shared" si="2"/>
      </c>
      <c r="N9" s="714">
        <f t="shared" si="0"/>
      </c>
      <c r="O9" s="717"/>
      <c r="P9" s="716"/>
    </row>
    <row hidden="true" r="10">
      <c r="A10" s="710">
        <v>45871</v>
      </c>
      <c r="B10" s="711" t="s">
        <v>771</v>
      </c>
      <c r="C10" s="718" t="s">
        <v>779</v>
      </c>
      <c r="D10" s="711">
        <v>5</v>
      </c>
      <c r="E10" s="711">
        <v>44</v>
      </c>
      <c r="F10" s="711">
        <v>29</v>
      </c>
      <c r="G10" s="711"/>
      <c r="H10" s="711">
        <v>23</v>
      </c>
      <c r="I10" s="711">
        <v>3</v>
      </c>
      <c r="J10" s="711">
        <v>30426.199999999997</v>
      </c>
      <c r="K10" s="719">
        <v>16011.87</v>
      </c>
      <c r="L10" s="714">
        <f t="shared" si="1"/>
      </c>
      <c r="M10" s="714">
        <f t="shared" si="2"/>
      </c>
      <c r="N10" s="714">
        <f t="shared" si="0"/>
      </c>
      <c r="O10" s="715" t="s">
        <v>780</v>
      </c>
      <c r="P10" s="711">
        <v>8</v>
      </c>
    </row>
    <row r="11">
      <c r="A11" s="720">
        <v>45871</v>
      </c>
      <c r="B11" s="721"/>
      <c r="C11" s="721"/>
      <c r="D11" s="722">
        <f>SUM(D7:D10)</f>
      </c>
      <c r="E11" s="722">
        <f>SUM(E7:E10)</f>
      </c>
      <c r="F11" s="722">
        <f>SUM(F7:F10)</f>
      </c>
      <c r="G11" s="722"/>
      <c r="H11" s="722">
        <f>SUM(H7:H10)</f>
      </c>
      <c r="I11" s="722">
        <f>SUM(I7:I10)</f>
      </c>
      <c r="J11" s="722">
        <f>SUM(J7:J10)</f>
      </c>
      <c r="K11" s="722">
        <f>SUM(K7:K10)</f>
      </c>
      <c r="L11" s="723">
        <f t="shared" si="1"/>
      </c>
      <c r="M11" s="723">
        <f t="shared" si="2"/>
      </c>
      <c r="N11" s="723">
        <f t="shared" si="0"/>
      </c>
      <c r="O11" s="724"/>
      <c r="P11" s="722">
        <f>SUM(P7:P10)</f>
      </c>
      <c r="Q11" s="724"/>
    </row>
    <row hidden="true" r="12">
      <c r="A12" s="710">
        <v>45872</v>
      </c>
      <c r="B12" s="711" t="s">
        <v>781</v>
      </c>
      <c r="C12" s="712" t="s">
        <v>772</v>
      </c>
      <c r="D12" s="711">
        <v>5</v>
      </c>
      <c r="E12" s="711">
        <v>59</v>
      </c>
      <c r="F12" s="711">
        <v>44</v>
      </c>
      <c r="G12" s="711"/>
      <c r="H12" s="711">
        <v>33</v>
      </c>
      <c r="I12" s="711">
        <v>8</v>
      </c>
      <c r="J12" s="713">
        <v>43982.4</v>
      </c>
      <c r="K12" s="713">
        <v>22012.589999999997</v>
      </c>
      <c r="L12" s="714">
        <f t="shared" si="1"/>
      </c>
      <c r="M12" s="714">
        <f t="shared" si="2"/>
      </c>
      <c r="N12" s="714">
        <f t="shared" si="0"/>
      </c>
      <c r="O12" s="715" t="s">
        <v>773</v>
      </c>
      <c r="P12" s="711">
        <v>9</v>
      </c>
    </row>
    <row hidden="true" r="13">
      <c r="A13" s="710">
        <v>45872</v>
      </c>
      <c r="B13" s="711" t="s">
        <v>778</v>
      </c>
      <c r="C13" s="712" t="s">
        <v>775</v>
      </c>
      <c r="D13" s="711">
        <v>4</v>
      </c>
      <c r="E13" s="711">
        <v>60</v>
      </c>
      <c r="F13" s="711">
        <v>44</v>
      </c>
      <c r="G13" s="711"/>
      <c r="H13" s="711">
        <v>39</v>
      </c>
      <c r="I13" s="711">
        <v>8</v>
      </c>
      <c r="J13" s="713">
        <v>38933.96</v>
      </c>
      <c r="K13" s="713">
        <v>17953.07</v>
      </c>
      <c r="L13" s="714">
        <f t="shared" si="1"/>
      </c>
      <c r="M13" s="714">
        <f t="shared" si="2"/>
      </c>
      <c r="N13" s="714">
        <f t="shared" si="0"/>
      </c>
      <c r="O13" s="717"/>
      <c r="P13" s="716"/>
    </row>
    <row hidden="true" r="14">
      <c r="A14" s="710">
        <v>45872</v>
      </c>
      <c r="B14" s="711" t="s">
        <v>774</v>
      </c>
      <c r="C14" s="718" t="s">
        <v>777</v>
      </c>
      <c r="D14" s="711">
        <v>3</v>
      </c>
      <c r="E14" s="711">
        <v>16</v>
      </c>
      <c r="F14" s="711">
        <v>14</v>
      </c>
      <c r="G14" s="711"/>
      <c r="H14" s="711">
        <v>9</v>
      </c>
      <c r="I14" s="711">
        <v>1</v>
      </c>
      <c r="J14" s="719">
        <v>16058.4</v>
      </c>
      <c r="K14" s="719">
        <v>11889.84</v>
      </c>
      <c r="L14" s="714">
        <f t="shared" si="1"/>
      </c>
      <c r="M14" s="714">
        <f t="shared" si="2"/>
      </c>
      <c r="N14" s="714">
        <f t="shared" si="0"/>
      </c>
      <c r="O14" s="717"/>
      <c r="P14" s="716"/>
    </row>
    <row hidden="true" r="15">
      <c r="A15" s="710">
        <v>45872</v>
      </c>
      <c r="B15" s="711" t="s">
        <v>771</v>
      </c>
      <c r="C15" s="718" t="s">
        <v>779</v>
      </c>
      <c r="D15" s="711">
        <v>5</v>
      </c>
      <c r="E15" s="711">
        <v>39</v>
      </c>
      <c r="F15" s="711">
        <v>24</v>
      </c>
      <c r="G15" s="711"/>
      <c r="H15" s="711">
        <v>13</v>
      </c>
      <c r="I15" s="711">
        <v>3</v>
      </c>
      <c r="J15" s="711">
        <v>29002.2</v>
      </c>
      <c r="K15" s="719">
        <v>16812.86</v>
      </c>
      <c r="L15" s="714">
        <f t="shared" si="1"/>
      </c>
      <c r="M15" s="714">
        <f t="shared" si="2"/>
      </c>
      <c r="N15" s="714">
        <f t="shared" si="0"/>
      </c>
      <c r="O15" s="715" t="s">
        <v>780</v>
      </c>
      <c r="P15" s="711">
        <v>8</v>
      </c>
    </row>
    <row r="16">
      <c r="A16" s="720">
        <v>45872</v>
      </c>
      <c r="B16" s="721"/>
      <c r="C16" s="721"/>
      <c r="D16" s="722">
        <f>SUM(D12:D15)</f>
      </c>
      <c r="E16" s="722">
        <f>SUM(E12:E15)</f>
      </c>
      <c r="F16" s="722">
        <f>SUM(F12:F15)</f>
      </c>
      <c r="G16" s="722"/>
      <c r="H16" s="722">
        <f>SUM(H12:H15)</f>
      </c>
      <c r="I16" s="722">
        <f>SUM(I12:I15)</f>
      </c>
      <c r="J16" s="722">
        <f>SUM(J12:J15)</f>
      </c>
      <c r="K16" s="722">
        <f>SUM(K12:K15)</f>
      </c>
      <c r="L16" s="723">
        <f t="shared" si="1"/>
      </c>
      <c r="M16" s="723">
        <f t="shared" si="2"/>
      </c>
      <c r="N16" s="723">
        <f t="shared" si="0"/>
      </c>
      <c r="O16" s="724"/>
      <c r="P16" s="722">
        <f>SUM(P12:P15)</f>
      </c>
      <c r="Q16" s="724"/>
    </row>
    <row hidden="true" r="17">
      <c r="A17" s="710">
        <v>45873</v>
      </c>
      <c r="B17" s="711" t="s">
        <v>781</v>
      </c>
      <c r="C17" s="712" t="s">
        <v>772</v>
      </c>
      <c r="D17" s="711">
        <v>5</v>
      </c>
      <c r="E17" s="711">
        <v>39</v>
      </c>
      <c r="F17" s="711">
        <v>25</v>
      </c>
      <c r="G17" s="711"/>
      <c r="H17" s="711">
        <v>18</v>
      </c>
      <c r="I17" s="711">
        <v>2</v>
      </c>
      <c r="J17" s="713">
        <v>28767.6</v>
      </c>
      <c r="K17" s="713">
        <v>19627.23</v>
      </c>
      <c r="L17" s="714">
        <f t="shared" si="1"/>
      </c>
      <c r="M17" s="714">
        <f t="shared" si="2"/>
      </c>
      <c r="N17" s="714">
        <f t="shared" si="0"/>
      </c>
      <c r="O17" s="715" t="s">
        <v>773</v>
      </c>
      <c r="P17" s="711">
        <v>9</v>
      </c>
    </row>
    <row hidden="true" r="18">
      <c r="A18" s="710">
        <v>45873</v>
      </c>
      <c r="B18" s="711" t="s">
        <v>778</v>
      </c>
      <c r="C18" s="712" t="s">
        <v>775</v>
      </c>
      <c r="D18" s="711">
        <v>4</v>
      </c>
      <c r="E18" s="711">
        <v>48</v>
      </c>
      <c r="F18" s="711">
        <v>36</v>
      </c>
      <c r="G18" s="711"/>
      <c r="H18" s="711">
        <v>29</v>
      </c>
      <c r="I18" s="711">
        <v>3</v>
      </c>
      <c r="J18" s="713">
        <v>32615.600000000002</v>
      </c>
      <c r="K18" s="713">
        <v>17067.57</v>
      </c>
      <c r="L18" s="714">
        <f t="shared" si="1"/>
      </c>
      <c r="M18" s="714">
        <f t="shared" si="2"/>
      </c>
      <c r="N18" s="714">
        <f t="shared" si="0"/>
      </c>
      <c r="O18" s="717"/>
      <c r="P18" s="716"/>
    </row>
    <row hidden="true" r="19">
      <c r="A19" s="710">
        <v>45873</v>
      </c>
      <c r="B19" s="711" t="s">
        <v>774</v>
      </c>
      <c r="C19" s="718" t="s">
        <v>777</v>
      </c>
      <c r="D19" s="711">
        <v>4</v>
      </c>
      <c r="E19" s="711">
        <v>64</v>
      </c>
      <c r="F19" s="711">
        <v>38</v>
      </c>
      <c r="G19" s="711"/>
      <c r="H19" s="711">
        <v>27</v>
      </c>
      <c r="I19" s="711">
        <v>5</v>
      </c>
      <c r="J19" s="719">
        <v>46514.00000000001</v>
      </c>
      <c r="K19" s="719">
        <v>14152.95</v>
      </c>
      <c r="L19" s="714">
        <f t="shared" si="1"/>
      </c>
      <c r="M19" s="714">
        <f t="shared" si="2"/>
      </c>
      <c r="N19" s="714">
        <f t="shared" si="0"/>
      </c>
      <c r="O19" s="717"/>
      <c r="P19" s="716"/>
    </row>
    <row hidden="true" r="20">
      <c r="A20" s="710">
        <v>45873</v>
      </c>
      <c r="B20" s="711" t="s">
        <v>771</v>
      </c>
      <c r="C20" s="718" t="s">
        <v>779</v>
      </c>
      <c r="D20" s="711">
        <v>4</v>
      </c>
      <c r="E20" s="711">
        <v>44</v>
      </c>
      <c r="F20" s="711">
        <v>28</v>
      </c>
      <c r="G20" s="711"/>
      <c r="H20" s="711">
        <v>17</v>
      </c>
      <c r="I20" s="711">
        <v>5</v>
      </c>
      <c r="J20" s="711">
        <v>41370.8</v>
      </c>
      <c r="K20" s="719">
        <v>17049.97</v>
      </c>
      <c r="L20" s="714">
        <f t="shared" si="1"/>
      </c>
      <c r="M20" s="714">
        <f t="shared" si="2"/>
      </c>
      <c r="N20" s="714">
        <f t="shared" si="0"/>
      </c>
      <c r="O20" s="715" t="s">
        <v>780</v>
      </c>
      <c r="P20" s="711">
        <v>8</v>
      </c>
    </row>
    <row r="21">
      <c r="A21" s="725">
        <v>45873</v>
      </c>
      <c r="B21" s="721"/>
      <c r="C21" s="721"/>
      <c r="D21" s="722">
        <f>SUM(D17:D20)</f>
      </c>
      <c r="E21" s="722">
        <f>SUM(E17:E20)</f>
      </c>
      <c r="F21" s="722">
        <f>SUM(F17:F20)</f>
      </c>
      <c r="G21" s="722"/>
      <c r="H21" s="722">
        <f>SUM(H17:H20)</f>
      </c>
      <c r="I21" s="722">
        <f>SUM(I17:I20)</f>
      </c>
      <c r="J21" s="722">
        <f>SUM(J17:J20)</f>
      </c>
      <c r="K21" s="722">
        <f>SUM(K17:K20)</f>
      </c>
      <c r="L21" s="726">
        <f t="shared" si="1"/>
      </c>
      <c r="M21" s="726">
        <f t="shared" si="2"/>
      </c>
      <c r="N21" s="726">
        <f t="shared" si="0"/>
      </c>
      <c r="O21" s="724"/>
      <c r="P21" s="722">
        <f>SUM(P17:P20)</f>
      </c>
      <c r="Q21" s="724"/>
    </row>
    <row hidden="true" r="22">
      <c r="A22" s="710">
        <v>45874</v>
      </c>
      <c r="B22" s="711" t="s">
        <v>781</v>
      </c>
      <c r="C22" s="712" t="s">
        <v>772</v>
      </c>
      <c r="D22" s="711">
        <v>5</v>
      </c>
      <c r="E22" s="711">
        <v>59</v>
      </c>
      <c r="F22" s="711">
        <v>41</v>
      </c>
      <c r="G22" s="711"/>
      <c r="H22" s="711">
        <v>34</v>
      </c>
      <c r="I22" s="711">
        <v>5</v>
      </c>
      <c r="J22" s="713">
        <v>42445.8</v>
      </c>
      <c r="K22" s="713">
        <v>23859.03</v>
      </c>
      <c r="L22" s="714">
        <f t="shared" si="1"/>
      </c>
      <c r="M22" s="714">
        <f t="shared" si="2"/>
      </c>
      <c r="N22" s="714">
        <f t="shared" si="0"/>
      </c>
      <c r="O22" s="715" t="s">
        <v>773</v>
      </c>
      <c r="P22" s="711">
        <v>9</v>
      </c>
    </row>
    <row hidden="true" r="23">
      <c r="A23" s="710">
        <v>45874</v>
      </c>
      <c r="B23" s="711" t="s">
        <v>782</v>
      </c>
      <c r="C23" s="712" t="s">
        <v>775</v>
      </c>
      <c r="D23" s="711">
        <v>4</v>
      </c>
      <c r="E23" s="711">
        <v>22</v>
      </c>
      <c r="F23" s="711">
        <v>15</v>
      </c>
      <c r="G23" s="711"/>
      <c r="H23" s="711">
        <v>13</v>
      </c>
      <c r="I23" s="711">
        <v>3</v>
      </c>
      <c r="J23" s="713">
        <v>10187.8</v>
      </c>
      <c r="K23" s="713">
        <v>14892.07</v>
      </c>
      <c r="L23" s="714">
        <f t="shared" si="1"/>
      </c>
      <c r="M23" s="714">
        <f t="shared" si="2"/>
      </c>
      <c r="N23" s="714">
        <f t="shared" si="0"/>
      </c>
      <c r="O23" s="717"/>
      <c r="P23" s="716"/>
    </row>
    <row hidden="true" r="24">
      <c r="A24" s="710">
        <v>45874</v>
      </c>
      <c r="B24" s="711" t="s">
        <v>771</v>
      </c>
      <c r="C24" s="718" t="s">
        <v>777</v>
      </c>
      <c r="D24" s="711">
        <v>4</v>
      </c>
      <c r="E24" s="711">
        <v>26</v>
      </c>
      <c r="F24" s="711">
        <v>19</v>
      </c>
      <c r="G24" s="711"/>
      <c r="H24" s="711">
        <v>17</v>
      </c>
      <c r="I24" s="711">
        <v>3</v>
      </c>
      <c r="J24" s="719">
        <v>17567.199999999997</v>
      </c>
      <c r="K24" s="719">
        <v>12649.670000000002</v>
      </c>
      <c r="L24" s="714">
        <f t="shared" si="1"/>
      </c>
      <c r="M24" s="714">
        <f t="shared" si="2"/>
      </c>
      <c r="N24" s="714">
        <f t="shared" si="0"/>
      </c>
      <c r="O24" s="717"/>
      <c r="P24" s="716"/>
    </row>
    <row hidden="true" r="25">
      <c r="A25" s="710">
        <v>45874</v>
      </c>
      <c r="B25" s="711" t="s">
        <v>778</v>
      </c>
      <c r="C25" s="718" t="s">
        <v>779</v>
      </c>
      <c r="D25" s="711">
        <v>4</v>
      </c>
      <c r="E25" s="711">
        <v>46</v>
      </c>
      <c r="F25" s="711">
        <v>28</v>
      </c>
      <c r="G25" s="711"/>
      <c r="H25" s="711">
        <v>22</v>
      </c>
      <c r="I25" s="711">
        <v>4</v>
      </c>
      <c r="J25" s="711">
        <v>30785.600000000002</v>
      </c>
      <c r="K25" s="719">
        <v>13844.46</v>
      </c>
      <c r="L25" s="714">
        <f t="shared" si="1"/>
      </c>
      <c r="M25" s="714">
        <f t="shared" si="2"/>
      </c>
      <c r="N25" s="714">
        <f t="shared" si="0"/>
      </c>
      <c r="O25" s="715" t="s">
        <v>780</v>
      </c>
      <c r="P25" s="711">
        <v>8</v>
      </c>
    </row>
    <row r="26">
      <c r="A26" s="725">
        <v>45874</v>
      </c>
      <c r="B26" s="721"/>
      <c r="C26" s="721"/>
      <c r="D26" s="722">
        <f>SUM(D22:D25)</f>
      </c>
      <c r="E26" s="722">
        <f>SUM(E22:E25)</f>
      </c>
      <c r="F26" s="722">
        <f>SUM(F22:F25)</f>
      </c>
      <c r="G26" s="722"/>
      <c r="H26" s="722">
        <f>SUM(H22:H25)</f>
      </c>
      <c r="I26" s="722">
        <f>SUM(I22:I25)</f>
      </c>
      <c r="J26" s="722">
        <f>SUM(J22:J25)</f>
      </c>
      <c r="K26" s="722">
        <f>SUM(K22:K25)</f>
      </c>
      <c r="L26" s="726">
        <f t="shared" si="1"/>
      </c>
      <c r="M26" s="726">
        <f t="shared" si="2"/>
      </c>
      <c r="N26" s="726">
        <f t="shared" si="0"/>
      </c>
      <c r="O26" s="724"/>
      <c r="P26" s="722">
        <f>SUM(P22:P25)</f>
      </c>
      <c r="Q26" s="724"/>
    </row>
    <row hidden="true" r="27">
      <c r="A27" s="710">
        <v>45875</v>
      </c>
      <c r="B27" s="711" t="s">
        <v>771</v>
      </c>
      <c r="C27" s="718" t="s">
        <v>783</v>
      </c>
      <c r="D27" s="711">
        <v>4</v>
      </c>
      <c r="E27" s="711">
        <v>26</v>
      </c>
      <c r="F27" s="711">
        <v>14</v>
      </c>
      <c r="G27" s="711"/>
      <c r="H27" s="711">
        <v>10</v>
      </c>
      <c r="I27" s="711">
        <v>0</v>
      </c>
      <c r="J27" s="713">
        <v>16218.600000000002</v>
      </c>
      <c r="K27" s="713">
        <v>13480.23</v>
      </c>
      <c r="L27" s="714">
        <f t="shared" si="1"/>
      </c>
      <c r="M27" s="714">
        <f t="shared" si="2"/>
      </c>
      <c r="N27" s="714">
        <f t="shared" si="0"/>
      </c>
      <c r="O27" s="715" t="s">
        <v>773</v>
      </c>
      <c r="P27" s="711">
        <v>9</v>
      </c>
    </row>
    <row hidden="true" r="28">
      <c r="A28" s="710">
        <v>45875</v>
      </c>
      <c r="B28" s="711" t="s">
        <v>778</v>
      </c>
      <c r="C28" s="718" t="s">
        <v>784</v>
      </c>
      <c r="D28" s="711">
        <v>5</v>
      </c>
      <c r="E28" s="711">
        <v>49</v>
      </c>
      <c r="F28" s="711">
        <v>35</v>
      </c>
      <c r="G28" s="711"/>
      <c r="H28" s="711">
        <v>26</v>
      </c>
      <c r="I28" s="711">
        <v>6</v>
      </c>
      <c r="J28" s="713">
        <v>53553.2</v>
      </c>
      <c r="K28" s="713">
        <v>19698.1</v>
      </c>
      <c r="L28" s="714">
        <f t="shared" si="1"/>
      </c>
      <c r="M28" s="714">
        <f t="shared" si="2"/>
      </c>
      <c r="N28" s="714">
        <f t="shared" si="0"/>
      </c>
      <c r="O28" s="717"/>
      <c r="P28" s="716"/>
    </row>
    <row hidden="true" r="29">
      <c r="A29" s="710">
        <v>45875</v>
      </c>
      <c r="B29" s="711" t="s">
        <v>774</v>
      </c>
      <c r="C29" s="718" t="s">
        <v>777</v>
      </c>
      <c r="D29" s="711">
        <v>4</v>
      </c>
      <c r="E29" s="711">
        <v>44</v>
      </c>
      <c r="F29" s="711">
        <v>37</v>
      </c>
      <c r="G29" s="711"/>
      <c r="H29" s="711">
        <v>29</v>
      </c>
      <c r="I29" s="711">
        <v>6</v>
      </c>
      <c r="J29" s="719">
        <v>33215.6</v>
      </c>
      <c r="K29" s="719">
        <v>13883.990000000002</v>
      </c>
      <c r="L29" s="714">
        <f t="shared" si="1"/>
      </c>
      <c r="M29" s="714">
        <f t="shared" si="2"/>
      </c>
      <c r="N29" s="714">
        <f t="shared" si="0"/>
      </c>
      <c r="O29" s="717"/>
      <c r="P29" s="716"/>
    </row>
    <row hidden="true" r="30">
      <c r="A30" s="710">
        <v>45875</v>
      </c>
      <c r="B30" s="711" t="s">
        <v>782</v>
      </c>
      <c r="C30" s="718" t="s">
        <v>785</v>
      </c>
      <c r="D30" s="711">
        <v>3</v>
      </c>
      <c r="E30" s="711">
        <v>18</v>
      </c>
      <c r="F30" s="711">
        <v>9</v>
      </c>
      <c r="G30" s="711"/>
      <c r="H30" s="711">
        <v>7</v>
      </c>
      <c r="I30" s="711">
        <v>0</v>
      </c>
      <c r="J30" s="711">
        <v>6814</v>
      </c>
      <c r="K30" s="719">
        <v>11234.11</v>
      </c>
      <c r="L30" s="714">
        <f t="shared" si="1"/>
      </c>
      <c r="M30" s="714">
        <f t="shared" si="2"/>
      </c>
      <c r="N30" s="714">
        <f t="shared" si="0"/>
      </c>
      <c r="O30" s="715" t="s">
        <v>780</v>
      </c>
      <c r="P30" s="711">
        <v>7</v>
      </c>
    </row>
    <row r="31">
      <c r="A31" s="725">
        <v>45875</v>
      </c>
      <c r="B31" s="721"/>
      <c r="C31" s="721"/>
      <c r="D31" s="722">
        <f>SUM(D27:D30)</f>
      </c>
      <c r="E31" s="722">
        <f>SUM(E27:E30)</f>
      </c>
      <c r="F31" s="722">
        <f>SUM(F27:F30)</f>
      </c>
      <c r="G31" s="722"/>
      <c r="H31" s="722">
        <f>SUM(H27:H30)</f>
      </c>
      <c r="I31" s="722">
        <f>SUM(I27:I30)</f>
      </c>
      <c r="J31" s="722">
        <f>SUM(J27:J30)</f>
      </c>
      <c r="K31" s="722">
        <f>SUM(K27:K30)</f>
      </c>
      <c r="L31" s="726">
        <f t="shared" si="1"/>
      </c>
      <c r="M31" s="726">
        <f t="shared" si="2"/>
      </c>
      <c r="N31" s="726">
        <f t="shared" si="0"/>
      </c>
      <c r="O31" s="724"/>
      <c r="P31" s="722">
        <f>SUM(P27:P30)</f>
      </c>
      <c r="Q31" s="724"/>
    </row>
    <row hidden="true" r="32">
      <c r="A32" s="710">
        <v>45876</v>
      </c>
      <c r="B32" s="711" t="s">
        <v>778</v>
      </c>
      <c r="C32" s="718" t="s">
        <v>783</v>
      </c>
      <c r="D32" s="711">
        <v>5</v>
      </c>
      <c r="E32" s="711">
        <v>66</v>
      </c>
      <c r="F32" s="711">
        <v>50</v>
      </c>
      <c r="G32" s="711"/>
      <c r="H32" s="711">
        <v>34</v>
      </c>
      <c r="I32" s="711">
        <v>9</v>
      </c>
      <c r="J32" s="713">
        <v>54133.399999999994</v>
      </c>
      <c r="K32" s="713">
        <v>20614.88</v>
      </c>
      <c r="L32" s="714">
        <f t="shared" si="1"/>
      </c>
      <c r="M32" s="714">
        <f t="shared" si="2"/>
      </c>
      <c r="N32" s="714">
        <f t="shared" si="0"/>
      </c>
      <c r="O32" s="715" t="s">
        <v>773</v>
      </c>
      <c r="P32" s="711">
        <v>9</v>
      </c>
    </row>
    <row hidden="true" r="33">
      <c r="A33" s="710">
        <v>45876</v>
      </c>
      <c r="B33" s="711" t="s">
        <v>774</v>
      </c>
      <c r="C33" s="718" t="s">
        <v>784</v>
      </c>
      <c r="D33" s="711">
        <v>4</v>
      </c>
      <c r="E33" s="711">
        <v>41</v>
      </c>
      <c r="F33" s="711">
        <v>31</v>
      </c>
      <c r="G33" s="711"/>
      <c r="H33" s="711">
        <v>21</v>
      </c>
      <c r="I33" s="711">
        <v>3</v>
      </c>
      <c r="J33" s="713">
        <v>39466.4</v>
      </c>
      <c r="K33" s="713">
        <v>14594.349999999999</v>
      </c>
      <c r="L33" s="714">
        <f t="shared" si="1"/>
      </c>
      <c r="M33" s="714">
        <f t="shared" si="2"/>
      </c>
      <c r="N33" s="714">
        <f t="shared" si="0"/>
      </c>
      <c r="O33" s="717"/>
      <c r="P33" s="716"/>
    </row>
    <row hidden="true" r="34">
      <c r="A34" s="710">
        <v>45876</v>
      </c>
      <c r="B34" s="711" t="s">
        <v>786</v>
      </c>
      <c r="C34" s="718" t="s">
        <v>777</v>
      </c>
      <c r="D34" s="711">
        <v>4</v>
      </c>
      <c r="E34" s="711">
        <v>46</v>
      </c>
      <c r="F34" s="711">
        <v>30</v>
      </c>
      <c r="G34" s="711"/>
      <c r="H34" s="711">
        <v>19</v>
      </c>
      <c r="I34" s="711">
        <v>1</v>
      </c>
      <c r="J34" s="719">
        <v>30205.6</v>
      </c>
      <c r="K34" s="719">
        <v>14486.31</v>
      </c>
      <c r="L34" s="714">
        <f t="shared" si="1"/>
      </c>
      <c r="M34" s="714">
        <f t="shared" si="2"/>
      </c>
      <c r="N34" s="714">
        <f t="shared" si="0"/>
      </c>
      <c r="O34" s="717"/>
      <c r="P34" s="716"/>
    </row>
    <row hidden="true" r="35">
      <c r="A35" s="710">
        <v>45876</v>
      </c>
      <c r="B35" s="711" t="s">
        <v>771</v>
      </c>
      <c r="C35" s="718" t="s">
        <v>779</v>
      </c>
      <c r="D35" s="711">
        <v>4</v>
      </c>
      <c r="E35" s="711">
        <v>50</v>
      </c>
      <c r="F35" s="711">
        <v>38</v>
      </c>
      <c r="G35" s="711"/>
      <c r="H35" s="711">
        <v>28</v>
      </c>
      <c r="I35" s="711">
        <v>4</v>
      </c>
      <c r="J35" s="711">
        <v>46446.399999999994</v>
      </c>
      <c r="K35" s="719">
        <v>19385.71</v>
      </c>
      <c r="L35" s="714">
        <f t="shared" si="1"/>
      </c>
      <c r="M35" s="714">
        <f t="shared" si="2"/>
      </c>
      <c r="N35" s="714">
        <f t="shared" si="0"/>
      </c>
      <c r="O35" s="715" t="s">
        <v>780</v>
      </c>
      <c r="P35" s="711">
        <v>8</v>
      </c>
    </row>
    <row r="36">
      <c r="A36" s="725">
        <v>45876</v>
      </c>
      <c r="B36" s="721"/>
      <c r="C36" s="721"/>
      <c r="D36" s="722">
        <f>SUM(D32:D35)</f>
      </c>
      <c r="E36" s="722">
        <f>SUM(E32:E35)</f>
      </c>
      <c r="F36" s="722">
        <f>SUM(F32:F35)</f>
      </c>
      <c r="G36" s="722"/>
      <c r="H36" s="722">
        <f>SUM(H32:H35)</f>
      </c>
      <c r="I36" s="722">
        <f>SUM(I32:I35)</f>
      </c>
      <c r="J36" s="722">
        <f>SUM(J32:J35)</f>
      </c>
      <c r="K36" s="722">
        <f>SUM(K32:K35)</f>
      </c>
      <c r="L36" s="726">
        <f t="shared" si="1"/>
      </c>
      <c r="M36" s="726">
        <f t="shared" si="2"/>
      </c>
      <c r="N36" s="726">
        <f t="shared" si="0"/>
      </c>
      <c r="O36" s="724"/>
      <c r="P36" s="722">
        <f>SUM(P32:P35)</f>
      </c>
      <c r="Q36" s="724"/>
    </row>
    <row hidden="true" r="37">
      <c r="A37" s="710">
        <v>45877</v>
      </c>
      <c r="B37" s="711" t="s">
        <v>781</v>
      </c>
      <c r="C37" s="712" t="s">
        <v>783</v>
      </c>
      <c r="D37" s="716">
        <v>5</v>
      </c>
      <c r="E37" s="711">
        <v>25</v>
      </c>
      <c r="F37" s="711">
        <v>17</v>
      </c>
      <c r="G37" s="711"/>
      <c r="H37" s="711">
        <v>8</v>
      </c>
      <c r="I37" s="711">
        <v>2</v>
      </c>
      <c r="J37" s="727">
        <v>28532</v>
      </c>
      <c r="K37" s="727">
        <v>17529.269999999997</v>
      </c>
      <c r="L37" s="714">
        <f t="shared" si="1"/>
      </c>
      <c r="M37" s="714">
        <f t="shared" si="2"/>
      </c>
      <c r="N37" s="714">
        <f t="shared" si="0"/>
      </c>
      <c r="O37" s="717" t="s">
        <v>773</v>
      </c>
      <c r="P37" s="711">
        <v>9</v>
      </c>
      <c r="Q37" s="728"/>
    </row>
    <row hidden="true" r="38">
      <c r="A38" s="710">
        <v>45877</v>
      </c>
      <c r="B38" s="711" t="s">
        <v>771</v>
      </c>
      <c r="C38" s="712" t="s">
        <v>784</v>
      </c>
      <c r="D38" s="716">
        <v>4</v>
      </c>
      <c r="E38" s="711">
        <v>44</v>
      </c>
      <c r="F38" s="711">
        <v>34</v>
      </c>
      <c r="G38" s="711"/>
      <c r="H38" s="711">
        <v>16</v>
      </c>
      <c r="I38" s="711">
        <v>4</v>
      </c>
      <c r="J38" s="727">
        <v>31743.799999999996</v>
      </c>
      <c r="K38" s="727">
        <v>14178.45</v>
      </c>
      <c r="L38" s="714">
        <f t="shared" si="1"/>
      </c>
      <c r="M38" s="714">
        <f t="shared" si="2"/>
      </c>
      <c r="N38" s="714">
        <f t="shared" si="0"/>
      </c>
      <c r="O38" s="717"/>
      <c r="P38" s="716"/>
      <c r="Q38" s="728"/>
    </row>
    <row hidden="true" r="39">
      <c r="A39" s="710">
        <v>45877</v>
      </c>
      <c r="B39" s="716" t="s">
        <v>786</v>
      </c>
      <c r="C39" s="712" t="s">
        <v>777</v>
      </c>
      <c r="D39" s="716">
        <v>4</v>
      </c>
      <c r="E39" s="711">
        <v>48</v>
      </c>
      <c r="F39" s="711">
        <v>40</v>
      </c>
      <c r="G39" s="711"/>
      <c r="H39" s="711">
        <v>23</v>
      </c>
      <c r="I39" s="711">
        <v>6</v>
      </c>
      <c r="J39" s="727">
        <v>41614.6</v>
      </c>
      <c r="K39" s="727">
        <v>16356.29</v>
      </c>
      <c r="L39" s="714">
        <f t="shared" si="1"/>
      </c>
      <c r="M39" s="714">
        <f t="shared" si="2"/>
      </c>
      <c r="N39" s="714">
        <f t="shared" si="0"/>
      </c>
      <c r="O39" s="717"/>
      <c r="P39" s="716"/>
      <c r="Q39" s="728"/>
    </row>
    <row hidden="true" r="40">
      <c r="A40" s="710">
        <v>45877</v>
      </c>
      <c r="B40" s="711" t="s">
        <v>778</v>
      </c>
      <c r="C40" s="712" t="s">
        <v>779</v>
      </c>
      <c r="D40" s="716">
        <v>4</v>
      </c>
      <c r="E40" s="711">
        <v>51</v>
      </c>
      <c r="F40" s="711">
        <v>43</v>
      </c>
      <c r="G40" s="711"/>
      <c r="H40" s="711">
        <v>35</v>
      </c>
      <c r="I40" s="711">
        <v>6</v>
      </c>
      <c r="J40" s="727">
        <v>32998</v>
      </c>
      <c r="K40" s="727">
        <v>21404.690000000002</v>
      </c>
      <c r="L40" s="714">
        <f t="shared" si="1"/>
      </c>
      <c r="M40" s="714">
        <f t="shared" si="2"/>
      </c>
      <c r="N40" s="714">
        <f t="shared" si="0"/>
      </c>
      <c r="O40" s="715" t="s">
        <v>787</v>
      </c>
      <c r="P40" s="711">
        <v>8</v>
      </c>
      <c r="Q40" s="729"/>
    </row>
    <row r="41">
      <c r="A41" s="725">
        <v>45877</v>
      </c>
      <c r="B41" s="721"/>
      <c r="C41" s="721"/>
      <c r="D41" s="721">
        <f>SUM(D37:D40)</f>
      </c>
      <c r="E41" s="721">
        <f>SUM(E37:E40)</f>
      </c>
      <c r="F41" s="721">
        <f>SUM(F37:F40)</f>
      </c>
      <c r="G41" s="721"/>
      <c r="H41" s="721">
        <f>SUM(H37:H40)</f>
      </c>
      <c r="I41" s="721">
        <f>SUM(I37:I40)</f>
      </c>
      <c r="J41" s="721">
        <f>SUM(J37:J40)</f>
      </c>
      <c r="K41" s="721">
        <f>SUM(K37:K40)</f>
      </c>
      <c r="L41" s="726">
        <f t="shared" si="1"/>
      </c>
      <c r="M41" s="726">
        <f t="shared" si="2"/>
      </c>
      <c r="N41" s="726">
        <f t="shared" si="0"/>
      </c>
      <c r="O41" s="724"/>
      <c r="P41" s="721">
        <f>SUM(P37:P40)</f>
      </c>
      <c r="Q41" s="724"/>
    </row>
    <row hidden="true" r="42">
      <c r="A42" s="710">
        <v>45878</v>
      </c>
      <c r="B42" s="711" t="s">
        <v>781</v>
      </c>
      <c r="C42" s="712" t="s">
        <v>783</v>
      </c>
      <c r="D42" s="716">
        <v>5</v>
      </c>
      <c r="E42" s="711">
        <v>45</v>
      </c>
      <c r="F42" s="711">
        <v>36</v>
      </c>
      <c r="G42" s="711"/>
      <c r="H42" s="711">
        <v>26</v>
      </c>
      <c r="I42" s="711">
        <v>4</v>
      </c>
      <c r="J42" s="719">
        <v>41211.4</v>
      </c>
      <c r="K42" s="719">
        <v>19221.29</v>
      </c>
      <c r="L42" s="714">
        <f t="shared" si="1"/>
      </c>
      <c r="M42" s="714">
        <f t="shared" si="2"/>
      </c>
      <c r="N42" s="714">
        <f t="shared" si="0"/>
      </c>
      <c r="O42" s="715" t="s">
        <v>788</v>
      </c>
      <c r="P42" s="711">
        <v>8</v>
      </c>
      <c r="Q42" s="728"/>
    </row>
    <row hidden="true" r="43">
      <c r="A43" s="710">
        <v>45878</v>
      </c>
      <c r="B43" s="711" t="s">
        <v>774</v>
      </c>
      <c r="C43" s="712" t="s">
        <v>784</v>
      </c>
      <c r="D43" s="716">
        <v>4</v>
      </c>
      <c r="E43" s="711">
        <v>25</v>
      </c>
      <c r="F43" s="711">
        <v>15</v>
      </c>
      <c r="G43" s="711"/>
      <c r="H43" s="711">
        <v>12</v>
      </c>
      <c r="I43" s="711">
        <v>2</v>
      </c>
      <c r="J43" s="727">
        <v>21272.399999999998</v>
      </c>
      <c r="K43" s="727">
        <v>14736.149999999998</v>
      </c>
      <c r="L43" s="714">
        <f t="shared" si="1"/>
      </c>
      <c r="M43" s="714">
        <f t="shared" si="2"/>
      </c>
      <c r="N43" s="714">
        <f t="shared" si="0"/>
      </c>
      <c r="O43" s="717"/>
      <c r="P43" s="716"/>
      <c r="Q43" s="728"/>
    </row>
    <row hidden="true" r="44">
      <c r="A44" s="710">
        <v>45878</v>
      </c>
      <c r="B44" s="716" t="s">
        <v>786</v>
      </c>
      <c r="C44" s="712" t="s">
        <v>777</v>
      </c>
      <c r="D44" s="716">
        <v>4</v>
      </c>
      <c r="E44" s="711">
        <v>42</v>
      </c>
      <c r="F44" s="711">
        <v>33</v>
      </c>
      <c r="G44" s="711"/>
      <c r="H44" s="711">
        <v>22</v>
      </c>
      <c r="I44" s="711">
        <v>6</v>
      </c>
      <c r="J44" s="727">
        <v>50348.399999999994</v>
      </c>
      <c r="K44" s="727">
        <v>16624.149999999998</v>
      </c>
      <c r="L44" s="714">
        <f t="shared" si="1"/>
      </c>
      <c r="M44" s="714">
        <f t="shared" si="2"/>
      </c>
      <c r="N44" s="714">
        <f t="shared" si="0"/>
      </c>
      <c r="O44" s="717"/>
      <c r="P44" s="716"/>
      <c r="Q44" s="728"/>
    </row>
    <row hidden="true" r="45">
      <c r="A45" s="710">
        <v>45878</v>
      </c>
      <c r="B45" s="711" t="s">
        <v>778</v>
      </c>
      <c r="C45" s="712" t="s">
        <v>779</v>
      </c>
      <c r="D45" s="716">
        <v>4</v>
      </c>
      <c r="E45" s="711">
        <v>56</v>
      </c>
      <c r="F45" s="711">
        <v>44</v>
      </c>
      <c r="G45" s="711"/>
      <c r="H45" s="711">
        <v>32</v>
      </c>
      <c r="I45" s="711">
        <v>7</v>
      </c>
      <c r="J45" s="727">
        <v>52358.40000000002</v>
      </c>
      <c r="K45" s="727">
        <v>20914.41</v>
      </c>
      <c r="L45" s="714">
        <f t="shared" si="1"/>
      </c>
      <c r="M45" s="714">
        <f t="shared" si="2"/>
      </c>
      <c r="N45" s="714">
        <f t="shared" si="0"/>
      </c>
      <c r="O45" s="715" t="s">
        <v>787</v>
      </c>
      <c r="P45" s="711">
        <v>9</v>
      </c>
      <c r="Q45" s="729"/>
    </row>
    <row r="46">
      <c r="A46" s="725">
        <v>45878</v>
      </c>
      <c r="B46" s="721"/>
      <c r="C46" s="721"/>
      <c r="D46" s="721">
        <f>SUM(D42:D45)</f>
      </c>
      <c r="E46" s="721">
        <f>SUM(E42:E45)</f>
      </c>
      <c r="F46" s="721">
        <f>SUM(F42:F45)</f>
      </c>
      <c r="G46" s="721"/>
      <c r="H46" s="721">
        <f>SUM(H42:H45)</f>
      </c>
      <c r="I46" s="721">
        <f>SUM(I42:I45)</f>
      </c>
      <c r="J46" s="721">
        <f>SUM(J42:J45)</f>
      </c>
      <c r="K46" s="721">
        <f>SUM(K42:K45)</f>
      </c>
      <c r="L46" s="726">
        <f t="shared" si="1"/>
      </c>
      <c r="M46" s="726">
        <f t="shared" si="2"/>
      </c>
      <c r="N46" s="726">
        <f t="shared" si="0"/>
      </c>
      <c r="O46" s="724"/>
      <c r="P46" s="721">
        <f>SUM(P42:P45)</f>
      </c>
      <c r="Q46" s="724"/>
    </row>
    <row hidden="true" r="47">
      <c r="A47" s="710">
        <v>45879</v>
      </c>
      <c r="B47" s="711" t="s">
        <v>781</v>
      </c>
      <c r="C47" s="712" t="s">
        <v>783</v>
      </c>
      <c r="D47" s="716">
        <v>5</v>
      </c>
      <c r="E47" s="711">
        <v>35</v>
      </c>
      <c r="F47" s="711">
        <v>23</v>
      </c>
      <c r="G47" s="711"/>
      <c r="H47" s="711">
        <v>14</v>
      </c>
      <c r="I47" s="711">
        <v>0</v>
      </c>
      <c r="J47" s="719">
        <v>26005.199999999997</v>
      </c>
      <c r="K47" s="719">
        <v>19331.72</v>
      </c>
      <c r="L47" s="714">
        <f t="shared" si="1"/>
      </c>
      <c r="M47" s="714">
        <f t="shared" si="2"/>
      </c>
      <c r="N47" s="714">
        <f t="shared" si="0"/>
      </c>
      <c r="O47" s="715" t="s">
        <v>788</v>
      </c>
      <c r="P47" s="711">
        <v>8</v>
      </c>
      <c r="Q47" s="728"/>
    </row>
    <row hidden="true" r="48">
      <c r="A48" s="710">
        <v>45879</v>
      </c>
      <c r="B48" s="711" t="s">
        <v>771</v>
      </c>
      <c r="C48" s="712" t="s">
        <v>784</v>
      </c>
      <c r="D48" s="716">
        <v>4</v>
      </c>
      <c r="E48" s="711">
        <v>43</v>
      </c>
      <c r="F48" s="711">
        <v>32</v>
      </c>
      <c r="G48" s="711"/>
      <c r="H48" s="711">
        <v>25</v>
      </c>
      <c r="I48" s="711">
        <v>10</v>
      </c>
      <c r="J48" s="727">
        <v>33464.799999999996</v>
      </c>
      <c r="K48" s="727">
        <v>15100.279999999999</v>
      </c>
      <c r="L48" s="714">
        <f t="shared" si="1"/>
      </c>
      <c r="M48" s="714">
        <f t="shared" si="2"/>
      </c>
      <c r="N48" s="714">
        <f t="shared" si="0"/>
      </c>
      <c r="O48" s="717"/>
      <c r="P48" s="716"/>
      <c r="Q48" s="728"/>
    </row>
    <row hidden="true" r="49">
      <c r="A49" s="710">
        <v>45879</v>
      </c>
      <c r="B49" s="711" t="s">
        <v>774</v>
      </c>
      <c r="C49" s="712" t="s">
        <v>777</v>
      </c>
      <c r="D49" s="716">
        <v>4</v>
      </c>
      <c r="E49" s="711">
        <v>35</v>
      </c>
      <c r="F49" s="711">
        <v>25</v>
      </c>
      <c r="G49" s="711"/>
      <c r="H49" s="711">
        <v>16</v>
      </c>
      <c r="I49" s="711">
        <v>3</v>
      </c>
      <c r="J49" s="727">
        <v>34585.399999999994</v>
      </c>
      <c r="K49" s="727">
        <v>15733.849999999999</v>
      </c>
      <c r="L49" s="714">
        <f t="shared" si="1"/>
      </c>
      <c r="M49" s="714">
        <f t="shared" si="2"/>
      </c>
      <c r="N49" s="714">
        <f t="shared" si="0"/>
      </c>
      <c r="O49" s="717"/>
      <c r="P49" s="716"/>
      <c r="Q49" s="728"/>
    </row>
    <row hidden="true" r="50">
      <c r="A50" s="710">
        <v>45879</v>
      </c>
      <c r="B50" s="716" t="s">
        <v>786</v>
      </c>
      <c r="C50" s="712" t="s">
        <v>779</v>
      </c>
      <c r="D50" s="716">
        <v>4</v>
      </c>
      <c r="E50" s="711">
        <v>38</v>
      </c>
      <c r="F50" s="711">
        <v>29</v>
      </c>
      <c r="G50" s="711"/>
      <c r="H50" s="711">
        <v>13</v>
      </c>
      <c r="I50" s="711">
        <v>5</v>
      </c>
      <c r="J50" s="727">
        <v>34246.6</v>
      </c>
      <c r="K50" s="727">
        <v>12644.8</v>
      </c>
      <c r="L50" s="714">
        <f t="shared" si="1"/>
      </c>
      <c r="M50" s="714">
        <f t="shared" si="2"/>
      </c>
      <c r="N50" s="714">
        <f t="shared" si="0"/>
      </c>
      <c r="O50" s="715" t="s">
        <v>789</v>
      </c>
      <c r="P50" s="711">
        <v>9</v>
      </c>
      <c r="Q50" s="729"/>
    </row>
    <row r="51">
      <c r="A51" s="725">
        <v>45879</v>
      </c>
      <c r="B51" s="721"/>
      <c r="C51" s="721"/>
      <c r="D51" s="721">
        <f>SUM(D47:D50)</f>
      </c>
      <c r="E51" s="721">
        <f>SUM(E47:E50)</f>
      </c>
      <c r="F51" s="721">
        <f>SUM(F47:F50)</f>
      </c>
      <c r="G51" s="721"/>
      <c r="H51" s="721">
        <f>SUM(H47:H50)</f>
      </c>
      <c r="I51" s="721">
        <f>SUM(I47:I50)</f>
      </c>
      <c r="J51" s="721">
        <f>SUM(J47:J50)</f>
      </c>
      <c r="K51" s="721">
        <f>SUM(K47:K50)</f>
      </c>
      <c r="L51" s="726">
        <f t="shared" si="1"/>
      </c>
      <c r="M51" s="726">
        <f t="shared" si="2"/>
      </c>
      <c r="N51" s="726">
        <f t="shared" si="0"/>
      </c>
      <c r="O51" s="724"/>
      <c r="P51" s="721">
        <f>SUM(P47:P50)</f>
      </c>
      <c r="Q51" s="724"/>
    </row>
    <row hidden="true" r="52">
      <c r="A52" s="710">
        <v>45880</v>
      </c>
      <c r="B52" s="711" t="s">
        <v>781</v>
      </c>
      <c r="C52" s="718" t="s">
        <v>772</v>
      </c>
      <c r="D52" s="716">
        <v>5</v>
      </c>
      <c r="E52" s="711">
        <v>28</v>
      </c>
      <c r="F52" s="711">
        <v>23</v>
      </c>
      <c r="G52" s="711"/>
      <c r="H52" s="711">
        <v>18</v>
      </c>
      <c r="I52" s="711">
        <v>3</v>
      </c>
      <c r="J52" s="719">
        <v>17727.199999999997</v>
      </c>
      <c r="K52" s="719">
        <v>16790.39</v>
      </c>
      <c r="L52" s="714">
        <f t="shared" si="1"/>
      </c>
      <c r="M52" s="714">
        <f t="shared" si="2"/>
      </c>
      <c r="N52" s="714">
        <f t="shared" si="0"/>
      </c>
      <c r="O52" s="715" t="s">
        <v>787</v>
      </c>
      <c r="P52" s="711">
        <v>8</v>
      </c>
      <c r="Q52" s="728"/>
    </row>
    <row hidden="true" r="53">
      <c r="A53" s="710">
        <v>45880</v>
      </c>
      <c r="B53" s="711" t="s">
        <v>774</v>
      </c>
      <c r="C53" s="718" t="s">
        <v>790</v>
      </c>
      <c r="D53" s="711">
        <v>3</v>
      </c>
      <c r="E53" s="711">
        <v>20</v>
      </c>
      <c r="F53" s="711">
        <v>14</v>
      </c>
      <c r="G53" s="711"/>
      <c r="H53" s="711">
        <v>10</v>
      </c>
      <c r="I53" s="711">
        <v>0</v>
      </c>
      <c r="J53" s="727">
        <v>15597.199999999997</v>
      </c>
      <c r="K53" s="727">
        <v>12148.91</v>
      </c>
      <c r="L53" s="714">
        <f t="shared" si="1"/>
      </c>
      <c r="M53" s="714">
        <f t="shared" si="2"/>
      </c>
      <c r="N53" s="714">
        <f t="shared" si="0"/>
      </c>
      <c r="O53" s="717"/>
      <c r="P53" s="716"/>
      <c r="Q53" s="728"/>
    </row>
    <row hidden="true" r="54">
      <c r="A54" s="710">
        <v>45880</v>
      </c>
      <c r="B54" s="711" t="s">
        <v>771</v>
      </c>
      <c r="C54" s="718" t="s">
        <v>791</v>
      </c>
      <c r="D54" s="711">
        <v>5</v>
      </c>
      <c r="E54" s="711">
        <v>30</v>
      </c>
      <c r="F54" s="711">
        <v>22</v>
      </c>
      <c r="G54" s="711"/>
      <c r="H54" s="711">
        <v>13</v>
      </c>
      <c r="I54" s="711">
        <v>2</v>
      </c>
      <c r="J54" s="727">
        <v>23807.199999999997</v>
      </c>
      <c r="K54" s="727">
        <v>17119.57</v>
      </c>
      <c r="L54" s="714">
        <f t="shared" si="1"/>
      </c>
      <c r="M54" s="714">
        <f t="shared" si="2"/>
      </c>
      <c r="N54" s="714">
        <f t="shared" si="0"/>
      </c>
      <c r="O54" s="717"/>
      <c r="P54" s="716"/>
      <c r="Q54" s="728"/>
    </row>
    <row hidden="true" r="55">
      <c r="A55" s="710">
        <v>45880</v>
      </c>
      <c r="B55" s="711" t="s">
        <v>778</v>
      </c>
      <c r="C55" s="718" t="s">
        <v>792</v>
      </c>
      <c r="D55" s="716">
        <v>4</v>
      </c>
      <c r="E55" s="711">
        <v>57</v>
      </c>
      <c r="F55" s="711">
        <v>27</v>
      </c>
      <c r="G55" s="711"/>
      <c r="H55" s="711">
        <v>24</v>
      </c>
      <c r="I55" s="711">
        <v>4</v>
      </c>
      <c r="J55" s="727">
        <v>19698</v>
      </c>
      <c r="K55" s="727">
        <v>13816.039999999999</v>
      </c>
      <c r="L55" s="714">
        <f t="shared" si="1"/>
      </c>
      <c r="M55" s="714">
        <f t="shared" si="2"/>
      </c>
      <c r="N55" s="714">
        <f t="shared" si="0"/>
      </c>
      <c r="O55" s="715" t="s">
        <v>780</v>
      </c>
      <c r="P55" s="711">
        <v>9</v>
      </c>
      <c r="Q55" s="729"/>
    </row>
    <row r="56">
      <c r="A56" s="725">
        <v>45880</v>
      </c>
      <c r="B56" s="721"/>
      <c r="C56" s="721"/>
      <c r="D56" s="721">
        <f>SUM(D52:D55)</f>
      </c>
      <c r="E56" s="721">
        <f>SUM(E52:E55)</f>
      </c>
      <c r="F56" s="721">
        <f>SUM(F52:F55)</f>
      </c>
      <c r="G56" s="721"/>
      <c r="H56" s="721">
        <f>SUM(H52:H55)</f>
      </c>
      <c r="I56" s="721">
        <f>SUM(I52:I55)</f>
      </c>
      <c r="J56" s="721">
        <f>SUM(J52:J55)</f>
      </c>
      <c r="K56" s="721">
        <f>SUM(K52:K55)</f>
      </c>
      <c r="L56" s="726">
        <f t="shared" si="1"/>
      </c>
      <c r="M56" s="726">
        <f t="shared" si="2"/>
      </c>
      <c r="N56" s="726">
        <f t="shared" si="0"/>
      </c>
      <c r="O56" s="724"/>
      <c r="P56" s="721">
        <f>SUM(P52:P55)</f>
      </c>
      <c r="Q56" s="724"/>
    </row>
    <row customHeight="true" hidden="true" ht="16.071428571428573" r="57">
      <c r="A57" s="710">
        <v>45881</v>
      </c>
      <c r="B57" s="711" t="s">
        <v>786</v>
      </c>
      <c r="C57" s="718" t="s">
        <v>772</v>
      </c>
      <c r="D57" s="716">
        <v>5</v>
      </c>
      <c r="E57" s="711">
        <v>19</v>
      </c>
      <c r="F57" s="711">
        <v>14</v>
      </c>
      <c r="G57" s="711"/>
      <c r="H57" s="711">
        <v>11</v>
      </c>
      <c r="I57" s="711">
        <v>0</v>
      </c>
      <c r="J57" s="719">
        <v>14831</v>
      </c>
      <c r="K57" s="719">
        <v>15951.98</v>
      </c>
      <c r="L57" s="714">
        <f t="shared" si="1"/>
      </c>
      <c r="M57" s="714">
        <f t="shared" si="2"/>
      </c>
      <c r="N57" s="714">
        <f t="shared" si="0"/>
      </c>
      <c r="O57" s="715" t="s">
        <v>780</v>
      </c>
      <c r="P57" s="711">
        <v>8</v>
      </c>
      <c r="Q57" s="728"/>
    </row>
    <row customHeight="true" hidden="true" ht="16.071428571428573" r="58">
      <c r="A58" s="710">
        <v>45881</v>
      </c>
      <c r="B58" s="711" t="s">
        <v>778</v>
      </c>
      <c r="C58" s="718" t="s">
        <v>775</v>
      </c>
      <c r="D58" s="711">
        <v>4</v>
      </c>
      <c r="E58" s="711">
        <v>48</v>
      </c>
      <c r="F58" s="711">
        <v>36</v>
      </c>
      <c r="G58" s="711"/>
      <c r="H58" s="711">
        <v>29</v>
      </c>
      <c r="I58" s="711">
        <v>6</v>
      </c>
      <c r="J58" s="727">
        <v>41522.2</v>
      </c>
      <c r="K58" s="727">
        <v>15001.89</v>
      </c>
      <c r="L58" s="714">
        <f t="shared" si="1"/>
      </c>
      <c r="M58" s="714">
        <f t="shared" si="2"/>
      </c>
      <c r="N58" s="714">
        <f t="shared" si="0"/>
      </c>
      <c r="O58" s="717"/>
      <c r="P58" s="716"/>
      <c r="Q58" s="728"/>
    </row>
    <row customHeight="true" hidden="true" ht="16.071428571428573" r="59">
      <c r="A59" s="710">
        <v>45881</v>
      </c>
      <c r="B59" s="711" t="s">
        <v>781</v>
      </c>
      <c r="C59" s="718" t="s">
        <v>793</v>
      </c>
      <c r="D59" s="711">
        <v>4</v>
      </c>
      <c r="E59" s="711">
        <v>29</v>
      </c>
      <c r="F59" s="711">
        <v>21</v>
      </c>
      <c r="G59" s="711"/>
      <c r="H59" s="711">
        <v>17</v>
      </c>
      <c r="I59" s="711">
        <v>2</v>
      </c>
      <c r="J59" s="727">
        <v>23821.8</v>
      </c>
      <c r="K59" s="727">
        <v>14370.719999999998</v>
      </c>
      <c r="L59" s="714">
        <f t="shared" si="1"/>
      </c>
      <c r="M59" s="714">
        <f t="shared" si="2"/>
      </c>
      <c r="N59" s="714">
        <f t="shared" si="0"/>
      </c>
      <c r="O59" s="717"/>
      <c r="P59" s="716"/>
      <c r="Q59" s="728"/>
    </row>
    <row customHeight="true" hidden="true" ht="16.071428571428573" r="60">
      <c r="A60" s="710">
        <v>45881</v>
      </c>
      <c r="B60" s="711" t="s">
        <v>771</v>
      </c>
      <c r="C60" s="718" t="s">
        <v>792</v>
      </c>
      <c r="D60" s="716">
        <v>4</v>
      </c>
      <c r="E60" s="711">
        <v>31</v>
      </c>
      <c r="F60" s="711">
        <v>28</v>
      </c>
      <c r="G60" s="711"/>
      <c r="H60" s="711">
        <v>19</v>
      </c>
      <c r="I60" s="711">
        <v>1</v>
      </c>
      <c r="J60" s="727">
        <v>28535.399999999994</v>
      </c>
      <c r="K60" s="727">
        <v>14755.920000000002</v>
      </c>
      <c r="L60" s="714">
        <f t="shared" si="1"/>
      </c>
      <c r="M60" s="714">
        <f t="shared" si="2"/>
      </c>
      <c r="N60" s="714">
        <f t="shared" si="0"/>
      </c>
      <c r="O60" s="715" t="s">
        <v>773</v>
      </c>
      <c r="P60" s="711">
        <v>9</v>
      </c>
      <c r="Q60" s="729"/>
    </row>
    <row customHeight="true" ht="16.071428571428573" r="61">
      <c r="A61" s="725">
        <v>45881</v>
      </c>
      <c r="B61" s="721"/>
      <c r="C61" s="721"/>
      <c r="D61" s="721">
        <f>SUM(D57:D60)</f>
      </c>
      <c r="E61" s="721">
        <f>SUM(E57:E60)</f>
      </c>
      <c r="F61" s="721">
        <f>SUM(F57:F60)</f>
      </c>
      <c r="G61" s="721"/>
      <c r="H61" s="721">
        <f>SUM(H57:H60)</f>
      </c>
      <c r="I61" s="721">
        <f>SUM(I57:I60)</f>
      </c>
      <c r="J61" s="721">
        <f>SUM(J57:J60)</f>
      </c>
      <c r="K61" s="721">
        <f>SUM(K57:K60)</f>
      </c>
      <c r="L61" s="726">
        <f t="shared" si="1"/>
      </c>
      <c r="M61" s="726">
        <f t="shared" si="2"/>
      </c>
      <c r="N61" s="726">
        <f t="shared" si="0"/>
      </c>
      <c r="O61" s="724"/>
      <c r="P61" s="721">
        <f>SUM(P57:P60)</f>
      </c>
      <c r="Q61" s="724"/>
    </row>
    <row customHeight="true" hidden="true" ht="16.071428571428573" r="62">
      <c r="A62" s="710">
        <v>45882</v>
      </c>
      <c r="B62" s="711" t="s">
        <v>778</v>
      </c>
      <c r="C62" s="718" t="s">
        <v>772</v>
      </c>
      <c r="D62" s="716">
        <v>5</v>
      </c>
      <c r="E62" s="711">
        <v>34</v>
      </c>
      <c r="F62" s="711">
        <v>28</v>
      </c>
      <c r="G62" s="711"/>
      <c r="H62" s="711">
        <v>22</v>
      </c>
      <c r="I62" s="711">
        <v>0</v>
      </c>
      <c r="J62" s="719">
        <v>32041.399999999994</v>
      </c>
      <c r="K62" s="719">
        <v>17848.96</v>
      </c>
      <c r="L62" s="714">
        <f t="shared" si="1"/>
      </c>
      <c r="M62" s="714">
        <f t="shared" si="2"/>
      </c>
      <c r="N62" s="714">
        <f t="shared" si="0"/>
      </c>
      <c r="O62" s="715" t="s">
        <v>780</v>
      </c>
      <c r="P62" s="711">
        <v>8</v>
      </c>
      <c r="Q62" s="728"/>
    </row>
    <row hidden="true" r="63">
      <c r="A63" s="710">
        <v>45882</v>
      </c>
      <c r="B63" s="711" t="s">
        <v>781</v>
      </c>
      <c r="C63" s="718" t="s">
        <v>775</v>
      </c>
      <c r="D63" s="711">
        <v>4</v>
      </c>
      <c r="E63" s="711">
        <v>44</v>
      </c>
      <c r="F63" s="711">
        <v>32</v>
      </c>
      <c r="G63" s="711"/>
      <c r="H63" s="711">
        <v>21</v>
      </c>
      <c r="I63" s="711">
        <v>4</v>
      </c>
      <c r="J63" s="727">
        <v>36395.6</v>
      </c>
      <c r="K63" s="727">
        <v>15487.93</v>
      </c>
      <c r="L63" s="714">
        <f t="shared" si="1"/>
      </c>
      <c r="M63" s="714">
        <f t="shared" si="2"/>
      </c>
      <c r="N63" s="714">
        <f t="shared" si="0"/>
      </c>
      <c r="O63" s="717"/>
      <c r="P63" s="716"/>
      <c r="Q63" s="728"/>
    </row>
    <row hidden="true" r="64">
      <c r="A64" s="710">
        <v>45882</v>
      </c>
      <c r="B64" s="711" t="s">
        <v>771</v>
      </c>
      <c r="C64" s="718" t="s">
        <v>793</v>
      </c>
      <c r="D64" s="711">
        <v>4</v>
      </c>
      <c r="E64" s="711">
        <v>50</v>
      </c>
      <c r="F64" s="711">
        <v>43</v>
      </c>
      <c r="G64" s="711"/>
      <c r="H64" s="711">
        <v>41</v>
      </c>
      <c r="I64" s="711">
        <v>8</v>
      </c>
      <c r="J64" s="727">
        <v>31419.399999999998</v>
      </c>
      <c r="K64" s="727">
        <v>15148.75</v>
      </c>
      <c r="L64" s="714">
        <f t="shared" si="1"/>
      </c>
      <c r="M64" s="714">
        <f t="shared" si="2"/>
      </c>
      <c r="N64" s="714">
        <f t="shared" si="0"/>
      </c>
      <c r="O64" s="717"/>
      <c r="P64" s="716"/>
      <c r="Q64" s="728"/>
    </row>
    <row hidden="true" r="65">
      <c r="A65" s="710">
        <v>45882</v>
      </c>
      <c r="B65" s="711" t="s">
        <v>786</v>
      </c>
      <c r="C65" s="718" t="s">
        <v>792</v>
      </c>
      <c r="D65" s="716">
        <v>4</v>
      </c>
      <c r="E65" s="711">
        <v>54</v>
      </c>
      <c r="F65" s="711">
        <v>38</v>
      </c>
      <c r="G65" s="711"/>
      <c r="H65" s="711">
        <v>27</v>
      </c>
      <c r="I65" s="711">
        <v>8</v>
      </c>
      <c r="J65" s="727">
        <v>39630</v>
      </c>
      <c r="K65" s="727">
        <v>18049.4</v>
      </c>
      <c r="L65" s="714">
        <f t="shared" si="1"/>
      </c>
      <c r="M65" s="714">
        <f t="shared" si="2"/>
      </c>
      <c r="N65" s="714">
        <f t="shared" si="0"/>
      </c>
      <c r="O65" s="715" t="s">
        <v>773</v>
      </c>
      <c r="P65" s="711">
        <v>9</v>
      </c>
      <c r="Q65" s="729"/>
    </row>
    <row r="66">
      <c r="A66" s="725">
        <v>45882</v>
      </c>
      <c r="B66" s="721"/>
      <c r="C66" s="721"/>
      <c r="D66" s="721">
        <f>SUM(D62:D65)</f>
      </c>
      <c r="E66" s="721">
        <f>SUM(E62:E65)</f>
      </c>
      <c r="F66" s="721">
        <f>SUM(F62:F65)</f>
      </c>
      <c r="G66" s="721"/>
      <c r="H66" s="721">
        <f>SUM(H62:H65)</f>
      </c>
      <c r="I66" s="721">
        <f>SUM(I62:I65)</f>
      </c>
      <c r="J66" s="721">
        <f>SUM(J62:J65)</f>
      </c>
      <c r="K66" s="721">
        <f>SUM(K62:K65)</f>
      </c>
      <c r="L66" s="726">
        <f t="shared" si="1"/>
      </c>
      <c r="M66" s="726">
        <f t="shared" si="2"/>
      </c>
      <c r="N66" s="726">
        <f t="shared" si="0"/>
      </c>
      <c r="O66" s="724"/>
      <c r="P66" s="721">
        <f>SUM(P62:P65)</f>
      </c>
      <c r="Q66" s="724"/>
    </row>
    <row hidden="true" r="67">
      <c r="A67" s="710">
        <v>45883</v>
      </c>
      <c r="B67" s="711" t="s">
        <v>778</v>
      </c>
      <c r="C67" s="718" t="s">
        <v>772</v>
      </c>
      <c r="D67" s="716">
        <v>5</v>
      </c>
      <c r="E67" s="711">
        <v>74</v>
      </c>
      <c r="F67" s="711">
        <v>56</v>
      </c>
      <c r="G67" s="711"/>
      <c r="H67" s="711">
        <v>46</v>
      </c>
      <c r="I67" s="711">
        <v>12</v>
      </c>
      <c r="J67" s="719">
        <v>59015.799999999996</v>
      </c>
      <c r="K67" s="719">
        <v>19537.949999999997</v>
      </c>
      <c r="L67" s="714">
        <f t="shared" si="1"/>
      </c>
      <c r="M67" s="714">
        <f t="shared" si="2"/>
      </c>
      <c r="N67" s="714">
        <f t="shared" si="0"/>
      </c>
      <c r="O67" s="715" t="s">
        <v>780</v>
      </c>
      <c r="P67" s="711">
        <v>8</v>
      </c>
      <c r="Q67" s="728"/>
      <c r="R67" s="730"/>
      <c r="S67" s="730"/>
    </row>
    <row hidden="true" r="68">
      <c r="A68" s="710">
        <v>45883</v>
      </c>
      <c r="B68" s="711" t="s">
        <v>771</v>
      </c>
      <c r="C68" s="718" t="s">
        <v>775</v>
      </c>
      <c r="D68" s="711">
        <v>4</v>
      </c>
      <c r="E68" s="711">
        <v>39</v>
      </c>
      <c r="F68" s="711">
        <v>24</v>
      </c>
      <c r="G68" s="711"/>
      <c r="H68" s="711">
        <v>17</v>
      </c>
      <c r="I68" s="711">
        <v>2</v>
      </c>
      <c r="J68" s="727">
        <v>26259</v>
      </c>
      <c r="K68" s="727">
        <v>14218.99</v>
      </c>
      <c r="L68" s="714">
        <f t="shared" si="1"/>
      </c>
      <c r="M68" s="714">
        <f t="shared" si="2"/>
      </c>
      <c r="N68" s="714">
        <f t="shared" si="0"/>
      </c>
      <c r="O68" s="717"/>
      <c r="P68" s="716"/>
      <c r="Q68" s="728"/>
      <c r="R68" s="730"/>
      <c r="S68" s="730"/>
    </row>
    <row hidden="true" r="69">
      <c r="A69" s="710">
        <v>45883</v>
      </c>
      <c r="B69" s="711" t="s">
        <v>774</v>
      </c>
      <c r="C69" s="718" t="s">
        <v>793</v>
      </c>
      <c r="D69" s="711">
        <v>4</v>
      </c>
      <c r="E69" s="711">
        <v>29</v>
      </c>
      <c r="F69" s="711">
        <v>18</v>
      </c>
      <c r="G69" s="711"/>
      <c r="H69" s="711">
        <v>14</v>
      </c>
      <c r="I69" s="711">
        <v>3</v>
      </c>
      <c r="J69" s="727">
        <v>13737</v>
      </c>
      <c r="K69" s="727">
        <v>13411.380000000001</v>
      </c>
      <c r="L69" s="714">
        <f t="shared" si="1"/>
      </c>
      <c r="M69" s="714">
        <f t="shared" si="2"/>
      </c>
      <c r="N69" s="714">
        <f t="shared" si="0"/>
      </c>
      <c r="O69" s="717"/>
      <c r="P69" s="716"/>
      <c r="Q69" s="728"/>
    </row>
    <row hidden="true" r="70">
      <c r="A70" s="710">
        <v>45883</v>
      </c>
      <c r="B70" s="711" t="s">
        <v>786</v>
      </c>
      <c r="C70" s="718" t="s">
        <v>792</v>
      </c>
      <c r="D70" s="716">
        <v>4</v>
      </c>
      <c r="E70" s="711">
        <v>41</v>
      </c>
      <c r="F70" s="711">
        <v>27</v>
      </c>
      <c r="G70" s="711"/>
      <c r="H70" s="711">
        <v>17</v>
      </c>
      <c r="I70" s="711">
        <v>2</v>
      </c>
      <c r="J70" s="727">
        <v>25863.4</v>
      </c>
      <c r="K70" s="727">
        <v>12596.1</v>
      </c>
      <c r="L70" s="714">
        <f t="shared" si="1"/>
      </c>
      <c r="M70" s="714">
        <f t="shared" si="2"/>
      </c>
      <c r="N70" s="714">
        <f t="shared" si="0"/>
      </c>
      <c r="O70" s="715" t="s">
        <v>773</v>
      </c>
      <c r="P70" s="711">
        <v>9</v>
      </c>
      <c r="Q70" s="729"/>
    </row>
    <row r="71">
      <c r="A71" s="725">
        <v>45883</v>
      </c>
      <c r="B71" s="721"/>
      <c r="C71" s="721"/>
      <c r="D71" s="721">
        <f>SUM(D67:D70)</f>
      </c>
      <c r="E71" s="721">
        <f>SUM(E67:E70)</f>
      </c>
      <c r="F71" s="721">
        <f>SUM(F67:F70)</f>
      </c>
      <c r="G71" s="721"/>
      <c r="H71" s="721">
        <f>SUM(H67:H70)</f>
      </c>
      <c r="I71" s="721">
        <f>SUM(I67:I70)</f>
      </c>
      <c r="J71" s="721">
        <f>SUM(J67:J70)</f>
      </c>
      <c r="K71" s="721">
        <f>SUM(K67:K70)</f>
      </c>
      <c r="L71" s="726">
        <f t="shared" si="1"/>
      </c>
      <c r="M71" s="726">
        <f t="shared" si="2"/>
      </c>
      <c r="N71" s="726">
        <f t="shared" si="0"/>
      </c>
      <c r="O71" s="724"/>
      <c r="P71" s="721">
        <f>SUM(P67:P70)</f>
      </c>
      <c r="Q71" s="724"/>
    </row>
    <row customHeight="true" hidden="true" ht="16.071428571428573" r="72">
      <c r="A72" s="710">
        <v>45884</v>
      </c>
      <c r="B72" s="711" t="s">
        <v>781</v>
      </c>
      <c r="C72" s="718" t="s">
        <v>772</v>
      </c>
      <c r="D72" s="716">
        <v>5</v>
      </c>
      <c r="E72" s="711">
        <v>37</v>
      </c>
      <c r="F72" s="711">
        <v>22</v>
      </c>
      <c r="G72" s="711"/>
      <c r="H72" s="711">
        <v>17</v>
      </c>
      <c r="I72" s="711">
        <v>3</v>
      </c>
      <c r="J72" s="719">
        <v>19348.2</v>
      </c>
      <c r="K72" s="719">
        <v>18992.230000000003</v>
      </c>
      <c r="L72" s="714">
        <f t="shared" si="1"/>
      </c>
      <c r="M72" s="714">
        <f t="shared" si="2"/>
      </c>
      <c r="N72" s="714">
        <f t="shared" si="0"/>
      </c>
      <c r="O72" s="715" t="s">
        <v>780</v>
      </c>
      <c r="P72" s="711">
        <v>8</v>
      </c>
      <c r="Q72" s="728"/>
    </row>
    <row hidden="true" r="73">
      <c r="A73" s="710">
        <v>45884</v>
      </c>
      <c r="B73" s="711" t="s">
        <v>778</v>
      </c>
      <c r="C73" s="718" t="s">
        <v>794</v>
      </c>
      <c r="D73" s="711">
        <v>5</v>
      </c>
      <c r="E73" s="711">
        <v>37</v>
      </c>
      <c r="F73" s="711">
        <v>23</v>
      </c>
      <c r="G73" s="711"/>
      <c r="H73" s="711">
        <v>20</v>
      </c>
      <c r="I73" s="711">
        <v>0</v>
      </c>
      <c r="J73" s="727">
        <v>23212.999999999996</v>
      </c>
      <c r="K73" s="727">
        <v>16797.75</v>
      </c>
      <c r="L73" s="714">
        <f t="shared" si="1"/>
      </c>
      <c r="M73" s="714">
        <f t="shared" si="2"/>
      </c>
      <c r="N73" s="714">
        <f t="shared" si="0"/>
      </c>
      <c r="O73" s="717"/>
      <c r="P73" s="716"/>
      <c r="Q73" s="728"/>
    </row>
    <row hidden="true" r="74">
      <c r="A74" s="710">
        <v>45884</v>
      </c>
      <c r="B74" s="711" t="s">
        <v>774</v>
      </c>
      <c r="C74" s="718" t="s">
        <v>795</v>
      </c>
      <c r="D74" s="711">
        <v>5</v>
      </c>
      <c r="E74" s="711">
        <v>32</v>
      </c>
      <c r="F74" s="711">
        <v>26</v>
      </c>
      <c r="G74" s="711"/>
      <c r="H74" s="711">
        <v>16</v>
      </c>
      <c r="I74" s="711">
        <v>4</v>
      </c>
      <c r="J74" s="727">
        <v>21338.4</v>
      </c>
      <c r="K74" s="727">
        <v>15490.899999999998</v>
      </c>
      <c r="L74" s="714">
        <f t="shared" si="1"/>
      </c>
      <c r="M74" s="714">
        <f t="shared" si="2"/>
      </c>
      <c r="N74" s="714">
        <f t="shared" si="0"/>
      </c>
      <c r="O74" s="715" t="s">
        <v>773</v>
      </c>
      <c r="P74" s="711">
        <v>7</v>
      </c>
      <c r="Q74" s="728"/>
    </row>
    <row r="75">
      <c r="A75" s="725">
        <v>45884</v>
      </c>
      <c r="B75" s="721"/>
      <c r="C75" s="721"/>
      <c r="D75" s="721">
        <f>SUM(D72:D74)</f>
      </c>
      <c r="E75" s="721">
        <f>SUM(E72:E74)</f>
      </c>
      <c r="F75" s="721">
        <f>SUM(F72:F74)</f>
      </c>
      <c r="G75" s="721"/>
      <c r="H75" s="721">
        <f>SUM(H72:H74)</f>
      </c>
      <c r="I75" s="721">
        <f>SUM(I72:I74)</f>
      </c>
      <c r="J75" s="721">
        <f>SUM(J72:J74)</f>
      </c>
      <c r="K75" s="721">
        <f>SUM(K72:K74)</f>
      </c>
      <c r="L75" s="726">
        <f t="shared" si="1"/>
      </c>
      <c r="M75" s="726">
        <f t="shared" si="2"/>
      </c>
      <c r="N75" s="726">
        <f t="shared" si="0"/>
      </c>
      <c r="O75" s="724"/>
      <c r="P75" s="721">
        <f>SUM(P72:P74)</f>
      </c>
      <c r="Q75" s="724"/>
    </row>
    <row customHeight="true" hidden="true" ht="16.071428571428573" r="76">
      <c r="A76" s="710">
        <v>45885</v>
      </c>
      <c r="B76" s="711" t="s">
        <v>778</v>
      </c>
      <c r="C76" s="718" t="s">
        <v>772</v>
      </c>
      <c r="D76" s="716">
        <v>5</v>
      </c>
      <c r="E76" s="711">
        <v>39</v>
      </c>
      <c r="F76" s="711">
        <v>29</v>
      </c>
      <c r="G76" s="711"/>
      <c r="H76" s="711">
        <v>23</v>
      </c>
      <c r="I76" s="711">
        <v>4</v>
      </c>
      <c r="J76" s="719">
        <v>23517.000000000004</v>
      </c>
      <c r="K76" s="719">
        <v>18708.68</v>
      </c>
      <c r="L76" s="714">
        <f t="shared" si="1"/>
      </c>
      <c r="M76" s="714">
        <f t="shared" si="2"/>
      </c>
      <c r="N76" s="714">
        <f t="shared" si="0"/>
      </c>
      <c r="O76" s="715" t="s">
        <v>780</v>
      </c>
      <c r="P76" s="711">
        <v>9</v>
      </c>
      <c r="Q76" s="728"/>
    </row>
    <row hidden="true" r="77">
      <c r="A77" s="710">
        <v>45885</v>
      </c>
      <c r="B77" s="711" t="s">
        <v>774</v>
      </c>
      <c r="C77" s="718" t="s">
        <v>775</v>
      </c>
      <c r="D77" s="711">
        <v>4</v>
      </c>
      <c r="E77" s="711">
        <v>33</v>
      </c>
      <c r="F77" s="711">
        <v>29</v>
      </c>
      <c r="G77" s="711"/>
      <c r="H77" s="711">
        <v>20</v>
      </c>
      <c r="I77" s="711">
        <v>3</v>
      </c>
      <c r="J77" s="727">
        <v>28560.600000000002</v>
      </c>
      <c r="K77" s="727">
        <v>14250.27</v>
      </c>
      <c r="L77" s="714">
        <f t="shared" si="1"/>
      </c>
      <c r="M77" s="714">
        <f t="shared" si="2"/>
      </c>
      <c r="N77" s="714">
        <f t="shared" si="0"/>
      </c>
      <c r="O77" s="717"/>
      <c r="P77" s="716"/>
      <c r="Q77" s="728"/>
    </row>
    <row hidden="true" r="78">
      <c r="A78" s="710">
        <v>45885</v>
      </c>
      <c r="B78" s="711" t="s">
        <v>781</v>
      </c>
      <c r="C78" s="718" t="s">
        <v>793</v>
      </c>
      <c r="D78" s="711">
        <v>4</v>
      </c>
      <c r="E78" s="711">
        <v>46</v>
      </c>
      <c r="F78" s="711">
        <v>32</v>
      </c>
      <c r="G78" s="711"/>
      <c r="H78" s="711">
        <v>25</v>
      </c>
      <c r="I78" s="711">
        <v>4</v>
      </c>
      <c r="J78" s="727">
        <v>23119</v>
      </c>
      <c r="K78" s="727">
        <v>13610.869999999999</v>
      </c>
      <c r="L78" s="714">
        <f t="shared" si="1"/>
      </c>
      <c r="M78" s="714">
        <f t="shared" si="2"/>
      </c>
      <c r="N78" s="714">
        <f t="shared" si="0"/>
      </c>
      <c r="O78" s="717"/>
      <c r="P78" s="716"/>
      <c r="Q78" s="728"/>
    </row>
    <row hidden="true" r="79">
      <c r="A79" s="710">
        <v>45885</v>
      </c>
      <c r="B79" s="711" t="s">
        <v>771</v>
      </c>
      <c r="C79" s="718" t="s">
        <v>796</v>
      </c>
      <c r="D79" s="711">
        <v>5</v>
      </c>
      <c r="E79" s="711">
        <v>42</v>
      </c>
      <c r="F79" s="711">
        <v>32</v>
      </c>
      <c r="G79" s="711"/>
      <c r="H79" s="711">
        <v>23</v>
      </c>
      <c r="I79" s="711">
        <v>6</v>
      </c>
      <c r="J79" s="727">
        <v>32355.999999999996</v>
      </c>
      <c r="K79" s="727">
        <v>16890.56</v>
      </c>
      <c r="L79" s="714">
        <f t="shared" si="1"/>
      </c>
      <c r="M79" s="714">
        <f t="shared" si="2"/>
      </c>
      <c r="N79" s="714">
        <f t="shared" si="0"/>
      </c>
      <c r="O79" s="715" t="s">
        <v>773</v>
      </c>
      <c r="P79" s="711">
        <v>9</v>
      </c>
      <c r="Q79" s="729"/>
    </row>
    <row r="80">
      <c r="A80" s="725">
        <v>45885</v>
      </c>
      <c r="B80" s="721"/>
      <c r="C80" s="721"/>
      <c r="D80" s="721">
        <f>SUM(D76:D79)</f>
      </c>
      <c r="E80" s="721">
        <f>SUM(E76:E79)</f>
      </c>
      <c r="F80" s="721">
        <f>SUM(F76:F79)</f>
      </c>
      <c r="G80" s="721"/>
      <c r="H80" s="721">
        <f>SUM(H76:H79)</f>
      </c>
      <c r="I80" s="721">
        <f>SUM(I76:I79)</f>
      </c>
      <c r="J80" s="721">
        <f>SUM(J76:J79)</f>
      </c>
      <c r="K80" s="721">
        <f>SUM(K76:K79)</f>
      </c>
      <c r="L80" s="726">
        <f t="shared" si="1"/>
      </c>
      <c r="M80" s="726">
        <f t="shared" si="2"/>
      </c>
      <c r="N80" s="726">
        <f t="shared" si="0"/>
      </c>
      <c r="O80" s="724"/>
      <c r="P80" s="721">
        <f>SUM(P76:P79)</f>
      </c>
      <c r="Q80" s="724"/>
    </row>
    <row hidden="true" r="81">
      <c r="A81" s="710">
        <v>45886</v>
      </c>
      <c r="B81" s="711" t="s">
        <v>778</v>
      </c>
      <c r="C81" s="718" t="s">
        <v>772</v>
      </c>
      <c r="D81" s="716">
        <v>5</v>
      </c>
      <c r="E81" s="711">
        <v>55</v>
      </c>
      <c r="F81" s="711">
        <v>38</v>
      </c>
      <c r="G81" s="711"/>
      <c r="H81" s="711">
        <v>30</v>
      </c>
      <c r="I81" s="711">
        <v>1</v>
      </c>
      <c r="J81" s="719">
        <v>37444</v>
      </c>
      <c r="K81" s="719">
        <v>18813.75</v>
      </c>
      <c r="L81" s="714">
        <f t="shared" si="1"/>
      </c>
      <c r="M81" s="714">
        <f t="shared" si="2"/>
      </c>
      <c r="N81" s="714">
        <f t="shared" si="0"/>
      </c>
      <c r="O81" s="715" t="s">
        <v>780</v>
      </c>
      <c r="P81" s="711">
        <v>9</v>
      </c>
      <c r="Q81" s="728"/>
      <c r="R81" s="730"/>
      <c r="S81" s="730"/>
      <c r="T81" s="730"/>
      <c r="U81" s="730"/>
    </row>
    <row hidden="true" r="82">
      <c r="A82" s="710">
        <v>45886</v>
      </c>
      <c r="B82" s="711" t="s">
        <v>781</v>
      </c>
      <c r="C82" s="718" t="s">
        <v>775</v>
      </c>
      <c r="D82" s="711">
        <v>4</v>
      </c>
      <c r="E82" s="711">
        <v>53</v>
      </c>
      <c r="F82" s="711">
        <v>43</v>
      </c>
      <c r="G82" s="711"/>
      <c r="H82" s="711">
        <v>30</v>
      </c>
      <c r="I82" s="711">
        <v>8</v>
      </c>
      <c r="J82" s="727">
        <v>60080.799999999996</v>
      </c>
      <c r="K82" s="727">
        <v>13790.28</v>
      </c>
      <c r="L82" s="714">
        <f t="shared" si="1"/>
      </c>
      <c r="M82" s="714">
        <f t="shared" si="2"/>
      </c>
      <c r="N82" s="714">
        <f t="shared" si="0"/>
      </c>
      <c r="O82" s="717"/>
      <c r="P82" s="716"/>
      <c r="Q82" s="728"/>
    </row>
    <row hidden="true" r="83">
      <c r="A83" s="710">
        <v>45886</v>
      </c>
      <c r="B83" s="711" t="s">
        <v>771</v>
      </c>
      <c r="C83" s="718" t="s">
        <v>793</v>
      </c>
      <c r="D83" s="711">
        <v>4</v>
      </c>
      <c r="E83" s="711">
        <v>37</v>
      </c>
      <c r="F83" s="711">
        <v>33</v>
      </c>
      <c r="G83" s="711"/>
      <c r="H83" s="711">
        <v>24</v>
      </c>
      <c r="I83" s="711">
        <v>4</v>
      </c>
      <c r="J83" s="727">
        <v>35895.399999999994</v>
      </c>
      <c r="K83" s="727">
        <v>15214.369999999999</v>
      </c>
      <c r="L83" s="714">
        <f t="shared" si="1"/>
      </c>
      <c r="M83" s="714">
        <f t="shared" si="2"/>
      </c>
      <c r="N83" s="714">
        <f t="shared" si="0"/>
      </c>
      <c r="O83" s="717"/>
      <c r="P83" s="716"/>
      <c r="Q83" s="728"/>
    </row>
    <row hidden="true" r="84">
      <c r="A84" s="710">
        <v>45886</v>
      </c>
      <c r="B84" s="711" t="s">
        <v>786</v>
      </c>
      <c r="C84" s="718" t="s">
        <v>796</v>
      </c>
      <c r="D84" s="711">
        <v>5</v>
      </c>
      <c r="E84" s="711">
        <v>42</v>
      </c>
      <c r="F84" s="711">
        <v>32</v>
      </c>
      <c r="G84" s="711"/>
      <c r="H84" s="711">
        <v>20</v>
      </c>
      <c r="I84" s="711">
        <v>5</v>
      </c>
      <c r="J84" s="727">
        <v>38538.799999999996</v>
      </c>
      <c r="K84" s="727">
        <v>19627.140000000003</v>
      </c>
      <c r="L84" s="714">
        <f t="shared" si="1"/>
      </c>
      <c r="M84" s="714">
        <f t="shared" si="2"/>
      </c>
      <c r="N84" s="714">
        <f t="shared" si="0"/>
      </c>
      <c r="O84" s="715" t="s">
        <v>773</v>
      </c>
      <c r="P84" s="711">
        <v>9</v>
      </c>
      <c r="Q84" s="729"/>
    </row>
    <row r="85">
      <c r="A85" s="725">
        <v>45886</v>
      </c>
      <c r="B85" s="721"/>
      <c r="C85" s="721"/>
      <c r="D85" s="721">
        <f>SUM(D81:D84)</f>
      </c>
      <c r="E85" s="721">
        <f>SUM(E81:E84)</f>
      </c>
      <c r="F85" s="721">
        <f>SUM(F81:F84)</f>
      </c>
      <c r="G85" s="721"/>
      <c r="H85" s="721">
        <f>SUM(H81:H84)</f>
      </c>
      <c r="I85" s="721">
        <f>SUM(I81:I84)</f>
      </c>
      <c r="J85" s="721">
        <f>SUM(J81:J84)</f>
      </c>
      <c r="K85" s="721">
        <f>SUM(K81:K84)</f>
      </c>
      <c r="L85" s="726">
        <f t="shared" si="1"/>
      </c>
      <c r="M85" s="726">
        <f t="shared" si="2"/>
      </c>
      <c r="N85" s="726">
        <f t="shared" si="0"/>
      </c>
      <c r="O85" s="731"/>
      <c r="P85" s="721">
        <f>SUM(P81:P84)</f>
      </c>
      <c r="Q85" s="731"/>
    </row>
    <row customHeight="true" hidden="true" ht="16.071428571428573" r="86">
      <c r="A86" s="710">
        <v>45887</v>
      </c>
      <c r="B86" s="711" t="s">
        <v>781</v>
      </c>
      <c r="C86" s="718" t="s">
        <v>772</v>
      </c>
      <c r="D86" s="716">
        <v>5</v>
      </c>
      <c r="E86" s="711">
        <v>32</v>
      </c>
      <c r="F86" s="711">
        <v>26</v>
      </c>
      <c r="G86" s="711"/>
      <c r="H86" s="711">
        <v>23</v>
      </c>
      <c r="I86" s="711">
        <v>3</v>
      </c>
      <c r="J86" s="719">
        <v>22666</v>
      </c>
      <c r="K86" s="719">
        <v>18303.1</v>
      </c>
      <c r="L86" s="714">
        <f t="shared" si="1"/>
      </c>
      <c r="M86" s="714">
        <f t="shared" si="2"/>
      </c>
      <c r="N86" s="714">
        <f t="shared" si="0"/>
      </c>
      <c r="O86" s="715" t="s">
        <v>780</v>
      </c>
      <c r="P86" s="711">
        <v>9</v>
      </c>
      <c r="Q86" s="732"/>
      <c r="R86" s="733"/>
    </row>
    <row hidden="true" r="87">
      <c r="A87" s="710">
        <v>45887</v>
      </c>
      <c r="B87" s="711" t="s">
        <v>774</v>
      </c>
      <c r="C87" s="718" t="s">
        <v>775</v>
      </c>
      <c r="D87" s="711">
        <v>4</v>
      </c>
      <c r="E87" s="711">
        <v>43</v>
      </c>
      <c r="F87" s="711">
        <v>30</v>
      </c>
      <c r="G87" s="711"/>
      <c r="H87" s="711">
        <v>22</v>
      </c>
      <c r="I87" s="711">
        <v>3</v>
      </c>
      <c r="J87" s="727">
        <v>25569.8</v>
      </c>
      <c r="K87" s="727">
        <v>13936.52</v>
      </c>
      <c r="L87" s="714">
        <f t="shared" si="1"/>
      </c>
      <c r="M87" s="714">
        <f t="shared" si="2"/>
      </c>
      <c r="N87" s="714">
        <f t="shared" si="0"/>
      </c>
      <c r="O87" s="717"/>
      <c r="P87" s="716"/>
      <c r="Q87" s="734"/>
      <c r="R87" s="730"/>
      <c r="S87" s="730"/>
      <c r="T87" s="730"/>
      <c r="U87" s="730"/>
    </row>
    <row hidden="true" r="88">
      <c r="A88" s="710">
        <v>45887</v>
      </c>
      <c r="B88" s="711" t="s">
        <v>771</v>
      </c>
      <c r="C88" s="718" t="s">
        <v>793</v>
      </c>
      <c r="D88" s="711">
        <v>4</v>
      </c>
      <c r="E88" s="711">
        <v>43</v>
      </c>
      <c r="F88" s="711">
        <v>30</v>
      </c>
      <c r="G88" s="711"/>
      <c r="H88" s="711">
        <v>20</v>
      </c>
      <c r="I88" s="711">
        <v>1</v>
      </c>
      <c r="J88" s="727">
        <v>27172.000000000004</v>
      </c>
      <c r="K88" s="727">
        <v>15115.189999999999</v>
      </c>
      <c r="L88" s="714">
        <f t="shared" si="1"/>
      </c>
      <c r="M88" s="714">
        <f t="shared" si="2"/>
      </c>
      <c r="N88" s="714">
        <f t="shared" si="0"/>
      </c>
      <c r="O88" s="717"/>
      <c r="P88" s="716"/>
      <c r="Q88" s="734"/>
      <c r="R88" s="730"/>
      <c r="S88" s="730"/>
      <c r="T88" s="730"/>
      <c r="U88" s="730"/>
    </row>
    <row hidden="true" r="89">
      <c r="A89" s="710">
        <v>45887</v>
      </c>
      <c r="B89" s="711" t="s">
        <v>786</v>
      </c>
      <c r="C89" s="718" t="s">
        <v>796</v>
      </c>
      <c r="D89" s="711">
        <v>5</v>
      </c>
      <c r="E89" s="711">
        <v>51</v>
      </c>
      <c r="F89" s="711">
        <v>32</v>
      </c>
      <c r="G89" s="711"/>
      <c r="H89" s="711">
        <v>27</v>
      </c>
      <c r="I89" s="711">
        <v>6</v>
      </c>
      <c r="J89" s="727">
        <v>25418.199999999997</v>
      </c>
      <c r="K89" s="727">
        <v>17971.77</v>
      </c>
      <c r="L89" s="714">
        <f t="shared" si="1"/>
      </c>
      <c r="M89" s="714">
        <f t="shared" si="2"/>
      </c>
      <c r="N89" s="714">
        <f t="shared" si="0"/>
      </c>
      <c r="O89" s="715" t="s">
        <v>773</v>
      </c>
      <c r="P89" s="711">
        <v>9</v>
      </c>
      <c r="Q89" s="734"/>
      <c r="R89" s="730"/>
      <c r="S89" s="730"/>
      <c r="T89" s="730"/>
      <c r="U89" s="730"/>
    </row>
    <row r="90">
      <c r="A90" s="725">
        <v>45887</v>
      </c>
      <c r="B90" s="721"/>
      <c r="C90" s="721"/>
      <c r="D90" s="721">
        <f>SUM(D86:D89)</f>
      </c>
      <c r="E90" s="721">
        <f>SUM(E86:E89)</f>
      </c>
      <c r="F90" s="721">
        <f>SUM(F86:F89)</f>
      </c>
      <c r="G90" s="721"/>
      <c r="H90" s="721">
        <f>SUM(H86:H89)</f>
      </c>
      <c r="I90" s="721">
        <f>SUM(I86:I89)</f>
      </c>
      <c r="J90" s="721">
        <f>SUM(J86:J89)</f>
      </c>
      <c r="K90" s="721">
        <f>SUM(K86:K89)</f>
      </c>
      <c r="L90" s="726">
        <f t="shared" si="1"/>
      </c>
      <c r="M90" s="726">
        <f t="shared" si="2"/>
      </c>
      <c r="N90" s="726">
        <f t="shared" si="0"/>
      </c>
      <c r="O90" s="731"/>
      <c r="P90" s="721">
        <f>SUM(P86:P89)</f>
      </c>
      <c r="Q90" s="731"/>
      <c r="R90" s="730"/>
      <c r="S90" s="730"/>
      <c r="T90" s="730"/>
      <c r="U90" s="730"/>
    </row>
    <row hidden="true" r="91">
      <c r="A91" s="710">
        <v>45888</v>
      </c>
      <c r="B91" s="711" t="s">
        <v>778</v>
      </c>
      <c r="C91" s="718" t="s">
        <v>772</v>
      </c>
      <c r="D91" s="716">
        <v>5</v>
      </c>
      <c r="E91" s="711">
        <v>58</v>
      </c>
      <c r="F91" s="711">
        <v>55</v>
      </c>
      <c r="G91" s="711"/>
      <c r="H91" s="711">
        <v>48</v>
      </c>
      <c r="I91" s="711">
        <v>5</v>
      </c>
      <c r="J91" s="719">
        <v>52575.80000000002</v>
      </c>
      <c r="K91" s="719">
        <v>20068.49</v>
      </c>
      <c r="L91" s="714">
        <f t="shared" si="1"/>
      </c>
      <c r="M91" s="714">
        <f t="shared" si="2"/>
      </c>
      <c r="N91" s="714">
        <f t="shared" si="0"/>
      </c>
      <c r="O91" s="715" t="s">
        <v>788</v>
      </c>
      <c r="P91" s="711">
        <v>9</v>
      </c>
      <c r="Q91" s="732"/>
      <c r="R91" s="733"/>
    </row>
    <row hidden="true" r="92">
      <c r="A92" s="710">
        <v>45888</v>
      </c>
      <c r="B92" s="711" t="s">
        <v>781</v>
      </c>
      <c r="C92" s="718" t="s">
        <v>775</v>
      </c>
      <c r="D92" s="711">
        <v>4</v>
      </c>
      <c r="E92" s="711">
        <v>48</v>
      </c>
      <c r="F92" s="711">
        <v>37</v>
      </c>
      <c r="G92" s="711"/>
      <c r="H92" s="711">
        <v>25</v>
      </c>
      <c r="I92" s="711">
        <v>5</v>
      </c>
      <c r="J92" s="727">
        <v>52223.2</v>
      </c>
      <c r="K92" s="727">
        <v>17733.48</v>
      </c>
      <c r="L92" s="714">
        <f t="shared" si="1"/>
      </c>
      <c r="M92" s="714">
        <f t="shared" si="2"/>
      </c>
      <c r="N92" s="714">
        <f t="shared" si="0"/>
      </c>
      <c r="O92" s="717"/>
      <c r="P92" s="716"/>
      <c r="Q92" s="734"/>
      <c r="R92" s="730"/>
      <c r="S92" s="730"/>
      <c r="T92" s="730"/>
      <c r="U92" s="730"/>
    </row>
    <row hidden="true" r="93">
      <c r="A93" s="710">
        <v>45888</v>
      </c>
      <c r="B93" s="711" t="s">
        <v>771</v>
      </c>
      <c r="C93" s="718" t="s">
        <v>793</v>
      </c>
      <c r="D93" s="711">
        <v>4</v>
      </c>
      <c r="E93" s="711">
        <v>32</v>
      </c>
      <c r="F93" s="711">
        <v>21</v>
      </c>
      <c r="G93" s="711"/>
      <c r="H93" s="711">
        <v>13</v>
      </c>
      <c r="I93" s="711">
        <v>2</v>
      </c>
      <c r="J93" s="727">
        <v>32195</v>
      </c>
      <c r="K93" s="727">
        <v>14087.1</v>
      </c>
      <c r="L93" s="714">
        <f t="shared" si="1"/>
      </c>
      <c r="M93" s="714">
        <f t="shared" si="2"/>
      </c>
      <c r="N93" s="714">
        <f t="shared" si="0"/>
      </c>
      <c r="O93" s="717"/>
      <c r="P93" s="716"/>
      <c r="Q93" s="734"/>
      <c r="R93" s="730"/>
      <c r="S93" s="730"/>
      <c r="T93" s="730"/>
      <c r="U93" s="730"/>
    </row>
    <row hidden="true" r="94">
      <c r="A94" s="710">
        <v>45888</v>
      </c>
      <c r="B94" s="711" t="s">
        <v>786</v>
      </c>
      <c r="C94" s="718" t="s">
        <v>796</v>
      </c>
      <c r="D94" s="711">
        <v>5</v>
      </c>
      <c r="E94" s="711">
        <v>54</v>
      </c>
      <c r="F94" s="711">
        <v>44</v>
      </c>
      <c r="G94" s="711"/>
      <c r="H94" s="711">
        <v>31</v>
      </c>
      <c r="I94" s="711">
        <v>7</v>
      </c>
      <c r="J94" s="727">
        <v>47630.399999999994</v>
      </c>
      <c r="K94" s="727">
        <v>19647.4</v>
      </c>
      <c r="L94" s="714">
        <f t="shared" si="1"/>
      </c>
      <c r="M94" s="714">
        <f t="shared" si="2"/>
      </c>
      <c r="N94" s="714">
        <f t="shared" si="0"/>
      </c>
      <c r="O94" s="715" t="s">
        <v>773</v>
      </c>
      <c r="P94" s="711">
        <v>9</v>
      </c>
      <c r="Q94" s="734"/>
      <c r="R94" s="730"/>
      <c r="S94" s="730"/>
      <c r="T94" s="730"/>
      <c r="U94" s="730"/>
    </row>
    <row r="95">
      <c r="A95" s="725">
        <v>45888</v>
      </c>
      <c r="B95" s="721"/>
      <c r="C95" s="721"/>
      <c r="D95" s="721">
        <f>SUM(D91:D94)</f>
      </c>
      <c r="E95" s="721">
        <f>SUM(E91:E94)</f>
      </c>
      <c r="F95" s="721">
        <f>SUM(F91:F94)</f>
      </c>
      <c r="G95" s="721"/>
      <c r="H95" s="721">
        <f>SUM(H91:H94)</f>
      </c>
      <c r="I95" s="721">
        <f>SUM(I91:I94)</f>
      </c>
      <c r="J95" s="721">
        <f>SUM(J91:J94)</f>
      </c>
      <c r="K95" s="721">
        <f>SUM(K91:K94)</f>
      </c>
      <c r="L95" s="726">
        <f t="shared" si="1"/>
      </c>
      <c r="M95" s="726">
        <f t="shared" si="2"/>
      </c>
      <c r="N95" s="726">
        <f t="shared" si="0"/>
      </c>
      <c r="O95" s="731"/>
      <c r="P95" s="721">
        <f>SUM(P91:P94)</f>
      </c>
      <c r="Q95" s="731"/>
      <c r="R95" s="730"/>
      <c r="S95" s="730"/>
      <c r="T95" s="730"/>
      <c r="U95" s="730"/>
    </row>
    <row hidden="true" r="96">
      <c r="A96" s="710">
        <v>45889</v>
      </c>
      <c r="B96" s="711" t="s">
        <v>778</v>
      </c>
      <c r="C96" s="718" t="s">
        <v>772</v>
      </c>
      <c r="D96" s="716">
        <v>5</v>
      </c>
      <c r="E96" s="711">
        <v>46</v>
      </c>
      <c r="F96" s="711">
        <v>29</v>
      </c>
      <c r="G96" s="711"/>
      <c r="H96" s="711">
        <v>23</v>
      </c>
      <c r="I96" s="711">
        <v>3</v>
      </c>
      <c r="J96" s="719">
        <v>27146.199999999997</v>
      </c>
      <c r="K96" s="719">
        <v>20896.13</v>
      </c>
      <c r="L96" s="714">
        <f t="shared" si="1"/>
      </c>
      <c r="M96" s="714">
        <f t="shared" si="2"/>
      </c>
      <c r="N96" s="714">
        <f t="shared" si="0"/>
      </c>
      <c r="O96" s="715" t="s">
        <v>780</v>
      </c>
      <c r="P96" s="711">
        <v>9</v>
      </c>
      <c r="Q96" s="732"/>
      <c r="R96" s="730"/>
      <c r="S96" s="730"/>
      <c r="T96" s="730"/>
      <c r="U96" s="730"/>
    </row>
    <row hidden="true" r="97">
      <c r="A97" s="710">
        <v>45889</v>
      </c>
      <c r="B97" s="711" t="s">
        <v>781</v>
      </c>
      <c r="C97" s="718" t="s">
        <v>775</v>
      </c>
      <c r="D97" s="711">
        <v>4</v>
      </c>
      <c r="E97" s="711">
        <v>35</v>
      </c>
      <c r="F97" s="711">
        <v>24</v>
      </c>
      <c r="G97" s="711"/>
      <c r="H97" s="711">
        <v>18</v>
      </c>
      <c r="I97" s="711">
        <v>1</v>
      </c>
      <c r="J97" s="727">
        <v>25145.6</v>
      </c>
      <c r="K97" s="727">
        <v>14327.94</v>
      </c>
      <c r="L97" s="714">
        <f t="shared" si="1"/>
      </c>
      <c r="M97" s="714">
        <f t="shared" si="2"/>
      </c>
      <c r="N97" s="714">
        <f t="shared" si="0"/>
      </c>
      <c r="O97" s="717"/>
      <c r="P97" s="716"/>
      <c r="Q97" s="734"/>
      <c r="R97" s="730"/>
      <c r="S97" s="730"/>
      <c r="T97" s="730"/>
      <c r="U97" s="730"/>
    </row>
    <row hidden="true" r="98">
      <c r="A98" s="710">
        <v>45889</v>
      </c>
      <c r="B98" s="711" t="s">
        <v>774</v>
      </c>
      <c r="C98" s="718" t="s">
        <v>793</v>
      </c>
      <c r="D98" s="711">
        <v>4</v>
      </c>
      <c r="E98" s="711">
        <v>48</v>
      </c>
      <c r="F98" s="711">
        <v>35</v>
      </c>
      <c r="G98" s="711"/>
      <c r="H98" s="711">
        <v>24</v>
      </c>
      <c r="I98" s="711">
        <v>5</v>
      </c>
      <c r="J98" s="727">
        <v>43133.6</v>
      </c>
      <c r="K98" s="727">
        <v>16811.34</v>
      </c>
      <c r="L98" s="714">
        <f t="shared" si="1"/>
      </c>
      <c r="M98" s="714">
        <f t="shared" si="2"/>
      </c>
      <c r="N98" s="714">
        <f t="shared" si="0"/>
      </c>
      <c r="O98" s="717"/>
      <c r="P98" s="716"/>
      <c r="Q98" s="734"/>
      <c r="R98" s="730"/>
      <c r="S98" s="730"/>
      <c r="T98" s="730"/>
      <c r="U98" s="730"/>
    </row>
    <row hidden="true" r="99">
      <c r="A99" s="710">
        <v>45889</v>
      </c>
      <c r="B99" s="711" t="s">
        <v>786</v>
      </c>
      <c r="C99" s="718" t="s">
        <v>796</v>
      </c>
      <c r="D99" s="711">
        <v>5</v>
      </c>
      <c r="E99" s="711">
        <v>69</v>
      </c>
      <c r="F99" s="711">
        <v>47</v>
      </c>
      <c r="G99" s="711"/>
      <c r="H99" s="711">
        <v>28</v>
      </c>
      <c r="I99" s="711">
        <v>9</v>
      </c>
      <c r="J99" s="727">
        <v>40957</v>
      </c>
      <c r="K99" s="727">
        <v>22389.63</v>
      </c>
      <c r="L99" s="714">
        <f t="shared" si="1"/>
      </c>
      <c r="M99" s="714">
        <f t="shared" si="2"/>
      </c>
      <c r="N99" s="714">
        <f t="shared" si="0"/>
      </c>
      <c r="O99" s="715" t="s">
        <v>789</v>
      </c>
      <c r="P99" s="711">
        <v>9</v>
      </c>
      <c r="Q99" s="734"/>
      <c r="R99" s="730"/>
      <c r="S99" s="730"/>
      <c r="T99" s="730"/>
      <c r="U99" s="730"/>
    </row>
    <row r="100">
      <c r="A100" s="725">
        <v>45889</v>
      </c>
      <c r="B100" s="721"/>
      <c r="C100" s="721"/>
      <c r="D100" s="721">
        <f>SUM(D96:D99)</f>
      </c>
      <c r="E100" s="721">
        <f>SUM(E96:E99)</f>
      </c>
      <c r="F100" s="721">
        <f>SUM(F96:F99)</f>
      </c>
      <c r="G100" s="721"/>
      <c r="H100" s="721">
        <f>SUM(H96:H99)</f>
      </c>
      <c r="I100" s="721">
        <f>SUM(I96:I99)</f>
      </c>
      <c r="J100" s="721">
        <f>SUM(J96:J99)</f>
      </c>
      <c r="K100" s="721">
        <f>SUM(K96:K99)</f>
      </c>
      <c r="L100" s="726">
        <f t="shared" si="1"/>
      </c>
      <c r="M100" s="726">
        <f t="shared" si="2"/>
      </c>
      <c r="N100" s="726">
        <f t="shared" si="0"/>
      </c>
      <c r="O100" s="731"/>
      <c r="P100" s="721">
        <f>SUM(P96:P99)</f>
      </c>
      <c r="Q100" s="731"/>
      <c r="R100" s="730"/>
      <c r="S100" s="730"/>
      <c r="T100" s="730"/>
      <c r="U100" s="730"/>
    </row>
    <row hidden="true" r="101">
      <c r="A101" s="710">
        <v>45890</v>
      </c>
      <c r="B101" s="711" t="s">
        <v>778</v>
      </c>
      <c r="C101" s="718" t="s">
        <v>772</v>
      </c>
      <c r="D101" s="716">
        <v>5</v>
      </c>
      <c r="E101" s="711">
        <v>32</v>
      </c>
      <c r="F101" s="711">
        <v>23</v>
      </c>
      <c r="G101" s="711"/>
      <c r="H101" s="711">
        <v>19</v>
      </c>
      <c r="I101" s="711">
        <v>2</v>
      </c>
      <c r="J101" s="719">
        <v>19411.199999999997</v>
      </c>
      <c r="K101" s="719">
        <v>17976.83</v>
      </c>
      <c r="L101" s="714">
        <f t="shared" si="1"/>
      </c>
      <c r="M101" s="714">
        <f t="shared" si="2"/>
      </c>
      <c r="N101" s="714">
        <f t="shared" si="0"/>
      </c>
      <c r="O101" s="715" t="s">
        <v>780</v>
      </c>
      <c r="P101" s="711">
        <v>9</v>
      </c>
      <c r="Q101" s="732"/>
      <c r="R101" s="730"/>
      <c r="S101" s="730"/>
      <c r="T101" s="730"/>
      <c r="U101" s="730"/>
    </row>
    <row hidden="true" r="102">
      <c r="A102" s="710">
        <v>45890</v>
      </c>
      <c r="B102" s="711" t="s">
        <v>771</v>
      </c>
      <c r="C102" s="718" t="s">
        <v>775</v>
      </c>
      <c r="D102" s="711">
        <v>4</v>
      </c>
      <c r="E102" s="711">
        <v>35</v>
      </c>
      <c r="F102" s="711">
        <v>26</v>
      </c>
      <c r="G102" s="711"/>
      <c r="H102" s="711">
        <v>23</v>
      </c>
      <c r="I102" s="711">
        <v>5</v>
      </c>
      <c r="J102" s="727">
        <v>18689.2</v>
      </c>
      <c r="K102" s="727">
        <v>14563.820000000002</v>
      </c>
      <c r="L102" s="714">
        <f t="shared" si="1"/>
      </c>
      <c r="M102" s="714">
        <f t="shared" si="2"/>
      </c>
      <c r="N102" s="714">
        <f t="shared" si="0"/>
      </c>
      <c r="O102" s="717"/>
      <c r="P102" s="716"/>
      <c r="Q102" s="734"/>
      <c r="R102" s="730"/>
      <c r="S102" s="730"/>
      <c r="T102" s="730"/>
      <c r="U102" s="730"/>
    </row>
    <row hidden="true" r="103">
      <c r="A103" s="710">
        <v>45890</v>
      </c>
      <c r="B103" s="711" t="s">
        <v>774</v>
      </c>
      <c r="C103" s="718" t="s">
        <v>793</v>
      </c>
      <c r="D103" s="711">
        <v>4</v>
      </c>
      <c r="E103" s="711">
        <v>23</v>
      </c>
      <c r="F103" s="711">
        <v>15</v>
      </c>
      <c r="G103" s="711"/>
      <c r="H103" s="711">
        <v>13</v>
      </c>
      <c r="I103" s="711">
        <v>1</v>
      </c>
      <c r="J103" s="727">
        <v>9381.2</v>
      </c>
      <c r="K103" s="727">
        <v>11252.45</v>
      </c>
      <c r="L103" s="714">
        <f t="shared" si="1"/>
      </c>
      <c r="M103" s="714">
        <f t="shared" si="2"/>
      </c>
      <c r="N103" s="714">
        <f t="shared" si="0"/>
      </c>
      <c r="O103" s="717"/>
      <c r="P103" s="716"/>
      <c r="Q103" s="734"/>
      <c r="R103" s="730"/>
      <c r="S103" s="730"/>
      <c r="T103" s="730"/>
      <c r="U103" s="730"/>
    </row>
    <row hidden="true" r="104">
      <c r="A104" s="710">
        <v>45890</v>
      </c>
      <c r="B104" s="711" t="s">
        <v>786</v>
      </c>
      <c r="C104" s="718" t="s">
        <v>792</v>
      </c>
      <c r="D104" s="711">
        <v>4</v>
      </c>
      <c r="E104" s="711">
        <v>47</v>
      </c>
      <c r="F104" s="711">
        <v>31</v>
      </c>
      <c r="G104" s="711"/>
      <c r="H104" s="711">
        <v>16</v>
      </c>
      <c r="I104" s="711">
        <v>4</v>
      </c>
      <c r="J104" s="727">
        <v>48250.600000000006</v>
      </c>
      <c r="K104" s="727">
        <v>14579.279999999999</v>
      </c>
      <c r="L104" s="714">
        <f t="shared" si="1"/>
      </c>
      <c r="M104" s="714">
        <f t="shared" si="2"/>
      </c>
      <c r="N104" s="714">
        <f t="shared" si="0"/>
      </c>
      <c r="O104" s="715" t="s">
        <v>773</v>
      </c>
      <c r="P104" s="711">
        <v>8</v>
      </c>
      <c r="Q104" s="734"/>
      <c r="R104" s="730"/>
      <c r="S104" s="730"/>
      <c r="T104" s="730"/>
      <c r="U104" s="730"/>
    </row>
    <row r="105">
      <c r="A105" s="725">
        <v>45890</v>
      </c>
      <c r="B105" s="721"/>
      <c r="C105" s="721"/>
      <c r="D105" s="721">
        <f>SUM(D101:D104)</f>
      </c>
      <c r="E105" s="721">
        <f>SUM(E101:E104)</f>
      </c>
      <c r="F105" s="721">
        <f>SUM(F101:F104)</f>
      </c>
      <c r="G105" s="721"/>
      <c r="H105" s="721">
        <f>SUM(H101:H104)</f>
      </c>
      <c r="I105" s="721">
        <f>SUM(I101:I104)</f>
      </c>
      <c r="J105" s="721">
        <f>SUM(J101:J104)</f>
      </c>
      <c r="K105" s="721">
        <f>SUM(K101:K104)</f>
      </c>
      <c r="L105" s="726">
        <f t="shared" si="1"/>
      </c>
      <c r="M105" s="726">
        <f t="shared" si="2"/>
      </c>
      <c r="N105" s="726">
        <f t="shared" si="0"/>
      </c>
      <c r="O105" s="731"/>
      <c r="P105" s="721">
        <f>SUM(P101:P104)</f>
      </c>
      <c r="Q105" s="731"/>
      <c r="R105" s="730"/>
      <c r="S105" s="730"/>
      <c r="T105" s="730"/>
      <c r="U105" s="730"/>
    </row>
    <row hidden="true" r="106">
      <c r="A106" s="710">
        <v>45891</v>
      </c>
      <c r="B106" s="711" t="s">
        <v>778</v>
      </c>
      <c r="C106" s="718" t="s">
        <v>772</v>
      </c>
      <c r="D106" s="716">
        <v>5</v>
      </c>
      <c r="E106" s="711">
        <v>54</v>
      </c>
      <c r="F106" s="711">
        <v>42</v>
      </c>
      <c r="G106" s="711"/>
      <c r="H106" s="711">
        <v>35</v>
      </c>
      <c r="I106" s="711">
        <v>6</v>
      </c>
      <c r="J106" s="719">
        <v>42354.799999999996</v>
      </c>
      <c r="K106" s="719">
        <v>19214.1</v>
      </c>
      <c r="L106" s="714">
        <f t="shared" si="1"/>
      </c>
      <c r="M106" s="714">
        <f t="shared" si="2"/>
      </c>
      <c r="N106" s="714">
        <f t="shared" si="0"/>
      </c>
      <c r="O106" s="715" t="s">
        <v>780</v>
      </c>
      <c r="P106" s="711">
        <v>9</v>
      </c>
      <c r="Q106" s="732"/>
      <c r="R106" s="730"/>
      <c r="S106" s="730"/>
      <c r="T106" s="730"/>
      <c r="U106" s="730"/>
    </row>
    <row hidden="true" r="107">
      <c r="A107" s="710">
        <v>45891</v>
      </c>
      <c r="B107" s="711" t="s">
        <v>781</v>
      </c>
      <c r="C107" s="718" t="s">
        <v>775</v>
      </c>
      <c r="D107" s="711">
        <v>4</v>
      </c>
      <c r="E107" s="711">
        <v>36</v>
      </c>
      <c r="F107" s="711">
        <v>26</v>
      </c>
      <c r="G107" s="711"/>
      <c r="H107" s="711">
        <v>22</v>
      </c>
      <c r="I107" s="711">
        <v>4</v>
      </c>
      <c r="J107" s="727">
        <v>23222.2</v>
      </c>
      <c r="K107" s="727">
        <v>17289.8</v>
      </c>
      <c r="L107" s="714">
        <f t="shared" si="1"/>
      </c>
      <c r="M107" s="714">
        <f t="shared" si="2"/>
      </c>
      <c r="N107" s="714">
        <f t="shared" si="0"/>
      </c>
      <c r="O107" s="717"/>
      <c r="P107" s="716"/>
      <c r="Q107" s="734"/>
      <c r="R107" s="730"/>
      <c r="S107" s="730"/>
      <c r="T107" s="730"/>
      <c r="U107" s="730"/>
    </row>
    <row hidden="true" r="108">
      <c r="A108" s="710">
        <v>45891</v>
      </c>
      <c r="B108" s="711" t="s">
        <v>771</v>
      </c>
      <c r="C108" s="718" t="s">
        <v>793</v>
      </c>
      <c r="D108" s="711">
        <v>4</v>
      </c>
      <c r="E108" s="711">
        <v>26</v>
      </c>
      <c r="F108" s="711">
        <v>17</v>
      </c>
      <c r="G108" s="711"/>
      <c r="H108" s="711">
        <v>14</v>
      </c>
      <c r="I108" s="711">
        <v>3</v>
      </c>
      <c r="J108" s="727">
        <v>11116.8</v>
      </c>
      <c r="K108" s="727">
        <v>12590.5</v>
      </c>
      <c r="L108" s="714">
        <f t="shared" si="1"/>
      </c>
      <c r="M108" s="714">
        <f t="shared" si="2"/>
      </c>
      <c r="N108" s="714">
        <f t="shared" si="0"/>
      </c>
      <c r="O108" s="717"/>
      <c r="P108" s="716"/>
      <c r="Q108" s="734"/>
      <c r="R108" s="730"/>
      <c r="S108" s="730"/>
      <c r="T108" s="730"/>
      <c r="U108" s="730"/>
    </row>
    <row hidden="true" r="109">
      <c r="A109" s="710">
        <v>45891</v>
      </c>
      <c r="B109" s="711" t="s">
        <v>786</v>
      </c>
      <c r="C109" s="718" t="s">
        <v>796</v>
      </c>
      <c r="D109" s="711">
        <v>5</v>
      </c>
      <c r="E109" s="711">
        <v>53</v>
      </c>
      <c r="F109" s="711">
        <v>37</v>
      </c>
      <c r="G109" s="711"/>
      <c r="H109" s="711">
        <v>22</v>
      </c>
      <c r="I109" s="711">
        <v>6</v>
      </c>
      <c r="J109" s="727">
        <v>36433.8</v>
      </c>
      <c r="K109" s="727">
        <v>14761.93</v>
      </c>
      <c r="L109" s="714">
        <f t="shared" si="1"/>
      </c>
      <c r="M109" s="714">
        <f t="shared" si="2"/>
      </c>
      <c r="N109" s="714">
        <f t="shared" si="0"/>
      </c>
      <c r="O109" s="715" t="s">
        <v>773</v>
      </c>
      <c r="P109" s="711">
        <v>9</v>
      </c>
      <c r="Q109" s="734"/>
      <c r="R109" s="730"/>
      <c r="S109" s="730"/>
      <c r="T109" s="730"/>
      <c r="U109" s="730"/>
    </row>
    <row r="110">
      <c r="A110" s="725">
        <v>45891</v>
      </c>
      <c r="B110" s="721"/>
      <c r="C110" s="721"/>
      <c r="D110" s="721">
        <f>SUM(D106:D109)</f>
      </c>
      <c r="E110" s="721">
        <f>SUM(E106:E109)</f>
      </c>
      <c r="F110" s="721">
        <f>SUM(F106:F109)</f>
      </c>
      <c r="G110" s="721"/>
      <c r="H110" s="721">
        <f>SUM(H106:H109)</f>
      </c>
      <c r="I110" s="721">
        <f>SUM(I106:I109)</f>
      </c>
      <c r="J110" s="721">
        <f>SUM(J106:J109)</f>
      </c>
      <c r="K110" s="721">
        <f>SUM(K106:K109)</f>
      </c>
      <c r="L110" s="726">
        <f t="shared" si="1"/>
      </c>
      <c r="M110" s="726">
        <f t="shared" si="2"/>
      </c>
      <c r="N110" s="726">
        <f t="shared" si="0"/>
      </c>
      <c r="O110" s="731"/>
      <c r="P110" s="721">
        <f>SUM(P106:P109)</f>
      </c>
      <c r="Q110" s="731"/>
      <c r="R110" s="730"/>
      <c r="S110" s="730"/>
      <c r="T110" s="730"/>
      <c r="U110" s="730"/>
    </row>
    <row hidden="true" r="111">
      <c r="A111" s="710">
        <v>45892</v>
      </c>
      <c r="B111" s="711" t="s">
        <v>771</v>
      </c>
      <c r="C111" s="718" t="s">
        <v>772</v>
      </c>
      <c r="D111" s="716">
        <v>5</v>
      </c>
      <c r="E111" s="711">
        <v>31</v>
      </c>
      <c r="F111" s="711">
        <v>21</v>
      </c>
      <c r="G111" s="711"/>
      <c r="H111" s="711">
        <v>16</v>
      </c>
      <c r="I111" s="711">
        <v>4</v>
      </c>
      <c r="J111" s="719">
        <v>17935.4</v>
      </c>
      <c r="K111" s="719">
        <v>15550.640000000001</v>
      </c>
      <c r="L111" s="714">
        <f t="shared" si="1"/>
      </c>
      <c r="M111" s="714">
        <f t="shared" si="2"/>
      </c>
      <c r="N111" s="714">
        <f t="shared" si="0"/>
      </c>
      <c r="O111" s="715" t="s">
        <v>780</v>
      </c>
      <c r="P111" s="711">
        <v>9</v>
      </c>
      <c r="Q111" s="732"/>
      <c r="R111" s="730"/>
      <c r="S111" s="730"/>
      <c r="T111" s="730"/>
      <c r="U111" s="730"/>
    </row>
    <row hidden="true" r="112">
      <c r="A112" s="710">
        <v>45892</v>
      </c>
      <c r="B112" s="711" t="s">
        <v>778</v>
      </c>
      <c r="C112" s="718" t="s">
        <v>775</v>
      </c>
      <c r="D112" s="711">
        <v>4</v>
      </c>
      <c r="E112" s="711">
        <v>41</v>
      </c>
      <c r="F112" s="711">
        <v>27</v>
      </c>
      <c r="G112" s="711"/>
      <c r="H112" s="711">
        <v>24</v>
      </c>
      <c r="I112" s="711">
        <v>3</v>
      </c>
      <c r="J112" s="727">
        <v>27616.2</v>
      </c>
      <c r="K112" s="727">
        <v>13492.720000000001</v>
      </c>
      <c r="L112" s="714">
        <f t="shared" si="1"/>
      </c>
      <c r="M112" s="714">
        <f t="shared" si="2"/>
      </c>
      <c r="N112" s="714">
        <f t="shared" si="0"/>
      </c>
      <c r="O112" s="717"/>
      <c r="P112" s="716"/>
      <c r="Q112" s="734"/>
      <c r="R112" s="730"/>
      <c r="S112" s="730"/>
      <c r="T112" s="730"/>
      <c r="U112" s="730"/>
    </row>
    <row hidden="true" r="113">
      <c r="A113" s="710">
        <v>45892</v>
      </c>
      <c r="B113" s="711" t="s">
        <v>774</v>
      </c>
      <c r="C113" s="718" t="s">
        <v>793</v>
      </c>
      <c r="D113" s="711">
        <v>4</v>
      </c>
      <c r="E113" s="711">
        <v>46</v>
      </c>
      <c r="F113" s="711">
        <v>31</v>
      </c>
      <c r="G113" s="711"/>
      <c r="H113" s="711">
        <v>25</v>
      </c>
      <c r="I113" s="711">
        <v>4</v>
      </c>
      <c r="J113" s="727">
        <v>34640.2</v>
      </c>
      <c r="K113" s="727">
        <v>13446.34</v>
      </c>
      <c r="L113" s="714">
        <f t="shared" si="1"/>
      </c>
      <c r="M113" s="714">
        <f t="shared" si="2"/>
      </c>
      <c r="N113" s="714">
        <f t="shared" si="0"/>
      </c>
      <c r="O113" s="717"/>
      <c r="P113" s="716"/>
      <c r="Q113" s="734"/>
      <c r="R113" s="730"/>
      <c r="S113" s="730"/>
      <c r="T113" s="730"/>
      <c r="U113" s="730"/>
    </row>
    <row hidden="true" r="114">
      <c r="A114" s="710">
        <v>45892</v>
      </c>
      <c r="B114" s="711" t="s">
        <v>781</v>
      </c>
      <c r="C114" s="718" t="s">
        <v>796</v>
      </c>
      <c r="D114" s="711">
        <v>5</v>
      </c>
      <c r="E114" s="711">
        <v>56</v>
      </c>
      <c r="F114" s="711">
        <v>42</v>
      </c>
      <c r="G114" s="711"/>
      <c r="H114" s="711">
        <v>27</v>
      </c>
      <c r="I114" s="711">
        <v>7</v>
      </c>
      <c r="J114" s="727">
        <v>43219</v>
      </c>
      <c r="K114" s="727">
        <v>19694.53</v>
      </c>
      <c r="L114" s="714">
        <f t="shared" si="1"/>
      </c>
      <c r="M114" s="714">
        <f t="shared" si="2"/>
      </c>
      <c r="N114" s="714">
        <f t="shared" si="0"/>
      </c>
      <c r="O114" s="715" t="s">
        <v>773</v>
      </c>
      <c r="P114" s="711">
        <v>9</v>
      </c>
      <c r="Q114" s="734"/>
      <c r="R114" s="730"/>
      <c r="S114" s="730"/>
      <c r="T114" s="730"/>
      <c r="U114" s="730"/>
    </row>
    <row r="115">
      <c r="A115" s="725">
        <v>45892</v>
      </c>
      <c r="B115" s="721"/>
      <c r="C115" s="721"/>
      <c r="D115" s="721">
        <f>SUM(D111:D114)</f>
      </c>
      <c r="E115" s="721">
        <f>SUM(E111:E114)</f>
      </c>
      <c r="F115" s="721">
        <f>SUM(F111:F114)</f>
      </c>
      <c r="G115" s="721"/>
      <c r="H115" s="721">
        <f>SUM(H111:H114)</f>
      </c>
      <c r="I115" s="721">
        <f>SUM(I111:I114)</f>
      </c>
      <c r="J115" s="721">
        <f>SUM(J111:J114)</f>
      </c>
      <c r="K115" s="721">
        <f>SUM(K111:K114)</f>
      </c>
      <c r="L115" s="726">
        <f t="shared" si="1"/>
      </c>
      <c r="M115" s="726">
        <f t="shared" si="2"/>
      </c>
      <c r="N115" s="726">
        <f t="shared" si="0"/>
      </c>
      <c r="O115" s="731"/>
      <c r="P115" s="721">
        <f>SUM(P111:P114)</f>
      </c>
      <c r="Q115" s="731"/>
      <c r="R115" s="730"/>
      <c r="S115" s="730"/>
      <c r="T115" s="730"/>
      <c r="U115" s="730"/>
    </row>
    <row hidden="true" r="116">
      <c r="A116" s="710">
        <v>45893</v>
      </c>
      <c r="B116" s="711" t="s">
        <v>771</v>
      </c>
      <c r="C116" s="718" t="s">
        <v>772</v>
      </c>
      <c r="D116" s="716">
        <v>5</v>
      </c>
      <c r="E116" s="711">
        <v>50</v>
      </c>
      <c r="F116" s="711">
        <v>36</v>
      </c>
      <c r="G116" s="711"/>
      <c r="H116" s="711">
        <v>27</v>
      </c>
      <c r="I116" s="711">
        <v>9</v>
      </c>
      <c r="J116" s="719">
        <v>32315.6</v>
      </c>
      <c r="K116" s="719">
        <v>16772.39</v>
      </c>
      <c r="L116" s="714">
        <f t="shared" si="1"/>
      </c>
      <c r="M116" s="714">
        <f t="shared" si="2"/>
      </c>
      <c r="N116" s="714">
        <f t="shared" si="0"/>
      </c>
      <c r="O116" s="715" t="s">
        <v>780</v>
      </c>
      <c r="P116" s="711">
        <v>9</v>
      </c>
      <c r="Q116" s="732"/>
      <c r="R116" s="730"/>
      <c r="S116" s="730"/>
      <c r="T116" s="730"/>
      <c r="U116" s="730"/>
    </row>
    <row hidden="true" r="117">
      <c r="A117" s="710">
        <v>45893</v>
      </c>
      <c r="B117" s="711" t="s">
        <v>781</v>
      </c>
      <c r="C117" s="718" t="s">
        <v>775</v>
      </c>
      <c r="D117" s="711">
        <v>4</v>
      </c>
      <c r="E117" s="711">
        <v>37</v>
      </c>
      <c r="F117" s="711">
        <v>25</v>
      </c>
      <c r="G117" s="711"/>
      <c r="H117" s="711">
        <v>22</v>
      </c>
      <c r="I117" s="711">
        <v>3</v>
      </c>
      <c r="J117" s="727">
        <v>22492</v>
      </c>
      <c r="K117" s="727">
        <v>13571.870000000003</v>
      </c>
      <c r="L117" s="714">
        <f t="shared" si="1"/>
      </c>
      <c r="M117" s="714">
        <f t="shared" si="2"/>
      </c>
      <c r="N117" s="714">
        <f t="shared" si="0"/>
      </c>
      <c r="O117" s="717"/>
      <c r="P117" s="716"/>
      <c r="Q117" s="734"/>
      <c r="R117" s="730"/>
      <c r="S117" s="730"/>
      <c r="T117" s="730"/>
      <c r="U117" s="730"/>
    </row>
    <row hidden="true" r="118">
      <c r="A118" s="710">
        <v>45893</v>
      </c>
      <c r="B118" s="711" t="s">
        <v>774</v>
      </c>
      <c r="C118" s="718" t="s">
        <v>793</v>
      </c>
      <c r="D118" s="711">
        <v>4</v>
      </c>
      <c r="E118" s="711">
        <v>52</v>
      </c>
      <c r="F118" s="711">
        <v>39</v>
      </c>
      <c r="G118" s="711"/>
      <c r="H118" s="711">
        <v>26</v>
      </c>
      <c r="I118" s="711">
        <v>4</v>
      </c>
      <c r="J118" s="727">
        <v>42134.8</v>
      </c>
      <c r="K118" s="727">
        <v>14147.460000000001</v>
      </c>
      <c r="L118" s="714">
        <f t="shared" si="1"/>
      </c>
      <c r="M118" s="714">
        <f t="shared" si="2"/>
      </c>
      <c r="N118" s="714">
        <f t="shared" si="0"/>
      </c>
      <c r="O118" s="717"/>
      <c r="P118" s="716"/>
      <c r="Q118" s="734"/>
      <c r="R118" s="730"/>
      <c r="S118" s="730"/>
      <c r="T118" s="730"/>
      <c r="U118" s="730"/>
    </row>
    <row hidden="true" r="119">
      <c r="A119" s="710">
        <v>45893</v>
      </c>
      <c r="B119" s="711" t="s">
        <v>786</v>
      </c>
      <c r="C119" s="718" t="s">
        <v>796</v>
      </c>
      <c r="D119" s="711">
        <v>5</v>
      </c>
      <c r="E119" s="711">
        <v>78</v>
      </c>
      <c r="F119" s="711">
        <v>56</v>
      </c>
      <c r="G119" s="711"/>
      <c r="H119" s="711">
        <v>43</v>
      </c>
      <c r="I119" s="711">
        <v>8</v>
      </c>
      <c r="J119" s="727">
        <v>55704.36</v>
      </c>
      <c r="K119" s="727">
        <v>22048.93</v>
      </c>
      <c r="L119" s="714">
        <f t="shared" si="1"/>
      </c>
      <c r="M119" s="714">
        <f t="shared" si="2"/>
      </c>
      <c r="N119" s="714">
        <f t="shared" si="0"/>
      </c>
      <c r="O119" s="715" t="s">
        <v>773</v>
      </c>
      <c r="P119" s="711">
        <v>9</v>
      </c>
      <c r="Q119" s="734"/>
      <c r="R119" s="730"/>
      <c r="S119" s="730"/>
      <c r="T119" s="730"/>
      <c r="U119" s="730"/>
    </row>
    <row r="120">
      <c r="A120" s="725">
        <v>45893</v>
      </c>
      <c r="B120" s="721"/>
      <c r="C120" s="721"/>
      <c r="D120" s="721">
        <f>SUM(D116:D119)</f>
      </c>
      <c r="E120" s="721">
        <f>SUM(E116:E119)</f>
      </c>
      <c r="F120" s="721">
        <f>SUM(F116:F119)</f>
      </c>
      <c r="G120" s="721"/>
      <c r="H120" s="721">
        <f>SUM(H116:H119)</f>
      </c>
      <c r="I120" s="721">
        <f>SUM(I116:I119)</f>
      </c>
      <c r="J120" s="721">
        <f>SUM(J116:J119)</f>
      </c>
      <c r="K120" s="721">
        <f>SUM(K116:K119)</f>
      </c>
      <c r="L120" s="726">
        <f t="shared" si="1"/>
      </c>
      <c r="M120" s="726">
        <f t="shared" si="2"/>
      </c>
      <c r="N120" s="726">
        <f t="shared" si="0"/>
      </c>
      <c r="O120" s="731"/>
      <c r="P120" s="721">
        <f>SUM(P116:P119)</f>
      </c>
      <c r="Q120" s="731"/>
      <c r="R120" s="730"/>
      <c r="S120" s="730"/>
      <c r="T120" s="730"/>
      <c r="U120" s="730"/>
    </row>
    <row hidden="true" r="121">
      <c r="A121" s="710">
        <v>45894</v>
      </c>
      <c r="B121" s="711" t="s">
        <v>778</v>
      </c>
      <c r="C121" s="718" t="s">
        <v>772</v>
      </c>
      <c r="D121" s="716">
        <v>5</v>
      </c>
      <c r="E121" s="711">
        <v>42</v>
      </c>
      <c r="F121" s="711">
        <v>30</v>
      </c>
      <c r="G121" s="711"/>
      <c r="H121" s="711">
        <v>20</v>
      </c>
      <c r="I121" s="711">
        <v>5</v>
      </c>
      <c r="J121" s="719">
        <v>24870</v>
      </c>
      <c r="K121" s="719">
        <v>17080.050000000003</v>
      </c>
      <c r="L121" s="714">
        <f t="shared" si="1"/>
      </c>
      <c r="M121" s="714">
        <f t="shared" si="2"/>
      </c>
      <c r="N121" s="714">
        <f t="shared" si="0"/>
      </c>
      <c r="O121" s="715" t="s">
        <v>780</v>
      </c>
      <c r="P121" s="711">
        <v>9</v>
      </c>
      <c r="Q121" s="732"/>
      <c r="R121" s="730"/>
      <c r="S121" s="730"/>
      <c r="T121" s="730"/>
      <c r="U121" s="730"/>
    </row>
    <row hidden="true" r="122">
      <c r="A122" s="710">
        <v>45894</v>
      </c>
      <c r="B122" s="711" t="s">
        <v>774</v>
      </c>
      <c r="C122" s="718" t="s">
        <v>775</v>
      </c>
      <c r="D122" s="711">
        <v>4</v>
      </c>
      <c r="E122" s="711">
        <v>37</v>
      </c>
      <c r="F122" s="711">
        <v>27</v>
      </c>
      <c r="G122" s="711"/>
      <c r="H122" s="711">
        <v>22</v>
      </c>
      <c r="I122" s="711">
        <v>5</v>
      </c>
      <c r="J122" s="727">
        <v>29809.199999999997</v>
      </c>
      <c r="K122" s="727">
        <v>15323.759999999998</v>
      </c>
      <c r="L122" s="714">
        <f t="shared" si="1"/>
      </c>
      <c r="M122" s="714">
        <f t="shared" si="2"/>
      </c>
      <c r="N122" s="714">
        <f t="shared" si="0"/>
      </c>
      <c r="O122" s="717"/>
      <c r="P122" s="716"/>
      <c r="Q122" s="734"/>
      <c r="R122" s="730"/>
      <c r="S122" s="730"/>
      <c r="T122" s="730"/>
      <c r="U122" s="730"/>
    </row>
    <row hidden="true" r="123">
      <c r="A123" s="710">
        <v>45894</v>
      </c>
      <c r="B123" s="711" t="s">
        <v>786</v>
      </c>
      <c r="C123" s="718" t="s">
        <v>793</v>
      </c>
      <c r="D123" s="711">
        <v>4</v>
      </c>
      <c r="E123" s="711">
        <v>20</v>
      </c>
      <c r="F123" s="711">
        <v>14</v>
      </c>
      <c r="G123" s="711"/>
      <c r="H123" s="711">
        <v>8</v>
      </c>
      <c r="I123" s="711">
        <v>2</v>
      </c>
      <c r="J123" s="727">
        <v>17128.600000000002</v>
      </c>
      <c r="K123" s="727">
        <v>13608.789999999999</v>
      </c>
      <c r="L123" s="714">
        <f t="shared" si="1"/>
      </c>
      <c r="M123" s="714">
        <f t="shared" si="2"/>
      </c>
      <c r="N123" s="714">
        <f t="shared" si="0"/>
      </c>
      <c r="O123" s="717"/>
      <c r="P123" s="716"/>
      <c r="Q123" s="734"/>
      <c r="R123" s="730"/>
      <c r="S123" s="730"/>
      <c r="T123" s="730"/>
      <c r="U123" s="730"/>
    </row>
    <row hidden="true" r="124">
      <c r="A124" s="710">
        <v>45894</v>
      </c>
      <c r="B124" s="711" t="s">
        <v>771</v>
      </c>
      <c r="C124" s="718" t="s">
        <v>796</v>
      </c>
      <c r="D124" s="711">
        <v>5</v>
      </c>
      <c r="E124" s="711">
        <v>40</v>
      </c>
      <c r="F124" s="711">
        <v>30</v>
      </c>
      <c r="G124" s="711"/>
      <c r="H124" s="711">
        <v>23</v>
      </c>
      <c r="I124" s="711">
        <v>3</v>
      </c>
      <c r="J124" s="727">
        <v>31544.8</v>
      </c>
      <c r="K124" s="727">
        <v>15212.180000000002</v>
      </c>
      <c r="L124" s="714">
        <f t="shared" si="1"/>
      </c>
      <c r="M124" s="714">
        <f t="shared" si="2"/>
      </c>
      <c r="N124" s="714">
        <f t="shared" si="0"/>
      </c>
      <c r="O124" s="715" t="s">
        <v>773</v>
      </c>
      <c r="P124" s="711">
        <v>9</v>
      </c>
      <c r="Q124" s="734"/>
      <c r="R124" s="730"/>
      <c r="S124" s="730"/>
      <c r="T124" s="730"/>
      <c r="U124" s="730"/>
    </row>
    <row r="125">
      <c r="A125" s="725">
        <v>45894</v>
      </c>
      <c r="B125" s="721"/>
      <c r="C125" s="721"/>
      <c r="D125" s="721">
        <f>SUM(D121:D124)</f>
      </c>
      <c r="E125" s="721">
        <f>SUM(E121:E124)</f>
      </c>
      <c r="F125" s="721">
        <f>SUM(F121:F124)</f>
      </c>
      <c r="G125" s="721"/>
      <c r="H125" s="721">
        <f>SUM(H121:H124)</f>
      </c>
      <c r="I125" s="721">
        <f>SUM(I121:I124)</f>
      </c>
      <c r="J125" s="721">
        <f>SUM(J121:J124)</f>
      </c>
      <c r="K125" s="721">
        <f>SUM(K121:K124)</f>
      </c>
      <c r="L125" s="726">
        <f t="shared" si="1"/>
      </c>
      <c r="M125" s="726">
        <f t="shared" si="2"/>
      </c>
      <c r="N125" s="726">
        <f t="shared" si="0"/>
      </c>
      <c r="O125" s="731"/>
      <c r="P125" s="721">
        <f>SUM(P121:P124)</f>
      </c>
      <c r="Q125" s="731"/>
      <c r="R125" s="730"/>
      <c r="S125" s="730"/>
      <c r="T125" s="730"/>
      <c r="U125" s="730"/>
    </row>
    <row hidden="true" r="126">
      <c r="A126" s="710">
        <v>45895</v>
      </c>
      <c r="B126" s="711" t="s">
        <v>778</v>
      </c>
      <c r="C126" s="718" t="s">
        <v>772</v>
      </c>
      <c r="D126" s="716">
        <v>5</v>
      </c>
      <c r="E126" s="711">
        <v>50</v>
      </c>
      <c r="F126" s="711">
        <v>40</v>
      </c>
      <c r="G126" s="711"/>
      <c r="H126" s="711">
        <v>31</v>
      </c>
      <c r="I126" s="711">
        <v>3</v>
      </c>
      <c r="J126" s="719">
        <v>33030.6</v>
      </c>
      <c r="K126" s="719">
        <v>18273.63</v>
      </c>
      <c r="L126" s="714">
        <f t="shared" si="1"/>
      </c>
      <c r="M126" s="714">
        <f t="shared" si="2"/>
      </c>
      <c r="N126" s="714">
        <f t="shared" si="0"/>
      </c>
      <c r="O126" s="715" t="s">
        <v>780</v>
      </c>
      <c r="P126" s="711">
        <v>9</v>
      </c>
      <c r="Q126" s="732"/>
      <c r="R126" s="730"/>
      <c r="S126" s="730"/>
      <c r="T126" s="730"/>
      <c r="U126" s="730"/>
    </row>
    <row hidden="true" r="127">
      <c r="A127" s="710">
        <v>45895</v>
      </c>
      <c r="B127" s="711" t="s">
        <v>771</v>
      </c>
      <c r="C127" s="718" t="s">
        <v>775</v>
      </c>
      <c r="D127" s="711">
        <v>4</v>
      </c>
      <c r="E127" s="711">
        <v>52</v>
      </c>
      <c r="F127" s="711">
        <v>39</v>
      </c>
      <c r="G127" s="711"/>
      <c r="H127" s="711">
        <v>30</v>
      </c>
      <c r="I127" s="711">
        <v>4</v>
      </c>
      <c r="J127" s="719">
        <v>53057.2</v>
      </c>
      <c r="K127" s="719">
        <v>16370.12</v>
      </c>
      <c r="L127" s="714">
        <f t="shared" si="1"/>
      </c>
      <c r="M127" s="714">
        <f t="shared" si="2"/>
      </c>
      <c r="N127" s="714">
        <f t="shared" si="0"/>
      </c>
      <c r="O127" s="717"/>
      <c r="P127" s="716"/>
      <c r="Q127" s="734"/>
      <c r="R127" s="730"/>
      <c r="S127" s="730"/>
      <c r="T127" s="730"/>
      <c r="U127" s="730"/>
    </row>
    <row hidden="true" r="128">
      <c r="A128" s="710">
        <v>45895</v>
      </c>
      <c r="B128" s="711" t="s">
        <v>774</v>
      </c>
      <c r="C128" s="718" t="s">
        <v>793</v>
      </c>
      <c r="D128" s="711">
        <v>4</v>
      </c>
      <c r="E128" s="711">
        <v>42</v>
      </c>
      <c r="F128" s="711">
        <v>28</v>
      </c>
      <c r="G128" s="711"/>
      <c r="H128" s="711">
        <v>21</v>
      </c>
      <c r="I128" s="711">
        <v>4</v>
      </c>
      <c r="J128" s="719">
        <v>25430.4</v>
      </c>
      <c r="K128" s="719">
        <v>14223.79</v>
      </c>
      <c r="L128" s="714">
        <f t="shared" si="1"/>
      </c>
      <c r="M128" s="714">
        <f t="shared" si="2"/>
      </c>
      <c r="N128" s="714">
        <f t="shared" si="0"/>
      </c>
      <c r="O128" s="717"/>
      <c r="P128" s="716"/>
      <c r="Q128" s="734"/>
      <c r="R128" s="730"/>
      <c r="S128" s="730"/>
      <c r="T128" s="730"/>
      <c r="U128" s="730"/>
    </row>
    <row hidden="true" r="129">
      <c r="A129" s="710">
        <v>45895</v>
      </c>
      <c r="B129" s="711" t="s">
        <v>786</v>
      </c>
      <c r="C129" s="718" t="s">
        <v>796</v>
      </c>
      <c r="D129" s="711">
        <v>5</v>
      </c>
      <c r="E129" s="711">
        <v>78</v>
      </c>
      <c r="F129" s="711">
        <v>59</v>
      </c>
      <c r="G129" s="711"/>
      <c r="H129" s="711">
        <v>41</v>
      </c>
      <c r="I129" s="711">
        <v>6</v>
      </c>
      <c r="J129" s="719">
        <v>69617.6</v>
      </c>
      <c r="K129" s="719">
        <v>30661.05</v>
      </c>
      <c r="L129" s="714">
        <f t="shared" si="1"/>
      </c>
      <c r="M129" s="714">
        <f t="shared" si="2"/>
      </c>
      <c r="N129" s="714">
        <f t="shared" si="0"/>
      </c>
      <c r="O129" s="715" t="s">
        <v>773</v>
      </c>
      <c r="P129" s="711">
        <v>9</v>
      </c>
      <c r="Q129" s="734"/>
      <c r="R129" s="730"/>
      <c r="S129" s="730"/>
      <c r="T129" s="730"/>
      <c r="U129" s="730"/>
    </row>
    <row r="130">
      <c r="A130" s="725">
        <v>45895</v>
      </c>
      <c r="B130" s="721"/>
      <c r="C130" s="721"/>
      <c r="D130" s="721">
        <f>SUM(D126:D129)</f>
      </c>
      <c r="E130" s="721">
        <f>SUM(E126:E129)</f>
      </c>
      <c r="F130" s="721">
        <f>SUM(F126:F129)</f>
      </c>
      <c r="G130" s="721"/>
      <c r="H130" s="721">
        <f>SUM(H126:H129)</f>
      </c>
      <c r="I130" s="721">
        <f>SUM(I126:I129)</f>
      </c>
      <c r="J130" s="721">
        <f>SUM(J126:J129)</f>
      </c>
      <c r="K130" s="721">
        <f>SUM(K126:K129)</f>
      </c>
      <c r="L130" s="726">
        <f t="shared" si="1"/>
      </c>
      <c r="M130" s="726">
        <f t="shared" si="2"/>
      </c>
      <c r="N130" s="726">
        <f t="shared" si="0"/>
      </c>
      <c r="O130" s="731"/>
      <c r="P130" s="721">
        <f>SUM(P126:P129)</f>
      </c>
      <c r="Q130" s="731"/>
      <c r="R130" s="730"/>
      <c r="S130" s="730"/>
      <c r="T130" s="730"/>
      <c r="U130" s="730"/>
    </row>
    <row hidden="true" r="131">
      <c r="A131" s="710">
        <v>45896</v>
      </c>
      <c r="B131" s="711" t="s">
        <v>771</v>
      </c>
      <c r="C131" s="718" t="s">
        <v>797</v>
      </c>
      <c r="D131" s="711">
        <v>6</v>
      </c>
      <c r="E131" s="711">
        <v>44</v>
      </c>
      <c r="F131" s="711">
        <v>30</v>
      </c>
      <c r="G131" s="711"/>
      <c r="H131" s="711">
        <v>23</v>
      </c>
      <c r="I131" s="711">
        <v>2</v>
      </c>
      <c r="J131" s="719">
        <v>30088.600000000002</v>
      </c>
      <c r="K131" s="719">
        <v>22580.14</v>
      </c>
      <c r="L131" s="714">
        <f t="shared" si="1"/>
      </c>
      <c r="M131" s="714">
        <f t="shared" si="2"/>
      </c>
      <c r="N131" s="714">
        <f t="shared" si="0"/>
      </c>
      <c r="O131" s="715" t="s">
        <v>780</v>
      </c>
      <c r="P131" s="711">
        <v>11</v>
      </c>
      <c r="Q131" s="732"/>
      <c r="R131" s="730"/>
      <c r="S131" s="730"/>
      <c r="T131" s="730"/>
      <c r="U131" s="730"/>
    </row>
    <row hidden="true" r="132">
      <c r="A132" s="710">
        <v>45896</v>
      </c>
      <c r="B132" s="711" t="s">
        <v>786</v>
      </c>
      <c r="C132" s="718" t="s">
        <v>798</v>
      </c>
      <c r="D132" s="711">
        <v>4</v>
      </c>
      <c r="E132" s="711">
        <v>42</v>
      </c>
      <c r="F132" s="711">
        <v>30</v>
      </c>
      <c r="G132" s="711"/>
      <c r="H132" s="711">
        <v>20</v>
      </c>
      <c r="I132" s="711">
        <v>6</v>
      </c>
      <c r="J132" s="727">
        <v>32495.800000000003</v>
      </c>
      <c r="K132" s="727">
        <v>14156.720000000001</v>
      </c>
      <c r="L132" s="714">
        <f t="shared" si="1"/>
      </c>
      <c r="M132" s="714">
        <f t="shared" si="2"/>
      </c>
      <c r="N132" s="714">
        <f t="shared" si="0"/>
      </c>
      <c r="O132" s="717"/>
      <c r="P132" s="716"/>
      <c r="Q132" s="734"/>
      <c r="R132" s="730"/>
      <c r="S132" s="730"/>
      <c r="T132" s="730"/>
      <c r="U132" s="730"/>
    </row>
    <row hidden="true" r="133">
      <c r="A133" s="710">
        <v>45896</v>
      </c>
      <c r="B133" s="711" t="s">
        <v>774</v>
      </c>
      <c r="C133" s="718" t="s">
        <v>799</v>
      </c>
      <c r="D133" s="711">
        <v>3</v>
      </c>
      <c r="E133" s="711">
        <v>37</v>
      </c>
      <c r="F133" s="711">
        <v>29</v>
      </c>
      <c r="G133" s="711"/>
      <c r="H133" s="711">
        <v>20</v>
      </c>
      <c r="I133" s="711">
        <v>5</v>
      </c>
      <c r="J133" s="727">
        <v>33795.59999999999</v>
      </c>
      <c r="K133" s="727">
        <v>12364.28</v>
      </c>
      <c r="L133" s="714">
        <f t="shared" si="1"/>
      </c>
      <c r="M133" s="714">
        <f t="shared" si="2"/>
      </c>
      <c r="N133" s="714">
        <f t="shared" si="0"/>
      </c>
      <c r="O133" s="717"/>
      <c r="P133" s="716"/>
      <c r="Q133" s="734"/>
      <c r="R133" s="730"/>
      <c r="S133" s="730"/>
      <c r="T133" s="730"/>
      <c r="U133" s="730"/>
    </row>
    <row hidden="true" r="134">
      <c r="A134" s="710">
        <v>45896</v>
      </c>
      <c r="B134" s="711" t="s">
        <v>778</v>
      </c>
      <c r="C134" s="718" t="s">
        <v>796</v>
      </c>
      <c r="D134" s="711">
        <v>5</v>
      </c>
      <c r="E134" s="711">
        <v>39</v>
      </c>
      <c r="F134" s="711">
        <v>32</v>
      </c>
      <c r="G134" s="711"/>
      <c r="H134" s="711">
        <v>26</v>
      </c>
      <c r="I134" s="711">
        <v>4</v>
      </c>
      <c r="J134" s="727">
        <v>30100.800000000007</v>
      </c>
      <c r="K134" s="727">
        <v>19666.430000000004</v>
      </c>
      <c r="L134" s="714">
        <f t="shared" si="1"/>
      </c>
      <c r="M134" s="714">
        <f t="shared" si="2"/>
      </c>
      <c r="N134" s="714">
        <f t="shared" si="0"/>
      </c>
      <c r="O134" s="715" t="s">
        <v>787</v>
      </c>
      <c r="P134" s="711">
        <v>7</v>
      </c>
      <c r="Q134" s="734"/>
      <c r="R134" s="730"/>
      <c r="S134" s="730"/>
      <c r="T134" s="730"/>
      <c r="U134" s="730"/>
    </row>
    <row r="135">
      <c r="A135" s="725">
        <v>45896</v>
      </c>
      <c r="B135" s="721"/>
      <c r="C135" s="721"/>
      <c r="D135" s="721">
        <f>SUM(D131:D134)</f>
      </c>
      <c r="E135" s="721">
        <f>SUM(E131:E134)</f>
      </c>
      <c r="F135" s="721">
        <f>SUM(F131:F134)</f>
      </c>
      <c r="G135" s="721"/>
      <c r="H135" s="721">
        <f>SUM(H131:H134)</f>
      </c>
      <c r="I135" s="721">
        <f>SUM(I131:I134)</f>
      </c>
      <c r="J135" s="721">
        <f>SUM(J131:J134)</f>
      </c>
      <c r="K135" s="721">
        <f>SUM(K131:K134)</f>
      </c>
      <c r="L135" s="726">
        <f t="shared" si="1"/>
      </c>
      <c r="M135" s="726">
        <f t="shared" si="2"/>
      </c>
      <c r="N135" s="726">
        <f t="shared" si="0"/>
      </c>
      <c r="O135" s="731"/>
      <c r="P135" s="721">
        <f>SUM(P131:P134)</f>
      </c>
      <c r="Q135" s="731"/>
      <c r="R135" s="730"/>
      <c r="S135" s="730"/>
      <c r="T135" s="730"/>
      <c r="U135" s="730"/>
    </row>
    <row hidden="true" r="136">
      <c r="A136" s="710">
        <v>45897</v>
      </c>
      <c r="B136" s="711" t="s">
        <v>774</v>
      </c>
      <c r="C136" s="718" t="s">
        <v>783</v>
      </c>
      <c r="D136" s="711">
        <v>4</v>
      </c>
      <c r="E136" s="711">
        <v>30</v>
      </c>
      <c r="F136" s="711">
        <v>24</v>
      </c>
      <c r="G136" s="711"/>
      <c r="H136" s="711">
        <v>17</v>
      </c>
      <c r="I136" s="711">
        <v>3</v>
      </c>
      <c r="J136" s="719">
        <v>17692</v>
      </c>
      <c r="K136" s="719">
        <v>13981.82</v>
      </c>
      <c r="L136" s="714">
        <f t="shared" si="1"/>
      </c>
      <c r="M136" s="714">
        <f t="shared" si="2"/>
      </c>
      <c r="N136" s="714">
        <f t="shared" si="0"/>
      </c>
      <c r="O136" s="715" t="s">
        <v>780</v>
      </c>
      <c r="P136" s="711">
        <v>9</v>
      </c>
      <c r="Q136" s="732"/>
      <c r="R136" s="730"/>
      <c r="S136" s="730"/>
      <c r="T136" s="730"/>
      <c r="U136" s="730"/>
    </row>
    <row hidden="true" r="137">
      <c r="A137" s="710">
        <v>45897</v>
      </c>
      <c r="B137" s="711" t="s">
        <v>781</v>
      </c>
      <c r="C137" s="718" t="s">
        <v>784</v>
      </c>
      <c r="D137" s="711">
        <v>5</v>
      </c>
      <c r="E137" s="711">
        <v>60</v>
      </c>
      <c r="F137" s="711">
        <v>44</v>
      </c>
      <c r="G137" s="711"/>
      <c r="H137" s="711">
        <v>33</v>
      </c>
      <c r="I137" s="711">
        <v>11</v>
      </c>
      <c r="J137" s="727">
        <v>41508.399999999994</v>
      </c>
      <c r="K137" s="727">
        <v>18127.72</v>
      </c>
      <c r="L137" s="714">
        <f t="shared" si="1"/>
      </c>
      <c r="M137" s="714">
        <f t="shared" si="2"/>
      </c>
      <c r="N137" s="714">
        <f t="shared" si="0"/>
      </c>
      <c r="O137" s="717"/>
      <c r="P137" s="716"/>
      <c r="Q137" s="734"/>
      <c r="R137" s="730"/>
      <c r="S137" s="730"/>
      <c r="T137" s="730"/>
      <c r="U137" s="730"/>
    </row>
    <row hidden="true" r="138">
      <c r="A138" s="710">
        <v>45897</v>
      </c>
      <c r="B138" s="711" t="s">
        <v>786</v>
      </c>
      <c r="C138" s="718" t="s">
        <v>793</v>
      </c>
      <c r="D138" s="711">
        <v>4</v>
      </c>
      <c r="E138" s="711">
        <v>27</v>
      </c>
      <c r="F138" s="711">
        <v>20</v>
      </c>
      <c r="G138" s="711"/>
      <c r="H138" s="711">
        <v>15</v>
      </c>
      <c r="I138" s="711">
        <v>3</v>
      </c>
      <c r="J138" s="727">
        <v>22621.200000000004</v>
      </c>
      <c r="K138" s="719">
        <v>14204.809999999998</v>
      </c>
      <c r="L138" s="714">
        <f t="shared" si="1"/>
      </c>
      <c r="M138" s="714">
        <f t="shared" si="2"/>
      </c>
      <c r="N138" s="714">
        <f t="shared" si="0"/>
      </c>
      <c r="O138" s="717"/>
      <c r="P138" s="716"/>
      <c r="Q138" s="734"/>
      <c r="R138" s="730"/>
      <c r="S138" s="730"/>
      <c r="T138" s="730"/>
      <c r="U138" s="730"/>
    </row>
    <row hidden="true" r="139">
      <c r="A139" s="710">
        <v>45897</v>
      </c>
      <c r="B139" s="711" t="s">
        <v>771</v>
      </c>
      <c r="C139" s="718" t="s">
        <v>796</v>
      </c>
      <c r="D139" s="711">
        <v>5</v>
      </c>
      <c r="E139" s="711">
        <v>32</v>
      </c>
      <c r="F139" s="711">
        <v>23</v>
      </c>
      <c r="G139" s="711"/>
      <c r="H139" s="711">
        <v>15</v>
      </c>
      <c r="I139" s="711">
        <v>2</v>
      </c>
      <c r="J139" s="727">
        <v>25714.600000000006</v>
      </c>
      <c r="K139" s="727">
        <v>18169.36</v>
      </c>
      <c r="L139" s="714">
        <f t="shared" si="1"/>
      </c>
      <c r="M139" s="714">
        <f t="shared" si="2"/>
      </c>
      <c r="N139" s="714">
        <f t="shared" si="0"/>
      </c>
      <c r="O139" s="715" t="s">
        <v>787</v>
      </c>
      <c r="P139" s="711">
        <v>9</v>
      </c>
      <c r="Q139" s="734"/>
      <c r="R139" s="730"/>
      <c r="S139" s="730"/>
      <c r="T139" s="730"/>
      <c r="U139" s="730"/>
    </row>
    <row r="140">
      <c r="A140" s="725">
        <v>45897</v>
      </c>
      <c r="B140" s="721"/>
      <c r="C140" s="721"/>
      <c r="D140" s="721">
        <f>SUM(D136:D139)</f>
      </c>
      <c r="E140" s="721">
        <f>SUM(E136:E139)</f>
      </c>
      <c r="F140" s="721">
        <f>SUM(F136:F139)</f>
      </c>
      <c r="G140" s="721"/>
      <c r="H140" s="721">
        <f>SUM(H136:H139)</f>
      </c>
      <c r="I140" s="721">
        <f>SUM(I136:I139)</f>
      </c>
      <c r="J140" s="721">
        <f>SUM(J136:J139)</f>
      </c>
      <c r="K140" s="721">
        <f>SUM(K136:K139)</f>
      </c>
      <c r="L140" s="726">
        <f t="shared" si="1"/>
      </c>
      <c r="M140" s="726">
        <f t="shared" si="2"/>
      </c>
      <c r="N140" s="726">
        <f t="shared" si="0"/>
      </c>
      <c r="O140" s="731"/>
      <c r="P140" s="721">
        <f>SUM(P136:P139)</f>
      </c>
      <c r="Q140" s="731"/>
      <c r="R140" s="730"/>
      <c r="S140" s="730"/>
      <c r="T140" s="730"/>
      <c r="U140" s="730"/>
    </row>
    <row hidden="true" r="141">
      <c r="A141" s="710">
        <v>45898</v>
      </c>
      <c r="B141" s="711" t="s">
        <v>781</v>
      </c>
      <c r="C141" s="718" t="s">
        <v>772</v>
      </c>
      <c r="D141" s="711">
        <v>5</v>
      </c>
      <c r="E141" s="711">
        <v>42</v>
      </c>
      <c r="F141" s="711">
        <v>33</v>
      </c>
      <c r="G141" s="711"/>
      <c r="H141" s="711">
        <v>22</v>
      </c>
      <c r="I141" s="711">
        <v>5</v>
      </c>
      <c r="J141" s="719">
        <v>27982.799999999996</v>
      </c>
      <c r="K141" s="719">
        <v>17251.510000000002</v>
      </c>
      <c r="L141" s="714">
        <f t="shared" si="1"/>
      </c>
      <c r="M141" s="714">
        <f t="shared" si="2"/>
      </c>
      <c r="N141" s="714">
        <f t="shared" si="0"/>
      </c>
      <c r="O141" s="715" t="s">
        <v>780</v>
      </c>
      <c r="P141" s="711">
        <v>9</v>
      </c>
      <c r="Q141" s="732"/>
      <c r="R141" s="730"/>
      <c r="S141" s="730"/>
      <c r="T141" s="730"/>
      <c r="U141" s="730"/>
    </row>
    <row hidden="true" r="142">
      <c r="A142" s="710">
        <v>45898</v>
      </c>
      <c r="B142" s="711" t="s">
        <v>774</v>
      </c>
      <c r="C142" s="718" t="s">
        <v>775</v>
      </c>
      <c r="D142" s="711">
        <v>4</v>
      </c>
      <c r="E142" s="711">
        <v>35</v>
      </c>
      <c r="F142" s="711">
        <v>22</v>
      </c>
      <c r="G142" s="711"/>
      <c r="H142" s="711">
        <v>18</v>
      </c>
      <c r="I142" s="711">
        <v>2</v>
      </c>
      <c r="J142" s="727">
        <v>22520.8</v>
      </c>
      <c r="K142" s="727">
        <v>13946.23</v>
      </c>
      <c r="L142" s="714">
        <f t="shared" si="1"/>
      </c>
      <c r="M142" s="714">
        <f t="shared" si="2"/>
      </c>
      <c r="N142" s="714">
        <f t="shared" si="0"/>
      </c>
      <c r="O142" s="717"/>
      <c r="P142" s="716"/>
      <c r="Q142" s="734"/>
      <c r="R142" s="730"/>
      <c r="S142" s="730"/>
      <c r="T142" s="730"/>
      <c r="U142" s="730"/>
    </row>
    <row hidden="true" r="143">
      <c r="A143" s="710">
        <v>45898</v>
      </c>
      <c r="B143" s="711" t="s">
        <v>771</v>
      </c>
      <c r="C143" s="718" t="s">
        <v>793</v>
      </c>
      <c r="D143" s="711">
        <v>4</v>
      </c>
      <c r="E143" s="711">
        <v>27</v>
      </c>
      <c r="F143" s="711">
        <v>18</v>
      </c>
      <c r="G143" s="711"/>
      <c r="H143" s="711">
        <v>14</v>
      </c>
      <c r="I143" s="711">
        <v>1</v>
      </c>
      <c r="J143" s="727">
        <v>13517.199999999999</v>
      </c>
      <c r="K143" s="719">
        <v>12535.399999999998</v>
      </c>
      <c r="L143" s="714">
        <f t="shared" si="1"/>
      </c>
      <c r="M143" s="714">
        <f t="shared" si="2"/>
      </c>
      <c r="N143" s="714">
        <f t="shared" si="0"/>
      </c>
      <c r="O143" s="717"/>
      <c r="P143" s="716"/>
      <c r="Q143" s="734"/>
      <c r="R143" s="730"/>
      <c r="S143" s="730"/>
      <c r="T143" s="730"/>
      <c r="U143" s="730"/>
    </row>
    <row hidden="true" r="144">
      <c r="A144" s="710">
        <v>45898</v>
      </c>
      <c r="B144" s="711" t="s">
        <v>786</v>
      </c>
      <c r="C144" s="718" t="s">
        <v>796</v>
      </c>
      <c r="D144" s="711">
        <v>5</v>
      </c>
      <c r="E144" s="711">
        <v>52</v>
      </c>
      <c r="F144" s="711">
        <v>41</v>
      </c>
      <c r="G144" s="711"/>
      <c r="H144" s="711">
        <v>25</v>
      </c>
      <c r="I144" s="711">
        <v>7</v>
      </c>
      <c r="J144" s="727">
        <v>45404.6</v>
      </c>
      <c r="K144" s="727">
        <v>15780.41</v>
      </c>
      <c r="L144" s="714">
        <f t="shared" si="1"/>
      </c>
      <c r="M144" s="714">
        <f t="shared" si="2"/>
      </c>
      <c r="N144" s="714">
        <f t="shared" si="0"/>
      </c>
      <c r="O144" s="715" t="s">
        <v>773</v>
      </c>
      <c r="P144" s="711">
        <v>9</v>
      </c>
      <c r="Q144" s="734"/>
      <c r="R144" s="730"/>
      <c r="S144" s="730"/>
      <c r="T144" s="730"/>
      <c r="U144" s="730"/>
    </row>
    <row r="145">
      <c r="A145" s="725">
        <v>45898</v>
      </c>
      <c r="B145" s="721"/>
      <c r="C145" s="721"/>
      <c r="D145" s="721">
        <f>SUM(D141:D144)</f>
      </c>
      <c r="E145" s="721">
        <f>SUM(E141:E144)</f>
      </c>
      <c r="F145" s="721">
        <f>SUM(F141:F144)</f>
      </c>
      <c r="G145" s="721"/>
      <c r="H145" s="721">
        <f>SUM(H141:H144)</f>
      </c>
      <c r="I145" s="721">
        <f>SUM(I141:I144)</f>
      </c>
      <c r="J145" s="721">
        <f>SUM(J141:J144)</f>
      </c>
      <c r="K145" s="721">
        <f>SUM(K141:K144)</f>
      </c>
      <c r="L145" s="726">
        <f t="shared" si="1"/>
      </c>
      <c r="M145" s="726">
        <f t="shared" si="2"/>
      </c>
      <c r="N145" s="726">
        <f t="shared" si="0"/>
      </c>
      <c r="O145" s="731"/>
      <c r="P145" s="721">
        <f>SUM(P141:P144)</f>
      </c>
      <c r="Q145" s="731"/>
      <c r="R145" s="730"/>
      <c r="S145" s="730"/>
      <c r="T145" s="730"/>
      <c r="U145" s="730"/>
    </row>
    <row hidden="true" r="146">
      <c r="A146" s="710">
        <v>45899</v>
      </c>
      <c r="B146" s="711" t="s">
        <v>778</v>
      </c>
      <c r="C146" s="718" t="s">
        <v>783</v>
      </c>
      <c r="D146" s="711">
        <v>4</v>
      </c>
      <c r="E146" s="711">
        <v>42</v>
      </c>
      <c r="F146" s="711">
        <v>31</v>
      </c>
      <c r="G146" s="711">
        <v>17</v>
      </c>
      <c r="H146" s="711">
        <v>24</v>
      </c>
      <c r="I146" s="711">
        <v>9</v>
      </c>
      <c r="J146" s="719">
        <v>33019.6</v>
      </c>
      <c r="K146" s="719">
        <v>14178.310000000001</v>
      </c>
      <c r="L146" s="714">
        <f t="shared" si="1"/>
      </c>
      <c r="M146" s="714">
        <f t="shared" si="2"/>
      </c>
      <c r="N146" s="714">
        <f t="shared" si="0"/>
      </c>
      <c r="O146" s="715" t="s">
        <v>780</v>
      </c>
      <c r="P146" s="711">
        <v>9</v>
      </c>
      <c r="Q146" s="732"/>
      <c r="R146" s="730"/>
      <c r="S146" s="730"/>
      <c r="T146" s="730"/>
      <c r="U146" s="730"/>
    </row>
    <row hidden="true" r="147">
      <c r="A147" s="710">
        <v>45899</v>
      </c>
      <c r="B147" s="711" t="s">
        <v>781</v>
      </c>
      <c r="C147" s="718" t="s">
        <v>784</v>
      </c>
      <c r="D147" s="711">
        <v>5</v>
      </c>
      <c r="E147" s="711">
        <v>76</v>
      </c>
      <c r="F147" s="711">
        <v>62</v>
      </c>
      <c r="G147" s="711">
        <v>30</v>
      </c>
      <c r="H147" s="711">
        <v>48</v>
      </c>
      <c r="I147" s="711">
        <v>10</v>
      </c>
      <c r="J147" s="719">
        <v>61035.6</v>
      </c>
      <c r="K147" s="727">
        <v>19577.4</v>
      </c>
      <c r="L147" s="714">
        <f t="shared" si="1"/>
      </c>
      <c r="M147" s="714">
        <f t="shared" si="2"/>
      </c>
      <c r="N147" s="714">
        <f t="shared" si="0"/>
      </c>
      <c r="O147" s="717"/>
      <c r="P147" s="716"/>
      <c r="Q147" s="734"/>
      <c r="R147" s="730"/>
      <c r="S147" s="730"/>
      <c r="T147" s="730"/>
      <c r="U147" s="730"/>
    </row>
    <row hidden="true" r="148">
      <c r="A148" s="710">
        <v>45899</v>
      </c>
      <c r="B148" s="711" t="s">
        <v>771</v>
      </c>
      <c r="C148" s="718" t="s">
        <v>793</v>
      </c>
      <c r="D148" s="711">
        <v>4</v>
      </c>
      <c r="E148" s="711">
        <v>33</v>
      </c>
      <c r="F148" s="711">
        <v>23</v>
      </c>
      <c r="G148" s="711">
        <v>14</v>
      </c>
      <c r="H148" s="711">
        <v>19</v>
      </c>
      <c r="I148" s="711">
        <v>6</v>
      </c>
      <c r="J148" s="727">
        <v>21079.199999999997</v>
      </c>
      <c r="K148" s="719">
        <v>15283.960000000001</v>
      </c>
      <c r="L148" s="714">
        <f t="shared" si="1"/>
      </c>
      <c r="M148" s="714">
        <f t="shared" si="2"/>
      </c>
      <c r="N148" s="714">
        <f t="shared" si="0"/>
      </c>
      <c r="O148" s="717"/>
      <c r="P148" s="716"/>
      <c r="Q148" s="734"/>
      <c r="R148" s="730"/>
      <c r="S148" s="730"/>
      <c r="T148" s="730"/>
      <c r="U148" s="730"/>
    </row>
    <row hidden="true" r="149">
      <c r="A149" s="710">
        <v>45899</v>
      </c>
      <c r="B149" s="711" t="s">
        <v>786</v>
      </c>
      <c r="C149" s="718" t="s">
        <v>796</v>
      </c>
      <c r="D149" s="711">
        <v>5</v>
      </c>
      <c r="E149" s="711">
        <v>33</v>
      </c>
      <c r="F149" s="711">
        <v>21</v>
      </c>
      <c r="G149" s="711">
        <v>15</v>
      </c>
      <c r="H149" s="711">
        <v>12</v>
      </c>
      <c r="I149" s="711">
        <v>1</v>
      </c>
      <c r="J149" s="727">
        <v>30588.000000000004</v>
      </c>
      <c r="K149" s="727">
        <v>21457.640000000003</v>
      </c>
      <c r="L149" s="714">
        <f t="shared" si="1"/>
      </c>
      <c r="M149" s="714">
        <f t="shared" si="2"/>
      </c>
      <c r="N149" s="714">
        <f t="shared" si="0"/>
      </c>
      <c r="O149" s="715" t="s">
        <v>773</v>
      </c>
      <c r="P149" s="711">
        <v>9</v>
      </c>
      <c r="Q149" s="734"/>
      <c r="R149" s="730"/>
      <c r="S149" s="730"/>
      <c r="T149" s="730"/>
      <c r="U149" s="730"/>
    </row>
    <row r="150">
      <c r="A150" s="725">
        <v>45899</v>
      </c>
      <c r="B150" s="721"/>
      <c r="C150" s="721"/>
      <c r="D150" s="721">
        <f>SUM(D146:D149)</f>
      </c>
      <c r="E150" s="721">
        <f>SUM(E146:E149)</f>
      </c>
      <c r="F150" s="721">
        <f>SUM(F146:F149)</f>
      </c>
      <c r="G150" s="721">
        <f>SUM(G146:G149)</f>
      </c>
      <c r="H150" s="721">
        <f>SUM(H146:H149)</f>
      </c>
      <c r="I150" s="721">
        <f>SUM(I146:I149)</f>
      </c>
      <c r="J150" s="721">
        <f>SUM(J146:J149)</f>
      </c>
      <c r="K150" s="721">
        <f>SUM(K146:K149)</f>
      </c>
      <c r="L150" s="726">
        <f t="shared" si="1"/>
      </c>
      <c r="M150" s="726">
        <f t="shared" si="2"/>
      </c>
      <c r="N150" s="726">
        <f t="shared" si="0"/>
      </c>
      <c r="O150" s="731"/>
      <c r="P150" s="721">
        <f>SUM(P146:P149)</f>
      </c>
      <c r="Q150" s="731"/>
      <c r="R150" s="730"/>
      <c r="S150" s="730"/>
      <c r="T150" s="730"/>
      <c r="U150" s="730"/>
    </row>
    <row hidden="true" r="151">
      <c r="A151" s="710">
        <v>45900</v>
      </c>
      <c r="B151" s="711" t="s">
        <v>781</v>
      </c>
      <c r="C151" s="718" t="s">
        <v>783</v>
      </c>
      <c r="D151" s="711">
        <v>3.5</v>
      </c>
      <c r="E151" s="711">
        <v>48</v>
      </c>
      <c r="F151" s="711">
        <v>42</v>
      </c>
      <c r="G151" s="711">
        <v>22</v>
      </c>
      <c r="H151" s="711">
        <v>38</v>
      </c>
      <c r="I151" s="711">
        <v>4</v>
      </c>
      <c r="J151" s="719">
        <v>38457.2</v>
      </c>
      <c r="K151" s="719">
        <v>14184.119999999999</v>
      </c>
      <c r="L151" s="714">
        <f t="shared" si="1"/>
      </c>
      <c r="M151" s="714">
        <f t="shared" si="2"/>
      </c>
      <c r="N151" s="714">
        <f t="shared" si="0"/>
      </c>
      <c r="O151" s="715" t="s">
        <v>800</v>
      </c>
      <c r="P151" s="711" t="s">
        <v>801</v>
      </c>
      <c r="Q151" s="732"/>
      <c r="R151" s="730"/>
      <c r="S151" s="730"/>
      <c r="T151" s="730"/>
      <c r="U151" s="730"/>
    </row>
    <row hidden="true" r="152">
      <c r="A152" s="710">
        <v>45900</v>
      </c>
      <c r="B152" s="711" t="s">
        <v>771</v>
      </c>
      <c r="C152" s="718" t="s">
        <v>784</v>
      </c>
      <c r="D152" s="711">
        <v>5</v>
      </c>
      <c r="E152" s="711">
        <v>46</v>
      </c>
      <c r="F152" s="711">
        <v>31</v>
      </c>
      <c r="G152" s="711">
        <v>25</v>
      </c>
      <c r="H152" s="711">
        <v>19</v>
      </c>
      <c r="I152" s="711">
        <v>2</v>
      </c>
      <c r="J152" s="727">
        <v>32961</v>
      </c>
      <c r="K152" s="727">
        <v>18207.26</v>
      </c>
      <c r="L152" s="714">
        <f t="shared" si="1"/>
      </c>
      <c r="M152" s="714">
        <f t="shared" si="2"/>
      </c>
      <c r="N152" s="714">
        <f t="shared" si="0"/>
      </c>
      <c r="O152" s="717" t="s">
        <v>780</v>
      </c>
      <c r="P152" s="711">
        <v>6</v>
      </c>
      <c r="Q152" s="734"/>
      <c r="R152" s="730"/>
      <c r="S152" s="730"/>
      <c r="T152" s="730"/>
      <c r="U152" s="730"/>
    </row>
    <row hidden="true" r="153">
      <c r="A153" s="710">
        <v>45900</v>
      </c>
      <c r="B153" s="711" t="s">
        <v>786</v>
      </c>
      <c r="C153" s="718" t="s">
        <v>793</v>
      </c>
      <c r="D153" s="711">
        <v>4</v>
      </c>
      <c r="E153" s="711">
        <v>26</v>
      </c>
      <c r="F153" s="711">
        <v>16</v>
      </c>
      <c r="G153" s="711">
        <v>13</v>
      </c>
      <c r="H153" s="711">
        <v>10</v>
      </c>
      <c r="I153" s="711">
        <v>1</v>
      </c>
      <c r="J153" s="727">
        <v>19602</v>
      </c>
      <c r="K153" s="719">
        <v>14875.34</v>
      </c>
      <c r="L153" s="714">
        <f t="shared" si="1"/>
      </c>
      <c r="M153" s="714">
        <f t="shared" si="2"/>
      </c>
      <c r="N153" s="714">
        <f t="shared" si="0"/>
      </c>
      <c r="O153" s="717"/>
      <c r="P153" s="716"/>
      <c r="Q153" s="734"/>
      <c r="R153" s="730"/>
      <c r="S153" s="730"/>
      <c r="T153" s="730"/>
      <c r="U153" s="730"/>
    </row>
    <row hidden="true" r="154">
      <c r="A154" s="710">
        <v>45900</v>
      </c>
      <c r="B154" s="711" t="s">
        <v>778</v>
      </c>
      <c r="C154" s="718" t="s">
        <v>802</v>
      </c>
      <c r="D154" s="711">
        <v>3</v>
      </c>
      <c r="E154" s="711">
        <v>36</v>
      </c>
      <c r="F154" s="711">
        <v>29</v>
      </c>
      <c r="G154" s="711">
        <v>18</v>
      </c>
      <c r="H154" s="711">
        <v>25</v>
      </c>
      <c r="I154" s="711">
        <v>3</v>
      </c>
      <c r="J154" s="727">
        <v>20817.4</v>
      </c>
      <c r="K154" s="727">
        <v>10778.98</v>
      </c>
      <c r="L154" s="714">
        <f t="shared" si="1"/>
      </c>
      <c r="M154" s="714">
        <f t="shared" si="2"/>
      </c>
      <c r="N154" s="714">
        <f t="shared" si="0"/>
      </c>
      <c r="O154" s="715" t="s">
        <v>773</v>
      </c>
      <c r="P154" s="711">
        <v>8</v>
      </c>
      <c r="Q154" s="734"/>
      <c r="R154" s="730"/>
      <c r="S154" s="730"/>
      <c r="T154" s="730"/>
      <c r="U154" s="730"/>
    </row>
    <row r="155">
      <c r="A155" s="725">
        <v>45900</v>
      </c>
      <c r="B155" s="721"/>
      <c r="C155" s="721"/>
      <c r="D155" s="721">
        <f>SUM(D151:D154)</f>
      </c>
      <c r="E155" s="721">
        <f>SUM(E151:E154)</f>
      </c>
      <c r="F155" s="721">
        <f>SUM(F151:F154)</f>
      </c>
      <c r="G155" s="721">
        <f>SUM(G151:G154)</f>
      </c>
      <c r="H155" s="721">
        <f>SUM(H151:H154)</f>
      </c>
      <c r="I155" s="721">
        <f>SUM(I151:I154)</f>
      </c>
      <c r="J155" s="721">
        <f>SUM(J151:J154)</f>
      </c>
      <c r="K155" s="721">
        <f>SUM(K151:K154)</f>
      </c>
      <c r="L155" s="726">
        <f t="shared" si="1"/>
      </c>
      <c r="M155" s="726">
        <f t="shared" si="2"/>
      </c>
      <c r="N155" s="726">
        <f t="shared" si="0"/>
      </c>
      <c r="O155" s="731"/>
      <c r="P155" s="721">
        <f>SUM(P151:P154)</f>
      </c>
      <c r="Q155" s="731"/>
      <c r="R155" s="730"/>
      <c r="S155" s="730"/>
      <c r="T155" s="730"/>
      <c r="U155" s="730"/>
    </row>
    <row hidden="true" r="156">
      <c r="A156" s="735"/>
      <c r="B156" s="736"/>
      <c r="C156" s="736"/>
      <c r="D156" s="736"/>
      <c r="E156" s="736"/>
      <c r="F156" s="736"/>
      <c r="G156" s="736"/>
      <c r="H156" s="736"/>
      <c r="I156" s="736"/>
      <c r="J156" s="736"/>
      <c r="K156" s="736"/>
      <c r="L156" s="714"/>
      <c r="M156" s="737"/>
      <c r="N156" s="737"/>
      <c r="O156" s="738"/>
      <c r="P156" s="736"/>
      <c r="Q156" s="739"/>
      <c r="R156" s="730"/>
      <c r="S156" s="730"/>
      <c r="T156" s="730"/>
      <c r="U156" s="730"/>
    </row>
    <row hidden="true" r="157">
      <c r="A157" s="735"/>
      <c r="B157" s="736"/>
      <c r="C157" s="736"/>
      <c r="D157" s="736"/>
      <c r="E157" s="736"/>
      <c r="F157" s="736"/>
      <c r="G157" s="736"/>
      <c r="H157" s="736"/>
      <c r="I157" s="736"/>
      <c r="J157" s="736"/>
      <c r="K157" s="736"/>
      <c r="L157" s="740"/>
      <c r="M157" s="737"/>
      <c r="N157" s="737"/>
      <c r="O157" s="738"/>
      <c r="P157" s="736"/>
      <c r="Q157" s="739"/>
      <c r="R157" s="730"/>
      <c r="S157" s="730"/>
      <c r="T157" s="730"/>
      <c r="U157" s="730"/>
    </row>
    <row hidden="true" r="158">
      <c r="A158" s="735"/>
      <c r="B158" s="736"/>
      <c r="C158" s="736"/>
      <c r="D158" s="736"/>
      <c r="E158" s="736"/>
      <c r="F158" s="736"/>
      <c r="G158" s="736"/>
      <c r="H158" s="736"/>
      <c r="I158" s="736"/>
      <c r="J158" s="736"/>
      <c r="K158" s="736"/>
      <c r="L158" s="740"/>
      <c r="M158" s="737"/>
      <c r="N158" s="737"/>
      <c r="O158" s="738"/>
      <c r="P158" s="736"/>
      <c r="Q158" s="739"/>
      <c r="R158" s="730"/>
      <c r="S158" s="730"/>
      <c r="T158" s="730"/>
      <c r="U158" s="730"/>
    </row>
    <row hidden="true" r="159">
      <c r="A159" s="735"/>
      <c r="B159" s="736"/>
      <c r="C159" s="736"/>
      <c r="D159" s="736"/>
      <c r="E159" s="736"/>
      <c r="F159" s="736"/>
      <c r="G159" s="736"/>
      <c r="H159" s="736"/>
      <c r="I159" s="736"/>
      <c r="J159" s="736"/>
      <c r="K159" s="736"/>
      <c r="L159" s="740"/>
      <c r="M159" s="737"/>
      <c r="N159" s="737"/>
      <c r="O159" s="738"/>
      <c r="P159" s="736"/>
      <c r="Q159" s="739"/>
      <c r="R159" s="730"/>
      <c r="S159" s="730"/>
      <c r="T159" s="730"/>
      <c r="U159" s="730"/>
    </row>
    <row hidden="true" r="160">
      <c r="A160" s="735"/>
      <c r="B160" s="736"/>
      <c r="C160" s="736"/>
      <c r="D160" s="736"/>
      <c r="E160" s="736"/>
      <c r="F160" s="736"/>
      <c r="G160" s="736"/>
      <c r="H160" s="736"/>
      <c r="I160" s="736"/>
      <c r="J160" s="736"/>
      <c r="K160" s="736"/>
      <c r="L160" s="714"/>
      <c r="M160" s="737"/>
      <c r="N160" s="737"/>
      <c r="O160" s="738"/>
      <c r="P160" s="736"/>
      <c r="Q160" s="739"/>
      <c r="R160" s="730"/>
      <c r="S160" s="730"/>
      <c r="T160" s="730"/>
      <c r="U160" s="730"/>
    </row>
    <row hidden="true" r="161">
      <c r="A161" s="735"/>
      <c r="B161" s="736"/>
      <c r="C161" s="736"/>
      <c r="D161" s="736"/>
      <c r="E161" s="736"/>
      <c r="F161" s="741"/>
      <c r="G161" s="736"/>
      <c r="H161" s="736"/>
      <c r="I161" s="736"/>
      <c r="J161" s="736"/>
      <c r="K161" s="736"/>
      <c r="L161" s="740"/>
      <c r="M161" s="737"/>
      <c r="N161" s="737"/>
      <c r="O161" s="738"/>
      <c r="P161" s="736"/>
      <c r="Q161" s="739"/>
      <c r="R161" s="730"/>
      <c r="S161" s="730"/>
      <c r="T161" s="730"/>
      <c r="U161" s="730"/>
    </row>
    <row hidden="true" r="162">
      <c r="A162" s="735"/>
      <c r="B162" s="736"/>
      <c r="C162" s="736"/>
      <c r="D162" s="736"/>
      <c r="E162" s="736"/>
      <c r="F162" s="742"/>
      <c r="G162" s="742"/>
      <c r="H162" s="742"/>
      <c r="I162" s="742"/>
      <c r="J162" s="741"/>
      <c r="K162" s="741"/>
      <c r="L162" s="714"/>
      <c r="M162" s="737"/>
      <c r="N162" s="737"/>
      <c r="O162" s="738"/>
      <c r="P162" s="736"/>
      <c r="Q162" s="739"/>
      <c r="R162" s="730"/>
      <c r="S162" s="730"/>
      <c r="T162" s="730"/>
      <c r="U162" s="730"/>
    </row>
    <row hidden="true" r="163">
      <c r="A163" s="735"/>
      <c r="B163" s="736"/>
      <c r="C163" s="736"/>
      <c r="D163" s="736"/>
      <c r="E163" s="736"/>
      <c r="F163" s="742"/>
      <c r="G163" s="742"/>
      <c r="H163" s="742"/>
      <c r="I163" s="742"/>
      <c r="J163" s="743"/>
      <c r="K163" s="743"/>
      <c r="L163" s="740"/>
      <c r="M163" s="737"/>
      <c r="N163" s="737"/>
      <c r="O163" s="738"/>
      <c r="P163" s="736"/>
      <c r="Q163" s="739"/>
      <c r="R163" s="730"/>
      <c r="S163" s="730"/>
      <c r="T163" s="730"/>
      <c r="U163" s="730"/>
    </row>
    <row hidden="true" r="164">
      <c r="A164" s="735"/>
      <c r="B164" s="736"/>
      <c r="C164" s="736"/>
      <c r="D164" s="744"/>
      <c r="E164" s="744"/>
      <c r="F164" s="745"/>
      <c r="G164" s="745"/>
      <c r="H164" s="745"/>
      <c r="I164" s="745"/>
      <c r="J164" s="743"/>
      <c r="K164" s="743"/>
      <c r="L164" s="714"/>
      <c r="M164" s="737"/>
      <c r="N164" s="737"/>
      <c r="O164" s="738"/>
      <c r="P164" s="736"/>
      <c r="Q164" s="739"/>
      <c r="R164" s="730"/>
      <c r="S164" s="730"/>
      <c r="T164" s="730"/>
      <c r="U164" s="730"/>
    </row>
    <row hidden="true" r="165">
      <c r="A165" s="735"/>
      <c r="B165" s="736"/>
      <c r="C165" s="736"/>
      <c r="D165" s="736"/>
      <c r="E165" s="736"/>
      <c r="F165" s="742"/>
      <c r="G165" s="742"/>
      <c r="H165" s="742"/>
      <c r="I165" s="742"/>
      <c r="J165" s="743"/>
      <c r="K165" s="743"/>
      <c r="L165" s="714"/>
      <c r="M165" s="737"/>
      <c r="N165" s="737"/>
      <c r="O165" s="738"/>
      <c r="P165" s="736"/>
      <c r="Q165" s="739"/>
      <c r="R165" s="730"/>
      <c r="S165" s="730"/>
      <c r="T165" s="730"/>
      <c r="U165" s="730"/>
    </row>
    <row hidden="true" r="166">
      <c r="A166" s="735"/>
      <c r="B166" s="736"/>
      <c r="C166" s="736"/>
      <c r="D166" s="736"/>
      <c r="E166" s="736"/>
      <c r="F166" s="742"/>
      <c r="G166" s="742"/>
      <c r="H166" s="742"/>
      <c r="I166" s="742"/>
      <c r="J166" s="743"/>
      <c r="K166" s="743"/>
      <c r="L166" s="714"/>
      <c r="M166" s="737"/>
      <c r="N166" s="737"/>
      <c r="O166" s="738"/>
      <c r="P166" s="736"/>
      <c r="Q166" s="739"/>
      <c r="R166" s="730"/>
      <c r="S166" s="730"/>
      <c r="T166" s="730"/>
      <c r="U166" s="730"/>
    </row>
    <row hidden="true" r="167">
      <c r="A167" s="735"/>
      <c r="B167" s="736"/>
      <c r="C167" s="736"/>
      <c r="D167" s="736"/>
      <c r="E167" s="736"/>
      <c r="F167" s="742"/>
      <c r="G167" s="742"/>
      <c r="H167" s="742"/>
      <c r="I167" s="742"/>
      <c r="J167" s="743"/>
      <c r="K167" s="743"/>
      <c r="L167" s="714"/>
      <c r="M167" s="737"/>
      <c r="N167" s="737"/>
      <c r="O167" s="738"/>
      <c r="P167" s="736"/>
      <c r="Q167" s="739"/>
      <c r="R167" s="730"/>
      <c r="S167" s="730"/>
      <c r="T167" s="730"/>
      <c r="U167" s="730"/>
    </row>
    <row hidden="true" r="168">
      <c r="A168" s="735"/>
      <c r="B168" s="736"/>
      <c r="C168" s="736"/>
      <c r="D168" s="736"/>
      <c r="E168" s="736"/>
      <c r="F168" s="742"/>
      <c r="G168" s="742"/>
      <c r="H168" s="742"/>
      <c r="I168" s="742"/>
      <c r="J168" s="743"/>
      <c r="K168" s="743"/>
      <c r="L168" s="740"/>
      <c r="M168" s="737"/>
      <c r="N168" s="737"/>
      <c r="O168" s="738"/>
      <c r="P168" s="736"/>
      <c r="Q168" s="739"/>
      <c r="R168" s="730"/>
      <c r="S168" s="730"/>
      <c r="T168" s="730"/>
      <c r="U168" s="730"/>
    </row>
    <row hidden="true" r="169">
      <c r="A169" s="735"/>
      <c r="B169" s="736"/>
      <c r="C169" s="736"/>
      <c r="D169" s="736"/>
      <c r="E169" s="736"/>
      <c r="F169" s="742"/>
      <c r="G169" s="742"/>
      <c r="H169" s="742"/>
      <c r="I169" s="742"/>
      <c r="J169" s="743"/>
      <c r="K169" s="743"/>
      <c r="L169" s="740"/>
      <c r="M169" s="737"/>
      <c r="N169" s="737"/>
      <c r="O169" s="738"/>
      <c r="P169" s="736"/>
      <c r="Q169" s="739"/>
      <c r="R169" s="730"/>
      <c r="S169" s="730"/>
      <c r="T169" s="730"/>
      <c r="U169" s="730"/>
    </row>
    <row hidden="true" r="170">
      <c r="A170" s="735"/>
      <c r="B170" s="736"/>
      <c r="C170" s="736"/>
      <c r="D170" s="736"/>
      <c r="E170" s="736"/>
      <c r="F170" s="742"/>
      <c r="G170" s="742"/>
      <c r="H170" s="742"/>
      <c r="I170" s="742"/>
      <c r="J170" s="743"/>
      <c r="K170" s="743"/>
      <c r="L170" s="740"/>
      <c r="M170" s="737"/>
      <c r="N170" s="737"/>
      <c r="O170" s="738"/>
      <c r="P170" s="736"/>
      <c r="Q170" s="739"/>
      <c r="R170" s="730"/>
      <c r="S170" s="730"/>
      <c r="T170" s="730"/>
      <c r="U170" s="730"/>
    </row>
    <row hidden="true" r="171">
      <c r="A171" s="735"/>
      <c r="B171" s="736"/>
      <c r="C171" s="736"/>
      <c r="D171" s="736"/>
      <c r="E171" s="736"/>
      <c r="F171" s="736"/>
      <c r="G171" s="736"/>
      <c r="H171" s="736"/>
      <c r="I171" s="736"/>
      <c r="J171" s="736"/>
      <c r="K171" s="736"/>
      <c r="L171" s="740"/>
      <c r="M171" s="737"/>
      <c r="N171" s="737"/>
      <c r="O171" s="738"/>
      <c r="P171" s="736"/>
      <c r="Q171" s="739"/>
      <c r="R171" s="730"/>
      <c r="S171" s="730"/>
      <c r="T171" s="730"/>
      <c r="U171" s="730"/>
    </row>
    <row hidden="true" r="172">
      <c r="A172" s="735"/>
      <c r="B172" s="736"/>
      <c r="C172" s="736"/>
      <c r="D172" s="736"/>
      <c r="E172" s="736"/>
      <c r="F172" s="736"/>
      <c r="G172" s="736"/>
      <c r="H172" s="736"/>
      <c r="I172" s="736"/>
      <c r="J172" s="736"/>
      <c r="K172" s="736"/>
      <c r="L172" s="740"/>
      <c r="M172" s="737"/>
      <c r="N172" s="737"/>
      <c r="O172" s="738"/>
      <c r="P172" s="736"/>
      <c r="Q172" s="739"/>
      <c r="R172" s="730"/>
      <c r="S172" s="730"/>
      <c r="T172" s="730"/>
      <c r="U172" s="730"/>
    </row>
    <row hidden="true" r="173">
      <c r="A173" s="735"/>
      <c r="B173" s="736"/>
      <c r="C173" s="736"/>
      <c r="D173" s="736"/>
      <c r="E173" s="736"/>
      <c r="F173" s="736"/>
      <c r="G173" s="736"/>
      <c r="H173" s="736"/>
      <c r="I173" s="736"/>
      <c r="J173" s="736"/>
      <c r="K173" s="736"/>
      <c r="L173" s="740"/>
      <c r="M173" s="737"/>
      <c r="N173" s="737"/>
      <c r="O173" s="738"/>
      <c r="P173" s="736"/>
      <c r="Q173" s="739"/>
      <c r="R173" s="730"/>
      <c r="S173" s="730"/>
      <c r="T173" s="730"/>
      <c r="U173" s="730"/>
    </row>
    <row hidden="true" r="174">
      <c r="A174" s="735"/>
      <c r="B174" s="736"/>
      <c r="C174" s="736"/>
      <c r="D174" s="736"/>
      <c r="E174" s="736"/>
      <c r="F174" s="736"/>
      <c r="G174" s="736"/>
      <c r="H174" s="736"/>
      <c r="I174" s="736"/>
      <c r="J174" s="736"/>
      <c r="K174" s="736"/>
      <c r="L174" s="740"/>
      <c r="M174" s="737"/>
      <c r="N174" s="737"/>
      <c r="O174" s="738"/>
      <c r="P174" s="736"/>
      <c r="Q174" s="739"/>
      <c r="R174" s="730"/>
      <c r="S174" s="730"/>
      <c r="T174" s="730"/>
      <c r="U174" s="730"/>
    </row>
    <row hidden="true" r="175">
      <c r="A175" s="735"/>
      <c r="B175" s="736"/>
      <c r="C175" s="736"/>
      <c r="D175" s="736"/>
      <c r="E175" s="736"/>
      <c r="F175" s="736"/>
      <c r="G175" s="736"/>
      <c r="H175" s="736"/>
      <c r="I175" s="736"/>
      <c r="J175" s="736"/>
      <c r="K175" s="736"/>
      <c r="L175" s="714"/>
      <c r="M175" s="737"/>
      <c r="N175" s="737"/>
      <c r="O175" s="738"/>
      <c r="P175" s="736"/>
      <c r="Q175" s="739"/>
      <c r="R175" s="730"/>
      <c r="S175" s="730"/>
      <c r="T175" s="730"/>
      <c r="U175" s="730"/>
    </row>
    <row hidden="true" r="176">
      <c r="A176" s="735"/>
      <c r="B176" s="736"/>
      <c r="C176" s="736"/>
      <c r="D176" s="736"/>
      <c r="E176" s="736"/>
      <c r="F176" s="736"/>
      <c r="G176" s="736"/>
      <c r="H176" s="736"/>
      <c r="I176" s="736"/>
      <c r="J176" s="736"/>
      <c r="K176" s="736"/>
      <c r="L176" s="740"/>
      <c r="M176" s="737"/>
      <c r="N176" s="737"/>
      <c r="O176" s="738"/>
      <c r="P176" s="736"/>
      <c r="Q176" s="739"/>
      <c r="R176" s="730"/>
      <c r="S176" s="730"/>
      <c r="T176" s="730"/>
      <c r="U176" s="730"/>
    </row>
    <row hidden="true" r="177">
      <c r="A177" s="735"/>
      <c r="B177" s="736"/>
      <c r="C177" s="736"/>
      <c r="D177" s="736"/>
      <c r="E177" s="736"/>
      <c r="F177" s="736"/>
      <c r="G177" s="736"/>
      <c r="H177" s="736"/>
      <c r="I177" s="736"/>
      <c r="J177" s="736"/>
      <c r="K177" s="736"/>
      <c r="L177" s="714"/>
      <c r="M177" s="737"/>
      <c r="N177" s="737"/>
      <c r="O177" s="738"/>
      <c r="P177" s="736"/>
      <c r="Q177" s="739"/>
      <c r="R177" s="730"/>
      <c r="S177" s="730"/>
      <c r="T177" s="730"/>
      <c r="U177" s="730"/>
    </row>
    <row hidden="true" r="178">
      <c r="A178" s="735"/>
      <c r="B178" s="736"/>
      <c r="C178" s="736"/>
      <c r="D178" s="736"/>
      <c r="E178" s="736"/>
      <c r="F178" s="736"/>
      <c r="G178" s="736"/>
      <c r="H178" s="736"/>
      <c r="I178" s="736"/>
      <c r="J178" s="736"/>
      <c r="K178" s="736"/>
      <c r="L178" s="740"/>
      <c r="M178" s="737"/>
      <c r="N178" s="737"/>
      <c r="O178" s="738"/>
      <c r="P178" s="736"/>
      <c r="Q178" s="739"/>
      <c r="R178" s="730"/>
      <c r="S178" s="730"/>
      <c r="T178" s="730"/>
      <c r="U178" s="730"/>
    </row>
    <row hidden="true" r="179">
      <c r="A179" s="735"/>
      <c r="B179" s="736"/>
      <c r="C179" s="736"/>
      <c r="D179" s="736"/>
      <c r="E179" s="736"/>
      <c r="F179" s="736"/>
      <c r="G179" s="736"/>
      <c r="H179" s="736"/>
      <c r="I179" s="736"/>
      <c r="J179" s="736"/>
      <c r="K179" s="736"/>
      <c r="L179" s="714"/>
      <c r="M179" s="737"/>
      <c r="N179" s="737"/>
      <c r="O179" s="738"/>
      <c r="P179" s="736"/>
      <c r="Q179" s="739"/>
      <c r="R179" s="730"/>
      <c r="S179" s="730"/>
      <c r="T179" s="730"/>
      <c r="U179" s="730"/>
    </row>
    <row hidden="true" r="180">
      <c r="A180" s="735"/>
      <c r="B180" s="736"/>
      <c r="C180" s="736"/>
      <c r="D180" s="736"/>
      <c r="E180" s="736"/>
      <c r="F180" s="736"/>
      <c r="G180" s="736"/>
      <c r="H180" s="736"/>
      <c r="I180" s="736"/>
      <c r="J180" s="736"/>
      <c r="K180" s="736"/>
      <c r="L180" s="740"/>
      <c r="M180" s="737"/>
      <c r="N180" s="737"/>
      <c r="O180" s="738"/>
      <c r="P180" s="736"/>
      <c r="Q180" s="739"/>
      <c r="R180" s="730"/>
      <c r="S180" s="730"/>
      <c r="T180" s="730"/>
      <c r="U180" s="730"/>
    </row>
    <row hidden="true" r="181">
      <c r="A181" s="735"/>
      <c r="B181" s="736"/>
      <c r="C181" s="736"/>
      <c r="D181" s="736"/>
      <c r="E181" s="736"/>
      <c r="F181" s="736"/>
      <c r="G181" s="736"/>
      <c r="H181" s="736"/>
      <c r="I181" s="736"/>
      <c r="J181" s="736"/>
      <c r="K181" s="736"/>
      <c r="L181" s="714"/>
      <c r="M181" s="737"/>
      <c r="N181" s="737"/>
      <c r="O181" s="738"/>
      <c r="P181" s="736"/>
      <c r="Q181" s="739"/>
      <c r="R181" s="730"/>
      <c r="S181" s="730"/>
      <c r="T181" s="730"/>
      <c r="U181" s="730"/>
    </row>
    <row hidden="true" r="182">
      <c r="A182" s="735"/>
      <c r="B182" s="736"/>
      <c r="C182" s="736"/>
      <c r="D182" s="736"/>
      <c r="E182" s="736"/>
      <c r="F182" s="736"/>
      <c r="G182" s="736"/>
      <c r="H182" s="736"/>
      <c r="I182" s="736"/>
      <c r="J182" s="736"/>
      <c r="K182" s="736"/>
      <c r="L182" s="740"/>
      <c r="M182" s="737"/>
      <c r="N182" s="737"/>
      <c r="O182" s="738"/>
      <c r="P182" s="736"/>
      <c r="Q182" s="739"/>
      <c r="R182" s="730"/>
      <c r="S182" s="730"/>
      <c r="T182" s="730"/>
      <c r="U182" s="730"/>
    </row>
    <row hidden="true" r="183">
      <c r="A183" s="735"/>
      <c r="B183" s="736"/>
      <c r="C183" s="736"/>
      <c r="D183" s="736"/>
      <c r="E183" s="736"/>
      <c r="F183" s="736"/>
      <c r="G183" s="736"/>
      <c r="H183" s="736"/>
      <c r="I183" s="736"/>
      <c r="J183" s="736"/>
      <c r="K183" s="736"/>
      <c r="L183" s="714"/>
      <c r="M183" s="737"/>
      <c r="N183" s="737"/>
      <c r="O183" s="738"/>
      <c r="P183" s="736"/>
      <c r="Q183" s="739"/>
      <c r="R183" s="730"/>
      <c r="S183" s="730"/>
      <c r="T183" s="730"/>
      <c r="U183" s="730"/>
    </row>
    <row hidden="true" r="184">
      <c r="A184" s="735"/>
      <c r="B184" s="736"/>
      <c r="C184" s="736"/>
      <c r="D184" s="736"/>
      <c r="E184" s="736"/>
      <c r="F184" s="736"/>
      <c r="G184" s="736"/>
      <c r="H184" s="736"/>
      <c r="I184" s="736"/>
      <c r="J184" s="736"/>
      <c r="K184" s="736"/>
      <c r="L184" s="740"/>
      <c r="M184" s="737"/>
      <c r="N184" s="737"/>
      <c r="O184" s="738"/>
      <c r="P184" s="736"/>
      <c r="Q184" s="739"/>
      <c r="R184" s="730"/>
      <c r="S184" s="730"/>
      <c r="T184" s="730"/>
      <c r="U184" s="730"/>
    </row>
    <row r="185">
      <c r="A185" s="735"/>
      <c r="B185" s="736"/>
      <c r="C185" s="736"/>
      <c r="D185" s="736"/>
      <c r="E185" s="736"/>
      <c r="F185" s="736"/>
      <c r="G185" s="736"/>
      <c r="H185" s="736"/>
      <c r="I185" s="736"/>
      <c r="J185" s="736"/>
      <c r="K185" s="736"/>
      <c r="L185" s="740"/>
      <c r="M185" s="737"/>
      <c r="N185" s="737"/>
      <c r="O185" s="738"/>
      <c r="P185" s="736"/>
      <c r="Q185" s="739"/>
      <c r="R185" s="730"/>
      <c r="S185" s="730"/>
      <c r="T185" s="730"/>
      <c r="U185" s="730"/>
    </row>
    <row r="186">
      <c r="A186" s="735"/>
      <c r="B186" s="736"/>
      <c r="C186" s="736"/>
      <c r="D186" s="736"/>
      <c r="E186" s="736"/>
      <c r="F186" s="736"/>
      <c r="G186" s="736"/>
      <c r="H186" s="736"/>
      <c r="I186" s="736"/>
      <c r="J186" s="736"/>
      <c r="K186" s="736"/>
      <c r="L186" s="740"/>
      <c r="M186" s="737"/>
      <c r="N186" s="737"/>
      <c r="O186" s="738"/>
      <c r="P186" s="736"/>
      <c r="Q186" s="739"/>
      <c r="R186" s="730"/>
      <c r="S186" s="730"/>
      <c r="T186" s="730"/>
      <c r="U186" s="730"/>
    </row>
    <row r="187">
      <c r="A187" s="735"/>
      <c r="B187" s="736"/>
      <c r="C187" s="736"/>
      <c r="D187" s="736"/>
      <c r="E187" s="736"/>
      <c r="F187" s="736"/>
      <c r="G187" s="736"/>
      <c r="H187" s="736"/>
      <c r="I187" s="736"/>
      <c r="J187" s="736"/>
      <c r="K187" s="736"/>
      <c r="L187" s="740"/>
      <c r="M187" s="737"/>
      <c r="N187" s="737"/>
      <c r="O187" s="738"/>
      <c r="P187" s="736"/>
      <c r="Q187" s="739"/>
      <c r="R187" s="730"/>
      <c r="S187" s="730"/>
      <c r="T187" s="730"/>
      <c r="U187" s="730"/>
    </row>
    <row r="188">
      <c r="A188" s="735"/>
      <c r="B188" s="736"/>
      <c r="C188" s="736"/>
      <c r="D188" s="736"/>
      <c r="E188" s="736"/>
      <c r="F188" s="736"/>
      <c r="G188" s="736"/>
      <c r="H188" s="736"/>
      <c r="I188" s="736"/>
      <c r="J188" s="736"/>
      <c r="K188" s="736"/>
      <c r="L188" s="740"/>
      <c r="M188" s="737"/>
      <c r="N188" s="737"/>
      <c r="O188" s="738"/>
      <c r="P188" s="736"/>
      <c r="Q188" s="739"/>
      <c r="R188" s="730"/>
      <c r="S188" s="730"/>
      <c r="T188" s="730"/>
      <c r="U188" s="730"/>
    </row>
    <row r="189">
      <c r="A189" s="735"/>
      <c r="B189" s="736"/>
      <c r="C189" s="736"/>
      <c r="D189" s="736"/>
      <c r="E189" s="736"/>
      <c r="F189" s="736"/>
      <c r="G189" s="736"/>
      <c r="H189" s="736"/>
      <c r="I189" s="736"/>
      <c r="J189" s="736"/>
      <c r="K189" s="736"/>
      <c r="L189" s="740"/>
      <c r="M189" s="737"/>
      <c r="N189" s="737"/>
      <c r="O189" s="738"/>
      <c r="P189" s="736"/>
      <c r="Q189" s="739"/>
      <c r="R189" s="730"/>
      <c r="S189" s="730"/>
      <c r="T189" s="730"/>
      <c r="U189" s="730"/>
    </row>
    <row r="190">
      <c r="A190" s="735"/>
      <c r="B190" s="736"/>
      <c r="C190" s="736"/>
      <c r="D190" s="736"/>
      <c r="E190" s="736"/>
      <c r="F190" s="736"/>
      <c r="G190" s="736"/>
      <c r="H190" s="736"/>
      <c r="I190" s="736"/>
      <c r="J190" s="736"/>
      <c r="K190" s="736"/>
      <c r="L190" s="740"/>
      <c r="M190" s="737"/>
      <c r="N190" s="737"/>
      <c r="O190" s="738"/>
      <c r="P190" s="736"/>
      <c r="Q190" s="739"/>
      <c r="R190" s="730"/>
      <c r="S190" s="730"/>
      <c r="T190" s="730"/>
      <c r="U190" s="730"/>
    </row>
    <row r="191">
      <c r="A191" s="735"/>
      <c r="B191" s="736"/>
      <c r="C191" s="736"/>
      <c r="D191" s="736"/>
      <c r="E191" s="736"/>
      <c r="F191" s="736"/>
      <c r="G191" s="736"/>
      <c r="H191" s="736"/>
      <c r="I191" s="736"/>
      <c r="J191" s="736"/>
      <c r="K191" s="736"/>
      <c r="L191" s="740"/>
      <c r="M191" s="737"/>
      <c r="N191" s="737"/>
      <c r="O191" s="738"/>
      <c r="P191" s="736"/>
      <c r="Q191" s="739"/>
      <c r="R191" s="730"/>
      <c r="S191" s="730"/>
      <c r="T191" s="730"/>
      <c r="U191" s="730"/>
    </row>
    <row r="192">
      <c r="A192" s="735"/>
      <c r="B192" s="736"/>
      <c r="C192" s="736"/>
      <c r="D192" s="736"/>
      <c r="E192" s="736"/>
      <c r="F192" s="736"/>
      <c r="G192" s="736"/>
      <c r="H192" s="736"/>
      <c r="I192" s="736"/>
      <c r="J192" s="736"/>
      <c r="K192" s="736"/>
      <c r="L192" s="740"/>
      <c r="M192" s="737"/>
      <c r="N192" s="737"/>
      <c r="O192" s="738"/>
      <c r="P192" s="736"/>
      <c r="Q192" s="739"/>
      <c r="R192" s="730"/>
      <c r="S192" s="730"/>
      <c r="T192" s="730"/>
      <c r="U192" s="730"/>
    </row>
    <row r="193">
      <c r="A193" s="735"/>
      <c r="B193" s="736"/>
      <c r="C193" s="736"/>
      <c r="D193" s="736"/>
      <c r="E193" s="736"/>
      <c r="F193" s="736"/>
      <c r="G193" s="736"/>
      <c r="H193" s="736"/>
      <c r="I193" s="736"/>
      <c r="J193" s="736"/>
      <c r="K193" s="736"/>
      <c r="L193" s="740"/>
      <c r="M193" s="737"/>
      <c r="N193" s="737"/>
      <c r="O193" s="738"/>
      <c r="P193" s="736"/>
      <c r="Q193" s="739"/>
      <c r="R193" s="730"/>
      <c r="S193" s="730"/>
      <c r="T193" s="730"/>
      <c r="U193" s="730"/>
    </row>
    <row r="194">
      <c r="A194" s="735"/>
      <c r="B194" s="736"/>
      <c r="C194" s="736"/>
      <c r="D194" s="736"/>
      <c r="E194" s="736"/>
      <c r="F194" s="736"/>
      <c r="G194" s="736"/>
      <c r="H194" s="736"/>
      <c r="I194" s="736"/>
      <c r="J194" s="736"/>
      <c r="K194" s="736"/>
      <c r="L194" s="740"/>
      <c r="M194" s="737"/>
      <c r="N194" s="737"/>
      <c r="O194" s="738"/>
      <c r="P194" s="736"/>
      <c r="Q194" s="739"/>
      <c r="R194" s="730"/>
      <c r="S194" s="730"/>
      <c r="T194" s="730"/>
      <c r="U194" s="730"/>
    </row>
    <row r="195">
      <c r="A195" s="735"/>
      <c r="B195" s="736"/>
      <c r="C195" s="736"/>
      <c r="D195" s="736"/>
      <c r="E195" s="736"/>
      <c r="F195" s="736"/>
      <c r="G195" s="736"/>
      <c r="H195" s="736"/>
      <c r="I195" s="736"/>
      <c r="J195" s="736"/>
      <c r="K195" s="736"/>
      <c r="L195" s="740"/>
      <c r="M195" s="737"/>
      <c r="N195" s="737"/>
      <c r="O195" s="738"/>
      <c r="P195" s="736"/>
      <c r="Q195" s="739"/>
      <c r="R195" s="730"/>
      <c r="S195" s="730"/>
      <c r="T195" s="730"/>
      <c r="U195" s="730"/>
    </row>
    <row r="196">
      <c r="A196" s="735"/>
      <c r="B196" s="736"/>
      <c r="C196" s="736"/>
      <c r="D196" s="736"/>
      <c r="E196" s="736"/>
      <c r="F196" s="736"/>
      <c r="G196" s="736"/>
      <c r="H196" s="736"/>
      <c r="I196" s="736"/>
      <c r="J196" s="736"/>
      <c r="K196" s="736"/>
      <c r="L196" s="740"/>
      <c r="M196" s="737"/>
      <c r="N196" s="737"/>
      <c r="O196" s="738"/>
      <c r="P196" s="736"/>
      <c r="Q196" s="739"/>
      <c r="R196" s="730"/>
      <c r="S196" s="730"/>
      <c r="T196" s="730"/>
      <c r="U196" s="730"/>
    </row>
    <row r="197">
      <c r="A197" s="735"/>
      <c r="B197" s="736"/>
      <c r="C197" s="736"/>
      <c r="D197" s="736"/>
      <c r="E197" s="736"/>
      <c r="F197" s="736"/>
      <c r="G197" s="736"/>
      <c r="H197" s="736"/>
      <c r="I197" s="736"/>
      <c r="J197" s="736"/>
      <c r="K197" s="736"/>
      <c r="L197" s="740"/>
      <c r="M197" s="737"/>
      <c r="N197" s="737"/>
      <c r="O197" s="738"/>
      <c r="P197" s="736"/>
      <c r="Q197" s="739"/>
      <c r="R197" s="730"/>
      <c r="S197" s="730"/>
      <c r="T197" s="730"/>
      <c r="U197" s="730"/>
    </row>
    <row r="198">
      <c r="A198" s="735"/>
      <c r="B198" s="736"/>
      <c r="C198" s="736"/>
      <c r="D198" s="736"/>
      <c r="E198" s="736"/>
      <c r="F198" s="736"/>
      <c r="G198" s="736"/>
      <c r="H198" s="736"/>
      <c r="I198" s="736"/>
      <c r="J198" s="736"/>
      <c r="K198" s="736"/>
      <c r="L198" s="740"/>
      <c r="M198" s="737"/>
      <c r="N198" s="737"/>
      <c r="O198" s="738"/>
      <c r="P198" s="736"/>
      <c r="Q198" s="739"/>
      <c r="R198" s="730"/>
      <c r="S198" s="730"/>
      <c r="T198" s="730"/>
      <c r="U198" s="730"/>
    </row>
    <row r="199">
      <c r="A199" s="735"/>
      <c r="B199" s="736"/>
      <c r="C199" s="736"/>
      <c r="D199" s="736"/>
      <c r="E199" s="736"/>
      <c r="F199" s="736"/>
      <c r="G199" s="736"/>
      <c r="H199" s="736"/>
      <c r="I199" s="736"/>
      <c r="J199" s="736"/>
      <c r="K199" s="736"/>
      <c r="L199" s="740"/>
      <c r="M199" s="737"/>
      <c r="N199" s="737"/>
      <c r="O199" s="738"/>
      <c r="P199" s="736"/>
      <c r="Q199" s="739"/>
      <c r="R199" s="730"/>
      <c r="S199" s="730"/>
      <c r="T199" s="730"/>
      <c r="U199" s="730"/>
    </row>
    <row r="200">
      <c r="A200" s="735"/>
      <c r="B200" s="736"/>
      <c r="C200" s="736"/>
      <c r="D200" s="736"/>
      <c r="E200" s="736"/>
      <c r="F200" s="736"/>
      <c r="G200" s="736"/>
      <c r="H200" s="736"/>
      <c r="I200" s="736"/>
      <c r="J200" s="736"/>
      <c r="K200" s="736"/>
      <c r="L200" s="740"/>
      <c r="M200" s="737"/>
      <c r="N200" s="737"/>
      <c r="O200" s="738"/>
      <c r="P200" s="736"/>
      <c r="Q200" s="739"/>
      <c r="R200" s="730"/>
      <c r="S200" s="730"/>
      <c r="T200" s="730"/>
      <c r="U200" s="730"/>
    </row>
    <row r="201">
      <c r="A201" s="735"/>
      <c r="B201" s="736"/>
      <c r="C201" s="736"/>
      <c r="D201" s="736"/>
      <c r="E201" s="736"/>
      <c r="F201" s="736"/>
      <c r="G201" s="736"/>
      <c r="H201" s="736"/>
      <c r="I201" s="736"/>
      <c r="J201" s="736"/>
      <c r="K201" s="736"/>
      <c r="L201" s="740"/>
      <c r="M201" s="737"/>
      <c r="N201" s="737"/>
      <c r="O201" s="738"/>
      <c r="P201" s="736"/>
      <c r="Q201" s="739"/>
      <c r="R201" s="730"/>
      <c r="S201" s="730"/>
      <c r="T201" s="730"/>
      <c r="U201" s="730"/>
    </row>
    <row r="202">
      <c r="A202" s="735"/>
      <c r="B202" s="736"/>
      <c r="C202" s="736"/>
      <c r="D202" s="736"/>
      <c r="E202" s="736"/>
      <c r="F202" s="736"/>
      <c r="G202" s="736"/>
      <c r="H202" s="736"/>
      <c r="I202" s="736"/>
      <c r="J202" s="736"/>
      <c r="K202" s="736"/>
      <c r="L202" s="740"/>
      <c r="M202" s="737"/>
      <c r="N202" s="737"/>
      <c r="O202" s="738"/>
      <c r="P202" s="736"/>
      <c r="Q202" s="739"/>
      <c r="R202" s="730"/>
      <c r="S202" s="730"/>
      <c r="T202" s="730"/>
      <c r="U202" s="730"/>
    </row>
    <row r="203">
      <c r="A203" s="735"/>
      <c r="B203" s="736"/>
      <c r="C203" s="736"/>
      <c r="D203" s="736"/>
      <c r="E203" s="736"/>
      <c r="F203" s="736"/>
      <c r="G203" s="736"/>
      <c r="H203" s="736"/>
      <c r="I203" s="736"/>
      <c r="J203" s="736"/>
      <c r="K203" s="736"/>
      <c r="L203" s="740"/>
      <c r="M203" s="737"/>
      <c r="N203" s="737"/>
      <c r="O203" s="738"/>
      <c r="P203" s="736"/>
      <c r="Q203" s="739"/>
      <c r="R203" s="730"/>
      <c r="S203" s="730"/>
      <c r="T203" s="730"/>
      <c r="U203" s="730"/>
    </row>
    <row r="204">
      <c r="A204" s="735"/>
      <c r="B204" s="736"/>
      <c r="C204" s="736"/>
      <c r="D204" s="736"/>
      <c r="E204" s="736"/>
      <c r="F204" s="736"/>
      <c r="G204" s="736"/>
      <c r="H204" s="736"/>
      <c r="I204" s="736"/>
      <c r="J204" s="736"/>
      <c r="K204" s="736"/>
      <c r="L204" s="740"/>
      <c r="M204" s="737"/>
      <c r="N204" s="737"/>
      <c r="O204" s="738"/>
      <c r="P204" s="736"/>
      <c r="Q204" s="739"/>
      <c r="R204" s="730"/>
      <c r="S204" s="730"/>
      <c r="T204" s="730"/>
      <c r="U204" s="730"/>
    </row>
    <row r="205">
      <c r="A205" s="735"/>
      <c r="B205" s="736"/>
      <c r="C205" s="736"/>
      <c r="D205" s="736"/>
      <c r="E205" s="736"/>
      <c r="F205" s="736"/>
      <c r="G205" s="736"/>
      <c r="H205" s="736"/>
      <c r="I205" s="736"/>
      <c r="J205" s="736"/>
      <c r="K205" s="736"/>
      <c r="L205" s="740"/>
      <c r="M205" s="737"/>
      <c r="N205" s="737"/>
      <c r="O205" s="738"/>
      <c r="P205" s="736"/>
      <c r="Q205" s="739"/>
      <c r="R205" s="730"/>
      <c r="S205" s="730"/>
      <c r="T205" s="730"/>
      <c r="U205" s="730"/>
    </row>
    <row r="206">
      <c r="A206" s="735"/>
      <c r="B206" s="736"/>
      <c r="C206" s="736"/>
      <c r="D206" s="736"/>
      <c r="E206" s="736"/>
      <c r="F206" s="736"/>
      <c r="G206" s="736"/>
      <c r="H206" s="736"/>
      <c r="I206" s="736"/>
      <c r="J206" s="736"/>
      <c r="K206" s="736"/>
      <c r="L206" s="740"/>
      <c r="M206" s="737"/>
      <c r="N206" s="737"/>
      <c r="O206" s="738"/>
      <c r="P206" s="736"/>
      <c r="Q206" s="739"/>
      <c r="R206" s="730"/>
      <c r="S206" s="730"/>
      <c r="T206" s="730"/>
      <c r="U206" s="730"/>
    </row>
    <row r="207">
      <c r="A207" s="735"/>
      <c r="B207" s="736"/>
      <c r="C207" s="736"/>
      <c r="D207" s="736"/>
      <c r="E207" s="736"/>
      <c r="F207" s="736"/>
      <c r="G207" s="736"/>
      <c r="H207" s="736"/>
      <c r="I207" s="736"/>
      <c r="J207" s="736"/>
      <c r="K207" s="736"/>
      <c r="L207" s="740"/>
      <c r="M207" s="737"/>
      <c r="N207" s="737"/>
      <c r="O207" s="738"/>
      <c r="P207" s="736"/>
      <c r="Q207" s="739"/>
      <c r="R207" s="730"/>
      <c r="S207" s="730"/>
      <c r="T207" s="730"/>
      <c r="U207" s="730"/>
    </row>
    <row r="208">
      <c r="A208" s="735"/>
      <c r="B208" s="736"/>
      <c r="C208" s="736"/>
      <c r="D208" s="736"/>
      <c r="E208" s="736"/>
      <c r="F208" s="736"/>
      <c r="G208" s="736"/>
      <c r="H208" s="736"/>
      <c r="I208" s="736"/>
      <c r="J208" s="736"/>
      <c r="K208" s="736"/>
      <c r="L208" s="740"/>
      <c r="M208" s="737"/>
      <c r="N208" s="737"/>
      <c r="O208" s="738"/>
      <c r="P208" s="736"/>
      <c r="Q208" s="739"/>
      <c r="R208" s="730"/>
      <c r="S208" s="730"/>
      <c r="T208" s="730"/>
      <c r="U208" s="730"/>
    </row>
    <row r="209">
      <c r="A209" s="735"/>
      <c r="B209" s="736"/>
      <c r="C209" s="736"/>
      <c r="D209" s="736"/>
      <c r="E209" s="736"/>
      <c r="F209" s="736"/>
      <c r="G209" s="736"/>
      <c r="H209" s="736"/>
      <c r="I209" s="736"/>
      <c r="J209" s="736"/>
      <c r="K209" s="736"/>
      <c r="L209" s="740"/>
      <c r="M209" s="737"/>
      <c r="N209" s="737"/>
      <c r="O209" s="738"/>
      <c r="P209" s="736"/>
      <c r="Q209" s="739"/>
      <c r="R209" s="730"/>
      <c r="S209" s="730"/>
      <c r="T209" s="730"/>
      <c r="U209" s="730"/>
    </row>
    <row r="210">
      <c r="A210" s="735"/>
      <c r="B210" s="736"/>
      <c r="C210" s="736"/>
      <c r="D210" s="736"/>
      <c r="E210" s="736"/>
      <c r="F210" s="736"/>
      <c r="G210" s="736"/>
      <c r="H210" s="736"/>
      <c r="I210" s="736"/>
      <c r="J210" s="736"/>
      <c r="K210" s="736"/>
      <c r="L210" s="740"/>
      <c r="M210" s="737"/>
      <c r="N210" s="737"/>
      <c r="O210" s="738"/>
      <c r="P210" s="736"/>
      <c r="Q210" s="739"/>
      <c r="R210" s="730"/>
      <c r="S210" s="730"/>
      <c r="T210" s="730"/>
      <c r="U210" s="730"/>
    </row>
    <row r="211">
      <c r="A211" s="735"/>
      <c r="B211" s="736"/>
      <c r="C211" s="736"/>
      <c r="D211" s="736"/>
      <c r="E211" s="736"/>
      <c r="F211" s="736"/>
      <c r="G211" s="736"/>
      <c r="H211" s="736"/>
      <c r="I211" s="736"/>
      <c r="J211" s="736"/>
      <c r="K211" s="736"/>
      <c r="L211" s="740"/>
      <c r="M211" s="737"/>
      <c r="N211" s="737"/>
      <c r="O211" s="738"/>
      <c r="P211" s="736"/>
      <c r="Q211" s="739"/>
      <c r="R211" s="730"/>
      <c r="S211" s="730"/>
      <c r="T211" s="730"/>
      <c r="U211" s="730"/>
    </row>
    <row r="212">
      <c r="A212" s="735"/>
      <c r="B212" s="736"/>
      <c r="C212" s="736"/>
      <c r="D212" s="736"/>
      <c r="E212" s="736"/>
      <c r="F212" s="736"/>
      <c r="G212" s="736"/>
      <c r="H212" s="736"/>
      <c r="I212" s="736"/>
      <c r="J212" s="736"/>
      <c r="K212" s="736"/>
      <c r="L212" s="740"/>
      <c r="M212" s="737"/>
      <c r="N212" s="737"/>
      <c r="O212" s="738"/>
      <c r="P212" s="736"/>
      <c r="Q212" s="739"/>
      <c r="R212" s="730"/>
      <c r="S212" s="730"/>
      <c r="T212" s="730"/>
      <c r="U212" s="730"/>
    </row>
    <row r="213">
      <c r="A213" s="735"/>
      <c r="B213" s="736"/>
      <c r="C213" s="736"/>
      <c r="D213" s="736"/>
      <c r="E213" s="736"/>
      <c r="F213" s="736"/>
      <c r="G213" s="736"/>
      <c r="H213" s="736"/>
      <c r="I213" s="736"/>
      <c r="J213" s="736"/>
      <c r="K213" s="736"/>
      <c r="L213" s="740"/>
      <c r="M213" s="737"/>
      <c r="N213" s="737"/>
      <c r="O213" s="738"/>
      <c r="P213" s="736"/>
      <c r="Q213" s="739"/>
      <c r="R213" s="730"/>
      <c r="S213" s="730"/>
      <c r="T213" s="730"/>
      <c r="U213" s="730"/>
    </row>
    <row r="214">
      <c r="A214" s="735"/>
      <c r="B214" s="736"/>
      <c r="C214" s="736"/>
      <c r="D214" s="736"/>
      <c r="E214" s="736"/>
      <c r="F214" s="736"/>
      <c r="G214" s="736"/>
      <c r="H214" s="736"/>
      <c r="I214" s="736"/>
      <c r="J214" s="736"/>
      <c r="K214" s="736"/>
      <c r="L214" s="740"/>
      <c r="M214" s="737"/>
      <c r="N214" s="737"/>
      <c r="O214" s="738"/>
      <c r="P214" s="736"/>
      <c r="Q214" s="739"/>
      <c r="R214" s="730"/>
      <c r="S214" s="730"/>
      <c r="T214" s="730"/>
      <c r="U214" s="730"/>
    </row>
    <row r="215">
      <c r="A215" s="735"/>
      <c r="B215" s="736"/>
      <c r="C215" s="736"/>
      <c r="D215" s="736"/>
      <c r="E215" s="736"/>
      <c r="F215" s="736"/>
      <c r="G215" s="736"/>
      <c r="H215" s="736"/>
      <c r="I215" s="736"/>
      <c r="J215" s="736"/>
      <c r="K215" s="736"/>
      <c r="L215" s="740"/>
      <c r="M215" s="737"/>
      <c r="N215" s="737"/>
      <c r="O215" s="738"/>
      <c r="P215" s="736"/>
      <c r="Q215" s="739"/>
      <c r="R215" s="730"/>
      <c r="S215" s="730"/>
      <c r="T215" s="730"/>
      <c r="U215" s="730"/>
    </row>
    <row r="216">
      <c r="A216" s="735"/>
      <c r="B216" s="736"/>
      <c r="C216" s="736"/>
      <c r="D216" s="736"/>
      <c r="E216" s="736"/>
      <c r="F216" s="736"/>
      <c r="G216" s="736"/>
      <c r="H216" s="736"/>
      <c r="I216" s="736"/>
      <c r="J216" s="736"/>
      <c r="K216" s="736"/>
      <c r="L216" s="740"/>
      <c r="M216" s="737"/>
      <c r="N216" s="737"/>
      <c r="O216" s="738"/>
      <c r="P216" s="736"/>
      <c r="Q216" s="739"/>
      <c r="R216" s="730"/>
      <c r="S216" s="730"/>
      <c r="T216" s="730"/>
      <c r="U216" s="730"/>
    </row>
    <row r="217">
      <c r="A217" s="735"/>
      <c r="B217" s="736"/>
      <c r="C217" s="736"/>
      <c r="D217" s="736"/>
      <c r="E217" s="736"/>
      <c r="F217" s="736"/>
      <c r="G217" s="736"/>
      <c r="H217" s="736"/>
      <c r="I217" s="736"/>
      <c r="J217" s="736"/>
      <c r="K217" s="736"/>
      <c r="L217" s="740"/>
      <c r="M217" s="737"/>
      <c r="N217" s="737"/>
      <c r="O217" s="738"/>
      <c r="P217" s="736"/>
      <c r="Q217" s="739"/>
      <c r="R217" s="730"/>
      <c r="S217" s="730"/>
      <c r="T217" s="730"/>
      <c r="U217" s="730"/>
    </row>
    <row r="218">
      <c r="A218" s="735"/>
      <c r="B218" s="736"/>
      <c r="C218" s="736"/>
      <c r="D218" s="736"/>
      <c r="E218" s="736"/>
      <c r="F218" s="736"/>
      <c r="G218" s="736"/>
      <c r="H218" s="736"/>
      <c r="I218" s="736"/>
      <c r="J218" s="736"/>
      <c r="K218" s="736"/>
      <c r="L218" s="740"/>
      <c r="M218" s="737"/>
      <c r="N218" s="737"/>
      <c r="O218" s="738"/>
      <c r="P218" s="736"/>
      <c r="Q218" s="739"/>
      <c r="R218" s="730"/>
      <c r="S218" s="730"/>
      <c r="T218" s="730"/>
      <c r="U218" s="730"/>
    </row>
    <row r="219">
      <c r="A219" s="735"/>
      <c r="B219" s="736"/>
      <c r="C219" s="736"/>
      <c r="D219" s="736"/>
      <c r="E219" s="736"/>
      <c r="F219" s="736"/>
      <c r="G219" s="736"/>
      <c r="H219" s="736"/>
      <c r="I219" s="736"/>
      <c r="J219" s="736"/>
      <c r="K219" s="736"/>
      <c r="L219" s="740"/>
      <c r="M219" s="737"/>
      <c r="N219" s="737"/>
      <c r="O219" s="738"/>
      <c r="P219" s="736"/>
      <c r="Q219" s="739"/>
      <c r="R219" s="730"/>
      <c r="S219" s="730"/>
      <c r="T219" s="730"/>
      <c r="U219" s="730"/>
    </row>
    <row r="220">
      <c r="A220" s="735"/>
      <c r="B220" s="736"/>
      <c r="C220" s="736"/>
      <c r="D220" s="736"/>
      <c r="E220" s="736"/>
      <c r="F220" s="736"/>
      <c r="G220" s="736"/>
      <c r="H220" s="736"/>
      <c r="I220" s="736"/>
      <c r="J220" s="736"/>
      <c r="K220" s="736"/>
      <c r="L220" s="740"/>
      <c r="M220" s="737"/>
      <c r="N220" s="737"/>
      <c r="O220" s="738"/>
      <c r="P220" s="736"/>
      <c r="Q220" s="739"/>
      <c r="R220" s="730"/>
      <c r="S220" s="730"/>
      <c r="T220" s="730"/>
      <c r="U220" s="730"/>
    </row>
    <row r="221">
      <c r="A221" s="735"/>
      <c r="B221" s="736"/>
      <c r="C221" s="736"/>
      <c r="D221" s="736"/>
      <c r="E221" s="736"/>
      <c r="F221" s="736"/>
      <c r="G221" s="736"/>
      <c r="H221" s="736"/>
      <c r="I221" s="736"/>
      <c r="J221" s="736"/>
      <c r="K221" s="736"/>
      <c r="L221" s="740"/>
      <c r="M221" s="737"/>
      <c r="N221" s="737"/>
      <c r="O221" s="738"/>
      <c r="P221" s="736"/>
      <c r="Q221" s="739"/>
      <c r="R221" s="730"/>
      <c r="S221" s="730"/>
      <c r="T221" s="730"/>
      <c r="U221" s="730"/>
    </row>
    <row r="222">
      <c r="A222" s="735"/>
      <c r="B222" s="736"/>
      <c r="C222" s="736"/>
      <c r="D222" s="736"/>
      <c r="E222" s="736"/>
      <c r="F222" s="736"/>
      <c r="G222" s="736"/>
      <c r="H222" s="736"/>
      <c r="I222" s="736"/>
      <c r="J222" s="736"/>
      <c r="K222" s="736"/>
      <c r="L222" s="740"/>
      <c r="M222" s="737"/>
      <c r="N222" s="737"/>
      <c r="O222" s="738"/>
      <c r="P222" s="736"/>
      <c r="Q222" s="739"/>
      <c r="R222" s="730"/>
      <c r="S222" s="730"/>
      <c r="T222" s="730"/>
      <c r="U222" s="730"/>
    </row>
    <row r="223">
      <c r="A223" s="735"/>
      <c r="B223" s="736"/>
      <c r="C223" s="736"/>
      <c r="D223" s="736"/>
      <c r="E223" s="736"/>
      <c r="F223" s="736"/>
      <c r="G223" s="736"/>
      <c r="H223" s="736"/>
      <c r="I223" s="736"/>
      <c r="J223" s="736"/>
      <c r="K223" s="736"/>
      <c r="L223" s="740"/>
      <c r="M223" s="737"/>
      <c r="N223" s="737"/>
      <c r="O223" s="738"/>
      <c r="P223" s="736"/>
      <c r="Q223" s="739"/>
      <c r="R223" s="730"/>
      <c r="S223" s="730"/>
      <c r="T223" s="730"/>
      <c r="U223" s="730"/>
    </row>
    <row r="224">
      <c r="A224" s="735"/>
      <c r="B224" s="736"/>
      <c r="C224" s="736"/>
      <c r="D224" s="736"/>
      <c r="E224" s="736"/>
      <c r="F224" s="736"/>
      <c r="G224" s="736"/>
      <c r="H224" s="736"/>
      <c r="I224" s="736"/>
      <c r="J224" s="736"/>
      <c r="K224" s="736"/>
      <c r="L224" s="740"/>
      <c r="M224" s="737"/>
      <c r="N224" s="737"/>
      <c r="O224" s="738"/>
      <c r="P224" s="736"/>
      <c r="Q224" s="739"/>
      <c r="R224" s="730"/>
      <c r="S224" s="730"/>
      <c r="T224" s="730"/>
      <c r="U224" s="730"/>
    </row>
    <row r="225">
      <c r="A225" s="735"/>
      <c r="B225" s="736"/>
      <c r="C225" s="736"/>
      <c r="D225" s="736"/>
      <c r="E225" s="736"/>
      <c r="F225" s="736"/>
      <c r="G225" s="736"/>
      <c r="H225" s="736"/>
      <c r="I225" s="736"/>
      <c r="J225" s="736"/>
      <c r="K225" s="736"/>
      <c r="L225" s="740"/>
      <c r="M225" s="737"/>
      <c r="N225" s="737"/>
      <c r="O225" s="738"/>
      <c r="P225" s="736"/>
      <c r="Q225" s="739"/>
      <c r="R225" s="730"/>
      <c r="S225" s="730"/>
      <c r="T225" s="730"/>
      <c r="U225" s="730"/>
    </row>
    <row r="226">
      <c r="A226" s="735"/>
      <c r="B226" s="736"/>
      <c r="C226" s="736"/>
      <c r="D226" s="736"/>
      <c r="E226" s="736"/>
      <c r="F226" s="736"/>
      <c r="G226" s="736"/>
      <c r="H226" s="736"/>
      <c r="I226" s="736"/>
      <c r="J226" s="736"/>
      <c r="K226" s="736"/>
      <c r="L226" s="740"/>
      <c r="M226" s="737"/>
      <c r="N226" s="737"/>
      <c r="O226" s="738"/>
      <c r="P226" s="736"/>
      <c r="Q226" s="739"/>
      <c r="R226" s="730"/>
      <c r="S226" s="730"/>
      <c r="T226" s="730"/>
      <c r="U226" s="730"/>
    </row>
    <row r="227">
      <c r="A227" s="735"/>
      <c r="B227" s="736"/>
      <c r="C227" s="736"/>
      <c r="D227" s="736"/>
      <c r="E227" s="736"/>
      <c r="F227" s="736"/>
      <c r="G227" s="736"/>
      <c r="H227" s="736"/>
      <c r="I227" s="736"/>
      <c r="J227" s="736"/>
      <c r="K227" s="736"/>
      <c r="L227" s="740"/>
      <c r="M227" s="737"/>
      <c r="N227" s="737"/>
      <c r="O227" s="738"/>
      <c r="P227" s="736"/>
      <c r="Q227" s="739"/>
      <c r="R227" s="730"/>
      <c r="S227" s="730"/>
      <c r="T227" s="730"/>
      <c r="U227" s="730"/>
    </row>
    <row r="228">
      <c r="A228" s="735"/>
      <c r="B228" s="736"/>
      <c r="C228" s="736"/>
      <c r="D228" s="736"/>
      <c r="E228" s="736"/>
      <c r="F228" s="736"/>
      <c r="G228" s="736"/>
      <c r="H228" s="736"/>
      <c r="I228" s="736"/>
      <c r="J228" s="736"/>
      <c r="K228" s="736"/>
      <c r="L228" s="740"/>
      <c r="M228" s="737"/>
      <c r="N228" s="737"/>
      <c r="O228" s="738"/>
      <c r="P228" s="736"/>
      <c r="Q228" s="739"/>
      <c r="R228" s="730"/>
      <c r="S228" s="730"/>
      <c r="T228" s="730"/>
      <c r="U228" s="730"/>
    </row>
    <row r="229">
      <c r="A229" s="735"/>
      <c r="B229" s="736"/>
      <c r="C229" s="736"/>
      <c r="D229" s="736"/>
      <c r="E229" s="736"/>
      <c r="F229" s="736"/>
      <c r="G229" s="736"/>
      <c r="H229" s="736"/>
      <c r="I229" s="736"/>
      <c r="J229" s="736"/>
      <c r="K229" s="736"/>
      <c r="L229" s="740"/>
      <c r="M229" s="737"/>
      <c r="N229" s="737"/>
      <c r="O229" s="738"/>
      <c r="P229" s="736"/>
      <c r="Q229" s="739"/>
      <c r="R229" s="730"/>
      <c r="S229" s="730"/>
      <c r="T229" s="730"/>
      <c r="U229" s="730"/>
    </row>
    <row r="230">
      <c r="A230" s="735"/>
      <c r="B230" s="736"/>
      <c r="C230" s="736"/>
      <c r="D230" s="736"/>
      <c r="E230" s="736"/>
      <c r="F230" s="736"/>
      <c r="G230" s="736"/>
      <c r="H230" s="736"/>
      <c r="I230" s="736"/>
      <c r="J230" s="736"/>
      <c r="K230" s="736"/>
      <c r="L230" s="740"/>
      <c r="M230" s="737"/>
      <c r="N230" s="737"/>
      <c r="O230" s="738"/>
      <c r="P230" s="736"/>
      <c r="Q230" s="739"/>
      <c r="R230" s="730"/>
      <c r="S230" s="730"/>
      <c r="T230" s="730"/>
      <c r="U230" s="730"/>
    </row>
    <row r="231">
      <c r="A231" s="735"/>
      <c r="B231" s="736"/>
      <c r="C231" s="736"/>
      <c r="D231" s="736"/>
      <c r="E231" s="736"/>
      <c r="F231" s="736"/>
      <c r="G231" s="736"/>
      <c r="H231" s="736"/>
      <c r="I231" s="736"/>
      <c r="J231" s="736"/>
      <c r="K231" s="736"/>
      <c r="L231" s="740"/>
      <c r="M231" s="737"/>
      <c r="N231" s="737"/>
      <c r="O231" s="738"/>
      <c r="P231" s="736"/>
      <c r="Q231" s="739"/>
      <c r="R231" s="730"/>
      <c r="S231" s="730"/>
      <c r="T231" s="730"/>
      <c r="U231" s="730"/>
    </row>
    <row r="232">
      <c r="A232" s="735"/>
      <c r="B232" s="736"/>
      <c r="C232" s="736"/>
      <c r="D232" s="736"/>
      <c r="E232" s="736"/>
      <c r="F232" s="736"/>
      <c r="G232" s="736"/>
      <c r="H232" s="736"/>
      <c r="I232" s="736"/>
      <c r="J232" s="736"/>
      <c r="K232" s="736"/>
      <c r="L232" s="740"/>
      <c r="M232" s="737"/>
      <c r="N232" s="737"/>
      <c r="O232" s="738"/>
      <c r="P232" s="736"/>
      <c r="Q232" s="739"/>
      <c r="R232" s="730"/>
      <c r="S232" s="730"/>
      <c r="T232" s="730"/>
      <c r="U232" s="730"/>
    </row>
    <row r="233">
      <c r="A233" s="735"/>
      <c r="B233" s="736"/>
      <c r="C233" s="736"/>
      <c r="D233" s="736"/>
      <c r="E233" s="736"/>
      <c r="F233" s="736"/>
      <c r="G233" s="736"/>
      <c r="H233" s="736"/>
      <c r="I233" s="736"/>
      <c r="J233" s="736"/>
      <c r="K233" s="736"/>
      <c r="L233" s="740"/>
      <c r="M233" s="737"/>
      <c r="N233" s="737"/>
      <c r="O233" s="738"/>
      <c r="P233" s="736"/>
      <c r="Q233" s="739"/>
      <c r="R233" s="730"/>
      <c r="S233" s="730"/>
      <c r="T233" s="730"/>
      <c r="U233" s="730"/>
    </row>
    <row r="234">
      <c r="A234" s="735"/>
      <c r="B234" s="736"/>
      <c r="C234" s="736"/>
      <c r="D234" s="736"/>
      <c r="E234" s="736"/>
      <c r="F234" s="736"/>
      <c r="G234" s="736"/>
      <c r="H234" s="736"/>
      <c r="I234" s="736"/>
      <c r="J234" s="736"/>
      <c r="K234" s="736"/>
      <c r="L234" s="740"/>
      <c r="M234" s="737"/>
      <c r="N234" s="737"/>
      <c r="O234" s="738"/>
      <c r="P234" s="736"/>
      <c r="Q234" s="739"/>
      <c r="R234" s="730"/>
      <c r="S234" s="730"/>
      <c r="T234" s="730"/>
      <c r="U234" s="730"/>
    </row>
    <row r="235">
      <c r="A235" s="735"/>
      <c r="B235" s="736"/>
      <c r="C235" s="736"/>
      <c r="D235" s="736"/>
      <c r="E235" s="736"/>
      <c r="F235" s="736"/>
      <c r="G235" s="736"/>
      <c r="H235" s="736"/>
      <c r="I235" s="736"/>
      <c r="J235" s="736"/>
      <c r="K235" s="736"/>
      <c r="L235" s="740"/>
      <c r="M235" s="737"/>
      <c r="N235" s="737"/>
      <c r="O235" s="738"/>
      <c r="P235" s="736"/>
      <c r="Q235" s="739"/>
      <c r="R235" s="730"/>
      <c r="S235" s="730"/>
      <c r="T235" s="730"/>
      <c r="U235" s="730"/>
    </row>
    <row r="236">
      <c r="A236" s="735"/>
      <c r="B236" s="736"/>
      <c r="C236" s="736"/>
      <c r="D236" s="736"/>
      <c r="E236" s="736"/>
      <c r="F236" s="736"/>
      <c r="G236" s="736"/>
      <c r="H236" s="736"/>
      <c r="I236" s="736"/>
      <c r="J236" s="736"/>
      <c r="K236" s="736"/>
      <c r="L236" s="740"/>
      <c r="M236" s="737"/>
      <c r="N236" s="737"/>
      <c r="O236" s="738"/>
      <c r="P236" s="736"/>
      <c r="Q236" s="739"/>
      <c r="R236" s="730"/>
      <c r="S236" s="730"/>
      <c r="T236" s="730"/>
      <c r="U236" s="730"/>
    </row>
    <row r="237">
      <c r="A237" s="735"/>
      <c r="B237" s="736"/>
      <c r="C237" s="736"/>
      <c r="D237" s="736"/>
      <c r="E237" s="736"/>
      <c r="F237" s="736"/>
      <c r="G237" s="736"/>
      <c r="H237" s="736"/>
      <c r="I237" s="736"/>
      <c r="J237" s="736"/>
      <c r="K237" s="736"/>
      <c r="L237" s="740"/>
      <c r="M237" s="737"/>
      <c r="N237" s="737"/>
      <c r="O237" s="738"/>
      <c r="P237" s="736"/>
      <c r="Q237" s="739"/>
      <c r="R237" s="730"/>
      <c r="S237" s="730"/>
      <c r="T237" s="730"/>
      <c r="U237" s="730"/>
    </row>
    <row r="238">
      <c r="A238" s="735"/>
      <c r="B238" s="736"/>
      <c r="C238" s="736"/>
      <c r="D238" s="736"/>
      <c r="E238" s="736"/>
      <c r="F238" s="736"/>
      <c r="G238" s="736"/>
      <c r="H238" s="736"/>
      <c r="I238" s="736"/>
      <c r="J238" s="736"/>
      <c r="K238" s="736"/>
      <c r="L238" s="740"/>
      <c r="M238" s="737"/>
      <c r="N238" s="737"/>
      <c r="O238" s="738"/>
      <c r="P238" s="736"/>
      <c r="Q238" s="739"/>
      <c r="R238" s="730"/>
      <c r="S238" s="730"/>
      <c r="T238" s="730"/>
      <c r="U238" s="730"/>
    </row>
    <row r="239">
      <c r="A239" s="735"/>
      <c r="B239" s="736"/>
      <c r="C239" s="736"/>
      <c r="D239" s="736"/>
      <c r="E239" s="736"/>
      <c r="F239" s="736"/>
      <c r="G239" s="736"/>
      <c r="H239" s="736"/>
      <c r="I239" s="736"/>
      <c r="J239" s="736"/>
      <c r="K239" s="736"/>
      <c r="L239" s="740"/>
      <c r="M239" s="737"/>
      <c r="N239" s="737"/>
      <c r="O239" s="738"/>
      <c r="P239" s="736"/>
      <c r="Q239" s="739"/>
      <c r="R239" s="730"/>
      <c r="S239" s="730"/>
      <c r="T239" s="730"/>
      <c r="U239" s="730"/>
    </row>
    <row r="240">
      <c r="A240" s="735"/>
      <c r="B240" s="736"/>
      <c r="C240" s="736"/>
      <c r="D240" s="736"/>
      <c r="E240" s="736"/>
      <c r="F240" s="736"/>
      <c r="G240" s="736"/>
      <c r="H240" s="736"/>
      <c r="I240" s="736"/>
      <c r="J240" s="736"/>
      <c r="K240" s="736"/>
      <c r="L240" s="740"/>
      <c r="M240" s="737"/>
      <c r="N240" s="737"/>
      <c r="O240" s="738"/>
      <c r="P240" s="736"/>
      <c r="Q240" s="739"/>
      <c r="R240" s="730"/>
      <c r="S240" s="730"/>
      <c r="T240" s="730"/>
      <c r="U240" s="730"/>
    </row>
    <row r="241">
      <c r="A241" s="735"/>
      <c r="B241" s="736"/>
      <c r="C241" s="736"/>
      <c r="D241" s="736"/>
      <c r="E241" s="736"/>
      <c r="F241" s="736"/>
      <c r="G241" s="736"/>
      <c r="H241" s="736"/>
      <c r="I241" s="736"/>
      <c r="J241" s="736"/>
      <c r="K241" s="736"/>
      <c r="L241" s="740"/>
      <c r="M241" s="737"/>
      <c r="N241" s="737"/>
      <c r="O241" s="738"/>
      <c r="P241" s="736"/>
      <c r="Q241" s="739"/>
      <c r="R241" s="730"/>
      <c r="S241" s="730"/>
      <c r="T241" s="730"/>
      <c r="U241" s="730"/>
    </row>
    <row r="242">
      <c r="A242" s="735"/>
      <c r="B242" s="736"/>
      <c r="C242" s="736"/>
      <c r="D242" s="736"/>
      <c r="E242" s="736"/>
      <c r="F242" s="736"/>
      <c r="G242" s="736"/>
      <c r="H242" s="736"/>
      <c r="I242" s="736"/>
      <c r="J242" s="736"/>
      <c r="K242" s="736"/>
      <c r="L242" s="740"/>
      <c r="M242" s="737"/>
      <c r="N242" s="737"/>
      <c r="O242" s="738"/>
      <c r="P242" s="736"/>
      <c r="Q242" s="739"/>
      <c r="R242" s="730"/>
      <c r="S242" s="730"/>
      <c r="T242" s="730"/>
      <c r="U242" s="730"/>
    </row>
    <row r="243">
      <c r="A243" s="735"/>
      <c r="B243" s="736"/>
      <c r="C243" s="736"/>
      <c r="D243" s="736"/>
      <c r="E243" s="736"/>
      <c r="F243" s="736"/>
      <c r="G243" s="736"/>
      <c r="H243" s="736"/>
      <c r="I243" s="736"/>
      <c r="J243" s="736"/>
      <c r="K243" s="736"/>
      <c r="L243" s="740"/>
      <c r="M243" s="737"/>
      <c r="N243" s="737"/>
      <c r="O243" s="738"/>
      <c r="P243" s="736"/>
      <c r="Q243" s="739"/>
      <c r="R243" s="730"/>
      <c r="S243" s="730"/>
      <c r="T243" s="730"/>
      <c r="U243" s="730"/>
    </row>
    <row r="244">
      <c r="A244" s="735"/>
      <c r="B244" s="736"/>
      <c r="C244" s="736"/>
      <c r="D244" s="736"/>
      <c r="E244" s="736"/>
      <c r="F244" s="736"/>
      <c r="G244" s="736"/>
      <c r="H244" s="736"/>
      <c r="I244" s="736"/>
      <c r="J244" s="736"/>
      <c r="K244" s="736"/>
      <c r="L244" s="740"/>
      <c r="M244" s="737"/>
      <c r="N244" s="737"/>
      <c r="O244" s="738"/>
      <c r="P244" s="736"/>
      <c r="Q244" s="739"/>
      <c r="R244" s="730"/>
      <c r="S244" s="730"/>
      <c r="T244" s="730"/>
      <c r="U244" s="730"/>
    </row>
    <row r="245">
      <c r="A245" s="735"/>
      <c r="B245" s="736"/>
      <c r="C245" s="736"/>
      <c r="D245" s="736"/>
      <c r="E245" s="736"/>
      <c r="F245" s="736"/>
      <c r="G245" s="736"/>
      <c r="H245" s="736"/>
      <c r="I245" s="736"/>
      <c r="J245" s="736"/>
      <c r="K245" s="736"/>
      <c r="L245" s="740"/>
      <c r="M245" s="737"/>
      <c r="N245" s="737"/>
      <c r="O245" s="738"/>
      <c r="P245" s="736"/>
      <c r="Q245" s="739"/>
      <c r="R245" s="730"/>
      <c r="S245" s="730"/>
      <c r="T245" s="730"/>
      <c r="U245" s="730"/>
    </row>
    <row r="246">
      <c r="A246" s="735"/>
      <c r="B246" s="736"/>
      <c r="C246" s="736"/>
      <c r="D246" s="736"/>
      <c r="E246" s="736"/>
      <c r="F246" s="736"/>
      <c r="G246" s="736"/>
      <c r="H246" s="736"/>
      <c r="I246" s="736"/>
      <c r="J246" s="736"/>
      <c r="K246" s="736"/>
      <c r="L246" s="740"/>
      <c r="M246" s="737"/>
      <c r="N246" s="737"/>
      <c r="O246" s="738"/>
      <c r="P246" s="736"/>
      <c r="Q246" s="739"/>
      <c r="R246" s="730"/>
      <c r="S246" s="730"/>
      <c r="T246" s="730"/>
      <c r="U246" s="730"/>
    </row>
    <row r="247">
      <c r="A247" s="735"/>
      <c r="B247" s="736"/>
      <c r="C247" s="736"/>
      <c r="D247" s="736"/>
      <c r="E247" s="736"/>
      <c r="F247" s="736"/>
      <c r="G247" s="736"/>
      <c r="H247" s="736"/>
      <c r="I247" s="736"/>
      <c r="J247" s="736"/>
      <c r="K247" s="736"/>
      <c r="L247" s="740"/>
      <c r="M247" s="737"/>
      <c r="N247" s="737"/>
      <c r="O247" s="738"/>
      <c r="P247" s="734"/>
      <c r="Q247" s="738"/>
      <c r="R247" s="730"/>
      <c r="S247" s="730"/>
      <c r="T247" s="730"/>
      <c r="U247" s="730"/>
    </row>
  </sheetData>
  <autoFilter ref="A1:U184">
    <filterColumn colId="5">
      <colorFilter cellColor="" dxfId="3"/>
    </filterColumn>
  </autoFilter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cols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" min="1" style="0" width="11.211267605633802"/>
    <col collapsed="false" customWidth="true" hidden="false" max="6" min="6" style="0" width="11.211267605633802"/>
  </cols>
  <sheetData>
    <row r="1">
      <c r="A1" s="746" t="s">
        <v>803</v>
      </c>
      <c r="B1" s="747" t="s">
        <v>804</v>
      </c>
      <c r="C1" s="747" t="s">
        <v>805</v>
      </c>
      <c r="D1" s="747" t="s">
        <v>806</v>
      </c>
      <c r="E1" s="747" t="s">
        <v>807</v>
      </c>
      <c r="F1" s="747" t="s">
        <v>808</v>
      </c>
      <c r="G1" s="748" t="s">
        <v>809</v>
      </c>
      <c r="H1" s="747" t="s">
        <v>810</v>
      </c>
      <c r="I1" s="747" t="s">
        <v>811</v>
      </c>
      <c r="J1" s="747" t="s">
        <v>812</v>
      </c>
      <c r="K1" s="749" t="s">
        <v>813</v>
      </c>
      <c r="L1" s="749" t="s">
        <v>814</v>
      </c>
      <c r="M1" s="749" t="s">
        <v>815</v>
      </c>
      <c r="N1" s="750" t="s">
        <v>816</v>
      </c>
      <c r="O1" s="750" t="s">
        <v>817</v>
      </c>
      <c r="P1" s="750" t="s">
        <v>818</v>
      </c>
    </row>
    <row hidden="true" r="2">
      <c r="A2" s="751">
        <v>45839</v>
      </c>
      <c r="B2" s="752" t="s">
        <v>819</v>
      </c>
      <c r="C2" s="753" t="s">
        <v>820</v>
      </c>
      <c r="D2" s="754">
        <v>5</v>
      </c>
      <c r="E2" s="754">
        <v>31</v>
      </c>
      <c r="F2" s="754">
        <v>26</v>
      </c>
      <c r="G2" s="754">
        <v>20</v>
      </c>
      <c r="H2" s="754">
        <v>4</v>
      </c>
      <c r="I2" s="755">
        <v>25654</v>
      </c>
      <c r="J2" s="755">
        <v>17832.260000000002</v>
      </c>
      <c r="K2" s="756">
        <f t="shared" ref="K2:K156" si="1">I2/J2</f>
      </c>
      <c r="L2" s="757">
        <f t="shared" ref="L2:L156" si="0">I2/F2</f>
      </c>
      <c r="M2" s="757">
        <f t="shared" ref="M2:M156" si="2">J2/F2</f>
      </c>
      <c r="N2" s="758" t="s">
        <v>821</v>
      </c>
      <c r="O2" s="752">
        <v>7</v>
      </c>
    </row>
    <row hidden="true" r="3">
      <c r="A3" s="751">
        <v>45839</v>
      </c>
      <c r="B3" s="752" t="s">
        <v>822</v>
      </c>
      <c r="C3" s="753" t="s">
        <v>823</v>
      </c>
      <c r="D3" s="754">
        <v>4</v>
      </c>
      <c r="E3" s="754">
        <v>37</v>
      </c>
      <c r="F3" s="754">
        <v>27</v>
      </c>
      <c r="G3" s="754">
        <v>23</v>
      </c>
      <c r="H3" s="754">
        <v>6</v>
      </c>
      <c r="I3" s="755">
        <v>23760.4</v>
      </c>
      <c r="J3" s="755">
        <v>13845.73</v>
      </c>
      <c r="K3" s="756">
        <f t="shared" si="1"/>
      </c>
      <c r="L3" s="757">
        <f t="shared" si="0"/>
      </c>
      <c r="M3" s="757">
        <f t="shared" si="2"/>
      </c>
      <c r="N3" s="758"/>
      <c r="O3" s="752"/>
    </row>
    <row hidden="true" r="4">
      <c r="A4" s="759">
        <v>45839</v>
      </c>
      <c r="B4" s="752" t="s">
        <v>824</v>
      </c>
      <c r="C4" s="753" t="s">
        <v>825</v>
      </c>
      <c r="D4" s="754">
        <v>2</v>
      </c>
      <c r="E4" s="754">
        <v>7</v>
      </c>
      <c r="F4" s="754">
        <v>6</v>
      </c>
      <c r="G4" s="754">
        <v>5</v>
      </c>
      <c r="H4" s="754">
        <v>1</v>
      </c>
      <c r="I4" s="755">
        <v>4229</v>
      </c>
      <c r="J4" s="755">
        <v>5328.25</v>
      </c>
      <c r="K4" s="756">
        <f t="shared" si="1"/>
      </c>
      <c r="L4" s="757">
        <f t="shared" si="0"/>
      </c>
      <c r="M4" s="757">
        <f t="shared" si="2"/>
      </c>
      <c r="N4" s="758"/>
      <c r="O4" s="752"/>
      <c r="R4" s="760"/>
    </row>
    <row hidden="true" r="5">
      <c r="A5" s="759">
        <v>45839</v>
      </c>
      <c r="B5" s="752" t="s">
        <v>826</v>
      </c>
      <c r="C5" s="753" t="s">
        <v>827</v>
      </c>
      <c r="D5" s="754">
        <v>4</v>
      </c>
      <c r="E5" s="754">
        <v>27</v>
      </c>
      <c r="F5" s="754">
        <v>23</v>
      </c>
      <c r="G5" s="754">
        <v>15</v>
      </c>
      <c r="H5" s="754">
        <v>1</v>
      </c>
      <c r="I5" s="754">
        <v>21350.6</v>
      </c>
      <c r="J5" s="761">
        <v>11598.92</v>
      </c>
      <c r="K5" s="756">
        <f t="shared" si="1"/>
      </c>
      <c r="L5" s="757">
        <f t="shared" si="0"/>
      </c>
      <c r="M5" s="757">
        <f t="shared" si="2"/>
      </c>
      <c r="N5" s="758" t="s">
        <v>828</v>
      </c>
      <c r="O5" s="752">
        <v>8</v>
      </c>
    </row>
    <row r="6">
      <c r="A6" s="762">
        <v>45839</v>
      </c>
      <c r="B6" s="763"/>
      <c r="C6" s="763"/>
      <c r="D6" s="764">
        <f>SUM(D2:D5)</f>
      </c>
      <c r="E6" s="764">
        <f>SUM(E2:E5)</f>
      </c>
      <c r="F6" s="764">
        <f>SUM(F2:F5)</f>
      </c>
      <c r="G6" s="764">
        <f>SUM(G2:G5)</f>
      </c>
      <c r="H6" s="764">
        <f>SUM(H2:H5)</f>
      </c>
      <c r="I6" s="763">
        <f>SUM(I2:I5)</f>
      </c>
      <c r="J6" s="763">
        <f>SUM(J2:J5)</f>
      </c>
      <c r="K6" s="765">
        <f t="shared" si="1"/>
      </c>
      <c r="L6" s="766">
        <f t="shared" si="0"/>
      </c>
      <c r="M6" s="766">
        <f t="shared" si="2"/>
      </c>
      <c r="N6" s="767"/>
      <c r="O6" s="763">
        <f>SUM(O2:O5)</f>
      </c>
      <c r="P6" s="763"/>
    </row>
    <row hidden="true" r="7">
      <c r="A7" s="751">
        <v>45840</v>
      </c>
      <c r="B7" s="752" t="s">
        <v>819</v>
      </c>
      <c r="C7" s="753" t="s">
        <v>829</v>
      </c>
      <c r="D7" s="754">
        <v>4</v>
      </c>
      <c r="E7" s="754">
        <v>36</v>
      </c>
      <c r="F7" s="754">
        <v>24</v>
      </c>
      <c r="G7" s="754">
        <v>16</v>
      </c>
      <c r="H7" s="754">
        <v>1</v>
      </c>
      <c r="I7" s="755">
        <v>25329.600000000002</v>
      </c>
      <c r="J7" s="755">
        <v>14326.13</v>
      </c>
      <c r="K7" s="756">
        <f t="shared" si="1"/>
      </c>
      <c r="L7" s="757">
        <f t="shared" si="0"/>
      </c>
      <c r="M7" s="757">
        <f t="shared" si="2"/>
      </c>
      <c r="N7" s="758" t="s">
        <v>830</v>
      </c>
      <c r="O7" s="752">
        <v>9</v>
      </c>
    </row>
    <row hidden="true" r="8">
      <c r="A8" s="751">
        <v>45840</v>
      </c>
      <c r="B8" s="752" t="s">
        <v>826</v>
      </c>
      <c r="C8" s="753" t="s">
        <v>831</v>
      </c>
      <c r="D8" s="754">
        <v>3</v>
      </c>
      <c r="E8" s="754">
        <v>14</v>
      </c>
      <c r="F8" s="754">
        <v>9</v>
      </c>
      <c r="G8" s="754">
        <v>4</v>
      </c>
      <c r="H8" s="754">
        <v>0</v>
      </c>
      <c r="I8" s="755">
        <v>6646.799999999999</v>
      </c>
      <c r="J8" s="755">
        <v>8547.03</v>
      </c>
      <c r="K8" s="756">
        <f t="shared" si="1"/>
      </c>
      <c r="L8" s="757">
        <f t="shared" si="0"/>
      </c>
      <c r="M8" s="757">
        <f t="shared" si="2"/>
      </c>
      <c r="N8" s="758"/>
      <c r="O8" s="752"/>
    </row>
    <row hidden="true" r="9">
      <c r="A9" s="751">
        <v>45840</v>
      </c>
      <c r="B9" s="752" t="s">
        <v>832</v>
      </c>
      <c r="C9" s="753" t="s">
        <v>833</v>
      </c>
      <c r="D9" s="754">
        <v>5</v>
      </c>
      <c r="E9" s="754">
        <v>31</v>
      </c>
      <c r="F9" s="754">
        <v>22</v>
      </c>
      <c r="G9" s="754">
        <v>18</v>
      </c>
      <c r="H9" s="754">
        <v>2</v>
      </c>
      <c r="I9" s="755">
        <v>20966.4</v>
      </c>
      <c r="J9" s="755">
        <v>13634.130000000001</v>
      </c>
      <c r="K9" s="756">
        <f t="shared" si="1"/>
      </c>
      <c r="L9" s="757">
        <f t="shared" si="0"/>
      </c>
      <c r="M9" s="757">
        <f t="shared" si="2"/>
      </c>
      <c r="N9" s="758"/>
      <c r="O9" s="752"/>
    </row>
    <row hidden="true" r="10">
      <c r="A10" s="751">
        <v>45840</v>
      </c>
      <c r="B10" s="752" t="s">
        <v>822</v>
      </c>
      <c r="C10" s="753" t="s">
        <v>834</v>
      </c>
      <c r="D10" s="754">
        <v>5</v>
      </c>
      <c r="E10" s="754">
        <v>32</v>
      </c>
      <c r="F10" s="754">
        <v>20</v>
      </c>
      <c r="G10" s="754">
        <v>15</v>
      </c>
      <c r="H10" s="754">
        <v>3</v>
      </c>
      <c r="I10" s="754">
        <v>21228</v>
      </c>
      <c r="J10" s="761">
        <v>11261.000000000002</v>
      </c>
      <c r="K10" s="756">
        <f t="shared" si="1"/>
      </c>
      <c r="L10" s="757">
        <f t="shared" si="0"/>
      </c>
      <c r="M10" s="757">
        <f t="shared" si="2"/>
      </c>
      <c r="N10" s="758" t="s">
        <v>828</v>
      </c>
      <c r="O10" s="752">
        <v>8</v>
      </c>
    </row>
    <row r="11">
      <c r="A11" s="762">
        <v>45840</v>
      </c>
      <c r="B11" s="763"/>
      <c r="C11" s="763"/>
      <c r="D11" s="764">
        <f>SUM(D7:D10)</f>
      </c>
      <c r="E11" s="764">
        <f>SUM(E7:E10)</f>
      </c>
      <c r="F11" s="764">
        <f>SUM(F7:F10)</f>
      </c>
      <c r="G11" s="764">
        <f>SUM(G7:G10)</f>
      </c>
      <c r="H11" s="764">
        <f>SUM(H7:H10)</f>
      </c>
      <c r="I11" s="763">
        <f>SUM(I7:I10)</f>
      </c>
      <c r="J11" s="763">
        <f>SUM(J7:J10)</f>
      </c>
      <c r="K11" s="765">
        <f t="shared" si="1"/>
      </c>
      <c r="L11" s="766">
        <f t="shared" si="0"/>
      </c>
      <c r="M11" s="766">
        <f t="shared" si="2"/>
      </c>
      <c r="N11" s="767"/>
      <c r="O11" s="763">
        <f>SUM(O7:O10)</f>
      </c>
      <c r="P11" s="763"/>
      <c r="R11" s="760"/>
    </row>
    <row hidden="true" r="12">
      <c r="A12" s="751">
        <v>45841</v>
      </c>
      <c r="B12" s="752" t="s">
        <v>819</v>
      </c>
      <c r="C12" s="753" t="s">
        <v>829</v>
      </c>
      <c r="D12" s="754">
        <v>4</v>
      </c>
      <c r="E12" s="754">
        <v>30</v>
      </c>
      <c r="F12" s="754">
        <v>25</v>
      </c>
      <c r="G12" s="754">
        <v>17</v>
      </c>
      <c r="H12" s="754">
        <v>3</v>
      </c>
      <c r="I12" s="755">
        <v>26627.399999999994</v>
      </c>
      <c r="J12" s="755">
        <v>12370.789999999999</v>
      </c>
      <c r="K12" s="756">
        <f t="shared" si="1"/>
      </c>
      <c r="L12" s="757">
        <f t="shared" si="0"/>
      </c>
      <c r="M12" s="757">
        <f t="shared" si="2"/>
      </c>
      <c r="N12" s="758" t="s">
        <v>830</v>
      </c>
      <c r="O12" s="752">
        <v>9</v>
      </c>
    </row>
    <row hidden="true" r="13">
      <c r="A13" s="751">
        <v>45841</v>
      </c>
      <c r="B13" s="752" t="s">
        <v>822</v>
      </c>
      <c r="C13" s="753" t="s">
        <v>831</v>
      </c>
      <c r="D13" s="754">
        <v>4</v>
      </c>
      <c r="E13" s="754">
        <v>36</v>
      </c>
      <c r="F13" s="754">
        <v>20</v>
      </c>
      <c r="G13" s="754">
        <v>15</v>
      </c>
      <c r="H13" s="754">
        <v>2</v>
      </c>
      <c r="I13" s="755">
        <v>16744.8</v>
      </c>
      <c r="J13" s="755">
        <v>13025.52</v>
      </c>
      <c r="K13" s="756">
        <f t="shared" si="1"/>
      </c>
      <c r="L13" s="757">
        <f t="shared" si="0"/>
      </c>
      <c r="M13" s="757">
        <f t="shared" si="2"/>
      </c>
      <c r="N13" s="758"/>
      <c r="O13" s="752"/>
    </row>
    <row hidden="true" r="14">
      <c r="A14" s="751">
        <v>45841</v>
      </c>
      <c r="B14" s="752" t="s">
        <v>832</v>
      </c>
      <c r="C14" s="753" t="s">
        <v>833</v>
      </c>
      <c r="D14" s="754">
        <v>4</v>
      </c>
      <c r="E14" s="754">
        <v>43</v>
      </c>
      <c r="F14" s="754">
        <v>22</v>
      </c>
      <c r="G14" s="754">
        <v>15</v>
      </c>
      <c r="H14" s="754">
        <v>4</v>
      </c>
      <c r="I14" s="755">
        <v>27771</v>
      </c>
      <c r="J14" s="755">
        <v>12418.66</v>
      </c>
      <c r="K14" s="756">
        <f t="shared" si="1"/>
      </c>
      <c r="L14" s="757">
        <f t="shared" si="0"/>
      </c>
      <c r="M14" s="757">
        <f t="shared" si="2"/>
      </c>
      <c r="N14" s="758"/>
      <c r="O14" s="752"/>
    </row>
    <row hidden="true" r="15">
      <c r="A15" s="751">
        <v>45841</v>
      </c>
      <c r="B15" s="752" t="s">
        <v>826</v>
      </c>
      <c r="C15" s="753" t="s">
        <v>834</v>
      </c>
      <c r="D15" s="754">
        <v>5</v>
      </c>
      <c r="E15" s="754">
        <v>54</v>
      </c>
      <c r="F15" s="754">
        <v>43</v>
      </c>
      <c r="G15" s="754">
        <v>31</v>
      </c>
      <c r="H15" s="754">
        <v>6</v>
      </c>
      <c r="I15" s="754">
        <v>33567.6</v>
      </c>
      <c r="J15" s="761">
        <v>15035.9</v>
      </c>
      <c r="K15" s="756">
        <f t="shared" si="1"/>
      </c>
      <c r="L15" s="757">
        <f t="shared" si="0"/>
      </c>
      <c r="M15" s="757">
        <f t="shared" si="2"/>
      </c>
      <c r="N15" s="758" t="s">
        <v>828</v>
      </c>
      <c r="O15" s="752">
        <v>8</v>
      </c>
    </row>
    <row r="16">
      <c r="A16" s="762">
        <v>45841</v>
      </c>
      <c r="B16" s="763"/>
      <c r="C16" s="763"/>
      <c r="D16" s="764">
        <f>SUM(D12:D15)</f>
      </c>
      <c r="E16" s="764">
        <f>SUM(E12:E15)</f>
      </c>
      <c r="F16" s="764">
        <f>SUM(F12:F15)</f>
      </c>
      <c r="G16" s="764">
        <f>SUM(G12:G15)</f>
      </c>
      <c r="H16" s="764">
        <f>SUM(H12:H15)</f>
      </c>
      <c r="I16" s="763">
        <f>SUM(I12:I15)</f>
      </c>
      <c r="J16" s="763">
        <f>SUM(J12:J15)</f>
      </c>
      <c r="K16" s="765">
        <f t="shared" si="1"/>
      </c>
      <c r="L16" s="766">
        <f t="shared" si="0"/>
      </c>
      <c r="M16" s="766">
        <f t="shared" si="2"/>
      </c>
      <c r="N16" s="767"/>
      <c r="O16" s="763">
        <f>SUM(O12:O15)</f>
      </c>
      <c r="P16" s="763"/>
      <c r="R16" s="760"/>
    </row>
    <row hidden="true" r="17">
      <c r="A17" s="751">
        <v>45842</v>
      </c>
      <c r="B17" s="752" t="s">
        <v>819</v>
      </c>
      <c r="C17" s="753" t="s">
        <v>835</v>
      </c>
      <c r="D17" s="754">
        <v>6</v>
      </c>
      <c r="E17" s="754">
        <v>46</v>
      </c>
      <c r="F17" s="754">
        <v>36</v>
      </c>
      <c r="G17" s="754">
        <v>23</v>
      </c>
      <c r="H17" s="754">
        <v>5</v>
      </c>
      <c r="I17" s="755">
        <v>32458.199999999997</v>
      </c>
      <c r="J17" s="755">
        <v>20039.56</v>
      </c>
      <c r="K17" s="756">
        <f t="shared" si="1"/>
      </c>
      <c r="L17" s="757">
        <f t="shared" si="0"/>
      </c>
      <c r="M17" s="757">
        <f t="shared" si="2"/>
      </c>
      <c r="N17" s="758" t="s">
        <v>836</v>
      </c>
      <c r="O17" s="752">
        <v>9</v>
      </c>
    </row>
    <row hidden="true" r="18">
      <c r="A18" s="751">
        <v>45842</v>
      </c>
      <c r="B18" s="752" t="s">
        <v>832</v>
      </c>
      <c r="C18" s="753" t="s">
        <v>837</v>
      </c>
      <c r="D18" s="754">
        <v>3</v>
      </c>
      <c r="E18" s="754">
        <v>19</v>
      </c>
      <c r="F18" s="754">
        <v>14</v>
      </c>
      <c r="G18" s="754">
        <v>10</v>
      </c>
      <c r="H18" s="754">
        <v>1</v>
      </c>
      <c r="I18" s="755">
        <v>17238</v>
      </c>
      <c r="J18" s="755">
        <v>7813.82</v>
      </c>
      <c r="K18" s="756">
        <f t="shared" si="1"/>
      </c>
      <c r="L18" s="757">
        <f t="shared" si="0"/>
      </c>
      <c r="M18" s="757">
        <f t="shared" si="2"/>
      </c>
      <c r="N18" s="758"/>
      <c r="O18" s="752"/>
    </row>
    <row hidden="true" r="19">
      <c r="A19" s="751">
        <v>45842</v>
      </c>
      <c r="B19" s="752" t="s">
        <v>822</v>
      </c>
      <c r="C19" s="753" t="s">
        <v>838</v>
      </c>
      <c r="D19" s="754">
        <v>4</v>
      </c>
      <c r="E19" s="754">
        <v>50</v>
      </c>
      <c r="F19" s="754">
        <v>36</v>
      </c>
      <c r="G19" s="754">
        <v>32</v>
      </c>
      <c r="H19" s="754">
        <v>9</v>
      </c>
      <c r="I19" s="755">
        <v>32281.600000000002</v>
      </c>
      <c r="J19" s="755">
        <v>11946.810000000001</v>
      </c>
      <c r="K19" s="756">
        <f t="shared" si="1"/>
      </c>
      <c r="L19" s="757">
        <f t="shared" si="0"/>
      </c>
      <c r="M19" s="757">
        <f t="shared" si="2"/>
      </c>
      <c r="N19" s="758"/>
      <c r="O19" s="752"/>
    </row>
    <row hidden="true" r="20">
      <c r="A20" s="751">
        <v>45842</v>
      </c>
      <c r="B20" s="752" t="s">
        <v>826</v>
      </c>
      <c r="C20" s="753" t="s">
        <v>827</v>
      </c>
      <c r="D20" s="754">
        <v>4</v>
      </c>
      <c r="E20" s="754">
        <v>26</v>
      </c>
      <c r="F20" s="754">
        <v>17</v>
      </c>
      <c r="G20" s="754">
        <v>8</v>
      </c>
      <c r="H20" s="754">
        <v>1</v>
      </c>
      <c r="I20" s="754">
        <v>19676</v>
      </c>
      <c r="J20" s="761">
        <v>10370.31</v>
      </c>
      <c r="K20" s="756">
        <f t="shared" si="1"/>
      </c>
      <c r="L20" s="757">
        <f t="shared" si="0"/>
      </c>
      <c r="M20" s="757">
        <f t="shared" si="2"/>
      </c>
      <c r="N20" s="758" t="s">
        <v>830</v>
      </c>
      <c r="O20" s="752">
        <v>8</v>
      </c>
    </row>
    <row r="21">
      <c r="A21" s="762">
        <v>45842</v>
      </c>
      <c r="B21" s="763"/>
      <c r="C21" s="763"/>
      <c r="D21" s="764">
        <f>SUM(D17:D20)</f>
      </c>
      <c r="E21" s="764">
        <f>SUM(E17:E20)</f>
      </c>
      <c r="F21" s="764">
        <f>SUM(F17:F20)</f>
      </c>
      <c r="G21" s="764">
        <f>SUM(G17:G20)</f>
      </c>
      <c r="H21" s="764">
        <f>SUM(H17:H20)</f>
      </c>
      <c r="I21" s="763">
        <f>SUM(I17:I20)</f>
      </c>
      <c r="J21" s="763">
        <f>SUM(J17:J20)</f>
      </c>
      <c r="K21" s="765">
        <f t="shared" si="1"/>
      </c>
      <c r="L21" s="766">
        <f t="shared" si="0"/>
      </c>
      <c r="M21" s="766">
        <f t="shared" si="2"/>
      </c>
      <c r="N21" s="767"/>
      <c r="O21" s="763">
        <f>SUM(O17:O20)</f>
      </c>
      <c r="P21" s="763"/>
      <c r="R21" s="760"/>
    </row>
    <row hidden="true" r="22">
      <c r="A22" s="751">
        <v>45843</v>
      </c>
      <c r="B22" s="752" t="s">
        <v>819</v>
      </c>
      <c r="C22" s="753" t="s">
        <v>829</v>
      </c>
      <c r="D22" s="754">
        <v>4</v>
      </c>
      <c r="E22" s="754">
        <v>33</v>
      </c>
      <c r="F22" s="754">
        <v>27</v>
      </c>
      <c r="G22" s="754">
        <v>20</v>
      </c>
      <c r="H22" s="754">
        <v>3</v>
      </c>
      <c r="I22" s="755">
        <v>23540.8</v>
      </c>
      <c r="J22" s="755">
        <v>14012.100000000002</v>
      </c>
      <c r="K22" s="756">
        <f t="shared" si="1"/>
      </c>
      <c r="L22" s="757">
        <f t="shared" si="0"/>
      </c>
      <c r="M22" s="757">
        <f t="shared" si="2"/>
      </c>
      <c r="N22" s="758" t="s">
        <v>828</v>
      </c>
      <c r="O22" s="752">
        <v>9</v>
      </c>
    </row>
    <row hidden="true" r="23">
      <c r="A23" s="751">
        <v>45843</v>
      </c>
      <c r="B23" s="752" t="s">
        <v>824</v>
      </c>
      <c r="C23" s="753" t="s">
        <v>831</v>
      </c>
      <c r="D23" s="754">
        <v>4</v>
      </c>
      <c r="E23" s="754">
        <v>24</v>
      </c>
      <c r="F23" s="754">
        <v>16</v>
      </c>
      <c r="G23" s="754">
        <v>11</v>
      </c>
      <c r="H23" s="754">
        <v>1</v>
      </c>
      <c r="I23" s="755">
        <v>17186</v>
      </c>
      <c r="J23" s="755">
        <v>12936.08</v>
      </c>
      <c r="K23" s="756">
        <f t="shared" si="1"/>
      </c>
      <c r="L23" s="757">
        <f t="shared" si="0"/>
      </c>
      <c r="M23" s="757">
        <f t="shared" si="2"/>
      </c>
      <c r="N23" s="758"/>
      <c r="O23" s="752"/>
    </row>
    <row hidden="true" r="24">
      <c r="A24" s="751">
        <v>45843</v>
      </c>
      <c r="B24" s="752" t="s">
        <v>832</v>
      </c>
      <c r="C24" s="753" t="s">
        <v>833</v>
      </c>
      <c r="D24" s="754">
        <v>4</v>
      </c>
      <c r="E24" s="754">
        <v>28</v>
      </c>
      <c r="F24" s="754">
        <v>24</v>
      </c>
      <c r="G24" s="754">
        <v>16</v>
      </c>
      <c r="H24" s="754">
        <v>3</v>
      </c>
      <c r="I24" s="755">
        <v>36824.4</v>
      </c>
      <c r="J24" s="755">
        <v>11062.34</v>
      </c>
      <c r="K24" s="756">
        <f t="shared" si="1"/>
      </c>
      <c r="L24" s="757">
        <f t="shared" si="0"/>
      </c>
      <c r="M24" s="757">
        <f t="shared" si="2"/>
      </c>
      <c r="N24" s="758"/>
      <c r="O24" s="752"/>
    </row>
    <row hidden="true" r="25">
      <c r="A25" s="751">
        <v>45843</v>
      </c>
      <c r="B25" s="752" t="s">
        <v>826</v>
      </c>
      <c r="C25" s="753" t="s">
        <v>834</v>
      </c>
      <c r="D25" s="754">
        <v>5</v>
      </c>
      <c r="E25" s="754">
        <v>23</v>
      </c>
      <c r="F25" s="754">
        <v>18</v>
      </c>
      <c r="G25" s="754">
        <v>12</v>
      </c>
      <c r="H25" s="754">
        <v>2</v>
      </c>
      <c r="I25" s="754">
        <v>27301.4</v>
      </c>
      <c r="J25" s="761">
        <v>12186.190000000002</v>
      </c>
      <c r="K25" s="756">
        <f t="shared" si="1"/>
      </c>
      <c r="L25" s="757">
        <f t="shared" si="0"/>
      </c>
      <c r="M25" s="757">
        <f t="shared" si="2"/>
      </c>
      <c r="N25" s="758" t="s">
        <v>830</v>
      </c>
      <c r="O25" s="752">
        <v>8</v>
      </c>
    </row>
    <row r="26">
      <c r="A26" s="762">
        <v>45843</v>
      </c>
      <c r="B26" s="763"/>
      <c r="C26" s="763"/>
      <c r="D26" s="764">
        <f>SUM(D22:D25)</f>
      </c>
      <c r="E26" s="764">
        <f>SUM(E22:E25)</f>
      </c>
      <c r="F26" s="764">
        <f>SUM(F22:F25)</f>
      </c>
      <c r="G26" s="764">
        <f>SUM(G22:G25)</f>
      </c>
      <c r="H26" s="764">
        <f>SUM(H22:H25)</f>
      </c>
      <c r="I26" s="763">
        <f>SUM(I22:I25)</f>
      </c>
      <c r="J26" s="763">
        <f>SUM(J22:J25)</f>
      </c>
      <c r="K26" s="765">
        <f t="shared" si="1"/>
      </c>
      <c r="L26" s="766">
        <f t="shared" si="0"/>
      </c>
      <c r="M26" s="766">
        <f t="shared" si="2"/>
      </c>
      <c r="N26" s="767"/>
      <c r="O26" s="763">
        <f>SUM(O22:O25)</f>
      </c>
      <c r="P26" s="767"/>
      <c r="R26" s="760"/>
    </row>
    <row hidden="true" r="27">
      <c r="A27" s="751">
        <v>45844</v>
      </c>
      <c r="B27" s="752" t="s">
        <v>832</v>
      </c>
      <c r="C27" s="753" t="s">
        <v>829</v>
      </c>
      <c r="D27" s="754">
        <v>4</v>
      </c>
      <c r="E27" s="754">
        <v>32</v>
      </c>
      <c r="F27" s="754">
        <v>19</v>
      </c>
      <c r="G27" s="754">
        <v>8</v>
      </c>
      <c r="H27" s="754">
        <v>2</v>
      </c>
      <c r="I27" s="755">
        <v>22428.8</v>
      </c>
      <c r="J27" s="755">
        <v>11791.77</v>
      </c>
      <c r="K27" s="756">
        <f t="shared" si="1"/>
      </c>
      <c r="L27" s="757">
        <f t="shared" si="0"/>
      </c>
      <c r="M27" s="757">
        <f t="shared" si="2"/>
      </c>
      <c r="N27" s="758" t="s">
        <v>828</v>
      </c>
      <c r="O27" s="752">
        <v>9</v>
      </c>
    </row>
    <row hidden="true" r="28">
      <c r="A28" s="751">
        <v>45844</v>
      </c>
      <c r="B28" s="752" t="s">
        <v>824</v>
      </c>
      <c r="C28" s="753" t="s">
        <v>831</v>
      </c>
      <c r="D28" s="754">
        <v>4</v>
      </c>
      <c r="E28" s="754">
        <v>28</v>
      </c>
      <c r="F28" s="754">
        <v>23</v>
      </c>
      <c r="G28" s="754">
        <v>18</v>
      </c>
      <c r="H28" s="754">
        <v>7</v>
      </c>
      <c r="I28" s="755">
        <v>22560.2</v>
      </c>
      <c r="J28" s="755">
        <v>11257.03</v>
      </c>
      <c r="K28" s="756">
        <f t="shared" si="1"/>
      </c>
      <c r="L28" s="757">
        <f t="shared" si="0"/>
      </c>
      <c r="M28" s="757">
        <f t="shared" si="2"/>
      </c>
      <c r="N28" s="758"/>
      <c r="O28" s="752"/>
    </row>
    <row hidden="true" r="29">
      <c r="A29" s="751">
        <v>45844</v>
      </c>
      <c r="B29" s="752" t="s">
        <v>822</v>
      </c>
      <c r="C29" s="753" t="s">
        <v>833</v>
      </c>
      <c r="D29" s="754">
        <v>4</v>
      </c>
      <c r="E29" s="754">
        <v>43</v>
      </c>
      <c r="F29" s="754">
        <v>24</v>
      </c>
      <c r="G29" s="754">
        <v>15</v>
      </c>
      <c r="H29" s="754">
        <v>6</v>
      </c>
      <c r="I29" s="755">
        <v>46743.600000000006</v>
      </c>
      <c r="J29" s="755">
        <v>12078.73</v>
      </c>
      <c r="K29" s="756">
        <f t="shared" si="1"/>
      </c>
      <c r="L29" s="757">
        <f t="shared" si="0"/>
      </c>
      <c r="M29" s="757">
        <f t="shared" si="2"/>
      </c>
      <c r="N29" s="758"/>
      <c r="O29" s="752"/>
    </row>
    <row hidden="true" r="30">
      <c r="A30" s="751">
        <v>45844</v>
      </c>
      <c r="B30" s="752" t="s">
        <v>826</v>
      </c>
      <c r="C30" s="753" t="s">
        <v>834</v>
      </c>
      <c r="D30" s="754">
        <v>5</v>
      </c>
      <c r="E30" s="754">
        <v>18</v>
      </c>
      <c r="F30" s="754">
        <v>16</v>
      </c>
      <c r="G30" s="754">
        <v>14</v>
      </c>
      <c r="H30" s="754">
        <v>3</v>
      </c>
      <c r="I30" s="754">
        <v>15564.999999999998</v>
      </c>
      <c r="J30" s="761">
        <v>11348.89</v>
      </c>
      <c r="K30" s="756">
        <f t="shared" si="1"/>
      </c>
      <c r="L30" s="757">
        <f t="shared" si="0"/>
      </c>
      <c r="M30" s="757">
        <f t="shared" si="2"/>
      </c>
      <c r="N30" s="758" t="s">
        <v>830</v>
      </c>
      <c r="O30" s="752">
        <v>8</v>
      </c>
    </row>
    <row r="31">
      <c r="A31" s="762">
        <v>45844</v>
      </c>
      <c r="B31" s="763"/>
      <c r="C31" s="763"/>
      <c r="D31" s="764">
        <f>SUM(D27:D30)</f>
      </c>
      <c r="E31" s="764">
        <f>SUM(E27:E30)</f>
      </c>
      <c r="F31" s="764">
        <f>SUM(F27:F30)</f>
      </c>
      <c r="G31" s="764">
        <f>SUM(G27:G30)</f>
      </c>
      <c r="H31" s="764">
        <f>SUM(H27:H30)</f>
      </c>
      <c r="I31" s="763">
        <f>SUM(I27:I30)</f>
      </c>
      <c r="J31" s="763">
        <f>SUM(J27:J30)</f>
      </c>
      <c r="K31" s="765">
        <f t="shared" si="1"/>
      </c>
      <c r="L31" s="766">
        <f t="shared" si="0"/>
      </c>
      <c r="M31" s="766">
        <f t="shared" si="2"/>
      </c>
      <c r="N31" s="767"/>
      <c r="O31" s="763">
        <f>SUM(O27:O30)</f>
      </c>
      <c r="P31" s="767"/>
      <c r="R31" s="760"/>
    </row>
    <row hidden="true" r="32">
      <c r="A32" s="751">
        <v>45845</v>
      </c>
      <c r="B32" s="752" t="s">
        <v>819</v>
      </c>
      <c r="C32" s="753" t="s">
        <v>820</v>
      </c>
      <c r="D32" s="754">
        <v>5</v>
      </c>
      <c r="E32" s="754">
        <v>63</v>
      </c>
      <c r="F32" s="754">
        <v>45</v>
      </c>
      <c r="G32" s="754">
        <v>31</v>
      </c>
      <c r="H32" s="754">
        <v>7</v>
      </c>
      <c r="I32" s="755">
        <v>42627.2</v>
      </c>
      <c r="J32" s="755">
        <v>18043.309999999998</v>
      </c>
      <c r="K32" s="756">
        <f t="shared" si="1"/>
      </c>
      <c r="L32" s="757">
        <f t="shared" si="0"/>
      </c>
      <c r="M32" s="757">
        <f t="shared" si="2"/>
      </c>
      <c r="N32" s="758" t="s">
        <v>828</v>
      </c>
      <c r="O32" s="752">
        <v>9</v>
      </c>
    </row>
    <row hidden="true" r="33">
      <c r="A33" s="751">
        <v>45845</v>
      </c>
      <c r="B33" s="752" t="s">
        <v>822</v>
      </c>
      <c r="C33" s="753" t="s">
        <v>823</v>
      </c>
      <c r="D33" s="754">
        <v>4</v>
      </c>
      <c r="E33" s="754">
        <v>31</v>
      </c>
      <c r="F33" s="754">
        <v>20</v>
      </c>
      <c r="G33" s="754">
        <v>15</v>
      </c>
      <c r="H33" s="754">
        <v>2</v>
      </c>
      <c r="I33" s="755">
        <v>22695.4</v>
      </c>
      <c r="J33" s="755">
        <v>13410.230000000001</v>
      </c>
      <c r="K33" s="756">
        <f t="shared" si="1"/>
      </c>
      <c r="L33" s="757">
        <f t="shared" si="0"/>
      </c>
      <c r="M33" s="757">
        <f t="shared" si="2"/>
      </c>
      <c r="N33" s="758"/>
      <c r="O33" s="752"/>
    </row>
    <row hidden="true" r="34">
      <c r="A34" s="751">
        <v>45845</v>
      </c>
      <c r="B34" s="752" t="s">
        <v>824</v>
      </c>
      <c r="C34" s="753" t="s">
        <v>838</v>
      </c>
      <c r="D34" s="754">
        <v>4</v>
      </c>
      <c r="E34" s="754">
        <v>38</v>
      </c>
      <c r="F34" s="754">
        <v>28</v>
      </c>
      <c r="G34" s="754">
        <v>20</v>
      </c>
      <c r="H34" s="754">
        <v>2</v>
      </c>
      <c r="I34" s="755">
        <v>27614.6</v>
      </c>
      <c r="J34" s="755">
        <v>12802.68</v>
      </c>
      <c r="K34" s="756">
        <f t="shared" si="1"/>
      </c>
      <c r="L34" s="757">
        <f t="shared" si="0"/>
      </c>
      <c r="M34" s="757">
        <f t="shared" si="2"/>
      </c>
      <c r="N34" s="758"/>
      <c r="O34" s="752"/>
    </row>
    <row hidden="true" r="35">
      <c r="A35" s="751">
        <v>45845</v>
      </c>
      <c r="B35" s="752" t="s">
        <v>832</v>
      </c>
      <c r="C35" s="753" t="s">
        <v>827</v>
      </c>
      <c r="D35" s="754">
        <v>4</v>
      </c>
      <c r="E35" s="754">
        <v>30</v>
      </c>
      <c r="F35" s="754">
        <v>23</v>
      </c>
      <c r="G35" s="754">
        <v>14</v>
      </c>
      <c r="H35" s="754">
        <v>4</v>
      </c>
      <c r="I35" s="754">
        <v>22191.600000000002</v>
      </c>
      <c r="J35" s="761">
        <v>13805.66</v>
      </c>
      <c r="K35" s="756">
        <f t="shared" si="1"/>
      </c>
      <c r="L35" s="757">
        <f t="shared" si="0"/>
      </c>
      <c r="M35" s="757">
        <f t="shared" si="2"/>
      </c>
      <c r="N35" s="758" t="s">
        <v>830</v>
      </c>
      <c r="O35" s="752">
        <v>8</v>
      </c>
    </row>
    <row r="36">
      <c r="A36" s="762">
        <v>45845</v>
      </c>
      <c r="B36" s="763"/>
      <c r="C36" s="763"/>
      <c r="D36" s="764">
        <f>SUM(D32:D35)</f>
      </c>
      <c r="E36" s="764">
        <f>SUM(E32:E35)</f>
      </c>
      <c r="F36" s="764">
        <f>SUM(F32:F35)</f>
      </c>
      <c r="G36" s="764">
        <f>SUM(G32:G35)</f>
      </c>
      <c r="H36" s="764">
        <f>SUM(H32:H35)</f>
      </c>
      <c r="I36" s="763">
        <f>SUM(I32:I35)</f>
      </c>
      <c r="J36" s="763">
        <f>SUM(J32:J35)</f>
      </c>
      <c r="K36" s="765">
        <f t="shared" si="1"/>
      </c>
      <c r="L36" s="766">
        <f t="shared" si="0"/>
      </c>
      <c r="M36" s="766">
        <f t="shared" si="2"/>
      </c>
      <c r="N36" s="767"/>
      <c r="O36" s="763">
        <f>SUM(O32:O35)</f>
      </c>
      <c r="P36" s="767"/>
    </row>
    <row hidden="true" r="37">
      <c r="A37" s="751">
        <v>45846</v>
      </c>
      <c r="B37" s="752" t="s">
        <v>819</v>
      </c>
      <c r="C37" s="753" t="s">
        <v>829</v>
      </c>
      <c r="D37" s="754">
        <v>4</v>
      </c>
      <c r="E37" s="754">
        <v>49</v>
      </c>
      <c r="F37" s="754">
        <v>38</v>
      </c>
      <c r="G37" s="754">
        <v>25</v>
      </c>
      <c r="H37" s="754">
        <v>4</v>
      </c>
      <c r="I37" s="755">
        <v>43128.600000000006</v>
      </c>
      <c r="J37" s="755">
        <v>13725.15</v>
      </c>
      <c r="K37" s="756">
        <f t="shared" si="1"/>
      </c>
      <c r="L37" s="757">
        <f t="shared" si="0"/>
      </c>
      <c r="M37" s="757">
        <f t="shared" si="2"/>
      </c>
      <c r="N37" s="758" t="s">
        <v>828</v>
      </c>
      <c r="O37" s="752">
        <v>9</v>
      </c>
    </row>
    <row hidden="true" r="38">
      <c r="A38" s="751">
        <v>45846</v>
      </c>
      <c r="B38" s="752" t="s">
        <v>832</v>
      </c>
      <c r="C38" s="753" t="s">
        <v>839</v>
      </c>
      <c r="D38" s="754">
        <v>5</v>
      </c>
      <c r="E38" s="754">
        <v>41</v>
      </c>
      <c r="F38" s="754">
        <v>30</v>
      </c>
      <c r="G38" s="754">
        <v>18</v>
      </c>
      <c r="H38" s="754">
        <v>5</v>
      </c>
      <c r="I38" s="755">
        <v>31183.6</v>
      </c>
      <c r="J38" s="755">
        <v>16702.78</v>
      </c>
      <c r="K38" s="756">
        <f t="shared" si="1"/>
      </c>
      <c r="L38" s="757">
        <f t="shared" si="0"/>
      </c>
      <c r="M38" s="757">
        <f t="shared" si="2"/>
      </c>
      <c r="N38" s="758"/>
      <c r="O38" s="752"/>
    </row>
    <row hidden="true" r="39">
      <c r="A39" s="751">
        <v>45846</v>
      </c>
      <c r="B39" s="752" t="s">
        <v>822</v>
      </c>
      <c r="C39" s="753" t="s">
        <v>840</v>
      </c>
      <c r="D39" s="754">
        <v>3</v>
      </c>
      <c r="E39" s="754">
        <v>29</v>
      </c>
      <c r="F39" s="754">
        <v>21</v>
      </c>
      <c r="G39" s="754">
        <v>9</v>
      </c>
      <c r="H39" s="754">
        <v>2</v>
      </c>
      <c r="I39" s="755">
        <v>32500.799999999996</v>
      </c>
      <c r="J39" s="755">
        <v>8847.16</v>
      </c>
      <c r="K39" s="756">
        <f t="shared" si="1"/>
      </c>
      <c r="L39" s="757">
        <f t="shared" si="0"/>
      </c>
      <c r="M39" s="757">
        <f t="shared" si="2"/>
      </c>
      <c r="N39" s="758"/>
      <c r="O39" s="752"/>
    </row>
    <row hidden="true" r="40">
      <c r="A40" s="751">
        <v>45846</v>
      </c>
      <c r="B40" s="752" t="s">
        <v>826</v>
      </c>
      <c r="C40" s="753" t="s">
        <v>834</v>
      </c>
      <c r="D40" s="754">
        <v>5</v>
      </c>
      <c r="E40" s="754">
        <v>62</v>
      </c>
      <c r="F40" s="754">
        <v>52</v>
      </c>
      <c r="G40" s="754">
        <v>41</v>
      </c>
      <c r="H40" s="754">
        <v>5</v>
      </c>
      <c r="I40" s="754">
        <v>51323.8</v>
      </c>
      <c r="J40" s="761">
        <v>19902.839999999997</v>
      </c>
      <c r="K40" s="756">
        <f t="shared" si="1"/>
      </c>
      <c r="L40" s="757">
        <f t="shared" si="0"/>
      </c>
      <c r="M40" s="757">
        <f t="shared" si="2"/>
      </c>
      <c r="N40" s="758" t="s">
        <v>830</v>
      </c>
      <c r="O40" s="752">
        <v>8</v>
      </c>
    </row>
    <row r="41">
      <c r="A41" s="762">
        <v>45846</v>
      </c>
      <c r="B41" s="763"/>
      <c r="C41" s="763"/>
      <c r="D41" s="764">
        <f>SUM(D37:D40)</f>
      </c>
      <c r="E41" s="764">
        <f>SUM(E37:E40)</f>
      </c>
      <c r="F41" s="764">
        <f>SUM(F37:F40)</f>
      </c>
      <c r="G41" s="764">
        <f>SUM(G37:G40)</f>
      </c>
      <c r="H41" s="764">
        <f>SUM(H37:H40)</f>
      </c>
      <c r="I41" s="763">
        <f>SUM(I37:I40)</f>
      </c>
      <c r="J41" s="763">
        <f>SUM(J37:J40)</f>
      </c>
      <c r="K41" s="765">
        <f t="shared" si="1"/>
      </c>
      <c r="L41" s="766">
        <f t="shared" si="0"/>
      </c>
      <c r="M41" s="766">
        <f t="shared" si="2"/>
      </c>
      <c r="N41" s="767"/>
      <c r="O41" s="763">
        <f>SUM(O37:O40)</f>
      </c>
      <c r="P41" s="767"/>
    </row>
    <row hidden="true" r="42">
      <c r="A42" s="751">
        <v>45847</v>
      </c>
      <c r="B42" s="752" t="s">
        <v>819</v>
      </c>
      <c r="C42" s="753" t="s">
        <v>820</v>
      </c>
      <c r="D42" s="754">
        <v>5</v>
      </c>
      <c r="E42" s="754">
        <v>43</v>
      </c>
      <c r="F42" s="754">
        <v>38</v>
      </c>
      <c r="G42" s="754">
        <v>31</v>
      </c>
      <c r="H42" s="754">
        <v>5</v>
      </c>
      <c r="I42" s="755">
        <v>31425.2</v>
      </c>
      <c r="J42" s="755">
        <v>17863.23</v>
      </c>
      <c r="K42" s="756">
        <f t="shared" si="1"/>
      </c>
      <c r="L42" s="757">
        <f t="shared" si="0"/>
      </c>
      <c r="M42" s="757">
        <f t="shared" si="2"/>
      </c>
      <c r="N42" s="758" t="s">
        <v>828</v>
      </c>
      <c r="O42" s="752">
        <v>9</v>
      </c>
    </row>
    <row hidden="true" r="43">
      <c r="A43" s="751">
        <v>45847</v>
      </c>
      <c r="B43" s="752" t="s">
        <v>824</v>
      </c>
      <c r="C43" s="753" t="s">
        <v>841</v>
      </c>
      <c r="D43" s="754">
        <v>3</v>
      </c>
      <c r="E43" s="754">
        <v>21</v>
      </c>
      <c r="F43" s="754">
        <v>13</v>
      </c>
      <c r="G43" s="754">
        <v>7</v>
      </c>
      <c r="H43" s="754">
        <v>2</v>
      </c>
      <c r="I43" s="755">
        <v>15174</v>
      </c>
      <c r="J43" s="755">
        <v>10421.9</v>
      </c>
      <c r="K43" s="756">
        <f t="shared" si="1"/>
      </c>
      <c r="L43" s="757">
        <f t="shared" si="0"/>
      </c>
      <c r="M43" s="757">
        <f t="shared" si="2"/>
      </c>
      <c r="N43" s="758"/>
      <c r="O43" s="752"/>
    </row>
    <row hidden="true" r="44">
      <c r="A44" s="751">
        <v>45847</v>
      </c>
      <c r="B44" s="752" t="s">
        <v>822</v>
      </c>
      <c r="C44" s="753" t="s">
        <v>842</v>
      </c>
      <c r="D44" s="754">
        <v>5</v>
      </c>
      <c r="E44" s="754">
        <v>51</v>
      </c>
      <c r="F44" s="754">
        <v>40</v>
      </c>
      <c r="G44" s="754">
        <v>25</v>
      </c>
      <c r="H44" s="754">
        <v>7</v>
      </c>
      <c r="I44" s="755">
        <v>57142.200000000004</v>
      </c>
      <c r="J44" s="755">
        <v>17566.27</v>
      </c>
      <c r="K44" s="756">
        <f t="shared" si="1"/>
      </c>
      <c r="L44" s="757">
        <f t="shared" si="0"/>
      </c>
      <c r="M44" s="757">
        <f t="shared" si="2"/>
      </c>
      <c r="N44" s="758"/>
      <c r="O44" s="752"/>
    </row>
    <row hidden="true" r="45">
      <c r="A45" s="751">
        <v>45847</v>
      </c>
      <c r="B45" s="752" t="s">
        <v>826</v>
      </c>
      <c r="C45" s="753" t="s">
        <v>843</v>
      </c>
      <c r="D45" s="754">
        <v>5</v>
      </c>
      <c r="E45" s="754">
        <v>33</v>
      </c>
      <c r="F45" s="754">
        <v>23</v>
      </c>
      <c r="G45" s="754">
        <v>10</v>
      </c>
      <c r="H45" s="754">
        <v>3</v>
      </c>
      <c r="I45" s="754">
        <v>35261.2</v>
      </c>
      <c r="J45" s="761">
        <v>14779.510000000002</v>
      </c>
      <c r="K45" s="756">
        <f t="shared" si="1"/>
      </c>
      <c r="L45" s="757">
        <f t="shared" si="0"/>
      </c>
      <c r="M45" s="757">
        <f t="shared" si="2"/>
      </c>
      <c r="N45" s="758" t="s">
        <v>830</v>
      </c>
      <c r="O45" s="752">
        <v>9</v>
      </c>
    </row>
    <row r="46">
      <c r="A46" s="762">
        <v>45847</v>
      </c>
      <c r="B46" s="763"/>
      <c r="C46" s="763"/>
      <c r="D46" s="764">
        <f>SUM(D42:D45)</f>
      </c>
      <c r="E46" s="764">
        <f>SUM(E42:E45)</f>
      </c>
      <c r="F46" s="764">
        <f>SUM(F42:F45)</f>
      </c>
      <c r="G46" s="764">
        <f>SUM(G42:G45)</f>
      </c>
      <c r="H46" s="764">
        <f>SUM(H42:H45)</f>
      </c>
      <c r="I46" s="763">
        <f>SUM(I42:I45)</f>
      </c>
      <c r="J46" s="763">
        <f>SUM(J42:J45)</f>
      </c>
      <c r="K46" s="765">
        <f t="shared" si="1"/>
      </c>
      <c r="L46" s="766">
        <f t="shared" si="0"/>
      </c>
      <c r="M46" s="766">
        <f t="shared" si="2"/>
      </c>
      <c r="N46" s="767"/>
      <c r="O46" s="763">
        <f>SUM(O42:O45)</f>
      </c>
      <c r="P46" s="767"/>
    </row>
    <row hidden="true" r="47">
      <c r="A47" s="751">
        <v>45848</v>
      </c>
      <c r="B47" s="752" t="s">
        <v>819</v>
      </c>
      <c r="C47" s="753" t="s">
        <v>820</v>
      </c>
      <c r="D47" s="754">
        <v>5</v>
      </c>
      <c r="E47" s="754">
        <v>29</v>
      </c>
      <c r="F47" s="754">
        <v>22</v>
      </c>
      <c r="G47" s="754">
        <v>17</v>
      </c>
      <c r="H47" s="754">
        <v>3</v>
      </c>
      <c r="I47" s="755">
        <v>18378.4</v>
      </c>
      <c r="J47" s="755">
        <v>16252.92</v>
      </c>
      <c r="K47" s="756">
        <f t="shared" si="1"/>
      </c>
      <c r="L47" s="757">
        <f t="shared" si="0"/>
      </c>
      <c r="M47" s="757">
        <f t="shared" si="2"/>
      </c>
      <c r="N47" s="758" t="s">
        <v>828</v>
      </c>
      <c r="O47" s="752">
        <v>9</v>
      </c>
    </row>
    <row hidden="true" r="48">
      <c r="A48" s="751">
        <v>45848</v>
      </c>
      <c r="B48" s="752" t="s">
        <v>824</v>
      </c>
      <c r="C48" s="753" t="s">
        <v>841</v>
      </c>
      <c r="D48" s="754">
        <v>3</v>
      </c>
      <c r="E48" s="754">
        <v>21</v>
      </c>
      <c r="F48" s="754">
        <v>13</v>
      </c>
      <c r="G48" s="754">
        <v>9</v>
      </c>
      <c r="H48" s="754">
        <v>2</v>
      </c>
      <c r="I48" s="755">
        <v>19533.199999999997</v>
      </c>
      <c r="J48" s="755">
        <v>8397.59</v>
      </c>
      <c r="K48" s="756">
        <f t="shared" si="1"/>
      </c>
      <c r="L48" s="757">
        <f t="shared" si="0"/>
      </c>
      <c r="M48" s="757">
        <f t="shared" si="2"/>
      </c>
      <c r="N48" s="758"/>
      <c r="O48" s="752"/>
    </row>
    <row hidden="true" r="49">
      <c r="A49" s="751">
        <v>45848</v>
      </c>
      <c r="B49" s="752" t="s">
        <v>822</v>
      </c>
      <c r="C49" s="753" t="s">
        <v>842</v>
      </c>
      <c r="D49" s="754">
        <v>5</v>
      </c>
      <c r="E49" s="754">
        <v>32</v>
      </c>
      <c r="F49" s="754">
        <v>24</v>
      </c>
      <c r="G49" s="754">
        <v>19</v>
      </c>
      <c r="H49" s="754">
        <v>2</v>
      </c>
      <c r="I49" s="755">
        <v>21910.199999999997</v>
      </c>
      <c r="J49" s="755">
        <v>12690.67</v>
      </c>
      <c r="K49" s="756">
        <f t="shared" si="1"/>
      </c>
      <c r="L49" s="757">
        <f t="shared" si="0"/>
      </c>
      <c r="M49" s="757">
        <f t="shared" si="2"/>
      </c>
      <c r="N49" s="758"/>
      <c r="O49" s="752"/>
    </row>
    <row hidden="true" r="50">
      <c r="A50" s="751">
        <v>45848</v>
      </c>
      <c r="B50" s="752" t="s">
        <v>832</v>
      </c>
      <c r="C50" s="753" t="s">
        <v>843</v>
      </c>
      <c r="D50" s="754">
        <v>5</v>
      </c>
      <c r="E50" s="754">
        <v>41</v>
      </c>
      <c r="F50" s="754">
        <v>21</v>
      </c>
      <c r="G50" s="754">
        <v>16</v>
      </c>
      <c r="H50" s="754">
        <v>2</v>
      </c>
      <c r="I50" s="754">
        <v>23436.59999999999</v>
      </c>
      <c r="J50" s="761">
        <v>13346.34</v>
      </c>
      <c r="K50" s="756">
        <f t="shared" si="1"/>
      </c>
      <c r="L50" s="757">
        <f t="shared" si="0"/>
      </c>
      <c r="M50" s="757">
        <f t="shared" si="2"/>
      </c>
      <c r="N50" s="758" t="s">
        <v>844</v>
      </c>
      <c r="O50" s="752">
        <v>9</v>
      </c>
    </row>
    <row r="51">
      <c r="A51" s="762">
        <v>45848</v>
      </c>
      <c r="B51" s="763"/>
      <c r="C51" s="763"/>
      <c r="D51" s="764">
        <f>SUM(D47:D50)</f>
      </c>
      <c r="E51" s="764">
        <f>SUM(E47:E50)</f>
      </c>
      <c r="F51" s="764">
        <f>SUM(F47:F50)</f>
      </c>
      <c r="G51" s="764">
        <f>SUM(G47:G50)</f>
      </c>
      <c r="H51" s="764">
        <f>SUM(H47:H50)</f>
      </c>
      <c r="I51" s="763">
        <f>SUM(I47:I50)</f>
      </c>
      <c r="J51" s="763">
        <f>SUM(J47:J50)</f>
      </c>
      <c r="K51" s="765">
        <f t="shared" si="1"/>
      </c>
      <c r="L51" s="766">
        <f t="shared" si="0"/>
      </c>
      <c r="M51" s="766">
        <f t="shared" si="2"/>
      </c>
      <c r="N51" s="767"/>
      <c r="O51" s="763">
        <f>SUM(O47:O50)</f>
      </c>
      <c r="P51" s="767"/>
    </row>
    <row hidden="true" r="52">
      <c r="A52" s="751">
        <v>45849</v>
      </c>
      <c r="B52" s="752" t="s">
        <v>819</v>
      </c>
      <c r="C52" s="753" t="s">
        <v>820</v>
      </c>
      <c r="D52" s="754">
        <v>5</v>
      </c>
      <c r="E52" s="754">
        <v>44</v>
      </c>
      <c r="F52" s="754">
        <v>36</v>
      </c>
      <c r="G52" s="754">
        <v>31</v>
      </c>
      <c r="H52" s="754">
        <v>6</v>
      </c>
      <c r="I52" s="755">
        <v>39176.8</v>
      </c>
      <c r="J52" s="755">
        <v>18210.59</v>
      </c>
      <c r="K52" s="756">
        <f t="shared" si="1"/>
      </c>
      <c r="L52" s="757">
        <f t="shared" si="0"/>
      </c>
      <c r="M52" s="757">
        <f t="shared" si="2"/>
      </c>
      <c r="N52" s="758" t="s">
        <v>845</v>
      </c>
      <c r="O52" s="752">
        <v>9</v>
      </c>
    </row>
    <row hidden="true" r="53">
      <c r="A53" s="751">
        <v>45849</v>
      </c>
      <c r="B53" s="752" t="s">
        <v>832</v>
      </c>
      <c r="C53" s="753" t="s">
        <v>823</v>
      </c>
      <c r="D53" s="754">
        <v>4</v>
      </c>
      <c r="E53" s="754">
        <v>29</v>
      </c>
      <c r="F53" s="754">
        <v>21</v>
      </c>
      <c r="G53" s="754">
        <v>18</v>
      </c>
      <c r="H53" s="754">
        <v>4</v>
      </c>
      <c r="I53" s="755">
        <v>21609.200000000004</v>
      </c>
      <c r="J53" s="755">
        <v>11080.65</v>
      </c>
      <c r="K53" s="756">
        <f t="shared" si="1"/>
      </c>
      <c r="L53" s="757">
        <f t="shared" si="0"/>
      </c>
      <c r="M53" s="757">
        <f t="shared" si="2"/>
      </c>
      <c r="N53" s="758"/>
      <c r="O53" s="752"/>
    </row>
    <row hidden="true" r="54">
      <c r="A54" s="751">
        <v>45849</v>
      </c>
      <c r="B54" s="752" t="s">
        <v>824</v>
      </c>
      <c r="C54" s="753" t="s">
        <v>838</v>
      </c>
      <c r="D54" s="754">
        <v>4</v>
      </c>
      <c r="E54" s="754">
        <v>31</v>
      </c>
      <c r="F54" s="754">
        <v>21</v>
      </c>
      <c r="G54" s="754">
        <v>13</v>
      </c>
      <c r="H54" s="754">
        <v>3</v>
      </c>
      <c r="I54" s="755">
        <v>25283.000000000004</v>
      </c>
      <c r="J54" s="755">
        <v>10247.45</v>
      </c>
      <c r="K54" s="756">
        <f t="shared" si="1"/>
      </c>
      <c r="L54" s="757">
        <f t="shared" si="0"/>
      </c>
      <c r="M54" s="757">
        <f t="shared" si="2"/>
      </c>
      <c r="N54" s="758"/>
      <c r="O54" s="752"/>
    </row>
    <row hidden="true" r="55">
      <c r="A55" s="751">
        <v>45849</v>
      </c>
      <c r="B55" s="752" t="s">
        <v>826</v>
      </c>
      <c r="C55" s="753" t="s">
        <v>843</v>
      </c>
      <c r="D55" s="754">
        <v>5</v>
      </c>
      <c r="E55" s="754">
        <v>36</v>
      </c>
      <c r="F55" s="754">
        <v>30</v>
      </c>
      <c r="G55" s="754">
        <v>14</v>
      </c>
      <c r="H55" s="754">
        <v>5</v>
      </c>
      <c r="I55" s="754">
        <v>38157.8</v>
      </c>
      <c r="J55" s="761">
        <v>12963.820000000002</v>
      </c>
      <c r="K55" s="756">
        <f t="shared" si="1"/>
      </c>
      <c r="L55" s="757">
        <f t="shared" si="0"/>
      </c>
      <c r="M55" s="757">
        <f t="shared" si="2"/>
      </c>
      <c r="N55" s="758" t="s">
        <v>830</v>
      </c>
      <c r="O55" s="752">
        <v>9</v>
      </c>
    </row>
    <row r="56">
      <c r="A56" s="762">
        <v>45849</v>
      </c>
      <c r="B56" s="763"/>
      <c r="C56" s="763"/>
      <c r="D56" s="764">
        <f>SUM(D52:D55)</f>
      </c>
      <c r="E56" s="764">
        <f>SUM(E52:E55)</f>
      </c>
      <c r="F56" s="764">
        <f>SUM(F52:F55)</f>
      </c>
      <c r="G56" s="764">
        <f>SUM(G52:G55)</f>
      </c>
      <c r="H56" s="764">
        <f>SUM(H52:H55)</f>
      </c>
      <c r="I56" s="763">
        <f>SUM(I52:I55)</f>
      </c>
      <c r="J56" s="763">
        <f>SUM(J52:J55)</f>
      </c>
      <c r="K56" s="765">
        <f t="shared" si="1"/>
      </c>
      <c r="L56" s="766">
        <f t="shared" si="0"/>
      </c>
      <c r="M56" s="766">
        <f t="shared" si="2"/>
      </c>
      <c r="N56" s="767"/>
      <c r="O56" s="763">
        <f>SUM(O52:O55)</f>
      </c>
      <c r="P56" s="767"/>
    </row>
    <row hidden="true" r="57">
      <c r="A57" s="751">
        <v>45850</v>
      </c>
      <c r="B57" s="752" t="s">
        <v>819</v>
      </c>
      <c r="C57" s="753" t="s">
        <v>820</v>
      </c>
      <c r="D57" s="754">
        <v>5</v>
      </c>
      <c r="E57" s="754">
        <v>51</v>
      </c>
      <c r="F57" s="754">
        <v>41</v>
      </c>
      <c r="G57" s="754">
        <v>32</v>
      </c>
      <c r="H57" s="754">
        <v>8</v>
      </c>
      <c r="I57" s="755">
        <v>38877</v>
      </c>
      <c r="J57" s="755">
        <v>15464.380000000001</v>
      </c>
      <c r="K57" s="756">
        <f t="shared" si="1"/>
      </c>
      <c r="L57" s="757">
        <f t="shared" si="0"/>
      </c>
      <c r="M57" s="757">
        <f t="shared" si="2"/>
      </c>
      <c r="N57" s="758" t="s">
        <v>828</v>
      </c>
      <c r="O57" s="752">
        <v>9</v>
      </c>
    </row>
    <row hidden="true" r="58">
      <c r="A58" s="751">
        <v>45850</v>
      </c>
      <c r="B58" s="752" t="s">
        <v>832</v>
      </c>
      <c r="C58" s="753" t="s">
        <v>823</v>
      </c>
      <c r="D58" s="754">
        <v>4</v>
      </c>
      <c r="E58" s="754">
        <v>34</v>
      </c>
      <c r="F58" s="754">
        <v>25</v>
      </c>
      <c r="G58" s="754">
        <v>23</v>
      </c>
      <c r="H58" s="754">
        <v>3</v>
      </c>
      <c r="I58" s="755">
        <v>19005</v>
      </c>
      <c r="J58" s="755">
        <v>10723.490000000002</v>
      </c>
      <c r="K58" s="756">
        <f t="shared" si="1"/>
      </c>
      <c r="L58" s="757">
        <f t="shared" si="0"/>
      </c>
      <c r="M58" s="757">
        <f t="shared" si="2"/>
      </c>
      <c r="N58" s="758"/>
      <c r="O58" s="752"/>
    </row>
    <row hidden="true" r="59">
      <c r="A59" s="751">
        <v>45850</v>
      </c>
      <c r="B59" s="752" t="s">
        <v>822</v>
      </c>
      <c r="C59" s="753" t="s">
        <v>838</v>
      </c>
      <c r="D59" s="754">
        <v>4</v>
      </c>
      <c r="E59" s="754">
        <v>30</v>
      </c>
      <c r="F59" s="754">
        <v>22</v>
      </c>
      <c r="G59" s="754">
        <v>14</v>
      </c>
      <c r="H59" s="754">
        <v>3</v>
      </c>
      <c r="I59" s="755">
        <v>29907.8</v>
      </c>
      <c r="J59" s="755">
        <v>13755.82</v>
      </c>
      <c r="K59" s="756">
        <f t="shared" si="1"/>
      </c>
      <c r="L59" s="757">
        <f t="shared" si="0"/>
      </c>
      <c r="M59" s="757">
        <f t="shared" si="2"/>
      </c>
      <c r="N59" s="758"/>
      <c r="O59" s="752"/>
    </row>
    <row hidden="true" r="60">
      <c r="A60" s="751">
        <v>45850</v>
      </c>
      <c r="B60" s="752" t="s">
        <v>826</v>
      </c>
      <c r="C60" s="753" t="s">
        <v>843</v>
      </c>
      <c r="D60" s="754">
        <v>5</v>
      </c>
      <c r="E60" s="754">
        <v>21</v>
      </c>
      <c r="F60" s="754">
        <v>16</v>
      </c>
      <c r="G60" s="754">
        <v>12</v>
      </c>
      <c r="H60" s="754">
        <v>2</v>
      </c>
      <c r="I60" s="754">
        <v>13826.4</v>
      </c>
      <c r="J60" s="761">
        <v>12041.830000000002</v>
      </c>
      <c r="K60" s="756">
        <f t="shared" si="1"/>
      </c>
      <c r="L60" s="757">
        <f t="shared" si="0"/>
      </c>
      <c r="M60" s="757">
        <f t="shared" si="2"/>
      </c>
      <c r="N60" s="758" t="s">
        <v>830</v>
      </c>
      <c r="O60" s="752">
        <v>9</v>
      </c>
    </row>
    <row r="61">
      <c r="A61" s="762">
        <v>45850</v>
      </c>
      <c r="B61" s="763"/>
      <c r="C61" s="763"/>
      <c r="D61" s="764">
        <f>SUM(D57:D60)</f>
      </c>
      <c r="E61" s="764">
        <f>SUM(E57:E60)</f>
      </c>
      <c r="F61" s="764">
        <f>SUM(F57:F60)</f>
      </c>
      <c r="G61" s="764">
        <f>SUM(G57:G60)</f>
      </c>
      <c r="H61" s="764">
        <f>SUM(H57:H60)</f>
      </c>
      <c r="I61" s="763">
        <f>SUM(I57:I60)</f>
      </c>
      <c r="J61" s="763">
        <f>SUM(J57:J60)</f>
      </c>
      <c r="K61" s="765">
        <f t="shared" si="1"/>
      </c>
      <c r="L61" s="766">
        <f t="shared" si="0"/>
      </c>
      <c r="M61" s="766">
        <f t="shared" si="2"/>
      </c>
      <c r="N61" s="767"/>
      <c r="O61" s="763">
        <f>SUM(O57:O60)</f>
      </c>
      <c r="P61" s="767"/>
    </row>
    <row hidden="true" r="62">
      <c r="A62" s="768">
        <v>45851</v>
      </c>
      <c r="B62" s="769" t="s">
        <v>819</v>
      </c>
      <c r="C62" s="770" t="s">
        <v>820</v>
      </c>
      <c r="D62" s="769">
        <v>5</v>
      </c>
      <c r="E62" s="754">
        <v>19</v>
      </c>
      <c r="F62" s="754">
        <v>13</v>
      </c>
      <c r="G62" s="754">
        <v>7</v>
      </c>
      <c r="H62" s="754">
        <v>1</v>
      </c>
      <c r="I62" s="771">
        <v>16954.8</v>
      </c>
      <c r="J62" s="771">
        <v>14206.269999999999</v>
      </c>
      <c r="K62" s="757">
        <f t="shared" si="1"/>
      </c>
      <c r="L62" s="757">
        <f t="shared" si="0"/>
      </c>
      <c r="M62" s="757">
        <f t="shared" si="2"/>
      </c>
      <c r="N62" s="772" t="s">
        <v>828</v>
      </c>
      <c r="O62" s="769">
        <v>9</v>
      </c>
      <c r="P62" s="773"/>
    </row>
    <row hidden="true" r="63">
      <c r="A63" s="768">
        <v>45851</v>
      </c>
      <c r="B63" s="754" t="s">
        <v>824</v>
      </c>
      <c r="C63" s="770" t="s">
        <v>823</v>
      </c>
      <c r="D63" s="769">
        <v>4</v>
      </c>
      <c r="E63" s="754">
        <v>21</v>
      </c>
      <c r="F63" s="754">
        <v>14</v>
      </c>
      <c r="G63" s="754">
        <v>9</v>
      </c>
      <c r="H63" s="754">
        <v>2</v>
      </c>
      <c r="I63" s="771">
        <v>9840</v>
      </c>
      <c r="J63" s="771">
        <v>11354.51</v>
      </c>
      <c r="K63" s="757">
        <f t="shared" si="1"/>
      </c>
      <c r="L63" s="757">
        <f t="shared" si="0"/>
      </c>
      <c r="M63" s="757">
        <f t="shared" si="2"/>
      </c>
      <c r="N63" s="772"/>
      <c r="O63" s="769"/>
      <c r="P63" s="773"/>
    </row>
    <row hidden="true" r="64">
      <c r="A64" s="768">
        <v>45851</v>
      </c>
      <c r="B64" s="769" t="s">
        <v>822</v>
      </c>
      <c r="C64" s="770" t="s">
        <v>838</v>
      </c>
      <c r="D64" s="754">
        <v>5</v>
      </c>
      <c r="E64" s="754">
        <v>26</v>
      </c>
      <c r="F64" s="754">
        <v>17</v>
      </c>
      <c r="G64" s="754">
        <v>8</v>
      </c>
      <c r="H64" s="754">
        <v>1</v>
      </c>
      <c r="I64" s="771">
        <v>22824</v>
      </c>
      <c r="J64" s="771">
        <v>9615.74</v>
      </c>
      <c r="K64" s="757">
        <f t="shared" si="1"/>
      </c>
      <c r="L64" s="757">
        <f t="shared" si="0"/>
      </c>
      <c r="M64" s="757">
        <f t="shared" si="2"/>
      </c>
      <c r="N64" s="772"/>
      <c r="O64" s="769"/>
      <c r="P64" s="773"/>
    </row>
    <row hidden="true" r="65">
      <c r="A65" s="768">
        <v>45851</v>
      </c>
      <c r="B65" s="754" t="s">
        <v>832</v>
      </c>
      <c r="C65" s="774" t="s">
        <v>827</v>
      </c>
      <c r="D65" s="754">
        <v>3</v>
      </c>
      <c r="E65" s="754">
        <v>24</v>
      </c>
      <c r="F65" s="754">
        <v>15</v>
      </c>
      <c r="G65" s="754">
        <v>12</v>
      </c>
      <c r="H65" s="754">
        <v>1</v>
      </c>
      <c r="I65" s="769">
        <v>20242.2</v>
      </c>
      <c r="J65" s="771">
        <v>7629.1</v>
      </c>
      <c r="K65" s="757">
        <f t="shared" si="1"/>
      </c>
      <c r="L65" s="757">
        <f t="shared" si="0"/>
      </c>
      <c r="M65" s="757">
        <f t="shared" si="2"/>
      </c>
      <c r="N65" s="772" t="s">
        <v>830</v>
      </c>
      <c r="O65" s="754">
        <v>8</v>
      </c>
      <c r="P65" s="773"/>
    </row>
    <row r="66">
      <c r="A66" s="775">
        <v>45851</v>
      </c>
      <c r="B66" s="763"/>
      <c r="C66" s="763"/>
      <c r="D66" s="763">
        <f>SUM(D62:D65)</f>
      </c>
      <c r="E66" s="763">
        <f>SUM(E62:E65)</f>
      </c>
      <c r="F66" s="763">
        <f>SUM(F62:F65)</f>
      </c>
      <c r="G66" s="763">
        <f>SUM(G62:G65)</f>
      </c>
      <c r="H66" s="763">
        <f>SUM(H62:H65)</f>
      </c>
      <c r="I66" s="763">
        <f>SUM(I62:I65)</f>
      </c>
      <c r="J66" s="763">
        <f>SUM(J62:J65)</f>
      </c>
      <c r="K66" s="765">
        <f t="shared" si="1"/>
      </c>
      <c r="L66" s="765">
        <f t="shared" si="0"/>
      </c>
      <c r="M66" s="765">
        <f t="shared" si="2"/>
      </c>
      <c r="N66" s="767"/>
      <c r="O66" s="763">
        <f>SUM(O62:O65)</f>
      </c>
      <c r="P66" s="767"/>
    </row>
    <row hidden="true" r="67">
      <c r="A67" s="768">
        <v>45852</v>
      </c>
      <c r="B67" s="769" t="s">
        <v>819</v>
      </c>
      <c r="C67" s="770" t="s">
        <v>820</v>
      </c>
      <c r="D67" s="769">
        <v>5</v>
      </c>
      <c r="E67" s="754">
        <v>33</v>
      </c>
      <c r="F67" s="754">
        <v>25</v>
      </c>
      <c r="G67" s="754">
        <v>20</v>
      </c>
      <c r="H67" s="754">
        <v>2</v>
      </c>
      <c r="I67" s="771">
        <v>24633.4</v>
      </c>
      <c r="J67" s="771">
        <v>13811.5</v>
      </c>
      <c r="K67" s="757">
        <f t="shared" si="1"/>
      </c>
      <c r="L67" s="757">
        <f t="shared" si="0"/>
      </c>
      <c r="M67" s="757">
        <f t="shared" si="2"/>
      </c>
      <c r="N67" s="772" t="s">
        <v>828</v>
      </c>
      <c r="O67" s="769">
        <v>9</v>
      </c>
      <c r="P67" s="773"/>
    </row>
    <row hidden="true" r="68">
      <c r="A68" s="768">
        <v>45852</v>
      </c>
      <c r="B68" s="769" t="s">
        <v>824</v>
      </c>
      <c r="C68" s="770" t="s">
        <v>823</v>
      </c>
      <c r="D68" s="769">
        <v>4</v>
      </c>
      <c r="E68" s="754">
        <v>27</v>
      </c>
      <c r="F68" s="754">
        <v>15</v>
      </c>
      <c r="G68" s="754">
        <v>12</v>
      </c>
      <c r="H68" s="754">
        <v>2</v>
      </c>
      <c r="I68" s="771">
        <v>12800.6</v>
      </c>
      <c r="J68" s="771">
        <v>12509.42</v>
      </c>
      <c r="K68" s="757">
        <f t="shared" si="1"/>
      </c>
      <c r="L68" s="757">
        <f t="shared" si="0"/>
      </c>
      <c r="M68" s="757">
        <f t="shared" si="2"/>
      </c>
      <c r="N68" s="772"/>
      <c r="O68" s="769"/>
      <c r="P68" s="773"/>
    </row>
    <row hidden="true" r="69">
      <c r="A69" s="768">
        <v>45852</v>
      </c>
      <c r="B69" s="769" t="s">
        <v>822</v>
      </c>
      <c r="C69" s="770" t="s">
        <v>838</v>
      </c>
      <c r="D69" s="769">
        <v>4</v>
      </c>
      <c r="E69" s="754">
        <v>22</v>
      </c>
      <c r="F69" s="754">
        <v>16</v>
      </c>
      <c r="G69" s="754">
        <v>9</v>
      </c>
      <c r="H69" s="754">
        <v>1</v>
      </c>
      <c r="I69" s="771">
        <v>19476</v>
      </c>
      <c r="J69" s="771">
        <v>10483.79</v>
      </c>
      <c r="K69" s="757">
        <f t="shared" si="1"/>
      </c>
      <c r="L69" s="757">
        <f t="shared" si="0"/>
      </c>
      <c r="M69" s="757">
        <f t="shared" si="2"/>
      </c>
      <c r="N69" s="772"/>
      <c r="O69" s="769"/>
      <c r="P69" s="773"/>
    </row>
    <row hidden="true" r="70">
      <c r="A70" s="768">
        <v>45852</v>
      </c>
      <c r="B70" s="754" t="s">
        <v>826</v>
      </c>
      <c r="C70" s="774" t="s">
        <v>843</v>
      </c>
      <c r="D70" s="754">
        <v>5</v>
      </c>
      <c r="E70" s="754">
        <v>26</v>
      </c>
      <c r="F70" s="754">
        <v>19</v>
      </c>
      <c r="G70" s="754">
        <v>14</v>
      </c>
      <c r="H70" s="754">
        <v>2</v>
      </c>
      <c r="I70" s="769">
        <v>18845.2</v>
      </c>
      <c r="J70" s="771">
        <v>14755.890000000001</v>
      </c>
      <c r="K70" s="757">
        <f t="shared" si="1"/>
      </c>
      <c r="L70" s="757">
        <f t="shared" si="0"/>
      </c>
      <c r="M70" s="757">
        <f t="shared" si="2"/>
      </c>
      <c r="N70" s="772" t="s">
        <v>830</v>
      </c>
      <c r="O70" s="754">
        <v>9</v>
      </c>
      <c r="P70" s="773"/>
    </row>
    <row r="71">
      <c r="A71" s="775">
        <v>45852</v>
      </c>
      <c r="B71" s="763"/>
      <c r="C71" s="763"/>
      <c r="D71" s="763">
        <f>SUM(D67:D70)</f>
      </c>
      <c r="E71" s="763">
        <f>SUM(E67:E70)</f>
      </c>
      <c r="F71" s="763">
        <f>SUM(F67:F70)</f>
      </c>
      <c r="G71" s="763">
        <f>SUM(G67:G70)</f>
      </c>
      <c r="H71" s="763">
        <f>SUM(H67:H70)</f>
      </c>
      <c r="I71" s="763">
        <f>SUM(I67:I70)</f>
      </c>
      <c r="J71" s="763">
        <f>SUM(J67:J70)</f>
      </c>
      <c r="K71" s="765">
        <f t="shared" si="1"/>
      </c>
      <c r="L71" s="765">
        <f t="shared" si="0"/>
      </c>
      <c r="M71" s="765">
        <f t="shared" si="2"/>
      </c>
      <c r="N71" s="767"/>
      <c r="O71" s="763">
        <f>SUM(O67:O70)</f>
      </c>
      <c r="P71" s="767"/>
      <c r="Q71" s="760">
        <f>G71/F71</f>
      </c>
    </row>
    <row hidden="true" r="72">
      <c r="A72" s="768">
        <v>45853</v>
      </c>
      <c r="B72" s="754" t="s">
        <v>832</v>
      </c>
      <c r="C72" s="770" t="s">
        <v>820</v>
      </c>
      <c r="D72" s="769">
        <v>5</v>
      </c>
      <c r="E72" s="754">
        <v>30</v>
      </c>
      <c r="F72" s="754">
        <v>21</v>
      </c>
      <c r="G72" s="754">
        <v>16</v>
      </c>
      <c r="H72" s="754">
        <v>4</v>
      </c>
      <c r="I72" s="771">
        <v>17199.6</v>
      </c>
      <c r="J72" s="771">
        <v>12584.45</v>
      </c>
      <c r="K72" s="757">
        <f t="shared" si="1"/>
      </c>
      <c r="L72" s="757">
        <f t="shared" si="0"/>
      </c>
      <c r="M72" s="757">
        <f t="shared" si="2"/>
      </c>
      <c r="N72" s="772" t="s">
        <v>828</v>
      </c>
      <c r="O72" s="769">
        <v>9</v>
      </c>
      <c r="P72" s="773"/>
    </row>
    <row hidden="true" r="73">
      <c r="A73" s="768">
        <v>45853</v>
      </c>
      <c r="B73" s="769" t="s">
        <v>824</v>
      </c>
      <c r="C73" s="770" t="s">
        <v>823</v>
      </c>
      <c r="D73" s="769">
        <v>4</v>
      </c>
      <c r="E73" s="754">
        <v>26</v>
      </c>
      <c r="F73" s="754">
        <v>20</v>
      </c>
      <c r="G73" s="754">
        <v>14</v>
      </c>
      <c r="H73" s="754">
        <v>4</v>
      </c>
      <c r="I73" s="771">
        <v>20914.6</v>
      </c>
      <c r="J73" s="771">
        <v>11582.99</v>
      </c>
      <c r="K73" s="757">
        <f t="shared" si="1"/>
      </c>
      <c r="L73" s="757">
        <f t="shared" si="0"/>
      </c>
      <c r="M73" s="757">
        <f t="shared" si="2"/>
      </c>
      <c r="N73" s="772"/>
      <c r="O73" s="769"/>
      <c r="P73" s="773"/>
    </row>
    <row hidden="true" r="74">
      <c r="A74" s="768">
        <v>45853</v>
      </c>
      <c r="B74" s="769" t="s">
        <v>822</v>
      </c>
      <c r="C74" s="770" t="s">
        <v>838</v>
      </c>
      <c r="D74" s="769">
        <v>4</v>
      </c>
      <c r="E74" s="754">
        <v>9</v>
      </c>
      <c r="F74" s="754">
        <v>4</v>
      </c>
      <c r="G74" s="754">
        <v>3</v>
      </c>
      <c r="H74" s="754">
        <v>0</v>
      </c>
      <c r="I74" s="755">
        <v>5025.8</v>
      </c>
      <c r="J74" s="755">
        <v>7464.03</v>
      </c>
      <c r="K74" s="757">
        <f t="shared" si="1"/>
      </c>
      <c r="L74" s="757">
        <f t="shared" si="0"/>
      </c>
      <c r="M74" s="757">
        <f t="shared" si="2"/>
      </c>
      <c r="N74" s="772"/>
      <c r="O74" s="769"/>
      <c r="P74" s="773"/>
    </row>
    <row hidden="true" r="75">
      <c r="A75" s="768">
        <v>45853</v>
      </c>
      <c r="B75" s="754" t="s">
        <v>826</v>
      </c>
      <c r="C75" s="774" t="s">
        <v>846</v>
      </c>
      <c r="D75" s="754">
        <v>3</v>
      </c>
      <c r="E75" s="754">
        <v>9</v>
      </c>
      <c r="F75" s="754">
        <v>7</v>
      </c>
      <c r="G75" s="754">
        <v>6</v>
      </c>
      <c r="H75" s="754">
        <v>1</v>
      </c>
      <c r="I75" s="754">
        <v>6843.6</v>
      </c>
      <c r="J75" s="755">
        <v>7588.19</v>
      </c>
      <c r="K75" s="757">
        <f t="shared" si="1"/>
      </c>
      <c r="L75" s="757">
        <f t="shared" si="0"/>
      </c>
      <c r="M75" s="757">
        <f t="shared" si="2"/>
      </c>
      <c r="N75" s="776" t="s">
        <v>847</v>
      </c>
      <c r="O75" s="754">
        <v>7</v>
      </c>
      <c r="P75" s="773"/>
    </row>
    <row r="76">
      <c r="A76" s="775">
        <v>45853</v>
      </c>
      <c r="B76" s="763"/>
      <c r="C76" s="763"/>
      <c r="D76" s="763">
        <f>SUM(D72:D75)</f>
      </c>
      <c r="E76" s="763">
        <f>SUM(E72:E75)</f>
      </c>
      <c r="F76" s="763">
        <f>SUM(F72:F75)</f>
      </c>
      <c r="G76" s="763">
        <f>SUM(G72:G75)</f>
      </c>
      <c r="H76" s="763">
        <f>SUM(H72:H75)</f>
      </c>
      <c r="I76" s="763">
        <f>SUM(I72:I75)</f>
      </c>
      <c r="J76" s="763">
        <f>SUM(J72:J75)</f>
      </c>
      <c r="K76" s="765">
        <f t="shared" si="1"/>
      </c>
      <c r="L76" s="765">
        <f t="shared" si="0"/>
      </c>
      <c r="M76" s="765">
        <f t="shared" si="2"/>
      </c>
      <c r="N76" s="767"/>
      <c r="O76" s="763">
        <f>SUM(O72:O75)</f>
      </c>
      <c r="P76" s="767"/>
      <c r="Q76" s="760">
        <f>G76/F76</f>
      </c>
    </row>
    <row hidden="true" r="77">
      <c r="A77" s="768">
        <v>45854</v>
      </c>
      <c r="B77" s="754" t="s">
        <v>819</v>
      </c>
      <c r="C77" s="770" t="s">
        <v>820</v>
      </c>
      <c r="D77" s="769">
        <v>5</v>
      </c>
      <c r="E77" s="754">
        <v>42</v>
      </c>
      <c r="F77" s="754">
        <v>35</v>
      </c>
      <c r="G77" s="754">
        <v>19</v>
      </c>
      <c r="H77" s="754">
        <v>7</v>
      </c>
      <c r="I77" s="771">
        <v>45266.8</v>
      </c>
      <c r="J77" s="771">
        <v>15009.090000000002</v>
      </c>
      <c r="K77" s="757">
        <f t="shared" si="1"/>
      </c>
      <c r="L77" s="757">
        <f t="shared" si="0"/>
      </c>
      <c r="M77" s="757">
        <f t="shared" si="2"/>
      </c>
      <c r="N77" s="772" t="s">
        <v>828</v>
      </c>
      <c r="O77" s="769">
        <v>9</v>
      </c>
      <c r="P77" s="773"/>
    </row>
    <row hidden="true" r="78">
      <c r="A78" s="768">
        <v>45854</v>
      </c>
      <c r="B78" s="754" t="s">
        <v>832</v>
      </c>
      <c r="C78" s="770" t="s">
        <v>823</v>
      </c>
      <c r="D78" s="769">
        <v>4</v>
      </c>
      <c r="E78" s="754">
        <v>26</v>
      </c>
      <c r="F78" s="754">
        <v>18</v>
      </c>
      <c r="G78" s="754">
        <v>12</v>
      </c>
      <c r="H78" s="754">
        <v>2</v>
      </c>
      <c r="I78" s="771">
        <v>23910.8</v>
      </c>
      <c r="J78" s="771">
        <v>14094.74</v>
      </c>
      <c r="K78" s="757">
        <f t="shared" si="1"/>
      </c>
      <c r="L78" s="757">
        <f t="shared" si="0"/>
      </c>
      <c r="M78" s="757">
        <f t="shared" si="2"/>
      </c>
      <c r="N78" s="772"/>
      <c r="O78" s="769"/>
      <c r="P78" s="773"/>
    </row>
    <row hidden="true" r="79">
      <c r="A79" s="768">
        <v>45854</v>
      </c>
      <c r="B79" s="754" t="s">
        <v>822</v>
      </c>
      <c r="C79" s="770" t="s">
        <v>838</v>
      </c>
      <c r="D79" s="769">
        <v>4</v>
      </c>
      <c r="E79" s="754">
        <v>28</v>
      </c>
      <c r="F79" s="754">
        <v>18</v>
      </c>
      <c r="G79" s="754">
        <v>10</v>
      </c>
      <c r="H79" s="754">
        <v>2</v>
      </c>
      <c r="I79" s="755">
        <v>21676</v>
      </c>
      <c r="J79" s="755">
        <v>13348.9</v>
      </c>
      <c r="K79" s="757">
        <f t="shared" si="1"/>
      </c>
      <c r="L79" s="757">
        <f t="shared" si="0"/>
      </c>
      <c r="M79" s="757">
        <f t="shared" si="2"/>
      </c>
      <c r="N79" s="772"/>
      <c r="O79" s="769"/>
      <c r="P79" s="773"/>
    </row>
    <row hidden="true" r="80">
      <c r="A80" s="768">
        <v>45854</v>
      </c>
      <c r="B80" s="754" t="s">
        <v>826</v>
      </c>
      <c r="C80" s="774" t="s">
        <v>848</v>
      </c>
      <c r="D80" s="754">
        <v>2</v>
      </c>
      <c r="E80" s="754">
        <v>1</v>
      </c>
      <c r="F80" s="754">
        <v>1</v>
      </c>
      <c r="G80" s="754">
        <v>1</v>
      </c>
      <c r="H80" s="754">
        <v>0</v>
      </c>
      <c r="I80" s="754">
        <v>538.8</v>
      </c>
      <c r="J80" s="755">
        <v>3774.3900000000003</v>
      </c>
      <c r="K80" s="757">
        <f t="shared" si="1"/>
      </c>
      <c r="L80" s="757">
        <f t="shared" si="0"/>
      </c>
      <c r="M80" s="757">
        <f t="shared" si="2"/>
      </c>
      <c r="N80" s="776" t="s">
        <v>830</v>
      </c>
      <c r="O80" s="754">
        <v>6</v>
      </c>
      <c r="P80" s="773"/>
    </row>
    <row r="81">
      <c r="A81" s="775">
        <v>45854</v>
      </c>
      <c r="B81" s="763"/>
      <c r="C81" s="763"/>
      <c r="D81" s="763">
        <f>SUM(D77:D80)</f>
      </c>
      <c r="E81" s="763">
        <f>SUM(E77:E80)</f>
      </c>
      <c r="F81" s="763">
        <f>SUM(F77:F80)</f>
      </c>
      <c r="G81" s="763">
        <f>SUM(G77:G80)</f>
      </c>
      <c r="H81" s="763">
        <f>SUM(H77:H80)</f>
      </c>
      <c r="I81" s="763">
        <f>SUM(I77:I80)</f>
      </c>
      <c r="J81" s="763">
        <f>SUM(J77:J80)</f>
      </c>
      <c r="K81" s="765">
        <f t="shared" si="1"/>
      </c>
      <c r="L81" s="765">
        <f t="shared" si="0"/>
      </c>
      <c r="M81" s="765">
        <f t="shared" si="2"/>
      </c>
      <c r="N81" s="767"/>
      <c r="O81" s="763">
        <f>SUM(O77:O80)</f>
      </c>
      <c r="P81" s="767"/>
      <c r="Q81" s="760">
        <f>G81/F81</f>
      </c>
    </row>
    <row hidden="true" r="82">
      <c r="A82" s="768">
        <v>45855</v>
      </c>
      <c r="B82" s="754" t="s">
        <v>819</v>
      </c>
      <c r="C82" s="770" t="s">
        <v>820</v>
      </c>
      <c r="D82" s="769">
        <v>5</v>
      </c>
      <c r="E82" s="754">
        <v>50</v>
      </c>
      <c r="F82" s="754">
        <v>36</v>
      </c>
      <c r="G82" s="754">
        <v>26</v>
      </c>
      <c r="H82" s="754">
        <v>6</v>
      </c>
      <c r="I82" s="771">
        <v>41879.99999999999</v>
      </c>
      <c r="J82" s="771">
        <v>19667.370000000003</v>
      </c>
      <c r="K82" s="757">
        <f t="shared" si="1"/>
      </c>
      <c r="L82" s="757">
        <f t="shared" si="0"/>
      </c>
      <c r="M82" s="757">
        <f t="shared" si="2"/>
      </c>
      <c r="N82" s="772" t="s">
        <v>828</v>
      </c>
      <c r="O82" s="769">
        <v>9</v>
      </c>
      <c r="P82" s="773"/>
    </row>
    <row hidden="true" r="83">
      <c r="A83" s="768">
        <v>45855</v>
      </c>
      <c r="B83" s="754" t="s">
        <v>824</v>
      </c>
      <c r="C83" s="770" t="s">
        <v>823</v>
      </c>
      <c r="D83" s="769">
        <v>4</v>
      </c>
      <c r="E83" s="754">
        <v>38</v>
      </c>
      <c r="F83" s="754">
        <v>28</v>
      </c>
      <c r="G83" s="754">
        <v>22</v>
      </c>
      <c r="H83" s="754">
        <v>6</v>
      </c>
      <c r="I83" s="771">
        <v>27581.6</v>
      </c>
      <c r="J83" s="771">
        <v>11189.94</v>
      </c>
      <c r="K83" s="757">
        <f t="shared" si="1"/>
      </c>
      <c r="L83" s="757">
        <f t="shared" si="0"/>
      </c>
      <c r="M83" s="757">
        <f t="shared" si="2"/>
      </c>
      <c r="N83" s="772"/>
      <c r="O83" s="769"/>
      <c r="P83" s="773"/>
    </row>
    <row hidden="true" r="84">
      <c r="A84" s="768">
        <v>45855</v>
      </c>
      <c r="B84" s="754" t="s">
        <v>822</v>
      </c>
      <c r="C84" s="774" t="s">
        <v>838</v>
      </c>
      <c r="D84" s="754">
        <v>4</v>
      </c>
      <c r="E84" s="754">
        <v>27</v>
      </c>
      <c r="F84" s="754">
        <v>17</v>
      </c>
      <c r="G84" s="754">
        <v>11</v>
      </c>
      <c r="H84" s="754">
        <v>1</v>
      </c>
      <c r="I84" s="755">
        <v>13783.800000000001</v>
      </c>
      <c r="J84" s="755">
        <v>13002.210000000001</v>
      </c>
      <c r="K84" s="757">
        <f t="shared" si="1"/>
      </c>
      <c r="L84" s="757">
        <f t="shared" si="0"/>
      </c>
      <c r="M84" s="757">
        <f t="shared" si="2"/>
      </c>
      <c r="N84" s="772"/>
      <c r="O84" s="769"/>
      <c r="P84" s="773"/>
    </row>
    <row hidden="true" r="85">
      <c r="A85" s="768">
        <v>45855</v>
      </c>
      <c r="B85" s="754" t="s">
        <v>826</v>
      </c>
      <c r="C85" s="774" t="s">
        <v>827</v>
      </c>
      <c r="D85" s="754">
        <v>4</v>
      </c>
      <c r="E85" s="754">
        <v>37</v>
      </c>
      <c r="F85" s="754">
        <v>27</v>
      </c>
      <c r="G85" s="754">
        <v>23</v>
      </c>
      <c r="H85" s="754">
        <v>5</v>
      </c>
      <c r="I85" s="754">
        <v>22069.4</v>
      </c>
      <c r="J85" s="755">
        <v>13648.64</v>
      </c>
      <c r="K85" s="757">
        <f t="shared" si="1"/>
      </c>
      <c r="L85" s="757">
        <f t="shared" si="0"/>
      </c>
      <c r="M85" s="757">
        <f t="shared" si="2"/>
      </c>
      <c r="N85" s="776" t="s">
        <v>830</v>
      </c>
      <c r="O85" s="754">
        <v>8</v>
      </c>
      <c r="P85" s="773"/>
    </row>
    <row r="86">
      <c r="A86" s="775">
        <v>45855</v>
      </c>
      <c r="B86" s="763"/>
      <c r="C86" s="763"/>
      <c r="D86" s="763">
        <f>SUM(D82:D85)</f>
      </c>
      <c r="E86" s="763">
        <f>SUM(E82:E85)</f>
      </c>
      <c r="F86" s="763">
        <f>SUM(F82:F85)</f>
      </c>
      <c r="G86" s="763">
        <f>SUM(G82:G85)</f>
      </c>
      <c r="H86" s="763">
        <f>SUM(H82:H85)</f>
      </c>
      <c r="I86" s="763">
        <f>SUM(I82:I85)</f>
      </c>
      <c r="J86" s="763">
        <f>SUM(J82:J85)</f>
      </c>
      <c r="K86" s="765">
        <f t="shared" si="1"/>
      </c>
      <c r="L86" s="765">
        <f t="shared" si="0"/>
      </c>
      <c r="M86" s="765">
        <f t="shared" si="2"/>
      </c>
      <c r="N86" s="767"/>
      <c r="O86" s="763">
        <f>SUM(O82:O85)</f>
      </c>
      <c r="P86" s="767"/>
      <c r="Q86" s="760">
        <f>G86/F86</f>
      </c>
    </row>
    <row hidden="true" r="87">
      <c r="A87" s="768">
        <v>45856</v>
      </c>
      <c r="B87" s="754" t="s">
        <v>819</v>
      </c>
      <c r="C87" s="770" t="s">
        <v>820</v>
      </c>
      <c r="D87" s="754">
        <v>4.5</v>
      </c>
      <c r="E87" s="754">
        <v>26</v>
      </c>
      <c r="F87" s="754">
        <v>18</v>
      </c>
      <c r="G87" s="754">
        <v>15</v>
      </c>
      <c r="H87" s="754">
        <v>4</v>
      </c>
      <c r="I87" s="771">
        <v>12566.8</v>
      </c>
      <c r="J87" s="771">
        <v>12985.18</v>
      </c>
      <c r="K87" s="757">
        <f t="shared" si="1"/>
      </c>
      <c r="L87" s="757">
        <f t="shared" si="0"/>
      </c>
      <c r="M87" s="757">
        <f t="shared" si="2"/>
      </c>
      <c r="N87" s="772" t="s">
        <v>828</v>
      </c>
      <c r="O87" s="754">
        <v>8.5</v>
      </c>
      <c r="P87" s="773"/>
    </row>
    <row hidden="true" r="88">
      <c r="A88" s="768">
        <v>45856</v>
      </c>
      <c r="B88" s="754" t="s">
        <v>832</v>
      </c>
      <c r="C88" s="770" t="s">
        <v>823</v>
      </c>
      <c r="D88" s="769">
        <v>4</v>
      </c>
      <c r="E88" s="754">
        <v>23</v>
      </c>
      <c r="F88" s="754">
        <v>18</v>
      </c>
      <c r="G88" s="754">
        <v>14</v>
      </c>
      <c r="H88" s="754">
        <v>2</v>
      </c>
      <c r="I88" s="771">
        <v>16537</v>
      </c>
      <c r="J88" s="771">
        <v>11861.29</v>
      </c>
      <c r="K88" s="757">
        <f t="shared" si="1"/>
      </c>
      <c r="L88" s="757">
        <f t="shared" si="0"/>
      </c>
      <c r="M88" s="757">
        <f t="shared" si="2"/>
      </c>
      <c r="N88" s="772"/>
      <c r="O88" s="769"/>
      <c r="P88" s="773"/>
    </row>
    <row hidden="true" r="89">
      <c r="A89" s="768">
        <v>45856</v>
      </c>
      <c r="B89" s="754" t="s">
        <v>824</v>
      </c>
      <c r="C89" s="774" t="s">
        <v>838</v>
      </c>
      <c r="D89" s="754">
        <v>4</v>
      </c>
      <c r="E89" s="754">
        <v>17</v>
      </c>
      <c r="F89" s="754">
        <v>17</v>
      </c>
      <c r="G89" s="754">
        <v>14</v>
      </c>
      <c r="H89" s="754">
        <v>1</v>
      </c>
      <c r="I89" s="755">
        <v>15121.800000000001</v>
      </c>
      <c r="J89" s="755">
        <v>8239.8</v>
      </c>
      <c r="K89" s="757">
        <f t="shared" si="1"/>
      </c>
      <c r="L89" s="757">
        <f t="shared" si="0"/>
      </c>
      <c r="M89" s="757">
        <f t="shared" si="2"/>
      </c>
      <c r="N89" s="772"/>
      <c r="O89" s="769"/>
      <c r="P89" s="773"/>
    </row>
    <row hidden="true" r="90">
      <c r="A90" s="768">
        <v>45856</v>
      </c>
      <c r="B90" s="754" t="s">
        <v>822</v>
      </c>
      <c r="C90" s="774" t="s">
        <v>827</v>
      </c>
      <c r="D90" s="754">
        <v>4</v>
      </c>
      <c r="E90" s="754">
        <v>43</v>
      </c>
      <c r="F90" s="754">
        <v>34</v>
      </c>
      <c r="G90" s="754">
        <v>28</v>
      </c>
      <c r="H90" s="754">
        <v>5</v>
      </c>
      <c r="I90" s="754">
        <v>31445</v>
      </c>
      <c r="J90" s="755">
        <v>12182.12</v>
      </c>
      <c r="K90" s="757">
        <f t="shared" si="1"/>
      </c>
      <c r="L90" s="757">
        <f t="shared" si="0"/>
      </c>
      <c r="M90" s="757">
        <f t="shared" si="2"/>
      </c>
      <c r="N90" s="776" t="s">
        <v>830</v>
      </c>
      <c r="O90" s="754">
        <v>8</v>
      </c>
      <c r="P90" s="773"/>
    </row>
    <row customHeight="true" ht="20.833331516810937" r="91">
      <c r="A91" s="775">
        <v>45856</v>
      </c>
      <c r="B91" s="763"/>
      <c r="C91" s="763"/>
      <c r="D91" s="763">
        <f>SUM(D87:D90)</f>
      </c>
      <c r="E91" s="763">
        <f>SUM(E87:E90)</f>
      </c>
      <c r="F91" s="763">
        <f>SUM(F87:F90)</f>
      </c>
      <c r="G91" s="763">
        <f>SUM(G87:G90)</f>
      </c>
      <c r="H91" s="763">
        <f>SUM(H87:H90)</f>
      </c>
      <c r="I91" s="763">
        <f>SUM(I87:I90)</f>
      </c>
      <c r="J91" s="763">
        <f>SUM(J87:J90)</f>
      </c>
      <c r="K91" s="765">
        <f t="shared" si="1"/>
      </c>
      <c r="L91" s="765">
        <f t="shared" si="0"/>
      </c>
      <c r="M91" s="765">
        <f t="shared" si="2"/>
      </c>
      <c r="N91" s="767"/>
      <c r="O91" s="763">
        <f>SUM(O87:O90)</f>
      </c>
      <c r="P91" s="767"/>
      <c r="Q91" s="760">
        <f>G91/F91</f>
      </c>
    </row>
    <row hidden="true" r="92">
      <c r="A92" s="768">
        <v>45857</v>
      </c>
      <c r="B92" s="754" t="s">
        <v>819</v>
      </c>
      <c r="C92" s="770" t="s">
        <v>820</v>
      </c>
      <c r="D92" s="754">
        <v>5</v>
      </c>
      <c r="E92" s="754">
        <v>45</v>
      </c>
      <c r="F92" s="754">
        <v>28</v>
      </c>
      <c r="G92" s="754">
        <v>20</v>
      </c>
      <c r="H92" s="754">
        <v>3</v>
      </c>
      <c r="I92" s="771">
        <v>30166</v>
      </c>
      <c r="J92" s="771">
        <v>18800.8</v>
      </c>
      <c r="K92" s="757">
        <f t="shared" si="1"/>
      </c>
      <c r="L92" s="757">
        <f t="shared" si="0"/>
      </c>
      <c r="M92" s="757">
        <f t="shared" si="2"/>
      </c>
      <c r="N92" s="772" t="s">
        <v>828</v>
      </c>
      <c r="O92" s="754">
        <v>9</v>
      </c>
    </row>
    <row hidden="true" r="93">
      <c r="A93" s="768">
        <v>45857</v>
      </c>
      <c r="B93" s="754" t="s">
        <v>832</v>
      </c>
      <c r="C93" s="770" t="s">
        <v>823</v>
      </c>
      <c r="D93" s="769">
        <v>4</v>
      </c>
      <c r="E93" s="754">
        <v>21</v>
      </c>
      <c r="F93" s="754">
        <v>18</v>
      </c>
      <c r="G93" s="754">
        <v>13</v>
      </c>
      <c r="H93" s="754">
        <v>1</v>
      </c>
      <c r="I93" s="771">
        <v>18130.6</v>
      </c>
      <c r="J93" s="771">
        <v>12416.34</v>
      </c>
      <c r="K93" s="757">
        <f t="shared" si="1"/>
      </c>
      <c r="L93" s="757">
        <f t="shared" si="0"/>
      </c>
      <c r="M93" s="757">
        <f t="shared" si="2"/>
      </c>
      <c r="N93" s="772"/>
      <c r="O93" s="769"/>
    </row>
    <row hidden="true" r="94">
      <c r="A94" s="768">
        <v>45857</v>
      </c>
      <c r="B94" s="754" t="s">
        <v>824</v>
      </c>
      <c r="C94" s="774" t="s">
        <v>838</v>
      </c>
      <c r="D94" s="754">
        <v>4</v>
      </c>
      <c r="E94" s="754">
        <v>30</v>
      </c>
      <c r="F94" s="754">
        <v>21</v>
      </c>
      <c r="G94" s="754">
        <v>13</v>
      </c>
      <c r="H94" s="754">
        <v>2</v>
      </c>
      <c r="I94" s="755">
        <v>20770.4</v>
      </c>
      <c r="J94" s="755">
        <v>10484.98</v>
      </c>
      <c r="K94" s="757">
        <f t="shared" si="1"/>
      </c>
      <c r="L94" s="757">
        <f t="shared" si="0"/>
      </c>
      <c r="M94" s="757">
        <f t="shared" si="2"/>
      </c>
      <c r="N94" s="772"/>
      <c r="O94" s="769"/>
    </row>
    <row hidden="true" r="95">
      <c r="A95" s="768">
        <v>45857</v>
      </c>
      <c r="B95" s="754" t="s">
        <v>826</v>
      </c>
      <c r="C95" s="774" t="s">
        <v>827</v>
      </c>
      <c r="D95" s="754">
        <v>4</v>
      </c>
      <c r="E95" s="754">
        <v>28</v>
      </c>
      <c r="F95" s="754">
        <v>22</v>
      </c>
      <c r="G95" s="754">
        <v>17</v>
      </c>
      <c r="H95" s="754">
        <v>4</v>
      </c>
      <c r="I95" s="754">
        <v>25202.8</v>
      </c>
      <c r="J95" s="755">
        <v>10341.08</v>
      </c>
      <c r="K95" s="757">
        <f t="shared" si="1"/>
      </c>
      <c r="L95" s="757">
        <f t="shared" si="0"/>
      </c>
      <c r="M95" s="757">
        <f t="shared" si="2"/>
      </c>
      <c r="N95" s="776" t="s">
        <v>830</v>
      </c>
      <c r="O95" s="754">
        <v>8</v>
      </c>
    </row>
    <row r="96">
      <c r="A96" s="775">
        <v>45857</v>
      </c>
      <c r="B96" s="763"/>
      <c r="C96" s="763"/>
      <c r="D96" s="763">
        <f>SUM(D92:D95)</f>
      </c>
      <c r="E96" s="763">
        <f>SUM(E92:E95)</f>
      </c>
      <c r="F96" s="763">
        <f>SUM(F92:F95)</f>
      </c>
      <c r="G96" s="763">
        <f>SUM(G92:G95)</f>
      </c>
      <c r="H96" s="763">
        <f>SUM(H92:H95)</f>
      </c>
      <c r="I96" s="763">
        <f>SUM(I92:I95)</f>
      </c>
      <c r="J96" s="763">
        <f>SUM(J92:J95)</f>
      </c>
      <c r="K96" s="765">
        <f t="shared" si="1"/>
      </c>
      <c r="L96" s="765">
        <f t="shared" si="0"/>
      </c>
      <c r="M96" s="765">
        <f t="shared" si="2"/>
      </c>
      <c r="N96" s="767"/>
      <c r="O96" s="763">
        <f>SUM(O92:O95)</f>
      </c>
      <c r="P96" s="767"/>
      <c r="Q96" s="760">
        <f>G96/F96</f>
      </c>
    </row>
    <row hidden="true" r="97">
      <c r="A97" s="768">
        <v>45858</v>
      </c>
      <c r="B97" s="754" t="s">
        <v>819</v>
      </c>
      <c r="C97" s="770" t="s">
        <v>820</v>
      </c>
      <c r="D97" s="754">
        <v>5</v>
      </c>
      <c r="E97" s="754">
        <v>50</v>
      </c>
      <c r="F97" s="754">
        <v>36</v>
      </c>
      <c r="G97" s="754">
        <v>26</v>
      </c>
      <c r="H97" s="754">
        <v>5</v>
      </c>
      <c r="I97" s="771">
        <v>35968.8</v>
      </c>
      <c r="J97" s="771">
        <v>15231.77</v>
      </c>
      <c r="K97" s="757">
        <f t="shared" si="1"/>
      </c>
      <c r="L97" s="757">
        <f t="shared" si="0"/>
      </c>
      <c r="M97" s="757">
        <f t="shared" si="2"/>
      </c>
      <c r="N97" s="772" t="s">
        <v>828</v>
      </c>
      <c r="O97" s="754">
        <v>9</v>
      </c>
    </row>
    <row hidden="true" r="98">
      <c r="A98" s="768">
        <v>45858</v>
      </c>
      <c r="B98" s="754" t="s">
        <v>824</v>
      </c>
      <c r="C98" s="770" t="s">
        <v>823</v>
      </c>
      <c r="D98" s="769">
        <v>4</v>
      </c>
      <c r="E98" s="754">
        <v>15</v>
      </c>
      <c r="F98" s="754">
        <v>11</v>
      </c>
      <c r="G98" s="754">
        <v>8</v>
      </c>
      <c r="H98" s="754">
        <v>0</v>
      </c>
      <c r="I98" s="771">
        <v>16423.2</v>
      </c>
      <c r="J98" s="771">
        <v>11259.189999999999</v>
      </c>
      <c r="K98" s="757">
        <f t="shared" si="1"/>
      </c>
      <c r="L98" s="757">
        <f t="shared" si="0"/>
      </c>
      <c r="M98" s="757">
        <f t="shared" si="2"/>
      </c>
      <c r="N98" s="772"/>
      <c r="O98" s="769"/>
    </row>
    <row hidden="true" r="99">
      <c r="A99" s="768">
        <v>45858</v>
      </c>
      <c r="B99" s="754" t="s">
        <v>822</v>
      </c>
      <c r="C99" s="774" t="s">
        <v>838</v>
      </c>
      <c r="D99" s="754">
        <v>4</v>
      </c>
      <c r="E99" s="754">
        <v>25</v>
      </c>
      <c r="F99" s="754">
        <v>20</v>
      </c>
      <c r="G99" s="754">
        <v>16</v>
      </c>
      <c r="H99" s="754">
        <v>2</v>
      </c>
      <c r="I99" s="755">
        <v>16734</v>
      </c>
      <c r="J99" s="755">
        <v>9793.869999999999</v>
      </c>
      <c r="K99" s="757">
        <f t="shared" si="1"/>
      </c>
      <c r="L99" s="757">
        <f t="shared" si="0"/>
      </c>
      <c r="M99" s="757">
        <f t="shared" si="2"/>
      </c>
      <c r="N99" s="772"/>
      <c r="O99" s="769"/>
    </row>
    <row hidden="true" r="100">
      <c r="A100" s="768">
        <v>45858</v>
      </c>
      <c r="B100" s="754" t="s">
        <v>826</v>
      </c>
      <c r="C100" s="774" t="s">
        <v>827</v>
      </c>
      <c r="D100" s="754">
        <v>4</v>
      </c>
      <c r="E100" s="754">
        <v>37</v>
      </c>
      <c r="F100" s="754">
        <v>26</v>
      </c>
      <c r="G100" s="754">
        <v>18</v>
      </c>
      <c r="H100" s="754">
        <v>3</v>
      </c>
      <c r="I100" s="754">
        <v>29529.600000000002</v>
      </c>
      <c r="J100" s="755">
        <v>14664.18</v>
      </c>
      <c r="K100" s="757">
        <f t="shared" si="1"/>
      </c>
      <c r="L100" s="757">
        <f t="shared" si="0"/>
      </c>
      <c r="M100" s="757">
        <f t="shared" si="2"/>
      </c>
      <c r="N100" s="776" t="s">
        <v>830</v>
      </c>
      <c r="O100" s="754">
        <v>8</v>
      </c>
    </row>
    <row r="101">
      <c r="A101" s="775">
        <v>45858</v>
      </c>
      <c r="B101" s="763"/>
      <c r="C101" s="763"/>
      <c r="D101" s="763">
        <f>SUM(D97:D100)</f>
      </c>
      <c r="E101" s="763">
        <f>SUM(E97:E100)</f>
      </c>
      <c r="F101" s="763">
        <f>SUM(F97:F100)</f>
      </c>
      <c r="G101" s="763">
        <f>SUM(G97:G100)</f>
      </c>
      <c r="H101" s="763">
        <f>SUM(H97:H100)</f>
      </c>
      <c r="I101" s="763">
        <f>SUM(I97:I100)</f>
      </c>
      <c r="J101" s="763">
        <f>SUM(J97:J100)</f>
      </c>
      <c r="K101" s="765">
        <f t="shared" si="1"/>
      </c>
      <c r="L101" s="765">
        <f t="shared" si="0"/>
      </c>
      <c r="M101" s="765">
        <f t="shared" si="2"/>
      </c>
      <c r="N101" s="767"/>
      <c r="O101" s="763">
        <f>SUM(O97:O100)</f>
      </c>
      <c r="P101" s="767"/>
      <c r="Q101" s="760">
        <f>G101/F101</f>
      </c>
    </row>
    <row hidden="true" r="102">
      <c r="A102" s="768">
        <v>45859</v>
      </c>
      <c r="B102" s="754" t="s">
        <v>819</v>
      </c>
      <c r="C102" s="770" t="s">
        <v>820</v>
      </c>
      <c r="D102" s="754">
        <v>5</v>
      </c>
      <c r="E102" s="754">
        <v>35</v>
      </c>
      <c r="F102" s="754">
        <v>27</v>
      </c>
      <c r="G102" s="754">
        <v>18</v>
      </c>
      <c r="H102" s="754">
        <v>4</v>
      </c>
      <c r="I102" s="771">
        <v>26086.8</v>
      </c>
      <c r="J102" s="771">
        <v>14723.67</v>
      </c>
      <c r="K102" s="757">
        <f t="shared" si="1"/>
      </c>
      <c r="L102" s="757">
        <f t="shared" si="0"/>
      </c>
      <c r="M102" s="757">
        <f t="shared" si="2"/>
      </c>
      <c r="N102" s="772" t="s">
        <v>828</v>
      </c>
      <c r="O102" s="754">
        <v>9</v>
      </c>
    </row>
    <row hidden="true" r="103">
      <c r="A103" s="768">
        <v>45859</v>
      </c>
      <c r="B103" s="754" t="s">
        <v>832</v>
      </c>
      <c r="C103" s="770" t="s">
        <v>823</v>
      </c>
      <c r="D103" s="769">
        <v>4</v>
      </c>
      <c r="E103" s="754">
        <v>34</v>
      </c>
      <c r="F103" s="754">
        <v>25</v>
      </c>
      <c r="G103" s="754">
        <v>20</v>
      </c>
      <c r="H103" s="754">
        <v>3</v>
      </c>
      <c r="I103" s="771">
        <v>35724.6</v>
      </c>
      <c r="J103" s="771">
        <v>11839.09</v>
      </c>
      <c r="K103" s="757">
        <f t="shared" si="1"/>
      </c>
      <c r="L103" s="757">
        <f t="shared" si="0"/>
      </c>
      <c r="M103" s="757">
        <f t="shared" si="2"/>
      </c>
      <c r="N103" s="772"/>
      <c r="O103" s="769"/>
    </row>
    <row hidden="true" r="104">
      <c r="A104" s="768">
        <v>45859</v>
      </c>
      <c r="B104" s="754" t="s">
        <v>822</v>
      </c>
      <c r="C104" s="774" t="s">
        <v>838</v>
      </c>
      <c r="D104" s="754">
        <v>4</v>
      </c>
      <c r="E104" s="754">
        <v>35</v>
      </c>
      <c r="F104" s="754">
        <v>28</v>
      </c>
      <c r="G104" s="754">
        <v>22</v>
      </c>
      <c r="H104" s="754">
        <v>4</v>
      </c>
      <c r="I104" s="755">
        <v>24746.799999999996</v>
      </c>
      <c r="J104" s="755">
        <v>13197.630000000001</v>
      </c>
      <c r="K104" s="757">
        <f t="shared" si="1"/>
      </c>
      <c r="L104" s="757">
        <f t="shared" si="0"/>
      </c>
      <c r="M104" s="757">
        <f t="shared" si="2"/>
      </c>
      <c r="N104" s="772"/>
      <c r="O104" s="769"/>
    </row>
    <row hidden="true" r="105">
      <c r="A105" s="768">
        <v>45859</v>
      </c>
      <c r="B105" s="754" t="s">
        <v>826</v>
      </c>
      <c r="C105" s="774" t="s">
        <v>827</v>
      </c>
      <c r="D105" s="754">
        <v>4</v>
      </c>
      <c r="E105" s="754">
        <v>17</v>
      </c>
      <c r="F105" s="754">
        <v>13</v>
      </c>
      <c r="G105" s="754">
        <v>10</v>
      </c>
      <c r="H105" s="754">
        <v>1</v>
      </c>
      <c r="I105" s="754">
        <v>14068.8</v>
      </c>
      <c r="J105" s="755">
        <v>11488.15</v>
      </c>
      <c r="K105" s="757">
        <f t="shared" si="1"/>
      </c>
      <c r="L105" s="757">
        <f t="shared" si="0"/>
      </c>
      <c r="M105" s="757">
        <f t="shared" si="2"/>
      </c>
      <c r="N105" s="776" t="s">
        <v>830</v>
      </c>
      <c r="O105" s="754">
        <v>8</v>
      </c>
    </row>
    <row r="106">
      <c r="A106" s="775">
        <v>45859</v>
      </c>
      <c r="B106" s="763"/>
      <c r="C106" s="763"/>
      <c r="D106" s="763">
        <f>SUM(D102:D105)</f>
      </c>
      <c r="E106" s="763">
        <f>SUM(E102:E105)</f>
      </c>
      <c r="F106" s="763">
        <f>SUM(F102:F105)</f>
      </c>
      <c r="G106" s="763">
        <f>SUM(G102:G105)</f>
      </c>
      <c r="H106" s="763">
        <f>SUM(H102:H105)</f>
      </c>
      <c r="I106" s="763">
        <f>SUM(I102:I105)</f>
      </c>
      <c r="J106" s="763">
        <f>SUM(J102:J105)</f>
      </c>
      <c r="K106" s="765">
        <f t="shared" si="1"/>
      </c>
      <c r="L106" s="765">
        <f t="shared" si="0"/>
      </c>
      <c r="M106" s="765">
        <f t="shared" si="2"/>
      </c>
      <c r="N106" s="767"/>
      <c r="O106" s="763">
        <f>SUM(O102:O105)</f>
      </c>
      <c r="P106" s="767"/>
    </row>
    <row hidden="true" r="107">
      <c r="A107" s="768">
        <v>45860</v>
      </c>
      <c r="B107" s="754" t="s">
        <v>819</v>
      </c>
      <c r="C107" s="770" t="s">
        <v>820</v>
      </c>
      <c r="D107" s="754">
        <v>5</v>
      </c>
      <c r="E107" s="754">
        <v>31</v>
      </c>
      <c r="F107" s="754">
        <v>26</v>
      </c>
      <c r="G107" s="754">
        <v>17</v>
      </c>
      <c r="H107" s="754">
        <v>4</v>
      </c>
      <c r="I107" s="771">
        <v>34405.2</v>
      </c>
      <c r="J107" s="771">
        <v>16665.56</v>
      </c>
      <c r="K107" s="757">
        <f t="shared" si="1"/>
      </c>
      <c r="L107" s="757">
        <f t="shared" si="0"/>
      </c>
      <c r="M107" s="757">
        <f t="shared" si="2"/>
      </c>
      <c r="N107" s="776" t="s">
        <v>849</v>
      </c>
      <c r="O107" s="754">
        <v>9</v>
      </c>
    </row>
    <row hidden="true" r="108">
      <c r="A108" s="768">
        <v>45860</v>
      </c>
      <c r="B108" s="754" t="s">
        <v>832</v>
      </c>
      <c r="C108" s="770" t="s">
        <v>823</v>
      </c>
      <c r="D108" s="769">
        <v>4</v>
      </c>
      <c r="E108" s="754">
        <v>36</v>
      </c>
      <c r="F108" s="754">
        <v>28</v>
      </c>
      <c r="G108" s="754">
        <v>22</v>
      </c>
      <c r="H108" s="754">
        <v>5</v>
      </c>
      <c r="I108" s="771">
        <v>23483.399999999998</v>
      </c>
      <c r="J108" s="771">
        <v>11011.98</v>
      </c>
      <c r="K108" s="757">
        <f t="shared" si="1"/>
      </c>
      <c r="L108" s="757">
        <f t="shared" si="0"/>
      </c>
      <c r="M108" s="757">
        <f t="shared" si="2"/>
      </c>
      <c r="N108" s="772"/>
      <c r="O108" s="769"/>
    </row>
    <row hidden="true" r="109">
      <c r="A109" s="768">
        <v>45860</v>
      </c>
      <c r="B109" s="754" t="s">
        <v>824</v>
      </c>
      <c r="C109" s="774" t="s">
        <v>838</v>
      </c>
      <c r="D109" s="754">
        <v>4</v>
      </c>
      <c r="E109" s="754">
        <v>16</v>
      </c>
      <c r="F109" s="754">
        <v>10</v>
      </c>
      <c r="G109" s="754">
        <v>6</v>
      </c>
      <c r="H109" s="754">
        <v>1</v>
      </c>
      <c r="I109" s="755">
        <v>8504.8</v>
      </c>
      <c r="J109" s="755">
        <v>9703.56</v>
      </c>
      <c r="K109" s="757">
        <f t="shared" si="1"/>
      </c>
      <c r="L109" s="757">
        <f t="shared" si="0"/>
      </c>
      <c r="M109" s="757">
        <f t="shared" si="2"/>
      </c>
      <c r="N109" s="772"/>
      <c r="O109" s="769"/>
    </row>
    <row hidden="true" r="110">
      <c r="A110" s="768">
        <v>45860</v>
      </c>
      <c r="B110" s="754" t="s">
        <v>822</v>
      </c>
      <c r="C110" s="774" t="s">
        <v>827</v>
      </c>
      <c r="D110" s="754">
        <v>4</v>
      </c>
      <c r="E110" s="754">
        <v>30</v>
      </c>
      <c r="F110" s="754">
        <v>25</v>
      </c>
      <c r="G110" s="754">
        <v>16</v>
      </c>
      <c r="H110" s="754">
        <v>2</v>
      </c>
      <c r="I110" s="754">
        <v>25655.2</v>
      </c>
      <c r="J110" s="755">
        <v>12830.939999999999</v>
      </c>
      <c r="K110" s="757">
        <f t="shared" si="1"/>
      </c>
      <c r="L110" s="757">
        <f t="shared" si="0"/>
      </c>
      <c r="M110" s="757">
        <f t="shared" si="2"/>
      </c>
      <c r="N110" s="772" t="s">
        <v>828</v>
      </c>
      <c r="O110" s="754">
        <v>8</v>
      </c>
    </row>
    <row r="111">
      <c r="A111" s="775">
        <v>45860</v>
      </c>
      <c r="B111" s="763"/>
      <c r="C111" s="763"/>
      <c r="D111" s="763">
        <f>SUM(D107:D110)</f>
      </c>
      <c r="E111" s="763">
        <f>SUM(E107:E110)</f>
      </c>
      <c r="F111" s="763">
        <f>SUM(F107:F110)</f>
      </c>
      <c r="G111" s="763">
        <f>SUM(G107:G110)</f>
      </c>
      <c r="H111" s="763">
        <f>SUM(H107:H110)</f>
      </c>
      <c r="I111" s="763">
        <f>SUM(I107:I110)</f>
      </c>
      <c r="J111" s="763">
        <f>SUM(J107:J110)</f>
      </c>
      <c r="K111" s="765">
        <f t="shared" si="1"/>
      </c>
      <c r="L111" s="765">
        <f t="shared" si="0"/>
      </c>
      <c r="M111" s="765">
        <f t="shared" si="2"/>
      </c>
      <c r="N111" s="767"/>
      <c r="O111" s="763">
        <f>SUM(O107:O110)</f>
      </c>
      <c r="P111" s="767"/>
    </row>
    <row hidden="true" r="112">
      <c r="A112" s="768">
        <v>45861</v>
      </c>
      <c r="B112" s="754" t="s">
        <v>819</v>
      </c>
      <c r="C112" s="770" t="s">
        <v>820</v>
      </c>
      <c r="D112" s="754">
        <v>5</v>
      </c>
      <c r="E112" s="754">
        <v>51</v>
      </c>
      <c r="F112" s="754">
        <v>44</v>
      </c>
      <c r="G112" s="754">
        <v>29</v>
      </c>
      <c r="H112" s="754">
        <v>8</v>
      </c>
      <c r="I112" s="771">
        <v>70366</v>
      </c>
      <c r="J112" s="771">
        <v>21595.15</v>
      </c>
      <c r="K112" s="757">
        <f t="shared" si="1"/>
      </c>
      <c r="L112" s="757">
        <f t="shared" si="0"/>
      </c>
      <c r="M112" s="757">
        <f t="shared" si="2"/>
      </c>
      <c r="N112" s="776" t="s">
        <v>830</v>
      </c>
      <c r="O112" s="754">
        <v>9</v>
      </c>
    </row>
    <row hidden="true" r="113">
      <c r="A113" s="768">
        <v>45861</v>
      </c>
      <c r="B113" s="754" t="s">
        <v>824</v>
      </c>
      <c r="C113" s="770" t="s">
        <v>823</v>
      </c>
      <c r="D113" s="769">
        <v>4</v>
      </c>
      <c r="E113" s="754">
        <v>20</v>
      </c>
      <c r="F113" s="754">
        <v>16</v>
      </c>
      <c r="G113" s="754">
        <v>10</v>
      </c>
      <c r="H113" s="754">
        <v>3</v>
      </c>
      <c r="I113" s="771">
        <v>14698</v>
      </c>
      <c r="J113" s="771">
        <v>12334.21</v>
      </c>
      <c r="K113" s="757">
        <f t="shared" si="1"/>
      </c>
      <c r="L113" s="757">
        <f t="shared" si="0"/>
      </c>
      <c r="M113" s="757">
        <f t="shared" si="2"/>
      </c>
      <c r="N113" s="772"/>
      <c r="O113" s="769"/>
    </row>
    <row hidden="true" r="114">
      <c r="A114" s="768">
        <v>45861</v>
      </c>
      <c r="B114" s="754" t="s">
        <v>832</v>
      </c>
      <c r="C114" s="774" t="s">
        <v>838</v>
      </c>
      <c r="D114" s="754">
        <v>4</v>
      </c>
      <c r="E114" s="754">
        <v>43</v>
      </c>
      <c r="F114" s="754">
        <v>33</v>
      </c>
      <c r="G114" s="754">
        <v>25</v>
      </c>
      <c r="H114" s="754">
        <v>5</v>
      </c>
      <c r="I114" s="755">
        <v>28603.2</v>
      </c>
      <c r="J114" s="755">
        <v>11422.47</v>
      </c>
      <c r="K114" s="757">
        <f t="shared" si="1"/>
      </c>
      <c r="L114" s="757">
        <f t="shared" si="0"/>
      </c>
      <c r="M114" s="757">
        <f t="shared" si="2"/>
      </c>
      <c r="N114" s="772"/>
      <c r="O114" s="769"/>
    </row>
    <row hidden="true" r="115">
      <c r="A115" s="768">
        <v>45861</v>
      </c>
      <c r="B115" s="754" t="s">
        <v>826</v>
      </c>
      <c r="C115" s="774" t="s">
        <v>846</v>
      </c>
      <c r="D115" s="754">
        <v>3</v>
      </c>
      <c r="E115" s="754">
        <v>19</v>
      </c>
      <c r="F115" s="754">
        <v>13</v>
      </c>
      <c r="G115" s="754">
        <v>10</v>
      </c>
      <c r="H115" s="754">
        <v>1</v>
      </c>
      <c r="I115" s="754">
        <v>11769.6</v>
      </c>
      <c r="J115" s="755">
        <v>9770.01</v>
      </c>
      <c r="K115" s="757">
        <f t="shared" si="1"/>
      </c>
      <c r="L115" s="757">
        <f t="shared" si="0"/>
      </c>
      <c r="M115" s="757">
        <f t="shared" si="2"/>
      </c>
      <c r="N115" s="772" t="s">
        <v>828</v>
      </c>
      <c r="O115" s="754">
        <v>7</v>
      </c>
    </row>
    <row r="116">
      <c r="A116" s="775">
        <v>45861</v>
      </c>
      <c r="B116" s="763"/>
      <c r="C116" s="763"/>
      <c r="D116" s="763">
        <f>SUM(D112:D115)</f>
      </c>
      <c r="E116" s="763">
        <f>SUM(E112:E115)</f>
      </c>
      <c r="F116" s="763">
        <f>SUM(F112:F115)</f>
      </c>
      <c r="G116" s="763">
        <f>SUM(G112:G115)</f>
      </c>
      <c r="H116" s="763">
        <f>SUM(H112:H115)</f>
      </c>
      <c r="I116" s="763">
        <f>SUM(I112:I115)</f>
      </c>
      <c r="J116" s="763">
        <f>SUM(J112:J115)</f>
      </c>
      <c r="K116" s="765">
        <f t="shared" si="1"/>
      </c>
      <c r="L116" s="765">
        <f t="shared" si="0"/>
      </c>
      <c r="M116" s="765">
        <f t="shared" si="2"/>
      </c>
      <c r="N116" s="767"/>
      <c r="O116" s="763">
        <f>SUM(O112:O115)</f>
      </c>
      <c r="P116" s="767"/>
    </row>
    <row hidden="true" r="117">
      <c r="A117" s="768">
        <v>45862</v>
      </c>
      <c r="B117" s="754" t="s">
        <v>819</v>
      </c>
      <c r="C117" s="770" t="s">
        <v>820</v>
      </c>
      <c r="D117" s="754">
        <v>5</v>
      </c>
      <c r="E117" s="754">
        <v>51</v>
      </c>
      <c r="F117" s="754">
        <v>39</v>
      </c>
      <c r="G117" s="754">
        <v>25</v>
      </c>
      <c r="H117" s="754">
        <v>4</v>
      </c>
      <c r="I117" s="771">
        <v>40595.2</v>
      </c>
      <c r="J117" s="771">
        <v>18869.44</v>
      </c>
      <c r="K117" s="757">
        <f t="shared" si="1"/>
      </c>
      <c r="L117" s="757">
        <f t="shared" si="0"/>
      </c>
      <c r="M117" s="757">
        <f t="shared" si="2"/>
      </c>
      <c r="N117" s="776" t="s">
        <v>830</v>
      </c>
      <c r="O117" s="754">
        <v>9</v>
      </c>
    </row>
    <row hidden="true" r="118">
      <c r="A118" s="768">
        <v>45862</v>
      </c>
      <c r="B118" s="754" t="s">
        <v>822</v>
      </c>
      <c r="C118" s="770" t="s">
        <v>823</v>
      </c>
      <c r="D118" s="769">
        <v>4</v>
      </c>
      <c r="E118" s="754">
        <v>43</v>
      </c>
      <c r="F118" s="754">
        <v>30</v>
      </c>
      <c r="G118" s="754">
        <v>23</v>
      </c>
      <c r="H118" s="754">
        <v>3</v>
      </c>
      <c r="I118" s="771">
        <v>29671.8</v>
      </c>
      <c r="J118" s="771">
        <v>14261</v>
      </c>
      <c r="K118" s="757">
        <f t="shared" si="1"/>
      </c>
      <c r="L118" s="757">
        <f t="shared" si="0"/>
      </c>
      <c r="M118" s="757">
        <f t="shared" si="2"/>
      </c>
      <c r="N118" s="772"/>
      <c r="O118" s="769"/>
    </row>
    <row hidden="true" r="119">
      <c r="A119" s="768">
        <v>45862</v>
      </c>
      <c r="B119" s="754" t="s">
        <v>832</v>
      </c>
      <c r="C119" s="774" t="s">
        <v>838</v>
      </c>
      <c r="D119" s="754">
        <v>4</v>
      </c>
      <c r="E119" s="754">
        <v>52</v>
      </c>
      <c r="F119" s="754">
        <v>35</v>
      </c>
      <c r="G119" s="754">
        <v>26</v>
      </c>
      <c r="H119" s="754">
        <v>5</v>
      </c>
      <c r="I119" s="755">
        <v>28362</v>
      </c>
      <c r="J119" s="755">
        <v>18478.6</v>
      </c>
      <c r="K119" s="757">
        <f t="shared" si="1"/>
      </c>
      <c r="L119" s="757">
        <f t="shared" si="0"/>
      </c>
      <c r="M119" s="757">
        <f t="shared" si="2"/>
      </c>
      <c r="N119" s="772"/>
      <c r="O119" s="769"/>
    </row>
    <row hidden="true" r="120">
      <c r="A120" s="768">
        <v>45862</v>
      </c>
      <c r="B120" s="754" t="s">
        <v>826</v>
      </c>
      <c r="C120" s="774" t="s">
        <v>827</v>
      </c>
      <c r="D120" s="754">
        <v>4</v>
      </c>
      <c r="E120" s="754">
        <v>27</v>
      </c>
      <c r="F120" s="754">
        <v>18</v>
      </c>
      <c r="G120" s="754">
        <v>10</v>
      </c>
      <c r="H120" s="754">
        <v>2</v>
      </c>
      <c r="I120" s="754">
        <v>18486.2</v>
      </c>
      <c r="J120" s="755">
        <v>11216.08</v>
      </c>
      <c r="K120" s="757">
        <f t="shared" si="1"/>
      </c>
      <c r="L120" s="757">
        <f t="shared" si="0"/>
      </c>
      <c r="M120" s="757">
        <f t="shared" si="2"/>
      </c>
      <c r="N120" s="772" t="s">
        <v>828</v>
      </c>
      <c r="O120" s="754">
        <v>8</v>
      </c>
    </row>
    <row r="121">
      <c r="A121" s="775">
        <v>45862</v>
      </c>
      <c r="B121" s="763"/>
      <c r="C121" s="763"/>
      <c r="D121" s="763">
        <f>SUM(D117:D120)</f>
      </c>
      <c r="E121" s="763">
        <f>SUM(E117:E120)</f>
      </c>
      <c r="F121" s="763">
        <f>SUM(F117:F120)</f>
      </c>
      <c r="G121" s="763">
        <f>SUM(G117:G120)</f>
      </c>
      <c r="H121" s="763">
        <f>SUM(H117:H120)</f>
      </c>
      <c r="I121" s="763">
        <f>SUM(I117:I120)</f>
      </c>
      <c r="J121" s="763">
        <f>SUM(J117:J120)</f>
      </c>
      <c r="K121" s="765">
        <f t="shared" si="1"/>
      </c>
      <c r="L121" s="765">
        <f t="shared" si="0"/>
      </c>
      <c r="M121" s="765">
        <f t="shared" si="2"/>
      </c>
      <c r="N121" s="767"/>
      <c r="O121" s="763">
        <f>SUM(O117:O120)</f>
      </c>
      <c r="P121" s="767"/>
    </row>
    <row hidden="true" r="122">
      <c r="A122" s="768">
        <v>45863</v>
      </c>
      <c r="B122" s="754" t="s">
        <v>819</v>
      </c>
      <c r="C122" s="770" t="s">
        <v>820</v>
      </c>
      <c r="D122" s="754">
        <v>5</v>
      </c>
      <c r="E122" s="754">
        <v>44</v>
      </c>
      <c r="F122" s="754">
        <v>31</v>
      </c>
      <c r="G122" s="754">
        <v>20</v>
      </c>
      <c r="H122" s="754">
        <v>4</v>
      </c>
      <c r="I122" s="771">
        <v>25394.399999999998</v>
      </c>
      <c r="J122" s="771">
        <v>17482.87</v>
      </c>
      <c r="K122" s="757">
        <f t="shared" si="1"/>
      </c>
      <c r="L122" s="757">
        <f t="shared" si="0"/>
      </c>
      <c r="M122" s="757">
        <f t="shared" si="2"/>
      </c>
      <c r="N122" s="776" t="s">
        <v>830</v>
      </c>
      <c r="O122" s="754">
        <v>9</v>
      </c>
    </row>
    <row hidden="true" r="123">
      <c r="A123" s="768">
        <v>45863</v>
      </c>
      <c r="B123" s="754" t="s">
        <v>822</v>
      </c>
      <c r="C123" s="770" t="s">
        <v>823</v>
      </c>
      <c r="D123" s="769">
        <v>4</v>
      </c>
      <c r="E123" s="754">
        <v>27</v>
      </c>
      <c r="F123" s="754">
        <v>17</v>
      </c>
      <c r="G123" s="754">
        <v>15</v>
      </c>
      <c r="H123" s="754">
        <v>1</v>
      </c>
      <c r="I123" s="771">
        <v>17524.2</v>
      </c>
      <c r="J123" s="771">
        <v>13417.5</v>
      </c>
      <c r="K123" s="757">
        <f t="shared" si="1"/>
      </c>
      <c r="L123" s="757">
        <f t="shared" si="0"/>
      </c>
      <c r="M123" s="757">
        <f t="shared" si="2"/>
      </c>
      <c r="N123" s="772"/>
      <c r="O123" s="769"/>
    </row>
    <row hidden="true" r="124">
      <c r="A124" s="768">
        <v>45863</v>
      </c>
      <c r="B124" s="754" t="s">
        <v>832</v>
      </c>
      <c r="C124" s="774" t="s">
        <v>838</v>
      </c>
      <c r="D124" s="754">
        <v>4</v>
      </c>
      <c r="E124" s="754">
        <v>25</v>
      </c>
      <c r="F124" s="754">
        <v>23</v>
      </c>
      <c r="G124" s="754">
        <v>17</v>
      </c>
      <c r="H124" s="754">
        <v>4</v>
      </c>
      <c r="I124" s="755">
        <v>28666.6</v>
      </c>
      <c r="J124" s="755">
        <v>14666.720000000001</v>
      </c>
      <c r="K124" s="757">
        <f t="shared" si="1"/>
      </c>
      <c r="L124" s="757">
        <f t="shared" si="0"/>
      </c>
      <c r="M124" s="757">
        <f t="shared" si="2"/>
      </c>
      <c r="N124" s="772"/>
      <c r="O124" s="769"/>
    </row>
    <row hidden="true" r="125">
      <c r="A125" s="768">
        <v>45863</v>
      </c>
      <c r="B125" s="754" t="s">
        <v>826</v>
      </c>
      <c r="C125" s="774" t="s">
        <v>827</v>
      </c>
      <c r="D125" s="754">
        <v>4</v>
      </c>
      <c r="E125" s="754">
        <v>25</v>
      </c>
      <c r="F125" s="754">
        <v>17</v>
      </c>
      <c r="G125" s="754">
        <v>15</v>
      </c>
      <c r="H125" s="754">
        <v>2</v>
      </c>
      <c r="I125" s="754">
        <v>12975.6</v>
      </c>
      <c r="J125" s="755">
        <v>11099.65</v>
      </c>
      <c r="K125" s="757">
        <f t="shared" si="1"/>
      </c>
      <c r="L125" s="757">
        <f t="shared" si="0"/>
      </c>
      <c r="M125" s="757">
        <f t="shared" si="2"/>
      </c>
      <c r="N125" s="776" t="s">
        <v>850</v>
      </c>
      <c r="O125" s="754">
        <v>8</v>
      </c>
    </row>
    <row r="126">
      <c r="A126" s="775">
        <v>45863</v>
      </c>
      <c r="B126" s="763"/>
      <c r="C126" s="763"/>
      <c r="D126" s="763">
        <f>SUM(D122:D125)</f>
      </c>
      <c r="E126" s="763">
        <f>SUM(E122:E125)</f>
      </c>
      <c r="F126" s="763">
        <f>SUM(F122:F125)</f>
      </c>
      <c r="G126" s="763">
        <f>SUM(G122:G125)</f>
      </c>
      <c r="H126" s="763">
        <f>SUM(H122:H125)</f>
      </c>
      <c r="I126" s="763">
        <f>SUM(I122:I125)</f>
      </c>
      <c r="J126" s="763">
        <f>SUM(J122:J125)</f>
      </c>
      <c r="K126" s="765">
        <f t="shared" si="1"/>
      </c>
      <c r="L126" s="765">
        <f t="shared" si="0"/>
      </c>
      <c r="M126" s="765">
        <f t="shared" si="2"/>
      </c>
      <c r="N126" s="767"/>
      <c r="O126" s="763">
        <f>SUM(O122:O125)</f>
      </c>
      <c r="P126" s="767"/>
    </row>
    <row hidden="true" r="127">
      <c r="A127" s="759">
        <v>45864</v>
      </c>
      <c r="B127" s="769" t="s">
        <v>819</v>
      </c>
      <c r="C127" s="770" t="s">
        <v>829</v>
      </c>
      <c r="D127" s="769">
        <v>4</v>
      </c>
      <c r="E127" s="769">
        <v>15</v>
      </c>
      <c r="F127" s="769">
        <v>13</v>
      </c>
      <c r="G127" s="769">
        <v>9</v>
      </c>
      <c r="H127" s="769">
        <v>2</v>
      </c>
      <c r="I127" s="771">
        <v>13482.399999999998</v>
      </c>
      <c r="J127" s="771">
        <v>11234.81</v>
      </c>
      <c r="K127" s="757">
        <f t="shared" si="1"/>
      </c>
      <c r="L127" s="757">
        <f t="shared" si="0"/>
      </c>
      <c r="M127" s="757">
        <f t="shared" si="2"/>
      </c>
      <c r="N127" s="772" t="s">
        <v>830</v>
      </c>
      <c r="O127" s="769">
        <v>9</v>
      </c>
      <c r="P127" s="773"/>
    </row>
    <row hidden="true" r="128">
      <c r="A128" s="759">
        <v>45864</v>
      </c>
      <c r="B128" s="769" t="s">
        <v>826</v>
      </c>
      <c r="C128" s="770" t="s">
        <v>831</v>
      </c>
      <c r="D128" s="769">
        <v>4</v>
      </c>
      <c r="E128" s="769">
        <v>29</v>
      </c>
      <c r="F128" s="769">
        <v>24</v>
      </c>
      <c r="G128" s="769">
        <v>18</v>
      </c>
      <c r="H128" s="769">
        <v>6</v>
      </c>
      <c r="I128" s="771">
        <v>16768.4</v>
      </c>
      <c r="J128" s="771">
        <v>12687.47</v>
      </c>
      <c r="K128" s="757">
        <f t="shared" si="1"/>
      </c>
      <c r="L128" s="757">
        <f t="shared" si="0"/>
      </c>
      <c r="M128" s="757">
        <f t="shared" si="2"/>
      </c>
      <c r="N128" s="772"/>
      <c r="O128" s="769"/>
      <c r="P128" s="773"/>
    </row>
    <row hidden="true" r="129">
      <c r="A129" s="759">
        <v>45864</v>
      </c>
      <c r="B129" s="769" t="s">
        <v>832</v>
      </c>
      <c r="C129" s="770" t="s">
        <v>833</v>
      </c>
      <c r="D129" s="769">
        <v>4</v>
      </c>
      <c r="E129" s="754">
        <v>17</v>
      </c>
      <c r="F129" s="754">
        <v>9</v>
      </c>
      <c r="G129" s="754">
        <v>7</v>
      </c>
      <c r="H129" s="754">
        <v>0</v>
      </c>
      <c r="I129" s="771">
        <v>10587.199999999999</v>
      </c>
      <c r="J129" s="771">
        <v>10514.210000000001</v>
      </c>
      <c r="K129" s="757">
        <f t="shared" si="1"/>
      </c>
      <c r="L129" s="757">
        <f t="shared" si="0"/>
      </c>
      <c r="M129" s="757">
        <f t="shared" si="2"/>
      </c>
      <c r="N129" s="772"/>
      <c r="O129" s="769"/>
      <c r="P129" s="773"/>
    </row>
    <row hidden="true" r="130">
      <c r="A130" s="759">
        <v>45864</v>
      </c>
      <c r="B130" s="769" t="s">
        <v>822</v>
      </c>
      <c r="C130" s="770" t="s">
        <v>834</v>
      </c>
      <c r="D130" s="769">
        <v>5</v>
      </c>
      <c r="E130" s="754">
        <v>45</v>
      </c>
      <c r="F130" s="754">
        <v>32</v>
      </c>
      <c r="G130" s="754">
        <v>21</v>
      </c>
      <c r="H130" s="754">
        <v>5</v>
      </c>
      <c r="I130" s="769">
        <v>34228.6</v>
      </c>
      <c r="J130" s="771">
        <v>14599.28</v>
      </c>
      <c r="K130" s="757">
        <f t="shared" si="1"/>
      </c>
      <c r="L130" s="757">
        <f t="shared" si="0"/>
      </c>
      <c r="M130" s="757">
        <f t="shared" si="2"/>
      </c>
      <c r="N130" s="772" t="s">
        <v>828</v>
      </c>
      <c r="O130" s="769">
        <v>8</v>
      </c>
      <c r="P130" s="773"/>
    </row>
    <row r="131">
      <c r="A131" s="777">
        <v>45864</v>
      </c>
      <c r="B131" s="763"/>
      <c r="C131" s="763"/>
      <c r="D131" s="763">
        <f>SUM(D127:D130)</f>
      </c>
      <c r="E131" s="763">
        <f>SUM(E127:E130)</f>
      </c>
      <c r="F131" s="763">
        <f>SUM(F127:F130)</f>
      </c>
      <c r="G131" s="763">
        <f>SUM(G127:G130)</f>
      </c>
      <c r="H131" s="763">
        <f>SUM(H127:H130)</f>
      </c>
      <c r="I131" s="763">
        <f>SUM(I127:I130)</f>
      </c>
      <c r="J131" s="763">
        <f>SUM(J127:J130)</f>
      </c>
      <c r="K131" s="765">
        <f t="shared" si="1"/>
      </c>
      <c r="L131" s="765">
        <f t="shared" si="0"/>
      </c>
      <c r="M131" s="765">
        <f t="shared" si="2"/>
      </c>
      <c r="N131" s="767"/>
      <c r="O131" s="763">
        <f>SUM(O127:O130)</f>
      </c>
      <c r="P131" s="767"/>
    </row>
    <row customHeight="true" hidden="true" ht="16.071428571428573" r="132">
      <c r="A132" s="768">
        <v>45865</v>
      </c>
      <c r="B132" s="754" t="s">
        <v>819</v>
      </c>
      <c r="C132" s="770" t="s">
        <v>820</v>
      </c>
      <c r="D132" s="754">
        <v>5</v>
      </c>
      <c r="E132" s="754">
        <v>27</v>
      </c>
      <c r="F132" s="754">
        <v>23</v>
      </c>
      <c r="G132" s="754">
        <v>18</v>
      </c>
      <c r="H132" s="754">
        <v>4</v>
      </c>
      <c r="I132" s="771">
        <v>23772.999999999996</v>
      </c>
      <c r="J132" s="771">
        <v>14594.829999999998</v>
      </c>
      <c r="K132" s="757">
        <f t="shared" si="1"/>
      </c>
      <c r="L132" s="757">
        <f t="shared" si="0"/>
      </c>
      <c r="M132" s="757">
        <f t="shared" si="2"/>
      </c>
      <c r="N132" s="776" t="s">
        <v>830</v>
      </c>
      <c r="O132" s="754">
        <v>9</v>
      </c>
    </row>
    <row customHeight="true" hidden="true" ht="16.071428571428573" r="133">
      <c r="A133" s="768">
        <v>45865</v>
      </c>
      <c r="B133" s="754" t="s">
        <v>822</v>
      </c>
      <c r="C133" s="770" t="s">
        <v>823</v>
      </c>
      <c r="D133" s="769">
        <v>4</v>
      </c>
      <c r="E133" s="754">
        <v>32</v>
      </c>
      <c r="F133" s="754">
        <v>24</v>
      </c>
      <c r="G133" s="754">
        <v>20</v>
      </c>
      <c r="H133" s="754">
        <v>3</v>
      </c>
      <c r="I133" s="771">
        <v>15798.199999999999</v>
      </c>
      <c r="J133" s="771">
        <v>10441.240000000002</v>
      </c>
      <c r="K133" s="757">
        <f t="shared" si="1"/>
      </c>
      <c r="L133" s="757">
        <f t="shared" si="0"/>
      </c>
      <c r="M133" s="757">
        <f t="shared" si="2"/>
      </c>
      <c r="N133" s="772"/>
      <c r="O133" s="769"/>
    </row>
    <row customHeight="true" hidden="true" ht="16.071428571428573" r="134">
      <c r="A134" s="768">
        <v>45865</v>
      </c>
      <c r="B134" s="754" t="s">
        <v>851</v>
      </c>
      <c r="C134" s="774" t="s">
        <v>838</v>
      </c>
      <c r="D134" s="754">
        <v>3</v>
      </c>
      <c r="E134" s="754">
        <v>9</v>
      </c>
      <c r="F134" s="754">
        <v>5</v>
      </c>
      <c r="G134" s="754">
        <v>2</v>
      </c>
      <c r="H134" s="754">
        <v>0</v>
      </c>
      <c r="I134" s="755">
        <v>9266.8</v>
      </c>
      <c r="J134" s="755">
        <v>6974.49</v>
      </c>
      <c r="K134" s="757">
        <f t="shared" si="1"/>
      </c>
      <c r="L134" s="757">
        <f t="shared" si="0"/>
      </c>
      <c r="M134" s="757">
        <f t="shared" si="2"/>
      </c>
      <c r="N134" s="772"/>
      <c r="O134" s="769"/>
    </row>
    <row customHeight="true" hidden="true" ht="16.071428571428573" r="135">
      <c r="A135" s="768">
        <v>45865</v>
      </c>
      <c r="B135" s="754" t="s">
        <v>832</v>
      </c>
      <c r="C135" s="774" t="s">
        <v>827</v>
      </c>
      <c r="D135" s="754">
        <v>5</v>
      </c>
      <c r="E135" s="754">
        <v>25</v>
      </c>
      <c r="F135" s="754">
        <v>17</v>
      </c>
      <c r="G135" s="754">
        <v>14</v>
      </c>
      <c r="H135" s="754">
        <v>1</v>
      </c>
      <c r="I135" s="754">
        <v>17094.2</v>
      </c>
      <c r="J135" s="755">
        <v>12303.089999999998</v>
      </c>
      <c r="K135" s="757">
        <f t="shared" si="1"/>
      </c>
      <c r="L135" s="757">
        <f t="shared" si="0"/>
      </c>
      <c r="M135" s="757">
        <f t="shared" si="2"/>
      </c>
      <c r="N135" s="776" t="s">
        <v>828</v>
      </c>
      <c r="O135" s="754">
        <v>8</v>
      </c>
      <c r="P135" s="778"/>
    </row>
    <row customHeight="true" ht="16.071428571428573" r="136">
      <c r="A136" s="775">
        <v>45865</v>
      </c>
      <c r="B136" s="763"/>
      <c r="C136" s="763"/>
      <c r="D136" s="763">
        <f>SUM(D132:D135)</f>
      </c>
      <c r="E136" s="763">
        <f>SUM(E132:E135)</f>
      </c>
      <c r="F136" s="763">
        <f>SUM(F132:F135)</f>
      </c>
      <c r="G136" s="764">
        <v>55</v>
      </c>
      <c r="H136" s="763">
        <f>SUM(H132:H135)</f>
      </c>
      <c r="I136" s="763">
        <f>SUM(I132:I135)</f>
      </c>
      <c r="J136" s="763">
        <f>SUM(J132:J135)</f>
      </c>
      <c r="K136" s="765">
        <f t="shared" si="1"/>
      </c>
      <c r="L136" s="765">
        <f t="shared" si="0"/>
      </c>
      <c r="M136" s="765">
        <f t="shared" si="2"/>
      </c>
      <c r="N136" s="767"/>
      <c r="O136" s="763">
        <f>SUM(O132:O135)</f>
      </c>
      <c r="P136" s="767"/>
    </row>
    <row customHeight="true" hidden="true" ht="16.071428571428573" r="137">
      <c r="A137" s="768">
        <v>45866</v>
      </c>
      <c r="B137" s="754" t="s">
        <v>819</v>
      </c>
      <c r="C137" s="770" t="s">
        <v>820</v>
      </c>
      <c r="D137" s="754">
        <v>5</v>
      </c>
      <c r="E137" s="754">
        <v>38</v>
      </c>
      <c r="F137" s="754">
        <v>35</v>
      </c>
      <c r="G137" s="754">
        <v>28</v>
      </c>
      <c r="H137" s="754">
        <v>4</v>
      </c>
      <c r="I137" s="771">
        <v>40099.2</v>
      </c>
      <c r="J137" s="771">
        <v>15986.19</v>
      </c>
      <c r="K137" s="757">
        <f t="shared" si="1"/>
      </c>
      <c r="L137" s="757">
        <f t="shared" si="0"/>
      </c>
      <c r="M137" s="757">
        <f t="shared" si="2"/>
      </c>
      <c r="N137" s="776" t="s">
        <v>830</v>
      </c>
      <c r="O137" s="754">
        <v>9</v>
      </c>
    </row>
    <row customHeight="true" hidden="true" ht="16.071428571428573" r="138">
      <c r="A138" s="768">
        <v>45866</v>
      </c>
      <c r="B138" s="754" t="s">
        <v>824</v>
      </c>
      <c r="C138" s="770" t="s">
        <v>823</v>
      </c>
      <c r="D138" s="769">
        <v>4</v>
      </c>
      <c r="E138" s="754">
        <v>34</v>
      </c>
      <c r="F138" s="754">
        <v>26</v>
      </c>
      <c r="G138" s="754">
        <v>18</v>
      </c>
      <c r="H138" s="754">
        <v>3</v>
      </c>
      <c r="I138" s="771">
        <v>28934.2</v>
      </c>
      <c r="J138" s="771">
        <v>14074.39</v>
      </c>
      <c r="K138" s="757">
        <f t="shared" si="1"/>
      </c>
      <c r="L138" s="757">
        <f t="shared" si="0"/>
      </c>
      <c r="M138" s="757">
        <f t="shared" si="2"/>
      </c>
      <c r="N138" s="772"/>
      <c r="O138" s="769"/>
    </row>
    <row customHeight="true" hidden="true" ht="16.071428571428573" r="139">
      <c r="A139" s="768">
        <v>45866</v>
      </c>
      <c r="B139" s="754" t="s">
        <v>826</v>
      </c>
      <c r="C139" s="774" t="s">
        <v>838</v>
      </c>
      <c r="D139" s="754">
        <v>3</v>
      </c>
      <c r="E139" s="754">
        <v>22</v>
      </c>
      <c r="F139" s="754">
        <v>17</v>
      </c>
      <c r="G139" s="754">
        <v>14</v>
      </c>
      <c r="H139" s="754">
        <v>1</v>
      </c>
      <c r="I139" s="755">
        <v>16243.8</v>
      </c>
      <c r="J139" s="755">
        <v>11654.739999999998</v>
      </c>
      <c r="K139" s="757">
        <f t="shared" si="1"/>
      </c>
      <c r="L139" s="757">
        <f t="shared" si="0"/>
      </c>
      <c r="M139" s="757">
        <f t="shared" si="2"/>
      </c>
      <c r="N139" s="772"/>
      <c r="O139" s="769"/>
    </row>
    <row customHeight="true" hidden="true" ht="16.071428571428573" r="140">
      <c r="A140" s="768">
        <v>45866</v>
      </c>
      <c r="B140" s="754" t="s">
        <v>832</v>
      </c>
      <c r="C140" s="774" t="s">
        <v>827</v>
      </c>
      <c r="D140" s="754">
        <v>5</v>
      </c>
      <c r="E140" s="754">
        <v>38</v>
      </c>
      <c r="F140" s="754">
        <v>29</v>
      </c>
      <c r="G140" s="754">
        <v>16</v>
      </c>
      <c r="H140" s="754">
        <v>3</v>
      </c>
      <c r="I140" s="754">
        <v>36417.200000000004</v>
      </c>
      <c r="J140" s="755">
        <v>18221.78</v>
      </c>
      <c r="K140" s="757">
        <f t="shared" si="1"/>
      </c>
      <c r="L140" s="757">
        <f t="shared" si="0"/>
      </c>
      <c r="M140" s="757">
        <f t="shared" si="2"/>
      </c>
      <c r="N140" s="776" t="s">
        <v>828</v>
      </c>
      <c r="O140" s="754">
        <v>8</v>
      </c>
    </row>
    <row customHeight="true" ht="16.071428571428573" r="141">
      <c r="A141" s="775">
        <v>45866</v>
      </c>
      <c r="B141" s="763"/>
      <c r="C141" s="763"/>
      <c r="D141" s="763">
        <f>SUM(D137:D140)</f>
      </c>
      <c r="E141" s="763">
        <f>SUM(E137:E140)</f>
      </c>
      <c r="F141" s="763">
        <f>SUM(F137:F140)</f>
      </c>
      <c r="G141" s="763">
        <f>SUM(G137:G140)</f>
      </c>
      <c r="H141" s="763">
        <f>SUM(H137:H140)</f>
      </c>
      <c r="I141" s="763">
        <f>SUM(I137:I140)</f>
      </c>
      <c r="J141" s="763">
        <f>SUM(J137:J140)</f>
      </c>
      <c r="K141" s="765">
        <f t="shared" si="1"/>
      </c>
      <c r="L141" s="765">
        <f t="shared" si="0"/>
      </c>
      <c r="M141" s="765">
        <f t="shared" si="2"/>
      </c>
      <c r="N141" s="767"/>
      <c r="O141" s="763">
        <f>SUM(O137:O140)</f>
      </c>
      <c r="P141" s="767"/>
    </row>
    <row customHeight="true" hidden="true" ht="16.071428571428573" r="142">
      <c r="A142" s="768">
        <v>45867</v>
      </c>
      <c r="B142" s="754" t="s">
        <v>819</v>
      </c>
      <c r="C142" s="770" t="s">
        <v>820</v>
      </c>
      <c r="D142" s="779">
        <v>4.5</v>
      </c>
      <c r="E142" s="754">
        <v>35</v>
      </c>
      <c r="F142" s="754">
        <v>28</v>
      </c>
      <c r="G142" s="754">
        <v>17</v>
      </c>
      <c r="H142" s="754">
        <v>2</v>
      </c>
      <c r="I142" s="771">
        <v>29037.6</v>
      </c>
      <c r="J142" s="771">
        <v>19653.88</v>
      </c>
      <c r="K142" s="757">
        <f t="shared" si="1"/>
      </c>
      <c r="L142" s="757">
        <f t="shared" si="0"/>
      </c>
      <c r="M142" s="757">
        <f t="shared" si="2"/>
      </c>
      <c r="N142" s="776" t="s">
        <v>830</v>
      </c>
      <c r="O142" s="754">
        <v>9</v>
      </c>
    </row>
    <row customHeight="true" hidden="true" ht="16.071428571428573" r="143">
      <c r="A143" s="768">
        <v>45867</v>
      </c>
      <c r="B143" s="754" t="s">
        <v>824</v>
      </c>
      <c r="C143" s="770" t="s">
        <v>823</v>
      </c>
      <c r="D143" s="769">
        <v>4</v>
      </c>
      <c r="E143" s="754">
        <v>17</v>
      </c>
      <c r="F143" s="754">
        <v>13</v>
      </c>
      <c r="G143" s="754">
        <v>8</v>
      </c>
      <c r="H143" s="754">
        <v>0</v>
      </c>
      <c r="I143" s="771">
        <v>16011.8</v>
      </c>
      <c r="J143" s="771">
        <v>12450.84</v>
      </c>
      <c r="K143" s="757">
        <f t="shared" si="1"/>
      </c>
      <c r="L143" s="757">
        <f t="shared" si="0"/>
      </c>
      <c r="M143" s="757">
        <f t="shared" si="2"/>
      </c>
      <c r="N143" s="772"/>
      <c r="O143" s="769"/>
    </row>
    <row customHeight="true" hidden="true" ht="16.071428571428573" r="144">
      <c r="A144" s="768">
        <v>45867</v>
      </c>
      <c r="B144" s="754" t="s">
        <v>826</v>
      </c>
      <c r="C144" s="774" t="s">
        <v>838</v>
      </c>
      <c r="D144" s="779">
        <v>2.5</v>
      </c>
      <c r="E144" s="754">
        <v>18</v>
      </c>
      <c r="F144" s="754">
        <v>13</v>
      </c>
      <c r="G144" s="754">
        <v>8</v>
      </c>
      <c r="H144" s="754">
        <v>1</v>
      </c>
      <c r="I144" s="755">
        <v>10320.6</v>
      </c>
      <c r="J144" s="755">
        <v>9561.79</v>
      </c>
      <c r="K144" s="757">
        <f t="shared" si="1"/>
      </c>
      <c r="L144" s="757">
        <f t="shared" si="0"/>
      </c>
      <c r="M144" s="757">
        <f t="shared" si="2"/>
      </c>
      <c r="N144" s="772"/>
      <c r="O144" s="769"/>
    </row>
    <row customHeight="true" hidden="true" ht="16.071428571428573" r="145">
      <c r="A145" s="768">
        <v>45867</v>
      </c>
      <c r="B145" s="754" t="s">
        <v>822</v>
      </c>
      <c r="C145" s="774" t="s">
        <v>827</v>
      </c>
      <c r="D145" s="754">
        <v>4</v>
      </c>
      <c r="E145" s="754">
        <v>33</v>
      </c>
      <c r="F145" s="754">
        <v>24</v>
      </c>
      <c r="G145" s="754">
        <v>20</v>
      </c>
      <c r="H145" s="754">
        <v>5</v>
      </c>
      <c r="I145" s="754">
        <v>23881.799999999977</v>
      </c>
      <c r="J145" s="755">
        <v>14816.439999999999</v>
      </c>
      <c r="K145" s="757">
        <f t="shared" si="1"/>
      </c>
      <c r="L145" s="757">
        <f t="shared" si="0"/>
      </c>
      <c r="M145" s="757">
        <f t="shared" si="2"/>
      </c>
      <c r="N145" s="776" t="s">
        <v>821</v>
      </c>
      <c r="O145" s="754">
        <v>8</v>
      </c>
    </row>
    <row customHeight="true" ht="16.071428571428573" r="146">
      <c r="A146" s="775">
        <v>45867</v>
      </c>
      <c r="B146" s="763"/>
      <c r="C146" s="763"/>
      <c r="D146" s="763">
        <f>SUM(D142:D145)</f>
      </c>
      <c r="E146" s="763">
        <f>SUM(E142:E145)</f>
      </c>
      <c r="F146" s="763">
        <f>SUM(F142:F145)</f>
      </c>
      <c r="G146" s="763">
        <f>SUM(G142:G145)</f>
      </c>
      <c r="H146" s="763">
        <f>SUM(H142:H145)</f>
      </c>
      <c r="I146" s="763">
        <f>SUM(I142:I145)</f>
      </c>
      <c r="J146" s="763">
        <f>SUM(J142:J145)</f>
      </c>
      <c r="K146" s="765">
        <f t="shared" si="1"/>
      </c>
      <c r="L146" s="765">
        <f t="shared" si="0"/>
      </c>
      <c r="M146" s="765">
        <f t="shared" si="2"/>
      </c>
      <c r="N146" s="767"/>
      <c r="O146" s="763">
        <f>SUM(O142:O145)</f>
      </c>
      <c r="P146" s="767"/>
    </row>
    <row customHeight="true" hidden="true" ht="16.071428571428573" r="147">
      <c r="A147" s="768">
        <v>45868</v>
      </c>
      <c r="B147" s="754" t="s">
        <v>832</v>
      </c>
      <c r="C147" s="770" t="s">
        <v>820</v>
      </c>
      <c r="D147" s="754">
        <v>5</v>
      </c>
      <c r="E147" s="754">
        <v>40</v>
      </c>
      <c r="F147" s="754">
        <v>30</v>
      </c>
      <c r="G147" s="754">
        <v>22</v>
      </c>
      <c r="H147" s="754">
        <v>4</v>
      </c>
      <c r="I147" s="771">
        <v>29607</v>
      </c>
      <c r="J147" s="771">
        <v>16582.41</v>
      </c>
      <c r="K147" s="757">
        <f t="shared" si="1"/>
      </c>
      <c r="L147" s="757">
        <f t="shared" si="0"/>
      </c>
      <c r="M147" s="757">
        <f t="shared" si="2"/>
      </c>
      <c r="N147" s="776" t="s">
        <v>830</v>
      </c>
      <c r="O147" s="754">
        <v>9</v>
      </c>
    </row>
    <row customHeight="true" hidden="true" ht="16.071428571428573" r="148">
      <c r="A148" s="768">
        <v>45868</v>
      </c>
      <c r="B148" s="754" t="s">
        <v>824</v>
      </c>
      <c r="C148" s="770" t="s">
        <v>823</v>
      </c>
      <c r="D148" s="769">
        <v>4</v>
      </c>
      <c r="E148" s="754">
        <v>22</v>
      </c>
      <c r="F148" s="754">
        <v>14</v>
      </c>
      <c r="G148" s="754">
        <v>11</v>
      </c>
      <c r="H148" s="754">
        <v>3</v>
      </c>
      <c r="I148" s="771">
        <v>11211.399999999998</v>
      </c>
      <c r="J148" s="771">
        <v>11198.820000000002</v>
      </c>
      <c r="K148" s="757">
        <f t="shared" si="1"/>
      </c>
      <c r="L148" s="757">
        <f t="shared" si="0"/>
      </c>
      <c r="M148" s="757">
        <f t="shared" si="2"/>
      </c>
      <c r="N148" s="772"/>
      <c r="O148" s="769"/>
    </row>
    <row customHeight="true" hidden="true" ht="16.071428571428573" r="149">
      <c r="A149" s="768">
        <v>45868</v>
      </c>
      <c r="B149" s="754" t="s">
        <v>851</v>
      </c>
      <c r="C149" s="774" t="s">
        <v>840</v>
      </c>
      <c r="D149" s="754">
        <v>3</v>
      </c>
      <c r="E149" s="754">
        <v>11</v>
      </c>
      <c r="F149" s="754">
        <v>6</v>
      </c>
      <c r="G149" s="754">
        <v>3</v>
      </c>
      <c r="H149" s="754">
        <v>0</v>
      </c>
      <c r="I149" s="755">
        <v>5411.6</v>
      </c>
      <c r="J149" s="755">
        <v>7427.16</v>
      </c>
      <c r="K149" s="757">
        <f t="shared" si="1"/>
      </c>
      <c r="L149" s="757">
        <f t="shared" si="0"/>
      </c>
      <c r="M149" s="757">
        <f t="shared" si="2"/>
      </c>
      <c r="N149" s="772"/>
      <c r="O149" s="769"/>
    </row>
    <row customHeight="true" hidden="true" ht="16.071428571428573" r="150">
      <c r="A150" s="768">
        <v>45868</v>
      </c>
      <c r="B150" s="754" t="s">
        <v>822</v>
      </c>
      <c r="C150" s="774" t="s">
        <v>834</v>
      </c>
      <c r="D150" s="754">
        <v>5</v>
      </c>
      <c r="E150" s="754">
        <v>48</v>
      </c>
      <c r="F150" s="754">
        <v>28</v>
      </c>
      <c r="G150" s="754">
        <v>21</v>
      </c>
      <c r="H150" s="754">
        <v>3</v>
      </c>
      <c r="I150" s="754">
        <v>37796</v>
      </c>
      <c r="J150" s="755">
        <v>17586.93</v>
      </c>
      <c r="K150" s="757">
        <f t="shared" si="1"/>
      </c>
      <c r="L150" s="757">
        <f t="shared" si="0"/>
      </c>
      <c r="M150" s="757">
        <f t="shared" si="2"/>
      </c>
      <c r="N150" s="776" t="s">
        <v>828</v>
      </c>
      <c r="O150" s="754">
        <v>8</v>
      </c>
    </row>
    <row customHeight="true" ht="16.071428571428573" r="151">
      <c r="A151" s="775">
        <v>45868</v>
      </c>
      <c r="B151" s="763"/>
      <c r="C151" s="763"/>
      <c r="D151" s="763">
        <f>SUM(D147:D150)</f>
      </c>
      <c r="E151" s="763">
        <f>SUM(E147:E150)</f>
      </c>
      <c r="F151" s="763">
        <f>SUM(F147:F150)</f>
      </c>
      <c r="G151" s="763">
        <f>SUM(G147:G150)</f>
      </c>
      <c r="H151" s="763">
        <f>SUM(H147:H150)</f>
      </c>
      <c r="I151" s="763">
        <f>SUM(I147:I150)</f>
      </c>
      <c r="J151" s="763">
        <f>SUM(J147:J150)</f>
      </c>
      <c r="K151" s="765">
        <f t="shared" si="1"/>
      </c>
      <c r="L151" s="765">
        <f t="shared" si="0"/>
      </c>
      <c r="M151" s="765">
        <f t="shared" si="2"/>
      </c>
      <c r="N151" s="767"/>
      <c r="O151" s="763">
        <f>SUM(O147:O150)</f>
      </c>
      <c r="P151" s="767"/>
    </row>
    <row customHeight="true" hidden="true" ht="16.071428571428573" r="152">
      <c r="A152" s="768">
        <v>45869</v>
      </c>
      <c r="B152" s="754" t="s">
        <v>832</v>
      </c>
      <c r="C152" s="770" t="s">
        <v>820</v>
      </c>
      <c r="D152" s="779">
        <v>4.5</v>
      </c>
      <c r="E152" s="754">
        <v>29</v>
      </c>
      <c r="F152" s="754">
        <v>24</v>
      </c>
      <c r="G152" s="754">
        <v>21</v>
      </c>
      <c r="H152" s="754">
        <v>2</v>
      </c>
      <c r="I152" s="771">
        <v>22718.4</v>
      </c>
      <c r="J152" s="771">
        <v>15759.220000000001</v>
      </c>
      <c r="K152" s="757">
        <f t="shared" si="1"/>
      </c>
      <c r="L152" s="757">
        <f t="shared" si="0"/>
      </c>
      <c r="M152" s="757">
        <f t="shared" si="2"/>
      </c>
      <c r="N152" s="776" t="s">
        <v>830</v>
      </c>
      <c r="O152" s="754">
        <v>9</v>
      </c>
    </row>
    <row customHeight="true" hidden="true" ht="16.071428571428573" r="153">
      <c r="A153" s="768">
        <v>45869</v>
      </c>
      <c r="B153" s="754" t="s">
        <v>824</v>
      </c>
      <c r="C153" s="770" t="s">
        <v>823</v>
      </c>
      <c r="D153" s="779">
        <v>3.5</v>
      </c>
      <c r="E153" s="754">
        <v>26</v>
      </c>
      <c r="F153" s="754">
        <v>17</v>
      </c>
      <c r="G153" s="754">
        <v>9</v>
      </c>
      <c r="H153" s="754">
        <v>3</v>
      </c>
      <c r="I153" s="771">
        <v>14390.399999999998</v>
      </c>
      <c r="J153" s="771">
        <v>9174.04</v>
      </c>
      <c r="K153" s="757">
        <f t="shared" si="1"/>
      </c>
      <c r="L153" s="757">
        <f t="shared" si="0"/>
      </c>
      <c r="M153" s="757">
        <f t="shared" si="2"/>
      </c>
      <c r="N153" s="772"/>
      <c r="O153" s="769"/>
    </row>
    <row customHeight="true" hidden="true" ht="16.071428571428573" r="154">
      <c r="A154" s="768">
        <v>45869</v>
      </c>
      <c r="B154" s="754" t="s">
        <v>851</v>
      </c>
      <c r="C154" s="774" t="s">
        <v>840</v>
      </c>
      <c r="D154" s="754">
        <v>3</v>
      </c>
      <c r="E154" s="754">
        <v>23</v>
      </c>
      <c r="F154" s="754">
        <v>15</v>
      </c>
      <c r="G154" s="754">
        <v>8</v>
      </c>
      <c r="H154" s="754">
        <v>2</v>
      </c>
      <c r="I154" s="755">
        <v>16368.400000000001</v>
      </c>
      <c r="J154" s="755">
        <v>6410.660000000001</v>
      </c>
      <c r="K154" s="757">
        <f t="shared" si="1"/>
      </c>
      <c r="L154" s="757">
        <f t="shared" si="0"/>
      </c>
      <c r="M154" s="757">
        <f t="shared" si="2"/>
      </c>
      <c r="N154" s="772"/>
      <c r="O154" s="769"/>
    </row>
    <row customHeight="true" hidden="true" ht="16.071428571428573" r="155">
      <c r="A155" s="768">
        <v>45869</v>
      </c>
      <c r="B155" s="754" t="s">
        <v>822</v>
      </c>
      <c r="C155" s="774" t="s">
        <v>834</v>
      </c>
      <c r="D155" s="779">
        <v>4</v>
      </c>
      <c r="E155" s="754">
        <v>42</v>
      </c>
      <c r="F155" s="754">
        <v>30</v>
      </c>
      <c r="G155" s="754">
        <v>21</v>
      </c>
      <c r="H155" s="754">
        <v>1</v>
      </c>
      <c r="I155" s="754">
        <v>37299.600000000006</v>
      </c>
      <c r="J155" s="755">
        <v>16711.79</v>
      </c>
      <c r="K155" s="757">
        <f t="shared" si="1"/>
      </c>
      <c r="L155" s="757">
        <f t="shared" si="0"/>
      </c>
      <c r="M155" s="757">
        <f t="shared" si="2"/>
      </c>
      <c r="N155" s="776" t="s">
        <v>828</v>
      </c>
      <c r="O155" s="754">
        <v>8</v>
      </c>
    </row>
    <row customHeight="true" ht="16.071428571428573" r="156">
      <c r="A156" s="775">
        <v>45869</v>
      </c>
      <c r="B156" s="763"/>
      <c r="C156" s="763"/>
      <c r="D156" s="763">
        <f>SUM(D152:D155)</f>
      </c>
      <c r="E156" s="763">
        <f>SUM(E152:E155)</f>
      </c>
      <c r="F156" s="763">
        <f>SUM(F152:F155)</f>
      </c>
      <c r="G156" s="763">
        <f>SUM(G152:G155)</f>
      </c>
      <c r="H156" s="763">
        <f>SUM(H152:H155)</f>
      </c>
      <c r="I156" s="763">
        <f>SUM(I152:I155)</f>
      </c>
      <c r="J156" s="763">
        <f>SUM(J152:J155)</f>
      </c>
      <c r="K156" s="765">
        <f t="shared" si="1"/>
      </c>
      <c r="L156" s="765">
        <f t="shared" si="0"/>
      </c>
      <c r="M156" s="765">
        <f t="shared" si="2"/>
      </c>
      <c r="N156" s="767"/>
      <c r="O156" s="763">
        <f>SUM(O152:O155)</f>
      </c>
      <c r="P156" s="767"/>
    </row>
    <row customHeight="true" hidden="true" ht="16.071428571428573" r="157"/>
    <row customHeight="true" hidden="true" ht="16.071428571428573" r="158"/>
    <row customHeight="true" hidden="true" ht="16.071428571428573" r="159"/>
    <row customHeight="true" hidden="true" ht="16.071428571428573" r="160"/>
    <row customHeight="true" hidden="true" ht="16.071428571428573" r="161"/>
    <row customHeight="true" hidden="true" ht="16.071428571428573" r="162"/>
    <row customHeight="true" hidden="true" ht="16.071428571428573" r="163"/>
    <row customHeight="true" hidden="true" ht="16.071428571428573" r="164">
      <c r="F164" s="778"/>
    </row>
    <row customHeight="true" hidden="true" ht="16.071428571428573" r="165">
      <c r="J165" s="778"/>
      <c r="K165" s="778"/>
    </row>
    <row customHeight="true" hidden="true" ht="16.071428571428573" r="166">
      <c r="J166" s="780"/>
      <c r="K166" s="780"/>
    </row>
    <row customHeight="true" hidden="true" ht="16.071428571428573" r="167">
      <c r="J167" s="780"/>
      <c r="K167" s="780"/>
    </row>
    <row customHeight="true" hidden="true" ht="16.071428571428573" r="168">
      <c r="J168" s="780"/>
      <c r="K168" s="780"/>
    </row>
    <row customHeight="true" hidden="true" ht="16.071428571428573" r="169">
      <c r="J169" s="780"/>
      <c r="K169" s="780"/>
    </row>
    <row customHeight="true" hidden="true" ht="16.071428571428573" r="170">
      <c r="J170" s="780"/>
      <c r="K170" s="780"/>
    </row>
    <row customHeight="true" hidden="true" ht="16.071428571428573" r="171">
      <c r="J171" s="780"/>
      <c r="K171" s="780"/>
    </row>
    <row customHeight="true" hidden="true" ht="16.071428571428573" r="172">
      <c r="J172" s="780"/>
      <c r="K172" s="780"/>
    </row>
    <row customHeight="true" hidden="true" ht="16.071428571428573" r="173"/>
    <row customHeight="true" hidden="true" ht="16.071428571428573" r="174"/>
    <row customHeight="true" hidden="true" ht="16.071428571428573" r="175"/>
    <row customHeight="true" hidden="true" ht="16.071428571428573" r="176"/>
    <row customHeight="true" hidden="true" ht="16.071428571428573" r="177"/>
    <row customHeight="true" hidden="true" ht="16.071428571428573" r="178"/>
    <row customHeight="true" hidden="true" ht="16.071428571428573" r="179"/>
    <row customHeight="true" hidden="true" ht="16.071428571428573" r="180"/>
    <row customHeight="true" hidden="true" ht="16.071428571428573" r="181"/>
    <row customHeight="true" hidden="true" ht="16.071428571428573" r="182"/>
    <row customHeight="true" hidden="true" ht="16.071428571428573" r="183"/>
    <row customHeight="true" hidden="true" ht="16.071428571428573" r="184"/>
    <row customHeight="true" hidden="true" ht="16.071428571428573" r="185"/>
    <row customHeight="true" hidden="true" ht="16.071428571428573" r="186"/>
    <row customHeight="true" hidden="true" ht="16.071428571428573" r="187"/>
    <row customHeight="true" hidden="true" ht="16.071428571428573" r="188"/>
    <row customHeight="true" hidden="true" ht="16.071428571428573" r="189"/>
    <row customHeight="true" hidden="true" ht="16.071428571428573" r="190"/>
    <row customHeight="true" hidden="true" ht="16.071428571428573" r="191"/>
    <row customHeight="true" hidden="true" ht="16.071428571428573" r="192"/>
    <row customHeight="true" hidden="true" ht="16.071428571428573" r="193"/>
    <row customHeight="true" hidden="true" ht="16.071428571428573" r="194"/>
    <row customHeight="true" hidden="true" ht="16.071428571428573" r="195"/>
    <row customHeight="true" hidden="true" ht="16.071428571428573" r="196"/>
    <row customHeight="true" hidden="true" ht="16.071428571428573" r="197"/>
    <row customHeight="true" hidden="true" ht="16.071428571428573" r="198"/>
    <row customHeight="true" hidden="true" ht="16.071428571428573" r="199"/>
    <row customHeight="true" hidden="true" ht="16.071428571428573" r="200"/>
    <row customHeight="true" hidden="true" ht="16.071428571428573" r="201"/>
    <row customHeight="true" hidden="true" ht="16.071428571428573" r="202"/>
    <row customHeight="true" hidden="true" ht="16.071428571428573" r="203"/>
    <row customHeight="true" hidden="true" ht="16.071428571428573" r="204"/>
    <row customHeight="true" hidden="true" ht="16.071428571428573" r="205"/>
    <row customHeight="true" hidden="true" ht="16.071428571428573" r="206"/>
    <row customHeight="true" hidden="true" ht="16.071428571428573" r="207"/>
    <row customHeight="true" hidden="true" ht="16.071428571428573" r="208"/>
    <row customHeight="true" hidden="true" ht="16.071428571428573" r="209"/>
    <row customHeight="true" hidden="true" ht="16.071428571428573" r="210"/>
    <row customHeight="true" hidden="true" ht="16.071428571428573" r="211"/>
    <row customHeight="true" hidden="true" ht="16.071428571428573" r="212"/>
    <row customHeight="true" hidden="true" ht="16.071428571428573" r="213"/>
    <row customHeight="true" hidden="true" ht="16.071428571428573" r="214"/>
    <row customHeight="true" hidden="true" ht="16.071428571428573" r="215"/>
    <row customHeight="true" hidden="true" ht="16.071428571428573" r="216"/>
    <row customHeight="true" hidden="true" ht="16.071428571428573" r="217"/>
    <row customHeight="true" hidden="true" ht="16.071428571428573" r="218"/>
    <row customHeight="true" hidden="true" ht="16.071428571428573" r="219"/>
    <row customHeight="true" hidden="true" ht="16.071428571428573" r="220"/>
    <row customHeight="true" hidden="true" ht="16.071428571428573" r="221"/>
    <row customHeight="true" hidden="true" ht="16.071428571428573" r="222"/>
    <row customHeight="true" hidden="true" ht="16.071428571428573" r="223"/>
    <row customHeight="true" hidden="true" ht="16.071428571428573" r="224"/>
    <row customHeight="true" hidden="true" ht="16.071428571428573" r="225"/>
    <row customHeight="true" hidden="true" ht="16.071428571428573" r="226"/>
    <row customHeight="true" hidden="true" ht="16.071428571428573" r="227"/>
    <row customHeight="true" hidden="true" ht="16.071428571428573" r="228"/>
    <row customHeight="true" hidden="true" ht="16.071428571428573" r="229"/>
    <row customHeight="true" hidden="true" ht="16.071428571428573" r="230"/>
    <row customHeight="true" hidden="true" ht="16.071428571428573" r="231"/>
    <row customHeight="true" hidden="true" ht="16.071428571428573" r="232"/>
    <row hidden="true" r="233"/>
    <row hidden="true" r="234"/>
    <row hidden="true" r="235"/>
    <row hidden="true" r="236"/>
    <row hidden="true" r="237"/>
    <row hidden="true" r="238"/>
    <row hidden="true" r="239"/>
    <row hidden="true" r="240"/>
    <row hidden="true" r="241"/>
    <row hidden="true" r="242"/>
    <row hidden="true" r="243"/>
    <row hidden="true" r="244"/>
    <row hidden="true" r="245"/>
    <row hidden="true" r="246"/>
    <row hidden="true" r="247"/>
    <row hidden="true" r="248"/>
    <row hidden="true" r="249"/>
    <row hidden="true" r="250"/>
    <row hidden="true" r="251"/>
    <row hidden="true" r="252"/>
    <row hidden="true" r="253"/>
    <row hidden="true" r="254"/>
    <row hidden="true" r="255"/>
    <row hidden="true" r="256"/>
    <row hidden="true" r="257"/>
    <row hidden="true" r="258"/>
    <row hidden="true" r="259"/>
    <row hidden="true" r="260"/>
    <row hidden="true" r="261"/>
    <row hidden="true" r="262"/>
    <row hidden="true" r="263"/>
    <row hidden="true" r="264"/>
    <row hidden="true" r="265"/>
    <row hidden="true" r="266">
      <c r="K266" s="757"/>
    </row>
    <row hidden="true" r="267"/>
    <row hidden="true" r="268">
      <c r="K268" s="757"/>
    </row>
    <row hidden="true" r="269"/>
    <row hidden="true" r="270"/>
    <row hidden="true" r="271"/>
    <row hidden="true" r="272">
      <c r="O272" s="778"/>
      <c r="P272" s="778"/>
    </row>
    <row hidden="true" r="273"/>
    <row hidden="true" r="274">
      <c r="D274" s="778"/>
    </row>
    <row hidden="true" r="275"/>
    <row hidden="true" r="276"/>
    <row hidden="true" r="277"/>
    <row hidden="true" r="278">
      <c r="K278" s="757"/>
    </row>
    <row hidden="true" r="279">
      <c r="K279" s="757"/>
    </row>
    <row hidden="true" r="280">
      <c r="D280">
        <f>D133+D130+D123+D118+D110+D104</f>
      </c>
      <c r="E280">
        <f>E133+E130+E123+E118+E110+E104</f>
      </c>
      <c r="F280">
        <f>F133+F130+F123+F118+F110+F104</f>
      </c>
      <c r="G280">
        <f>G133+G130+G123+G118+G110+G104</f>
      </c>
      <c r="H280">
        <f>H133+H130+H123+H118+H110+H104</f>
      </c>
      <c r="I280">
        <f>I133+I130+I123+I118+I110+I104</f>
      </c>
      <c r="J280">
        <f>J133+J130+J123+J118+J110+J104</f>
      </c>
      <c r="K280" s="757"/>
    </row>
    <row hidden="true" r="281">
      <c r="D281">
        <f>D135+D129+D124+D119+D114+D108+D103</f>
      </c>
      <c r="E281">
        <f>E135+E129+E124+E119+E114+E108+E103</f>
      </c>
      <c r="F281">
        <f>F135+F129+F124+F119+F114+F108+F103</f>
      </c>
      <c r="G281">
        <f>G135+G129+G124+G119+G114+G108+G103</f>
      </c>
      <c r="H281">
        <f>H135+H129+H124+H119+H114+H108+H103</f>
      </c>
      <c r="I281">
        <f>I135+I129+I124+I119+I114+I108+I103</f>
      </c>
      <c r="J281">
        <f>J135+J129+J124+J119+J114+J108+J103</f>
      </c>
    </row>
    <row hidden="true" r="282">
      <c r="D282">
        <f>D128+D125+D120+D115+D105</f>
      </c>
      <c r="E282">
        <f>E128+E125+E120+E115+E105</f>
      </c>
      <c r="F282">
        <f>F128+F125+F120+F115+F105</f>
      </c>
      <c r="G282">
        <f>G128+G125+G120+G115+G105</f>
      </c>
      <c r="H282">
        <f>H128+H125+H120+H115+H105</f>
      </c>
      <c r="I282">
        <f>I128+I125+I120+I115+I105</f>
      </c>
      <c r="J282">
        <f>J128+J125+J120+J115+J105</f>
      </c>
      <c r="K282" s="757"/>
    </row>
    <row hidden="true" r="283">
      <c r="D283">
        <f>D109+D113</f>
      </c>
      <c r="E283">
        <f>E109+E113</f>
      </c>
      <c r="F283">
        <f>F109+F113</f>
      </c>
      <c r="G283">
        <f>G109+G113</f>
      </c>
      <c r="H283">
        <f>H109+H113</f>
      </c>
      <c r="I283">
        <f>I109+I113</f>
      </c>
      <c r="J283">
        <f>J109+J113</f>
      </c>
      <c r="K283" s="757"/>
    </row>
    <row hidden="true" r="284">
      <c r="D284">
        <f>A1</f>
      </c>
      <c r="K284" s="757"/>
    </row>
    <row hidden="true" r="285">
      <c r="K285" s="757"/>
    </row>
    <row hidden="true" r="286">
      <c r="K286" s="757"/>
    </row>
    <row hidden="true" r="287">
      <c r="K287" s="757"/>
    </row>
    <row hidden="true" r="288">
      <c r="K288" s="757"/>
    </row>
    <row hidden="true" r="289">
      <c r="E289">
        <f>E132+E127+E122+E117+E112+E107+E102</f>
      </c>
      <c r="F289">
        <f>F132+F127+F122+F117+F112+F107+F102</f>
      </c>
      <c r="K289" s="757"/>
    </row>
    <row hidden="true" r="290">
      <c r="D290">
        <f>D132+D127+D122+D112+D117+D107+D102</f>
      </c>
      <c r="E290">
        <f>E132+E127+E122+E112+E117+E107+E102</f>
      </c>
      <c r="F290">
        <f>F132+F127+F122+F112+F117+F107+F102</f>
      </c>
      <c r="G290">
        <f>G132+G127+G122+G112+G117+G107+G102</f>
      </c>
      <c r="H290">
        <f>H132+H127+H122+H112+H117+H107+H102</f>
      </c>
      <c r="I290">
        <f>I132+I127+I122+I112+I117+I107+I102</f>
      </c>
      <c r="J290">
        <f>J132+J127+J122+J112+J117+J107+J102</f>
      </c>
      <c r="K290" s="757"/>
    </row>
    <row hidden="true" r="291">
      <c r="K291" s="757"/>
    </row>
    <row hidden="true" r="292">
      <c r="E292" s="757"/>
      <c r="J292" s="781"/>
    </row>
    <row hidden="true" r="293">
      <c r="K293" s="757"/>
    </row>
    <row hidden="true" r="294">
      <c r="K294" s="757"/>
    </row>
    <row hidden="true" r="295">
      <c r="K295" s="757"/>
    </row>
    <row hidden="true" r="296">
      <c r="K296" s="757"/>
    </row>
    <row hidden="true" r="297">
      <c r="I297" s="782"/>
      <c r="K297" s="757"/>
    </row>
    <row hidden="true" r="298">
      <c r="J298" s="782"/>
      <c r="K298" s="757"/>
    </row>
    <row hidden="true" r="299">
      <c r="D299" s="783"/>
      <c r="I299" s="783"/>
      <c r="J299" s="784"/>
      <c r="K299" s="757"/>
    </row>
    <row hidden="true" r="300">
      <c r="K300" s="757"/>
    </row>
    <row hidden="true" r="301">
      <c r="I301" s="783"/>
      <c r="J301" s="784"/>
      <c r="K301" s="757"/>
    </row>
    <row hidden="true" r="302">
      <c r="J302" s="782"/>
      <c r="K302" s="757"/>
    </row>
    <row hidden="true" r="303">
      <c r="K303" s="757"/>
    </row>
    <row hidden="true" r="304">
      <c r="K304" s="757"/>
    </row>
    <row hidden="true" r="305">
      <c r="K305" s="757"/>
    </row>
    <row hidden="true" r="306">
      <c r="K306" s="757"/>
    </row>
    <row hidden="true" r="307">
      <c r="K307" s="757"/>
    </row>
    <row hidden="true" r="308">
      <c r="K308" s="757"/>
    </row>
    <row hidden="true" r="309">
      <c r="K309" s="757"/>
    </row>
    <row hidden="true" r="310">
      <c r="K310" s="757"/>
      <c r="L310" s="757"/>
    </row>
    <row hidden="true" r="311">
      <c r="K311" s="757"/>
      <c r="L311" s="757"/>
    </row>
    <row hidden="true" r="312">
      <c r="E312" s="778"/>
      <c r="F312" s="778"/>
      <c r="G312" s="778"/>
    </row>
    <row hidden="true" r="313">
      <c r="E313" s="778"/>
      <c r="F313" s="778"/>
      <c r="G313" s="778"/>
    </row>
    <row hidden="true" r="314">
      <c r="E314" s="778"/>
      <c r="F314" s="778"/>
      <c r="G314" s="778"/>
    </row>
    <row hidden="true" r="315"/>
    <row hidden="true" r="316">
      <c r="D316">
        <f>D152+D147+D140+D135+D129+D124+D119+D114+D108+D103+D93+D88+D78+D72+D65+D58+D53+D50+D38+D35+D27+D24+D18+D14+D9</f>
      </c>
      <c r="E316">
        <f>E152+E147+E140+E135+E129+E124+E119+E114+E108+E103+E93+E88+E78+E72+E65+E58+E53+E50+E38+E35+E27+E24+E18+E14+E9</f>
      </c>
      <c r="F316">
        <f>F152+F147+F140+F135+F129+F124+F119+F114+F108+F103+F93+F88+F78+F72+F65+F58+F53+F50+F38+F35+F27+F24+F18+F14+F9</f>
      </c>
      <c r="G316">
        <f>G152+G147+G140+G135+G129+G124+G119+G114+G108+G103+G93+G88+G78+G72+G65+G58+G53+G50+G38+G35+G27+G24+G18+G14+G9</f>
      </c>
      <c r="H316">
        <f>H152+H147+H140+H135+H129+H124+H119+H114+H108+H103+H93+H88+H78+H72+H65+H58+H53+H50+H38+H35+H27+H24+H18+H14+H9</f>
      </c>
      <c r="I316">
        <f>I152+I147+I140+I135+I129+I124+I119+I114+I108+I103+I93+I88+I78+I72+I65+I58+I53+I50+I38+I35+I27+I24+I18+I14+I9</f>
      </c>
      <c r="J316">
        <f>J152+J147+J140+J135+J129+J124+J119+J114+J108+J103+J93+J88+J78+J72+J65+J58+J53+J50+J38+J35+J27+J24+J18+J14+J9</f>
      </c>
      <c r="K316" s="757">
        <f>I316/J316</f>
      </c>
      <c r="L316">
        <f>J316/D316</f>
      </c>
    </row>
  </sheetData>
  <autoFilter ref="A1:T316">
    <filterColumn colId="6">
      <colorFilter cellColor="" dxfId="4"/>
    </filterColumn>
  </autoFilter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cols>
    <col collapsed="false" customWidth="true" hidden="false" max="11" min="11" style="0" width="11.211267605633802"/>
    <col collapsed="false" customWidth="true" hidden="false" max="16" min="16" style="0" width="11.211267605633802"/>
  </cols>
  <sheetData>
    <row r="1">
      <c r="A1" s="785" t="s">
        <v>852</v>
      </c>
      <c r="B1" s="786" t="s">
        <v>853</v>
      </c>
      <c r="C1" s="786" t="s">
        <v>854</v>
      </c>
      <c r="D1" s="786" t="s">
        <v>855</v>
      </c>
      <c r="E1" s="786" t="s">
        <v>856</v>
      </c>
      <c r="F1" s="786" t="s">
        <v>857</v>
      </c>
      <c r="G1" s="787" t="s">
        <v>858</v>
      </c>
      <c r="H1" s="786" t="s">
        <v>859</v>
      </c>
      <c r="I1" s="786" t="s">
        <v>860</v>
      </c>
      <c r="J1" s="786" t="s">
        <v>861</v>
      </c>
      <c r="K1" s="788" t="s">
        <v>862</v>
      </c>
      <c r="L1" s="788" t="s">
        <v>863</v>
      </c>
      <c r="M1" s="788" t="s">
        <v>864</v>
      </c>
      <c r="N1" s="789" t="s">
        <v>865</v>
      </c>
      <c r="O1" s="789" t="s">
        <v>866</v>
      </c>
      <c r="P1" s="789" t="s">
        <v>867</v>
      </c>
    </row>
    <row r="2">
      <c r="A2" s="790">
        <v>45809</v>
      </c>
      <c r="B2" s="791" t="s">
        <v>868</v>
      </c>
      <c r="C2" s="792" t="s">
        <v>869</v>
      </c>
      <c r="D2" s="793">
        <v>5</v>
      </c>
      <c r="E2" s="793">
        <v>34</v>
      </c>
      <c r="F2" s="793">
        <v>21</v>
      </c>
      <c r="G2" s="793">
        <v>15</v>
      </c>
      <c r="H2" s="793">
        <v>3</v>
      </c>
      <c r="I2" s="794">
        <v>19631</v>
      </c>
      <c r="J2" s="794">
        <v>15621.64</v>
      </c>
      <c r="K2" s="795">
        <f t="shared" ref="K2:K150" si="0">I2/J2</f>
      </c>
      <c r="L2" s="796">
        <f t="shared" ref="L2:L150" si="1">I2/F2</f>
      </c>
      <c r="M2" s="796">
        <f t="shared" ref="M2:M150" si="2">J2/F2</f>
      </c>
      <c r="N2" s="797" t="s">
        <v>870</v>
      </c>
      <c r="O2" s="791">
        <v>8</v>
      </c>
      <c r="P2" s="798"/>
    </row>
    <row r="3">
      <c r="A3" s="790">
        <v>45809</v>
      </c>
      <c r="B3" s="791" t="s">
        <v>871</v>
      </c>
      <c r="C3" s="792" t="s">
        <v>872</v>
      </c>
      <c r="D3" s="793">
        <v>4</v>
      </c>
      <c r="E3" s="793">
        <v>42</v>
      </c>
      <c r="F3" s="793">
        <v>33</v>
      </c>
      <c r="G3" s="793">
        <v>22</v>
      </c>
      <c r="H3" s="793">
        <v>4</v>
      </c>
      <c r="I3" s="799">
        <v>39795.6</v>
      </c>
      <c r="J3" s="799">
        <v>17681.53</v>
      </c>
      <c r="K3" s="795">
        <f t="shared" si="0"/>
      </c>
      <c r="L3" s="796">
        <f t="shared" si="1"/>
      </c>
      <c r="M3" s="796">
        <f t="shared" si="2"/>
      </c>
      <c r="N3" s="797"/>
      <c r="O3" s="791"/>
      <c r="P3" s="798"/>
    </row>
    <row r="4">
      <c r="A4" s="790">
        <v>45809</v>
      </c>
      <c r="B4" s="791" t="s">
        <v>873</v>
      </c>
      <c r="C4" s="792" t="s">
        <v>874</v>
      </c>
      <c r="D4" s="793">
        <v>3</v>
      </c>
      <c r="E4" s="793">
        <v>14</v>
      </c>
      <c r="F4" s="793">
        <v>11</v>
      </c>
      <c r="G4" s="793">
        <v>10</v>
      </c>
      <c r="H4" s="793">
        <v>2</v>
      </c>
      <c r="I4" s="799">
        <v>12696.8</v>
      </c>
      <c r="J4" s="799">
        <v>8459.76</v>
      </c>
      <c r="K4" s="795">
        <f t="shared" si="0"/>
      </c>
      <c r="L4" s="796">
        <f t="shared" si="1"/>
      </c>
      <c r="M4" s="796">
        <f t="shared" si="2"/>
      </c>
      <c r="N4" s="797"/>
      <c r="O4" s="791"/>
      <c r="P4" s="798"/>
    </row>
    <row r="5">
      <c r="A5" s="790">
        <v>45809</v>
      </c>
      <c r="B5" s="791" t="s">
        <v>875</v>
      </c>
      <c r="C5" s="792" t="s">
        <v>876</v>
      </c>
      <c r="D5" s="793">
        <v>4</v>
      </c>
      <c r="E5" s="793">
        <v>35</v>
      </c>
      <c r="F5" s="793">
        <v>28</v>
      </c>
      <c r="G5" s="793">
        <v>21</v>
      </c>
      <c r="H5" s="793">
        <v>3</v>
      </c>
      <c r="I5" s="793">
        <v>40450.200000000004</v>
      </c>
      <c r="J5" s="800">
        <v>13534.439999999999</v>
      </c>
      <c r="K5" s="795">
        <f t="shared" si="0"/>
      </c>
      <c r="L5" s="796">
        <f t="shared" si="1"/>
      </c>
      <c r="M5" s="796">
        <f t="shared" si="2"/>
      </c>
      <c r="N5" s="797" t="s">
        <v>877</v>
      </c>
      <c r="O5" s="791">
        <v>8</v>
      </c>
      <c r="P5" s="798"/>
    </row>
    <row r="6">
      <c r="A6" s="801">
        <v>45809</v>
      </c>
      <c r="B6" s="802"/>
      <c r="C6" s="802"/>
      <c r="D6" s="803">
        <f>SUM(D2:D5)</f>
      </c>
      <c r="E6" s="803">
        <f>SUM(E2:E5)</f>
      </c>
      <c r="F6" s="803">
        <f>SUM(F2:F5)</f>
      </c>
      <c r="G6" s="803">
        <f>SUM(G2:G5)</f>
      </c>
      <c r="H6" s="803">
        <f>SUM(H2:H5)</f>
      </c>
      <c r="I6" s="802">
        <f>SUM(I2:I5)</f>
      </c>
      <c r="J6" s="802">
        <f>SUM(J2:J5)</f>
      </c>
      <c r="K6" s="804">
        <f t="shared" si="0"/>
      </c>
      <c r="L6" s="805">
        <f t="shared" si="1"/>
      </c>
      <c r="M6" s="805">
        <f t="shared" si="2"/>
      </c>
      <c r="N6" s="806"/>
      <c r="O6" s="802">
        <f>SUM(O2:O5)</f>
      </c>
      <c r="P6" s="802"/>
    </row>
    <row r="7">
      <c r="A7" s="790">
        <v>45810</v>
      </c>
      <c r="B7" s="791" t="s">
        <v>868</v>
      </c>
      <c r="C7" s="792" t="s">
        <v>869</v>
      </c>
      <c r="D7" s="793">
        <v>5</v>
      </c>
      <c r="E7" s="793">
        <v>48</v>
      </c>
      <c r="F7" s="793">
        <v>40</v>
      </c>
      <c r="G7" s="793">
        <v>28</v>
      </c>
      <c r="H7" s="793">
        <v>6</v>
      </c>
      <c r="I7" s="794">
        <v>41306.799999999996</v>
      </c>
      <c r="J7" s="794">
        <v>19369.58</v>
      </c>
      <c r="K7" s="795">
        <f t="shared" si="0"/>
      </c>
      <c r="L7" s="796">
        <f t="shared" si="1"/>
      </c>
      <c r="M7" s="796">
        <f t="shared" si="2"/>
      </c>
      <c r="N7" s="797" t="s">
        <v>870</v>
      </c>
      <c r="O7" s="791">
        <v>8</v>
      </c>
      <c r="P7" s="798"/>
    </row>
    <row r="8">
      <c r="A8" s="790">
        <v>45810</v>
      </c>
      <c r="B8" s="791" t="s">
        <v>878</v>
      </c>
      <c r="C8" s="792" t="s">
        <v>872</v>
      </c>
      <c r="D8" s="793">
        <v>4</v>
      </c>
      <c r="E8" s="793">
        <v>24</v>
      </c>
      <c r="F8" s="793">
        <v>19</v>
      </c>
      <c r="G8" s="793">
        <v>14</v>
      </c>
      <c r="H8" s="793">
        <v>1</v>
      </c>
      <c r="I8" s="799">
        <v>15152.2</v>
      </c>
      <c r="J8" s="799">
        <v>15254.699999999999</v>
      </c>
      <c r="K8" s="795">
        <f t="shared" si="0"/>
      </c>
      <c r="L8" s="796">
        <f t="shared" si="1"/>
      </c>
      <c r="M8" s="796">
        <f t="shared" si="2"/>
      </c>
      <c r="N8" s="797"/>
      <c r="O8" s="791"/>
      <c r="P8" s="798"/>
    </row>
    <row r="9">
      <c r="A9" s="790">
        <v>45810</v>
      </c>
      <c r="B9" s="791" t="s">
        <v>873</v>
      </c>
      <c r="C9" s="792" t="s">
        <v>874</v>
      </c>
      <c r="D9" s="793">
        <v>3</v>
      </c>
      <c r="E9" s="793">
        <v>39</v>
      </c>
      <c r="F9" s="793">
        <v>33</v>
      </c>
      <c r="G9" s="793">
        <v>24</v>
      </c>
      <c r="H9" s="793">
        <v>7</v>
      </c>
      <c r="I9" s="799">
        <v>37159.200000000004</v>
      </c>
      <c r="J9" s="799">
        <v>12638.18</v>
      </c>
      <c r="K9" s="795">
        <f t="shared" si="0"/>
      </c>
      <c r="L9" s="796">
        <f t="shared" si="1"/>
      </c>
      <c r="M9" s="796">
        <f t="shared" si="2"/>
      </c>
      <c r="N9" s="797"/>
      <c r="O9" s="791"/>
      <c r="P9" s="798"/>
    </row>
    <row r="10">
      <c r="A10" s="790">
        <v>45810</v>
      </c>
      <c r="B10" s="791" t="s">
        <v>879</v>
      </c>
      <c r="C10" s="792" t="s">
        <v>876</v>
      </c>
      <c r="D10" s="793">
        <v>4</v>
      </c>
      <c r="E10" s="793">
        <v>31</v>
      </c>
      <c r="F10" s="793">
        <v>25</v>
      </c>
      <c r="G10" s="793">
        <v>18</v>
      </c>
      <c r="H10" s="793">
        <v>4</v>
      </c>
      <c r="I10" s="793">
        <v>22283.199999999997</v>
      </c>
      <c r="J10" s="800">
        <v>12731.27</v>
      </c>
      <c r="K10" s="795">
        <f t="shared" si="0"/>
      </c>
      <c r="L10" s="796">
        <f t="shared" si="1"/>
      </c>
      <c r="M10" s="796">
        <f t="shared" si="2"/>
      </c>
      <c r="N10" s="797" t="s">
        <v>877</v>
      </c>
      <c r="O10" s="791">
        <v>8</v>
      </c>
      <c r="P10" s="798"/>
    </row>
    <row r="11">
      <c r="A11" s="801">
        <v>45810</v>
      </c>
      <c r="B11" s="802"/>
      <c r="C11" s="802"/>
      <c r="D11" s="803">
        <f>SUM(D7:D10)</f>
      </c>
      <c r="E11" s="803">
        <f>SUM(E7:E10)</f>
      </c>
      <c r="F11" s="803">
        <f>SUM(F7:F10)</f>
      </c>
      <c r="G11" s="803">
        <f>SUM(G7:G10)</f>
      </c>
      <c r="H11" s="803">
        <f>SUM(H7:H10)</f>
      </c>
      <c r="I11" s="802">
        <f>SUM(I7:I10)</f>
      </c>
      <c r="J11" s="802">
        <f>SUM(J7:J10)</f>
      </c>
      <c r="K11" s="804">
        <f t="shared" si="0"/>
      </c>
      <c r="L11" s="805">
        <f t="shared" si="1"/>
      </c>
      <c r="M11" s="805">
        <f t="shared" si="2"/>
      </c>
      <c r="N11" s="806"/>
      <c r="O11" s="802">
        <f>SUM(O7:O10)</f>
      </c>
      <c r="P11" s="802"/>
    </row>
    <row r="12">
      <c r="A12" s="790">
        <v>45811</v>
      </c>
      <c r="B12" s="791" t="s">
        <v>868</v>
      </c>
      <c r="C12" s="792" t="s">
        <v>869</v>
      </c>
      <c r="D12" s="793">
        <v>5</v>
      </c>
      <c r="E12" s="793">
        <v>32</v>
      </c>
      <c r="F12" s="793">
        <v>22</v>
      </c>
      <c r="G12" s="793">
        <v>14</v>
      </c>
      <c r="H12" s="793">
        <v>5</v>
      </c>
      <c r="I12" s="799">
        <v>26615.4</v>
      </c>
      <c r="J12" s="799">
        <v>15410.07</v>
      </c>
      <c r="K12" s="795">
        <f t="shared" si="0"/>
      </c>
      <c r="L12" s="796">
        <f t="shared" si="1"/>
      </c>
      <c r="M12" s="796">
        <f t="shared" si="2"/>
      </c>
      <c r="N12" s="797" t="s">
        <v>880</v>
      </c>
      <c r="O12" s="791">
        <v>8</v>
      </c>
      <c r="P12" s="798"/>
    </row>
    <row r="13">
      <c r="A13" s="790">
        <v>45811</v>
      </c>
      <c r="B13" s="791" t="s">
        <v>875</v>
      </c>
      <c r="C13" s="792" t="s">
        <v>872</v>
      </c>
      <c r="D13" s="793">
        <v>4</v>
      </c>
      <c r="E13" s="793">
        <v>6</v>
      </c>
      <c r="F13" s="793">
        <v>4</v>
      </c>
      <c r="G13" s="793">
        <v>3</v>
      </c>
      <c r="H13" s="793">
        <v>0</v>
      </c>
      <c r="I13" s="799">
        <v>2576.400000000003</v>
      </c>
      <c r="J13" s="799">
        <v>10243.23</v>
      </c>
      <c r="K13" s="795">
        <f t="shared" si="0"/>
      </c>
      <c r="L13" s="796">
        <f t="shared" si="1"/>
      </c>
      <c r="M13" s="796">
        <f t="shared" si="2"/>
      </c>
      <c r="N13" s="797"/>
      <c r="O13" s="791"/>
      <c r="P13" s="798"/>
    </row>
    <row r="14">
      <c r="A14" s="790">
        <v>45811</v>
      </c>
      <c r="B14" s="791" t="s">
        <v>879</v>
      </c>
      <c r="C14" s="792" t="s">
        <v>881</v>
      </c>
      <c r="D14" s="793">
        <v>4</v>
      </c>
      <c r="E14" s="793">
        <v>20</v>
      </c>
      <c r="F14" s="793">
        <v>17</v>
      </c>
      <c r="G14" s="793">
        <v>12</v>
      </c>
      <c r="H14" s="793">
        <v>4</v>
      </c>
      <c r="I14" s="799">
        <v>16751.6</v>
      </c>
      <c r="J14" s="799">
        <v>10319.61</v>
      </c>
      <c r="K14" s="795">
        <f t="shared" si="0"/>
      </c>
      <c r="L14" s="796">
        <f t="shared" si="1"/>
      </c>
      <c r="M14" s="796">
        <f t="shared" si="2"/>
      </c>
      <c r="N14" s="797"/>
      <c r="O14" s="791"/>
      <c r="P14" s="798"/>
    </row>
    <row r="15">
      <c r="A15" s="790">
        <v>45811</v>
      </c>
      <c r="B15" s="791" t="s">
        <v>878</v>
      </c>
      <c r="C15" s="792" t="s">
        <v>876</v>
      </c>
      <c r="D15" s="793">
        <v>3</v>
      </c>
      <c r="E15" s="793">
        <v>19</v>
      </c>
      <c r="F15" s="793">
        <v>15</v>
      </c>
      <c r="G15" s="793">
        <v>12</v>
      </c>
      <c r="H15" s="793">
        <v>2</v>
      </c>
      <c r="I15" s="793">
        <v>10265.999999999998</v>
      </c>
      <c r="J15" s="800">
        <v>8765.83</v>
      </c>
      <c r="K15" s="795">
        <f t="shared" si="0"/>
      </c>
      <c r="L15" s="796">
        <f t="shared" si="1"/>
      </c>
      <c r="M15" s="796">
        <f t="shared" si="2"/>
      </c>
      <c r="N15" s="797" t="s">
        <v>882</v>
      </c>
      <c r="O15" s="791">
        <v>8</v>
      </c>
      <c r="P15" s="798"/>
    </row>
    <row r="16">
      <c r="A16" s="801">
        <v>45811</v>
      </c>
      <c r="B16" s="802"/>
      <c r="C16" s="802"/>
      <c r="D16" s="803">
        <f>SUM(D12:D15)</f>
      </c>
      <c r="E16" s="803">
        <f>SUM(E12:E15)</f>
      </c>
      <c r="F16" s="803">
        <f>SUM(F12:F15)</f>
      </c>
      <c r="G16" s="803">
        <f>SUM(G12:G15)</f>
      </c>
      <c r="H16" s="803">
        <f>SUM(H12:H15)</f>
      </c>
      <c r="I16" s="802">
        <f>SUM(I12:I15)</f>
      </c>
      <c r="J16" s="802">
        <f>SUM(J12:J15)</f>
      </c>
      <c r="K16" s="804">
        <f t="shared" si="0"/>
      </c>
      <c r="L16" s="805">
        <f t="shared" si="1"/>
      </c>
      <c r="M16" s="805">
        <f t="shared" si="2"/>
      </c>
      <c r="N16" s="806"/>
      <c r="O16" s="802">
        <f>SUM(O12:O15)</f>
      </c>
      <c r="P16" s="802"/>
    </row>
    <row r="17">
      <c r="A17" s="790">
        <v>45812</v>
      </c>
      <c r="B17" s="791" t="s">
        <v>871</v>
      </c>
      <c r="C17" s="792" t="s">
        <v>869</v>
      </c>
      <c r="D17" s="793">
        <v>5</v>
      </c>
      <c r="E17" s="793">
        <v>35</v>
      </c>
      <c r="F17" s="793">
        <v>27</v>
      </c>
      <c r="G17" s="793">
        <v>17</v>
      </c>
      <c r="H17" s="793">
        <v>10</v>
      </c>
      <c r="I17" s="799">
        <v>21658.800000000003</v>
      </c>
      <c r="J17" s="799">
        <v>14648.349999999999</v>
      </c>
      <c r="K17" s="795">
        <f t="shared" si="0"/>
      </c>
      <c r="L17" s="796">
        <f t="shared" si="1"/>
      </c>
      <c r="M17" s="796">
        <f t="shared" si="2"/>
      </c>
      <c r="N17" s="797" t="s">
        <v>883</v>
      </c>
      <c r="O17" s="791">
        <v>8</v>
      </c>
      <c r="P17" s="798"/>
    </row>
    <row r="18">
      <c r="A18" s="790">
        <v>45812</v>
      </c>
      <c r="B18" s="791" t="s">
        <v>878</v>
      </c>
      <c r="C18" s="792" t="s">
        <v>872</v>
      </c>
      <c r="D18" s="793">
        <v>4</v>
      </c>
      <c r="E18" s="793">
        <v>27</v>
      </c>
      <c r="F18" s="793">
        <v>20</v>
      </c>
      <c r="G18" s="793">
        <v>8</v>
      </c>
      <c r="H18" s="793">
        <v>3</v>
      </c>
      <c r="I18" s="799">
        <v>22534.399999999994</v>
      </c>
      <c r="J18" s="799">
        <v>12907.17</v>
      </c>
      <c r="K18" s="795">
        <f t="shared" si="0"/>
      </c>
      <c r="L18" s="796">
        <f t="shared" si="1"/>
      </c>
      <c r="M18" s="796">
        <f t="shared" si="2"/>
      </c>
      <c r="N18" s="797"/>
      <c r="O18" s="791"/>
      <c r="P18" s="798"/>
    </row>
    <row r="19">
      <c r="A19" s="790">
        <v>45812</v>
      </c>
      <c r="B19" s="791" t="s">
        <v>879</v>
      </c>
      <c r="C19" s="792" t="s">
        <v>881</v>
      </c>
      <c r="D19" s="793">
        <v>4</v>
      </c>
      <c r="E19" s="793">
        <v>39</v>
      </c>
      <c r="F19" s="793">
        <v>36</v>
      </c>
      <c r="G19" s="793">
        <v>29</v>
      </c>
      <c r="H19" s="793">
        <v>4</v>
      </c>
      <c r="I19" s="799">
        <v>34531.2</v>
      </c>
      <c r="J19" s="799">
        <v>15708.78</v>
      </c>
      <c r="K19" s="795">
        <f t="shared" si="0"/>
      </c>
      <c r="L19" s="796">
        <f t="shared" si="1"/>
      </c>
      <c r="M19" s="796">
        <f t="shared" si="2"/>
      </c>
      <c r="N19" s="797"/>
      <c r="O19" s="791"/>
      <c r="P19" s="798"/>
    </row>
    <row r="20">
      <c r="A20" s="790">
        <v>45812</v>
      </c>
      <c r="B20" s="791" t="s">
        <v>875</v>
      </c>
      <c r="C20" s="792" t="s">
        <v>884</v>
      </c>
      <c r="D20" s="793">
        <v>4</v>
      </c>
      <c r="E20" s="793">
        <v>36</v>
      </c>
      <c r="F20" s="793">
        <v>33</v>
      </c>
      <c r="G20" s="793">
        <v>22</v>
      </c>
      <c r="H20" s="793">
        <v>4</v>
      </c>
      <c r="I20" s="793">
        <v>31635.199999999997</v>
      </c>
      <c r="J20" s="800">
        <v>12758.4</v>
      </c>
      <c r="K20" s="795">
        <f t="shared" si="0"/>
      </c>
      <c r="L20" s="796">
        <f t="shared" si="1"/>
      </c>
      <c r="M20" s="796">
        <f t="shared" si="2"/>
      </c>
      <c r="N20" s="797" t="s">
        <v>882</v>
      </c>
      <c r="O20" s="791">
        <v>9</v>
      </c>
      <c r="P20" s="798"/>
    </row>
    <row r="21">
      <c r="A21" s="801">
        <v>45812</v>
      </c>
      <c r="B21" s="802"/>
      <c r="C21" s="802"/>
      <c r="D21" s="803">
        <f>SUM(D17:D20)</f>
      </c>
      <c r="E21" s="803">
        <f>SUM(E17:E20)</f>
      </c>
      <c r="F21" s="803">
        <f>SUM(F17:F20)</f>
      </c>
      <c r="G21" s="803">
        <f>SUM(G17:G20)</f>
      </c>
      <c r="H21" s="803">
        <f>SUM(H17:H20)</f>
      </c>
      <c r="I21" s="802">
        <f>SUM(I17:I20)</f>
      </c>
      <c r="J21" s="802">
        <f>SUM(J17:J20)</f>
      </c>
      <c r="K21" s="804">
        <f t="shared" si="0"/>
      </c>
      <c r="L21" s="805">
        <f t="shared" si="1"/>
      </c>
      <c r="M21" s="805">
        <f t="shared" si="2"/>
      </c>
      <c r="N21" s="806"/>
      <c r="O21" s="802">
        <f>SUM(O17:O20)</f>
      </c>
      <c r="P21" s="802"/>
    </row>
    <row r="22">
      <c r="A22" s="790">
        <v>45813</v>
      </c>
      <c r="B22" s="791" t="s">
        <v>868</v>
      </c>
      <c r="C22" s="792" t="s">
        <v>869</v>
      </c>
      <c r="D22" s="793">
        <v>5</v>
      </c>
      <c r="E22" s="793">
        <v>25</v>
      </c>
      <c r="F22" s="793">
        <v>20</v>
      </c>
      <c r="G22" s="793">
        <v>18</v>
      </c>
      <c r="H22" s="793">
        <v>1</v>
      </c>
      <c r="I22" s="799">
        <v>14911.4</v>
      </c>
      <c r="J22" s="799">
        <v>14416.27</v>
      </c>
      <c r="K22" s="795">
        <f t="shared" si="0"/>
      </c>
      <c r="L22" s="796">
        <f t="shared" si="1"/>
      </c>
      <c r="M22" s="796">
        <f t="shared" si="2"/>
      </c>
      <c r="N22" s="797" t="s">
        <v>877</v>
      </c>
      <c r="O22" s="791">
        <v>8</v>
      </c>
      <c r="P22" s="798"/>
    </row>
    <row r="23">
      <c r="A23" s="790">
        <v>45813</v>
      </c>
      <c r="B23" s="791" t="s">
        <v>878</v>
      </c>
      <c r="C23" s="792" t="s">
        <v>872</v>
      </c>
      <c r="D23" s="793">
        <v>4</v>
      </c>
      <c r="E23" s="793">
        <v>28</v>
      </c>
      <c r="F23" s="793">
        <v>23</v>
      </c>
      <c r="G23" s="793">
        <v>17</v>
      </c>
      <c r="H23" s="793">
        <v>4</v>
      </c>
      <c r="I23" s="799">
        <v>20517.6</v>
      </c>
      <c r="J23" s="799">
        <v>11805.44</v>
      </c>
      <c r="K23" s="795">
        <f t="shared" si="0"/>
      </c>
      <c r="L23" s="796">
        <f t="shared" si="1"/>
      </c>
      <c r="M23" s="796">
        <f t="shared" si="2"/>
      </c>
      <c r="N23" s="797"/>
      <c r="O23" s="791"/>
      <c r="P23" s="798"/>
    </row>
    <row r="24">
      <c r="A24" s="790">
        <v>45813</v>
      </c>
      <c r="B24" s="791" t="s">
        <v>873</v>
      </c>
      <c r="C24" s="792" t="s">
        <v>881</v>
      </c>
      <c r="D24" s="793">
        <v>4</v>
      </c>
      <c r="E24" s="793">
        <v>36</v>
      </c>
      <c r="F24" s="793">
        <v>28</v>
      </c>
      <c r="G24" s="793">
        <v>21</v>
      </c>
      <c r="H24" s="793">
        <v>7</v>
      </c>
      <c r="I24" s="799">
        <v>26073.4</v>
      </c>
      <c r="J24" s="799">
        <v>13041.3</v>
      </c>
      <c r="K24" s="795">
        <f t="shared" si="0"/>
      </c>
      <c r="L24" s="796">
        <f t="shared" si="1"/>
      </c>
      <c r="M24" s="796">
        <f t="shared" si="2"/>
      </c>
      <c r="N24" s="797"/>
      <c r="O24" s="791"/>
      <c r="P24" s="798"/>
    </row>
    <row r="25">
      <c r="A25" s="790">
        <v>45813</v>
      </c>
      <c r="B25" s="791" t="s">
        <v>875</v>
      </c>
      <c r="C25" s="792" t="s">
        <v>884</v>
      </c>
      <c r="D25" s="793">
        <v>4</v>
      </c>
      <c r="E25" s="793">
        <v>33</v>
      </c>
      <c r="F25" s="793">
        <v>27</v>
      </c>
      <c r="G25" s="793">
        <v>18</v>
      </c>
      <c r="H25" s="793">
        <v>4</v>
      </c>
      <c r="I25" s="793">
        <v>29508</v>
      </c>
      <c r="J25" s="800">
        <v>12978.14</v>
      </c>
      <c r="K25" s="795">
        <f t="shared" si="0"/>
      </c>
      <c r="L25" s="796">
        <f t="shared" si="1"/>
      </c>
      <c r="M25" s="796">
        <f t="shared" si="2"/>
      </c>
      <c r="N25" s="797" t="s">
        <v>870</v>
      </c>
      <c r="O25" s="791">
        <v>9</v>
      </c>
      <c r="P25" s="798"/>
    </row>
    <row r="26">
      <c r="A26" s="801">
        <v>45813</v>
      </c>
      <c r="B26" s="802"/>
      <c r="C26" s="802"/>
      <c r="D26" s="803">
        <f>SUM(D22:D25)</f>
      </c>
      <c r="E26" s="803">
        <f>SUM(E22:E25)</f>
      </c>
      <c r="F26" s="803">
        <f>SUM(F22:F25)</f>
      </c>
      <c r="G26" s="803">
        <f>SUM(G22:G25)</f>
      </c>
      <c r="H26" s="803">
        <f>SUM(H22:H25)</f>
      </c>
      <c r="I26" s="802">
        <f>SUM(I22:I25)</f>
      </c>
      <c r="J26" s="802">
        <f>SUM(J22:J25)</f>
      </c>
      <c r="K26" s="804">
        <f t="shared" si="0"/>
      </c>
      <c r="L26" s="805">
        <f t="shared" si="1"/>
      </c>
      <c r="M26" s="805">
        <f t="shared" si="2"/>
      </c>
      <c r="N26" s="806"/>
      <c r="O26" s="802">
        <f>SUM(O22:O25)</f>
      </c>
      <c r="P26" s="802"/>
    </row>
    <row r="27">
      <c r="A27" s="790">
        <v>45814</v>
      </c>
      <c r="B27" s="791" t="s">
        <v>868</v>
      </c>
      <c r="C27" s="792" t="s">
        <v>869</v>
      </c>
      <c r="D27" s="793">
        <v>5</v>
      </c>
      <c r="E27" s="793">
        <v>28</v>
      </c>
      <c r="F27" s="793">
        <v>18</v>
      </c>
      <c r="G27" s="793">
        <v>15</v>
      </c>
      <c r="H27" s="793">
        <v>0</v>
      </c>
      <c r="I27" s="799">
        <v>11760</v>
      </c>
      <c r="J27" s="794">
        <v>13095.339999999998</v>
      </c>
      <c r="K27" s="795">
        <f t="shared" si="0"/>
      </c>
      <c r="L27" s="796">
        <f t="shared" si="1"/>
      </c>
      <c r="M27" s="796">
        <f t="shared" si="2"/>
      </c>
      <c r="N27" s="797" t="s">
        <v>877</v>
      </c>
      <c r="O27" s="791">
        <v>8</v>
      </c>
      <c r="P27" s="798"/>
    </row>
    <row r="28">
      <c r="A28" s="790">
        <v>45814</v>
      </c>
      <c r="B28" s="791" t="s">
        <v>878</v>
      </c>
      <c r="C28" s="792" t="s">
        <v>872</v>
      </c>
      <c r="D28" s="793">
        <v>4</v>
      </c>
      <c r="E28" s="793">
        <v>25</v>
      </c>
      <c r="F28" s="793">
        <v>16</v>
      </c>
      <c r="G28" s="793">
        <v>13</v>
      </c>
      <c r="H28" s="793">
        <v>3</v>
      </c>
      <c r="I28" s="799">
        <v>12580.400000000001</v>
      </c>
      <c r="J28" s="799">
        <v>10413.08</v>
      </c>
      <c r="K28" s="795">
        <f t="shared" si="0"/>
      </c>
      <c r="L28" s="796">
        <f t="shared" si="1"/>
      </c>
      <c r="M28" s="796">
        <f t="shared" si="2"/>
      </c>
      <c r="N28" s="797"/>
      <c r="O28" s="791"/>
      <c r="P28" s="798"/>
    </row>
    <row r="29">
      <c r="A29" s="790">
        <v>45814</v>
      </c>
      <c r="B29" s="791" t="s">
        <v>885</v>
      </c>
      <c r="C29" s="792" t="s">
        <v>874</v>
      </c>
      <c r="D29" s="793">
        <v>3</v>
      </c>
      <c r="E29" s="793">
        <v>12</v>
      </c>
      <c r="F29" s="793">
        <v>9</v>
      </c>
      <c r="G29" s="793">
        <v>7</v>
      </c>
      <c r="H29" s="793">
        <v>0</v>
      </c>
      <c r="I29" s="799">
        <v>8193.599999999999</v>
      </c>
      <c r="J29" s="799">
        <v>5080.52</v>
      </c>
      <c r="K29" s="795">
        <f t="shared" si="0"/>
      </c>
      <c r="L29" s="796">
        <f t="shared" si="1"/>
      </c>
      <c r="M29" s="796">
        <f t="shared" si="2"/>
      </c>
      <c r="N29" s="797"/>
      <c r="O29" s="791"/>
      <c r="P29" s="798"/>
    </row>
    <row r="30">
      <c r="A30" s="790">
        <v>45814</v>
      </c>
      <c r="B30" s="791" t="s">
        <v>875</v>
      </c>
      <c r="C30" s="792" t="s">
        <v>876</v>
      </c>
      <c r="D30" s="793">
        <v>4</v>
      </c>
      <c r="E30" s="793">
        <v>33</v>
      </c>
      <c r="F30" s="793">
        <v>26</v>
      </c>
      <c r="G30" s="793">
        <v>13</v>
      </c>
      <c r="H30" s="793">
        <v>3</v>
      </c>
      <c r="I30" s="793">
        <v>31791.6</v>
      </c>
      <c r="J30" s="800">
        <v>10934.61</v>
      </c>
      <c r="K30" s="795">
        <f t="shared" si="0"/>
      </c>
      <c r="L30" s="796">
        <f t="shared" si="1"/>
      </c>
      <c r="M30" s="796">
        <f t="shared" si="2"/>
      </c>
      <c r="N30" s="797" t="s">
        <v>870</v>
      </c>
      <c r="O30" s="791">
        <v>8</v>
      </c>
      <c r="P30" s="798"/>
    </row>
    <row r="31">
      <c r="A31" s="801">
        <v>45814</v>
      </c>
      <c r="B31" s="802"/>
      <c r="C31" s="802"/>
      <c r="D31" s="803">
        <f>SUM(D27:D30)</f>
      </c>
      <c r="E31" s="803">
        <f>SUM(E27:E30)</f>
      </c>
      <c r="F31" s="803">
        <f>SUM(F27:F30)</f>
      </c>
      <c r="G31" s="803">
        <f>SUM(G27:G30)</f>
      </c>
      <c r="H31" s="803">
        <f>SUM(H27:H30)</f>
      </c>
      <c r="I31" s="802">
        <f>SUM(I27:I30)</f>
      </c>
      <c r="J31" s="802">
        <f>SUM(J27:J30)</f>
      </c>
      <c r="K31" s="804">
        <f t="shared" si="0"/>
      </c>
      <c r="L31" s="805">
        <f t="shared" si="1"/>
      </c>
      <c r="M31" s="805">
        <f t="shared" si="2"/>
      </c>
      <c r="N31" s="806"/>
      <c r="O31" s="802">
        <f>SUM(O27:O30)</f>
      </c>
      <c r="P31" s="802"/>
    </row>
    <row r="32">
      <c r="A32" s="790">
        <v>45815</v>
      </c>
      <c r="B32" s="791" t="s">
        <v>878</v>
      </c>
      <c r="C32" s="792" t="s">
        <v>869</v>
      </c>
      <c r="D32" s="793">
        <v>5</v>
      </c>
      <c r="E32" s="793">
        <v>21</v>
      </c>
      <c r="F32" s="793">
        <v>17</v>
      </c>
      <c r="G32" s="793">
        <v>12</v>
      </c>
      <c r="H32" s="793">
        <v>3</v>
      </c>
      <c r="I32" s="799">
        <v>17816.399999999998</v>
      </c>
      <c r="J32" s="794">
        <v>10064.330000000002</v>
      </c>
      <c r="K32" s="795">
        <f t="shared" si="0"/>
      </c>
      <c r="L32" s="796">
        <f t="shared" si="1"/>
      </c>
      <c r="M32" s="796">
        <f t="shared" si="2"/>
      </c>
      <c r="N32" s="797" t="s">
        <v>877</v>
      </c>
      <c r="O32" s="791">
        <v>8</v>
      </c>
      <c r="P32" s="798"/>
    </row>
    <row r="33">
      <c r="A33" s="790">
        <v>45815</v>
      </c>
      <c r="B33" s="791" t="s">
        <v>868</v>
      </c>
      <c r="C33" s="792" t="s">
        <v>872</v>
      </c>
      <c r="D33" s="793">
        <v>4</v>
      </c>
      <c r="E33" s="793">
        <v>46</v>
      </c>
      <c r="F33" s="793">
        <v>32</v>
      </c>
      <c r="G33" s="793">
        <v>20</v>
      </c>
      <c r="H33" s="793">
        <v>3</v>
      </c>
      <c r="I33" s="799">
        <v>33810.6</v>
      </c>
      <c r="J33" s="799">
        <v>17760.36</v>
      </c>
      <c r="K33" s="795">
        <f t="shared" si="0"/>
      </c>
      <c r="L33" s="796">
        <f t="shared" si="1"/>
      </c>
      <c r="M33" s="796">
        <f t="shared" si="2"/>
      </c>
      <c r="N33" s="797"/>
      <c r="O33" s="791"/>
      <c r="P33" s="798"/>
    </row>
    <row r="34">
      <c r="A34" s="790">
        <v>45815</v>
      </c>
      <c r="B34" s="791" t="s">
        <v>885</v>
      </c>
      <c r="C34" s="792" t="s">
        <v>874</v>
      </c>
      <c r="D34" s="793">
        <v>3</v>
      </c>
      <c r="E34" s="793">
        <v>18</v>
      </c>
      <c r="F34" s="793">
        <v>12</v>
      </c>
      <c r="G34" s="793">
        <v>7</v>
      </c>
      <c r="H34" s="793">
        <v>0</v>
      </c>
      <c r="I34" s="799">
        <v>12425.6</v>
      </c>
      <c r="J34" s="799">
        <v>7449.14</v>
      </c>
      <c r="K34" s="795">
        <f t="shared" si="0"/>
      </c>
      <c r="L34" s="796">
        <f t="shared" si="1"/>
      </c>
      <c r="M34" s="796">
        <f t="shared" si="2"/>
      </c>
      <c r="N34" s="797"/>
      <c r="O34" s="791"/>
      <c r="P34" s="798"/>
    </row>
    <row r="35">
      <c r="A35" s="790">
        <v>45815</v>
      </c>
      <c r="B35" s="791" t="s">
        <v>875</v>
      </c>
      <c r="C35" s="792" t="s">
        <v>876</v>
      </c>
      <c r="D35" s="793">
        <v>4</v>
      </c>
      <c r="E35" s="793">
        <v>29</v>
      </c>
      <c r="F35" s="793">
        <v>22</v>
      </c>
      <c r="G35" s="793">
        <v>14</v>
      </c>
      <c r="H35" s="793">
        <v>4</v>
      </c>
      <c r="I35" s="793">
        <v>23534.6</v>
      </c>
      <c r="J35" s="800">
        <v>13041.23</v>
      </c>
      <c r="K35" s="795">
        <f t="shared" si="0"/>
      </c>
      <c r="L35" s="796">
        <f t="shared" si="1"/>
      </c>
      <c r="M35" s="796">
        <f t="shared" si="2"/>
      </c>
      <c r="N35" s="807" t="s">
        <v>886</v>
      </c>
      <c r="O35" s="791">
        <v>8</v>
      </c>
      <c r="P35" s="798"/>
    </row>
    <row r="36">
      <c r="A36" s="801">
        <v>45815</v>
      </c>
      <c r="B36" s="802"/>
      <c r="C36" s="802"/>
      <c r="D36" s="803">
        <f>SUM(D32:D35)</f>
      </c>
      <c r="E36" s="803">
        <f>SUM(E32:E35)</f>
      </c>
      <c r="F36" s="803">
        <f>SUM(F32:F35)</f>
      </c>
      <c r="G36" s="803">
        <f>SUM(G32:G35)</f>
      </c>
      <c r="H36" s="803">
        <f>SUM(H32:H35)</f>
      </c>
      <c r="I36" s="802">
        <f>SUM(I32:I35)</f>
      </c>
      <c r="J36" s="802">
        <f>SUM(J32:J35)</f>
      </c>
      <c r="K36" s="804">
        <f t="shared" si="0"/>
      </c>
      <c r="L36" s="805">
        <f t="shared" si="1"/>
      </c>
      <c r="M36" s="805">
        <f t="shared" si="2"/>
      </c>
      <c r="N36" s="806"/>
      <c r="O36" s="802">
        <f>SUM(O32:O35)</f>
      </c>
      <c r="P36" s="802"/>
    </row>
    <row r="37">
      <c r="A37" s="790">
        <v>45816</v>
      </c>
      <c r="B37" s="791" t="s">
        <v>871</v>
      </c>
      <c r="C37" s="792" t="s">
        <v>869</v>
      </c>
      <c r="D37" s="793">
        <v>5</v>
      </c>
      <c r="E37" s="793">
        <v>20</v>
      </c>
      <c r="F37" s="793">
        <v>13</v>
      </c>
      <c r="G37" s="793">
        <v>10</v>
      </c>
      <c r="H37" s="793">
        <v>1</v>
      </c>
      <c r="I37" s="799">
        <v>10741.2</v>
      </c>
      <c r="J37" s="799">
        <v>12184.51</v>
      </c>
      <c r="K37" s="795">
        <f t="shared" si="0"/>
      </c>
      <c r="L37" s="796">
        <f t="shared" si="1"/>
      </c>
      <c r="M37" s="796">
        <f t="shared" si="2"/>
      </c>
      <c r="N37" s="797" t="s">
        <v>877</v>
      </c>
      <c r="O37" s="791">
        <v>9</v>
      </c>
      <c r="P37" s="798"/>
    </row>
    <row r="38">
      <c r="A38" s="790">
        <v>45816</v>
      </c>
      <c r="B38" s="791" t="s">
        <v>878</v>
      </c>
      <c r="C38" s="792" t="s">
        <v>872</v>
      </c>
      <c r="D38" s="793">
        <v>4</v>
      </c>
      <c r="E38" s="793">
        <v>33</v>
      </c>
      <c r="F38" s="793">
        <v>20</v>
      </c>
      <c r="G38" s="793">
        <v>17</v>
      </c>
      <c r="H38" s="793">
        <v>1</v>
      </c>
      <c r="I38" s="799">
        <v>19310.2</v>
      </c>
      <c r="J38" s="799">
        <v>10811.269999999999</v>
      </c>
      <c r="K38" s="795">
        <f t="shared" si="0"/>
      </c>
      <c r="L38" s="796">
        <f t="shared" si="1"/>
      </c>
      <c r="M38" s="796">
        <f t="shared" si="2"/>
      </c>
      <c r="N38" s="797"/>
      <c r="O38" s="791"/>
      <c r="P38" s="798"/>
    </row>
    <row r="39">
      <c r="A39" s="790">
        <v>45816</v>
      </c>
      <c r="B39" s="791" t="s">
        <v>879</v>
      </c>
      <c r="C39" s="792" t="s">
        <v>874</v>
      </c>
      <c r="D39" s="793">
        <v>3</v>
      </c>
      <c r="E39" s="793">
        <v>9</v>
      </c>
      <c r="F39" s="793">
        <v>7</v>
      </c>
      <c r="G39" s="793">
        <v>2</v>
      </c>
      <c r="H39" s="793">
        <v>1</v>
      </c>
      <c r="I39" s="799">
        <v>8922.8</v>
      </c>
      <c r="J39" s="799">
        <v>8004.22</v>
      </c>
      <c r="K39" s="795">
        <f t="shared" si="0"/>
      </c>
      <c r="L39" s="796">
        <f t="shared" si="1"/>
      </c>
      <c r="M39" s="796">
        <f t="shared" si="2"/>
      </c>
      <c r="N39" s="797"/>
      <c r="O39" s="791"/>
      <c r="P39" s="798"/>
    </row>
    <row r="40">
      <c r="A40" s="790">
        <v>45816</v>
      </c>
      <c r="B40" s="791" t="s">
        <v>875</v>
      </c>
      <c r="C40" s="792" t="s">
        <v>876</v>
      </c>
      <c r="D40" s="793">
        <v>4</v>
      </c>
      <c r="E40" s="793">
        <v>28</v>
      </c>
      <c r="F40" s="793">
        <v>23</v>
      </c>
      <c r="G40" s="793">
        <v>14</v>
      </c>
      <c r="H40" s="793">
        <v>3</v>
      </c>
      <c r="I40" s="793">
        <v>29917.999999999996</v>
      </c>
      <c r="J40" s="800">
        <v>11150.400000000001</v>
      </c>
      <c r="K40" s="795">
        <f t="shared" si="0"/>
      </c>
      <c r="L40" s="796">
        <f t="shared" si="1"/>
      </c>
      <c r="M40" s="796">
        <f t="shared" si="2"/>
      </c>
      <c r="N40" s="797" t="s">
        <v>887</v>
      </c>
      <c r="O40" s="791">
        <v>7</v>
      </c>
      <c r="P40" s="798"/>
    </row>
    <row r="41">
      <c r="A41" s="801">
        <v>45816</v>
      </c>
      <c r="B41" s="802"/>
      <c r="C41" s="802"/>
      <c r="D41" s="803">
        <f>SUM(D37:D40)</f>
      </c>
      <c r="E41" s="803">
        <f>SUM(E37:E40)</f>
      </c>
      <c r="F41" s="803">
        <f>SUM(F37:F40)</f>
      </c>
      <c r="G41" s="803">
        <f>SUM(G37:G40)</f>
      </c>
      <c r="H41" s="803">
        <f>SUM(H37:H40)</f>
      </c>
      <c r="I41" s="802">
        <f>SUM(I37:I40)</f>
      </c>
      <c r="J41" s="802">
        <f>SUM(J37:J40)</f>
      </c>
      <c r="K41" s="804">
        <f t="shared" si="0"/>
      </c>
      <c r="L41" s="805">
        <f t="shared" si="1"/>
      </c>
      <c r="M41" s="805">
        <f t="shared" si="2"/>
      </c>
      <c r="N41" s="806"/>
      <c r="O41" s="802">
        <f>SUM(O37:O40)</f>
      </c>
      <c r="P41" s="802"/>
    </row>
    <row r="42">
      <c r="A42" s="790">
        <v>45817</v>
      </c>
      <c r="B42" s="791" t="s">
        <v>868</v>
      </c>
      <c r="C42" s="792" t="s">
        <v>869</v>
      </c>
      <c r="D42" s="793">
        <v>5</v>
      </c>
      <c r="E42" s="793">
        <v>57</v>
      </c>
      <c r="F42" s="793">
        <v>43</v>
      </c>
      <c r="G42" s="793">
        <v>28</v>
      </c>
      <c r="H42" s="793">
        <v>5</v>
      </c>
      <c r="I42" s="799">
        <v>42384.399999999994</v>
      </c>
      <c r="J42" s="799">
        <v>17323.879999999997</v>
      </c>
      <c r="K42" s="795">
        <f t="shared" si="0"/>
      </c>
      <c r="L42" s="796">
        <f t="shared" si="1"/>
      </c>
      <c r="M42" s="796">
        <f t="shared" si="2"/>
      </c>
      <c r="N42" s="797" t="s">
        <v>877</v>
      </c>
      <c r="O42" s="791">
        <v>8</v>
      </c>
      <c r="P42" s="798"/>
    </row>
    <row r="43">
      <c r="A43" s="790">
        <v>45817</v>
      </c>
      <c r="B43" s="791" t="s">
        <v>871</v>
      </c>
      <c r="C43" s="792" t="s">
        <v>888</v>
      </c>
      <c r="D43" s="793">
        <v>2</v>
      </c>
      <c r="E43" s="793">
        <v>10</v>
      </c>
      <c r="F43" s="793">
        <v>9</v>
      </c>
      <c r="G43" s="793">
        <v>6</v>
      </c>
      <c r="H43" s="793">
        <v>1</v>
      </c>
      <c r="I43" s="799">
        <v>8236.2</v>
      </c>
      <c r="J43" s="799">
        <v>8048.13</v>
      </c>
      <c r="K43" s="795">
        <f t="shared" si="0"/>
      </c>
      <c r="L43" s="796">
        <f t="shared" si="1"/>
      </c>
      <c r="M43" s="796">
        <f t="shared" si="2"/>
      </c>
      <c r="N43" s="797"/>
      <c r="O43" s="791"/>
      <c r="P43" s="798"/>
    </row>
    <row r="44">
      <c r="A44" s="790">
        <v>45817</v>
      </c>
      <c r="B44" s="791" t="s">
        <v>873</v>
      </c>
      <c r="C44" s="792" t="s">
        <v>889</v>
      </c>
      <c r="D44" s="793">
        <v>4</v>
      </c>
      <c r="E44" s="793">
        <v>29</v>
      </c>
      <c r="F44" s="793">
        <v>24</v>
      </c>
      <c r="G44" s="793">
        <v>24</v>
      </c>
      <c r="H44" s="793">
        <v>4</v>
      </c>
      <c r="I44" s="799">
        <v>19354.8</v>
      </c>
      <c r="J44" s="799">
        <v>12704.22</v>
      </c>
      <c r="K44" s="795">
        <f t="shared" si="0"/>
      </c>
      <c r="L44" s="796">
        <f t="shared" si="1"/>
      </c>
      <c r="M44" s="796">
        <f t="shared" si="2"/>
      </c>
      <c r="N44" s="797"/>
      <c r="O44" s="791"/>
      <c r="P44" s="798"/>
    </row>
    <row r="45">
      <c r="A45" s="790">
        <v>45817</v>
      </c>
      <c r="B45" s="791" t="s">
        <v>875</v>
      </c>
      <c r="C45" s="792" t="s">
        <v>890</v>
      </c>
      <c r="D45" s="793">
        <v>5</v>
      </c>
      <c r="E45" s="793">
        <v>43</v>
      </c>
      <c r="F45" s="793">
        <v>30</v>
      </c>
      <c r="G45" s="793">
        <v>18</v>
      </c>
      <c r="H45" s="793">
        <v>7</v>
      </c>
      <c r="I45" s="793">
        <v>38836.799999999996</v>
      </c>
      <c r="J45" s="800">
        <v>15348.099999999999</v>
      </c>
      <c r="K45" s="795">
        <f t="shared" si="0"/>
      </c>
      <c r="L45" s="796">
        <f t="shared" si="1"/>
      </c>
      <c r="M45" s="796">
        <f t="shared" si="2"/>
      </c>
      <c r="N45" s="797" t="s">
        <v>870</v>
      </c>
      <c r="O45" s="791">
        <v>8</v>
      </c>
      <c r="P45" s="798"/>
    </row>
    <row r="46">
      <c r="A46" s="801">
        <v>45817</v>
      </c>
      <c r="B46" s="802"/>
      <c r="C46" s="802"/>
      <c r="D46" s="803">
        <f>SUM(D42:D45)</f>
      </c>
      <c r="E46" s="803">
        <f>SUM(E42:E45)</f>
      </c>
      <c r="F46" s="803">
        <f>SUM(F42:F45)</f>
      </c>
      <c r="G46" s="803">
        <f>SUM(G42:G45)</f>
      </c>
      <c r="H46" s="803">
        <f>SUM(H42:H45)</f>
      </c>
      <c r="I46" s="802">
        <f>SUM(I42:I45)</f>
      </c>
      <c r="J46" s="802">
        <f>SUM(J42:J45)</f>
      </c>
      <c r="K46" s="804">
        <f t="shared" si="0"/>
      </c>
      <c r="L46" s="805">
        <f t="shared" si="1"/>
      </c>
      <c r="M46" s="805">
        <f t="shared" si="2"/>
      </c>
      <c r="N46" s="806"/>
      <c r="O46" s="802">
        <f>SUM(O42:O45)</f>
      </c>
      <c r="P46" s="802"/>
    </row>
    <row r="47">
      <c r="A47" s="790">
        <v>45818</v>
      </c>
      <c r="B47" s="791" t="s">
        <v>868</v>
      </c>
      <c r="C47" s="792" t="s">
        <v>869</v>
      </c>
      <c r="D47" s="793">
        <v>5</v>
      </c>
      <c r="E47" s="793">
        <v>32</v>
      </c>
      <c r="F47" s="793">
        <v>25</v>
      </c>
      <c r="G47" s="793">
        <v>16</v>
      </c>
      <c r="H47" s="793">
        <v>4</v>
      </c>
      <c r="I47" s="799">
        <v>26971.8</v>
      </c>
      <c r="J47" s="794">
        <v>14899.49</v>
      </c>
      <c r="K47" s="795">
        <f t="shared" si="0"/>
      </c>
      <c r="L47" s="796">
        <f t="shared" si="1"/>
      </c>
      <c r="M47" s="796">
        <f t="shared" si="2"/>
      </c>
      <c r="N47" s="797" t="s">
        <v>877</v>
      </c>
      <c r="O47" s="791">
        <v>8</v>
      </c>
      <c r="P47" s="798"/>
    </row>
    <row r="48">
      <c r="A48" s="790">
        <v>45818</v>
      </c>
      <c r="B48" s="791" t="s">
        <v>878</v>
      </c>
      <c r="C48" s="792" t="s">
        <v>872</v>
      </c>
      <c r="D48" s="793">
        <v>4</v>
      </c>
      <c r="E48" s="793">
        <v>23</v>
      </c>
      <c r="F48" s="793">
        <v>15</v>
      </c>
      <c r="G48" s="793">
        <v>11</v>
      </c>
      <c r="H48" s="793">
        <v>0</v>
      </c>
      <c r="I48" s="799">
        <v>12259.599999999999</v>
      </c>
      <c r="J48" s="799">
        <v>11738.009999999998</v>
      </c>
      <c r="K48" s="795">
        <f t="shared" si="0"/>
      </c>
      <c r="L48" s="796">
        <f t="shared" si="1"/>
      </c>
      <c r="M48" s="796">
        <f t="shared" si="2"/>
      </c>
      <c r="N48" s="797"/>
      <c r="O48" s="791"/>
      <c r="P48" s="798"/>
    </row>
    <row r="49">
      <c r="A49" s="790">
        <v>45818</v>
      </c>
      <c r="B49" s="791" t="s">
        <v>885</v>
      </c>
      <c r="C49" s="792" t="s">
        <v>891</v>
      </c>
      <c r="D49" s="793">
        <v>2</v>
      </c>
      <c r="E49" s="793">
        <v>4</v>
      </c>
      <c r="F49" s="793">
        <v>3</v>
      </c>
      <c r="G49" s="793">
        <v>3</v>
      </c>
      <c r="H49" s="793">
        <v>1</v>
      </c>
      <c r="I49" s="799">
        <v>2368.7999999999997</v>
      </c>
      <c r="J49" s="799">
        <v>4763.58</v>
      </c>
      <c r="K49" s="795">
        <f t="shared" si="0"/>
      </c>
      <c r="L49" s="796">
        <f t="shared" si="1"/>
      </c>
      <c r="M49" s="796">
        <f t="shared" si="2"/>
      </c>
      <c r="N49" s="797"/>
      <c r="O49" s="791"/>
      <c r="P49" s="798"/>
    </row>
    <row r="50">
      <c r="A50" s="790">
        <v>45818</v>
      </c>
      <c r="B50" s="791" t="s">
        <v>875</v>
      </c>
      <c r="C50" s="792" t="s">
        <v>890</v>
      </c>
      <c r="D50" s="793">
        <v>5</v>
      </c>
      <c r="E50" s="793">
        <v>34</v>
      </c>
      <c r="F50" s="793">
        <v>27</v>
      </c>
      <c r="G50" s="793">
        <v>16</v>
      </c>
      <c r="H50" s="793">
        <v>5</v>
      </c>
      <c r="I50" s="793">
        <v>41912.8</v>
      </c>
      <c r="J50" s="800">
        <v>15367.61</v>
      </c>
      <c r="K50" s="795">
        <f t="shared" si="0"/>
      </c>
      <c r="L50" s="796">
        <f t="shared" si="1"/>
      </c>
      <c r="M50" s="796">
        <f t="shared" si="2"/>
      </c>
      <c r="N50" s="797" t="s">
        <v>870</v>
      </c>
      <c r="O50" s="791">
        <v>8</v>
      </c>
      <c r="P50" s="798"/>
    </row>
    <row r="51">
      <c r="A51" s="801">
        <v>45818</v>
      </c>
      <c r="B51" s="802"/>
      <c r="C51" s="802"/>
      <c r="D51" s="803">
        <f>SUM(D47:D50)</f>
      </c>
      <c r="E51" s="803">
        <f>SUM(E47:E50)</f>
      </c>
      <c r="F51" s="803">
        <f>SUM(F47:F50)</f>
      </c>
      <c r="G51" s="803">
        <f>SUM(G47:G50)</f>
      </c>
      <c r="H51" s="803">
        <f>SUM(H47:H50)</f>
      </c>
      <c r="I51" s="802">
        <f>SUM(I47:I50)</f>
      </c>
      <c r="J51" s="802">
        <f>SUM(J47:J50)</f>
      </c>
      <c r="K51" s="804">
        <f t="shared" si="0"/>
      </c>
      <c r="L51" s="805">
        <f t="shared" si="1"/>
      </c>
      <c r="M51" s="805">
        <f t="shared" si="2"/>
      </c>
      <c r="N51" s="806"/>
      <c r="O51" s="802">
        <f>SUM(O47:O50)</f>
      </c>
      <c r="P51" s="802"/>
    </row>
    <row r="52">
      <c r="A52" s="790">
        <v>45819</v>
      </c>
      <c r="B52" s="791" t="s">
        <v>868</v>
      </c>
      <c r="C52" s="792" t="s">
        <v>869</v>
      </c>
      <c r="D52" s="793">
        <v>5</v>
      </c>
      <c r="E52" s="793">
        <v>32</v>
      </c>
      <c r="F52" s="793">
        <v>23</v>
      </c>
      <c r="G52" s="793">
        <v>14</v>
      </c>
      <c r="H52" s="793">
        <v>2</v>
      </c>
      <c r="I52" s="799">
        <v>24955</v>
      </c>
      <c r="J52" s="794">
        <v>13977.079999999998</v>
      </c>
      <c r="K52" s="795">
        <f t="shared" si="0"/>
      </c>
      <c r="L52" s="796">
        <f t="shared" si="1"/>
      </c>
      <c r="M52" s="796">
        <f t="shared" si="2"/>
      </c>
      <c r="N52" s="797" t="s">
        <v>877</v>
      </c>
      <c r="O52" s="791">
        <v>8</v>
      </c>
      <c r="P52" s="798"/>
    </row>
    <row r="53">
      <c r="A53" s="790">
        <v>45819</v>
      </c>
      <c r="B53" s="791" t="s">
        <v>873</v>
      </c>
      <c r="C53" s="792" t="s">
        <v>892</v>
      </c>
      <c r="D53" s="793">
        <v>5</v>
      </c>
      <c r="E53" s="793">
        <v>48</v>
      </c>
      <c r="F53" s="793">
        <v>39</v>
      </c>
      <c r="G53" s="793">
        <v>36</v>
      </c>
      <c r="H53" s="793">
        <v>6</v>
      </c>
      <c r="I53" s="799">
        <v>30138.8</v>
      </c>
      <c r="J53" s="799">
        <v>13836.34</v>
      </c>
      <c r="K53" s="795">
        <f t="shared" si="0"/>
      </c>
      <c r="L53" s="796">
        <f t="shared" si="1"/>
      </c>
      <c r="M53" s="796">
        <f t="shared" si="2"/>
      </c>
      <c r="N53" s="797"/>
      <c r="O53" s="791"/>
      <c r="P53" s="798"/>
    </row>
    <row r="54">
      <c r="A54" s="790">
        <v>45819</v>
      </c>
      <c r="B54" s="791" t="s">
        <v>893</v>
      </c>
      <c r="C54" s="792" t="s">
        <v>894</v>
      </c>
      <c r="D54" s="793">
        <v>2</v>
      </c>
      <c r="E54" s="793">
        <v>14</v>
      </c>
      <c r="F54" s="793">
        <v>12</v>
      </c>
      <c r="G54" s="793">
        <v>8</v>
      </c>
      <c r="H54" s="793">
        <v>1</v>
      </c>
      <c r="I54" s="799">
        <v>14438.4</v>
      </c>
      <c r="J54" s="799">
        <v>5028.52</v>
      </c>
      <c r="K54" s="795">
        <f t="shared" si="0"/>
      </c>
      <c r="L54" s="796">
        <f t="shared" si="1"/>
      </c>
      <c r="M54" s="796">
        <f t="shared" si="2"/>
      </c>
      <c r="N54" s="797"/>
      <c r="O54" s="791"/>
      <c r="P54" s="798"/>
    </row>
    <row r="55">
      <c r="A55" s="790">
        <v>45819</v>
      </c>
      <c r="B55" s="791" t="s">
        <v>875</v>
      </c>
      <c r="C55" s="792" t="s">
        <v>876</v>
      </c>
      <c r="D55" s="793">
        <v>4</v>
      </c>
      <c r="E55" s="793">
        <v>21</v>
      </c>
      <c r="F55" s="793">
        <v>14</v>
      </c>
      <c r="G55" s="793">
        <v>10</v>
      </c>
      <c r="H55" s="793">
        <v>1</v>
      </c>
      <c r="I55" s="793">
        <v>13402.8</v>
      </c>
      <c r="J55" s="800">
        <v>12227.810000000001</v>
      </c>
      <c r="K55" s="795">
        <f t="shared" si="0"/>
      </c>
      <c r="L55" s="796">
        <f t="shared" si="1"/>
      </c>
      <c r="M55" s="796">
        <f t="shared" si="2"/>
      </c>
      <c r="N55" s="797" t="s">
        <v>870</v>
      </c>
      <c r="O55" s="791">
        <v>8</v>
      </c>
      <c r="P55" s="798"/>
    </row>
    <row r="56">
      <c r="A56" s="801">
        <v>45819</v>
      </c>
      <c r="B56" s="802"/>
      <c r="C56" s="802"/>
      <c r="D56" s="803">
        <f>SUM(D52:D55)</f>
      </c>
      <c r="E56" s="803">
        <f>SUM(E52:E55)</f>
      </c>
      <c r="F56" s="803">
        <f>SUM(F52:F55)</f>
      </c>
      <c r="G56" s="803">
        <f>SUM(G52:G55)</f>
      </c>
      <c r="H56" s="803">
        <f>SUM(H52:H55)</f>
      </c>
      <c r="I56" s="802">
        <f>SUM(I52:I55)</f>
      </c>
      <c r="J56" s="802">
        <f>SUM(J52:J55)</f>
      </c>
      <c r="K56" s="804">
        <f t="shared" si="0"/>
      </c>
      <c r="L56" s="805">
        <f t="shared" si="1"/>
      </c>
      <c r="M56" s="805">
        <f t="shared" si="2"/>
      </c>
      <c r="N56" s="806"/>
      <c r="O56" s="802">
        <f>SUM(O52:O55)</f>
      </c>
      <c r="P56" s="802"/>
    </row>
    <row r="57">
      <c r="A57" s="790">
        <v>45820</v>
      </c>
      <c r="B57" s="791" t="s">
        <v>868</v>
      </c>
      <c r="C57" s="792" t="s">
        <v>869</v>
      </c>
      <c r="D57" s="793">
        <v>5</v>
      </c>
      <c r="E57" s="793">
        <v>49</v>
      </c>
      <c r="F57" s="793">
        <v>34</v>
      </c>
      <c r="G57" s="793">
        <v>18</v>
      </c>
      <c r="H57" s="793">
        <v>4</v>
      </c>
      <c r="I57" s="794">
        <v>54392.4</v>
      </c>
      <c r="J57" s="794">
        <v>17848.88</v>
      </c>
      <c r="K57" s="795">
        <f t="shared" si="0"/>
      </c>
      <c r="L57" s="796">
        <f t="shared" si="1"/>
      </c>
      <c r="M57" s="796">
        <f t="shared" si="2"/>
      </c>
      <c r="N57" s="797" t="s">
        <v>877</v>
      </c>
      <c r="O57" s="791">
        <v>8</v>
      </c>
      <c r="P57" s="798"/>
    </row>
    <row r="58">
      <c r="A58" s="790">
        <v>45820</v>
      </c>
      <c r="B58" s="791" t="s">
        <v>878</v>
      </c>
      <c r="C58" s="792" t="s">
        <v>872</v>
      </c>
      <c r="D58" s="793">
        <v>4</v>
      </c>
      <c r="E58" s="793">
        <v>27</v>
      </c>
      <c r="F58" s="793">
        <v>22</v>
      </c>
      <c r="G58" s="793">
        <v>14</v>
      </c>
      <c r="H58" s="793">
        <v>4</v>
      </c>
      <c r="I58" s="799">
        <v>19711.399999999998</v>
      </c>
      <c r="J58" s="799">
        <v>11832.420000000002</v>
      </c>
      <c r="K58" s="795">
        <f t="shared" si="0"/>
      </c>
      <c r="L58" s="796">
        <f t="shared" si="1"/>
      </c>
      <c r="M58" s="796">
        <f t="shared" si="2"/>
      </c>
      <c r="N58" s="797"/>
      <c r="O58" s="791"/>
      <c r="P58" s="798"/>
    </row>
    <row r="59">
      <c r="A59" s="790">
        <v>45820</v>
      </c>
      <c r="B59" s="791" t="s">
        <v>873</v>
      </c>
      <c r="C59" s="792" t="s">
        <v>874</v>
      </c>
      <c r="D59" s="793">
        <v>3</v>
      </c>
      <c r="E59" s="793">
        <v>13</v>
      </c>
      <c r="F59" s="793">
        <v>9</v>
      </c>
      <c r="G59" s="793">
        <v>7</v>
      </c>
      <c r="H59" s="793">
        <v>0</v>
      </c>
      <c r="I59" s="799">
        <v>10116</v>
      </c>
      <c r="J59" s="799">
        <v>8176.1</v>
      </c>
      <c r="K59" s="795">
        <f t="shared" si="0"/>
      </c>
      <c r="L59" s="796">
        <f t="shared" si="1"/>
      </c>
      <c r="M59" s="796">
        <f t="shared" si="2"/>
      </c>
      <c r="N59" s="797"/>
      <c r="O59" s="791"/>
      <c r="P59" s="798"/>
    </row>
    <row r="60">
      <c r="A60" s="790">
        <v>45820</v>
      </c>
      <c r="B60" s="791" t="s">
        <v>875</v>
      </c>
      <c r="C60" s="792" t="s">
        <v>876</v>
      </c>
      <c r="D60" s="793">
        <v>4</v>
      </c>
      <c r="E60" s="793">
        <v>28</v>
      </c>
      <c r="F60" s="793">
        <v>23</v>
      </c>
      <c r="G60" s="793">
        <v>11</v>
      </c>
      <c r="H60" s="793">
        <v>2</v>
      </c>
      <c r="I60" s="793">
        <v>30817.799999999996</v>
      </c>
      <c r="J60" s="800">
        <v>14139.11</v>
      </c>
      <c r="K60" s="795">
        <f t="shared" si="0"/>
      </c>
      <c r="L60" s="796">
        <f t="shared" si="1"/>
      </c>
      <c r="M60" s="796">
        <f t="shared" si="2"/>
      </c>
      <c r="N60" s="797" t="s">
        <v>870</v>
      </c>
      <c r="O60" s="791">
        <v>8</v>
      </c>
      <c r="P60" s="798"/>
    </row>
    <row r="61">
      <c r="A61" s="801">
        <v>45820</v>
      </c>
      <c r="B61" s="802"/>
      <c r="C61" s="802"/>
      <c r="D61" s="803">
        <f>SUM(D57:D60)</f>
      </c>
      <c r="E61" s="803">
        <f>SUM(E57:E60)</f>
      </c>
      <c r="F61" s="803">
        <f>SUM(F57:F60)</f>
      </c>
      <c r="G61" s="803">
        <f>SUM(G57:G60)</f>
      </c>
      <c r="H61" s="803">
        <f>SUM(H57:H60)</f>
      </c>
      <c r="I61" s="802">
        <f>SUM(I57:I60)</f>
      </c>
      <c r="J61" s="802">
        <f>SUM(J57:J60)</f>
      </c>
      <c r="K61" s="804">
        <f t="shared" si="0"/>
      </c>
      <c r="L61" s="805">
        <f t="shared" si="1"/>
      </c>
      <c r="M61" s="805">
        <f t="shared" si="2"/>
      </c>
      <c r="N61" s="806"/>
      <c r="O61" s="802">
        <f>SUM(O57:O60)</f>
      </c>
      <c r="P61" s="802"/>
    </row>
    <row r="62">
      <c r="A62" s="790">
        <v>45821</v>
      </c>
      <c r="B62" s="791" t="s">
        <v>868</v>
      </c>
      <c r="C62" s="792" t="s">
        <v>869</v>
      </c>
      <c r="D62" s="793">
        <v>5</v>
      </c>
      <c r="E62" s="793">
        <v>19</v>
      </c>
      <c r="F62" s="793">
        <v>14</v>
      </c>
      <c r="G62" s="793">
        <v>11</v>
      </c>
      <c r="H62" s="793">
        <v>2</v>
      </c>
      <c r="I62" s="794">
        <v>16064.6</v>
      </c>
      <c r="J62" s="794">
        <v>12313.220000000001</v>
      </c>
      <c r="K62" s="795">
        <f t="shared" si="0"/>
      </c>
      <c r="L62" s="796">
        <f t="shared" si="1"/>
      </c>
      <c r="M62" s="796">
        <f t="shared" si="2"/>
      </c>
      <c r="N62" s="797" t="s">
        <v>877</v>
      </c>
      <c r="O62" s="791">
        <v>8</v>
      </c>
      <c r="P62" s="798"/>
    </row>
    <row r="63">
      <c r="A63" s="790">
        <v>45821</v>
      </c>
      <c r="B63" s="791" t="s">
        <v>871</v>
      </c>
      <c r="C63" s="792" t="s">
        <v>872</v>
      </c>
      <c r="D63" s="793">
        <v>4</v>
      </c>
      <c r="E63" s="793">
        <v>39</v>
      </c>
      <c r="F63" s="793">
        <v>28</v>
      </c>
      <c r="G63" s="793">
        <v>17</v>
      </c>
      <c r="H63" s="793">
        <v>6</v>
      </c>
      <c r="I63" s="799">
        <v>42366</v>
      </c>
      <c r="J63" s="799">
        <v>12916.939999999999</v>
      </c>
      <c r="K63" s="795">
        <f t="shared" si="0"/>
      </c>
      <c r="L63" s="796">
        <f t="shared" si="1"/>
      </c>
      <c r="M63" s="796">
        <f t="shared" si="2"/>
      </c>
      <c r="N63" s="797"/>
      <c r="O63" s="791"/>
      <c r="P63" s="798"/>
    </row>
    <row r="64">
      <c r="A64" s="790">
        <v>45821</v>
      </c>
      <c r="B64" s="808" t="s">
        <v>895</v>
      </c>
      <c r="C64" s="792" t="s">
        <v>874</v>
      </c>
      <c r="D64" s="793">
        <v>3</v>
      </c>
      <c r="E64" s="793">
        <v>18</v>
      </c>
      <c r="F64" s="793">
        <v>14</v>
      </c>
      <c r="G64" s="793">
        <v>8</v>
      </c>
      <c r="H64" s="793">
        <v>2</v>
      </c>
      <c r="I64" s="799">
        <v>17918.999999999996</v>
      </c>
      <c r="J64" s="799">
        <v>8567.01</v>
      </c>
      <c r="K64" s="795">
        <f t="shared" si="0"/>
      </c>
      <c r="L64" s="796">
        <f t="shared" si="1"/>
      </c>
      <c r="M64" s="796">
        <f t="shared" si="2"/>
      </c>
      <c r="N64" s="797"/>
      <c r="O64" s="791"/>
      <c r="P64" s="798"/>
    </row>
    <row r="65">
      <c r="A65" s="790">
        <v>45821</v>
      </c>
      <c r="B65" s="791" t="s">
        <v>875</v>
      </c>
      <c r="C65" s="792" t="s">
        <v>896</v>
      </c>
      <c r="D65" s="793">
        <v>3</v>
      </c>
      <c r="E65" s="793">
        <v>11</v>
      </c>
      <c r="F65" s="793">
        <v>7</v>
      </c>
      <c r="G65" s="793">
        <v>6</v>
      </c>
      <c r="H65" s="793">
        <v>0</v>
      </c>
      <c r="I65" s="793">
        <v>4762.8</v>
      </c>
      <c r="J65" s="800">
        <v>10169.689999999999</v>
      </c>
      <c r="K65" s="795">
        <f t="shared" si="0"/>
      </c>
      <c r="L65" s="796">
        <f t="shared" si="1"/>
      </c>
      <c r="M65" s="796">
        <f t="shared" si="2"/>
      </c>
      <c r="N65" s="797" t="s">
        <v>870</v>
      </c>
      <c r="O65" s="791">
        <v>7</v>
      </c>
      <c r="P65" s="798"/>
    </row>
    <row r="66">
      <c r="A66" s="801">
        <v>45821</v>
      </c>
      <c r="B66" s="802"/>
      <c r="C66" s="802"/>
      <c r="D66" s="803">
        <f>SUM(D62:D65)</f>
      </c>
      <c r="E66" s="803">
        <f>SUM(E62:E65)</f>
      </c>
      <c r="F66" s="803">
        <f>SUM(F62:F65)</f>
      </c>
      <c r="G66" s="803">
        <f>SUM(G62:G65)</f>
      </c>
      <c r="H66" s="803">
        <f>SUM(H62:H65)</f>
      </c>
      <c r="I66" s="802">
        <f>SUM(I62:I65)</f>
      </c>
      <c r="J66" s="802">
        <f>SUM(J62:J65)</f>
      </c>
      <c r="K66" s="804">
        <f t="shared" si="0"/>
      </c>
      <c r="L66" s="805">
        <f t="shared" si="1"/>
      </c>
      <c r="M66" s="805">
        <f t="shared" si="2"/>
      </c>
      <c r="N66" s="806"/>
      <c r="O66" s="802">
        <f>SUM(O62:O65)</f>
      </c>
      <c r="P66" s="802"/>
    </row>
    <row r="67">
      <c r="A67" s="790">
        <v>45822</v>
      </c>
      <c r="B67" s="791" t="s">
        <v>868</v>
      </c>
      <c r="C67" s="792" t="s">
        <v>869</v>
      </c>
      <c r="D67" s="793">
        <v>5</v>
      </c>
      <c r="E67" s="793">
        <v>40</v>
      </c>
      <c r="F67" s="793">
        <v>30</v>
      </c>
      <c r="G67" s="793">
        <v>24</v>
      </c>
      <c r="H67" s="793">
        <v>3</v>
      </c>
      <c r="I67" s="794">
        <v>29009.8</v>
      </c>
      <c r="J67" s="794">
        <v>18423.38</v>
      </c>
      <c r="K67" s="795">
        <f t="shared" si="0"/>
      </c>
      <c r="L67" s="796">
        <f t="shared" si="1"/>
      </c>
      <c r="M67" s="796">
        <f t="shared" si="2"/>
      </c>
      <c r="N67" s="797" t="s">
        <v>877</v>
      </c>
      <c r="O67" s="791">
        <v>8</v>
      </c>
      <c r="P67" s="798"/>
    </row>
    <row r="68">
      <c r="A68" s="790">
        <v>45822</v>
      </c>
      <c r="B68" s="791" t="s">
        <v>871</v>
      </c>
      <c r="C68" s="792" t="s">
        <v>872</v>
      </c>
      <c r="D68" s="793">
        <v>4</v>
      </c>
      <c r="E68" s="793">
        <v>31</v>
      </c>
      <c r="F68" s="793">
        <v>24</v>
      </c>
      <c r="G68" s="793">
        <v>19</v>
      </c>
      <c r="H68" s="793">
        <v>5</v>
      </c>
      <c r="I68" s="799">
        <v>31409.199999999997</v>
      </c>
      <c r="J68" s="799">
        <v>10381.68</v>
      </c>
      <c r="K68" s="795">
        <f t="shared" si="0"/>
      </c>
      <c r="L68" s="796">
        <f t="shared" si="1"/>
      </c>
      <c r="M68" s="796">
        <f t="shared" si="2"/>
      </c>
      <c r="N68" s="797"/>
      <c r="O68" s="791"/>
      <c r="P68" s="798"/>
    </row>
    <row r="69">
      <c r="A69" s="790">
        <v>45822</v>
      </c>
      <c r="B69" s="791" t="s">
        <v>873</v>
      </c>
      <c r="C69" s="792" t="s">
        <v>874</v>
      </c>
      <c r="D69" s="793">
        <v>3</v>
      </c>
      <c r="E69" s="793">
        <v>23</v>
      </c>
      <c r="F69" s="793">
        <v>16</v>
      </c>
      <c r="G69" s="793">
        <v>11</v>
      </c>
      <c r="H69" s="793">
        <v>2</v>
      </c>
      <c r="I69" s="799">
        <v>19338.2</v>
      </c>
      <c r="J69" s="799">
        <v>8633.619999999999</v>
      </c>
      <c r="K69" s="795">
        <f t="shared" si="0"/>
      </c>
      <c r="L69" s="796">
        <f t="shared" si="1"/>
      </c>
      <c r="M69" s="796">
        <f t="shared" si="2"/>
      </c>
      <c r="N69" s="797"/>
      <c r="O69" s="791"/>
      <c r="P69" s="798"/>
    </row>
    <row r="70">
      <c r="A70" s="790">
        <v>45822</v>
      </c>
      <c r="B70" s="791" t="s">
        <v>875</v>
      </c>
      <c r="C70" s="792" t="s">
        <v>876</v>
      </c>
      <c r="D70" s="793">
        <v>4</v>
      </c>
      <c r="E70" s="793">
        <v>35</v>
      </c>
      <c r="F70" s="793">
        <v>28</v>
      </c>
      <c r="G70" s="793">
        <v>17</v>
      </c>
      <c r="H70" s="793">
        <v>5</v>
      </c>
      <c r="I70" s="793">
        <v>38344.8</v>
      </c>
      <c r="J70" s="800">
        <v>12545.01</v>
      </c>
      <c r="K70" s="795">
        <f t="shared" si="0"/>
      </c>
      <c r="L70" s="796">
        <f t="shared" si="1"/>
      </c>
      <c r="M70" s="796">
        <f t="shared" si="2"/>
      </c>
      <c r="N70" s="797" t="s">
        <v>870</v>
      </c>
      <c r="O70" s="791">
        <v>8</v>
      </c>
      <c r="P70" s="798"/>
    </row>
    <row r="71">
      <c r="A71" s="801">
        <v>45822</v>
      </c>
      <c r="B71" s="802"/>
      <c r="C71" s="802"/>
      <c r="D71" s="803">
        <f>SUM(D67:D70)</f>
      </c>
      <c r="E71" s="803">
        <f>SUM(E67:E70)</f>
      </c>
      <c r="F71" s="803">
        <f>SUM(F67:F70)</f>
      </c>
      <c r="G71" s="803">
        <f>SUM(G67:G70)</f>
      </c>
      <c r="H71" s="803">
        <f>SUM(H67:H70)</f>
      </c>
      <c r="I71" s="802">
        <f>SUM(I67:I70)</f>
      </c>
      <c r="J71" s="802">
        <f>SUM(J67:J70)</f>
      </c>
      <c r="K71" s="804">
        <f t="shared" si="0"/>
      </c>
      <c r="L71" s="805">
        <f t="shared" si="1"/>
      </c>
      <c r="M71" s="805">
        <f t="shared" si="2"/>
      </c>
      <c r="N71" s="806"/>
      <c r="O71" s="802">
        <f>SUM(O67:O70)</f>
      </c>
      <c r="P71" s="802"/>
    </row>
    <row r="72">
      <c r="A72" s="790">
        <v>45823</v>
      </c>
      <c r="B72" s="791" t="s">
        <v>868</v>
      </c>
      <c r="C72" s="792" t="s">
        <v>869</v>
      </c>
      <c r="D72" s="793">
        <v>5</v>
      </c>
      <c r="E72" s="793">
        <v>34</v>
      </c>
      <c r="F72" s="793">
        <v>23</v>
      </c>
      <c r="G72" s="793">
        <v>15</v>
      </c>
      <c r="H72" s="793">
        <v>2</v>
      </c>
      <c r="I72" s="794">
        <v>25376.4</v>
      </c>
      <c r="J72" s="794">
        <v>14961.969999999998</v>
      </c>
      <c r="K72" s="795">
        <f t="shared" si="0"/>
      </c>
      <c r="L72" s="796">
        <f t="shared" si="1"/>
      </c>
      <c r="M72" s="796">
        <f t="shared" si="2"/>
      </c>
      <c r="N72" s="797" t="s">
        <v>877</v>
      </c>
      <c r="O72" s="791">
        <v>8</v>
      </c>
      <c r="P72" s="798"/>
    </row>
    <row r="73">
      <c r="A73" s="790">
        <v>45823</v>
      </c>
      <c r="B73" s="791" t="s">
        <v>871</v>
      </c>
      <c r="C73" s="792" t="s">
        <v>872</v>
      </c>
      <c r="D73" s="793">
        <v>4</v>
      </c>
      <c r="E73" s="793">
        <v>37</v>
      </c>
      <c r="F73" s="793">
        <v>31</v>
      </c>
      <c r="G73" s="793">
        <v>25</v>
      </c>
      <c r="H73" s="793">
        <v>3</v>
      </c>
      <c r="I73" s="799">
        <v>25963.4</v>
      </c>
      <c r="J73" s="799">
        <v>11552.109999999999</v>
      </c>
      <c r="K73" s="795">
        <f t="shared" si="0"/>
      </c>
      <c r="L73" s="796">
        <f t="shared" si="1"/>
      </c>
      <c r="M73" s="796">
        <f t="shared" si="2"/>
      </c>
      <c r="N73" s="797"/>
      <c r="O73" s="791"/>
      <c r="P73" s="798"/>
    </row>
    <row r="74">
      <c r="A74" s="790">
        <v>45823</v>
      </c>
      <c r="B74" s="791" t="s">
        <v>885</v>
      </c>
      <c r="C74" s="792" t="s">
        <v>891</v>
      </c>
      <c r="D74" s="793">
        <v>2</v>
      </c>
      <c r="E74" s="793">
        <v>11</v>
      </c>
      <c r="F74" s="793">
        <v>7</v>
      </c>
      <c r="G74" s="793">
        <v>6</v>
      </c>
      <c r="H74" s="793">
        <v>0</v>
      </c>
      <c r="I74" s="799">
        <v>5178</v>
      </c>
      <c r="J74" s="799">
        <v>4805.69</v>
      </c>
      <c r="K74" s="795">
        <f t="shared" si="0"/>
      </c>
      <c r="L74" s="796">
        <f t="shared" si="1"/>
      </c>
      <c r="M74" s="796">
        <f t="shared" si="2"/>
      </c>
      <c r="N74" s="797"/>
      <c r="O74" s="791"/>
      <c r="P74" s="798"/>
    </row>
    <row r="75">
      <c r="A75" s="790">
        <v>45823</v>
      </c>
      <c r="B75" s="791" t="s">
        <v>875</v>
      </c>
      <c r="C75" s="792" t="s">
        <v>897</v>
      </c>
      <c r="D75" s="793">
        <v>3</v>
      </c>
      <c r="E75" s="793">
        <v>21</v>
      </c>
      <c r="F75" s="793">
        <v>13</v>
      </c>
      <c r="G75" s="793">
        <v>9</v>
      </c>
      <c r="H75" s="793">
        <v>1</v>
      </c>
      <c r="I75" s="793">
        <v>16902</v>
      </c>
      <c r="J75" s="800">
        <v>9120.220000000001</v>
      </c>
      <c r="K75" s="795">
        <f t="shared" si="0"/>
      </c>
      <c r="L75" s="796">
        <f t="shared" si="1"/>
      </c>
      <c r="M75" s="796">
        <f t="shared" si="2"/>
      </c>
      <c r="N75" s="797" t="s">
        <v>870</v>
      </c>
      <c r="O75" s="791">
        <v>6</v>
      </c>
      <c r="P75" s="798"/>
    </row>
    <row r="76">
      <c r="A76" s="801">
        <v>45823</v>
      </c>
      <c r="B76" s="802"/>
      <c r="C76" s="802"/>
      <c r="D76" s="803">
        <f>SUM(D72:D75)</f>
      </c>
      <c r="E76" s="803">
        <f>SUM(E72:E75)</f>
      </c>
      <c r="F76" s="803">
        <f>SUM(F72:F75)</f>
      </c>
      <c r="G76" s="803">
        <f>SUM(G72:G75)</f>
      </c>
      <c r="H76" s="803">
        <f>SUM(H72:H75)</f>
      </c>
      <c r="I76" s="802">
        <f>SUM(I72:I75)</f>
      </c>
      <c r="J76" s="802">
        <f>SUM(J72:J75)</f>
      </c>
      <c r="K76" s="804">
        <f t="shared" si="0"/>
      </c>
      <c r="L76" s="805">
        <f t="shared" si="1"/>
      </c>
      <c r="M76" s="805">
        <f t="shared" si="2"/>
      </c>
      <c r="N76" s="806"/>
      <c r="O76" s="802">
        <f>SUM(O72:O75)</f>
      </c>
      <c r="P76" s="802"/>
    </row>
    <row r="77">
      <c r="A77" s="790">
        <v>45824</v>
      </c>
      <c r="B77" s="791" t="s">
        <v>878</v>
      </c>
      <c r="C77" s="792" t="s">
        <v>898</v>
      </c>
      <c r="D77" s="793">
        <v>4</v>
      </c>
      <c r="E77" s="793">
        <v>24</v>
      </c>
      <c r="F77" s="793">
        <v>14</v>
      </c>
      <c r="G77" s="793">
        <v>7</v>
      </c>
      <c r="H77" s="793">
        <v>0</v>
      </c>
      <c r="I77" s="794">
        <v>12782.8</v>
      </c>
      <c r="J77" s="794">
        <v>10619.25</v>
      </c>
      <c r="K77" s="795">
        <f t="shared" si="0"/>
      </c>
      <c r="L77" s="796">
        <f t="shared" si="1"/>
      </c>
      <c r="M77" s="796">
        <f t="shared" si="2"/>
      </c>
      <c r="N77" s="797" t="s">
        <v>877</v>
      </c>
      <c r="O77" s="791">
        <v>8</v>
      </c>
      <c r="P77" s="798"/>
    </row>
    <row r="78">
      <c r="A78" s="790">
        <v>45824</v>
      </c>
      <c r="B78" s="791" t="s">
        <v>873</v>
      </c>
      <c r="C78" s="792" t="s">
        <v>899</v>
      </c>
      <c r="D78" s="793">
        <v>4</v>
      </c>
      <c r="E78" s="793">
        <v>23</v>
      </c>
      <c r="F78" s="793">
        <v>14</v>
      </c>
      <c r="G78" s="793">
        <v>10</v>
      </c>
      <c r="H78" s="793">
        <v>0</v>
      </c>
      <c r="I78" s="799">
        <v>22015.800000000003</v>
      </c>
      <c r="J78" s="799">
        <v>10670.720000000001</v>
      </c>
      <c r="K78" s="795">
        <f t="shared" si="0"/>
      </c>
      <c r="L78" s="796">
        <f t="shared" si="1"/>
      </c>
      <c r="M78" s="796">
        <f t="shared" si="2"/>
      </c>
      <c r="N78" s="797"/>
      <c r="O78" s="791"/>
      <c r="P78" s="798"/>
    </row>
    <row r="79">
      <c r="A79" s="790">
        <v>45824</v>
      </c>
      <c r="B79" s="791" t="s">
        <v>893</v>
      </c>
      <c r="C79" s="792" t="s">
        <v>900</v>
      </c>
      <c r="D79" s="793">
        <v>4</v>
      </c>
      <c r="E79" s="793">
        <v>10</v>
      </c>
      <c r="F79" s="793">
        <v>7</v>
      </c>
      <c r="G79" s="793">
        <v>5</v>
      </c>
      <c r="H79" s="793">
        <v>2</v>
      </c>
      <c r="I79" s="799">
        <v>4856.4</v>
      </c>
      <c r="J79" s="799">
        <v>7347.42</v>
      </c>
      <c r="K79" s="795">
        <f t="shared" si="0"/>
      </c>
      <c r="L79" s="796">
        <f t="shared" si="1"/>
      </c>
      <c r="M79" s="796">
        <f t="shared" si="2"/>
      </c>
      <c r="N79" s="797"/>
      <c r="O79" s="791"/>
      <c r="P79" s="798"/>
    </row>
    <row r="80">
      <c r="A80" s="790">
        <v>45824</v>
      </c>
      <c r="B80" s="791" t="s">
        <v>875</v>
      </c>
      <c r="C80" s="792" t="s">
        <v>876</v>
      </c>
      <c r="D80" s="793">
        <v>4</v>
      </c>
      <c r="E80" s="793">
        <v>17</v>
      </c>
      <c r="F80" s="793">
        <v>13</v>
      </c>
      <c r="G80" s="793">
        <v>9</v>
      </c>
      <c r="H80" s="793">
        <v>1</v>
      </c>
      <c r="I80" s="793">
        <v>19522.399999999998</v>
      </c>
      <c r="J80" s="800">
        <v>14013</v>
      </c>
      <c r="K80" s="795">
        <f t="shared" si="0"/>
      </c>
      <c r="L80" s="796">
        <f t="shared" si="1"/>
      </c>
      <c r="M80" s="796">
        <f t="shared" si="2"/>
      </c>
      <c r="N80" s="797" t="s">
        <v>870</v>
      </c>
      <c r="O80" s="791">
        <v>8</v>
      </c>
      <c r="P80" s="798"/>
    </row>
    <row r="81">
      <c r="A81" s="801">
        <v>45824</v>
      </c>
      <c r="B81" s="802"/>
      <c r="C81" s="802"/>
      <c r="D81" s="803">
        <f>SUM(D77:D80)</f>
      </c>
      <c r="E81" s="803">
        <f>SUM(E77:E80)</f>
      </c>
      <c r="F81" s="803">
        <f>SUM(F77:F80)</f>
      </c>
      <c r="G81" s="803">
        <f>SUM(G77:G80)</f>
      </c>
      <c r="H81" s="803">
        <f>SUM(H77:H80)</f>
      </c>
      <c r="I81" s="802">
        <f>SUM(I77:I80)</f>
      </c>
      <c r="J81" s="802">
        <f>SUM(J77:J80)</f>
      </c>
      <c r="K81" s="804">
        <f t="shared" si="0"/>
      </c>
      <c r="L81" s="805">
        <f t="shared" si="1"/>
      </c>
      <c r="M81" s="805">
        <f t="shared" si="2"/>
      </c>
      <c r="N81" s="806"/>
      <c r="O81" s="802">
        <f>SUM(O77:O80)</f>
      </c>
      <c r="P81" s="802"/>
    </row>
    <row r="82">
      <c r="A82" s="790">
        <v>45825</v>
      </c>
      <c r="B82" s="791" t="s">
        <v>868</v>
      </c>
      <c r="C82" s="792" t="s">
        <v>869</v>
      </c>
      <c r="D82" s="793">
        <v>5</v>
      </c>
      <c r="E82" s="793">
        <v>49</v>
      </c>
      <c r="F82" s="793">
        <v>43</v>
      </c>
      <c r="G82" s="793">
        <v>35</v>
      </c>
      <c r="H82" s="793">
        <v>9</v>
      </c>
      <c r="I82" s="794">
        <v>36469</v>
      </c>
      <c r="J82" s="794">
        <v>16207.94</v>
      </c>
      <c r="K82" s="795">
        <f t="shared" si="0"/>
      </c>
      <c r="L82" s="796">
        <f t="shared" si="1"/>
      </c>
      <c r="M82" s="796">
        <f t="shared" si="2"/>
      </c>
      <c r="N82" s="797" t="s">
        <v>877</v>
      </c>
      <c r="O82" s="791">
        <v>8</v>
      </c>
      <c r="P82" s="798"/>
    </row>
    <row r="83">
      <c r="A83" s="790">
        <v>45825</v>
      </c>
      <c r="B83" s="791" t="s">
        <v>873</v>
      </c>
      <c r="C83" s="792" t="s">
        <v>872</v>
      </c>
      <c r="D83" s="793">
        <v>4</v>
      </c>
      <c r="E83" s="793">
        <v>39</v>
      </c>
      <c r="F83" s="793">
        <v>27</v>
      </c>
      <c r="G83" s="793">
        <v>18</v>
      </c>
      <c r="H83" s="793">
        <v>7</v>
      </c>
      <c r="I83" s="799">
        <v>27083.6</v>
      </c>
      <c r="J83" s="799">
        <v>12402.17</v>
      </c>
      <c r="K83" s="795">
        <f t="shared" si="0"/>
      </c>
      <c r="L83" s="796">
        <f t="shared" si="1"/>
      </c>
      <c r="M83" s="796">
        <f t="shared" si="2"/>
      </c>
      <c r="N83" s="797"/>
      <c r="O83" s="791"/>
      <c r="P83" s="798"/>
    </row>
    <row r="84">
      <c r="A84" s="790">
        <v>45825</v>
      </c>
      <c r="B84" s="791" t="s">
        <v>878</v>
      </c>
      <c r="C84" s="792" t="s">
        <v>874</v>
      </c>
      <c r="D84" s="793">
        <v>3</v>
      </c>
      <c r="E84" s="793">
        <v>27</v>
      </c>
      <c r="F84" s="793">
        <v>18</v>
      </c>
      <c r="G84" s="793">
        <v>9</v>
      </c>
      <c r="H84" s="793">
        <v>1</v>
      </c>
      <c r="I84" s="799">
        <v>25026.6</v>
      </c>
      <c r="J84" s="799">
        <v>8765.11</v>
      </c>
      <c r="K84" s="795">
        <f t="shared" si="0"/>
      </c>
      <c r="L84" s="796">
        <f t="shared" si="1"/>
      </c>
      <c r="M84" s="796">
        <f t="shared" si="2"/>
      </c>
      <c r="N84" s="797"/>
      <c r="O84" s="791"/>
      <c r="P84" s="798"/>
    </row>
    <row r="85">
      <c r="A85" s="790">
        <v>45825</v>
      </c>
      <c r="B85" s="791" t="s">
        <v>871</v>
      </c>
      <c r="C85" s="792" t="s">
        <v>876</v>
      </c>
      <c r="D85" s="793">
        <v>4</v>
      </c>
      <c r="E85" s="793">
        <v>41</v>
      </c>
      <c r="F85" s="793">
        <v>30</v>
      </c>
      <c r="G85" s="793">
        <v>22</v>
      </c>
      <c r="H85" s="793">
        <v>4</v>
      </c>
      <c r="I85" s="793">
        <v>25084.399999999998</v>
      </c>
      <c r="J85" s="800">
        <v>14297.55</v>
      </c>
      <c r="K85" s="795">
        <f t="shared" si="0"/>
      </c>
      <c r="L85" s="796">
        <f t="shared" si="1"/>
      </c>
      <c r="M85" s="796">
        <f t="shared" si="2"/>
      </c>
      <c r="N85" s="797" t="s">
        <v>901</v>
      </c>
      <c r="O85" s="791">
        <v>8</v>
      </c>
      <c r="P85" s="798"/>
    </row>
    <row r="86">
      <c r="A86" s="801">
        <v>45825</v>
      </c>
      <c r="B86" s="802"/>
      <c r="C86" s="802"/>
      <c r="D86" s="803">
        <f>SUM(D82:D85)</f>
      </c>
      <c r="E86" s="803">
        <f>SUM(E82:E85)</f>
      </c>
      <c r="F86" s="803">
        <f>SUM(F82:F85)</f>
      </c>
      <c r="G86" s="803">
        <f>SUM(G82:G85)</f>
      </c>
      <c r="H86" s="803">
        <f>SUM(H82:H85)</f>
      </c>
      <c r="I86" s="802">
        <f>SUM(I82:I85)</f>
      </c>
      <c r="J86" s="802">
        <f>SUM(J82:J85)</f>
      </c>
      <c r="K86" s="804">
        <f t="shared" si="0"/>
      </c>
      <c r="L86" s="805">
        <f t="shared" si="1"/>
      </c>
      <c r="M86" s="805">
        <f t="shared" si="2"/>
      </c>
      <c r="N86" s="806"/>
      <c r="O86" s="802">
        <f>SUM(O82:O85)</f>
      </c>
      <c r="P86" s="802"/>
    </row>
    <row r="87">
      <c r="A87" s="790">
        <v>45826</v>
      </c>
      <c r="B87" s="791" t="s">
        <v>868</v>
      </c>
      <c r="C87" s="792" t="s">
        <v>869</v>
      </c>
      <c r="D87" s="793">
        <v>5</v>
      </c>
      <c r="E87" s="793">
        <v>48</v>
      </c>
      <c r="F87" s="793">
        <v>39</v>
      </c>
      <c r="G87" s="793">
        <v>22</v>
      </c>
      <c r="H87" s="793">
        <v>9</v>
      </c>
      <c r="I87" s="794">
        <v>64963.59999999999</v>
      </c>
      <c r="J87" s="794">
        <v>20624.25</v>
      </c>
      <c r="K87" s="795">
        <f t="shared" si="0"/>
      </c>
      <c r="L87" s="796">
        <f t="shared" si="1"/>
      </c>
      <c r="M87" s="796">
        <f t="shared" si="2"/>
      </c>
      <c r="N87" s="797" t="s">
        <v>877</v>
      </c>
      <c r="O87" s="791">
        <v>8</v>
      </c>
    </row>
    <row r="88">
      <c r="A88" s="790">
        <v>45826</v>
      </c>
      <c r="B88" s="791" t="s">
        <v>873</v>
      </c>
      <c r="C88" s="792" t="s">
        <v>872</v>
      </c>
      <c r="D88" s="793">
        <v>4</v>
      </c>
      <c r="E88" s="793">
        <v>42</v>
      </c>
      <c r="F88" s="793">
        <v>30</v>
      </c>
      <c r="G88" s="793">
        <v>25</v>
      </c>
      <c r="H88" s="793">
        <v>6</v>
      </c>
      <c r="I88" s="799">
        <v>21315.2</v>
      </c>
      <c r="J88" s="799">
        <v>11362.05</v>
      </c>
      <c r="K88" s="795">
        <f t="shared" si="0"/>
      </c>
      <c r="L88" s="796">
        <f t="shared" si="1"/>
      </c>
      <c r="M88" s="796">
        <f t="shared" si="2"/>
      </c>
      <c r="N88" s="797"/>
      <c r="O88" s="791"/>
    </row>
    <row r="89">
      <c r="A89" s="790">
        <v>45826</v>
      </c>
      <c r="B89" s="791" t="s">
        <v>893</v>
      </c>
      <c r="C89" s="792" t="s">
        <v>874</v>
      </c>
      <c r="D89" s="793">
        <v>3</v>
      </c>
      <c r="E89" s="793">
        <v>10</v>
      </c>
      <c r="F89" s="793">
        <v>7</v>
      </c>
      <c r="G89" s="793">
        <v>4</v>
      </c>
      <c r="H89" s="793">
        <v>0</v>
      </c>
      <c r="I89" s="799">
        <v>11853</v>
      </c>
      <c r="J89" s="799">
        <v>7007.790000000001</v>
      </c>
      <c r="K89" s="795">
        <f t="shared" si="0"/>
      </c>
      <c r="L89" s="796">
        <f t="shared" si="1"/>
      </c>
      <c r="M89" s="796">
        <f t="shared" si="2"/>
      </c>
      <c r="N89" s="797"/>
      <c r="O89" s="791"/>
    </row>
    <row r="90">
      <c r="A90" s="790">
        <v>45826</v>
      </c>
      <c r="B90" s="791" t="s">
        <v>871</v>
      </c>
      <c r="C90" s="792" t="s">
        <v>876</v>
      </c>
      <c r="D90" s="793">
        <v>4</v>
      </c>
      <c r="E90" s="793">
        <v>40</v>
      </c>
      <c r="F90" s="793">
        <v>32</v>
      </c>
      <c r="G90" s="793">
        <v>23</v>
      </c>
      <c r="H90" s="793">
        <v>4</v>
      </c>
      <c r="I90" s="793">
        <v>33372.799999999996</v>
      </c>
      <c r="J90" s="800">
        <v>15410.77</v>
      </c>
      <c r="K90" s="795">
        <f t="shared" si="0"/>
      </c>
      <c r="L90" s="796">
        <f t="shared" si="1"/>
      </c>
      <c r="M90" s="796">
        <f t="shared" si="2"/>
      </c>
      <c r="N90" s="797" t="s">
        <v>901</v>
      </c>
      <c r="O90" s="791">
        <v>8</v>
      </c>
    </row>
    <row r="91">
      <c r="A91" s="801">
        <v>45826</v>
      </c>
      <c r="B91" s="802"/>
      <c r="C91" s="802"/>
      <c r="D91" s="803">
        <f>SUM(D87:D90)</f>
      </c>
      <c r="E91" s="803">
        <f>SUM(E87:E90)</f>
      </c>
      <c r="F91" s="803">
        <f>SUM(F87:F90)</f>
      </c>
      <c r="G91" s="803">
        <f>SUM(G87:G90)</f>
      </c>
      <c r="H91" s="803">
        <f>SUM(H87:H90)</f>
      </c>
      <c r="I91" s="802">
        <f>SUM(I87:I90)</f>
      </c>
      <c r="J91" s="802">
        <f>SUM(J87:J90)</f>
      </c>
      <c r="K91" s="804">
        <f t="shared" si="0"/>
      </c>
      <c r="L91" s="805">
        <f t="shared" si="1"/>
      </c>
      <c r="M91" s="805">
        <f t="shared" si="2"/>
      </c>
      <c r="N91" s="806"/>
      <c r="O91" s="802">
        <f>SUM(O87:O90)</f>
      </c>
      <c r="P91" s="802"/>
    </row>
    <row r="92">
      <c r="A92" s="790">
        <v>45827</v>
      </c>
      <c r="B92" s="791" t="s">
        <v>868</v>
      </c>
      <c r="C92" s="792" t="s">
        <v>869</v>
      </c>
      <c r="D92" s="793">
        <v>5</v>
      </c>
      <c r="E92" s="793">
        <v>42</v>
      </c>
      <c r="F92" s="793">
        <v>31</v>
      </c>
      <c r="G92" s="793">
        <v>21</v>
      </c>
      <c r="H92" s="793">
        <v>4</v>
      </c>
      <c r="I92" s="794">
        <v>28463.4</v>
      </c>
      <c r="J92" s="794">
        <v>15127.95</v>
      </c>
      <c r="K92" s="795">
        <f t="shared" si="0"/>
      </c>
      <c r="L92" s="796">
        <f t="shared" si="1"/>
      </c>
      <c r="M92" s="796">
        <f t="shared" si="2"/>
      </c>
      <c r="N92" s="797" t="s">
        <v>877</v>
      </c>
      <c r="O92" s="791">
        <v>7</v>
      </c>
      <c r="P92" s="798"/>
    </row>
    <row r="93">
      <c r="A93" s="790">
        <v>45827</v>
      </c>
      <c r="B93" s="791" t="s">
        <v>902</v>
      </c>
      <c r="C93" s="792" t="s">
        <v>888</v>
      </c>
      <c r="D93" s="793">
        <v>2</v>
      </c>
      <c r="E93" s="793">
        <v>6</v>
      </c>
      <c r="F93" s="793">
        <v>3</v>
      </c>
      <c r="G93" s="793">
        <v>2</v>
      </c>
      <c r="H93" s="793">
        <v>0</v>
      </c>
      <c r="I93" s="799">
        <v>2772</v>
      </c>
      <c r="J93" s="799">
        <v>4928.8</v>
      </c>
      <c r="K93" s="795">
        <f t="shared" si="0"/>
      </c>
      <c r="L93" s="796">
        <f t="shared" si="1"/>
      </c>
      <c r="M93" s="796">
        <f t="shared" si="2"/>
      </c>
      <c r="N93" s="797"/>
      <c r="O93" s="791"/>
      <c r="P93" s="798"/>
    </row>
    <row r="94">
      <c r="A94" s="790">
        <v>45827</v>
      </c>
      <c r="B94" s="791" t="s">
        <v>893</v>
      </c>
      <c r="C94" s="792" t="s">
        <v>900</v>
      </c>
      <c r="D94" s="793">
        <v>3</v>
      </c>
      <c r="E94" s="793">
        <v>20</v>
      </c>
      <c r="F94" s="793">
        <v>16</v>
      </c>
      <c r="G94" s="793">
        <v>13</v>
      </c>
      <c r="H94" s="793">
        <v>1</v>
      </c>
      <c r="I94" s="799">
        <v>12873.2</v>
      </c>
      <c r="J94" s="799">
        <v>6821.83</v>
      </c>
      <c r="K94" s="795">
        <f t="shared" si="0"/>
      </c>
      <c r="L94" s="796">
        <f t="shared" si="1"/>
      </c>
      <c r="M94" s="796">
        <f t="shared" si="2"/>
      </c>
      <c r="N94" s="797"/>
      <c r="O94" s="791"/>
      <c r="P94" s="798"/>
    </row>
    <row r="95">
      <c r="A95" s="790">
        <v>45827</v>
      </c>
      <c r="B95" s="791" t="s">
        <v>875</v>
      </c>
      <c r="C95" s="792" t="s">
        <v>890</v>
      </c>
      <c r="D95" s="793">
        <v>5</v>
      </c>
      <c r="E95" s="793">
        <v>36</v>
      </c>
      <c r="F95" s="793">
        <v>28</v>
      </c>
      <c r="G95" s="793">
        <v>18</v>
      </c>
      <c r="H95" s="793">
        <v>3</v>
      </c>
      <c r="I95" s="793">
        <v>34330.799999999996</v>
      </c>
      <c r="J95" s="800">
        <v>17509.41</v>
      </c>
      <c r="K95" s="795">
        <f t="shared" si="0"/>
      </c>
      <c r="L95" s="796">
        <f t="shared" si="1"/>
      </c>
      <c r="M95" s="796">
        <f t="shared" si="2"/>
      </c>
      <c r="N95" s="797" t="s">
        <v>901</v>
      </c>
      <c r="O95" s="791">
        <v>8</v>
      </c>
      <c r="P95" s="798"/>
    </row>
    <row r="96">
      <c r="A96" s="801">
        <v>45827</v>
      </c>
      <c r="B96" s="802"/>
      <c r="C96" s="802"/>
      <c r="D96" s="803">
        <v>15</v>
      </c>
      <c r="E96" s="803">
        <f>SUM(E92:E95)</f>
      </c>
      <c r="F96" s="803">
        <f>SUM(F92:F95)</f>
      </c>
      <c r="G96" s="803">
        <f>SUM(G92:G95)</f>
      </c>
      <c r="H96" s="803">
        <f>SUM(H92:H95)</f>
      </c>
      <c r="I96" s="802">
        <f>SUM(I92:I95)</f>
      </c>
      <c r="J96" s="802">
        <f>SUM(J92:J95)</f>
      </c>
      <c r="K96" s="804">
        <f t="shared" si="0"/>
      </c>
      <c r="L96" s="805">
        <f t="shared" si="1"/>
      </c>
      <c r="M96" s="805">
        <f t="shared" si="2"/>
      </c>
      <c r="N96" s="806"/>
      <c r="O96" s="803">
        <v>15</v>
      </c>
      <c r="P96" s="802"/>
      <c r="Q96" s="809"/>
    </row>
    <row r="97">
      <c r="A97" s="790">
        <v>45828</v>
      </c>
      <c r="B97" s="791" t="s">
        <v>868</v>
      </c>
      <c r="C97" s="792" t="s">
        <v>869</v>
      </c>
      <c r="D97" s="793">
        <v>5</v>
      </c>
      <c r="E97" s="793">
        <v>27</v>
      </c>
      <c r="F97" s="793">
        <v>20</v>
      </c>
      <c r="G97" s="793">
        <v>15</v>
      </c>
      <c r="H97" s="793">
        <v>4</v>
      </c>
      <c r="I97" s="794">
        <v>24722</v>
      </c>
      <c r="J97" s="794">
        <v>13358.89</v>
      </c>
      <c r="K97" s="795">
        <f t="shared" si="0"/>
      </c>
      <c r="L97" s="796">
        <f t="shared" si="1"/>
      </c>
      <c r="M97" s="796">
        <f t="shared" si="2"/>
      </c>
      <c r="N97" s="797" t="s">
        <v>877</v>
      </c>
      <c r="O97" s="791">
        <v>8</v>
      </c>
      <c r="Q97" s="809"/>
    </row>
    <row r="98">
      <c r="A98" s="790">
        <v>45828</v>
      </c>
      <c r="B98" s="791" t="s">
        <v>871</v>
      </c>
      <c r="C98" s="792" t="s">
        <v>872</v>
      </c>
      <c r="D98" s="793">
        <v>4</v>
      </c>
      <c r="E98" s="793">
        <v>42</v>
      </c>
      <c r="F98" s="793">
        <v>31</v>
      </c>
      <c r="G98" s="793">
        <v>19</v>
      </c>
      <c r="H98" s="793">
        <v>4</v>
      </c>
      <c r="I98" s="799">
        <v>31635.6</v>
      </c>
      <c r="J98" s="799">
        <v>14030.27</v>
      </c>
      <c r="K98" s="795">
        <f t="shared" si="0"/>
      </c>
      <c r="L98" s="796">
        <f t="shared" si="1"/>
      </c>
      <c r="M98" s="796">
        <f t="shared" si="2"/>
      </c>
      <c r="N98" s="797"/>
      <c r="O98" s="791"/>
      <c r="Q98" s="809"/>
    </row>
    <row r="99">
      <c r="A99" s="790">
        <v>45828</v>
      </c>
      <c r="B99" s="791" t="s">
        <v>902</v>
      </c>
      <c r="C99" s="792" t="s">
        <v>874</v>
      </c>
      <c r="D99" s="793">
        <v>3</v>
      </c>
      <c r="E99" s="793">
        <v>16</v>
      </c>
      <c r="F99" s="793">
        <v>12</v>
      </c>
      <c r="G99" s="793">
        <v>6</v>
      </c>
      <c r="H99" s="793">
        <v>1</v>
      </c>
      <c r="I99" s="799">
        <v>19142.799999999996</v>
      </c>
      <c r="J99" s="799">
        <v>7158.1</v>
      </c>
      <c r="K99" s="795">
        <f t="shared" si="0"/>
      </c>
      <c r="L99" s="796">
        <f t="shared" si="1"/>
      </c>
      <c r="M99" s="796">
        <f t="shared" si="2"/>
      </c>
      <c r="N99" s="797"/>
      <c r="O99" s="791"/>
      <c r="Q99" s="809"/>
    </row>
    <row r="100">
      <c r="A100" s="790">
        <v>45828</v>
      </c>
      <c r="B100" s="791" t="s">
        <v>875</v>
      </c>
      <c r="C100" s="792" t="s">
        <v>876</v>
      </c>
      <c r="D100" s="793">
        <v>4</v>
      </c>
      <c r="E100" s="793">
        <v>33</v>
      </c>
      <c r="F100" s="793">
        <v>25</v>
      </c>
      <c r="G100" s="793">
        <v>20</v>
      </c>
      <c r="H100" s="793">
        <v>6</v>
      </c>
      <c r="I100" s="793">
        <v>32284</v>
      </c>
      <c r="J100" s="800">
        <v>15383.06</v>
      </c>
      <c r="K100" s="795">
        <f t="shared" si="0"/>
      </c>
      <c r="L100" s="796">
        <f t="shared" si="1"/>
      </c>
      <c r="M100" s="796">
        <f t="shared" si="2"/>
      </c>
      <c r="N100" s="797" t="s">
        <v>901</v>
      </c>
      <c r="O100" s="791">
        <v>8</v>
      </c>
      <c r="Q100" s="809"/>
    </row>
    <row r="101">
      <c r="A101" s="801">
        <v>45828</v>
      </c>
      <c r="B101" s="802"/>
      <c r="C101" s="802"/>
      <c r="D101" s="803">
        <f>SUM(D97:D100)</f>
      </c>
      <c r="E101" s="803">
        <f>SUM(E97:E100)</f>
      </c>
      <c r="F101" s="803">
        <f>SUM(F97:F100)</f>
      </c>
      <c r="G101" s="803">
        <f>SUM(G97:G100)</f>
      </c>
      <c r="H101" s="803">
        <f>SUM(H97:H100)</f>
      </c>
      <c r="I101" s="802">
        <f>SUM(I97:I100)</f>
      </c>
      <c r="J101" s="802">
        <f>SUM(J97:J100)</f>
      </c>
      <c r="K101" s="804">
        <f t="shared" si="0"/>
      </c>
      <c r="L101" s="805">
        <f t="shared" si="1"/>
      </c>
      <c r="M101" s="805">
        <f t="shared" si="2"/>
      </c>
      <c r="N101" s="806"/>
      <c r="O101" s="802">
        <f>SUM(O97:O100)</f>
      </c>
      <c r="P101" s="802"/>
    </row>
    <row r="102">
      <c r="A102" s="790">
        <v>45829</v>
      </c>
      <c r="B102" s="791" t="s">
        <v>868</v>
      </c>
      <c r="C102" s="792" t="s">
        <v>869</v>
      </c>
      <c r="D102" s="793">
        <v>5</v>
      </c>
      <c r="E102" s="793">
        <v>42</v>
      </c>
      <c r="F102" s="793">
        <v>28</v>
      </c>
      <c r="G102" s="793">
        <v>22</v>
      </c>
      <c r="H102" s="793">
        <v>5</v>
      </c>
      <c r="I102" s="794">
        <v>30602.2</v>
      </c>
      <c r="J102" s="794">
        <v>15012.030000000002</v>
      </c>
      <c r="K102" s="795">
        <f t="shared" si="0"/>
      </c>
      <c r="L102" s="796">
        <f t="shared" si="1"/>
      </c>
      <c r="M102" s="796">
        <f t="shared" si="2"/>
      </c>
      <c r="N102" s="797" t="s">
        <v>877</v>
      </c>
      <c r="O102" s="791">
        <v>8</v>
      </c>
    </row>
    <row r="103">
      <c r="A103" s="790">
        <v>45829</v>
      </c>
      <c r="B103" s="791" t="s">
        <v>871</v>
      </c>
      <c r="C103" s="792" t="s">
        <v>872</v>
      </c>
      <c r="D103" s="793">
        <v>4</v>
      </c>
      <c r="E103" s="793">
        <v>58</v>
      </c>
      <c r="F103" s="793">
        <v>44</v>
      </c>
      <c r="G103" s="793">
        <v>32</v>
      </c>
      <c r="H103" s="793">
        <v>5</v>
      </c>
      <c r="I103" s="799">
        <v>40243</v>
      </c>
      <c r="J103" s="799">
        <v>17722.309999999998</v>
      </c>
      <c r="K103" s="795">
        <f t="shared" si="0"/>
      </c>
      <c r="L103" s="796">
        <f t="shared" si="1"/>
      </c>
      <c r="M103" s="796">
        <f t="shared" si="2"/>
      </c>
      <c r="N103" s="797"/>
      <c r="O103" s="791"/>
    </row>
    <row r="104">
      <c r="A104" s="790">
        <v>45829</v>
      </c>
      <c r="B104" s="791" t="s">
        <v>873</v>
      </c>
      <c r="C104" s="792" t="s">
        <v>881</v>
      </c>
      <c r="D104" s="793">
        <v>4</v>
      </c>
      <c r="E104" s="793">
        <v>41</v>
      </c>
      <c r="F104" s="793">
        <v>28</v>
      </c>
      <c r="G104" s="793">
        <v>23</v>
      </c>
      <c r="H104" s="793">
        <v>3</v>
      </c>
      <c r="I104" s="799">
        <v>37434.6</v>
      </c>
      <c r="J104" s="799">
        <v>15594.470000000001</v>
      </c>
      <c r="K104" s="795">
        <f t="shared" si="0"/>
      </c>
      <c r="L104" s="796">
        <f t="shared" si="1"/>
      </c>
      <c r="M104" s="796">
        <f t="shared" si="2"/>
      </c>
      <c r="N104" s="797"/>
      <c r="O104" s="791"/>
    </row>
    <row r="105">
      <c r="A105" s="790">
        <v>45829</v>
      </c>
      <c r="B105" s="791" t="s">
        <v>878</v>
      </c>
      <c r="C105" s="792" t="s">
        <v>903</v>
      </c>
      <c r="D105" s="793">
        <v>3</v>
      </c>
      <c r="E105" s="793">
        <v>34</v>
      </c>
      <c r="F105" s="793">
        <v>26</v>
      </c>
      <c r="G105" s="793">
        <v>18</v>
      </c>
      <c r="H105" s="793">
        <v>4</v>
      </c>
      <c r="I105" s="793">
        <v>26885.600000000002</v>
      </c>
      <c r="J105" s="800">
        <v>9221.42</v>
      </c>
      <c r="K105" s="795">
        <f t="shared" si="0"/>
      </c>
      <c r="L105" s="796">
        <f t="shared" si="1"/>
      </c>
      <c r="M105" s="796">
        <f t="shared" si="2"/>
      </c>
      <c r="N105" s="797" t="s">
        <v>901</v>
      </c>
      <c r="O105" s="791">
        <v>8</v>
      </c>
    </row>
    <row r="106">
      <c r="A106" s="801">
        <v>45829</v>
      </c>
      <c r="B106" s="802"/>
      <c r="C106" s="802"/>
      <c r="D106" s="803">
        <f>SUM(D102:D105)</f>
      </c>
      <c r="E106" s="803">
        <f>SUM(E102:E105)</f>
      </c>
      <c r="F106" s="803">
        <f>SUM(F102:F105)</f>
      </c>
      <c r="G106" s="803">
        <f>SUM(G102:G105)</f>
      </c>
      <c r="H106" s="803">
        <f>SUM(H102:H105)</f>
      </c>
      <c r="I106" s="802">
        <f>SUM(I102:I105)</f>
      </c>
      <c r="J106" s="802">
        <f>SUM(J102:J105)</f>
      </c>
      <c r="K106" s="804">
        <f t="shared" si="0"/>
      </c>
      <c r="L106" s="805">
        <f t="shared" si="1"/>
      </c>
      <c r="M106" s="805">
        <f t="shared" si="2"/>
      </c>
      <c r="N106" s="806"/>
      <c r="O106" s="802">
        <f>SUM(O102:O105)</f>
      </c>
      <c r="P106" s="802"/>
    </row>
    <row r="107">
      <c r="A107" s="790">
        <v>45830</v>
      </c>
      <c r="B107" s="791" t="s">
        <v>868</v>
      </c>
      <c r="C107" s="792" t="s">
        <v>869</v>
      </c>
      <c r="D107" s="793">
        <v>5</v>
      </c>
      <c r="E107" s="793">
        <v>46</v>
      </c>
      <c r="F107" s="793">
        <v>36</v>
      </c>
      <c r="G107" s="793">
        <v>30</v>
      </c>
      <c r="H107" s="793">
        <v>5</v>
      </c>
      <c r="I107" s="799">
        <v>35594</v>
      </c>
      <c r="J107" s="794">
        <v>18707.79</v>
      </c>
      <c r="K107" s="795">
        <f t="shared" si="0"/>
      </c>
      <c r="L107" s="796">
        <f t="shared" si="1"/>
      </c>
      <c r="M107" s="796">
        <f t="shared" si="2"/>
      </c>
      <c r="N107" s="797" t="s">
        <v>877</v>
      </c>
      <c r="O107" s="791">
        <v>8</v>
      </c>
    </row>
    <row r="108">
      <c r="A108" s="790">
        <v>45830</v>
      </c>
      <c r="B108" s="791" t="s">
        <v>871</v>
      </c>
      <c r="C108" s="792" t="s">
        <v>872</v>
      </c>
      <c r="D108" s="793">
        <v>4</v>
      </c>
      <c r="E108" s="793">
        <v>37</v>
      </c>
      <c r="F108" s="793">
        <v>25</v>
      </c>
      <c r="G108" s="793">
        <v>15</v>
      </c>
      <c r="H108" s="793">
        <v>2</v>
      </c>
      <c r="I108" s="799">
        <v>41548.2</v>
      </c>
      <c r="J108" s="799">
        <v>11081.919999999998</v>
      </c>
      <c r="K108" s="795">
        <f t="shared" si="0"/>
      </c>
      <c r="L108" s="796">
        <f t="shared" si="1"/>
      </c>
      <c r="M108" s="796">
        <f t="shared" si="2"/>
      </c>
      <c r="N108" s="797"/>
      <c r="O108" s="791"/>
    </row>
    <row r="109">
      <c r="A109" s="790">
        <v>45830</v>
      </c>
      <c r="B109" s="791" t="s">
        <v>873</v>
      </c>
      <c r="C109" s="792" t="s">
        <v>874</v>
      </c>
      <c r="D109" s="793">
        <v>3</v>
      </c>
      <c r="E109" s="793">
        <v>24</v>
      </c>
      <c r="F109" s="793">
        <v>18</v>
      </c>
      <c r="G109" s="793">
        <v>12</v>
      </c>
      <c r="H109" s="793">
        <v>2</v>
      </c>
      <c r="I109" s="799">
        <v>19295.800000000003</v>
      </c>
      <c r="J109" s="799">
        <v>9981.54</v>
      </c>
      <c r="K109" s="795">
        <f t="shared" si="0"/>
      </c>
      <c r="L109" s="796">
        <f t="shared" si="1"/>
      </c>
      <c r="M109" s="796">
        <f t="shared" si="2"/>
      </c>
      <c r="N109" s="797"/>
      <c r="O109" s="791"/>
    </row>
    <row r="110">
      <c r="A110" s="790">
        <v>45830</v>
      </c>
      <c r="B110" s="791" t="s">
        <v>875</v>
      </c>
      <c r="C110" s="792" t="s">
        <v>876</v>
      </c>
      <c r="D110" s="793">
        <v>4</v>
      </c>
      <c r="E110" s="793">
        <v>21</v>
      </c>
      <c r="F110" s="793">
        <v>13</v>
      </c>
      <c r="G110" s="793">
        <v>5</v>
      </c>
      <c r="H110" s="793">
        <v>0</v>
      </c>
      <c r="I110" s="793">
        <v>14958</v>
      </c>
      <c r="J110" s="800">
        <v>14386.420000000002</v>
      </c>
      <c r="K110" s="795">
        <f t="shared" si="0"/>
      </c>
      <c r="L110" s="796">
        <f t="shared" si="1"/>
      </c>
      <c r="M110" s="796">
        <f t="shared" si="2"/>
      </c>
      <c r="N110" s="797" t="s">
        <v>901</v>
      </c>
      <c r="O110" s="791">
        <v>8</v>
      </c>
    </row>
    <row r="111">
      <c r="A111" s="801">
        <v>45830</v>
      </c>
      <c r="B111" s="802"/>
      <c r="C111" s="802"/>
      <c r="D111" s="803">
        <f>SUM(D107:D110)</f>
      </c>
      <c r="E111" s="803">
        <f>SUM(E107:E110)</f>
      </c>
      <c r="F111" s="803">
        <f>SUM(F107:F110)</f>
      </c>
      <c r="G111" s="803">
        <f>SUM(G107:G110)</f>
      </c>
      <c r="H111" s="803">
        <f>SUM(H107:H110)</f>
      </c>
      <c r="I111" s="802">
        <f>SUM(I107:I110)</f>
      </c>
      <c r="J111" s="802">
        <f>SUM(J107:J110)</f>
      </c>
      <c r="K111" s="804">
        <f t="shared" si="0"/>
      </c>
      <c r="L111" s="805">
        <f t="shared" si="1"/>
      </c>
      <c r="M111" s="805">
        <f t="shared" si="2"/>
      </c>
      <c r="N111" s="806"/>
      <c r="O111" s="802">
        <f>SUM(O107:O110)</f>
      </c>
      <c r="P111" s="802"/>
    </row>
    <row r="112">
      <c r="A112" s="790">
        <v>45831</v>
      </c>
      <c r="B112" s="791" t="s">
        <v>868</v>
      </c>
      <c r="C112" s="792" t="s">
        <v>869</v>
      </c>
      <c r="D112" s="793">
        <v>5</v>
      </c>
      <c r="E112" s="793">
        <v>35</v>
      </c>
      <c r="F112" s="793">
        <v>24</v>
      </c>
      <c r="G112" s="793">
        <v>11</v>
      </c>
      <c r="H112" s="793">
        <v>1</v>
      </c>
      <c r="I112" s="799">
        <v>34046.6</v>
      </c>
      <c r="J112" s="794">
        <v>16456.13</v>
      </c>
      <c r="K112" s="795">
        <f t="shared" si="0"/>
      </c>
      <c r="L112" s="796">
        <f t="shared" si="1"/>
      </c>
      <c r="M112" s="796">
        <f t="shared" si="2"/>
      </c>
      <c r="N112" s="797" t="s">
        <v>877</v>
      </c>
      <c r="O112" s="791">
        <v>8</v>
      </c>
    </row>
    <row r="113">
      <c r="A113" s="790">
        <v>45831</v>
      </c>
      <c r="B113" s="791" t="s">
        <v>871</v>
      </c>
      <c r="C113" s="792" t="s">
        <v>872</v>
      </c>
      <c r="D113" s="793">
        <v>4</v>
      </c>
      <c r="E113" s="793">
        <v>16</v>
      </c>
      <c r="F113" s="793">
        <v>16</v>
      </c>
      <c r="G113" s="793">
        <v>16</v>
      </c>
      <c r="H113" s="793">
        <v>1</v>
      </c>
      <c r="I113" s="799">
        <v>10313.6</v>
      </c>
      <c r="J113" s="799">
        <v>11144.289999999999</v>
      </c>
      <c r="K113" s="795">
        <f t="shared" si="0"/>
      </c>
      <c r="L113" s="796">
        <f t="shared" si="1"/>
      </c>
      <c r="M113" s="796">
        <f t="shared" si="2"/>
      </c>
      <c r="N113" s="797"/>
      <c r="O113" s="791"/>
    </row>
    <row r="114">
      <c r="A114" s="790">
        <v>45831</v>
      </c>
      <c r="B114" s="791" t="s">
        <v>902</v>
      </c>
      <c r="C114" s="792" t="s">
        <v>874</v>
      </c>
      <c r="D114" s="793">
        <v>3</v>
      </c>
      <c r="E114" s="793">
        <v>25</v>
      </c>
      <c r="F114" s="793">
        <v>22</v>
      </c>
      <c r="G114" s="793">
        <v>14</v>
      </c>
      <c r="H114" s="793">
        <v>5</v>
      </c>
      <c r="I114" s="799">
        <v>23378.2</v>
      </c>
      <c r="J114" s="799">
        <v>7499.15</v>
      </c>
      <c r="K114" s="795">
        <f t="shared" si="0"/>
      </c>
      <c r="L114" s="796">
        <f t="shared" si="1"/>
      </c>
      <c r="M114" s="796">
        <f t="shared" si="2"/>
      </c>
      <c r="N114" s="797"/>
      <c r="O114" s="791"/>
    </row>
    <row r="115">
      <c r="A115" s="790">
        <v>45831</v>
      </c>
      <c r="B115" s="791" t="s">
        <v>875</v>
      </c>
      <c r="C115" s="792" t="s">
        <v>876</v>
      </c>
      <c r="D115" s="793">
        <v>4</v>
      </c>
      <c r="E115" s="793">
        <v>34</v>
      </c>
      <c r="F115" s="793">
        <v>32</v>
      </c>
      <c r="G115" s="793">
        <v>19</v>
      </c>
      <c r="H115" s="793">
        <v>6</v>
      </c>
      <c r="I115" s="793">
        <v>39117.2</v>
      </c>
      <c r="J115" s="800">
        <v>12324.07</v>
      </c>
      <c r="K115" s="795">
        <f t="shared" si="0"/>
      </c>
      <c r="L115" s="796">
        <f t="shared" si="1"/>
      </c>
      <c r="M115" s="796">
        <f t="shared" si="2"/>
      </c>
      <c r="N115" s="797" t="s">
        <v>901</v>
      </c>
      <c r="O115" s="791">
        <v>8</v>
      </c>
    </row>
    <row r="116">
      <c r="A116" s="801">
        <v>45831</v>
      </c>
      <c r="B116" s="802"/>
      <c r="C116" s="802"/>
      <c r="D116" s="803">
        <f>SUM(D112:D115)</f>
      </c>
      <c r="E116" s="803">
        <f>SUM(E112:E115)</f>
      </c>
      <c r="F116" s="803">
        <f>SUM(F112:F115)</f>
      </c>
      <c r="G116" s="803">
        <f>SUM(G112:G115)</f>
      </c>
      <c r="H116" s="803">
        <f>SUM(H112:H115)</f>
      </c>
      <c r="I116" s="802">
        <f>SUM(I112:I115)</f>
      </c>
      <c r="J116" s="802">
        <f>SUM(J112:J115)</f>
      </c>
      <c r="K116" s="804">
        <f t="shared" si="0"/>
      </c>
      <c r="L116" s="805">
        <f t="shared" si="1"/>
      </c>
      <c r="M116" s="805">
        <f t="shared" si="2"/>
      </c>
      <c r="N116" s="806"/>
      <c r="O116" s="802">
        <f>SUM(O112:O115)</f>
      </c>
      <c r="P116" s="802"/>
    </row>
    <row r="117">
      <c r="A117" s="790">
        <v>45832</v>
      </c>
      <c r="B117" s="791" t="s">
        <v>868</v>
      </c>
      <c r="C117" s="792" t="s">
        <v>869</v>
      </c>
      <c r="D117" s="793">
        <v>5</v>
      </c>
      <c r="E117" s="793">
        <v>37</v>
      </c>
      <c r="F117" s="793">
        <v>30</v>
      </c>
      <c r="G117" s="793">
        <v>22</v>
      </c>
      <c r="H117" s="793">
        <v>3</v>
      </c>
      <c r="I117" s="799">
        <v>32729.600000000002</v>
      </c>
      <c r="J117" s="794">
        <v>16776</v>
      </c>
      <c r="K117" s="795">
        <f t="shared" si="0"/>
      </c>
      <c r="L117" s="796">
        <f t="shared" si="1"/>
      </c>
      <c r="M117" s="796">
        <f t="shared" si="2"/>
      </c>
      <c r="N117" s="797" t="s">
        <v>877</v>
      </c>
      <c r="O117" s="791">
        <v>8</v>
      </c>
    </row>
    <row r="118">
      <c r="A118" s="790">
        <v>45832</v>
      </c>
      <c r="B118" s="791" t="s">
        <v>871</v>
      </c>
      <c r="C118" s="792" t="s">
        <v>888</v>
      </c>
      <c r="D118" s="793">
        <v>2</v>
      </c>
      <c r="E118" s="793">
        <v>11</v>
      </c>
      <c r="F118" s="793">
        <v>8</v>
      </c>
      <c r="G118" s="793">
        <v>5</v>
      </c>
      <c r="H118" s="793">
        <v>0</v>
      </c>
      <c r="I118" s="799">
        <v>6311</v>
      </c>
      <c r="J118" s="799">
        <v>6809.33</v>
      </c>
      <c r="K118" s="795">
        <f t="shared" si="0"/>
      </c>
      <c r="L118" s="796">
        <f t="shared" si="1"/>
      </c>
      <c r="M118" s="796">
        <f t="shared" si="2"/>
      </c>
      <c r="N118" s="797"/>
      <c r="O118" s="791"/>
    </row>
    <row r="119">
      <c r="A119" s="790">
        <v>45832</v>
      </c>
      <c r="B119" s="791" t="s">
        <v>873</v>
      </c>
      <c r="C119" s="792" t="s">
        <v>874</v>
      </c>
      <c r="D119" s="793">
        <v>5</v>
      </c>
      <c r="E119" s="793">
        <v>26</v>
      </c>
      <c r="F119" s="793">
        <v>20</v>
      </c>
      <c r="G119" s="793">
        <v>19</v>
      </c>
      <c r="H119" s="793">
        <v>2</v>
      </c>
      <c r="I119" s="799">
        <v>16996.2</v>
      </c>
      <c r="J119" s="799">
        <v>12626.480000000001</v>
      </c>
      <c r="K119" s="795">
        <f t="shared" si="0"/>
      </c>
      <c r="L119" s="796">
        <f t="shared" si="1"/>
      </c>
      <c r="M119" s="796">
        <f t="shared" si="2"/>
      </c>
      <c r="N119" s="797"/>
      <c r="O119" s="791"/>
    </row>
    <row r="120">
      <c r="A120" s="790">
        <v>45832</v>
      </c>
      <c r="B120" s="791" t="s">
        <v>875</v>
      </c>
      <c r="C120" s="792" t="s">
        <v>876</v>
      </c>
      <c r="D120" s="793">
        <v>4</v>
      </c>
      <c r="E120" s="793">
        <v>44</v>
      </c>
      <c r="F120" s="793">
        <v>34</v>
      </c>
      <c r="G120" s="793">
        <v>21</v>
      </c>
      <c r="H120" s="793">
        <v>6</v>
      </c>
      <c r="I120" s="793">
        <v>37424.6</v>
      </c>
      <c r="J120" s="800">
        <v>12954.14</v>
      </c>
      <c r="K120" s="795">
        <f t="shared" si="0"/>
      </c>
      <c r="L120" s="796">
        <f t="shared" si="1"/>
      </c>
      <c r="M120" s="796">
        <f t="shared" si="2"/>
      </c>
      <c r="N120" s="797" t="s">
        <v>901</v>
      </c>
      <c r="O120" s="791">
        <v>8</v>
      </c>
    </row>
    <row r="121">
      <c r="A121" s="801">
        <v>45832</v>
      </c>
      <c r="B121" s="802"/>
      <c r="C121" s="802"/>
      <c r="D121" s="803">
        <f>SUM(D117:D120)</f>
      </c>
      <c r="E121" s="803">
        <f>SUM(E117:E120)</f>
      </c>
      <c r="F121" s="803">
        <f>SUM(F117:F120)</f>
      </c>
      <c r="G121" s="803">
        <f>SUM(G117:G120)</f>
      </c>
      <c r="H121" s="803">
        <f>SUM(H117:H120)</f>
      </c>
      <c r="I121" s="802">
        <f>SUM(I117:I120)</f>
      </c>
      <c r="J121" s="802">
        <f>SUM(J117:J120)</f>
      </c>
      <c r="K121" s="804">
        <f t="shared" si="0"/>
      </c>
      <c r="L121" s="805">
        <f t="shared" si="1"/>
      </c>
      <c r="M121" s="805">
        <f t="shared" si="2"/>
      </c>
      <c r="N121" s="806"/>
      <c r="O121" s="802">
        <f>SUM(O117:O120)</f>
      </c>
      <c r="P121" s="802"/>
    </row>
    <row r="122">
      <c r="A122" s="790">
        <v>45833</v>
      </c>
      <c r="B122" s="791" t="s">
        <v>868</v>
      </c>
      <c r="C122" s="792" t="s">
        <v>869</v>
      </c>
      <c r="D122" s="793">
        <v>5</v>
      </c>
      <c r="E122" s="793">
        <v>48</v>
      </c>
      <c r="F122" s="793">
        <v>31</v>
      </c>
      <c r="G122" s="793">
        <v>22</v>
      </c>
      <c r="H122" s="793">
        <v>4</v>
      </c>
      <c r="I122" s="799">
        <v>21646</v>
      </c>
      <c r="J122" s="794">
        <v>15080.59</v>
      </c>
      <c r="K122" s="795">
        <f t="shared" si="0"/>
      </c>
      <c r="L122" s="796">
        <f t="shared" si="1"/>
      </c>
      <c r="M122" s="796">
        <f t="shared" si="2"/>
      </c>
      <c r="N122" s="797" t="s">
        <v>877</v>
      </c>
      <c r="O122" s="791">
        <v>8</v>
      </c>
    </row>
    <row r="123">
      <c r="A123" s="790">
        <v>45833</v>
      </c>
      <c r="B123" s="791" t="s">
        <v>873</v>
      </c>
      <c r="C123" s="792" t="s">
        <v>872</v>
      </c>
      <c r="D123" s="793">
        <v>4</v>
      </c>
      <c r="E123" s="793">
        <v>24</v>
      </c>
      <c r="F123" s="793">
        <v>19</v>
      </c>
      <c r="G123" s="793">
        <v>17</v>
      </c>
      <c r="H123" s="793">
        <v>1</v>
      </c>
      <c r="I123" s="799">
        <v>13921.2</v>
      </c>
      <c r="J123" s="799">
        <v>10928.25</v>
      </c>
      <c r="K123" s="795">
        <f t="shared" si="0"/>
      </c>
      <c r="L123" s="796">
        <f t="shared" si="1"/>
      </c>
      <c r="M123" s="796">
        <f t="shared" si="2"/>
      </c>
      <c r="N123" s="797"/>
      <c r="O123" s="791"/>
    </row>
    <row r="124">
      <c r="A124" s="790">
        <v>45833</v>
      </c>
      <c r="B124" s="791" t="s">
        <v>902</v>
      </c>
      <c r="C124" s="792" t="s">
        <v>881</v>
      </c>
      <c r="D124" s="793">
        <v>4</v>
      </c>
      <c r="E124" s="793">
        <v>32</v>
      </c>
      <c r="F124" s="793">
        <v>20</v>
      </c>
      <c r="G124" s="793">
        <v>13</v>
      </c>
      <c r="H124" s="793">
        <v>1</v>
      </c>
      <c r="I124" s="799">
        <v>26198.199999999997</v>
      </c>
      <c r="J124" s="799">
        <v>10530.11</v>
      </c>
      <c r="K124" s="795">
        <f t="shared" si="0"/>
      </c>
      <c r="L124" s="796">
        <f t="shared" si="1"/>
      </c>
      <c r="M124" s="796">
        <f t="shared" si="2"/>
      </c>
      <c r="N124" s="797" t="s">
        <v>901</v>
      </c>
      <c r="O124" s="791">
        <v>5</v>
      </c>
    </row>
    <row r="125">
      <c r="A125" s="801">
        <v>45833</v>
      </c>
      <c r="B125" s="802"/>
      <c r="C125" s="802"/>
      <c r="D125" s="803">
        <f>SUM(D122:D124)</f>
      </c>
      <c r="E125" s="803">
        <f>SUM(E122:E124)</f>
      </c>
      <c r="F125" s="803">
        <f>SUM(F122:F124)</f>
      </c>
      <c r="G125" s="803">
        <f>SUM(G122:G124)</f>
      </c>
      <c r="H125" s="803">
        <f>SUM(H122:H124)</f>
      </c>
      <c r="I125" s="802">
        <f>SUM(I122:I124)</f>
      </c>
      <c r="J125" s="802">
        <f>SUM(J122:J124)</f>
      </c>
      <c r="K125" s="804">
        <f t="shared" si="0"/>
      </c>
      <c r="L125" s="805">
        <f t="shared" si="1"/>
      </c>
      <c r="M125" s="805">
        <f t="shared" si="2"/>
      </c>
      <c r="N125" s="806"/>
      <c r="O125" s="802">
        <f>SUM(O122:O124)</f>
      </c>
      <c r="P125" s="802"/>
    </row>
    <row r="126">
      <c r="A126" s="790">
        <v>45834</v>
      </c>
      <c r="B126" s="791" t="s">
        <v>868</v>
      </c>
      <c r="C126" s="792" t="s">
        <v>869</v>
      </c>
      <c r="D126" s="793">
        <v>5</v>
      </c>
      <c r="E126" s="793">
        <v>28</v>
      </c>
      <c r="F126" s="793">
        <v>22</v>
      </c>
      <c r="G126" s="793">
        <v>15</v>
      </c>
      <c r="H126" s="793">
        <v>1</v>
      </c>
      <c r="I126" s="799">
        <v>21919</v>
      </c>
      <c r="J126" s="794">
        <v>13265.07</v>
      </c>
      <c r="K126" s="795">
        <f t="shared" si="0"/>
      </c>
      <c r="L126" s="796">
        <f t="shared" si="1"/>
      </c>
      <c r="M126" s="796">
        <f t="shared" si="2"/>
      </c>
      <c r="N126" s="797" t="s">
        <v>882</v>
      </c>
      <c r="O126" s="791">
        <v>8</v>
      </c>
    </row>
    <row r="127">
      <c r="A127" s="790">
        <v>45834</v>
      </c>
      <c r="B127" s="791" t="s">
        <v>871</v>
      </c>
      <c r="C127" s="792" t="s">
        <v>872</v>
      </c>
      <c r="D127" s="793">
        <v>4</v>
      </c>
      <c r="E127" s="793">
        <v>32</v>
      </c>
      <c r="F127" s="793">
        <v>27</v>
      </c>
      <c r="G127" s="793">
        <v>17</v>
      </c>
      <c r="H127" s="793">
        <v>5</v>
      </c>
      <c r="I127" s="799">
        <v>33171</v>
      </c>
      <c r="J127" s="799">
        <v>13656</v>
      </c>
      <c r="K127" s="795">
        <f t="shared" si="0"/>
      </c>
      <c r="L127" s="796">
        <f t="shared" si="1"/>
      </c>
      <c r="M127" s="796">
        <f t="shared" si="2"/>
      </c>
      <c r="N127" s="797"/>
      <c r="O127" s="791"/>
    </row>
    <row r="128">
      <c r="A128" s="790">
        <v>45834</v>
      </c>
      <c r="B128" s="791" t="s">
        <v>902</v>
      </c>
      <c r="C128" s="792" t="s">
        <v>874</v>
      </c>
      <c r="D128" s="793">
        <v>3</v>
      </c>
      <c r="E128" s="793">
        <v>20</v>
      </c>
      <c r="F128" s="793">
        <v>12</v>
      </c>
      <c r="G128" s="793">
        <v>5</v>
      </c>
      <c r="H128" s="793">
        <v>0</v>
      </c>
      <c r="I128" s="799">
        <v>16450.8</v>
      </c>
      <c r="J128" s="799">
        <v>8654.88</v>
      </c>
      <c r="K128" s="795">
        <f t="shared" si="0"/>
      </c>
      <c r="L128" s="796">
        <f t="shared" si="1"/>
      </c>
      <c r="M128" s="796">
        <f t="shared" si="2"/>
      </c>
      <c r="N128" s="797"/>
      <c r="O128" s="791"/>
    </row>
    <row r="129">
      <c r="A129" s="790">
        <v>45834</v>
      </c>
      <c r="B129" s="791" t="s">
        <v>875</v>
      </c>
      <c r="C129" s="792" t="s">
        <v>876</v>
      </c>
      <c r="D129" s="793">
        <v>4</v>
      </c>
      <c r="E129" s="793">
        <v>41</v>
      </c>
      <c r="F129" s="793">
        <v>28</v>
      </c>
      <c r="G129" s="793">
        <v>21</v>
      </c>
      <c r="H129" s="793">
        <v>5</v>
      </c>
      <c r="I129" s="793">
        <v>24668.7</v>
      </c>
      <c r="J129" s="800">
        <v>13391.759999999998</v>
      </c>
      <c r="K129" s="795">
        <f t="shared" si="0"/>
      </c>
      <c r="L129" s="796">
        <f t="shared" si="1"/>
      </c>
      <c r="M129" s="796">
        <f t="shared" si="2"/>
      </c>
      <c r="N129" s="797" t="s">
        <v>901</v>
      </c>
      <c r="O129" s="791">
        <v>8</v>
      </c>
    </row>
    <row r="130">
      <c r="A130" s="801">
        <v>45834</v>
      </c>
      <c r="B130" s="802"/>
      <c r="C130" s="802"/>
      <c r="D130" s="803">
        <f>SUM(D126:D129)</f>
      </c>
      <c r="E130" s="803">
        <f>SUM(E126:E129)</f>
      </c>
      <c r="F130" s="803">
        <f>SUM(F126:F129)</f>
      </c>
      <c r="G130" s="803">
        <f>SUM(G126:G129)</f>
      </c>
      <c r="H130" s="803">
        <f>SUM(H126:H129)</f>
      </c>
      <c r="I130" s="802">
        <f>SUM(I126:I129)</f>
      </c>
      <c r="J130" s="802">
        <f>SUM(J126:J129)</f>
      </c>
      <c r="K130" s="804">
        <f t="shared" si="0"/>
      </c>
      <c r="L130" s="805">
        <f t="shared" si="1"/>
      </c>
      <c r="M130" s="805">
        <f t="shared" si="2"/>
      </c>
      <c r="N130" s="806"/>
      <c r="O130" s="802">
        <f>SUM(O126:O129)</f>
      </c>
      <c r="P130" s="802"/>
    </row>
    <row r="131">
      <c r="A131" s="790">
        <v>45835</v>
      </c>
      <c r="B131" s="791" t="s">
        <v>868</v>
      </c>
      <c r="C131" s="792" t="s">
        <v>869</v>
      </c>
      <c r="D131" s="793">
        <v>5</v>
      </c>
      <c r="E131" s="793">
        <v>29</v>
      </c>
      <c r="F131" s="793">
        <v>21</v>
      </c>
      <c r="G131" s="793">
        <v>16</v>
      </c>
      <c r="H131" s="793">
        <v>0</v>
      </c>
      <c r="I131" s="799">
        <v>23485</v>
      </c>
      <c r="J131" s="794">
        <v>14389.68</v>
      </c>
      <c r="K131" s="795">
        <f t="shared" si="0"/>
      </c>
      <c r="L131" s="796">
        <f t="shared" si="1"/>
      </c>
      <c r="M131" s="796">
        <f t="shared" si="2"/>
      </c>
      <c r="N131" s="797" t="s">
        <v>877</v>
      </c>
      <c r="O131" s="791">
        <v>8</v>
      </c>
    </row>
    <row r="132">
      <c r="A132" s="790">
        <v>45835</v>
      </c>
      <c r="B132" s="791" t="s">
        <v>873</v>
      </c>
      <c r="C132" s="792" t="s">
        <v>872</v>
      </c>
      <c r="D132" s="793">
        <v>3</v>
      </c>
      <c r="E132" s="793">
        <v>45</v>
      </c>
      <c r="F132" s="793">
        <v>34</v>
      </c>
      <c r="G132" s="793">
        <v>27</v>
      </c>
      <c r="H132" s="793">
        <v>7</v>
      </c>
      <c r="I132" s="799">
        <v>44557.799999999996</v>
      </c>
      <c r="J132" s="799">
        <v>9983.65</v>
      </c>
      <c r="K132" s="795">
        <f t="shared" si="0"/>
      </c>
      <c r="L132" s="796">
        <f t="shared" si="1"/>
      </c>
      <c r="M132" s="796">
        <f t="shared" si="2"/>
      </c>
      <c r="N132" s="797"/>
      <c r="O132" s="791"/>
    </row>
    <row r="133">
      <c r="A133" s="790">
        <v>45835</v>
      </c>
      <c r="B133" s="791" t="s">
        <v>871</v>
      </c>
      <c r="C133" s="792" t="s">
        <v>874</v>
      </c>
      <c r="D133" s="793">
        <v>4</v>
      </c>
      <c r="E133" s="793">
        <v>61</v>
      </c>
      <c r="F133" s="793">
        <v>47</v>
      </c>
      <c r="G133" s="793">
        <v>34</v>
      </c>
      <c r="H133" s="793">
        <v>6</v>
      </c>
      <c r="I133" s="799">
        <v>51836.40000000001</v>
      </c>
      <c r="J133" s="799">
        <v>14107.899999999998</v>
      </c>
      <c r="K133" s="795">
        <f t="shared" si="0"/>
      </c>
      <c r="L133" s="796">
        <f t="shared" si="1"/>
      </c>
      <c r="M133" s="796">
        <f t="shared" si="2"/>
      </c>
      <c r="N133" s="797"/>
      <c r="O133" s="791"/>
    </row>
    <row r="134">
      <c r="A134" s="790">
        <v>45835</v>
      </c>
      <c r="B134" s="791" t="s">
        <v>875</v>
      </c>
      <c r="C134" s="792" t="s">
        <v>876</v>
      </c>
      <c r="D134" s="793">
        <v>4</v>
      </c>
      <c r="E134" s="793">
        <v>42</v>
      </c>
      <c r="F134" s="793">
        <v>28</v>
      </c>
      <c r="G134" s="793">
        <v>17</v>
      </c>
      <c r="H134" s="793">
        <v>5</v>
      </c>
      <c r="I134" s="793">
        <v>34909.600000000006</v>
      </c>
      <c r="J134" s="800">
        <v>13285.43</v>
      </c>
      <c r="K134" s="795">
        <f t="shared" si="0"/>
      </c>
      <c r="L134" s="796">
        <f t="shared" si="1"/>
      </c>
      <c r="M134" s="796">
        <f t="shared" si="2"/>
      </c>
      <c r="N134" s="797" t="s">
        <v>901</v>
      </c>
      <c r="O134" s="791">
        <v>8</v>
      </c>
    </row>
    <row r="135">
      <c r="A135" s="801">
        <v>45835</v>
      </c>
      <c r="B135" s="802"/>
      <c r="C135" s="802"/>
      <c r="D135" s="803">
        <f>SUM(D131:D134)</f>
      </c>
      <c r="E135" s="803">
        <f>SUM(E131:E134)</f>
      </c>
      <c r="F135" s="803">
        <f>SUM(F131:F134)</f>
      </c>
      <c r="G135" s="803">
        <f>SUM(G131:G134)</f>
      </c>
      <c r="H135" s="803">
        <f>SUM(H131:H134)</f>
      </c>
      <c r="I135" s="802">
        <f>SUM(I131:I134)</f>
      </c>
      <c r="J135" s="802">
        <f>SUM(J131:J134)</f>
      </c>
      <c r="K135" s="804">
        <f t="shared" si="0"/>
      </c>
      <c r="L135" s="805">
        <f t="shared" si="1"/>
      </c>
      <c r="M135" s="805">
        <f t="shared" si="2"/>
      </c>
      <c r="N135" s="806"/>
      <c r="O135" s="802">
        <f>SUM(O131:O134)</f>
      </c>
      <c r="P135" s="802"/>
    </row>
    <row r="136">
      <c r="A136" s="790">
        <v>45836</v>
      </c>
      <c r="B136" s="791" t="s">
        <v>868</v>
      </c>
      <c r="C136" s="792" t="s">
        <v>904</v>
      </c>
      <c r="D136" s="793">
        <v>5</v>
      </c>
      <c r="E136" s="793">
        <v>45</v>
      </c>
      <c r="F136" s="793">
        <v>31</v>
      </c>
      <c r="G136" s="793">
        <v>22</v>
      </c>
      <c r="H136" s="793">
        <v>6</v>
      </c>
      <c r="I136" s="799">
        <v>28836.6</v>
      </c>
      <c r="J136" s="794">
        <v>14358.079999999998</v>
      </c>
      <c r="K136" s="795">
        <f t="shared" si="0"/>
      </c>
      <c r="L136" s="796">
        <f t="shared" si="1"/>
      </c>
      <c r="M136" s="796">
        <f t="shared" si="2"/>
      </c>
      <c r="N136" s="797" t="s">
        <v>877</v>
      </c>
      <c r="O136" s="791">
        <v>9</v>
      </c>
    </row>
    <row r="137">
      <c r="A137" s="790">
        <v>45836</v>
      </c>
      <c r="B137" s="791" t="s">
        <v>873</v>
      </c>
      <c r="C137" s="792" t="s">
        <v>899</v>
      </c>
      <c r="D137" s="793">
        <v>4</v>
      </c>
      <c r="E137" s="793">
        <v>31</v>
      </c>
      <c r="F137" s="793">
        <v>20</v>
      </c>
      <c r="G137" s="793">
        <v>14</v>
      </c>
      <c r="H137" s="793">
        <v>3</v>
      </c>
      <c r="I137" s="799">
        <v>19098.399999999998</v>
      </c>
      <c r="J137" s="799">
        <v>13436.65</v>
      </c>
      <c r="K137" s="795">
        <f t="shared" si="0"/>
      </c>
      <c r="L137" s="796">
        <f t="shared" si="1"/>
      </c>
      <c r="M137" s="796">
        <f t="shared" si="2"/>
      </c>
      <c r="N137" s="797"/>
      <c r="O137" s="791"/>
    </row>
    <row r="138">
      <c r="A138" s="790">
        <v>45836</v>
      </c>
      <c r="B138" s="791" t="s">
        <v>902</v>
      </c>
      <c r="C138" s="792" t="s">
        <v>905</v>
      </c>
      <c r="D138" s="793">
        <v>3</v>
      </c>
      <c r="E138" s="793">
        <v>33</v>
      </c>
      <c r="F138" s="793">
        <v>27</v>
      </c>
      <c r="G138" s="793">
        <v>19</v>
      </c>
      <c r="H138" s="793">
        <v>4</v>
      </c>
      <c r="I138" s="799">
        <v>31141.8</v>
      </c>
      <c r="J138" s="799">
        <v>8717.39</v>
      </c>
      <c r="K138" s="795">
        <f t="shared" si="0"/>
      </c>
      <c r="L138" s="796">
        <f t="shared" si="1"/>
      </c>
      <c r="M138" s="796">
        <f t="shared" si="2"/>
      </c>
      <c r="N138" s="797"/>
      <c r="O138" s="791"/>
    </row>
    <row r="139">
      <c r="A139" s="790">
        <v>45836</v>
      </c>
      <c r="B139" s="791" t="s">
        <v>875</v>
      </c>
      <c r="C139" s="792" t="s">
        <v>890</v>
      </c>
      <c r="D139" s="793">
        <v>5</v>
      </c>
      <c r="E139" s="793">
        <v>47</v>
      </c>
      <c r="F139" s="793">
        <v>35</v>
      </c>
      <c r="G139" s="793">
        <v>21</v>
      </c>
      <c r="H139" s="793">
        <v>4</v>
      </c>
      <c r="I139" s="793">
        <v>32066.600000000002</v>
      </c>
      <c r="J139" s="800">
        <v>16527.53</v>
      </c>
      <c r="K139" s="795">
        <f t="shared" si="0"/>
      </c>
      <c r="L139" s="796">
        <f t="shared" si="1"/>
      </c>
      <c r="M139" s="796">
        <f t="shared" si="2"/>
      </c>
      <c r="N139" s="797" t="s">
        <v>901</v>
      </c>
      <c r="O139" s="791">
        <v>8</v>
      </c>
    </row>
    <row r="140">
      <c r="A140" s="801">
        <v>45836</v>
      </c>
      <c r="B140" s="802"/>
      <c r="C140" s="802"/>
      <c r="D140" s="803">
        <f>SUM(D136:D139)</f>
      </c>
      <c r="E140" s="803">
        <f>SUM(E136:E139)</f>
      </c>
      <c r="F140" s="803">
        <f>SUM(F136:F139)</f>
      </c>
      <c r="G140" s="803">
        <f>SUM(G136:G139)</f>
      </c>
      <c r="H140" s="803">
        <f>SUM(H136:H139)</f>
      </c>
      <c r="I140" s="802">
        <f>SUM(I136:I139)</f>
      </c>
      <c r="J140" s="802">
        <f>SUM(J136:J139)</f>
      </c>
      <c r="K140" s="804">
        <f t="shared" si="0"/>
      </c>
      <c r="L140" s="805">
        <f t="shared" si="1"/>
      </c>
      <c r="M140" s="805">
        <f t="shared" si="2"/>
      </c>
      <c r="N140" s="806"/>
      <c r="O140" s="802">
        <f>SUM(O136:O139)</f>
      </c>
      <c r="P140" s="802"/>
    </row>
    <row r="141">
      <c r="A141" s="790">
        <v>45837</v>
      </c>
      <c r="B141" s="791" t="s">
        <v>868</v>
      </c>
      <c r="C141" s="792" t="s">
        <v>904</v>
      </c>
      <c r="D141" s="810">
        <v>4.5</v>
      </c>
      <c r="E141" s="793">
        <v>36</v>
      </c>
      <c r="F141" s="793">
        <v>29</v>
      </c>
      <c r="G141" s="793">
        <v>20</v>
      </c>
      <c r="H141" s="793">
        <v>3</v>
      </c>
      <c r="I141" s="799">
        <v>47107.600000000006</v>
      </c>
      <c r="J141" s="794">
        <v>13894.65</v>
      </c>
      <c r="K141" s="795">
        <f t="shared" si="0"/>
      </c>
      <c r="L141" s="796">
        <f t="shared" si="1"/>
      </c>
      <c r="M141" s="796">
        <f t="shared" si="2"/>
      </c>
      <c r="N141" s="797" t="s">
        <v>877</v>
      </c>
      <c r="O141" s="791">
        <v>8</v>
      </c>
    </row>
    <row r="142">
      <c r="A142" s="790">
        <v>45837</v>
      </c>
      <c r="B142" s="791" t="s">
        <v>871</v>
      </c>
      <c r="C142" s="792" t="s">
        <v>899</v>
      </c>
      <c r="D142" s="793">
        <v>4</v>
      </c>
      <c r="E142" s="793">
        <v>58</v>
      </c>
      <c r="F142" s="793">
        <v>44</v>
      </c>
      <c r="G142" s="793">
        <v>23</v>
      </c>
      <c r="H142" s="793">
        <v>4</v>
      </c>
      <c r="I142" s="799">
        <v>74801.6</v>
      </c>
      <c r="J142" s="799">
        <v>15933.44</v>
      </c>
      <c r="K142" s="795">
        <f t="shared" si="0"/>
      </c>
      <c r="L142" s="796">
        <f t="shared" si="1"/>
      </c>
      <c r="M142" s="796">
        <f t="shared" si="2"/>
      </c>
      <c r="N142" s="797"/>
      <c r="O142" s="791"/>
    </row>
    <row r="143">
      <c r="A143" s="790">
        <v>45837</v>
      </c>
      <c r="B143" s="791" t="s">
        <v>902</v>
      </c>
      <c r="C143" s="792" t="s">
        <v>905</v>
      </c>
      <c r="D143" s="793">
        <v>3</v>
      </c>
      <c r="E143" s="793">
        <v>35</v>
      </c>
      <c r="F143" s="793">
        <v>19</v>
      </c>
      <c r="G143" s="793">
        <v>13</v>
      </c>
      <c r="H143" s="793">
        <v>3</v>
      </c>
      <c r="I143" s="799">
        <v>34519.8</v>
      </c>
      <c r="J143" s="799">
        <v>11778.039999999999</v>
      </c>
      <c r="K143" s="795">
        <f t="shared" si="0"/>
      </c>
      <c r="L143" s="796">
        <f t="shared" si="1"/>
      </c>
      <c r="M143" s="796">
        <f t="shared" si="2"/>
      </c>
      <c r="N143" s="797"/>
      <c r="O143" s="791"/>
    </row>
    <row r="144">
      <c r="A144" s="790">
        <v>45837</v>
      </c>
      <c r="B144" s="791" t="s">
        <v>875</v>
      </c>
      <c r="C144" s="792" t="s">
        <v>897</v>
      </c>
      <c r="D144" s="793">
        <v>3</v>
      </c>
      <c r="E144" s="793">
        <v>18</v>
      </c>
      <c r="F144" s="793">
        <v>7</v>
      </c>
      <c r="G144" s="793">
        <v>6</v>
      </c>
      <c r="H144" s="793">
        <v>1</v>
      </c>
      <c r="I144" s="793">
        <v>3781.2000000000003</v>
      </c>
      <c r="J144" s="800">
        <v>9650.55</v>
      </c>
      <c r="K144" s="795">
        <f t="shared" si="0"/>
      </c>
      <c r="L144" s="796">
        <f t="shared" si="1"/>
      </c>
      <c r="M144" s="796">
        <f t="shared" si="2"/>
      </c>
      <c r="N144" s="797" t="s">
        <v>901</v>
      </c>
      <c r="O144" s="791">
        <v>7</v>
      </c>
    </row>
    <row r="145">
      <c r="A145" s="801">
        <v>45837</v>
      </c>
      <c r="B145" s="802"/>
      <c r="C145" s="802"/>
      <c r="D145" s="803">
        <f>SUM(D141:D144)</f>
      </c>
      <c r="E145" s="803">
        <f>SUM(E141:E144)</f>
      </c>
      <c r="F145" s="803">
        <f>SUM(F141:F144)</f>
      </c>
      <c r="G145" s="803">
        <f>SUM(G141:G144)</f>
      </c>
      <c r="H145" s="803">
        <f>SUM(H141:H144)</f>
      </c>
      <c r="I145" s="802">
        <f>SUM(I141:I144)</f>
      </c>
      <c r="J145" s="802">
        <f>SUM(J141:J144)</f>
      </c>
      <c r="K145" s="804">
        <f t="shared" si="0"/>
      </c>
      <c r="L145" s="805">
        <f t="shared" si="1"/>
      </c>
      <c r="M145" s="805">
        <f t="shared" si="2"/>
      </c>
      <c r="N145" s="806"/>
      <c r="O145" s="802">
        <f>SUM(O141:O144)</f>
      </c>
      <c r="P145" s="802"/>
    </row>
    <row r="146">
      <c r="A146" s="790">
        <v>45838</v>
      </c>
      <c r="B146" s="791" t="s">
        <v>873</v>
      </c>
      <c r="C146" s="792" t="s">
        <v>906</v>
      </c>
      <c r="D146" s="793">
        <v>4</v>
      </c>
      <c r="E146" s="793">
        <v>24</v>
      </c>
      <c r="F146" s="793">
        <v>16</v>
      </c>
      <c r="G146" s="793">
        <v>8</v>
      </c>
      <c r="H146" s="793">
        <v>3</v>
      </c>
      <c r="I146" s="799">
        <v>20744</v>
      </c>
      <c r="J146" s="799">
        <v>10768.64</v>
      </c>
      <c r="K146" s="795">
        <f t="shared" si="0"/>
      </c>
      <c r="L146" s="796">
        <f t="shared" si="1"/>
      </c>
      <c r="M146" s="796">
        <f t="shared" si="2"/>
      </c>
      <c r="N146" s="797" t="s">
        <v>907</v>
      </c>
      <c r="O146" s="791">
        <v>9</v>
      </c>
    </row>
    <row r="147">
      <c r="A147" s="790">
        <v>45838</v>
      </c>
      <c r="B147" s="791" t="s">
        <v>871</v>
      </c>
      <c r="C147" s="792" t="s">
        <v>908</v>
      </c>
      <c r="D147" s="810">
        <v>3.5</v>
      </c>
      <c r="E147" s="793">
        <v>22</v>
      </c>
      <c r="F147" s="793">
        <v>15</v>
      </c>
      <c r="G147" s="793">
        <v>10</v>
      </c>
      <c r="H147" s="793">
        <v>1</v>
      </c>
      <c r="I147" s="799">
        <v>16497.6</v>
      </c>
      <c r="J147" s="799">
        <v>11886.11</v>
      </c>
      <c r="K147" s="795">
        <f t="shared" si="0"/>
      </c>
      <c r="L147" s="796">
        <f t="shared" si="1"/>
      </c>
      <c r="M147" s="796">
        <f t="shared" si="2"/>
      </c>
      <c r="N147" s="797"/>
      <c r="O147" s="791"/>
    </row>
    <row r="148">
      <c r="A148" s="790">
        <v>45838</v>
      </c>
      <c r="B148" s="791" t="s">
        <v>902</v>
      </c>
      <c r="C148" s="792" t="s">
        <v>889</v>
      </c>
      <c r="D148" s="793">
        <v>4</v>
      </c>
      <c r="E148" s="793">
        <v>25</v>
      </c>
      <c r="F148" s="793">
        <v>22</v>
      </c>
      <c r="G148" s="793">
        <v>12</v>
      </c>
      <c r="H148" s="793">
        <v>2</v>
      </c>
      <c r="I148" s="799">
        <v>24268.600000000002</v>
      </c>
      <c r="J148" s="799">
        <v>12880.13</v>
      </c>
      <c r="K148" s="795">
        <f t="shared" si="0"/>
      </c>
      <c r="L148" s="796">
        <f t="shared" si="1"/>
      </c>
      <c r="M148" s="796">
        <f t="shared" si="2"/>
      </c>
      <c r="N148" s="797"/>
      <c r="O148" s="791"/>
    </row>
    <row r="149">
      <c r="A149" s="790">
        <v>45838</v>
      </c>
      <c r="B149" s="791" t="s">
        <v>875</v>
      </c>
      <c r="C149" s="792" t="s">
        <v>890</v>
      </c>
      <c r="D149" s="810">
        <v>4.5</v>
      </c>
      <c r="E149" s="793">
        <v>48</v>
      </c>
      <c r="F149" s="793">
        <v>33</v>
      </c>
      <c r="G149" s="793">
        <v>26</v>
      </c>
      <c r="H149" s="793">
        <v>6</v>
      </c>
      <c r="I149" s="793">
        <v>41187.2</v>
      </c>
      <c r="J149" s="800">
        <v>17714.460000000003</v>
      </c>
      <c r="K149" s="795">
        <f t="shared" si="0"/>
      </c>
      <c r="L149" s="796">
        <f t="shared" si="1"/>
      </c>
      <c r="M149" s="796">
        <f t="shared" si="2"/>
      </c>
      <c r="N149" s="797" t="s">
        <v>901</v>
      </c>
      <c r="O149" s="791">
        <v>8</v>
      </c>
    </row>
    <row r="150">
      <c r="A150" s="801">
        <v>45838</v>
      </c>
      <c r="B150" s="802"/>
      <c r="C150" s="802"/>
      <c r="D150" s="803">
        <f>SUM(D146:D149)</f>
      </c>
      <c r="E150" s="803">
        <f>SUM(E146:E149)</f>
      </c>
      <c r="F150" s="803">
        <f>SUM(F146:F149)</f>
      </c>
      <c r="G150" s="803">
        <f>SUM(G146:G149)</f>
      </c>
      <c r="H150" s="803">
        <f>SUM(H146:H149)</f>
      </c>
      <c r="I150" s="802">
        <f>SUM(I146:I149)</f>
      </c>
      <c r="J150" s="802">
        <f>SUM(J146:J149)</f>
      </c>
      <c r="K150" s="804">
        <f t="shared" si="0"/>
      </c>
      <c r="L150" s="805">
        <f t="shared" si="1"/>
      </c>
      <c r="M150" s="805">
        <f t="shared" si="2"/>
      </c>
      <c r="N150" s="806"/>
      <c r="O150" s="802">
        <f>SUM(O146:O149)</f>
      </c>
      <c r="P150" s="802"/>
    </row>
    <row r="151"/>
    <row r="152"/>
    <row r="153"/>
    <row r="154"/>
    <row r="155"/>
    <row r="156"/>
    <row r="157"/>
    <row r="158"/>
    <row r="159"/>
    <row r="160">
      <c r="H160" s="811"/>
    </row>
    <row r="161">
      <c r="H161" s="811"/>
    </row>
  </sheetData>
  <autoFilter ref="A1:P155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cols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1" min="1" style="0" width="11.211267605633802"/>
    <col collapsed="false" customWidth="true" hidden="false" max="5" min="5" style="0" width="11.211267605633802"/>
  </cols>
  <sheetData>
    <row r="1">
      <c r="A1" s="812" t="s">
        <v>909</v>
      </c>
      <c r="B1" s="813" t="s">
        <v>910</v>
      </c>
      <c r="C1" s="813" t="s">
        <v>911</v>
      </c>
      <c r="D1" s="813" t="s">
        <v>912</v>
      </c>
      <c r="E1" s="813" t="s">
        <v>913</v>
      </c>
      <c r="F1" s="813" t="s">
        <v>914</v>
      </c>
      <c r="G1" s="814" t="s">
        <v>915</v>
      </c>
      <c r="H1" s="813" t="s">
        <v>916</v>
      </c>
      <c r="I1" s="813" t="s">
        <v>917</v>
      </c>
      <c r="J1" s="813" t="s">
        <v>918</v>
      </c>
      <c r="K1" s="815" t="s">
        <v>919</v>
      </c>
      <c r="L1" s="815" t="s">
        <v>920</v>
      </c>
      <c r="M1" s="815" t="s">
        <v>921</v>
      </c>
      <c r="N1" s="816" t="s">
        <v>922</v>
      </c>
      <c r="O1" s="816" t="s">
        <v>923</v>
      </c>
      <c r="P1" s="816" t="s">
        <v>924</v>
      </c>
      <c r="Q1" s="816" t="s">
        <v>924</v>
      </c>
      <c r="R1" s="816" t="s">
        <v>924</v>
      </c>
    </row>
    <row hidden="true" r="2">
      <c r="A2" s="817">
        <v>45778</v>
      </c>
      <c r="B2" s="818" t="s">
        <v>925</v>
      </c>
      <c r="C2" s="819" t="s">
        <v>926</v>
      </c>
      <c r="D2" s="820">
        <v>5</v>
      </c>
      <c r="E2" s="820">
        <v>37</v>
      </c>
      <c r="F2" s="820">
        <v>28</v>
      </c>
      <c r="G2" s="820"/>
      <c r="H2" s="820">
        <v>4</v>
      </c>
      <c r="I2" s="821">
        <v>36279.399999999994</v>
      </c>
      <c r="J2" s="821">
        <v>16555.27</v>
      </c>
      <c r="K2" s="822">
        <f t="shared" ref="K2:K148" si="0">I2/J2</f>
      </c>
      <c r="L2" s="823">
        <f t="shared" ref="L2:L69" si="3">I2/F2</f>
      </c>
      <c r="M2" s="823">
        <f t="shared" ref="M2:M69" si="1">J2/F2</f>
      </c>
      <c r="N2" s="824" t="s">
        <v>927</v>
      </c>
      <c r="O2" s="824">
        <v>2</v>
      </c>
      <c r="P2" s="825" t="s">
        <v>928</v>
      </c>
    </row>
    <row hidden="true" r="3">
      <c r="A3" s="817">
        <v>45778</v>
      </c>
      <c r="B3" s="818" t="s">
        <v>929</v>
      </c>
      <c r="C3" s="826" t="s">
        <v>930</v>
      </c>
      <c r="D3" s="818">
        <v>5</v>
      </c>
      <c r="E3" s="818">
        <v>45</v>
      </c>
      <c r="F3" s="818">
        <v>32</v>
      </c>
      <c r="G3" s="818"/>
      <c r="H3" s="818">
        <v>4</v>
      </c>
      <c r="I3" s="827">
        <v>26658.2</v>
      </c>
      <c r="J3" s="827">
        <v>20176.47</v>
      </c>
      <c r="K3" s="822">
        <f t="shared" si="0"/>
      </c>
      <c r="L3" s="822">
        <f t="shared" si="3"/>
      </c>
      <c r="M3" s="822">
        <f t="shared" si="1"/>
      </c>
      <c r="N3" s="828"/>
      <c r="O3" s="820"/>
      <c r="P3" s="818"/>
    </row>
    <row hidden="true" r="4">
      <c r="A4" s="817">
        <v>45778</v>
      </c>
      <c r="B4" s="829" t="s">
        <v>931</v>
      </c>
      <c r="C4" s="826" t="s">
        <v>932</v>
      </c>
      <c r="D4" s="818">
        <v>4</v>
      </c>
      <c r="E4" s="818">
        <v>47</v>
      </c>
      <c r="F4" s="818">
        <v>38</v>
      </c>
      <c r="G4" s="818"/>
      <c r="H4" s="818">
        <v>4</v>
      </c>
      <c r="I4" s="818">
        <v>41780.399999999994</v>
      </c>
      <c r="J4" s="827">
        <v>15961.57</v>
      </c>
      <c r="K4" s="822">
        <f t="shared" si="0"/>
      </c>
      <c r="L4" s="822">
        <f t="shared" si="3"/>
      </c>
      <c r="M4" s="822">
        <f t="shared" si="1"/>
      </c>
      <c r="N4" s="829" t="s">
        <v>933</v>
      </c>
      <c r="O4" s="818">
        <v>12</v>
      </c>
      <c r="P4" s="818"/>
    </row>
    <row hidden="true" r="5">
      <c r="A5" s="830">
        <v>45778</v>
      </c>
      <c r="B5" s="831" t="s">
        <v>924</v>
      </c>
      <c r="C5" s="831" t="s">
        <v>924</v>
      </c>
      <c r="D5" s="832">
        <f>SUM(D2:D4)</f>
      </c>
      <c r="E5" s="832">
        <f>SUM(E2:E4)</f>
      </c>
      <c r="F5" s="832">
        <f>SUM(F2:F4)</f>
      </c>
      <c r="G5" s="832"/>
      <c r="H5" s="832">
        <f>SUM(H2:H4)</f>
      </c>
      <c r="I5" s="832">
        <f>SUM(I2:I4)</f>
      </c>
      <c r="J5" s="832">
        <f>SUM(J2:J4)</f>
      </c>
      <c r="K5" s="833">
        <f t="shared" si="0"/>
      </c>
      <c r="L5" s="833">
        <f t="shared" si="3"/>
      </c>
      <c r="M5" s="833">
        <f t="shared" si="1"/>
      </c>
      <c r="N5" s="834" t="s">
        <v>924</v>
      </c>
      <c r="O5" s="832">
        <f>SUM(O2:O4)</f>
      </c>
      <c r="P5" s="832"/>
    </row>
    <row hidden="true" r="6">
      <c r="A6" s="817">
        <v>45779</v>
      </c>
      <c r="B6" s="818" t="s">
        <v>929</v>
      </c>
      <c r="C6" s="826" t="s">
        <v>930</v>
      </c>
      <c r="D6" s="818">
        <v>5</v>
      </c>
      <c r="E6" s="818">
        <v>40</v>
      </c>
      <c r="F6" s="818">
        <v>29</v>
      </c>
      <c r="G6" s="818"/>
      <c r="H6" s="818">
        <v>6</v>
      </c>
      <c r="I6" s="827">
        <v>32120.399999999998</v>
      </c>
      <c r="J6" s="827">
        <v>15855.939999999999</v>
      </c>
      <c r="K6" s="822">
        <f t="shared" si="0"/>
      </c>
      <c r="L6" s="822">
        <f t="shared" si="3"/>
      </c>
      <c r="M6" s="822">
        <f t="shared" si="1"/>
      </c>
      <c r="N6" s="828"/>
      <c r="O6" s="828"/>
      <c r="P6" s="835"/>
      <c r="Q6" s="836"/>
    </row>
    <row hidden="true" r="7">
      <c r="A7" s="817">
        <v>45779</v>
      </c>
      <c r="B7" s="829" t="s">
        <v>931</v>
      </c>
      <c r="C7" s="826" t="s">
        <v>932</v>
      </c>
      <c r="D7" s="818">
        <v>4</v>
      </c>
      <c r="E7" s="818">
        <v>22</v>
      </c>
      <c r="F7" s="818">
        <v>15</v>
      </c>
      <c r="G7" s="818"/>
      <c r="H7" s="818">
        <v>2</v>
      </c>
      <c r="I7" s="818">
        <v>16580.4</v>
      </c>
      <c r="J7" s="827">
        <v>10497.81</v>
      </c>
      <c r="K7" s="822">
        <f t="shared" si="0"/>
      </c>
      <c r="L7" s="822">
        <f t="shared" si="3"/>
      </c>
      <c r="M7" s="822">
        <f t="shared" si="1"/>
      </c>
      <c r="N7" s="829" t="s">
        <v>933</v>
      </c>
      <c r="O7" s="829">
        <v>9</v>
      </c>
      <c r="P7" s="835"/>
      <c r="Q7" s="836"/>
    </row>
    <row hidden="true" r="8">
      <c r="A8" s="830">
        <v>45779</v>
      </c>
      <c r="B8" s="831" t="s">
        <v>924</v>
      </c>
      <c r="C8" s="831" t="s">
        <v>924</v>
      </c>
      <c r="D8" s="832">
        <f>SUM(D6:D7)</f>
      </c>
      <c r="E8" s="832">
        <f>SUM(E6:E7)</f>
      </c>
      <c r="F8" s="832">
        <f>SUM(F6:F7)</f>
      </c>
      <c r="G8" s="832"/>
      <c r="H8" s="832">
        <f>SUM(H6:H7)</f>
      </c>
      <c r="I8" s="832">
        <f>SUM(I6:I7)</f>
      </c>
      <c r="J8" s="832">
        <f>SUM(J6:J7)</f>
      </c>
      <c r="K8" s="833">
        <f t="shared" si="0"/>
      </c>
      <c r="L8" s="833">
        <f t="shared" si="3"/>
      </c>
      <c r="M8" s="833">
        <f t="shared" si="1"/>
      </c>
      <c r="N8" s="834" t="s">
        <v>924</v>
      </c>
      <c r="O8" s="837">
        <f>SUM(O6:O7)</f>
      </c>
      <c r="P8" s="837"/>
      <c r="Q8" s="836"/>
    </row>
    <row hidden="true" r="9">
      <c r="A9" s="817">
        <v>45780</v>
      </c>
      <c r="B9" s="818" t="s">
        <v>929</v>
      </c>
      <c r="C9" s="819" t="s">
        <v>934</v>
      </c>
      <c r="D9" s="820">
        <v>4</v>
      </c>
      <c r="E9" s="820">
        <v>39</v>
      </c>
      <c r="F9" s="820">
        <v>35</v>
      </c>
      <c r="G9" s="820"/>
      <c r="H9" s="820">
        <v>6</v>
      </c>
      <c r="I9" s="821">
        <v>43342.99999999999</v>
      </c>
      <c r="J9" s="821">
        <v>14229.12</v>
      </c>
      <c r="K9" s="822">
        <f t="shared" si="0"/>
      </c>
      <c r="L9" s="823">
        <f t="shared" si="3"/>
      </c>
      <c r="M9" s="823">
        <f t="shared" si="1"/>
      </c>
      <c r="N9" s="824" t="s">
        <v>935</v>
      </c>
      <c r="O9" s="838">
        <v>4</v>
      </c>
      <c r="P9" s="824"/>
      <c r="Q9" s="836"/>
    </row>
    <row hidden="true" r="10">
      <c r="A10" s="817">
        <v>45780</v>
      </c>
      <c r="B10" s="818" t="s">
        <v>925</v>
      </c>
      <c r="C10" s="826" t="s">
        <v>936</v>
      </c>
      <c r="D10" s="818">
        <v>4</v>
      </c>
      <c r="E10" s="818">
        <v>59</v>
      </c>
      <c r="F10" s="818">
        <v>41</v>
      </c>
      <c r="G10" s="818"/>
      <c r="H10" s="818">
        <v>5</v>
      </c>
      <c r="I10" s="827">
        <v>48636.59999999999</v>
      </c>
      <c r="J10" s="827">
        <v>17285.43</v>
      </c>
      <c r="K10" s="822">
        <f t="shared" si="0"/>
      </c>
      <c r="L10" s="822">
        <f t="shared" si="3"/>
      </c>
      <c r="M10" s="822">
        <f t="shared" si="1"/>
      </c>
      <c r="N10" s="828"/>
      <c r="O10" s="820"/>
      <c r="P10" s="820"/>
    </row>
    <row hidden="true" r="11">
      <c r="A11" s="817">
        <v>45780</v>
      </c>
      <c r="B11" s="829" t="s">
        <v>937</v>
      </c>
      <c r="C11" s="826" t="s">
        <v>932</v>
      </c>
      <c r="D11" s="818">
        <v>4</v>
      </c>
      <c r="E11" s="818">
        <v>29</v>
      </c>
      <c r="F11" s="818">
        <v>17</v>
      </c>
      <c r="G11" s="818"/>
      <c r="H11" s="818">
        <v>1</v>
      </c>
      <c r="I11" s="818">
        <v>19008.2</v>
      </c>
      <c r="J11" s="827">
        <v>13381.23</v>
      </c>
      <c r="K11" s="822">
        <f t="shared" si="0"/>
      </c>
      <c r="L11" s="822">
        <f t="shared" si="3"/>
      </c>
      <c r="M11" s="822">
        <f t="shared" si="1"/>
      </c>
      <c r="N11" s="829" t="s">
        <v>933</v>
      </c>
      <c r="O11" s="818">
        <v>8</v>
      </c>
      <c r="P11" s="818"/>
    </row>
    <row hidden="true" r="12">
      <c r="A12" s="830">
        <v>45780</v>
      </c>
      <c r="B12" s="831" t="s">
        <v>924</v>
      </c>
      <c r="C12" s="831" t="s">
        <v>924</v>
      </c>
      <c r="D12" s="832">
        <f>SUM(D9:D11)</f>
      </c>
      <c r="E12" s="832">
        <f>SUM(E9:E11)</f>
      </c>
      <c r="F12" s="832">
        <f>SUM(F9:F11)</f>
      </c>
      <c r="G12" s="832"/>
      <c r="H12" s="832">
        <f>SUM(H9:H11)</f>
      </c>
      <c r="I12" s="832">
        <f>SUM(I9:I11)</f>
      </c>
      <c r="J12" s="832">
        <f>SUM(J9:J11)</f>
      </c>
      <c r="K12" s="833">
        <f t="shared" si="0"/>
      </c>
      <c r="L12" s="833">
        <f t="shared" si="3"/>
      </c>
      <c r="M12" s="833">
        <f t="shared" si="1"/>
      </c>
      <c r="N12" s="834" t="s">
        <v>924</v>
      </c>
      <c r="O12" s="832">
        <f>SUM(O9:O11)</f>
      </c>
      <c r="P12" s="832"/>
    </row>
    <row hidden="true" r="13">
      <c r="A13" s="839">
        <v>45781</v>
      </c>
      <c r="B13" s="840" t="s">
        <v>925</v>
      </c>
      <c r="C13" s="841" t="s">
        <v>934</v>
      </c>
      <c r="D13" s="842">
        <v>4</v>
      </c>
      <c r="E13" s="843">
        <v>45</v>
      </c>
      <c r="F13" s="843">
        <v>37</v>
      </c>
      <c r="G13" s="843"/>
      <c r="H13" s="843">
        <v>9</v>
      </c>
      <c r="I13" s="844">
        <v>37731.8</v>
      </c>
      <c r="J13" s="844">
        <v>14939.25</v>
      </c>
      <c r="K13" s="823">
        <f t="shared" si="0"/>
      </c>
      <c r="L13" s="823">
        <f t="shared" si="3"/>
      </c>
      <c r="M13" s="823">
        <f t="shared" si="1"/>
      </c>
      <c r="N13" s="845"/>
      <c r="O13" s="846"/>
      <c r="P13" s="847"/>
    </row>
    <row hidden="true" r="14">
      <c r="A14" s="839">
        <v>45781</v>
      </c>
      <c r="B14" s="840" t="s">
        <v>937</v>
      </c>
      <c r="C14" s="848" t="s">
        <v>936</v>
      </c>
      <c r="D14" s="849">
        <v>4</v>
      </c>
      <c r="E14" s="840">
        <v>32</v>
      </c>
      <c r="F14" s="840">
        <v>28</v>
      </c>
      <c r="G14" s="840"/>
      <c r="H14" s="840">
        <v>5</v>
      </c>
      <c r="I14" s="850">
        <v>29059.6</v>
      </c>
      <c r="J14" s="850">
        <v>15710.900000000001</v>
      </c>
      <c r="K14" s="823">
        <f t="shared" si="0"/>
      </c>
      <c r="L14" s="823">
        <f t="shared" si="3"/>
      </c>
      <c r="M14" s="823">
        <f t="shared" si="1"/>
      </c>
      <c r="N14" s="845"/>
      <c r="O14" s="842"/>
      <c r="P14" s="842"/>
    </row>
    <row hidden="true" r="15">
      <c r="A15" s="839">
        <v>45781</v>
      </c>
      <c r="B15" s="851" t="s">
        <v>931</v>
      </c>
      <c r="C15" s="848" t="s">
        <v>932</v>
      </c>
      <c r="D15" s="849">
        <v>4</v>
      </c>
      <c r="E15" s="840">
        <v>40</v>
      </c>
      <c r="F15" s="840">
        <v>23</v>
      </c>
      <c r="G15" s="840"/>
      <c r="H15" s="840">
        <v>4</v>
      </c>
      <c r="I15" s="849">
        <v>27733.6</v>
      </c>
      <c r="J15" s="850">
        <v>13453.560000000001</v>
      </c>
      <c r="K15" s="823">
        <f t="shared" si="0"/>
      </c>
      <c r="L15" s="823">
        <f t="shared" si="3"/>
      </c>
      <c r="M15" s="823">
        <f t="shared" si="1"/>
      </c>
      <c r="N15" s="845" t="s">
        <v>933</v>
      </c>
      <c r="O15" s="840">
        <v>12</v>
      </c>
      <c r="P15" s="849"/>
    </row>
    <row hidden="true" r="16">
      <c r="A16" s="852">
        <v>45781</v>
      </c>
      <c r="B16" s="853"/>
      <c r="C16" s="853"/>
      <c r="D16" s="853">
        <f>SUM(D13:D15)</f>
      </c>
      <c r="E16" s="853">
        <f>SUM(E13:E15)</f>
      </c>
      <c r="F16" s="853">
        <f>SUM(F13:F15)</f>
      </c>
      <c r="G16" s="853"/>
      <c r="H16" s="853">
        <f>SUM(H13:H15)</f>
      </c>
      <c r="I16" s="853">
        <f>SUM(I13:I15)</f>
      </c>
      <c r="J16" s="853">
        <f>SUM(J13:J15)</f>
      </c>
      <c r="K16" s="854">
        <f t="shared" si="0"/>
      </c>
      <c r="L16" s="833">
        <f t="shared" si="3"/>
      </c>
      <c r="M16" s="833">
        <f t="shared" si="1"/>
      </c>
      <c r="N16" s="855"/>
      <c r="O16" s="853">
        <f>SUM(O13:O15)</f>
      </c>
      <c r="P16" s="853"/>
    </row>
    <row hidden="true" r="17">
      <c r="A17" s="839">
        <v>45782</v>
      </c>
      <c r="B17" s="840" t="s">
        <v>929</v>
      </c>
      <c r="C17" s="841" t="s">
        <v>934</v>
      </c>
      <c r="D17" s="842">
        <v>4</v>
      </c>
      <c r="E17" s="843">
        <v>49</v>
      </c>
      <c r="F17" s="843">
        <v>41</v>
      </c>
      <c r="G17" s="843"/>
      <c r="H17" s="843">
        <v>4</v>
      </c>
      <c r="I17" s="844">
        <v>48925.399999999994</v>
      </c>
      <c r="J17" s="844">
        <v>14401.29</v>
      </c>
      <c r="K17" s="823">
        <f t="shared" si="0"/>
      </c>
      <c r="L17" s="823">
        <f t="shared" si="3"/>
      </c>
      <c r="M17" s="823">
        <f t="shared" si="1"/>
      </c>
      <c r="N17" s="845" t="s">
        <v>933</v>
      </c>
      <c r="O17" s="846">
        <v>6</v>
      </c>
      <c r="P17" s="847"/>
    </row>
    <row hidden="true" r="18">
      <c r="A18" s="839">
        <v>45782</v>
      </c>
      <c r="B18" s="840" t="s">
        <v>937</v>
      </c>
      <c r="C18" s="848" t="s">
        <v>936</v>
      </c>
      <c r="D18" s="849">
        <v>4</v>
      </c>
      <c r="E18" s="840">
        <v>51</v>
      </c>
      <c r="F18" s="849">
        <v>35</v>
      </c>
      <c r="G18" s="849"/>
      <c r="H18" s="840">
        <v>6</v>
      </c>
      <c r="I18" s="850">
        <v>45931.2</v>
      </c>
      <c r="J18" s="850">
        <v>17839.1</v>
      </c>
      <c r="K18" s="823">
        <f t="shared" si="0"/>
      </c>
      <c r="L18" s="823">
        <f t="shared" si="3"/>
      </c>
      <c r="M18" s="823">
        <f t="shared" si="1"/>
      </c>
      <c r="N18" s="845"/>
      <c r="O18" s="842"/>
      <c r="P18" s="842"/>
    </row>
    <row hidden="true" r="19">
      <c r="A19" s="839">
        <v>45782</v>
      </c>
      <c r="B19" s="851" t="s">
        <v>931</v>
      </c>
      <c r="C19" s="848" t="s">
        <v>932</v>
      </c>
      <c r="D19" s="849">
        <v>4</v>
      </c>
      <c r="E19" s="849">
        <v>39</v>
      </c>
      <c r="F19" s="840">
        <v>28</v>
      </c>
      <c r="G19" s="840"/>
      <c r="H19" s="849">
        <v>4</v>
      </c>
      <c r="I19" s="849">
        <v>32029.4</v>
      </c>
      <c r="J19" s="850">
        <v>12220.65</v>
      </c>
      <c r="K19" s="823">
        <f t="shared" si="0"/>
      </c>
      <c r="L19" s="823">
        <f t="shared" si="3"/>
      </c>
      <c r="M19" s="823">
        <f t="shared" si="1"/>
      </c>
      <c r="N19" s="845" t="s">
        <v>938</v>
      </c>
      <c r="O19" s="840">
        <v>6</v>
      </c>
      <c r="P19" s="849"/>
    </row>
    <row hidden="true" r="20">
      <c r="A20" s="852">
        <v>45782</v>
      </c>
      <c r="B20" s="853"/>
      <c r="C20" s="853"/>
      <c r="D20" s="853">
        <f>SUM(D17:D19)</f>
      </c>
      <c r="E20" s="853">
        <f>SUM(E17:E19)</f>
      </c>
      <c r="F20" s="853">
        <f>SUM(F17:F19)</f>
      </c>
      <c r="G20" s="853"/>
      <c r="H20" s="853">
        <f>SUM(H17:H19)</f>
      </c>
      <c r="I20" s="853">
        <f>SUM(I17:I19)</f>
      </c>
      <c r="J20" s="853">
        <f>SUM(J17:J19)</f>
      </c>
      <c r="K20" s="854">
        <f t="shared" si="0"/>
      </c>
      <c r="L20" s="833">
        <f t="shared" si="3"/>
      </c>
      <c r="M20" s="833">
        <f t="shared" si="1"/>
      </c>
      <c r="N20" s="855"/>
      <c r="O20" s="853">
        <f>SUM(O17:O19)</f>
      </c>
      <c r="P20" s="853"/>
    </row>
    <row hidden="true" r="21">
      <c r="A21" s="817">
        <v>45783</v>
      </c>
      <c r="B21" s="856" t="s">
        <v>929</v>
      </c>
      <c r="C21" s="826" t="s">
        <v>939</v>
      </c>
      <c r="D21" s="840">
        <v>5</v>
      </c>
      <c r="E21" s="840">
        <v>61</v>
      </c>
      <c r="F21" s="840">
        <v>45</v>
      </c>
      <c r="G21" s="840"/>
      <c r="H21" s="840">
        <v>7</v>
      </c>
      <c r="I21" s="850">
        <v>46502</v>
      </c>
      <c r="J21" s="850">
        <v>20577.649999999998</v>
      </c>
      <c r="K21" s="822">
        <f t="shared" si="0"/>
      </c>
      <c r="L21" s="823">
        <f t="shared" si="3"/>
      </c>
      <c r="M21" s="823">
        <f t="shared" si="1"/>
      </c>
      <c r="N21" s="829" t="s">
        <v>933</v>
      </c>
      <c r="O21" s="818">
        <v>8</v>
      </c>
      <c r="P21" s="847"/>
    </row>
    <row hidden="true" r="22">
      <c r="A22" s="817">
        <v>45783</v>
      </c>
      <c r="B22" s="818" t="s">
        <v>931</v>
      </c>
      <c r="C22" s="826" t="s">
        <v>940</v>
      </c>
      <c r="D22" s="840">
        <v>4</v>
      </c>
      <c r="E22" s="840">
        <v>43</v>
      </c>
      <c r="F22" s="840">
        <v>28</v>
      </c>
      <c r="G22" s="840"/>
      <c r="H22" s="840">
        <v>3</v>
      </c>
      <c r="I22" s="850">
        <v>31204.600000000002</v>
      </c>
      <c r="J22" s="850">
        <v>17102.280000000002</v>
      </c>
      <c r="K22" s="822">
        <f t="shared" si="0"/>
      </c>
      <c r="L22" s="823">
        <f t="shared" si="3"/>
      </c>
      <c r="M22" s="823">
        <f t="shared" si="1"/>
      </c>
      <c r="N22" s="829" t="s">
        <v>938</v>
      </c>
      <c r="O22" s="818">
        <v>2.8</v>
      </c>
      <c r="P22" s="845" t="s">
        <v>928</v>
      </c>
    </row>
    <row hidden="true" r="23">
      <c r="A23" s="817">
        <v>45783</v>
      </c>
      <c r="B23" s="818" t="s">
        <v>941</v>
      </c>
      <c r="C23" s="826" t="s">
        <v>942</v>
      </c>
      <c r="D23" s="840">
        <v>3</v>
      </c>
      <c r="E23" s="849">
        <v>13</v>
      </c>
      <c r="F23" s="849">
        <v>7</v>
      </c>
      <c r="G23" s="849"/>
      <c r="H23" s="840">
        <v>1</v>
      </c>
      <c r="I23" s="850">
        <v>6700.799999999991</v>
      </c>
      <c r="J23" s="850">
        <v>7816.78</v>
      </c>
      <c r="K23" s="822">
        <f t="shared" si="0"/>
      </c>
      <c r="L23" s="823">
        <f t="shared" si="3"/>
      </c>
      <c r="M23" s="823">
        <f t="shared" si="1"/>
      </c>
      <c r="N23" s="829" t="s">
        <v>943</v>
      </c>
      <c r="O23" s="818">
        <v>0.4</v>
      </c>
      <c r="P23" s="845" t="s">
        <v>928</v>
      </c>
    </row>
    <row hidden="true" r="24">
      <c r="A24" s="817">
        <v>45783</v>
      </c>
      <c r="B24" s="818" t="s">
        <v>937</v>
      </c>
      <c r="C24" s="826" t="s">
        <v>932</v>
      </c>
      <c r="D24" s="840">
        <v>4</v>
      </c>
      <c r="E24" s="849">
        <v>27</v>
      </c>
      <c r="F24" s="849">
        <v>18</v>
      </c>
      <c r="G24" s="849"/>
      <c r="H24" s="849">
        <v>3</v>
      </c>
      <c r="I24" s="849">
        <v>19777.8</v>
      </c>
      <c r="J24" s="850">
        <v>11643.66</v>
      </c>
      <c r="K24" s="822">
        <f t="shared" si="0"/>
      </c>
      <c r="L24" s="823">
        <f t="shared" si="3"/>
      </c>
      <c r="M24" s="823">
        <f t="shared" si="1"/>
      </c>
      <c r="N24" s="849" t="s">
        <v>944</v>
      </c>
      <c r="O24" s="818">
        <v>3</v>
      </c>
      <c r="P24" s="847"/>
    </row>
    <row hidden="true" r="25">
      <c r="A25" s="830" t="s">
        <v>945</v>
      </c>
      <c r="B25" s="853"/>
      <c r="C25" s="853"/>
      <c r="D25" s="857">
        <f>D21+D22+D23+D24</f>
      </c>
      <c r="E25" s="853">
        <f>E21+E22+E23+E24</f>
      </c>
      <c r="F25" s="853">
        <f>SUM(F21:F24)</f>
      </c>
      <c r="G25" s="853"/>
      <c r="H25" s="853">
        <f>SUM(H21:H24)</f>
      </c>
      <c r="I25" s="853">
        <f>SUM(I21:I24)</f>
      </c>
      <c r="J25" s="853">
        <f>SUM(J21:J24)</f>
      </c>
      <c r="K25" s="854">
        <f t="shared" si="0"/>
      </c>
      <c r="L25" s="833">
        <f t="shared" si="3"/>
      </c>
      <c r="M25" s="833">
        <f t="shared" si="1"/>
      </c>
      <c r="N25" s="855"/>
      <c r="O25" s="853">
        <f>SUM(O21:O24)</f>
      </c>
      <c r="P25" s="853"/>
    </row>
    <row hidden="true" r="26">
      <c r="A26" s="817">
        <v>45784</v>
      </c>
      <c r="B26" s="818" t="s">
        <v>925</v>
      </c>
      <c r="C26" s="826" t="s">
        <v>939</v>
      </c>
      <c r="D26" s="840">
        <v>5</v>
      </c>
      <c r="E26" s="840">
        <v>36</v>
      </c>
      <c r="F26" s="840">
        <v>29</v>
      </c>
      <c r="G26" s="840"/>
      <c r="H26" s="840">
        <v>2</v>
      </c>
      <c r="I26" s="850">
        <v>27811.800000000003</v>
      </c>
      <c r="J26" s="850">
        <v>18651.38</v>
      </c>
      <c r="K26" s="822">
        <f t="shared" si="0"/>
      </c>
      <c r="L26" s="823">
        <f t="shared" si="3"/>
      </c>
      <c r="M26" s="823">
        <f t="shared" si="1"/>
      </c>
      <c r="N26" s="829" t="s">
        <v>946</v>
      </c>
      <c r="O26" s="818">
        <v>9</v>
      </c>
      <c r="P26" s="847"/>
    </row>
    <row hidden="true" r="27">
      <c r="A27" s="817">
        <v>45784</v>
      </c>
      <c r="B27" s="856" t="s">
        <v>929</v>
      </c>
      <c r="C27" s="826" t="s">
        <v>947</v>
      </c>
      <c r="D27" s="840">
        <v>5</v>
      </c>
      <c r="E27" s="840">
        <v>65</v>
      </c>
      <c r="F27" s="840">
        <v>47</v>
      </c>
      <c r="G27" s="840"/>
      <c r="H27" s="840">
        <v>8</v>
      </c>
      <c r="I27" s="850">
        <v>55629.2</v>
      </c>
      <c r="J27" s="850">
        <v>23042.480000000003</v>
      </c>
      <c r="K27" s="822">
        <f t="shared" si="0"/>
      </c>
      <c r="L27" s="823">
        <f t="shared" si="3"/>
      </c>
      <c r="M27" s="823">
        <f t="shared" si="1"/>
      </c>
      <c r="N27" s="829"/>
      <c r="O27" s="818"/>
      <c r="P27" s="847"/>
    </row>
    <row hidden="true" r="28">
      <c r="A28" s="817">
        <v>45784</v>
      </c>
      <c r="B28" s="818" t="s">
        <v>941</v>
      </c>
      <c r="C28" s="826" t="s">
        <v>948</v>
      </c>
      <c r="D28" s="840">
        <v>2</v>
      </c>
      <c r="E28" s="840">
        <v>5</v>
      </c>
      <c r="F28" s="840">
        <v>4</v>
      </c>
      <c r="G28" s="840"/>
      <c r="H28" s="840">
        <v>1</v>
      </c>
      <c r="I28" s="850">
        <v>2976</v>
      </c>
      <c r="J28" s="850">
        <v>5657.32</v>
      </c>
      <c r="K28" s="822">
        <f t="shared" si="0"/>
      </c>
      <c r="L28" s="823">
        <f t="shared" si="3"/>
      </c>
      <c r="M28" s="823">
        <f t="shared" si="1"/>
      </c>
      <c r="N28" s="829"/>
      <c r="O28" s="818"/>
      <c r="P28" s="847"/>
    </row>
    <row hidden="true" r="29">
      <c r="A29" s="817">
        <v>45784</v>
      </c>
      <c r="B29" s="818" t="s">
        <v>931</v>
      </c>
      <c r="C29" s="826" t="s">
        <v>932</v>
      </c>
      <c r="D29" s="840">
        <v>4</v>
      </c>
      <c r="E29" s="840">
        <v>38</v>
      </c>
      <c r="F29" s="840">
        <v>19</v>
      </c>
      <c r="G29" s="840"/>
      <c r="H29" s="840">
        <v>5</v>
      </c>
      <c r="I29" s="849">
        <v>17413.199999999997</v>
      </c>
      <c r="J29" s="850">
        <v>13775.499999999998</v>
      </c>
      <c r="K29" s="822">
        <f t="shared" si="0"/>
      </c>
      <c r="L29" s="823">
        <f t="shared" si="3"/>
      </c>
      <c r="M29" s="823">
        <f t="shared" si="1"/>
      </c>
      <c r="N29" s="840" t="s">
        <v>943</v>
      </c>
      <c r="O29" s="818">
        <v>7</v>
      </c>
      <c r="P29" s="847"/>
    </row>
    <row hidden="true" r="30">
      <c r="A30" s="830" t="s">
        <v>949</v>
      </c>
      <c r="B30" s="853"/>
      <c r="C30" s="853"/>
      <c r="D30" s="857">
        <f>SUM(D26:D29)</f>
      </c>
      <c r="E30" s="857">
        <f>SUM(E26:E29)</f>
      </c>
      <c r="F30" s="857">
        <f>SUM(F26:F29)</f>
      </c>
      <c r="G30" s="857"/>
      <c r="H30" s="857">
        <f>SUM(H26:H29)</f>
      </c>
      <c r="I30" s="853">
        <f>SUM(I26:I29)</f>
      </c>
      <c r="J30" s="853">
        <f>SUM(J26:J29)</f>
      </c>
      <c r="K30" s="854">
        <f t="shared" si="0"/>
      </c>
      <c r="L30" s="833">
        <f t="shared" si="3"/>
      </c>
      <c r="M30" s="833">
        <f t="shared" si="1"/>
      </c>
      <c r="N30" s="855"/>
      <c r="O30" s="853">
        <f>SUM(O26:O29)</f>
      </c>
      <c r="P30" s="853"/>
    </row>
    <row hidden="true" r="31">
      <c r="A31" s="817">
        <v>45785</v>
      </c>
      <c r="B31" s="856" t="s">
        <v>929</v>
      </c>
      <c r="C31" s="826" t="s">
        <v>950</v>
      </c>
      <c r="D31" s="840">
        <v>5</v>
      </c>
      <c r="E31" s="840">
        <v>54</v>
      </c>
      <c r="F31" s="840">
        <v>44</v>
      </c>
      <c r="G31" s="840"/>
      <c r="H31" s="840">
        <v>3</v>
      </c>
      <c r="I31" s="850">
        <v>51329.8</v>
      </c>
      <c r="J31" s="850">
        <v>18959.839999999997</v>
      </c>
      <c r="K31" s="822">
        <f t="shared" si="0"/>
      </c>
      <c r="L31" s="823">
        <f t="shared" si="3"/>
      </c>
      <c r="M31" s="823">
        <f t="shared" si="1"/>
      </c>
      <c r="N31" s="829" t="s">
        <v>946</v>
      </c>
      <c r="O31" s="818">
        <v>6.6</v>
      </c>
      <c r="P31" s="845" t="s">
        <v>928</v>
      </c>
    </row>
    <row hidden="true" r="32">
      <c r="A32" s="817">
        <v>45785</v>
      </c>
      <c r="B32" s="818" t="s">
        <v>925</v>
      </c>
      <c r="C32" s="826" t="s">
        <v>951</v>
      </c>
      <c r="D32" s="840">
        <v>5</v>
      </c>
      <c r="E32" s="840">
        <v>47</v>
      </c>
      <c r="F32" s="840">
        <v>39</v>
      </c>
      <c r="G32" s="840"/>
      <c r="H32" s="840">
        <v>6</v>
      </c>
      <c r="I32" s="858">
        <v>44905.8</v>
      </c>
      <c r="J32" s="858">
        <v>22370.52</v>
      </c>
      <c r="K32" s="822">
        <f t="shared" si="0"/>
      </c>
      <c r="L32" s="823">
        <f t="shared" si="3"/>
      </c>
      <c r="M32" s="823">
        <f t="shared" si="1"/>
      </c>
      <c r="N32" s="829"/>
      <c r="O32" s="818"/>
      <c r="P32" s="847"/>
      <c r="R32" s="859"/>
      <c r="S32" s="859"/>
    </row>
    <row hidden="true" r="33">
      <c r="A33" s="817">
        <v>45785</v>
      </c>
      <c r="B33" s="840" t="s">
        <v>937</v>
      </c>
      <c r="C33" s="826" t="s">
        <v>952</v>
      </c>
      <c r="D33" s="840">
        <v>4</v>
      </c>
      <c r="E33" s="840">
        <v>20</v>
      </c>
      <c r="F33" s="840">
        <v>16</v>
      </c>
      <c r="G33" s="840"/>
      <c r="H33" s="840">
        <v>3</v>
      </c>
      <c r="I33" s="858">
        <v>17787.6</v>
      </c>
      <c r="J33" s="858">
        <v>14745.55</v>
      </c>
      <c r="K33" s="822">
        <f t="shared" si="0"/>
      </c>
      <c r="L33" s="823">
        <f t="shared" si="3"/>
      </c>
      <c r="M33" s="823">
        <f t="shared" si="1"/>
      </c>
      <c r="N33" s="829"/>
      <c r="O33" s="818"/>
      <c r="P33" s="847"/>
    </row>
    <row hidden="true" r="34">
      <c r="A34" s="817">
        <v>45785</v>
      </c>
      <c r="B34" s="818" t="s">
        <v>931</v>
      </c>
      <c r="C34" s="826" t="s">
        <v>953</v>
      </c>
      <c r="D34" s="840">
        <v>4</v>
      </c>
      <c r="E34" s="840">
        <v>32</v>
      </c>
      <c r="F34" s="840">
        <v>27</v>
      </c>
      <c r="G34" s="840"/>
      <c r="H34" s="840">
        <v>2</v>
      </c>
      <c r="I34" s="840">
        <v>24209</v>
      </c>
      <c r="J34" s="858">
        <v>13922.32</v>
      </c>
      <c r="K34" s="822">
        <f t="shared" si="0"/>
      </c>
      <c r="L34" s="823">
        <f t="shared" si="3"/>
      </c>
      <c r="M34" s="823">
        <f t="shared" si="1"/>
      </c>
      <c r="N34" s="829" t="s">
        <v>954</v>
      </c>
      <c r="O34" s="818">
        <v>9</v>
      </c>
      <c r="P34" s="847"/>
    </row>
    <row hidden="true" r="35">
      <c r="A35" s="830" t="s">
        <v>955</v>
      </c>
      <c r="B35" s="853"/>
      <c r="C35" s="853"/>
      <c r="D35" s="857">
        <f>SUM(D31:D34)</f>
      </c>
      <c r="E35" s="857">
        <f>SUM(E31:E34)</f>
      </c>
      <c r="F35" s="857">
        <f>SUM(F31:F34)</f>
      </c>
      <c r="G35" s="857"/>
      <c r="H35" s="857">
        <f>SUM(H31:H34)</f>
      </c>
      <c r="I35" s="853">
        <f>SUM(I31:I34)</f>
      </c>
      <c r="J35" s="853">
        <f>SUM(J31:J34)</f>
      </c>
      <c r="K35" s="854">
        <f t="shared" si="0"/>
      </c>
      <c r="L35" s="833">
        <f t="shared" si="3"/>
      </c>
      <c r="M35" s="833">
        <f t="shared" si="1"/>
      </c>
      <c r="N35" s="855"/>
      <c r="O35" s="853">
        <f>SUM(O31:O34)</f>
      </c>
      <c r="P35" s="853"/>
    </row>
    <row hidden="true" r="36">
      <c r="A36" s="817">
        <v>45786</v>
      </c>
      <c r="B36" s="856" t="s">
        <v>929</v>
      </c>
      <c r="C36" s="826" t="s">
        <v>939</v>
      </c>
      <c r="D36" s="840">
        <v>5</v>
      </c>
      <c r="E36" s="840">
        <v>49</v>
      </c>
      <c r="F36" s="840">
        <v>34</v>
      </c>
      <c r="G36" s="840"/>
      <c r="H36" s="840">
        <v>5</v>
      </c>
      <c r="I36" s="850">
        <v>28292.4</v>
      </c>
      <c r="J36" s="850">
        <v>21594.58</v>
      </c>
      <c r="K36" s="822">
        <f t="shared" si="0"/>
      </c>
      <c r="L36" s="823">
        <f t="shared" si="3"/>
      </c>
      <c r="M36" s="823">
        <f t="shared" si="1"/>
      </c>
      <c r="N36" s="829" t="s">
        <v>938</v>
      </c>
      <c r="O36" s="818">
        <v>9</v>
      </c>
      <c r="P36" s="845"/>
    </row>
    <row hidden="true" r="37">
      <c r="A37" s="817">
        <v>45786</v>
      </c>
      <c r="B37" s="818" t="s">
        <v>925</v>
      </c>
      <c r="C37" s="826" t="s">
        <v>940</v>
      </c>
      <c r="D37" s="840">
        <v>4</v>
      </c>
      <c r="E37" s="840">
        <v>62</v>
      </c>
      <c r="F37" s="840">
        <v>51</v>
      </c>
      <c r="G37" s="840"/>
      <c r="H37" s="840">
        <v>10</v>
      </c>
      <c r="I37" s="858">
        <v>67514.8</v>
      </c>
      <c r="J37" s="858">
        <v>19038.3</v>
      </c>
      <c r="K37" s="822">
        <f t="shared" si="0"/>
      </c>
      <c r="L37" s="823">
        <f t="shared" si="3"/>
      </c>
      <c r="M37" s="823">
        <f t="shared" si="1"/>
      </c>
      <c r="N37" s="829"/>
      <c r="O37" s="818"/>
      <c r="P37" s="847"/>
    </row>
    <row hidden="true" r="38">
      <c r="A38" s="817">
        <v>45786</v>
      </c>
      <c r="B38" s="840" t="s">
        <v>937</v>
      </c>
      <c r="C38" s="826" t="s">
        <v>952</v>
      </c>
      <c r="D38" s="840">
        <v>4</v>
      </c>
      <c r="E38" s="840">
        <v>38</v>
      </c>
      <c r="F38" s="840">
        <v>31</v>
      </c>
      <c r="G38" s="840"/>
      <c r="H38" s="840">
        <v>5</v>
      </c>
      <c r="I38" s="858">
        <v>28736.6</v>
      </c>
      <c r="J38" s="858">
        <v>18671.54</v>
      </c>
      <c r="K38" s="822">
        <f t="shared" si="0"/>
      </c>
      <c r="L38" s="823">
        <f t="shared" si="3"/>
      </c>
      <c r="M38" s="823">
        <f t="shared" si="1"/>
      </c>
      <c r="N38" s="829"/>
      <c r="O38" s="818"/>
      <c r="P38" s="847"/>
    </row>
    <row hidden="true" r="39">
      <c r="A39" s="817">
        <v>45786</v>
      </c>
      <c r="B39" s="818" t="s">
        <v>931</v>
      </c>
      <c r="C39" s="826" t="s">
        <v>953</v>
      </c>
      <c r="D39" s="840">
        <v>4</v>
      </c>
      <c r="E39" s="840">
        <v>20</v>
      </c>
      <c r="F39" s="840">
        <v>15</v>
      </c>
      <c r="G39" s="840"/>
      <c r="H39" s="840">
        <v>1</v>
      </c>
      <c r="I39" s="840">
        <v>17308.8</v>
      </c>
      <c r="J39" s="858">
        <v>12466.22</v>
      </c>
      <c r="K39" s="822">
        <f t="shared" si="0"/>
      </c>
      <c r="L39" s="823">
        <f t="shared" si="3"/>
      </c>
      <c r="M39" s="823">
        <f t="shared" si="1"/>
      </c>
      <c r="N39" s="829" t="s">
        <v>933</v>
      </c>
      <c r="O39" s="818">
        <v>8</v>
      </c>
      <c r="P39" s="847"/>
    </row>
    <row hidden="true" r="40">
      <c r="A40" s="830">
        <v>45786</v>
      </c>
      <c r="B40" s="853"/>
      <c r="C40" s="853"/>
      <c r="D40" s="857">
        <f>SUM(D36:D39)</f>
      </c>
      <c r="E40" s="857">
        <f>SUM(E36:E39)</f>
      </c>
      <c r="F40" s="857">
        <f>SUM(F36:F39)</f>
      </c>
      <c r="G40" s="857"/>
      <c r="H40" s="857">
        <f>SUM(H36:H39)</f>
      </c>
      <c r="I40" s="853">
        <f>SUM(I36:I39)</f>
      </c>
      <c r="J40" s="853">
        <f>SUM(J36:J39)</f>
      </c>
      <c r="K40" s="854">
        <f t="shared" si="0"/>
      </c>
      <c r="L40" s="833">
        <f t="shared" si="3"/>
      </c>
      <c r="M40" s="833">
        <f t="shared" si="1"/>
      </c>
      <c r="N40" s="855"/>
      <c r="O40" s="853">
        <f>SUM(O36:O39)</f>
      </c>
      <c r="P40" s="853"/>
    </row>
    <row hidden="true" r="41">
      <c r="A41" s="817">
        <v>45787</v>
      </c>
      <c r="B41" s="856" t="s">
        <v>929</v>
      </c>
      <c r="C41" s="826" t="s">
        <v>950</v>
      </c>
      <c r="D41" s="840">
        <v>5</v>
      </c>
      <c r="E41" s="840">
        <v>54</v>
      </c>
      <c r="F41" s="840">
        <v>39</v>
      </c>
      <c r="G41" s="840"/>
      <c r="H41" s="840">
        <v>6</v>
      </c>
      <c r="I41" s="850">
        <v>41239.2</v>
      </c>
      <c r="J41" s="850">
        <v>19000.9</v>
      </c>
      <c r="K41" s="822">
        <f t="shared" si="0"/>
      </c>
      <c r="L41" s="823">
        <f t="shared" si="3"/>
      </c>
      <c r="M41" s="823">
        <f t="shared" si="1"/>
      </c>
      <c r="N41" s="829" t="s">
        <v>938</v>
      </c>
      <c r="O41" s="818">
        <v>9</v>
      </c>
      <c r="P41" s="845"/>
    </row>
    <row hidden="true" r="42">
      <c r="A42" s="817">
        <v>45787</v>
      </c>
      <c r="B42" s="818" t="s">
        <v>925</v>
      </c>
      <c r="C42" s="826" t="s">
        <v>951</v>
      </c>
      <c r="D42" s="840">
        <v>5</v>
      </c>
      <c r="E42" s="840">
        <v>58</v>
      </c>
      <c r="F42" s="840">
        <v>46</v>
      </c>
      <c r="G42" s="840"/>
      <c r="H42" s="840">
        <v>7</v>
      </c>
      <c r="I42" s="858">
        <v>43253</v>
      </c>
      <c r="J42" s="858">
        <v>24218.07</v>
      </c>
      <c r="K42" s="822">
        <f t="shared" si="0"/>
      </c>
      <c r="L42" s="823">
        <f t="shared" si="3"/>
      </c>
      <c r="M42" s="823">
        <f t="shared" si="1"/>
      </c>
      <c r="N42" s="829"/>
      <c r="O42" s="818"/>
      <c r="P42" s="847"/>
    </row>
    <row hidden="true" r="43">
      <c r="A43" s="817">
        <v>45787</v>
      </c>
      <c r="B43" s="840" t="s">
        <v>931</v>
      </c>
      <c r="C43" s="826" t="s">
        <v>956</v>
      </c>
      <c r="D43" s="840">
        <v>5</v>
      </c>
      <c r="E43" s="840">
        <v>61</v>
      </c>
      <c r="F43" s="840">
        <v>33</v>
      </c>
      <c r="G43" s="840"/>
      <c r="H43" s="840">
        <v>2</v>
      </c>
      <c r="I43" s="858">
        <v>38399.399999999994</v>
      </c>
      <c r="J43" s="858">
        <v>21044.29</v>
      </c>
      <c r="K43" s="822">
        <f t="shared" si="0"/>
      </c>
      <c r="L43" s="823">
        <f t="shared" si="3"/>
      </c>
      <c r="M43" s="823">
        <f t="shared" si="1"/>
      </c>
      <c r="N43" s="829"/>
      <c r="O43" s="818"/>
      <c r="P43" s="847"/>
    </row>
    <row hidden="true" r="44">
      <c r="A44" s="817">
        <v>45787</v>
      </c>
      <c r="B44" s="818" t="s">
        <v>941</v>
      </c>
      <c r="C44" s="826" t="s">
        <v>957</v>
      </c>
      <c r="D44" s="840">
        <v>3</v>
      </c>
      <c r="E44" s="840">
        <v>23</v>
      </c>
      <c r="F44" s="840">
        <v>12</v>
      </c>
      <c r="G44" s="840"/>
      <c r="H44" s="840">
        <v>1</v>
      </c>
      <c r="I44" s="840">
        <v>20026.8</v>
      </c>
      <c r="J44" s="858">
        <v>10721.5</v>
      </c>
      <c r="K44" s="822">
        <f t="shared" si="0"/>
      </c>
      <c r="L44" s="823">
        <f t="shared" si="3"/>
      </c>
      <c r="M44" s="823">
        <f t="shared" si="1"/>
      </c>
      <c r="N44" s="829" t="s">
        <v>933</v>
      </c>
      <c r="O44" s="818">
        <v>9</v>
      </c>
      <c r="P44" s="847"/>
    </row>
    <row hidden="true" r="45">
      <c r="A45" s="830">
        <v>45787</v>
      </c>
      <c r="B45" s="853"/>
      <c r="C45" s="853"/>
      <c r="D45" s="857">
        <f>SUM(D41:D44)</f>
      </c>
      <c r="E45" s="857">
        <f>SUM(E41:E44)</f>
      </c>
      <c r="F45" s="857">
        <f>SUM(F41:F44)</f>
      </c>
      <c r="G45" s="857"/>
      <c r="H45" s="857">
        <f>SUM(H41:H44)</f>
      </c>
      <c r="I45" s="853">
        <f>SUM(I41:I44)</f>
      </c>
      <c r="J45" s="853">
        <f>SUM(J41:J44)</f>
      </c>
      <c r="K45" s="854">
        <f t="shared" si="0"/>
      </c>
      <c r="L45" s="833">
        <f t="shared" si="3"/>
      </c>
      <c r="M45" s="833">
        <f t="shared" si="1"/>
      </c>
      <c r="N45" s="855"/>
      <c r="O45" s="853">
        <f>SUM(O41:O44)</f>
      </c>
      <c r="P45" s="853"/>
    </row>
    <row hidden="true" r="46">
      <c r="A46" s="817">
        <v>45788</v>
      </c>
      <c r="B46" s="856" t="s">
        <v>929</v>
      </c>
      <c r="C46" s="826" t="s">
        <v>950</v>
      </c>
      <c r="D46" s="840">
        <v>5</v>
      </c>
      <c r="E46" s="840">
        <v>48</v>
      </c>
      <c r="F46" s="840">
        <v>35</v>
      </c>
      <c r="G46" s="840"/>
      <c r="H46" s="840">
        <v>3</v>
      </c>
      <c r="I46" s="850">
        <v>45117.2</v>
      </c>
      <c r="J46" s="850">
        <v>25726.19</v>
      </c>
      <c r="K46" s="822">
        <f t="shared" si="0"/>
      </c>
      <c r="L46" s="823">
        <f t="shared" si="3"/>
      </c>
      <c r="M46" s="823">
        <f t="shared" si="1"/>
      </c>
      <c r="N46" s="829" t="s">
        <v>938</v>
      </c>
      <c r="O46" s="818">
        <v>9</v>
      </c>
      <c r="P46" s="845"/>
    </row>
    <row hidden="true" r="47">
      <c r="A47" s="817">
        <v>45788</v>
      </c>
      <c r="B47" s="818" t="s">
        <v>931</v>
      </c>
      <c r="C47" s="826" t="s">
        <v>951</v>
      </c>
      <c r="D47" s="840">
        <v>5</v>
      </c>
      <c r="E47" s="840">
        <v>56</v>
      </c>
      <c r="F47" s="840">
        <v>36</v>
      </c>
      <c r="G47" s="840"/>
      <c r="H47" s="840">
        <v>2</v>
      </c>
      <c r="I47" s="858">
        <v>51656.600000000006</v>
      </c>
      <c r="J47" s="858">
        <v>19149.850000000002</v>
      </c>
      <c r="K47" s="822">
        <f t="shared" si="0"/>
      </c>
      <c r="L47" s="823">
        <f t="shared" si="3"/>
      </c>
      <c r="M47" s="823">
        <f t="shared" si="1"/>
      </c>
      <c r="N47" s="829"/>
      <c r="O47" s="818"/>
      <c r="P47" s="847"/>
    </row>
    <row hidden="true" r="48">
      <c r="A48" s="817">
        <v>45788</v>
      </c>
      <c r="B48" s="840" t="s">
        <v>925</v>
      </c>
      <c r="C48" s="826" t="s">
        <v>956</v>
      </c>
      <c r="D48" s="840">
        <v>5</v>
      </c>
      <c r="E48" s="840">
        <v>85</v>
      </c>
      <c r="F48" s="840">
        <v>58</v>
      </c>
      <c r="G48" s="840"/>
      <c r="H48" s="840">
        <v>8</v>
      </c>
      <c r="I48" s="858">
        <v>61510.600000000006</v>
      </c>
      <c r="J48" s="858">
        <v>27394.02</v>
      </c>
      <c r="K48" s="822">
        <f t="shared" si="0"/>
      </c>
      <c r="L48" s="823">
        <f t="shared" si="3"/>
      </c>
      <c r="M48" s="823">
        <f t="shared" si="1"/>
      </c>
      <c r="N48" s="829"/>
      <c r="O48" s="818"/>
      <c r="P48" s="847"/>
    </row>
    <row hidden="true" r="49">
      <c r="A49" s="817">
        <v>45788</v>
      </c>
      <c r="B49" s="818" t="s">
        <v>937</v>
      </c>
      <c r="C49" s="826" t="s">
        <v>957</v>
      </c>
      <c r="D49" s="840">
        <v>3</v>
      </c>
      <c r="E49" s="840">
        <v>21</v>
      </c>
      <c r="F49" s="840">
        <v>16</v>
      </c>
      <c r="G49" s="840"/>
      <c r="H49" s="840">
        <v>2</v>
      </c>
      <c r="I49" s="840">
        <v>18575.4</v>
      </c>
      <c r="J49" s="858">
        <v>10667.630000000001</v>
      </c>
      <c r="K49" s="822">
        <f t="shared" si="0"/>
      </c>
      <c r="L49" s="823">
        <f t="shared" si="3"/>
      </c>
      <c r="M49" s="823">
        <f t="shared" si="1"/>
      </c>
      <c r="N49" s="829" t="s">
        <v>933</v>
      </c>
      <c r="O49" s="818">
        <v>9</v>
      </c>
      <c r="P49" s="847"/>
    </row>
    <row hidden="true" r="50">
      <c r="A50" s="830">
        <v>45788</v>
      </c>
      <c r="B50" s="853"/>
      <c r="C50" s="853"/>
      <c r="D50" s="857">
        <f>SUM(D46:D49)</f>
      </c>
      <c r="E50" s="857">
        <f>SUM(E46:E49)</f>
      </c>
      <c r="F50" s="857">
        <f>SUM(F46:F49)</f>
      </c>
      <c r="G50" s="857"/>
      <c r="H50" s="857">
        <f>SUM(H46:H49)</f>
      </c>
      <c r="I50" s="853">
        <f>SUM(I46:I49)</f>
      </c>
      <c r="J50" s="853">
        <f>SUM(J46:J49)</f>
      </c>
      <c r="K50" s="854">
        <f t="shared" si="0"/>
      </c>
      <c r="L50" s="833">
        <f t="shared" si="3"/>
      </c>
      <c r="M50" s="833">
        <f t="shared" si="1"/>
      </c>
      <c r="N50" s="855"/>
      <c r="O50" s="853">
        <f>SUM(O46:O49)</f>
      </c>
      <c r="P50" s="853"/>
    </row>
    <row hidden="true" r="51">
      <c r="A51" s="817">
        <v>45789</v>
      </c>
      <c r="B51" s="856" t="s">
        <v>929</v>
      </c>
      <c r="C51" s="826" t="s">
        <v>950</v>
      </c>
      <c r="D51" s="840">
        <v>5</v>
      </c>
      <c r="E51" s="840">
        <v>25</v>
      </c>
      <c r="F51" s="840">
        <v>17</v>
      </c>
      <c r="G51" s="840">
        <v>14</v>
      </c>
      <c r="H51" s="840">
        <v>2</v>
      </c>
      <c r="I51" s="850">
        <v>15922</v>
      </c>
      <c r="J51" s="850">
        <v>17319.15</v>
      </c>
      <c r="K51" s="822">
        <f t="shared" si="0"/>
      </c>
      <c r="L51" s="823">
        <f t="shared" si="3"/>
      </c>
      <c r="M51" s="823">
        <f t="shared" si="1"/>
      </c>
      <c r="N51" s="829" t="s">
        <v>938</v>
      </c>
      <c r="O51" s="818">
        <v>9</v>
      </c>
      <c r="P51" s="845"/>
    </row>
    <row hidden="true" r="52">
      <c r="A52" s="817">
        <v>45789</v>
      </c>
      <c r="B52" s="818" t="s">
        <v>931</v>
      </c>
      <c r="C52" s="826" t="s">
        <v>934</v>
      </c>
      <c r="D52" s="840">
        <v>4</v>
      </c>
      <c r="E52" s="840">
        <v>27</v>
      </c>
      <c r="F52" s="840">
        <v>18</v>
      </c>
      <c r="G52" s="840">
        <v>16</v>
      </c>
      <c r="H52" s="840">
        <v>2</v>
      </c>
      <c r="I52" s="858">
        <v>21361</v>
      </c>
      <c r="J52" s="858">
        <v>14270.74</v>
      </c>
      <c r="K52" s="822">
        <f t="shared" si="0"/>
      </c>
      <c r="L52" s="823">
        <f t="shared" si="3"/>
      </c>
      <c r="M52" s="823">
        <f t="shared" si="1"/>
      </c>
      <c r="N52" s="829"/>
      <c r="O52" s="818"/>
      <c r="P52" s="847"/>
    </row>
    <row hidden="true" r="53">
      <c r="A53" s="817">
        <v>45789</v>
      </c>
      <c r="B53" s="840" t="s">
        <v>937</v>
      </c>
      <c r="C53" s="826" t="s">
        <v>936</v>
      </c>
      <c r="D53" s="840">
        <v>4</v>
      </c>
      <c r="E53" s="840">
        <v>13</v>
      </c>
      <c r="F53" s="840">
        <v>6</v>
      </c>
      <c r="G53" s="840">
        <v>5</v>
      </c>
      <c r="H53" s="840">
        <v>2</v>
      </c>
      <c r="I53" s="858">
        <v>4689.6</v>
      </c>
      <c r="J53" s="858">
        <v>6943.800000000001</v>
      </c>
      <c r="K53" s="822">
        <f t="shared" si="0"/>
      </c>
      <c r="L53" s="823">
        <f t="shared" si="3"/>
      </c>
      <c r="M53" s="823">
        <f t="shared" si="1"/>
      </c>
      <c r="N53" s="829"/>
      <c r="O53" s="818"/>
      <c r="P53" s="847"/>
    </row>
    <row customHeight="true" hidden="true" ht="16.071428571428573" r="54">
      <c r="A54" s="817">
        <v>45789</v>
      </c>
      <c r="B54" s="818" t="s">
        <v>941</v>
      </c>
      <c r="C54" s="826" t="s">
        <v>958</v>
      </c>
      <c r="D54" s="840">
        <v>3</v>
      </c>
      <c r="E54" s="840">
        <v>8</v>
      </c>
      <c r="F54" s="840">
        <v>6</v>
      </c>
      <c r="G54" s="840">
        <v>6</v>
      </c>
      <c r="H54" s="840">
        <v>0</v>
      </c>
      <c r="I54" s="840">
        <v>7723.799999999999</v>
      </c>
      <c r="J54" s="858">
        <v>4226.9</v>
      </c>
      <c r="K54" s="822">
        <f t="shared" si="0"/>
      </c>
      <c r="L54" s="823">
        <f t="shared" si="3"/>
      </c>
      <c r="M54" s="823">
        <f t="shared" si="1"/>
      </c>
      <c r="N54" s="829" t="s">
        <v>933</v>
      </c>
      <c r="O54" s="818">
        <v>7</v>
      </c>
      <c r="P54" s="847"/>
    </row>
    <row hidden="true" r="55">
      <c r="A55" s="830">
        <v>45789</v>
      </c>
      <c r="B55" s="853"/>
      <c r="C55" s="853"/>
      <c r="D55" s="857">
        <f>SUM(D51:D54)</f>
      </c>
      <c r="E55" s="857">
        <f>SUM(E51:E54)</f>
      </c>
      <c r="F55" s="857">
        <f>SUM(F51:F54)</f>
      </c>
      <c r="G55" s="857">
        <f>SUM(G51:G54)</f>
      </c>
      <c r="H55" s="857">
        <f>SUM(H51:H54)</f>
      </c>
      <c r="I55" s="853">
        <f>SUM(I51:I54)</f>
      </c>
      <c r="J55" s="853">
        <f>SUM(J51:J54)</f>
      </c>
      <c r="K55" s="854">
        <f t="shared" si="0"/>
      </c>
      <c r="L55" s="833">
        <f t="shared" si="3"/>
      </c>
      <c r="M55" s="833">
        <f t="shared" si="1"/>
      </c>
      <c r="N55" s="855"/>
      <c r="O55" s="853">
        <f>SUM(O51:O54)</f>
      </c>
      <c r="P55" s="853"/>
    </row>
    <row hidden="true" r="56">
      <c r="A56" s="817">
        <v>45790</v>
      </c>
      <c r="B56" s="856" t="s">
        <v>929</v>
      </c>
      <c r="C56" s="826" t="s">
        <v>959</v>
      </c>
      <c r="D56" s="840">
        <v>3.5</v>
      </c>
      <c r="E56" s="840">
        <v>14</v>
      </c>
      <c r="F56" s="840">
        <v>7</v>
      </c>
      <c r="G56" s="840">
        <v>7</v>
      </c>
      <c r="H56" s="840">
        <v>2</v>
      </c>
      <c r="I56" s="850">
        <v>4392</v>
      </c>
      <c r="J56" s="850">
        <v>9561.04</v>
      </c>
      <c r="K56" s="822">
        <f t="shared" si="0"/>
      </c>
      <c r="L56" s="823">
        <f t="shared" si="3"/>
      </c>
      <c r="M56" s="823">
        <f t="shared" si="1"/>
      </c>
      <c r="N56" s="829" t="s">
        <v>938</v>
      </c>
      <c r="O56" s="818">
        <v>7.5</v>
      </c>
      <c r="P56" s="845"/>
    </row>
    <row hidden="true" r="57">
      <c r="A57" s="817">
        <v>45790</v>
      </c>
      <c r="B57" s="818" t="s">
        <v>931</v>
      </c>
      <c r="C57" s="826" t="s">
        <v>934</v>
      </c>
      <c r="D57" s="840">
        <v>4</v>
      </c>
      <c r="E57" s="840">
        <v>44</v>
      </c>
      <c r="F57" s="840">
        <v>34</v>
      </c>
      <c r="G57" s="840">
        <v>32</v>
      </c>
      <c r="H57" s="840">
        <v>8</v>
      </c>
      <c r="I57" s="858">
        <v>28812</v>
      </c>
      <c r="J57" s="858">
        <v>11620.47</v>
      </c>
      <c r="K57" s="822">
        <f t="shared" si="0"/>
      </c>
      <c r="L57" s="823">
        <f t="shared" si="3"/>
      </c>
      <c r="M57" s="823">
        <f t="shared" si="1"/>
      </c>
      <c r="N57" s="829"/>
      <c r="O57" s="818"/>
      <c r="P57" s="847"/>
    </row>
    <row hidden="true" r="58">
      <c r="A58" s="817">
        <v>45790</v>
      </c>
      <c r="B58" s="840" t="s">
        <v>937</v>
      </c>
      <c r="C58" s="826" t="s">
        <v>936</v>
      </c>
      <c r="D58" s="840">
        <v>4</v>
      </c>
      <c r="E58" s="840">
        <v>26</v>
      </c>
      <c r="F58" s="840">
        <v>22</v>
      </c>
      <c r="G58" s="840">
        <v>20</v>
      </c>
      <c r="H58" s="840">
        <v>1</v>
      </c>
      <c r="I58" s="858">
        <v>18145.4</v>
      </c>
      <c r="J58" s="858">
        <v>8531.48</v>
      </c>
      <c r="K58" s="822">
        <f t="shared" si="0"/>
      </c>
      <c r="L58" s="823">
        <f t="shared" si="3"/>
      </c>
      <c r="M58" s="823">
        <f t="shared" si="1"/>
      </c>
      <c r="N58" s="829"/>
      <c r="O58" s="818"/>
      <c r="P58" s="847"/>
    </row>
    <row hidden="true" r="59">
      <c r="A59" s="817">
        <v>45790</v>
      </c>
      <c r="B59" s="818" t="s">
        <v>941</v>
      </c>
      <c r="C59" s="826" t="s">
        <v>932</v>
      </c>
      <c r="D59" s="840">
        <v>4</v>
      </c>
      <c r="E59" s="840">
        <v>31</v>
      </c>
      <c r="F59" s="840">
        <v>21</v>
      </c>
      <c r="G59" s="840">
        <v>16</v>
      </c>
      <c r="H59" s="840">
        <v>3</v>
      </c>
      <c r="I59" s="840">
        <v>19468.199999999997</v>
      </c>
      <c r="J59" s="858">
        <v>11610.23</v>
      </c>
      <c r="K59" s="822">
        <f t="shared" si="0"/>
      </c>
      <c r="L59" s="823">
        <f t="shared" si="3"/>
      </c>
      <c r="M59" s="823">
        <f t="shared" si="1"/>
      </c>
      <c r="N59" s="829" t="s">
        <v>933</v>
      </c>
      <c r="O59" s="818">
        <v>8</v>
      </c>
      <c r="P59" s="847"/>
    </row>
    <row hidden="true" r="60">
      <c r="A60" s="830">
        <v>45790</v>
      </c>
      <c r="B60" s="853"/>
      <c r="C60" s="853"/>
      <c r="D60" s="857">
        <f>SUM(D56:D59)</f>
      </c>
      <c r="E60" s="857">
        <f>SUM(E56:E59)</f>
      </c>
      <c r="F60" s="857">
        <f>SUM(F56:F59)</f>
      </c>
      <c r="G60" s="857">
        <f>SUM(G56:G59)</f>
      </c>
      <c r="H60" s="857">
        <f>SUM(H56:H59)</f>
      </c>
      <c r="I60" s="853">
        <f>SUM(I56:I59)</f>
      </c>
      <c r="J60" s="853">
        <f>SUM(J56:J59)</f>
      </c>
      <c r="K60" s="854">
        <f t="shared" si="0"/>
      </c>
      <c r="L60" s="833">
        <f t="shared" si="3"/>
      </c>
      <c r="M60" s="833">
        <f t="shared" si="1"/>
      </c>
      <c r="N60" s="855"/>
      <c r="O60" s="853">
        <f>SUM(O56:O59)</f>
      </c>
      <c r="P60" s="853"/>
    </row>
    <row hidden="true" r="61">
      <c r="A61" s="817">
        <v>45791</v>
      </c>
      <c r="B61" s="856" t="s">
        <v>929</v>
      </c>
      <c r="C61" s="826" t="s">
        <v>939</v>
      </c>
      <c r="D61" s="840">
        <v>5</v>
      </c>
      <c r="E61" s="840">
        <v>48</v>
      </c>
      <c r="F61" s="840">
        <v>40</v>
      </c>
      <c r="G61" s="840">
        <v>28</v>
      </c>
      <c r="H61" s="840">
        <v>6</v>
      </c>
      <c r="I61" s="850">
        <v>41682.6</v>
      </c>
      <c r="J61" s="850">
        <v>20033.11</v>
      </c>
      <c r="K61" s="822">
        <f t="shared" si="0"/>
      </c>
      <c r="L61" s="823">
        <f t="shared" si="3"/>
      </c>
      <c r="M61" s="823">
        <f t="shared" si="1"/>
      </c>
      <c r="N61" s="829" t="s">
        <v>946</v>
      </c>
      <c r="O61" s="818">
        <v>9</v>
      </c>
      <c r="P61" s="845"/>
    </row>
    <row hidden="true" r="62">
      <c r="A62" s="817">
        <v>45791</v>
      </c>
      <c r="B62" s="818" t="s">
        <v>931</v>
      </c>
      <c r="C62" s="826" t="s">
        <v>940</v>
      </c>
      <c r="D62" s="840">
        <v>4</v>
      </c>
      <c r="E62" s="840">
        <v>23</v>
      </c>
      <c r="F62" s="840">
        <v>14</v>
      </c>
      <c r="G62" s="840">
        <v>14</v>
      </c>
      <c r="H62" s="840">
        <v>3</v>
      </c>
      <c r="I62" s="858">
        <v>18187.000000000004</v>
      </c>
      <c r="J62" s="858">
        <v>15362.94</v>
      </c>
      <c r="K62" s="822">
        <f t="shared" si="0"/>
      </c>
      <c r="L62" s="823">
        <f t="shared" si="3"/>
      </c>
      <c r="M62" s="823">
        <f t="shared" si="1"/>
      </c>
      <c r="N62" s="829"/>
      <c r="O62" s="818"/>
      <c r="P62" s="847"/>
    </row>
    <row hidden="true" r="63">
      <c r="A63" s="817">
        <v>45791</v>
      </c>
      <c r="B63" s="840" t="s">
        <v>925</v>
      </c>
      <c r="C63" s="826" t="s">
        <v>956</v>
      </c>
      <c r="D63" s="840">
        <v>5</v>
      </c>
      <c r="E63" s="840">
        <v>20</v>
      </c>
      <c r="F63" s="840">
        <v>18</v>
      </c>
      <c r="G63" s="840">
        <v>11</v>
      </c>
      <c r="H63" s="840">
        <v>2</v>
      </c>
      <c r="I63" s="858">
        <v>18815</v>
      </c>
      <c r="J63" s="858">
        <v>13836.3</v>
      </c>
      <c r="K63" s="822">
        <f t="shared" si="0"/>
      </c>
      <c r="L63" s="823">
        <f t="shared" si="3"/>
      </c>
      <c r="M63" s="823">
        <f t="shared" si="1"/>
      </c>
      <c r="N63" s="829"/>
      <c r="O63" s="818"/>
      <c r="P63" s="847"/>
    </row>
    <row hidden="true" r="64">
      <c r="A64" s="817">
        <v>45791</v>
      </c>
      <c r="B64" s="818" t="s">
        <v>941</v>
      </c>
      <c r="C64" s="826" t="s">
        <v>957</v>
      </c>
      <c r="D64" s="840">
        <v>3</v>
      </c>
      <c r="E64" s="840">
        <v>20</v>
      </c>
      <c r="F64" s="840">
        <v>13</v>
      </c>
      <c r="G64" s="840">
        <v>11</v>
      </c>
      <c r="H64" s="840">
        <v>2</v>
      </c>
      <c r="I64" s="840">
        <v>10836</v>
      </c>
      <c r="J64" s="858">
        <v>5821.47</v>
      </c>
      <c r="K64" s="822">
        <f t="shared" si="0"/>
      </c>
      <c r="L64" s="823">
        <f t="shared" si="3"/>
      </c>
      <c r="M64" s="823">
        <f t="shared" si="1"/>
      </c>
      <c r="N64" s="829" t="s">
        <v>954</v>
      </c>
      <c r="O64" s="818">
        <v>8</v>
      </c>
      <c r="P64" s="847"/>
    </row>
    <row hidden="true" r="65">
      <c r="A65" s="830">
        <v>45791</v>
      </c>
      <c r="B65" s="853"/>
      <c r="C65" s="853"/>
      <c r="D65" s="857">
        <f>SUM(D61:D64)</f>
      </c>
      <c r="E65" s="857">
        <f>SUM(E61:E64)</f>
      </c>
      <c r="F65" s="857">
        <f>SUM(F61:F64)</f>
      </c>
      <c r="G65" s="857">
        <f>SUM(G61:G64)</f>
      </c>
      <c r="H65" s="857">
        <f>SUM(H61:H64)</f>
      </c>
      <c r="I65" s="853">
        <f>SUM(I61:I64)</f>
      </c>
      <c r="J65" s="853">
        <f>SUM(J61:J64)</f>
      </c>
      <c r="K65" s="854">
        <f t="shared" si="0"/>
      </c>
      <c r="L65" s="833">
        <f t="shared" si="3"/>
      </c>
      <c r="M65" s="833">
        <f t="shared" si="1"/>
      </c>
      <c r="N65" s="855"/>
      <c r="O65" s="853">
        <f>SUM(O61:O64)</f>
      </c>
      <c r="P65" s="853"/>
    </row>
    <row r="66">
      <c r="A66" s="817">
        <v>45792</v>
      </c>
      <c r="B66" s="856" t="s">
        <v>929</v>
      </c>
      <c r="C66" s="826" t="s">
        <v>939</v>
      </c>
      <c r="D66" s="840">
        <v>5</v>
      </c>
      <c r="E66" s="840">
        <v>43</v>
      </c>
      <c r="F66" s="840">
        <v>32</v>
      </c>
      <c r="G66" s="840">
        <v>24</v>
      </c>
      <c r="H66" s="840">
        <v>5</v>
      </c>
      <c r="I66" s="850">
        <v>36169.399999999994</v>
      </c>
      <c r="J66" s="850">
        <v>20876.94</v>
      </c>
      <c r="K66" s="822">
        <f t="shared" si="0"/>
      </c>
      <c r="L66" s="823">
        <f t="shared" si="3"/>
      </c>
      <c r="M66" s="823">
        <f t="shared" si="1"/>
      </c>
      <c r="N66" s="829" t="s">
        <v>933</v>
      </c>
      <c r="O66" s="818">
        <v>9</v>
      </c>
      <c r="P66" s="845"/>
      <c r="Q66" s="836"/>
      <c r="R66" s="836"/>
      <c r="S66" s="836"/>
      <c r="T66" s="836"/>
      <c r="U66" s="836"/>
      <c r="V66" s="836"/>
      <c r="W66" s="836"/>
      <c r="X66" s="836"/>
      <c r="Y66" s="836"/>
      <c r="Z66" s="836"/>
      <c r="AA66" s="836"/>
      <c r="AB66" s="836"/>
      <c r="AC66" s="836"/>
      <c r="AD66" s="836"/>
      <c r="AE66" s="836"/>
      <c r="AF66" s="836"/>
      <c r="AG66" s="836"/>
      <c r="AH66" s="836"/>
      <c r="AI66" s="836"/>
      <c r="AJ66" s="836"/>
      <c r="AK66" s="836"/>
      <c r="AL66" s="836"/>
      <c r="AM66" s="836"/>
      <c r="AN66" s="836"/>
      <c r="AO66" s="836"/>
      <c r="AP66" s="836"/>
      <c r="AQ66" s="836"/>
      <c r="AR66" s="836"/>
      <c r="AS66" s="836"/>
      <c r="AT66" s="836"/>
      <c r="AU66" s="836"/>
    </row>
    <row r="67">
      <c r="A67" s="817">
        <v>45792</v>
      </c>
      <c r="B67" s="818" t="s">
        <v>925</v>
      </c>
      <c r="C67" s="826" t="s">
        <v>947</v>
      </c>
      <c r="D67" s="840">
        <v>5</v>
      </c>
      <c r="E67" s="840">
        <v>32</v>
      </c>
      <c r="F67" s="840">
        <v>20</v>
      </c>
      <c r="G67" s="840">
        <v>15</v>
      </c>
      <c r="H67" s="840">
        <v>5</v>
      </c>
      <c r="I67" s="858">
        <v>16283.4</v>
      </c>
      <c r="J67" s="858">
        <v>15952.169999999998</v>
      </c>
      <c r="K67" s="822">
        <f t="shared" si="0"/>
      </c>
      <c r="L67" s="823">
        <f t="shared" si="3"/>
      </c>
      <c r="M67" s="823">
        <f t="shared" si="1"/>
      </c>
      <c r="N67" s="829"/>
      <c r="O67" s="818"/>
      <c r="P67" s="847"/>
      <c r="Q67" s="836"/>
      <c r="R67" s="836"/>
      <c r="S67" s="836"/>
      <c r="T67" s="836"/>
      <c r="U67" s="836"/>
      <c r="V67" s="836"/>
      <c r="W67" s="836"/>
      <c r="X67" s="836"/>
      <c r="Y67" s="836"/>
      <c r="Z67" s="836"/>
      <c r="AA67" s="836"/>
      <c r="AB67" s="836"/>
      <c r="AC67" s="836"/>
      <c r="AD67" s="836"/>
      <c r="AE67" s="836"/>
      <c r="AF67" s="836"/>
      <c r="AG67" s="836"/>
      <c r="AH67" s="836"/>
      <c r="AI67" s="836"/>
      <c r="AJ67" s="836"/>
      <c r="AK67" s="836"/>
      <c r="AL67" s="836"/>
      <c r="AM67" s="836"/>
      <c r="AN67" s="836"/>
      <c r="AO67" s="836"/>
      <c r="AP67" s="836"/>
      <c r="AQ67" s="836"/>
      <c r="AR67" s="836"/>
      <c r="AS67" s="836"/>
      <c r="AT67" s="836"/>
      <c r="AU67" s="836"/>
    </row>
    <row r="68">
      <c r="A68" s="817">
        <v>45792</v>
      </c>
      <c r="B68" s="840" t="s">
        <v>937</v>
      </c>
      <c r="C68" s="826" t="s">
        <v>960</v>
      </c>
      <c r="D68" s="840">
        <v>4</v>
      </c>
      <c r="E68" s="840">
        <v>24</v>
      </c>
      <c r="F68" s="840">
        <v>17</v>
      </c>
      <c r="G68" s="840">
        <v>11</v>
      </c>
      <c r="H68" s="840">
        <v>2</v>
      </c>
      <c r="I68" s="858">
        <v>18285.2</v>
      </c>
      <c r="J68" s="858">
        <v>13124.940000000002</v>
      </c>
      <c r="K68" s="822">
        <f t="shared" si="0"/>
      </c>
      <c r="L68" s="823">
        <f t="shared" si="3"/>
      </c>
      <c r="M68" s="823">
        <f t="shared" si="1"/>
      </c>
      <c r="N68" s="829"/>
      <c r="O68" s="818"/>
      <c r="P68" s="847"/>
      <c r="Q68" s="836"/>
      <c r="R68" s="836"/>
      <c r="S68" s="836"/>
      <c r="T68" s="836"/>
      <c r="U68" s="836"/>
      <c r="V68" s="836"/>
      <c r="W68" s="836"/>
      <c r="X68" s="836"/>
      <c r="Y68" s="836"/>
      <c r="Z68" s="836"/>
      <c r="AA68" s="836"/>
      <c r="AB68" s="836"/>
      <c r="AC68" s="836"/>
      <c r="AD68" s="836"/>
      <c r="AE68" s="836"/>
      <c r="AF68" s="836"/>
      <c r="AG68" s="836"/>
      <c r="AH68" s="836"/>
      <c r="AI68" s="836"/>
      <c r="AJ68" s="836"/>
      <c r="AK68" s="836"/>
      <c r="AL68" s="836"/>
      <c r="AM68" s="836"/>
      <c r="AN68" s="836"/>
      <c r="AO68" s="836"/>
      <c r="AP68" s="836"/>
      <c r="AQ68" s="836"/>
      <c r="AR68" s="836"/>
      <c r="AS68" s="836"/>
      <c r="AT68" s="836"/>
      <c r="AU68" s="836"/>
    </row>
    <row r="69">
      <c r="A69" s="817">
        <v>45792</v>
      </c>
      <c r="B69" s="818" t="s">
        <v>931</v>
      </c>
      <c r="C69" s="826" t="s">
        <v>957</v>
      </c>
      <c r="D69" s="840">
        <v>3</v>
      </c>
      <c r="E69" s="840">
        <v>28</v>
      </c>
      <c r="F69" s="840">
        <v>12</v>
      </c>
      <c r="G69" s="840">
        <v>6</v>
      </c>
      <c r="H69" s="840">
        <v>1</v>
      </c>
      <c r="I69" s="840">
        <v>12560.2</v>
      </c>
      <c r="J69" s="858">
        <v>7408.950000000001</v>
      </c>
      <c r="K69" s="822">
        <f t="shared" si="0"/>
      </c>
      <c r="L69" s="823">
        <f t="shared" si="3"/>
      </c>
      <c r="M69" s="823">
        <f t="shared" si="1"/>
      </c>
      <c r="N69" s="829" t="s">
        <v>961</v>
      </c>
      <c r="O69" s="818">
        <v>8</v>
      </c>
      <c r="P69" s="847"/>
      <c r="Q69" s="836"/>
      <c r="R69" s="836"/>
      <c r="S69" s="836"/>
      <c r="T69" s="836"/>
      <c r="U69" s="836"/>
      <c r="V69" s="836"/>
      <c r="W69" s="836"/>
      <c r="X69" s="836"/>
      <c r="Y69" s="836"/>
      <c r="Z69" s="836"/>
      <c r="AA69" s="836"/>
      <c r="AB69" s="836"/>
      <c r="AC69" s="836"/>
      <c r="AD69" s="836"/>
      <c r="AE69" s="836"/>
      <c r="AF69" s="836"/>
      <c r="AG69" s="836"/>
      <c r="AH69" s="836"/>
      <c r="AI69" s="836"/>
      <c r="AJ69" s="836"/>
      <c r="AK69" s="836"/>
      <c r="AL69" s="836"/>
      <c r="AM69" s="836"/>
      <c r="AN69" s="836"/>
      <c r="AO69" s="836"/>
      <c r="AP69" s="836"/>
      <c r="AQ69" s="836"/>
      <c r="AR69" s="836"/>
      <c r="AS69" s="836"/>
      <c r="AT69" s="836"/>
      <c r="AU69" s="836"/>
    </row>
    <row r="70">
      <c r="A70" s="830">
        <v>45792</v>
      </c>
      <c r="B70" s="853"/>
      <c r="C70" s="853"/>
      <c r="D70" s="857">
        <f>SUM(D66:D69)</f>
      </c>
      <c r="E70" s="857">
        <f>SUM(E66:E69)</f>
      </c>
      <c r="F70" s="857">
        <f>SUM(F66:F69)</f>
      </c>
      <c r="G70" s="857">
        <f>SUM(G66:G69)</f>
      </c>
      <c r="H70" s="857">
        <f>SUM(H66:H69)</f>
      </c>
      <c r="I70" s="853">
        <f>SUM(I66:I69)</f>
      </c>
      <c r="J70" s="853">
        <f>SUM(J66:J69)</f>
      </c>
      <c r="K70" s="854">
        <f t="shared" si="0"/>
      </c>
      <c r="L70" s="854">
        <f>I70/A1:0</f>
      </c>
      <c r="M70" s="854">
        <f>J70/B1:A0</f>
      </c>
      <c r="N70" s="855"/>
      <c r="O70" s="853">
        <f>SUM(O66:O69)</f>
      </c>
      <c r="P70" s="853"/>
      <c r="Q70" s="836"/>
      <c r="R70" s="836"/>
      <c r="S70" s="836"/>
      <c r="T70" s="836"/>
      <c r="U70" s="836"/>
      <c r="V70" s="836"/>
      <c r="W70" s="836"/>
      <c r="X70" s="836"/>
      <c r="Y70" s="836"/>
      <c r="Z70" s="836"/>
      <c r="AA70" s="836"/>
      <c r="AB70" s="836"/>
      <c r="AC70" s="836"/>
      <c r="AD70" s="836"/>
      <c r="AE70" s="836"/>
      <c r="AF70" s="836"/>
      <c r="AG70" s="836"/>
      <c r="AH70" s="836"/>
      <c r="AI70" s="836"/>
      <c r="AJ70" s="836"/>
      <c r="AK70" s="836"/>
      <c r="AL70" s="836"/>
      <c r="AM70" s="836"/>
      <c r="AN70" s="836"/>
      <c r="AO70" s="836"/>
      <c r="AP70" s="836"/>
      <c r="AQ70" s="836"/>
      <c r="AR70" s="836"/>
      <c r="AS70" s="836"/>
      <c r="AT70" s="836"/>
      <c r="AU70" s="836"/>
    </row>
    <row r="71">
      <c r="A71" s="817">
        <v>45793</v>
      </c>
      <c r="B71" s="856" t="s">
        <v>929</v>
      </c>
      <c r="C71" s="826" t="s">
        <v>939</v>
      </c>
      <c r="D71" s="840">
        <v>5</v>
      </c>
      <c r="E71" s="840">
        <v>53</v>
      </c>
      <c r="F71" s="840">
        <v>45</v>
      </c>
      <c r="G71" s="840">
        <v>33</v>
      </c>
      <c r="H71" s="840">
        <v>5</v>
      </c>
      <c r="I71" s="850">
        <v>40732</v>
      </c>
      <c r="J71" s="850">
        <v>21625.85</v>
      </c>
      <c r="K71" s="822">
        <f t="shared" si="0"/>
      </c>
      <c r="L71" s="823">
        <f t="shared" ref="L71:L148" si="4">I71/F71</f>
      </c>
      <c r="M71" s="823">
        <f t="shared" ref="M71:M148" si="2">J71/F71</f>
      </c>
      <c r="N71" s="829" t="s">
        <v>933</v>
      </c>
      <c r="O71" s="818">
        <v>9</v>
      </c>
      <c r="P71" s="845"/>
      <c r="Q71" s="836"/>
      <c r="R71" s="836"/>
      <c r="S71" s="836"/>
      <c r="T71" s="836"/>
      <c r="U71" s="836"/>
      <c r="V71" s="836"/>
      <c r="W71" s="836"/>
      <c r="X71" s="836"/>
      <c r="Y71" s="836"/>
      <c r="Z71" s="836"/>
      <c r="AA71" s="836"/>
      <c r="AB71" s="836"/>
      <c r="AC71" s="836"/>
      <c r="AD71" s="836"/>
      <c r="AE71" s="836"/>
      <c r="AF71" s="836"/>
      <c r="AG71" s="836"/>
      <c r="AH71" s="836"/>
      <c r="AI71" s="836"/>
      <c r="AJ71" s="836"/>
      <c r="AK71" s="836"/>
      <c r="AL71" s="836"/>
      <c r="AM71" s="836"/>
      <c r="AN71" s="836"/>
      <c r="AO71" s="836"/>
      <c r="AP71" s="836"/>
      <c r="AQ71" s="836"/>
      <c r="AR71" s="836"/>
      <c r="AS71" s="836"/>
      <c r="AT71" s="836"/>
      <c r="AU71" s="836"/>
    </row>
    <row r="72">
      <c r="A72" s="817">
        <v>45793</v>
      </c>
      <c r="B72" s="818" t="s">
        <v>925</v>
      </c>
      <c r="C72" s="826" t="s">
        <v>947</v>
      </c>
      <c r="D72" s="840">
        <v>5</v>
      </c>
      <c r="E72" s="840">
        <v>50</v>
      </c>
      <c r="F72" s="840">
        <v>37</v>
      </c>
      <c r="G72" s="840">
        <v>34</v>
      </c>
      <c r="H72" s="840">
        <v>4</v>
      </c>
      <c r="I72" s="858">
        <v>31527.8</v>
      </c>
      <c r="J72" s="858">
        <v>23668.129999999997</v>
      </c>
      <c r="K72" s="822">
        <f t="shared" si="0"/>
      </c>
      <c r="L72" s="823">
        <f t="shared" si="4"/>
      </c>
      <c r="M72" s="823">
        <f t="shared" si="2"/>
      </c>
      <c r="N72" s="829"/>
      <c r="O72" s="818"/>
      <c r="P72" s="847"/>
      <c r="Q72" s="836"/>
      <c r="R72" s="836"/>
      <c r="S72" s="836"/>
      <c r="T72" s="836"/>
      <c r="U72" s="836"/>
      <c r="V72" s="836"/>
      <c r="W72" s="836"/>
      <c r="X72" s="836"/>
      <c r="Y72" s="836"/>
      <c r="Z72" s="836"/>
      <c r="AA72" s="836"/>
      <c r="AB72" s="836"/>
      <c r="AC72" s="836"/>
      <c r="AD72" s="836"/>
      <c r="AE72" s="836"/>
      <c r="AF72" s="836"/>
      <c r="AG72" s="836"/>
      <c r="AH72" s="836"/>
      <c r="AI72" s="836"/>
      <c r="AJ72" s="836"/>
      <c r="AK72" s="836"/>
      <c r="AL72" s="836"/>
      <c r="AM72" s="836"/>
      <c r="AN72" s="836"/>
      <c r="AO72" s="836"/>
      <c r="AP72" s="836"/>
      <c r="AQ72" s="836"/>
      <c r="AR72" s="836"/>
      <c r="AS72" s="836"/>
      <c r="AT72" s="836"/>
      <c r="AU72" s="836"/>
    </row>
    <row r="73">
      <c r="A73" s="817">
        <v>45793</v>
      </c>
      <c r="B73" s="840" t="s">
        <v>937</v>
      </c>
      <c r="C73" s="826" t="s">
        <v>960</v>
      </c>
      <c r="D73" s="840">
        <v>4</v>
      </c>
      <c r="E73" s="840">
        <v>23</v>
      </c>
      <c r="F73" s="840">
        <v>16</v>
      </c>
      <c r="G73" s="840">
        <v>12</v>
      </c>
      <c r="H73" s="840">
        <v>4</v>
      </c>
      <c r="I73" s="858">
        <v>11605.199999999999</v>
      </c>
      <c r="J73" s="858">
        <v>13747.39</v>
      </c>
      <c r="K73" s="822">
        <f t="shared" si="0"/>
      </c>
      <c r="L73" s="823">
        <f t="shared" si="4"/>
      </c>
      <c r="M73" s="823">
        <f t="shared" si="2"/>
      </c>
      <c r="N73" s="829"/>
      <c r="O73" s="818"/>
      <c r="P73" s="847"/>
      <c r="Q73" s="836"/>
      <c r="R73" s="836"/>
      <c r="S73" s="836"/>
      <c r="T73" s="836"/>
      <c r="U73" s="836"/>
      <c r="V73" s="836"/>
      <c r="W73" s="836"/>
      <c r="X73" s="836"/>
      <c r="Y73" s="836"/>
      <c r="Z73" s="836"/>
      <c r="AA73" s="836"/>
      <c r="AB73" s="836"/>
      <c r="AC73" s="836"/>
      <c r="AD73" s="836"/>
      <c r="AE73" s="836"/>
      <c r="AF73" s="836"/>
      <c r="AG73" s="836"/>
      <c r="AH73" s="836"/>
      <c r="AI73" s="836"/>
      <c r="AJ73" s="836"/>
      <c r="AK73" s="836"/>
      <c r="AL73" s="836"/>
      <c r="AM73" s="836"/>
      <c r="AN73" s="836"/>
      <c r="AO73" s="836"/>
      <c r="AP73" s="836"/>
      <c r="AQ73" s="836"/>
      <c r="AR73" s="836"/>
      <c r="AS73" s="836"/>
      <c r="AT73" s="836"/>
      <c r="AU73" s="836"/>
    </row>
    <row r="74">
      <c r="A74" s="817">
        <v>45793</v>
      </c>
      <c r="B74" s="818" t="s">
        <v>941</v>
      </c>
      <c r="C74" s="826" t="s">
        <v>957</v>
      </c>
      <c r="D74" s="840">
        <v>3</v>
      </c>
      <c r="E74" s="840">
        <v>16</v>
      </c>
      <c r="F74" s="840">
        <v>13</v>
      </c>
      <c r="G74" s="840">
        <v>13</v>
      </c>
      <c r="H74" s="840">
        <v>3</v>
      </c>
      <c r="I74" s="840">
        <v>9846</v>
      </c>
      <c r="J74" s="858">
        <v>8575.93</v>
      </c>
      <c r="K74" s="822">
        <f t="shared" si="0"/>
      </c>
      <c r="L74" s="823">
        <f t="shared" si="4"/>
      </c>
      <c r="M74" s="823">
        <f t="shared" si="2"/>
      </c>
      <c r="N74" s="829" t="s">
        <v>961</v>
      </c>
      <c r="O74" s="818">
        <v>8</v>
      </c>
      <c r="P74" s="847"/>
      <c r="Q74" s="836"/>
      <c r="R74" s="836"/>
      <c r="S74" s="836"/>
      <c r="T74" s="836"/>
      <c r="U74" s="836"/>
      <c r="V74" s="836"/>
      <c r="W74" s="836"/>
      <c r="X74" s="836"/>
      <c r="Y74" s="836"/>
      <c r="Z74" s="836"/>
      <c r="AA74" s="836"/>
      <c r="AB74" s="836"/>
      <c r="AC74" s="836"/>
      <c r="AD74" s="836"/>
      <c r="AE74" s="836"/>
      <c r="AF74" s="836"/>
      <c r="AG74" s="836"/>
      <c r="AH74" s="836"/>
      <c r="AI74" s="836"/>
      <c r="AJ74" s="836"/>
      <c r="AK74" s="836"/>
      <c r="AL74" s="836"/>
      <c r="AM74" s="836"/>
      <c r="AN74" s="836"/>
      <c r="AO74" s="836"/>
      <c r="AP74" s="836"/>
      <c r="AQ74" s="836"/>
      <c r="AR74" s="836"/>
      <c r="AS74" s="836"/>
      <c r="AT74" s="836"/>
      <c r="AU74" s="836"/>
    </row>
    <row r="75">
      <c r="A75" s="830">
        <v>45793</v>
      </c>
      <c r="B75" s="853"/>
      <c r="C75" s="853"/>
      <c r="D75" s="857">
        <f>SUM(D71:D74)</f>
      </c>
      <c r="E75" s="857">
        <f>SUM(E71:E74)</f>
      </c>
      <c r="F75" s="857">
        <f>SUM(F71:F74)</f>
      </c>
      <c r="G75" s="857">
        <f>SUM(G71:G74)</f>
      </c>
      <c r="H75" s="857">
        <f>SUM(H71:H74)</f>
      </c>
      <c r="I75" s="853">
        <f>SUM(I71:I74)</f>
      </c>
      <c r="J75" s="853">
        <f>SUM(J71:J74)</f>
      </c>
      <c r="K75" s="854">
        <f t="shared" si="0"/>
      </c>
      <c r="L75" s="833">
        <f t="shared" si="4"/>
      </c>
      <c r="M75" s="833">
        <f t="shared" si="2"/>
      </c>
      <c r="N75" s="855"/>
      <c r="O75" s="853">
        <f>SUM(O71:O74)</f>
      </c>
      <c r="P75" s="853"/>
      <c r="Q75" s="836"/>
      <c r="R75" s="836"/>
      <c r="S75" s="836"/>
      <c r="T75" s="836"/>
      <c r="U75" s="836"/>
      <c r="V75" s="836"/>
      <c r="W75" s="836"/>
      <c r="X75" s="836"/>
      <c r="Y75" s="836"/>
      <c r="Z75" s="836"/>
      <c r="AA75" s="836"/>
      <c r="AB75" s="836"/>
      <c r="AC75" s="836"/>
      <c r="AD75" s="836"/>
      <c r="AE75" s="836"/>
      <c r="AF75" s="836"/>
      <c r="AG75" s="836"/>
      <c r="AH75" s="836"/>
      <c r="AI75" s="836"/>
      <c r="AJ75" s="836"/>
      <c r="AK75" s="836"/>
      <c r="AL75" s="836"/>
      <c r="AM75" s="836"/>
      <c r="AN75" s="836"/>
      <c r="AO75" s="836"/>
      <c r="AP75" s="836"/>
      <c r="AQ75" s="836"/>
      <c r="AR75" s="836"/>
      <c r="AS75" s="836"/>
      <c r="AT75" s="836"/>
      <c r="AU75" s="836"/>
    </row>
    <row r="76">
      <c r="A76" s="817">
        <v>45794</v>
      </c>
      <c r="B76" s="856" t="s">
        <v>929</v>
      </c>
      <c r="C76" s="826" t="s">
        <v>939</v>
      </c>
      <c r="D76" s="840">
        <v>5</v>
      </c>
      <c r="E76" s="840">
        <v>17</v>
      </c>
      <c r="F76" s="840">
        <v>13</v>
      </c>
      <c r="G76" s="840">
        <v>9</v>
      </c>
      <c r="H76" s="840">
        <v>1</v>
      </c>
      <c r="I76" s="850">
        <v>19789.199999999997</v>
      </c>
      <c r="J76" s="850">
        <v>15321.44</v>
      </c>
      <c r="K76" s="822">
        <f t="shared" si="0"/>
      </c>
      <c r="L76" s="823">
        <f t="shared" si="4"/>
      </c>
      <c r="M76" s="823">
        <f t="shared" si="2"/>
      </c>
      <c r="N76" s="829" t="s">
        <v>933</v>
      </c>
      <c r="O76" s="818">
        <v>9</v>
      </c>
      <c r="P76" s="845"/>
      <c r="Q76" s="836"/>
      <c r="R76" s="836"/>
      <c r="S76" s="836"/>
      <c r="T76" s="836"/>
      <c r="U76" s="836"/>
      <c r="V76" s="836"/>
      <c r="W76" s="836"/>
      <c r="X76" s="836"/>
      <c r="Y76" s="836"/>
      <c r="Z76" s="836"/>
      <c r="AA76" s="836"/>
      <c r="AB76" s="836"/>
      <c r="AC76" s="836"/>
      <c r="AD76" s="836"/>
      <c r="AE76" s="836"/>
      <c r="AF76" s="836"/>
      <c r="AG76" s="836"/>
      <c r="AH76" s="836"/>
      <c r="AI76" s="836"/>
      <c r="AJ76" s="836"/>
      <c r="AK76" s="836"/>
      <c r="AL76" s="836"/>
      <c r="AM76" s="836"/>
      <c r="AN76" s="836"/>
      <c r="AO76" s="836"/>
      <c r="AP76" s="836"/>
      <c r="AQ76" s="836"/>
      <c r="AR76" s="836"/>
      <c r="AS76" s="836"/>
      <c r="AT76" s="836"/>
      <c r="AU76" s="836"/>
    </row>
    <row r="77">
      <c r="A77" s="817">
        <v>45794</v>
      </c>
      <c r="B77" s="818" t="s">
        <v>925</v>
      </c>
      <c r="C77" s="826" t="s">
        <v>947</v>
      </c>
      <c r="D77" s="840">
        <v>5</v>
      </c>
      <c r="E77" s="840">
        <v>40</v>
      </c>
      <c r="F77" s="840">
        <v>33</v>
      </c>
      <c r="G77" s="840">
        <v>23</v>
      </c>
      <c r="H77" s="840">
        <v>5</v>
      </c>
      <c r="I77" s="858">
        <v>32830</v>
      </c>
      <c r="J77" s="858">
        <v>13909.95</v>
      </c>
      <c r="K77" s="822">
        <f t="shared" si="0"/>
      </c>
      <c r="L77" s="823">
        <f t="shared" si="4"/>
      </c>
      <c r="M77" s="823">
        <f t="shared" si="2"/>
      </c>
      <c r="N77" s="829"/>
      <c r="O77" s="818"/>
      <c r="P77" s="847"/>
      <c r="Q77" s="836"/>
      <c r="R77" s="836"/>
      <c r="S77" s="836"/>
      <c r="T77" s="836"/>
      <c r="U77" s="836"/>
      <c r="V77" s="836"/>
      <c r="W77" s="836"/>
      <c r="X77" s="836"/>
      <c r="Y77" s="836"/>
      <c r="Z77" s="836"/>
      <c r="AA77" s="836"/>
      <c r="AB77" s="836"/>
      <c r="AC77" s="836"/>
      <c r="AD77" s="836"/>
      <c r="AE77" s="836"/>
      <c r="AF77" s="836"/>
      <c r="AG77" s="836"/>
      <c r="AH77" s="836"/>
      <c r="AI77" s="836"/>
      <c r="AJ77" s="836"/>
      <c r="AK77" s="836"/>
      <c r="AL77" s="836"/>
      <c r="AM77" s="836"/>
      <c r="AN77" s="836"/>
      <c r="AO77" s="836"/>
      <c r="AP77" s="836"/>
      <c r="AQ77" s="836"/>
      <c r="AR77" s="836"/>
      <c r="AS77" s="836"/>
      <c r="AT77" s="836"/>
      <c r="AU77" s="836"/>
    </row>
    <row r="78">
      <c r="A78" s="817">
        <v>45794</v>
      </c>
      <c r="B78" s="840" t="s">
        <v>937</v>
      </c>
      <c r="C78" s="826" t="s">
        <v>962</v>
      </c>
      <c r="D78" s="840">
        <v>3</v>
      </c>
      <c r="E78" s="840">
        <v>9</v>
      </c>
      <c r="F78" s="840">
        <v>6</v>
      </c>
      <c r="G78" s="840">
        <v>5</v>
      </c>
      <c r="H78" s="840">
        <v>0</v>
      </c>
      <c r="I78" s="858">
        <v>3594.3999999999996</v>
      </c>
      <c r="J78" s="858">
        <v>7973.860000000001</v>
      </c>
      <c r="K78" s="822">
        <f t="shared" si="0"/>
      </c>
      <c r="L78" s="823">
        <f t="shared" si="4"/>
      </c>
      <c r="M78" s="823">
        <f t="shared" si="2"/>
      </c>
      <c r="N78" s="829"/>
      <c r="O78" s="818"/>
      <c r="P78" s="847"/>
      <c r="Q78" s="836"/>
      <c r="R78" s="836"/>
      <c r="S78" s="836"/>
      <c r="T78" s="836"/>
      <c r="U78" s="836"/>
      <c r="V78" s="836"/>
      <c r="W78" s="836"/>
      <c r="X78" s="836"/>
      <c r="Y78" s="836"/>
      <c r="Z78" s="836"/>
      <c r="AA78" s="836"/>
      <c r="AB78" s="836"/>
      <c r="AC78" s="836"/>
      <c r="AD78" s="836"/>
      <c r="AE78" s="836"/>
      <c r="AF78" s="836"/>
      <c r="AG78" s="836"/>
      <c r="AH78" s="836"/>
      <c r="AI78" s="836"/>
      <c r="AJ78" s="836"/>
      <c r="AK78" s="836"/>
      <c r="AL78" s="836"/>
      <c r="AM78" s="836"/>
      <c r="AN78" s="836"/>
      <c r="AO78" s="836"/>
      <c r="AP78" s="836"/>
      <c r="AQ78" s="836"/>
      <c r="AR78" s="836"/>
      <c r="AS78" s="836"/>
      <c r="AT78" s="836"/>
      <c r="AU78" s="836"/>
    </row>
    <row r="79">
      <c r="A79" s="817">
        <v>45794</v>
      </c>
      <c r="B79" s="818" t="s">
        <v>931</v>
      </c>
      <c r="C79" s="826" t="s">
        <v>953</v>
      </c>
      <c r="D79" s="840">
        <v>4</v>
      </c>
      <c r="E79" s="840">
        <v>28</v>
      </c>
      <c r="F79" s="840">
        <v>20</v>
      </c>
      <c r="G79" s="840">
        <v>13</v>
      </c>
      <c r="H79" s="840">
        <v>2</v>
      </c>
      <c r="I79" s="840">
        <v>19481.8</v>
      </c>
      <c r="J79" s="858">
        <v>12892.33</v>
      </c>
      <c r="K79" s="822">
        <f t="shared" si="0"/>
      </c>
      <c r="L79" s="823">
        <f t="shared" si="4"/>
      </c>
      <c r="M79" s="823">
        <f t="shared" si="2"/>
      </c>
      <c r="N79" s="829" t="s">
        <v>961</v>
      </c>
      <c r="O79" s="818">
        <v>8</v>
      </c>
      <c r="P79" s="847"/>
      <c r="Q79" s="836"/>
      <c r="R79" s="836"/>
      <c r="S79" s="836"/>
      <c r="T79" s="836"/>
      <c r="U79" s="836"/>
      <c r="V79" s="836"/>
      <c r="W79" s="836"/>
      <c r="X79" s="836"/>
      <c r="Y79" s="836"/>
      <c r="Z79" s="836"/>
      <c r="AA79" s="836"/>
      <c r="AB79" s="836"/>
      <c r="AC79" s="836"/>
      <c r="AD79" s="836"/>
      <c r="AE79" s="836"/>
      <c r="AF79" s="836"/>
      <c r="AG79" s="836"/>
      <c r="AH79" s="836"/>
      <c r="AI79" s="836"/>
      <c r="AJ79" s="836"/>
      <c r="AK79" s="836"/>
      <c r="AL79" s="836"/>
      <c r="AM79" s="836"/>
      <c r="AN79" s="836"/>
      <c r="AO79" s="836"/>
      <c r="AP79" s="836"/>
      <c r="AQ79" s="836"/>
      <c r="AR79" s="836"/>
      <c r="AS79" s="836"/>
      <c r="AT79" s="836"/>
      <c r="AU79" s="836"/>
    </row>
    <row r="80">
      <c r="A80" s="830">
        <v>45794</v>
      </c>
      <c r="B80" s="853"/>
      <c r="C80" s="853"/>
      <c r="D80" s="857">
        <f>SUM(D76:D79)</f>
      </c>
      <c r="E80" s="857">
        <f>SUM(E76:E79)</f>
      </c>
      <c r="F80" s="857">
        <f>SUM(F76:F79)</f>
      </c>
      <c r="G80" s="857">
        <f>SUM(G76:G79)</f>
      </c>
      <c r="H80" s="857">
        <f>SUM(H76:H79)</f>
      </c>
      <c r="I80" s="853">
        <f>SUM(I76:I79)</f>
      </c>
      <c r="J80" s="853">
        <f>SUM(J76:J79)</f>
      </c>
      <c r="K80" s="854">
        <f t="shared" si="0"/>
      </c>
      <c r="L80" s="833">
        <f t="shared" si="4"/>
      </c>
      <c r="M80" s="833">
        <f t="shared" si="2"/>
      </c>
      <c r="N80" s="855"/>
      <c r="O80" s="853">
        <f>SUM(O76:O79)</f>
      </c>
      <c r="P80" s="853"/>
      <c r="Q80" s="836"/>
      <c r="R80" s="836"/>
      <c r="S80" s="836"/>
      <c r="T80" s="836"/>
      <c r="U80" s="836"/>
      <c r="V80" s="836"/>
      <c r="W80" s="836"/>
      <c r="X80" s="836"/>
      <c r="Y80" s="836"/>
      <c r="Z80" s="836"/>
      <c r="AA80" s="836"/>
      <c r="AB80" s="836"/>
      <c r="AC80" s="836"/>
      <c r="AD80" s="836"/>
      <c r="AE80" s="836"/>
      <c r="AF80" s="836"/>
      <c r="AG80" s="836"/>
      <c r="AH80" s="836"/>
      <c r="AI80" s="836"/>
      <c r="AJ80" s="836"/>
      <c r="AK80" s="836"/>
      <c r="AL80" s="836"/>
      <c r="AM80" s="836"/>
      <c r="AN80" s="836"/>
      <c r="AO80" s="836"/>
      <c r="AP80" s="836"/>
      <c r="AQ80" s="836"/>
      <c r="AR80" s="836"/>
      <c r="AS80" s="836"/>
      <c r="AT80" s="836"/>
      <c r="AU80" s="836"/>
    </row>
    <row r="81">
      <c r="A81" s="817">
        <v>45795</v>
      </c>
      <c r="B81" s="856" t="s">
        <v>929</v>
      </c>
      <c r="C81" s="826" t="s">
        <v>939</v>
      </c>
      <c r="D81" s="840">
        <v>5</v>
      </c>
      <c r="E81" s="840">
        <v>36</v>
      </c>
      <c r="F81" s="840">
        <v>25</v>
      </c>
      <c r="G81" s="840">
        <v>21</v>
      </c>
      <c r="H81" s="840">
        <v>3</v>
      </c>
      <c r="I81" s="850">
        <v>21281.4</v>
      </c>
      <c r="J81" s="850">
        <v>17467.73</v>
      </c>
      <c r="K81" s="822">
        <f t="shared" si="0"/>
      </c>
      <c r="L81" s="823">
        <f t="shared" si="4"/>
      </c>
      <c r="M81" s="823">
        <f t="shared" si="2"/>
      </c>
      <c r="N81" s="829" t="s">
        <v>933</v>
      </c>
      <c r="O81" s="818">
        <v>7</v>
      </c>
      <c r="P81" s="845"/>
      <c r="Q81" s="836"/>
      <c r="R81" s="836"/>
      <c r="S81" s="836"/>
      <c r="T81" s="836"/>
      <c r="U81" s="836"/>
      <c r="V81" s="836"/>
      <c r="W81" s="836"/>
      <c r="X81" s="836"/>
      <c r="Y81" s="836"/>
      <c r="Z81" s="836"/>
      <c r="AA81" s="836"/>
      <c r="AB81" s="836"/>
      <c r="AC81" s="836"/>
      <c r="AD81" s="836"/>
      <c r="AE81" s="836"/>
      <c r="AF81" s="836"/>
      <c r="AG81" s="836"/>
      <c r="AH81" s="836"/>
      <c r="AI81" s="836"/>
      <c r="AJ81" s="836"/>
      <c r="AK81" s="836"/>
      <c r="AL81" s="836"/>
      <c r="AM81" s="836"/>
      <c r="AN81" s="836"/>
      <c r="AO81" s="836"/>
      <c r="AP81" s="836"/>
      <c r="AQ81" s="836"/>
      <c r="AR81" s="836"/>
      <c r="AS81" s="836"/>
      <c r="AT81" s="836"/>
      <c r="AU81" s="836"/>
    </row>
    <row r="82">
      <c r="A82" s="817">
        <v>45795</v>
      </c>
      <c r="B82" s="818" t="s">
        <v>941</v>
      </c>
      <c r="C82" s="826" t="s">
        <v>940</v>
      </c>
      <c r="D82" s="840">
        <v>4</v>
      </c>
      <c r="E82" s="840">
        <v>32</v>
      </c>
      <c r="F82" s="840">
        <v>34</v>
      </c>
      <c r="G82" s="840">
        <v>14</v>
      </c>
      <c r="H82" s="840">
        <v>2</v>
      </c>
      <c r="I82" s="858">
        <v>29123.600000000002</v>
      </c>
      <c r="J82" s="858">
        <v>15560.45</v>
      </c>
      <c r="K82" s="822">
        <f t="shared" si="0"/>
      </c>
      <c r="L82" s="823">
        <f t="shared" si="4"/>
      </c>
      <c r="M82" s="823">
        <f t="shared" si="2"/>
      </c>
      <c r="N82" s="829"/>
      <c r="O82" s="818"/>
      <c r="P82" s="847"/>
      <c r="Q82" s="836"/>
      <c r="R82" s="836"/>
      <c r="S82" s="836"/>
      <c r="T82" s="836"/>
      <c r="U82" s="836"/>
      <c r="V82" s="836"/>
      <c r="W82" s="836"/>
      <c r="X82" s="836"/>
      <c r="Y82" s="836"/>
      <c r="Z82" s="836"/>
      <c r="AA82" s="836"/>
      <c r="AB82" s="836"/>
      <c r="AC82" s="836"/>
      <c r="AD82" s="836"/>
      <c r="AE82" s="836"/>
      <c r="AF82" s="836"/>
      <c r="AG82" s="836"/>
      <c r="AH82" s="836"/>
      <c r="AI82" s="836"/>
      <c r="AJ82" s="836"/>
      <c r="AK82" s="836"/>
      <c r="AL82" s="836"/>
      <c r="AM82" s="836"/>
      <c r="AN82" s="836"/>
      <c r="AO82" s="836"/>
      <c r="AP82" s="836"/>
      <c r="AQ82" s="836"/>
      <c r="AR82" s="836"/>
      <c r="AS82" s="836"/>
      <c r="AT82" s="836"/>
      <c r="AU82" s="836"/>
    </row>
    <row r="83">
      <c r="A83" s="817">
        <v>45795</v>
      </c>
      <c r="B83" s="840" t="s">
        <v>931</v>
      </c>
      <c r="C83" s="826" t="s">
        <v>963</v>
      </c>
      <c r="D83" s="840">
        <v>2</v>
      </c>
      <c r="E83" s="840">
        <v>9</v>
      </c>
      <c r="F83" s="840">
        <v>3</v>
      </c>
      <c r="G83" s="840">
        <v>2</v>
      </c>
      <c r="H83" s="840">
        <v>0</v>
      </c>
      <c r="I83" s="858">
        <v>3498.2</v>
      </c>
      <c r="J83" s="858">
        <v>6547.47</v>
      </c>
      <c r="K83" s="822">
        <f t="shared" si="0"/>
      </c>
      <c r="L83" s="823">
        <f t="shared" si="4"/>
      </c>
      <c r="M83" s="823">
        <f t="shared" si="2"/>
      </c>
      <c r="N83" s="829" t="s">
        <v>961</v>
      </c>
      <c r="O83" s="818">
        <v>4</v>
      </c>
      <c r="P83" s="847"/>
      <c r="Q83" s="836"/>
      <c r="R83" s="836"/>
      <c r="S83" s="836"/>
      <c r="T83" s="836"/>
      <c r="U83" s="836"/>
      <c r="V83" s="836"/>
      <c r="W83" s="836"/>
      <c r="X83" s="836"/>
      <c r="Y83" s="836"/>
      <c r="Z83" s="836"/>
      <c r="AA83" s="836"/>
      <c r="AB83" s="836"/>
      <c r="AC83" s="836"/>
      <c r="AD83" s="836"/>
      <c r="AE83" s="836"/>
      <c r="AF83" s="836"/>
      <c r="AG83" s="836"/>
      <c r="AH83" s="836"/>
      <c r="AI83" s="836"/>
      <c r="AJ83" s="836"/>
      <c r="AK83" s="836"/>
      <c r="AL83" s="836"/>
      <c r="AM83" s="836"/>
      <c r="AN83" s="836"/>
      <c r="AO83" s="836"/>
      <c r="AP83" s="836"/>
      <c r="AQ83" s="836"/>
      <c r="AR83" s="836"/>
      <c r="AS83" s="836"/>
      <c r="AT83" s="836"/>
      <c r="AU83" s="836"/>
    </row>
    <row r="84">
      <c r="A84" s="830">
        <v>45795</v>
      </c>
      <c r="B84" s="853"/>
      <c r="C84" s="853"/>
      <c r="D84" s="857">
        <f>SUM(D81:D83)</f>
      </c>
      <c r="E84" s="857">
        <f>SUM(E81:E83)</f>
      </c>
      <c r="F84" s="857">
        <f>SUM(F81:F83)</f>
      </c>
      <c r="G84" s="857">
        <f>SUM(G81:G83)</f>
      </c>
      <c r="H84" s="857">
        <f>SUM(H81:H83)</f>
      </c>
      <c r="I84" s="853">
        <f>SUM(I81:I83)</f>
      </c>
      <c r="J84" s="853">
        <f>SUM(J81:J83)</f>
      </c>
      <c r="K84" s="854">
        <f t="shared" si="0"/>
      </c>
      <c r="L84" s="833">
        <f t="shared" si="4"/>
      </c>
      <c r="M84" s="833">
        <f t="shared" si="2"/>
      </c>
      <c r="N84" s="855"/>
      <c r="O84" s="853">
        <f>SUM(O81:O83)</f>
      </c>
      <c r="P84" s="853"/>
      <c r="Q84" s="836"/>
      <c r="R84" s="836"/>
      <c r="S84" s="836"/>
      <c r="T84" s="836"/>
      <c r="U84" s="836"/>
      <c r="V84" s="836"/>
      <c r="W84" s="836"/>
      <c r="X84" s="836"/>
      <c r="Y84" s="836"/>
      <c r="Z84" s="836"/>
      <c r="AA84" s="836"/>
      <c r="AB84" s="836"/>
      <c r="AC84" s="836"/>
      <c r="AD84" s="836"/>
      <c r="AE84" s="836"/>
      <c r="AF84" s="836"/>
      <c r="AG84" s="836"/>
      <c r="AH84" s="836"/>
      <c r="AI84" s="836"/>
      <c r="AJ84" s="836"/>
      <c r="AK84" s="836"/>
      <c r="AL84" s="836"/>
      <c r="AM84" s="836"/>
      <c r="AN84" s="836"/>
      <c r="AO84" s="836"/>
      <c r="AP84" s="836"/>
      <c r="AQ84" s="836"/>
      <c r="AR84" s="836"/>
      <c r="AS84" s="836"/>
      <c r="AT84" s="836"/>
      <c r="AU84" s="836"/>
    </row>
    <row r="85">
      <c r="A85" s="817">
        <v>45796</v>
      </c>
      <c r="B85" s="818" t="s">
        <v>925</v>
      </c>
      <c r="C85" s="826" t="s">
        <v>951</v>
      </c>
      <c r="D85" s="840">
        <v>5</v>
      </c>
      <c r="E85" s="840">
        <v>58</v>
      </c>
      <c r="F85" s="840">
        <v>40</v>
      </c>
      <c r="G85" s="840">
        <v>35</v>
      </c>
      <c r="H85" s="840">
        <v>5</v>
      </c>
      <c r="I85" s="850">
        <v>33212.6</v>
      </c>
      <c r="J85" s="850">
        <v>20361.179999999997</v>
      </c>
      <c r="K85" s="822">
        <f t="shared" si="0"/>
      </c>
      <c r="L85" s="823">
        <f t="shared" si="4"/>
      </c>
      <c r="M85" s="823">
        <f t="shared" si="2"/>
      </c>
      <c r="N85" s="829" t="s">
        <v>933</v>
      </c>
      <c r="O85" s="818">
        <v>6</v>
      </c>
      <c r="P85" s="845"/>
      <c r="Q85" s="860"/>
      <c r="R85" s="836"/>
      <c r="S85" s="836"/>
      <c r="T85" s="836"/>
      <c r="U85" s="836"/>
      <c r="V85" s="836"/>
      <c r="W85" s="836"/>
      <c r="X85" s="836"/>
      <c r="Y85" s="836"/>
      <c r="Z85" s="836"/>
      <c r="AA85" s="836"/>
      <c r="AB85" s="836"/>
      <c r="AC85" s="836"/>
      <c r="AD85" s="836"/>
      <c r="AE85" s="836"/>
      <c r="AF85" s="836"/>
      <c r="AG85" s="836"/>
      <c r="AH85" s="836"/>
      <c r="AI85" s="836"/>
      <c r="AJ85" s="836"/>
      <c r="AK85" s="836"/>
      <c r="AL85" s="836"/>
      <c r="AM85" s="836"/>
      <c r="AN85" s="836"/>
      <c r="AO85" s="836"/>
      <c r="AP85" s="836"/>
      <c r="AQ85" s="836"/>
      <c r="AR85" s="836"/>
      <c r="AS85" s="836"/>
      <c r="AT85" s="836"/>
      <c r="AU85" s="836"/>
    </row>
    <row r="86">
      <c r="A86" s="817">
        <v>45796</v>
      </c>
      <c r="B86" s="818" t="s">
        <v>941</v>
      </c>
      <c r="C86" s="826" t="s">
        <v>952</v>
      </c>
      <c r="D86" s="840">
        <v>4</v>
      </c>
      <c r="E86" s="840">
        <v>34</v>
      </c>
      <c r="F86" s="840">
        <v>22</v>
      </c>
      <c r="G86" s="840">
        <v>18</v>
      </c>
      <c r="H86" s="840">
        <v>4</v>
      </c>
      <c r="I86" s="858">
        <v>23235.600000000002</v>
      </c>
      <c r="J86" s="858">
        <v>12290.58</v>
      </c>
      <c r="K86" s="822">
        <f t="shared" si="0"/>
      </c>
      <c r="L86" s="823">
        <f t="shared" si="4"/>
      </c>
      <c r="M86" s="823">
        <f t="shared" si="2"/>
      </c>
      <c r="N86" s="829"/>
      <c r="O86" s="818"/>
      <c r="P86" s="847"/>
      <c r="Q86" s="836"/>
      <c r="R86" s="836"/>
      <c r="S86" s="836"/>
      <c r="T86" s="836"/>
      <c r="U86" s="836"/>
      <c r="V86" s="836"/>
      <c r="W86" s="836"/>
      <c r="X86" s="836"/>
      <c r="Y86" s="836"/>
      <c r="Z86" s="836"/>
      <c r="AA86" s="836"/>
      <c r="AB86" s="836"/>
      <c r="AC86" s="836"/>
      <c r="AD86" s="836"/>
      <c r="AE86" s="836"/>
      <c r="AF86" s="836"/>
      <c r="AG86" s="836"/>
      <c r="AH86" s="836"/>
      <c r="AI86" s="836"/>
      <c r="AJ86" s="836"/>
      <c r="AK86" s="836"/>
      <c r="AL86" s="836"/>
      <c r="AM86" s="836"/>
      <c r="AN86" s="836"/>
      <c r="AO86" s="836"/>
      <c r="AP86" s="836"/>
      <c r="AQ86" s="836"/>
      <c r="AR86" s="836"/>
      <c r="AS86" s="836"/>
      <c r="AT86" s="836"/>
      <c r="AU86" s="836"/>
    </row>
    <row r="87">
      <c r="A87" s="817">
        <v>45796</v>
      </c>
      <c r="B87" s="840" t="s">
        <v>931</v>
      </c>
      <c r="C87" s="826" t="s">
        <v>953</v>
      </c>
      <c r="D87" s="840">
        <v>4</v>
      </c>
      <c r="E87" s="840">
        <v>39</v>
      </c>
      <c r="F87" s="840">
        <v>24</v>
      </c>
      <c r="G87" s="840">
        <v>18</v>
      </c>
      <c r="H87" s="840">
        <v>3</v>
      </c>
      <c r="I87" s="858">
        <v>22199</v>
      </c>
      <c r="J87" s="858">
        <v>16349.720000000001</v>
      </c>
      <c r="K87" s="822">
        <f t="shared" si="0"/>
      </c>
      <c r="L87" s="823">
        <f t="shared" si="4"/>
      </c>
      <c r="M87" s="823">
        <f t="shared" si="2"/>
      </c>
      <c r="N87" s="829" t="s">
        <v>961</v>
      </c>
      <c r="O87" s="818">
        <v>7</v>
      </c>
      <c r="P87" s="847"/>
    </row>
    <row r="88">
      <c r="A88" s="830">
        <v>45796</v>
      </c>
      <c r="B88" s="853"/>
      <c r="C88" s="853"/>
      <c r="D88" s="857">
        <f>SUM(D85:D87)</f>
      </c>
      <c r="E88" s="857">
        <f>SUM(E85:E87)</f>
      </c>
      <c r="F88" s="857">
        <f>SUM(F85:F87)</f>
      </c>
      <c r="G88" s="857">
        <f>SUM(G85:G87)</f>
      </c>
      <c r="H88" s="857">
        <f>SUM(H85:H87)</f>
      </c>
      <c r="I88" s="853">
        <f>SUM(I85:I87)</f>
      </c>
      <c r="J88" s="853">
        <f>SUM(J85:J87)</f>
      </c>
      <c r="K88" s="854">
        <f t="shared" si="0"/>
      </c>
      <c r="L88" s="833">
        <f t="shared" si="4"/>
      </c>
      <c r="M88" s="833">
        <f t="shared" si="2"/>
      </c>
      <c r="N88" s="855"/>
      <c r="O88" s="853">
        <f>SUM(O85:O87)</f>
      </c>
      <c r="P88" s="853"/>
    </row>
    <row r="89">
      <c r="A89" s="817">
        <v>45797</v>
      </c>
      <c r="B89" s="856" t="s">
        <v>929</v>
      </c>
      <c r="C89" s="826" t="s">
        <v>939</v>
      </c>
      <c r="D89" s="840">
        <v>5</v>
      </c>
      <c r="E89" s="840">
        <v>17</v>
      </c>
      <c r="F89" s="840">
        <v>13</v>
      </c>
      <c r="G89" s="840">
        <v>9</v>
      </c>
      <c r="H89" s="840">
        <v>1</v>
      </c>
      <c r="I89" s="850">
        <v>18389.800000000003</v>
      </c>
      <c r="J89" s="850">
        <v>15275.19</v>
      </c>
      <c r="K89" s="822">
        <f t="shared" si="0"/>
      </c>
      <c r="L89" s="823">
        <f t="shared" si="4"/>
      </c>
      <c r="M89" s="823">
        <f t="shared" si="2"/>
      </c>
      <c r="N89" s="829" t="s">
        <v>933</v>
      </c>
      <c r="O89" s="818">
        <v>8</v>
      </c>
      <c r="P89" s="845"/>
    </row>
    <row r="90">
      <c r="A90" s="817">
        <v>45797</v>
      </c>
      <c r="B90" s="818" t="s">
        <v>925</v>
      </c>
      <c r="C90" s="826" t="s">
        <v>947</v>
      </c>
      <c r="D90" s="840">
        <v>5</v>
      </c>
      <c r="E90" s="840">
        <v>51</v>
      </c>
      <c r="F90" s="840">
        <v>39</v>
      </c>
      <c r="G90" s="840">
        <v>36</v>
      </c>
      <c r="H90" s="840">
        <v>5</v>
      </c>
      <c r="I90" s="858">
        <v>33038</v>
      </c>
      <c r="J90" s="858">
        <v>17195.95</v>
      </c>
      <c r="K90" s="822">
        <f t="shared" si="0"/>
      </c>
      <c r="L90" s="823">
        <f t="shared" si="4"/>
      </c>
      <c r="M90" s="823">
        <f t="shared" si="2"/>
      </c>
      <c r="N90" s="829"/>
      <c r="O90" s="818"/>
      <c r="P90" s="847"/>
    </row>
    <row r="91">
      <c r="A91" s="817">
        <v>45797</v>
      </c>
      <c r="B91" s="840" t="s">
        <v>964</v>
      </c>
      <c r="C91" s="826" t="s">
        <v>962</v>
      </c>
      <c r="D91" s="840">
        <v>3</v>
      </c>
      <c r="E91" s="840">
        <v>24</v>
      </c>
      <c r="F91" s="840">
        <v>15</v>
      </c>
      <c r="G91" s="840">
        <v>15</v>
      </c>
      <c r="H91" s="840">
        <v>3</v>
      </c>
      <c r="I91" s="858">
        <v>8645.8</v>
      </c>
      <c r="J91" s="858">
        <v>8312.91</v>
      </c>
      <c r="K91" s="822">
        <f t="shared" si="0"/>
      </c>
      <c r="L91" s="823">
        <f t="shared" si="4"/>
      </c>
      <c r="M91" s="823">
        <f t="shared" si="2"/>
      </c>
      <c r="N91" s="829"/>
      <c r="O91" s="818"/>
      <c r="P91" s="847"/>
    </row>
    <row r="92">
      <c r="A92" s="817">
        <v>45797</v>
      </c>
      <c r="B92" s="818" t="s">
        <v>931</v>
      </c>
      <c r="C92" s="826" t="s">
        <v>953</v>
      </c>
      <c r="D92" s="840">
        <v>4</v>
      </c>
      <c r="E92" s="840">
        <v>32</v>
      </c>
      <c r="F92" s="840">
        <v>22</v>
      </c>
      <c r="G92" s="840">
        <v>18</v>
      </c>
      <c r="H92" s="840">
        <v>2</v>
      </c>
      <c r="I92" s="840">
        <v>22869.6</v>
      </c>
      <c r="J92" s="858">
        <v>12906.83</v>
      </c>
      <c r="K92" s="822">
        <f t="shared" si="0"/>
      </c>
      <c r="L92" s="823">
        <f t="shared" si="4"/>
      </c>
      <c r="M92" s="823">
        <f t="shared" si="2"/>
      </c>
      <c r="N92" s="829" t="s">
        <v>961</v>
      </c>
      <c r="O92" s="818">
        <v>9</v>
      </c>
      <c r="P92" s="847"/>
    </row>
    <row r="93">
      <c r="A93" s="830">
        <v>45797</v>
      </c>
      <c r="B93" s="853"/>
      <c r="C93" s="853"/>
      <c r="D93" s="857">
        <f>SUM(D89:D92)</f>
      </c>
      <c r="E93" s="857">
        <f>SUM(E89:E92)</f>
      </c>
      <c r="F93" s="857">
        <f>SUM(F89:F92)</f>
      </c>
      <c r="G93" s="857">
        <f>SUM(G89:G92)</f>
      </c>
      <c r="H93" s="857">
        <f>SUM(H89:H92)</f>
      </c>
      <c r="I93" s="853">
        <f>SUM(I89:I92)</f>
      </c>
      <c r="J93" s="853">
        <f>SUM(J89:J92)</f>
      </c>
      <c r="K93" s="854">
        <f t="shared" si="0"/>
      </c>
      <c r="L93" s="833">
        <f t="shared" si="4"/>
      </c>
      <c r="M93" s="833">
        <f t="shared" si="2"/>
      </c>
      <c r="N93" s="855"/>
      <c r="O93" s="853">
        <f>SUM(O89:O92)</f>
      </c>
      <c r="P93" s="853"/>
    </row>
    <row r="94">
      <c r="A94" s="817">
        <v>45798</v>
      </c>
      <c r="B94" s="856" t="s">
        <v>929</v>
      </c>
      <c r="C94" s="826" t="s">
        <v>939</v>
      </c>
      <c r="D94" s="840">
        <v>5</v>
      </c>
      <c r="E94" s="840">
        <v>34</v>
      </c>
      <c r="F94" s="840">
        <v>27</v>
      </c>
      <c r="G94" s="840">
        <v>20</v>
      </c>
      <c r="H94" s="840">
        <v>1</v>
      </c>
      <c r="I94" s="850">
        <v>32695.6</v>
      </c>
      <c r="J94" s="850">
        <v>18967.97</v>
      </c>
      <c r="K94" s="822">
        <f t="shared" si="0"/>
      </c>
      <c r="L94" s="823">
        <f t="shared" si="4"/>
      </c>
      <c r="M94" s="823">
        <f t="shared" si="2"/>
      </c>
      <c r="N94" s="829" t="s">
        <v>933</v>
      </c>
      <c r="O94" s="818">
        <v>9</v>
      </c>
      <c r="P94" s="845"/>
    </row>
    <row r="95">
      <c r="A95" s="817">
        <v>45798</v>
      </c>
      <c r="B95" s="818" t="s">
        <v>931</v>
      </c>
      <c r="C95" s="826" t="s">
        <v>940</v>
      </c>
      <c r="D95" s="840">
        <v>4</v>
      </c>
      <c r="E95" s="840">
        <v>25</v>
      </c>
      <c r="F95" s="840">
        <v>17</v>
      </c>
      <c r="G95" s="840">
        <v>13</v>
      </c>
      <c r="H95" s="840">
        <v>2</v>
      </c>
      <c r="I95" s="858">
        <v>13127.599999999999</v>
      </c>
      <c r="J95" s="858">
        <v>17758.579999999998</v>
      </c>
      <c r="K95" s="822">
        <f t="shared" si="0"/>
      </c>
      <c r="L95" s="823">
        <f t="shared" si="4"/>
      </c>
      <c r="M95" s="823">
        <f t="shared" si="2"/>
      </c>
      <c r="N95" s="829"/>
      <c r="O95" s="818"/>
      <c r="P95" s="847"/>
    </row>
    <row r="96">
      <c r="A96" s="817">
        <v>45798</v>
      </c>
      <c r="B96" s="840" t="s">
        <v>964</v>
      </c>
      <c r="C96" s="826" t="s">
        <v>952</v>
      </c>
      <c r="D96" s="840">
        <v>4</v>
      </c>
      <c r="E96" s="840">
        <v>28</v>
      </c>
      <c r="F96" s="840">
        <v>24</v>
      </c>
      <c r="G96" s="840">
        <v>21</v>
      </c>
      <c r="H96" s="840">
        <v>4</v>
      </c>
      <c r="I96" s="858">
        <v>17924.6</v>
      </c>
      <c r="J96" s="858">
        <v>10134.739999999998</v>
      </c>
      <c r="K96" s="822">
        <f t="shared" si="0"/>
      </c>
      <c r="L96" s="823">
        <f t="shared" si="4"/>
      </c>
      <c r="M96" s="823">
        <f t="shared" si="2"/>
      </c>
      <c r="N96" s="829"/>
      <c r="O96" s="818"/>
      <c r="P96" s="847"/>
    </row>
    <row r="97">
      <c r="A97" s="817">
        <v>45798</v>
      </c>
      <c r="B97" s="818" t="s">
        <v>941</v>
      </c>
      <c r="C97" s="826" t="s">
        <v>965</v>
      </c>
      <c r="D97" s="840">
        <v>3</v>
      </c>
      <c r="E97" s="840">
        <v>27</v>
      </c>
      <c r="F97" s="840">
        <v>21</v>
      </c>
      <c r="G97" s="840">
        <v>18</v>
      </c>
      <c r="H97" s="840">
        <v>4</v>
      </c>
      <c r="I97" s="840">
        <v>22727.399999999998</v>
      </c>
      <c r="J97" s="858">
        <v>12296.32</v>
      </c>
      <c r="K97" s="822">
        <f t="shared" si="0"/>
      </c>
      <c r="L97" s="823">
        <f t="shared" si="4"/>
      </c>
      <c r="M97" s="823">
        <f t="shared" si="2"/>
      </c>
      <c r="N97" s="829" t="s">
        <v>961</v>
      </c>
      <c r="O97" s="818">
        <v>7</v>
      </c>
      <c r="P97" s="847"/>
    </row>
    <row r="98">
      <c r="A98" s="830">
        <v>45798</v>
      </c>
      <c r="B98" s="853"/>
      <c r="C98" s="853"/>
      <c r="D98" s="857">
        <f>SUM(D94:D97)</f>
      </c>
      <c r="E98" s="857">
        <f>SUM(E94:E97)</f>
      </c>
      <c r="F98" s="857">
        <f>SUM(F94:F97)</f>
      </c>
      <c r="G98" s="857">
        <f>SUM(G94:G97)</f>
      </c>
      <c r="H98" s="857">
        <f>SUM(H94:H97)</f>
      </c>
      <c r="I98" s="853">
        <f>SUM(I94:I97)</f>
      </c>
      <c r="J98" s="853">
        <f>SUM(J94:J97)</f>
      </c>
      <c r="K98" s="854">
        <f t="shared" si="0"/>
      </c>
      <c r="L98" s="833">
        <f t="shared" si="4"/>
      </c>
      <c r="M98" s="833">
        <f t="shared" si="2"/>
      </c>
      <c r="N98" s="855"/>
      <c r="O98" s="853">
        <f>SUM(O94:O97)</f>
      </c>
      <c r="P98" s="853"/>
    </row>
    <row r="99">
      <c r="A99" s="817">
        <v>45799</v>
      </c>
      <c r="B99" s="818" t="s">
        <v>925</v>
      </c>
      <c r="C99" s="826" t="s">
        <v>939</v>
      </c>
      <c r="D99" s="840">
        <v>5</v>
      </c>
      <c r="E99" s="840">
        <v>30</v>
      </c>
      <c r="F99" s="840">
        <v>27</v>
      </c>
      <c r="G99" s="840">
        <v>24</v>
      </c>
      <c r="H99" s="840">
        <v>4</v>
      </c>
      <c r="I99" s="850">
        <v>19770.8</v>
      </c>
      <c r="J99" s="850">
        <v>16960.24</v>
      </c>
      <c r="K99" s="822">
        <f t="shared" si="0"/>
      </c>
      <c r="L99" s="823">
        <f t="shared" si="4"/>
      </c>
      <c r="M99" s="823">
        <f t="shared" si="2"/>
      </c>
      <c r="N99" s="829" t="s">
        <v>933</v>
      </c>
      <c r="O99" s="818">
        <v>8</v>
      </c>
      <c r="P99" s="845"/>
    </row>
    <row r="100">
      <c r="A100" s="817">
        <v>45799</v>
      </c>
      <c r="B100" s="818" t="s">
        <v>931</v>
      </c>
      <c r="C100" s="826" t="s">
        <v>940</v>
      </c>
      <c r="D100" s="840">
        <v>4</v>
      </c>
      <c r="E100" s="840">
        <v>46</v>
      </c>
      <c r="F100" s="840">
        <v>25</v>
      </c>
      <c r="G100" s="840">
        <v>19</v>
      </c>
      <c r="H100" s="840">
        <v>0</v>
      </c>
      <c r="I100" s="858">
        <v>23549.2</v>
      </c>
      <c r="J100" s="858">
        <v>16736.12</v>
      </c>
      <c r="K100" s="822">
        <f t="shared" si="0"/>
      </c>
      <c r="L100" s="823">
        <f t="shared" si="4"/>
      </c>
      <c r="M100" s="823">
        <f t="shared" si="2"/>
      </c>
      <c r="N100" s="829"/>
      <c r="O100" s="818"/>
      <c r="P100" s="847"/>
    </row>
    <row r="101">
      <c r="A101" s="817">
        <v>45799</v>
      </c>
      <c r="B101" s="840" t="s">
        <v>966</v>
      </c>
      <c r="C101" s="826" t="s">
        <v>963</v>
      </c>
      <c r="D101" s="840">
        <v>2</v>
      </c>
      <c r="E101" s="840">
        <v>4</v>
      </c>
      <c r="F101" s="840">
        <v>2</v>
      </c>
      <c r="G101" s="840">
        <v>2</v>
      </c>
      <c r="H101" s="840">
        <v>0</v>
      </c>
      <c r="I101" s="858">
        <v>1197.6</v>
      </c>
      <c r="J101" s="858">
        <v>8548.619999999999</v>
      </c>
      <c r="K101" s="822">
        <f t="shared" si="0"/>
      </c>
      <c r="L101" s="823">
        <f t="shared" si="4"/>
      </c>
      <c r="M101" s="823">
        <f t="shared" si="2"/>
      </c>
      <c r="N101" s="829"/>
      <c r="O101" s="818"/>
      <c r="P101" s="847"/>
    </row>
    <row r="102">
      <c r="A102" s="817">
        <v>45799</v>
      </c>
      <c r="B102" s="818" t="s">
        <v>941</v>
      </c>
      <c r="C102" s="826" t="s">
        <v>967</v>
      </c>
      <c r="D102" s="840">
        <v>4</v>
      </c>
      <c r="E102" s="840">
        <v>27</v>
      </c>
      <c r="F102" s="840">
        <v>26</v>
      </c>
      <c r="G102" s="840">
        <v>22</v>
      </c>
      <c r="H102" s="840">
        <v>0</v>
      </c>
      <c r="I102" s="840">
        <v>23439.199999999997</v>
      </c>
      <c r="J102" s="858">
        <v>11825.32</v>
      </c>
      <c r="K102" s="822">
        <f t="shared" si="0"/>
      </c>
      <c r="L102" s="823">
        <f t="shared" si="4"/>
      </c>
      <c r="M102" s="823">
        <f t="shared" si="2"/>
      </c>
      <c r="N102" s="829" t="s">
        <v>968</v>
      </c>
      <c r="O102" s="818">
        <v>7</v>
      </c>
      <c r="P102" s="847"/>
    </row>
    <row r="103">
      <c r="A103" s="830">
        <v>45799</v>
      </c>
      <c r="B103" s="853"/>
      <c r="C103" s="853"/>
      <c r="D103" s="857">
        <f>SUM(D99:D102)</f>
      </c>
      <c r="E103" s="857">
        <f>SUM(E99:E102)</f>
      </c>
      <c r="F103" s="857">
        <f>SUM(F99:F102)</f>
      </c>
      <c r="G103" s="857">
        <f>SUM(G99:G102)</f>
      </c>
      <c r="H103" s="857">
        <f>SUM(H99:H102)</f>
      </c>
      <c r="I103" s="853">
        <f>SUM(I99:I102)</f>
      </c>
      <c r="J103" s="853">
        <f>SUM(J99:J102)</f>
      </c>
      <c r="K103" s="854">
        <f t="shared" si="0"/>
      </c>
      <c r="L103" s="833">
        <f t="shared" si="4"/>
      </c>
      <c r="M103" s="833">
        <f t="shared" si="2"/>
      </c>
      <c r="N103" s="855"/>
      <c r="O103" s="853">
        <f>SUM(O99:O102)</f>
      </c>
      <c r="P103" s="853"/>
    </row>
    <row r="104">
      <c r="A104" s="817">
        <v>45800</v>
      </c>
      <c r="B104" s="818" t="s">
        <v>969</v>
      </c>
      <c r="C104" s="826" t="s">
        <v>939</v>
      </c>
      <c r="D104" s="840">
        <v>5</v>
      </c>
      <c r="E104" s="840">
        <v>45</v>
      </c>
      <c r="F104" s="840">
        <v>34</v>
      </c>
      <c r="G104" s="840">
        <v>21</v>
      </c>
      <c r="H104" s="840">
        <v>4</v>
      </c>
      <c r="I104" s="850">
        <v>46234</v>
      </c>
      <c r="J104" s="850">
        <v>20330.65</v>
      </c>
      <c r="K104" s="822">
        <f t="shared" si="0"/>
      </c>
      <c r="L104" s="823">
        <f t="shared" si="4"/>
      </c>
      <c r="M104" s="823">
        <f t="shared" si="2"/>
      </c>
      <c r="N104" s="829" t="s">
        <v>938</v>
      </c>
      <c r="O104" s="818">
        <v>8</v>
      </c>
      <c r="P104" s="845"/>
    </row>
    <row r="105">
      <c r="A105" s="817">
        <v>45800</v>
      </c>
      <c r="B105" s="818" t="s">
        <v>925</v>
      </c>
      <c r="C105" s="826" t="s">
        <v>940</v>
      </c>
      <c r="D105" s="840">
        <v>4</v>
      </c>
      <c r="E105" s="840">
        <v>56</v>
      </c>
      <c r="F105" s="840">
        <v>50</v>
      </c>
      <c r="G105" s="840">
        <v>36</v>
      </c>
      <c r="H105" s="840">
        <v>8</v>
      </c>
      <c r="I105" s="858">
        <v>58776.2</v>
      </c>
      <c r="J105" s="858">
        <v>22983.84</v>
      </c>
      <c r="K105" s="822">
        <f t="shared" si="0"/>
      </c>
      <c r="L105" s="823">
        <f t="shared" si="4"/>
      </c>
      <c r="M105" s="823">
        <f t="shared" si="2"/>
      </c>
      <c r="N105" s="829"/>
      <c r="O105" s="818"/>
      <c r="P105" s="847"/>
    </row>
    <row r="106">
      <c r="A106" s="817">
        <v>45800</v>
      </c>
      <c r="B106" s="818" t="s">
        <v>941</v>
      </c>
      <c r="C106" s="826" t="s">
        <v>942</v>
      </c>
      <c r="D106" s="840">
        <v>3</v>
      </c>
      <c r="E106" s="840">
        <v>18</v>
      </c>
      <c r="F106" s="840">
        <v>15</v>
      </c>
      <c r="G106" s="840">
        <v>9</v>
      </c>
      <c r="H106" s="840">
        <v>1</v>
      </c>
      <c r="I106" s="858">
        <v>17009</v>
      </c>
      <c r="J106" s="858">
        <v>15090.95</v>
      </c>
      <c r="K106" s="822">
        <f t="shared" si="0"/>
      </c>
      <c r="L106" s="823">
        <f t="shared" si="4"/>
      </c>
      <c r="M106" s="823">
        <f t="shared" si="2"/>
      </c>
      <c r="N106" s="829"/>
      <c r="O106" s="818"/>
      <c r="P106" s="847"/>
    </row>
    <row r="107">
      <c r="A107" s="817">
        <v>45800</v>
      </c>
      <c r="B107" s="818" t="s">
        <v>929</v>
      </c>
      <c r="C107" s="826" t="s">
        <v>932</v>
      </c>
      <c r="D107" s="840">
        <v>4</v>
      </c>
      <c r="E107" s="840">
        <v>45</v>
      </c>
      <c r="F107" s="840">
        <v>38</v>
      </c>
      <c r="G107" s="840">
        <v>27</v>
      </c>
      <c r="H107" s="840">
        <v>5</v>
      </c>
      <c r="I107" s="840">
        <v>55466.6</v>
      </c>
      <c r="J107" s="861">
        <v>23620.04</v>
      </c>
      <c r="K107" s="822">
        <f t="shared" si="0"/>
      </c>
      <c r="L107" s="823">
        <f t="shared" si="4"/>
      </c>
      <c r="M107" s="823">
        <f t="shared" si="2"/>
      </c>
      <c r="N107" s="829" t="s">
        <v>961</v>
      </c>
      <c r="O107" s="818">
        <v>8</v>
      </c>
      <c r="P107" s="847"/>
    </row>
    <row r="108">
      <c r="A108" s="830">
        <v>45800</v>
      </c>
      <c r="B108" s="853"/>
      <c r="C108" s="853"/>
      <c r="D108" s="857">
        <f>SUM(D104:D107)</f>
      </c>
      <c r="E108" s="857">
        <f>SUM(E104:E107)</f>
      </c>
      <c r="F108" s="857">
        <f>SUM(F104:F107)</f>
      </c>
      <c r="G108" s="857">
        <f>SUM(G104:G107)</f>
      </c>
      <c r="H108" s="857">
        <f>SUM(H104:H107)</f>
      </c>
      <c r="I108" s="853">
        <f>SUM(I104:I107)</f>
      </c>
      <c r="J108" s="853">
        <f>SUM(J104:J107)</f>
      </c>
      <c r="K108" s="854">
        <f t="shared" si="0"/>
      </c>
      <c r="L108" s="833">
        <f t="shared" si="4"/>
      </c>
      <c r="M108" s="833">
        <f t="shared" si="2"/>
      </c>
      <c r="N108" s="855"/>
      <c r="O108" s="853">
        <f>SUM(O104:O107)</f>
      </c>
      <c r="P108" s="853"/>
    </row>
    <row r="109">
      <c r="A109" s="817">
        <v>45801</v>
      </c>
      <c r="B109" s="818" t="s">
        <v>969</v>
      </c>
      <c r="C109" s="826" t="s">
        <v>939</v>
      </c>
      <c r="D109" s="840">
        <v>5</v>
      </c>
      <c r="E109" s="840">
        <v>20</v>
      </c>
      <c r="F109" s="840">
        <v>12</v>
      </c>
      <c r="G109" s="840">
        <v>8</v>
      </c>
      <c r="H109" s="840">
        <v>1</v>
      </c>
      <c r="I109" s="850">
        <v>9345.6</v>
      </c>
      <c r="J109" s="850">
        <v>17747.22</v>
      </c>
      <c r="K109" s="822">
        <f t="shared" si="0"/>
      </c>
      <c r="L109" s="823">
        <f t="shared" si="4"/>
      </c>
      <c r="M109" s="823">
        <f t="shared" si="2"/>
      </c>
      <c r="N109" s="829" t="s">
        <v>933</v>
      </c>
      <c r="O109" s="818">
        <v>8</v>
      </c>
      <c r="P109" s="845"/>
    </row>
    <row r="110">
      <c r="A110" s="817">
        <v>45801</v>
      </c>
      <c r="B110" s="818" t="s">
        <v>925</v>
      </c>
      <c r="C110" s="826" t="s">
        <v>940</v>
      </c>
      <c r="D110" s="840">
        <v>4</v>
      </c>
      <c r="E110" s="840">
        <v>33</v>
      </c>
      <c r="F110" s="840">
        <v>26</v>
      </c>
      <c r="G110" s="840">
        <v>17</v>
      </c>
      <c r="H110" s="840">
        <v>2</v>
      </c>
      <c r="I110" s="858">
        <v>29167.199999999997</v>
      </c>
      <c r="J110" s="858">
        <v>10815.369999999999</v>
      </c>
      <c r="K110" s="822">
        <f t="shared" si="0"/>
      </c>
      <c r="L110" s="823">
        <f t="shared" si="4"/>
      </c>
      <c r="M110" s="823">
        <f t="shared" si="2"/>
      </c>
      <c r="N110" s="829"/>
      <c r="O110" s="818"/>
      <c r="P110" s="847"/>
    </row>
    <row r="111">
      <c r="A111" s="817">
        <v>45801</v>
      </c>
      <c r="B111" s="818" t="s">
        <v>929</v>
      </c>
      <c r="C111" s="826" t="s">
        <v>952</v>
      </c>
      <c r="D111" s="840">
        <v>4</v>
      </c>
      <c r="E111" s="840">
        <v>22</v>
      </c>
      <c r="F111" s="840">
        <v>20</v>
      </c>
      <c r="G111" s="840">
        <v>13</v>
      </c>
      <c r="H111" s="840">
        <v>4</v>
      </c>
      <c r="I111" s="858">
        <v>26340</v>
      </c>
      <c r="J111" s="858">
        <v>11887.44</v>
      </c>
      <c r="K111" s="822">
        <f t="shared" si="0"/>
      </c>
      <c r="L111" s="823">
        <f t="shared" si="4"/>
      </c>
      <c r="M111" s="823">
        <f t="shared" si="2"/>
      </c>
      <c r="N111" s="829"/>
      <c r="O111" s="818"/>
      <c r="P111" s="847"/>
    </row>
    <row r="112">
      <c r="A112" s="817">
        <v>45801</v>
      </c>
      <c r="B112" s="818" t="s">
        <v>931</v>
      </c>
      <c r="C112" s="826" t="s">
        <v>953</v>
      </c>
      <c r="D112" s="840">
        <v>4</v>
      </c>
      <c r="E112" s="840">
        <v>48</v>
      </c>
      <c r="F112" s="840">
        <v>31</v>
      </c>
      <c r="G112" s="840">
        <v>22</v>
      </c>
      <c r="H112" s="840">
        <v>3</v>
      </c>
      <c r="I112" s="840">
        <v>35903.6</v>
      </c>
      <c r="J112" s="861">
        <v>16293.34</v>
      </c>
      <c r="K112" s="822">
        <f t="shared" si="0"/>
      </c>
      <c r="L112" s="823">
        <f t="shared" si="4"/>
      </c>
      <c r="M112" s="823">
        <f t="shared" si="2"/>
      </c>
      <c r="N112" s="829" t="s">
        <v>961</v>
      </c>
      <c r="O112" s="818">
        <v>9</v>
      </c>
      <c r="P112" s="847"/>
    </row>
    <row r="113">
      <c r="A113" s="830">
        <v>45801</v>
      </c>
      <c r="B113" s="853"/>
      <c r="C113" s="853"/>
      <c r="D113" s="857">
        <f>SUM(D109:D112)</f>
      </c>
      <c r="E113" s="857">
        <f>SUM(E109:E112)</f>
      </c>
      <c r="F113" s="857">
        <f>SUM(F109:F112)</f>
      </c>
      <c r="G113" s="857">
        <f>SUM(G109:G112)</f>
      </c>
      <c r="H113" s="857">
        <f>SUM(H109:H112)</f>
      </c>
      <c r="I113" s="853">
        <f>SUM(I109:I112)</f>
      </c>
      <c r="J113" s="853">
        <f>SUM(J109:J112)</f>
      </c>
      <c r="K113" s="854">
        <f t="shared" si="0"/>
      </c>
      <c r="L113" s="833">
        <f t="shared" si="4"/>
      </c>
      <c r="M113" s="833">
        <f t="shared" si="2"/>
      </c>
      <c r="N113" s="855"/>
      <c r="O113" s="853">
        <f>SUM(O109:O112)</f>
      </c>
      <c r="P113" s="853"/>
    </row>
    <row r="114">
      <c r="A114" s="817">
        <v>45802</v>
      </c>
      <c r="B114" s="818" t="s">
        <v>929</v>
      </c>
      <c r="C114" s="826" t="s">
        <v>939</v>
      </c>
      <c r="D114" s="840">
        <v>5</v>
      </c>
      <c r="E114" s="840">
        <v>31</v>
      </c>
      <c r="F114" s="840">
        <v>27</v>
      </c>
      <c r="G114" s="840">
        <v>18</v>
      </c>
      <c r="H114" s="840">
        <v>4</v>
      </c>
      <c r="I114" s="850">
        <v>27015.6</v>
      </c>
      <c r="J114" s="850">
        <v>20571.25</v>
      </c>
      <c r="K114" s="822">
        <f t="shared" si="0"/>
      </c>
      <c r="L114" s="823">
        <f t="shared" si="4"/>
      </c>
      <c r="M114" s="823">
        <f t="shared" si="2"/>
      </c>
      <c r="N114" s="829" t="s">
        <v>933</v>
      </c>
      <c r="O114" s="818">
        <v>8</v>
      </c>
      <c r="P114" s="845"/>
    </row>
    <row r="115">
      <c r="A115" s="817">
        <v>45802</v>
      </c>
      <c r="B115" s="818" t="s">
        <v>966</v>
      </c>
      <c r="C115" s="826" t="s">
        <v>970</v>
      </c>
      <c r="D115" s="840">
        <v>3</v>
      </c>
      <c r="E115" s="840">
        <v>17</v>
      </c>
      <c r="F115" s="840">
        <v>12</v>
      </c>
      <c r="G115" s="840">
        <v>7</v>
      </c>
      <c r="H115" s="840">
        <v>1</v>
      </c>
      <c r="I115" s="858">
        <v>15066.8</v>
      </c>
      <c r="J115" s="858">
        <v>8784.71</v>
      </c>
      <c r="K115" s="822">
        <f t="shared" si="0"/>
      </c>
      <c r="L115" s="823">
        <f t="shared" si="4"/>
      </c>
      <c r="M115" s="823">
        <f t="shared" si="2"/>
      </c>
      <c r="N115" s="829"/>
      <c r="O115" s="818"/>
      <c r="P115" s="845"/>
    </row>
    <row r="116">
      <c r="A116" s="817">
        <v>45802</v>
      </c>
      <c r="B116" s="818" t="s">
        <v>925</v>
      </c>
      <c r="C116" s="826" t="s">
        <v>971</v>
      </c>
      <c r="D116" s="840">
        <v>3</v>
      </c>
      <c r="E116" s="840">
        <v>18</v>
      </c>
      <c r="F116" s="840">
        <v>15</v>
      </c>
      <c r="G116" s="840">
        <v>11</v>
      </c>
      <c r="H116" s="840">
        <v>0</v>
      </c>
      <c r="I116" s="858">
        <v>11864.199999999999</v>
      </c>
      <c r="J116" s="858">
        <v>10271.220000000001</v>
      </c>
      <c r="K116" s="822">
        <f t="shared" si="0"/>
      </c>
      <c r="L116" s="823">
        <f t="shared" si="4"/>
      </c>
      <c r="M116" s="823">
        <f t="shared" si="2"/>
      </c>
      <c r="N116" s="829"/>
      <c r="O116" s="818"/>
      <c r="P116" s="845"/>
    </row>
    <row r="117">
      <c r="A117" s="817">
        <v>45802</v>
      </c>
      <c r="B117" s="818" t="s">
        <v>931</v>
      </c>
      <c r="C117" s="826" t="s">
        <v>972</v>
      </c>
      <c r="D117" s="840">
        <v>5</v>
      </c>
      <c r="E117" s="840">
        <v>44</v>
      </c>
      <c r="F117" s="840">
        <v>30</v>
      </c>
      <c r="G117" s="840">
        <v>20</v>
      </c>
      <c r="H117" s="840">
        <v>2</v>
      </c>
      <c r="I117" s="840">
        <v>49056</v>
      </c>
      <c r="J117" s="861">
        <v>21757.49</v>
      </c>
      <c r="K117" s="822">
        <f t="shared" si="0"/>
      </c>
      <c r="L117" s="823">
        <f t="shared" si="4"/>
      </c>
      <c r="M117" s="823">
        <f t="shared" si="2"/>
      </c>
      <c r="N117" s="829" t="s">
        <v>961</v>
      </c>
      <c r="O117" s="818">
        <v>8</v>
      </c>
      <c r="P117" s="845"/>
    </row>
    <row r="118">
      <c r="A118" s="830">
        <v>45802</v>
      </c>
      <c r="B118" s="853"/>
      <c r="C118" s="853"/>
      <c r="D118" s="857">
        <f>SUM(D114:D117)</f>
      </c>
      <c r="E118" s="857">
        <f>SUM(E114:E117)</f>
      </c>
      <c r="F118" s="857">
        <f>SUM(F114:F117)</f>
      </c>
      <c r="G118" s="857">
        <f>SUM(G114:G117)</f>
      </c>
      <c r="H118" s="857">
        <f>SUM(H114:H117)</f>
      </c>
      <c r="I118" s="853">
        <f>SUM(I114:I117)</f>
      </c>
      <c r="J118" s="853">
        <f>SUM(J114:J117)</f>
      </c>
      <c r="K118" s="854">
        <f t="shared" si="0"/>
      </c>
      <c r="L118" s="833">
        <f t="shared" si="4"/>
      </c>
      <c r="M118" s="833">
        <f t="shared" si="2"/>
      </c>
      <c r="N118" s="855"/>
      <c r="O118" s="853">
        <f>SUM(O114:O117)</f>
      </c>
      <c r="P118" s="853"/>
    </row>
    <row r="119">
      <c r="A119" s="817">
        <v>45803</v>
      </c>
      <c r="B119" s="818" t="s">
        <v>929</v>
      </c>
      <c r="C119" s="826" t="s">
        <v>939</v>
      </c>
      <c r="D119" s="840">
        <v>5</v>
      </c>
      <c r="E119" s="840">
        <v>27</v>
      </c>
      <c r="F119" s="840">
        <v>23</v>
      </c>
      <c r="G119" s="840">
        <v>18</v>
      </c>
      <c r="H119" s="840">
        <v>5</v>
      </c>
      <c r="I119" s="850">
        <v>31207.6</v>
      </c>
      <c r="J119" s="850">
        <v>15807.34</v>
      </c>
      <c r="K119" s="822">
        <f t="shared" si="0"/>
      </c>
      <c r="L119" s="823">
        <f t="shared" si="4"/>
      </c>
      <c r="M119" s="823">
        <f t="shared" si="2"/>
      </c>
      <c r="N119" s="829" t="s">
        <v>933</v>
      </c>
      <c r="O119" s="818">
        <v>8</v>
      </c>
      <c r="P119" s="845"/>
    </row>
    <row r="120">
      <c r="A120" s="817">
        <v>45803</v>
      </c>
      <c r="B120" s="818" t="s">
        <v>966</v>
      </c>
      <c r="C120" s="826" t="s">
        <v>970</v>
      </c>
      <c r="D120" s="840">
        <v>3</v>
      </c>
      <c r="E120" s="840">
        <v>20</v>
      </c>
      <c r="F120" s="840">
        <v>14</v>
      </c>
      <c r="G120" s="840">
        <v>11</v>
      </c>
      <c r="H120" s="840">
        <v>1</v>
      </c>
      <c r="I120" s="858">
        <v>14755.4</v>
      </c>
      <c r="J120" s="858">
        <v>10744.72</v>
      </c>
      <c r="K120" s="822">
        <f t="shared" si="0"/>
      </c>
      <c r="L120" s="823">
        <f t="shared" si="4"/>
      </c>
      <c r="M120" s="823">
        <f t="shared" si="2"/>
      </c>
      <c r="N120" s="829"/>
      <c r="O120" s="818"/>
      <c r="P120" s="845"/>
    </row>
    <row r="121">
      <c r="A121" s="817">
        <v>45803</v>
      </c>
      <c r="B121" s="818" t="s">
        <v>925</v>
      </c>
      <c r="C121" s="826" t="s">
        <v>936</v>
      </c>
      <c r="D121" s="840">
        <v>4</v>
      </c>
      <c r="E121" s="840">
        <v>51</v>
      </c>
      <c r="F121" s="840">
        <v>36</v>
      </c>
      <c r="G121" s="840">
        <v>19</v>
      </c>
      <c r="H121" s="840">
        <v>6</v>
      </c>
      <c r="I121" s="858">
        <v>39401.8</v>
      </c>
      <c r="J121" s="858">
        <v>19569.62</v>
      </c>
      <c r="K121" s="822">
        <f t="shared" si="0"/>
      </c>
      <c r="L121" s="823">
        <f t="shared" si="4"/>
      </c>
      <c r="M121" s="823">
        <f t="shared" si="2"/>
      </c>
      <c r="N121" s="829"/>
      <c r="O121" s="818"/>
      <c r="P121" s="845"/>
    </row>
    <row r="122">
      <c r="A122" s="817">
        <v>45803</v>
      </c>
      <c r="B122" s="818" t="s">
        <v>931</v>
      </c>
      <c r="C122" s="826" t="s">
        <v>932</v>
      </c>
      <c r="D122" s="840">
        <v>4</v>
      </c>
      <c r="E122" s="840">
        <v>28</v>
      </c>
      <c r="F122" s="840">
        <v>21</v>
      </c>
      <c r="G122" s="840">
        <v>17</v>
      </c>
      <c r="H122" s="840">
        <v>4</v>
      </c>
      <c r="I122" s="840">
        <v>24110.600000000002</v>
      </c>
      <c r="J122" s="861">
        <v>10625.470000000001</v>
      </c>
      <c r="K122" s="822">
        <f t="shared" si="0"/>
      </c>
      <c r="L122" s="823">
        <f t="shared" si="4"/>
      </c>
      <c r="M122" s="823">
        <f t="shared" si="2"/>
      </c>
      <c r="N122" s="829" t="s">
        <v>961</v>
      </c>
      <c r="O122" s="818">
        <v>8</v>
      </c>
      <c r="P122" s="845"/>
    </row>
    <row r="123">
      <c r="A123" s="830">
        <v>45803</v>
      </c>
      <c r="B123" s="853"/>
      <c r="C123" s="853"/>
      <c r="D123" s="857">
        <f>SUM(D119:D122)</f>
      </c>
      <c r="E123" s="857">
        <f>SUM(E119:E122)</f>
      </c>
      <c r="F123" s="857">
        <f>SUM(F119:F122)</f>
      </c>
      <c r="G123" s="857">
        <f>SUM(G119:G122)</f>
      </c>
      <c r="H123" s="857">
        <f>SUM(H119:H122)</f>
      </c>
      <c r="I123" s="853">
        <f>SUM(I119:I122)</f>
      </c>
      <c r="J123" s="853">
        <f>SUM(J119:J122)</f>
      </c>
      <c r="K123" s="854">
        <f t="shared" si="0"/>
      </c>
      <c r="L123" s="833">
        <f t="shared" si="4"/>
      </c>
      <c r="M123" s="833">
        <f t="shared" si="2"/>
      </c>
      <c r="N123" s="855"/>
      <c r="O123" s="853">
        <f>SUM(O119:O122)</f>
      </c>
      <c r="P123" s="853"/>
    </row>
    <row r="124">
      <c r="A124" s="817">
        <v>45804</v>
      </c>
      <c r="B124" s="818" t="s">
        <v>929</v>
      </c>
      <c r="C124" s="826" t="s">
        <v>939</v>
      </c>
      <c r="D124" s="840">
        <v>5</v>
      </c>
      <c r="E124" s="840">
        <v>46</v>
      </c>
      <c r="F124" s="840">
        <v>38</v>
      </c>
      <c r="G124" s="840">
        <v>29</v>
      </c>
      <c r="H124" s="840">
        <v>8</v>
      </c>
      <c r="I124" s="850">
        <v>34684.2</v>
      </c>
      <c r="J124" s="850">
        <v>16174.029999999999</v>
      </c>
      <c r="K124" s="822">
        <f t="shared" si="0"/>
      </c>
      <c r="L124" s="823">
        <f t="shared" si="4"/>
      </c>
      <c r="M124" s="823">
        <f t="shared" si="2"/>
      </c>
      <c r="N124" s="829" t="s">
        <v>933</v>
      </c>
      <c r="O124" s="818">
        <v>8</v>
      </c>
      <c r="P124" s="845"/>
    </row>
    <row r="125">
      <c r="A125" s="817">
        <v>45804</v>
      </c>
      <c r="B125" s="818" t="s">
        <v>973</v>
      </c>
      <c r="C125" s="826" t="s">
        <v>970</v>
      </c>
      <c r="D125" s="840">
        <v>3</v>
      </c>
      <c r="E125" s="840">
        <v>28</v>
      </c>
      <c r="F125" s="840">
        <v>19</v>
      </c>
      <c r="G125" s="840">
        <v>16</v>
      </c>
      <c r="H125" s="840">
        <v>5</v>
      </c>
      <c r="I125" s="858">
        <v>18172.8</v>
      </c>
      <c r="J125" s="858">
        <v>9482.92</v>
      </c>
      <c r="K125" s="822">
        <f t="shared" si="0"/>
      </c>
      <c r="L125" s="823">
        <f t="shared" si="4"/>
      </c>
      <c r="M125" s="823">
        <f t="shared" si="2"/>
      </c>
      <c r="N125" s="829"/>
      <c r="O125" s="818"/>
      <c r="P125" s="845"/>
    </row>
    <row r="126">
      <c r="A126" s="817">
        <v>45804</v>
      </c>
      <c r="B126" s="818" t="s">
        <v>925</v>
      </c>
      <c r="C126" s="826" t="s">
        <v>936</v>
      </c>
      <c r="D126" s="840">
        <v>4</v>
      </c>
      <c r="E126" s="840">
        <v>41</v>
      </c>
      <c r="F126" s="840">
        <v>32</v>
      </c>
      <c r="G126" s="840">
        <v>18</v>
      </c>
      <c r="H126" s="840">
        <v>2</v>
      </c>
      <c r="I126" s="858">
        <v>33762</v>
      </c>
      <c r="J126" s="858">
        <v>15261.05</v>
      </c>
      <c r="K126" s="822">
        <f t="shared" si="0"/>
      </c>
      <c r="L126" s="823">
        <f t="shared" si="4"/>
      </c>
      <c r="M126" s="823">
        <f t="shared" si="2"/>
      </c>
      <c r="N126" s="829"/>
      <c r="O126" s="818"/>
      <c r="P126" s="845" t="s">
        <v>974</v>
      </c>
    </row>
    <row r="127">
      <c r="A127" s="817">
        <v>45804</v>
      </c>
      <c r="B127" s="862" t="s">
        <v>964</v>
      </c>
      <c r="C127" s="826" t="s">
        <v>932</v>
      </c>
      <c r="D127" s="840">
        <v>4</v>
      </c>
      <c r="E127" s="840">
        <v>47</v>
      </c>
      <c r="F127" s="840">
        <v>35</v>
      </c>
      <c r="G127" s="840">
        <v>29</v>
      </c>
      <c r="H127" s="840">
        <v>2</v>
      </c>
      <c r="I127" s="840">
        <v>36259.799999999996</v>
      </c>
      <c r="J127" s="861">
        <v>19589.699999999997</v>
      </c>
      <c r="K127" s="822">
        <f t="shared" si="0"/>
      </c>
      <c r="L127" s="823">
        <f t="shared" si="4"/>
      </c>
      <c r="M127" s="823">
        <f t="shared" si="2"/>
      </c>
      <c r="N127" s="829" t="s">
        <v>961</v>
      </c>
      <c r="O127" s="818">
        <v>8</v>
      </c>
      <c r="P127" s="845"/>
    </row>
    <row r="128">
      <c r="A128" s="830">
        <v>45804</v>
      </c>
      <c r="B128" s="853"/>
      <c r="C128" s="853"/>
      <c r="D128" s="857">
        <f>SUM(D124:D127)</f>
      </c>
      <c r="E128" s="857">
        <f>SUM(E124:E127)</f>
      </c>
      <c r="F128" s="857">
        <f>SUM(F124:F127)</f>
      </c>
      <c r="G128" s="857">
        <f>SUM(G124:G127)</f>
      </c>
      <c r="H128" s="857">
        <f>SUM(H124:H127)</f>
      </c>
      <c r="I128" s="853">
        <f>SUM(I124:I127)</f>
      </c>
      <c r="J128" s="853">
        <f>SUM(J124:J127)</f>
      </c>
      <c r="K128" s="854">
        <f t="shared" si="0"/>
      </c>
      <c r="L128" s="833">
        <f t="shared" si="4"/>
      </c>
      <c r="M128" s="833">
        <f t="shared" si="2"/>
      </c>
      <c r="N128" s="855"/>
      <c r="O128" s="853">
        <f>SUM(O124:O127)</f>
      </c>
      <c r="P128" s="853"/>
    </row>
    <row r="129">
      <c r="A129" s="817">
        <v>45805</v>
      </c>
      <c r="B129" s="818" t="s">
        <v>929</v>
      </c>
      <c r="C129" s="826" t="s">
        <v>939</v>
      </c>
      <c r="D129" s="840">
        <v>5</v>
      </c>
      <c r="E129" s="840">
        <v>23</v>
      </c>
      <c r="F129" s="840">
        <v>18</v>
      </c>
      <c r="G129" s="840">
        <v>9</v>
      </c>
      <c r="H129" s="840">
        <v>1</v>
      </c>
      <c r="I129" s="850">
        <v>15652.400000000001</v>
      </c>
      <c r="J129" s="850">
        <v>15210.919999999998</v>
      </c>
      <c r="K129" s="822">
        <f t="shared" si="0"/>
      </c>
      <c r="L129" s="823">
        <f t="shared" si="4"/>
      </c>
      <c r="M129" s="823">
        <f t="shared" si="2"/>
      </c>
      <c r="N129" s="829" t="s">
        <v>933</v>
      </c>
      <c r="O129" s="818">
        <v>8</v>
      </c>
      <c r="P129" s="845"/>
    </row>
    <row r="130">
      <c r="A130" s="817">
        <v>45805</v>
      </c>
      <c r="B130" s="818" t="s">
        <v>931</v>
      </c>
      <c r="C130" s="826" t="s">
        <v>940</v>
      </c>
      <c r="D130" s="840">
        <v>4</v>
      </c>
      <c r="E130" s="840">
        <v>26</v>
      </c>
      <c r="F130" s="840">
        <v>18</v>
      </c>
      <c r="G130" s="840">
        <v>11</v>
      </c>
      <c r="H130" s="840">
        <v>3</v>
      </c>
      <c r="I130" s="858">
        <v>24185</v>
      </c>
      <c r="J130" s="858">
        <v>12231.54</v>
      </c>
      <c r="K130" s="822">
        <f t="shared" si="0"/>
      </c>
      <c r="L130" s="823">
        <f t="shared" si="4"/>
      </c>
      <c r="M130" s="823">
        <f t="shared" si="2"/>
      </c>
      <c r="N130" s="829"/>
      <c r="O130" s="818"/>
      <c r="P130" s="845"/>
    </row>
    <row r="131">
      <c r="A131" s="817">
        <v>45805</v>
      </c>
      <c r="B131" s="818" t="s">
        <v>973</v>
      </c>
      <c r="C131" s="826" t="s">
        <v>942</v>
      </c>
      <c r="D131" s="840">
        <v>3</v>
      </c>
      <c r="E131" s="840">
        <v>9</v>
      </c>
      <c r="F131" s="840">
        <v>6</v>
      </c>
      <c r="G131" s="840">
        <v>4</v>
      </c>
      <c r="H131" s="840">
        <v>1</v>
      </c>
      <c r="I131" s="858">
        <v>9982.4</v>
      </c>
      <c r="J131" s="858">
        <v>8874.970000000001</v>
      </c>
      <c r="K131" s="822">
        <f t="shared" si="0"/>
      </c>
      <c r="L131" s="823">
        <f t="shared" si="4"/>
      </c>
      <c r="M131" s="823">
        <f t="shared" si="2"/>
      </c>
      <c r="N131" s="829"/>
      <c r="O131" s="818"/>
      <c r="P131" s="845"/>
    </row>
    <row r="132">
      <c r="A132" s="817">
        <v>45805</v>
      </c>
      <c r="B132" s="818" t="s">
        <v>925</v>
      </c>
      <c r="C132" s="826" t="s">
        <v>932</v>
      </c>
      <c r="D132" s="840">
        <v>4</v>
      </c>
      <c r="E132" s="840">
        <v>30</v>
      </c>
      <c r="F132" s="840">
        <v>27</v>
      </c>
      <c r="G132" s="840">
        <v>18</v>
      </c>
      <c r="H132" s="840">
        <v>5</v>
      </c>
      <c r="I132" s="840">
        <v>29674.999999999996</v>
      </c>
      <c r="J132" s="861">
        <v>12657.52</v>
      </c>
      <c r="K132" s="822">
        <f t="shared" si="0"/>
      </c>
      <c r="L132" s="823">
        <f t="shared" si="4"/>
      </c>
      <c r="M132" s="823">
        <f t="shared" si="2"/>
      </c>
      <c r="N132" s="829" t="s">
        <v>961</v>
      </c>
      <c r="O132" s="818">
        <v>8</v>
      </c>
      <c r="P132" s="845"/>
    </row>
    <row r="133">
      <c r="A133" s="830">
        <v>45805</v>
      </c>
      <c r="B133" s="853"/>
      <c r="C133" s="853"/>
      <c r="D133" s="857">
        <f>SUM(D129:D132)</f>
      </c>
      <c r="E133" s="857">
        <f>SUM(E129:E132)</f>
      </c>
      <c r="F133" s="857">
        <f>SUM(F129:F132)</f>
      </c>
      <c r="G133" s="857">
        <f>SUM(G129:G132)</f>
      </c>
      <c r="H133" s="857">
        <f>SUM(H129:H132)</f>
      </c>
      <c r="I133" s="853">
        <f>SUM(I129:I132)</f>
      </c>
      <c r="J133" s="853">
        <f>SUM(J129:J132)</f>
      </c>
      <c r="K133" s="854">
        <f t="shared" si="0"/>
      </c>
      <c r="L133" s="833">
        <f t="shared" si="4"/>
      </c>
      <c r="M133" s="833">
        <f t="shared" si="2"/>
      </c>
      <c r="N133" s="855"/>
      <c r="O133" s="853">
        <f>SUM(O129:O132)</f>
      </c>
      <c r="P133" s="853"/>
    </row>
    <row r="134">
      <c r="A134" s="817">
        <v>45806</v>
      </c>
      <c r="B134" s="818" t="s">
        <v>929</v>
      </c>
      <c r="C134" s="826" t="s">
        <v>939</v>
      </c>
      <c r="D134" s="840">
        <v>5</v>
      </c>
      <c r="E134" s="840">
        <v>72</v>
      </c>
      <c r="F134" s="840">
        <v>56</v>
      </c>
      <c r="G134" s="840">
        <v>40</v>
      </c>
      <c r="H134" s="840">
        <v>8</v>
      </c>
      <c r="I134" s="850">
        <v>60301</v>
      </c>
      <c r="J134" s="850">
        <v>21480.4</v>
      </c>
      <c r="K134" s="822">
        <f t="shared" si="0"/>
      </c>
      <c r="L134" s="823">
        <f t="shared" si="4"/>
      </c>
      <c r="M134" s="823">
        <f t="shared" si="2"/>
      </c>
      <c r="N134" s="829" t="s">
        <v>933</v>
      </c>
      <c r="O134" s="818">
        <v>8</v>
      </c>
      <c r="P134" s="845"/>
    </row>
    <row r="135">
      <c r="A135" s="817">
        <v>45806</v>
      </c>
      <c r="B135" s="818" t="s">
        <v>925</v>
      </c>
      <c r="C135" s="826" t="s">
        <v>947</v>
      </c>
      <c r="D135" s="840">
        <v>5</v>
      </c>
      <c r="E135" s="840">
        <v>55</v>
      </c>
      <c r="F135" s="840">
        <v>36</v>
      </c>
      <c r="G135" s="840">
        <v>17</v>
      </c>
      <c r="H135" s="840">
        <v>5</v>
      </c>
      <c r="I135" s="858">
        <v>52278.2</v>
      </c>
      <c r="J135" s="858">
        <v>24785.47</v>
      </c>
      <c r="K135" s="822">
        <f t="shared" si="0"/>
      </c>
      <c r="L135" s="823">
        <f t="shared" si="4"/>
      </c>
      <c r="M135" s="823">
        <f t="shared" si="2"/>
      </c>
      <c r="N135" s="829"/>
      <c r="O135" s="818"/>
      <c r="P135" s="845"/>
    </row>
    <row r="136">
      <c r="A136" s="817">
        <v>45806</v>
      </c>
      <c r="B136" s="818" t="s">
        <v>966</v>
      </c>
      <c r="C136" s="826" t="s">
        <v>948</v>
      </c>
      <c r="D136" s="840">
        <v>2</v>
      </c>
      <c r="E136" s="840">
        <v>9</v>
      </c>
      <c r="F136" s="840">
        <v>7</v>
      </c>
      <c r="G136" s="840">
        <v>7</v>
      </c>
      <c r="H136" s="840">
        <v>0</v>
      </c>
      <c r="I136" s="858">
        <v>4933.400000000001</v>
      </c>
      <c r="J136" s="858">
        <v>4266.389999999999</v>
      </c>
      <c r="K136" s="822">
        <f t="shared" si="0"/>
      </c>
      <c r="L136" s="823">
        <f t="shared" si="4"/>
      </c>
      <c r="M136" s="823">
        <f t="shared" si="2"/>
      </c>
      <c r="N136" s="829"/>
      <c r="O136" s="818"/>
      <c r="P136" s="845"/>
    </row>
    <row r="137">
      <c r="A137" s="817">
        <v>45806</v>
      </c>
      <c r="B137" s="818" t="s">
        <v>964</v>
      </c>
      <c r="C137" s="826" t="s">
        <v>932</v>
      </c>
      <c r="D137" s="840">
        <v>4</v>
      </c>
      <c r="E137" s="840">
        <v>32</v>
      </c>
      <c r="F137" s="840">
        <v>25</v>
      </c>
      <c r="G137" s="840">
        <v>22</v>
      </c>
      <c r="H137" s="840">
        <v>4</v>
      </c>
      <c r="I137" s="840">
        <v>21034.6</v>
      </c>
      <c r="J137" s="861">
        <v>18757.77</v>
      </c>
      <c r="K137" s="822">
        <f t="shared" si="0"/>
      </c>
      <c r="L137" s="823">
        <f t="shared" si="4"/>
      </c>
      <c r="M137" s="823">
        <f t="shared" si="2"/>
      </c>
      <c r="N137" s="829" t="s">
        <v>961</v>
      </c>
      <c r="O137" s="818">
        <v>8</v>
      </c>
      <c r="P137" s="845"/>
    </row>
    <row r="138">
      <c r="A138" s="830">
        <v>45806</v>
      </c>
      <c r="B138" s="853"/>
      <c r="C138" s="853"/>
      <c r="D138" s="857">
        <f>SUM(D134:D137)</f>
      </c>
      <c r="E138" s="857">
        <f>SUM(E134:E137)</f>
      </c>
      <c r="F138" s="857">
        <f>SUM(F134:F137)</f>
      </c>
      <c r="G138" s="857">
        <f>SUM(G134:G137)</f>
      </c>
      <c r="H138" s="857">
        <f>SUM(H134:H137)</f>
      </c>
      <c r="I138" s="853">
        <f>SUM(I134:I137)</f>
      </c>
      <c r="J138" s="853">
        <f>SUM(J134:J137)</f>
      </c>
      <c r="K138" s="854">
        <f t="shared" si="0"/>
      </c>
      <c r="L138" s="833">
        <f t="shared" si="4"/>
      </c>
      <c r="M138" s="833">
        <f t="shared" si="2"/>
      </c>
      <c r="N138" s="855"/>
      <c r="O138" s="853">
        <f>SUM(O134:O137)</f>
      </c>
      <c r="P138" s="853"/>
    </row>
    <row r="139">
      <c r="A139" s="817">
        <v>45807</v>
      </c>
      <c r="B139" s="818" t="s">
        <v>929</v>
      </c>
      <c r="C139" s="826" t="s">
        <v>939</v>
      </c>
      <c r="D139" s="840">
        <v>5</v>
      </c>
      <c r="E139" s="840">
        <v>22</v>
      </c>
      <c r="F139" s="840">
        <v>17</v>
      </c>
      <c r="G139" s="840">
        <v>11</v>
      </c>
      <c r="H139" s="840">
        <v>3</v>
      </c>
      <c r="I139" s="850">
        <v>21844.8</v>
      </c>
      <c r="J139" s="850">
        <v>13543.24</v>
      </c>
      <c r="K139" s="822">
        <f t="shared" si="0"/>
      </c>
      <c r="L139" s="823">
        <f t="shared" si="4"/>
      </c>
      <c r="M139" s="823">
        <f t="shared" si="2"/>
      </c>
      <c r="N139" s="829" t="s">
        <v>933</v>
      </c>
      <c r="O139" s="818">
        <v>8</v>
      </c>
      <c r="P139" s="845"/>
    </row>
    <row r="140">
      <c r="A140" s="817">
        <v>45807</v>
      </c>
      <c r="B140" s="818" t="s">
        <v>931</v>
      </c>
      <c r="C140" s="826" t="s">
        <v>940</v>
      </c>
      <c r="D140" s="840">
        <v>4</v>
      </c>
      <c r="E140" s="840">
        <v>44</v>
      </c>
      <c r="F140" s="840">
        <v>31</v>
      </c>
      <c r="G140" s="840">
        <v>21</v>
      </c>
      <c r="H140" s="840">
        <v>2</v>
      </c>
      <c r="I140" s="858">
        <v>33552</v>
      </c>
      <c r="J140" s="858">
        <v>14043.53</v>
      </c>
      <c r="K140" s="822">
        <f t="shared" si="0"/>
      </c>
      <c r="L140" s="823">
        <f t="shared" si="4"/>
      </c>
      <c r="M140" s="823">
        <f t="shared" si="2"/>
      </c>
      <c r="N140" s="829"/>
      <c r="O140" s="818"/>
      <c r="P140" s="845"/>
    </row>
    <row r="141">
      <c r="A141" s="817">
        <v>45807</v>
      </c>
      <c r="B141" s="818" t="s">
        <v>973</v>
      </c>
      <c r="C141" s="826" t="s">
        <v>942</v>
      </c>
      <c r="D141" s="840">
        <v>3</v>
      </c>
      <c r="E141" s="840">
        <v>18</v>
      </c>
      <c r="F141" s="840">
        <v>15</v>
      </c>
      <c r="G141" s="840">
        <v>11</v>
      </c>
      <c r="H141" s="840">
        <v>4</v>
      </c>
      <c r="I141" s="858">
        <v>18786.4</v>
      </c>
      <c r="J141" s="858">
        <v>9069.5</v>
      </c>
      <c r="K141" s="822">
        <f t="shared" si="0"/>
      </c>
      <c r="L141" s="823">
        <f t="shared" si="4"/>
      </c>
      <c r="M141" s="823">
        <f t="shared" si="2"/>
      </c>
      <c r="N141" s="829"/>
      <c r="O141" s="818"/>
      <c r="P141" s="845"/>
    </row>
    <row r="142">
      <c r="A142" s="817">
        <v>45807</v>
      </c>
      <c r="B142" s="818" t="s">
        <v>964</v>
      </c>
      <c r="C142" s="826" t="s">
        <v>932</v>
      </c>
      <c r="D142" s="840">
        <v>4</v>
      </c>
      <c r="E142" s="840">
        <v>38</v>
      </c>
      <c r="F142" s="840">
        <v>22</v>
      </c>
      <c r="G142" s="840">
        <v>18</v>
      </c>
      <c r="H142" s="840">
        <v>4</v>
      </c>
      <c r="I142" s="840">
        <v>17496.2</v>
      </c>
      <c r="J142" s="861">
        <v>12885.830000000002</v>
      </c>
      <c r="K142" s="822">
        <f t="shared" si="0"/>
      </c>
      <c r="L142" s="823">
        <f t="shared" si="4"/>
      </c>
      <c r="M142" s="823">
        <f t="shared" si="2"/>
      </c>
      <c r="N142" s="829" t="s">
        <v>961</v>
      </c>
      <c r="O142" s="818">
        <v>8</v>
      </c>
      <c r="P142" s="845"/>
    </row>
    <row r="143">
      <c r="A143" s="830">
        <v>45807</v>
      </c>
      <c r="B143" s="853"/>
      <c r="C143" s="853"/>
      <c r="D143" s="857">
        <f>SUM(D139:D142)</f>
      </c>
      <c r="E143" s="857">
        <f>SUM(E139:E142)</f>
      </c>
      <c r="F143" s="857">
        <f>SUM(F139:F142)</f>
      </c>
      <c r="G143" s="857">
        <f>SUM(G139:G142)</f>
      </c>
      <c r="H143" s="857">
        <f>SUM(H139:H142)</f>
      </c>
      <c r="I143" s="853">
        <f>SUM(I139:I142)</f>
      </c>
      <c r="J143" s="853">
        <f>SUM(J139:J142)</f>
      </c>
      <c r="K143" s="854">
        <f t="shared" si="0"/>
      </c>
      <c r="L143" s="833">
        <f t="shared" si="4"/>
      </c>
      <c r="M143" s="833">
        <f t="shared" si="2"/>
      </c>
      <c r="N143" s="855"/>
      <c r="O143" s="853">
        <f>SUM(O139:O142)</f>
      </c>
      <c r="P143" s="853"/>
    </row>
    <row hidden="true" r="144">
      <c r="A144" s="817">
        <v>45808</v>
      </c>
      <c r="B144" s="818" t="s">
        <v>929</v>
      </c>
      <c r="C144" s="826" t="s">
        <v>939</v>
      </c>
      <c r="D144" s="863">
        <v>4.5</v>
      </c>
      <c r="E144" s="840">
        <v>55</v>
      </c>
      <c r="F144" s="840">
        <v>45</v>
      </c>
      <c r="G144" s="840">
        <v>32</v>
      </c>
      <c r="H144" s="840">
        <v>7</v>
      </c>
      <c r="I144" s="850">
        <v>43820.8</v>
      </c>
      <c r="J144" s="850">
        <v>20070.249999999996</v>
      </c>
      <c r="K144" s="822">
        <f t="shared" si="0"/>
      </c>
      <c r="L144" s="823">
        <f t="shared" si="4"/>
      </c>
      <c r="M144" s="823">
        <f t="shared" si="2"/>
      </c>
      <c r="N144" s="829" t="s">
        <v>933</v>
      </c>
      <c r="O144" s="818">
        <v>8</v>
      </c>
      <c r="P144" s="845"/>
    </row>
    <row hidden="true" r="145">
      <c r="A145" s="817">
        <v>45808</v>
      </c>
      <c r="B145" s="818" t="s">
        <v>931</v>
      </c>
      <c r="C145" s="826" t="s">
        <v>940</v>
      </c>
      <c r="D145" s="840">
        <v>4</v>
      </c>
      <c r="E145" s="840">
        <v>28</v>
      </c>
      <c r="F145" s="840">
        <v>17</v>
      </c>
      <c r="G145" s="840">
        <v>10</v>
      </c>
      <c r="H145" s="840">
        <v>2</v>
      </c>
      <c r="I145" s="858">
        <v>17438.399999999998</v>
      </c>
      <c r="J145" s="858">
        <v>12989.679999999998</v>
      </c>
      <c r="K145" s="822">
        <f t="shared" si="0"/>
      </c>
      <c r="L145" s="823">
        <f t="shared" si="4"/>
      </c>
      <c r="M145" s="823">
        <f t="shared" si="2"/>
      </c>
      <c r="N145" s="829"/>
      <c r="O145" s="818"/>
      <c r="P145" s="845"/>
    </row>
    <row hidden="true" r="146">
      <c r="A146" s="817">
        <v>45808</v>
      </c>
      <c r="B146" s="818" t="s">
        <v>973</v>
      </c>
      <c r="C146" s="826" t="s">
        <v>942</v>
      </c>
      <c r="D146" s="840">
        <v>3</v>
      </c>
      <c r="E146" s="840">
        <v>18</v>
      </c>
      <c r="F146" s="840">
        <v>15</v>
      </c>
      <c r="G146" s="840">
        <v>14</v>
      </c>
      <c r="H146" s="840">
        <v>3</v>
      </c>
      <c r="I146" s="858">
        <v>10533.4</v>
      </c>
      <c r="J146" s="858">
        <v>8910.57</v>
      </c>
      <c r="K146" s="822">
        <f t="shared" si="0"/>
      </c>
      <c r="L146" s="823">
        <f t="shared" si="4"/>
      </c>
      <c r="M146" s="823">
        <f t="shared" si="2"/>
      </c>
      <c r="N146" s="829"/>
      <c r="O146" s="818"/>
      <c r="P146" s="845"/>
    </row>
    <row hidden="true" r="147">
      <c r="A147" s="817">
        <v>45808</v>
      </c>
      <c r="B147" s="818" t="s">
        <v>941</v>
      </c>
      <c r="C147" s="826" t="s">
        <v>932</v>
      </c>
      <c r="D147" s="840">
        <v>4</v>
      </c>
      <c r="E147" s="840">
        <v>60</v>
      </c>
      <c r="F147" s="840">
        <v>49</v>
      </c>
      <c r="G147" s="840">
        <v>33</v>
      </c>
      <c r="H147" s="840">
        <v>10</v>
      </c>
      <c r="I147" s="840">
        <v>43679</v>
      </c>
      <c r="J147" s="861">
        <v>12827.6</v>
      </c>
      <c r="K147" s="822">
        <f t="shared" si="0"/>
      </c>
      <c r="L147" s="823">
        <f t="shared" si="4"/>
      </c>
      <c r="M147" s="823">
        <f t="shared" si="2"/>
      </c>
      <c r="N147" s="829" t="s">
        <v>961</v>
      </c>
      <c r="O147" s="818">
        <v>8</v>
      </c>
      <c r="P147" s="845"/>
    </row>
    <row hidden="true" r="148">
      <c r="A148" s="830">
        <v>45808</v>
      </c>
      <c r="B148" s="853"/>
      <c r="C148" s="853"/>
      <c r="D148" s="857">
        <f>SUM(D144:D147)</f>
      </c>
      <c r="E148" s="857">
        <f>SUM(E144:E147)</f>
      </c>
      <c r="F148" s="857">
        <f>SUM(F144:F147)</f>
      </c>
      <c r="G148" s="857">
        <f>SUM(G144:G147)</f>
      </c>
      <c r="H148" s="857">
        <f>SUM(H144:H147)</f>
      </c>
      <c r="I148" s="853">
        <f>SUM(I144:I147)</f>
      </c>
      <c r="J148" s="853">
        <f>SUM(J144:J147)</f>
      </c>
      <c r="K148" s="854">
        <f t="shared" si="0"/>
      </c>
      <c r="L148" s="833">
        <f t="shared" si="4"/>
      </c>
      <c r="M148" s="833">
        <f t="shared" si="2"/>
      </c>
      <c r="N148" s="855"/>
      <c r="O148" s="853">
        <f>SUM(O144:O147)</f>
      </c>
      <c r="P148" s="853"/>
    </row>
    <row hidden="true" r="149"/>
    <row hidden="true" r="150"/>
    <row hidden="true" r="151"/>
    <row hidden="true" r="152"/>
    <row hidden="true" r="153"/>
    <row hidden="true" r="154"/>
    <row hidden="true" r="155"/>
    <row hidden="true" r="156"/>
    <row hidden="true" r="157"/>
    <row hidden="true" r="158"/>
    <row hidden="true" r="159"/>
    <row hidden="true" r="160"/>
    <row hidden="true" r="161"/>
    <row hidden="true" r="162"/>
    <row hidden="true" r="163"/>
    <row hidden="true" r="164"/>
    <row hidden="true" r="165"/>
    <row hidden="true" r="166"/>
    <row hidden="true" r="167"/>
    <row hidden="true" r="168"/>
    <row hidden="true" r="169"/>
    <row hidden="true" r="170"/>
    <row hidden="true" r="171"/>
    <row hidden="true" r="172"/>
    <row hidden="true" r="173"/>
    <row hidden="true" r="174"/>
    <row hidden="true" r="175"/>
    <row hidden="true" r="176"/>
    <row hidden="true" r="177"/>
    <row hidden="true" r="178"/>
    <row hidden="true" r="179"/>
    <row hidden="true" r="180"/>
    <row hidden="true" r="181"/>
    <row hidden="true" r="182"/>
    <row hidden="true" r="183"/>
    <row hidden="true" r="184"/>
    <row hidden="true" r="185"/>
    <row hidden="true" r="186"/>
    <row hidden="true" r="187"/>
    <row hidden="true" r="188"/>
    <row hidden="true" r="189"/>
    <row hidden="true" r="190"/>
    <row hidden="true" r="191"/>
    <row hidden="true" r="192"/>
    <row hidden="true" r="193"/>
    <row hidden="true" r="194"/>
    <row hidden="true" r="195"/>
    <row hidden="true" r="196"/>
    <row hidden="true" r="197"/>
    <row hidden="true" r="198"/>
    <row hidden="true" r="199"/>
    <row hidden="true" r="200"/>
    <row hidden="true" r="201"/>
    <row hidden="true" r="202"/>
    <row hidden="true" r="203"/>
    <row hidden="true" r="204"/>
    <row hidden="true" r="205"/>
    <row hidden="true" r="206"/>
    <row hidden="true" r="207"/>
    <row hidden="true" r="208"/>
    <row hidden="true" r="209"/>
    <row hidden="true" r="210"/>
    <row hidden="true" r="211"/>
    <row hidden="true" r="212"/>
    <row hidden="true" r="213"/>
    <row hidden="true" r="214"/>
    <row hidden="true" r="215"/>
    <row hidden="true" r="216"/>
    <row hidden="true" r="217"/>
    <row hidden="true" r="218">
      <c r="O218" s="860"/>
    </row>
    <row hidden="true" r="219"/>
    <row hidden="true" r="220"/>
    <row hidden="true" r="221"/>
    <row hidden="true" r="222"/>
    <row hidden="true" r="223"/>
    <row hidden="true" r="224"/>
    <row hidden="true" r="225">
      <c r="B225" s="864"/>
    </row>
    <row hidden="true" r="226">
      <c r="K226" s="822"/>
    </row>
    <row hidden="true" r="227"/>
    <row hidden="true" r="228"/>
    <row hidden="true" r="229">
      <c r="K229" s="822"/>
    </row>
    <row hidden="true" r="230"/>
    <row hidden="true" r="231"/>
    <row hidden="true" r="232">
      <c r="K232" s="822"/>
    </row>
    <row hidden="true" r="233"/>
    <row hidden="true" r="234"/>
    <row hidden="true" r="235"/>
    <row hidden="true" r="236"/>
    <row hidden="true" r="237"/>
    <row hidden="true" r="238"/>
    <row hidden="true" r="239"/>
    <row hidden="true" r="240"/>
    <row hidden="true" r="241"/>
    <row hidden="true" r="242"/>
    <row hidden="true" r="243"/>
    <row hidden="true" r="244"/>
    <row hidden="true" r="245"/>
    <row hidden="true" r="246"/>
    <row hidden="true" r="247"/>
    <row hidden="true" r="248"/>
    <row hidden="true" r="249"/>
    <row hidden="true" r="250"/>
    <row hidden="true" r="251"/>
    <row hidden="true" r="252"/>
    <row hidden="true" r="253"/>
    <row hidden="true" r="254"/>
    <row hidden="true" r="255"/>
    <row hidden="true" r="256"/>
    <row hidden="true" r="257"/>
    <row hidden="true" r="258"/>
    <row hidden="true" r="259"/>
    <row hidden="true" r="260"/>
    <row hidden="true" r="261"/>
    <row hidden="true" r="262"/>
    <row hidden="true" r="263"/>
    <row hidden="true" r="264"/>
    <row hidden="true" r="265"/>
    <row hidden="true" r="266"/>
    <row hidden="true" r="267"/>
    <row hidden="true" r="268"/>
    <row hidden="true" r="269"/>
    <row hidden="true" r="270"/>
    <row hidden="true" r="271"/>
    <row hidden="true" r="272"/>
    <row hidden="true" r="273"/>
    <row hidden="true" r="274"/>
    <row hidden="true" r="275"/>
    <row hidden="true" r="276"/>
    <row hidden="true" r="277"/>
    <row hidden="true" r="278"/>
    <row hidden="true" r="279"/>
    <row hidden="true" r="280"/>
    <row hidden="true" r="281"/>
    <row hidden="true" r="282"/>
    <row hidden="true" r="283"/>
    <row hidden="true" r="284"/>
    <row hidden="true" r="285"/>
    <row hidden="true" r="286"/>
    <row hidden="true" r="287"/>
    <row hidden="true" r="288"/>
    <row hidden="true" r="289"/>
    <row hidden="true" r="290"/>
    <row hidden="true" r="291"/>
    <row hidden="true" r="292"/>
    <row hidden="true" r="293"/>
    <row hidden="true" r="294"/>
    <row hidden="true" r="295"/>
    <row hidden="true" r="296"/>
    <row hidden="true" r="297"/>
    <row hidden="true" r="298"/>
    <row hidden="true" r="299"/>
    <row hidden="true" r="300"/>
    <row hidden="true" r="301"/>
    <row hidden="true" r="302"/>
    <row hidden="true" r="303"/>
    <row hidden="true" r="304"/>
    <row hidden="true" r="305"/>
    <row hidden="true" r="306"/>
    <row hidden="true" r="307"/>
    <row hidden="true" r="308"/>
    <row hidden="true" r="309"/>
    <row hidden="true" r="310"/>
    <row hidden="true" r="311"/>
    <row hidden="true" r="312"/>
    <row hidden="true" r="313"/>
    <row hidden="true" r="314"/>
    <row hidden="true" r="315"/>
    <row hidden="true" r="316"/>
    <row hidden="true" r="317"/>
    <row hidden="true" r="318"/>
    <row hidden="true" r="319"/>
    <row hidden="true" r="320"/>
    <row hidden="true" r="321"/>
    <row hidden="true" r="322"/>
    <row hidden="true" r="323"/>
    <row hidden="true" r="324"/>
    <row hidden="true" r="325"/>
    <row hidden="true" r="326"/>
    <row hidden="true" r="327"/>
    <row hidden="true" r="328"/>
    <row hidden="true" r="329"/>
    <row hidden="true" r="330"/>
    <row hidden="true" r="331"/>
    <row hidden="true" r="332"/>
    <row hidden="true" r="333"/>
    <row hidden="true" r="334"/>
    <row hidden="true" r="335"/>
    <row hidden="true" r="336"/>
    <row hidden="true" r="337"/>
    <row hidden="true" r="338"/>
    <row hidden="true" r="339"/>
    <row hidden="true" r="340"/>
    <row hidden="true" r="341"/>
    <row hidden="true" r="342"/>
    <row hidden="true" r="343"/>
    <row hidden="true" r="344"/>
    <row hidden="true" r="345"/>
    <row hidden="true" r="346"/>
    <row hidden="true" r="347"/>
    <row hidden="true" r="348"/>
    <row hidden="true" r="349"/>
    <row hidden="true" r="350"/>
    <row hidden="true" r="351"/>
    <row hidden="true" r="352"/>
    <row hidden="true" r="353"/>
    <row hidden="true" r="354"/>
    <row hidden="true" r="355"/>
    <row hidden="true" r="356"/>
    <row hidden="true" r="357"/>
    <row hidden="true" r="358"/>
    <row hidden="true" r="359"/>
    <row hidden="true" r="360"/>
    <row hidden="true" r="361"/>
    <row hidden="true" r="362"/>
    <row hidden="true" r="363"/>
    <row hidden="true" r="364"/>
    <row hidden="true" r="365"/>
    <row hidden="true" r="366"/>
    <row hidden="true" r="367"/>
    <row hidden="true" r="368"/>
    <row hidden="true" r="369"/>
    <row hidden="true" r="370"/>
    <row hidden="true" r="371"/>
    <row hidden="true" r="372"/>
    <row hidden="true" r="373"/>
    <row hidden="true" r="374"/>
    <row hidden="true" r="375"/>
    <row hidden="true" r="376"/>
    <row hidden="true" r="377"/>
    <row hidden="true" r="378"/>
    <row hidden="true" r="379"/>
    <row hidden="true" r="380"/>
    <row hidden="true" r="381"/>
    <row hidden="true" r="382"/>
    <row hidden="true" r="383"/>
    <row hidden="true" r="384"/>
    <row hidden="true" r="385"/>
    <row hidden="true" r="386"/>
    <row hidden="true" r="387"/>
    <row hidden="true" r="388"/>
    <row hidden="true" r="389"/>
    <row hidden="true" r="390"/>
    <row hidden="true" r="391"/>
    <row hidden="true" r="392"/>
    <row hidden="true" r="393"/>
    <row hidden="true" r="394"/>
    <row hidden="true" r="395"/>
    <row hidden="true" r="396"/>
    <row hidden="true" r="397"/>
    <row hidden="true" r="398"/>
    <row hidden="true" r="399"/>
    <row hidden="true" r="400"/>
    <row hidden="true" r="401"/>
  </sheetData>
  <autoFilter ref="A1:AU401">
    <filterColumn colId="0">
      <filters>
        <filter val="2025.5.15"/>
        <filter val="2025.5.16"/>
        <filter val="2025.5.17"/>
        <filter val="2025.5.18"/>
        <filter val="2025.5.19"/>
        <filter val="2025.5.20"/>
        <filter val="2025.5.21"/>
        <filter val="2025.5.22"/>
        <filter val="2025.5.23"/>
        <filter val="2025.5.24"/>
        <filter val="2025.5.25"/>
        <filter val="2025.5.26"/>
        <filter val="2025.5.27"/>
        <filter val="2025.5.28"/>
        <filter val="2025.5.29"/>
        <filter val="2025.5.30"/>
      </filters>
    </filterColumn>
  </autoFilter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cols>
    <col collapsed="false" customWidth="true" hidden="false" max="1" min="1" style="0" width="11.211267605633802"/>
  </cols>
  <sheetData>
    <row r="1">
      <c r="A1" s="865" t="s">
        <v>975</v>
      </c>
      <c r="B1" s="865" t="s">
        <v>976</v>
      </c>
      <c r="C1" s="865" t="s">
        <v>977</v>
      </c>
      <c r="D1" s="865" t="s">
        <v>978</v>
      </c>
      <c r="E1" s="865" t="s">
        <v>979</v>
      </c>
      <c r="F1" s="865" t="s">
        <v>980</v>
      </c>
      <c r="G1" s="865" t="s">
        <v>981</v>
      </c>
      <c r="H1" s="865" t="s">
        <v>982</v>
      </c>
      <c r="I1" s="865" t="s">
        <v>983</v>
      </c>
      <c r="J1" s="866" t="s">
        <v>984</v>
      </c>
      <c r="K1" s="866" t="s">
        <v>985</v>
      </c>
      <c r="L1" s="866" t="s">
        <v>986</v>
      </c>
      <c r="M1" s="867" t="s">
        <v>987</v>
      </c>
      <c r="N1" s="867" t="s">
        <v>988</v>
      </c>
      <c r="O1" s="867" t="s">
        <v>989</v>
      </c>
      <c r="P1" s="867" t="s">
        <v>989</v>
      </c>
      <c r="Q1" s="867" t="s">
        <v>989</v>
      </c>
    </row>
    <row r="2">
      <c r="A2" s="868">
        <v>45748</v>
      </c>
      <c r="B2" s="869" t="s">
        <v>990</v>
      </c>
      <c r="C2" s="870" t="s">
        <v>991</v>
      </c>
      <c r="D2" s="871">
        <v>5</v>
      </c>
      <c r="E2" s="869">
        <v>35</v>
      </c>
      <c r="F2" s="869">
        <v>26</v>
      </c>
      <c r="G2" s="869">
        <v>4</v>
      </c>
      <c r="H2" s="872">
        <v>22044</v>
      </c>
      <c r="I2" s="872">
        <v>18427.13</v>
      </c>
      <c r="J2" s="873">
        <f t="shared" ref="J2:J149" si="0">H2/I2</f>
      </c>
      <c r="K2" s="873">
        <f t="shared" ref="K2:K149" si="1">H2/F2</f>
      </c>
      <c r="L2" s="873">
        <f t="shared" ref="L2:L149" si="2">I2/F2</f>
      </c>
      <c r="M2" s="874" t="s">
        <v>992</v>
      </c>
      <c r="N2" s="871">
        <v>9</v>
      </c>
      <c r="O2" s="875" t="s">
        <v>989</v>
      </c>
      <c r="P2" s="876" t="s">
        <v>989</v>
      </c>
      <c r="Q2" s="875" t="s">
        <v>989</v>
      </c>
    </row>
    <row r="3">
      <c r="A3" s="868">
        <v>45748</v>
      </c>
      <c r="B3" s="869" t="s">
        <v>993</v>
      </c>
      <c r="C3" s="870" t="s">
        <v>994</v>
      </c>
      <c r="D3" s="871">
        <v>4</v>
      </c>
      <c r="E3" s="869">
        <v>40</v>
      </c>
      <c r="F3" s="869">
        <v>30</v>
      </c>
      <c r="G3" s="869">
        <v>6</v>
      </c>
      <c r="H3" s="869">
        <v>25760.8</v>
      </c>
      <c r="I3" s="872">
        <v>21455.74</v>
      </c>
      <c r="J3" s="873">
        <f t="shared" si="0"/>
      </c>
      <c r="K3" s="873">
        <f t="shared" si="1"/>
      </c>
      <c r="L3" s="873">
        <f t="shared" si="2"/>
      </c>
      <c r="M3" s="877" t="s">
        <v>989</v>
      </c>
      <c r="N3" s="871" t="s">
        <v>989</v>
      </c>
      <c r="O3" s="875" t="s">
        <v>989</v>
      </c>
      <c r="P3" s="876" t="s">
        <v>989</v>
      </c>
      <c r="Q3" s="878" t="s">
        <v>989</v>
      </c>
    </row>
    <row r="4">
      <c r="A4" s="868">
        <v>45748</v>
      </c>
      <c r="B4" s="869" t="s">
        <v>995</v>
      </c>
      <c r="C4" s="870" t="s">
        <v>996</v>
      </c>
      <c r="D4" s="869">
        <v>3</v>
      </c>
      <c r="E4" s="871">
        <v>9</v>
      </c>
      <c r="F4" s="871">
        <v>11</v>
      </c>
      <c r="G4" s="869">
        <v>1</v>
      </c>
      <c r="H4" s="879">
        <v>8155.399999999994</v>
      </c>
      <c r="I4" s="879">
        <v>6423.68</v>
      </c>
      <c r="J4" s="873">
        <f t="shared" si="0"/>
      </c>
      <c r="K4" s="873">
        <f t="shared" si="1"/>
      </c>
      <c r="L4" s="873">
        <f t="shared" si="2"/>
      </c>
      <c r="M4" s="877"/>
      <c r="N4" s="871"/>
      <c r="O4" s="875"/>
      <c r="P4" s="876" t="s">
        <v>989</v>
      </c>
      <c r="Q4" s="875" t="s">
        <v>989</v>
      </c>
    </row>
    <row r="5">
      <c r="A5" s="868">
        <v>45748</v>
      </c>
      <c r="B5" s="869" t="s">
        <v>997</v>
      </c>
      <c r="C5" s="870" t="s">
        <v>998</v>
      </c>
      <c r="D5" s="869">
        <v>5</v>
      </c>
      <c r="E5" s="869">
        <v>58</v>
      </c>
      <c r="F5" s="869">
        <v>42</v>
      </c>
      <c r="G5" s="869">
        <v>14</v>
      </c>
      <c r="H5" s="871">
        <v>35330</v>
      </c>
      <c r="I5" s="879">
        <v>20675.02</v>
      </c>
      <c r="J5" s="873">
        <f t="shared" si="0"/>
      </c>
      <c r="K5" s="873">
        <f t="shared" si="1"/>
      </c>
      <c r="L5" s="873">
        <f t="shared" si="2"/>
      </c>
      <c r="M5" s="874" t="s">
        <v>999</v>
      </c>
      <c r="N5" s="869">
        <v>8</v>
      </c>
      <c r="O5" s="875"/>
      <c r="P5" s="876" t="s">
        <v>989</v>
      </c>
      <c r="Q5" s="878" t="s">
        <v>989</v>
      </c>
    </row>
    <row r="6">
      <c r="A6" s="880" t="s">
        <v>1000</v>
      </c>
      <c r="B6" s="881" t="s">
        <v>989</v>
      </c>
      <c r="C6" s="881" t="s">
        <v>989</v>
      </c>
      <c r="D6" s="882">
        <f>SUM(D2:D5)</f>
      </c>
      <c r="E6" s="882">
        <f>SUM(E2:E5)</f>
      </c>
      <c r="F6" s="882">
        <f>SUM(F2:F5)</f>
      </c>
      <c r="G6" s="882">
        <f>SUM(G2:G5)</f>
      </c>
      <c r="H6" s="882">
        <f>SUM(H2:H5)</f>
      </c>
      <c r="I6" s="882">
        <f>SUM(I2:I5)</f>
      </c>
      <c r="J6" s="883">
        <f t="shared" si="0"/>
      </c>
      <c r="K6" s="883">
        <f t="shared" si="1"/>
      </c>
      <c r="L6" s="883">
        <f t="shared" si="2"/>
      </c>
      <c r="M6" s="884" t="s">
        <v>989</v>
      </c>
      <c r="N6" s="882">
        <f>SUM(N2:N5)</f>
      </c>
    </row>
    <row r="7">
      <c r="A7" s="868">
        <v>45749</v>
      </c>
      <c r="B7" s="869" t="s">
        <v>993</v>
      </c>
      <c r="C7" s="870" t="s">
        <v>1001</v>
      </c>
      <c r="D7" s="869">
        <v>4</v>
      </c>
      <c r="E7" s="869">
        <v>19</v>
      </c>
      <c r="F7" s="869">
        <v>15</v>
      </c>
      <c r="G7" s="869">
        <v>3</v>
      </c>
      <c r="H7" s="872">
        <v>11059.2</v>
      </c>
      <c r="I7" s="872">
        <v>9988.08</v>
      </c>
      <c r="J7" s="873">
        <f t="shared" si="0"/>
      </c>
      <c r="K7" s="873">
        <f t="shared" si="1"/>
      </c>
      <c r="L7" s="873">
        <f t="shared" si="2"/>
      </c>
      <c r="M7" s="874" t="s">
        <v>992</v>
      </c>
      <c r="N7" s="869">
        <v>5</v>
      </c>
    </row>
    <row r="8">
      <c r="A8" s="868">
        <v>45749</v>
      </c>
      <c r="B8" s="869" t="s">
        <v>997</v>
      </c>
      <c r="C8" s="870" t="s">
        <v>1002</v>
      </c>
      <c r="D8" s="869">
        <v>5</v>
      </c>
      <c r="E8" s="871">
        <v>35</v>
      </c>
      <c r="F8" s="871">
        <v>23</v>
      </c>
      <c r="G8" s="869">
        <v>5</v>
      </c>
      <c r="H8" s="879">
        <v>22057.6</v>
      </c>
      <c r="I8" s="872">
        <v>13417.93</v>
      </c>
      <c r="J8" s="873">
        <f t="shared" si="0"/>
      </c>
      <c r="K8" s="873">
        <f t="shared" si="1"/>
      </c>
      <c r="L8" s="873">
        <f t="shared" si="2"/>
      </c>
      <c r="M8" s="877" t="s">
        <v>989</v>
      </c>
      <c r="N8" s="871" t="s">
        <v>989</v>
      </c>
    </row>
    <row r="9">
      <c r="A9" s="868">
        <v>45749</v>
      </c>
      <c r="B9" s="869" t="s">
        <v>990</v>
      </c>
      <c r="C9" s="870" t="s">
        <v>1003</v>
      </c>
      <c r="D9" s="869">
        <v>4</v>
      </c>
      <c r="E9" s="871">
        <v>21</v>
      </c>
      <c r="F9" s="871">
        <v>13</v>
      </c>
      <c r="G9" s="869">
        <v>1</v>
      </c>
      <c r="H9" s="879">
        <v>13003.2</v>
      </c>
      <c r="I9" s="872">
        <v>7979.4</v>
      </c>
      <c r="J9" s="873">
        <f t="shared" si="0"/>
      </c>
      <c r="K9" s="873">
        <f t="shared" si="1"/>
      </c>
      <c r="L9" s="873">
        <f t="shared" si="2"/>
      </c>
      <c r="M9" s="874" t="s">
        <v>999</v>
      </c>
      <c r="N9" s="869">
        <v>8</v>
      </c>
    </row>
    <row r="10">
      <c r="A10" s="880" t="s">
        <v>1004</v>
      </c>
      <c r="B10" s="881" t="s">
        <v>989</v>
      </c>
      <c r="C10" s="881" t="s">
        <v>989</v>
      </c>
      <c r="D10" s="881">
        <f>SUM(D7:D9)</f>
      </c>
      <c r="E10" s="881">
        <f>SUM(E7:E9)</f>
      </c>
      <c r="F10" s="881">
        <f>SUM(F7:F9)</f>
      </c>
      <c r="G10" s="881">
        <f>SUM(G7:G9)</f>
      </c>
      <c r="H10" s="885">
        <f>SUM(H7:H9)</f>
      </c>
      <c r="I10" s="885">
        <f>SUM(I7:I9)</f>
      </c>
      <c r="J10" s="883">
        <f t="shared" si="0"/>
      </c>
      <c r="K10" s="883">
        <f t="shared" si="1"/>
      </c>
      <c r="L10" s="883">
        <f t="shared" si="2"/>
      </c>
      <c r="M10" s="884" t="s">
        <v>989</v>
      </c>
      <c r="N10" s="886">
        <f>SUM(N7:N9)</f>
      </c>
    </row>
    <row r="11">
      <c r="A11" s="868">
        <v>45750</v>
      </c>
      <c r="B11" s="869" t="s">
        <v>1005</v>
      </c>
      <c r="C11" s="870" t="s">
        <v>1006</v>
      </c>
      <c r="D11" s="869">
        <v>4</v>
      </c>
      <c r="E11" s="869">
        <v>18</v>
      </c>
      <c r="F11" s="869">
        <v>13</v>
      </c>
      <c r="G11" s="869">
        <v>2</v>
      </c>
      <c r="H11" s="872">
        <v>11982</v>
      </c>
      <c r="I11" s="872">
        <v>9567.95</v>
      </c>
      <c r="J11" s="873">
        <f t="shared" si="0"/>
      </c>
      <c r="K11" s="873">
        <f t="shared" si="1"/>
      </c>
      <c r="L11" s="873">
        <f t="shared" si="2"/>
      </c>
      <c r="M11" s="874" t="s">
        <v>992</v>
      </c>
      <c r="N11" s="871">
        <v>9</v>
      </c>
    </row>
    <row r="12">
      <c r="A12" s="868">
        <v>45750</v>
      </c>
      <c r="B12" s="869" t="s">
        <v>997</v>
      </c>
      <c r="C12" s="870" t="s">
        <v>1007</v>
      </c>
      <c r="D12" s="869">
        <v>5</v>
      </c>
      <c r="E12" s="869">
        <v>14</v>
      </c>
      <c r="F12" s="869">
        <v>10</v>
      </c>
      <c r="G12" s="869">
        <v>0</v>
      </c>
      <c r="H12" s="869">
        <v>6966.2</v>
      </c>
      <c r="I12" s="872">
        <v>8606.61</v>
      </c>
      <c r="J12" s="873">
        <f t="shared" si="0"/>
      </c>
      <c r="K12" s="873">
        <f t="shared" si="1"/>
      </c>
      <c r="L12" s="873">
        <f t="shared" si="2"/>
      </c>
      <c r="M12" s="877" t="s">
        <v>989</v>
      </c>
      <c r="N12" s="871" t="s">
        <v>989</v>
      </c>
    </row>
    <row r="13">
      <c r="A13" s="868">
        <v>45750</v>
      </c>
      <c r="B13" s="869" t="s">
        <v>990</v>
      </c>
      <c r="C13" s="870" t="s">
        <v>1008</v>
      </c>
      <c r="D13" s="869">
        <v>4</v>
      </c>
      <c r="E13" s="869">
        <v>13</v>
      </c>
      <c r="F13" s="869">
        <v>10</v>
      </c>
      <c r="G13" s="869">
        <v>2</v>
      </c>
      <c r="H13" s="872">
        <v>8964</v>
      </c>
      <c r="I13" s="872">
        <v>7218.64</v>
      </c>
      <c r="J13" s="873">
        <f t="shared" si="0"/>
      </c>
      <c r="K13" s="873">
        <f t="shared" si="1"/>
      </c>
      <c r="L13" s="873">
        <f t="shared" si="2"/>
      </c>
      <c r="M13" s="874" t="s">
        <v>1009</v>
      </c>
      <c r="N13" s="869">
        <v>1.6</v>
      </c>
      <c r="O13" s="887" t="s">
        <v>1010</v>
      </c>
    </row>
    <row r="14">
      <c r="A14" s="880" t="s">
        <v>1011</v>
      </c>
      <c r="B14" s="881" t="s">
        <v>989</v>
      </c>
      <c r="C14" s="881" t="s">
        <v>989</v>
      </c>
      <c r="D14" s="882">
        <f>SUM(D11:D13)</f>
      </c>
      <c r="E14" s="882">
        <f>SUM(E11:E13)</f>
      </c>
      <c r="F14" s="882">
        <f>SUM(F11:F13)</f>
      </c>
      <c r="G14" s="882">
        <f>SUM(G11:G13)</f>
      </c>
      <c r="H14" s="882">
        <f>SUM(H11:H13)</f>
      </c>
      <c r="I14" s="882">
        <f>SUM(I11:I13)</f>
      </c>
      <c r="J14" s="883">
        <f t="shared" si="0"/>
      </c>
      <c r="K14" s="883">
        <f t="shared" si="1"/>
      </c>
      <c r="L14" s="883">
        <f t="shared" si="2"/>
      </c>
      <c r="M14" s="884" t="s">
        <v>989</v>
      </c>
      <c r="N14" s="882">
        <f>SUM(N11:N13)</f>
      </c>
    </row>
    <row r="15">
      <c r="A15" s="868">
        <v>45751</v>
      </c>
      <c r="B15" s="869" t="s">
        <v>997</v>
      </c>
      <c r="C15" s="870" t="s">
        <v>991</v>
      </c>
      <c r="D15" s="869">
        <v>5</v>
      </c>
      <c r="E15" s="869">
        <v>27</v>
      </c>
      <c r="F15" s="869">
        <v>23</v>
      </c>
      <c r="G15" s="869">
        <v>2</v>
      </c>
      <c r="H15" s="872">
        <v>16297.4</v>
      </c>
      <c r="I15" s="872">
        <v>11393.49</v>
      </c>
      <c r="J15" s="873">
        <f t="shared" si="0"/>
      </c>
      <c r="K15" s="873">
        <f t="shared" si="1"/>
      </c>
      <c r="L15" s="873">
        <f t="shared" si="2"/>
      </c>
      <c r="M15" s="874" t="s">
        <v>992</v>
      </c>
      <c r="N15" s="869">
        <v>2</v>
      </c>
      <c r="O15" s="869" t="s">
        <v>1010</v>
      </c>
      <c r="P15" s="888"/>
      <c r="Q15" s="888"/>
    </row>
    <row r="16">
      <c r="A16" s="868">
        <v>45751</v>
      </c>
      <c r="B16" s="869" t="s">
        <v>1012</v>
      </c>
      <c r="C16" s="870" t="s">
        <v>994</v>
      </c>
      <c r="D16" s="869">
        <v>4</v>
      </c>
      <c r="E16" s="869">
        <v>40</v>
      </c>
      <c r="F16" s="869">
        <v>26</v>
      </c>
      <c r="G16" s="869">
        <v>3</v>
      </c>
      <c r="H16" s="872">
        <v>20137.4</v>
      </c>
      <c r="I16" s="872">
        <v>14647.56</v>
      </c>
      <c r="J16" s="873">
        <f t="shared" si="0"/>
      </c>
      <c r="K16" s="873">
        <f t="shared" si="1"/>
      </c>
      <c r="L16" s="873">
        <f t="shared" si="2"/>
      </c>
      <c r="M16" s="877"/>
      <c r="N16" s="871"/>
      <c r="O16" s="871"/>
      <c r="P16" s="888"/>
      <c r="Q16" s="888"/>
    </row>
    <row r="17">
      <c r="A17" s="868">
        <v>45751</v>
      </c>
      <c r="B17" s="869" t="s">
        <v>990</v>
      </c>
      <c r="C17" s="870" t="s">
        <v>1013</v>
      </c>
      <c r="D17" s="869">
        <v>5</v>
      </c>
      <c r="E17" s="869">
        <v>32</v>
      </c>
      <c r="F17" s="869">
        <v>27</v>
      </c>
      <c r="G17" s="869">
        <v>4</v>
      </c>
      <c r="H17" s="869">
        <v>23652.4</v>
      </c>
      <c r="I17" s="872">
        <v>14283.28</v>
      </c>
      <c r="J17" s="873">
        <f t="shared" si="0"/>
      </c>
      <c r="K17" s="873">
        <f t="shared" si="1"/>
      </c>
      <c r="L17" s="873">
        <f t="shared" si="2"/>
      </c>
      <c r="M17" s="874" t="s">
        <v>1009</v>
      </c>
      <c r="N17" s="869">
        <v>3.6</v>
      </c>
      <c r="O17" s="869" t="s">
        <v>1010</v>
      </c>
      <c r="P17" s="888"/>
      <c r="Q17" s="888"/>
    </row>
    <row r="18">
      <c r="A18" s="880" t="s">
        <v>1014</v>
      </c>
      <c r="B18" s="881" t="s">
        <v>989</v>
      </c>
      <c r="C18" s="881" t="s">
        <v>989</v>
      </c>
      <c r="D18" s="882">
        <f>SUM(D15:D17)</f>
      </c>
      <c r="E18" s="882">
        <f>SUM(E15:E17)</f>
      </c>
      <c r="F18" s="882">
        <f>SUM(F15:F17)</f>
      </c>
      <c r="G18" s="882">
        <f>SUM(G15:G17)</f>
      </c>
      <c r="H18" s="882">
        <f>SUM(H15:H17)</f>
      </c>
      <c r="I18" s="882">
        <f>SUM(I15:I17)</f>
      </c>
      <c r="J18" s="883">
        <f t="shared" si="0"/>
      </c>
      <c r="K18" s="883">
        <f t="shared" si="1"/>
      </c>
      <c r="L18" s="883">
        <f t="shared" si="2"/>
      </c>
      <c r="M18" s="884" t="s">
        <v>989</v>
      </c>
      <c r="N18" s="882">
        <f>SUM(N15:N17)</f>
      </c>
      <c r="O18" s="882"/>
      <c r="P18" s="888"/>
      <c r="Q18" s="888"/>
    </row>
    <row r="19">
      <c r="A19" s="868">
        <v>45752</v>
      </c>
      <c r="B19" s="869" t="s">
        <v>993</v>
      </c>
      <c r="C19" s="870" t="s">
        <v>1015</v>
      </c>
      <c r="D19" s="869">
        <v>4</v>
      </c>
      <c r="E19" s="869">
        <v>11</v>
      </c>
      <c r="F19" s="869">
        <v>7</v>
      </c>
      <c r="G19" s="869">
        <v>0</v>
      </c>
      <c r="H19" s="872">
        <v>4747.4</v>
      </c>
      <c r="I19" s="872">
        <v>8586.3</v>
      </c>
      <c r="J19" s="873">
        <f t="shared" si="0"/>
      </c>
      <c r="K19" s="873">
        <f t="shared" si="1"/>
      </c>
      <c r="L19" s="873">
        <f t="shared" si="2"/>
      </c>
      <c r="M19" s="874" t="s">
        <v>992</v>
      </c>
      <c r="N19" s="869">
        <v>4.6</v>
      </c>
      <c r="O19" s="869" t="s">
        <v>1010</v>
      </c>
      <c r="P19" s="888"/>
      <c r="Q19" s="888"/>
    </row>
    <row r="20">
      <c r="A20" s="868">
        <v>45752</v>
      </c>
      <c r="B20" s="869" t="s">
        <v>1012</v>
      </c>
      <c r="C20" s="870" t="s">
        <v>1016</v>
      </c>
      <c r="D20" s="869">
        <v>5</v>
      </c>
      <c r="E20" s="869">
        <v>11</v>
      </c>
      <c r="F20" s="869">
        <v>10</v>
      </c>
      <c r="G20" s="869">
        <v>1</v>
      </c>
      <c r="H20" s="872">
        <v>8328</v>
      </c>
      <c r="I20" s="872">
        <v>8273.03</v>
      </c>
      <c r="J20" s="873">
        <f t="shared" si="0"/>
      </c>
      <c r="K20" s="873">
        <f t="shared" si="1"/>
      </c>
      <c r="L20" s="873">
        <f t="shared" si="2"/>
      </c>
      <c r="M20" s="874" t="s">
        <v>1017</v>
      </c>
      <c r="N20" s="869">
        <v>2.4</v>
      </c>
      <c r="O20" s="869" t="s">
        <v>1010</v>
      </c>
      <c r="P20" s="888"/>
      <c r="Q20" s="888"/>
    </row>
    <row r="21">
      <c r="A21" s="868">
        <v>45752</v>
      </c>
      <c r="B21" s="869" t="s">
        <v>990</v>
      </c>
      <c r="C21" s="870" t="s">
        <v>998</v>
      </c>
      <c r="D21" s="869">
        <v>3</v>
      </c>
      <c r="E21" s="869">
        <v>22</v>
      </c>
      <c r="F21" s="869">
        <v>19</v>
      </c>
      <c r="G21" s="869">
        <v>4</v>
      </c>
      <c r="H21" s="869">
        <v>17365.6</v>
      </c>
      <c r="I21" s="872">
        <v>11506.99</v>
      </c>
      <c r="J21" s="873">
        <f t="shared" si="0"/>
      </c>
      <c r="K21" s="873">
        <f t="shared" si="1"/>
      </c>
      <c r="L21" s="873">
        <f t="shared" si="2"/>
      </c>
      <c r="M21" s="874"/>
      <c r="N21" s="869"/>
      <c r="O21" s="869"/>
      <c r="P21" s="888"/>
      <c r="Q21" s="888"/>
    </row>
    <row r="22">
      <c r="A22" s="880" t="s">
        <v>1018</v>
      </c>
      <c r="B22" s="881" t="s">
        <v>989</v>
      </c>
      <c r="C22" s="881" t="s">
        <v>989</v>
      </c>
      <c r="D22" s="882">
        <f>SUM(D19:D21)</f>
      </c>
      <c r="E22" s="882">
        <f>SUM(E19:E21)</f>
      </c>
      <c r="F22" s="882">
        <f>SUM(F19:F21)</f>
      </c>
      <c r="G22" s="882">
        <f>SUM(G19:G21)</f>
      </c>
      <c r="H22" s="882">
        <f>SUM(H19:H21)</f>
      </c>
      <c r="I22" s="882">
        <f>SUM(I19:I21)</f>
      </c>
      <c r="J22" s="883">
        <f t="shared" si="0"/>
      </c>
      <c r="K22" s="883">
        <f t="shared" si="1"/>
      </c>
      <c r="L22" s="883">
        <f t="shared" si="2"/>
      </c>
      <c r="M22" s="884" t="s">
        <v>989</v>
      </c>
      <c r="N22" s="882">
        <f>SUM(N19:N21)</f>
      </c>
      <c r="O22" s="882"/>
      <c r="P22" s="888"/>
      <c r="Q22" s="888"/>
    </row>
    <row r="23">
      <c r="A23" s="868">
        <v>45753</v>
      </c>
      <c r="B23" s="869" t="s">
        <v>1012</v>
      </c>
      <c r="C23" s="870" t="s">
        <v>1015</v>
      </c>
      <c r="D23" s="869">
        <v>4</v>
      </c>
      <c r="E23" s="869">
        <v>14</v>
      </c>
      <c r="F23" s="869">
        <v>13</v>
      </c>
      <c r="G23" s="869">
        <v>3</v>
      </c>
      <c r="H23" s="872">
        <v>13003.2</v>
      </c>
      <c r="I23" s="872">
        <v>7926.93</v>
      </c>
      <c r="J23" s="873">
        <f t="shared" si="0"/>
      </c>
      <c r="K23" s="873">
        <f t="shared" si="1"/>
      </c>
      <c r="L23" s="873">
        <f t="shared" si="2"/>
      </c>
      <c r="M23" s="874" t="s">
        <v>1019</v>
      </c>
      <c r="N23" s="869">
        <v>1.6</v>
      </c>
      <c r="O23" s="869" t="s">
        <v>1010</v>
      </c>
      <c r="P23" s="888"/>
      <c r="Q23" s="888"/>
    </row>
    <row r="24">
      <c r="A24" s="868">
        <v>45753</v>
      </c>
      <c r="B24" s="869" t="s">
        <v>990</v>
      </c>
      <c r="C24" s="870" t="s">
        <v>1016</v>
      </c>
      <c r="D24" s="869">
        <v>5</v>
      </c>
      <c r="E24" s="869">
        <v>23</v>
      </c>
      <c r="F24" s="869">
        <v>17</v>
      </c>
      <c r="G24" s="869">
        <v>4</v>
      </c>
      <c r="H24" s="872">
        <v>10654</v>
      </c>
      <c r="I24" s="872">
        <v>12784.46</v>
      </c>
      <c r="J24" s="873">
        <f t="shared" si="0"/>
      </c>
      <c r="K24" s="873">
        <f t="shared" si="1"/>
      </c>
      <c r="L24" s="873">
        <f t="shared" si="2"/>
      </c>
      <c r="M24" s="874" t="s">
        <v>1020</v>
      </c>
      <c r="N24" s="869">
        <v>3</v>
      </c>
      <c r="O24" s="871"/>
    </row>
    <row r="25">
      <c r="A25" s="868">
        <v>45753</v>
      </c>
      <c r="B25" s="869" t="s">
        <v>997</v>
      </c>
      <c r="C25" s="870" t="s">
        <v>1021</v>
      </c>
      <c r="D25" s="869">
        <v>3</v>
      </c>
      <c r="E25" s="869">
        <v>15</v>
      </c>
      <c r="F25" s="869">
        <v>9</v>
      </c>
      <c r="G25" s="869">
        <v>0</v>
      </c>
      <c r="H25" s="869">
        <v>6797.6</v>
      </c>
      <c r="I25" s="872">
        <v>9140.71</v>
      </c>
      <c r="J25" s="873">
        <f t="shared" si="0"/>
      </c>
      <c r="K25" s="873">
        <f t="shared" si="1"/>
      </c>
      <c r="L25" s="873">
        <f t="shared" si="2"/>
      </c>
      <c r="M25" s="874" t="s">
        <v>1017</v>
      </c>
      <c r="N25" s="869">
        <v>2.4</v>
      </c>
      <c r="O25" s="869" t="s">
        <v>1010</v>
      </c>
    </row>
    <row r="26">
      <c r="A26" s="880" t="s">
        <v>1022</v>
      </c>
      <c r="B26" s="881" t="s">
        <v>989</v>
      </c>
      <c r="C26" s="881" t="s">
        <v>989</v>
      </c>
      <c r="D26" s="882">
        <f>SUM(D23:D25)</f>
      </c>
      <c r="E26" s="882">
        <f>SUM(E23:E25)</f>
      </c>
      <c r="F26" s="882">
        <f>SUM(F23:F25)</f>
      </c>
      <c r="G26" s="882">
        <f>SUM(G23:G25)</f>
      </c>
      <c r="H26" s="882">
        <f>SUM(H23:H25)</f>
      </c>
      <c r="I26" s="882">
        <f>SUM(I23:I25)</f>
      </c>
      <c r="J26" s="883">
        <f t="shared" si="0"/>
      </c>
      <c r="K26" s="883">
        <f t="shared" si="1"/>
      </c>
      <c r="L26" s="883">
        <f t="shared" si="2"/>
      </c>
      <c r="M26" s="884" t="s">
        <v>989</v>
      </c>
      <c r="N26" s="882">
        <f>SUM(N23:N25)</f>
      </c>
      <c r="O26" s="882"/>
    </row>
    <row r="27">
      <c r="A27" s="868">
        <v>45754</v>
      </c>
      <c r="B27" s="869" t="s">
        <v>1012</v>
      </c>
      <c r="C27" s="870" t="s">
        <v>1001</v>
      </c>
      <c r="D27" s="869">
        <v>4</v>
      </c>
      <c r="E27" s="869">
        <v>39</v>
      </c>
      <c r="F27" s="869">
        <v>29</v>
      </c>
      <c r="G27" s="869">
        <v>5</v>
      </c>
      <c r="H27" s="872">
        <v>18044.96</v>
      </c>
      <c r="I27" s="872">
        <v>15182.17</v>
      </c>
      <c r="J27" s="873">
        <f t="shared" si="0"/>
      </c>
      <c r="K27" s="873">
        <f t="shared" si="1"/>
      </c>
      <c r="L27" s="873">
        <f t="shared" si="2"/>
      </c>
      <c r="M27" s="874" t="s">
        <v>1019</v>
      </c>
      <c r="N27" s="869">
        <v>0.8</v>
      </c>
      <c r="O27" s="869" t="s">
        <v>1010</v>
      </c>
    </row>
    <row r="28">
      <c r="A28" s="868">
        <v>45754</v>
      </c>
      <c r="B28" s="869" t="s">
        <v>997</v>
      </c>
      <c r="C28" s="870" t="s">
        <v>1002</v>
      </c>
      <c r="D28" s="869">
        <v>5</v>
      </c>
      <c r="E28" s="869">
        <v>65</v>
      </c>
      <c r="F28" s="869">
        <v>45</v>
      </c>
      <c r="G28" s="869">
        <v>7</v>
      </c>
      <c r="H28" s="872">
        <v>33648.8</v>
      </c>
      <c r="I28" s="872">
        <v>20543.510000000002</v>
      </c>
      <c r="J28" s="873">
        <f t="shared" si="0"/>
      </c>
      <c r="K28" s="873">
        <f t="shared" si="1"/>
      </c>
      <c r="L28" s="873">
        <f t="shared" si="2"/>
      </c>
      <c r="M28" s="874" t="s">
        <v>999</v>
      </c>
      <c r="N28" s="869">
        <v>11</v>
      </c>
      <c r="O28" s="871"/>
    </row>
    <row r="29">
      <c r="A29" s="868">
        <v>45754</v>
      </c>
      <c r="B29" s="869" t="s">
        <v>990</v>
      </c>
      <c r="C29" s="870" t="s">
        <v>1003</v>
      </c>
      <c r="D29" s="869">
        <v>4</v>
      </c>
      <c r="E29" s="869">
        <v>35</v>
      </c>
      <c r="F29" s="869">
        <v>24</v>
      </c>
      <c r="G29" s="869">
        <v>5</v>
      </c>
      <c r="H29" s="869">
        <v>19462.200000000004</v>
      </c>
      <c r="I29" s="872">
        <v>13613.800000000001</v>
      </c>
      <c r="J29" s="873">
        <f t="shared" si="0"/>
      </c>
      <c r="K29" s="873">
        <f t="shared" si="1"/>
      </c>
      <c r="L29" s="873">
        <f t="shared" si="2"/>
      </c>
      <c r="M29" s="874"/>
      <c r="N29" s="869"/>
      <c r="O29" s="869"/>
    </row>
    <row r="30">
      <c r="A30" s="880" t="s">
        <v>1023</v>
      </c>
      <c r="B30" s="881" t="s">
        <v>989</v>
      </c>
      <c r="C30" s="881" t="s">
        <v>989</v>
      </c>
      <c r="D30" s="882">
        <f>SUM(D27:D29)</f>
      </c>
      <c r="E30" s="882">
        <f>SUM(E27:E29)</f>
      </c>
      <c r="F30" s="882">
        <f>SUM(F27:F29)</f>
      </c>
      <c r="G30" s="882">
        <f>SUM(G27:G29)</f>
      </c>
      <c r="H30" s="882">
        <f>SUM(H27:H29)</f>
      </c>
      <c r="I30" s="882">
        <f>SUM(I27:I29)</f>
      </c>
      <c r="J30" s="883">
        <f t="shared" si="0"/>
      </c>
      <c r="K30" s="883">
        <f t="shared" si="1"/>
      </c>
      <c r="L30" s="883">
        <f t="shared" si="2"/>
      </c>
      <c r="M30" s="884" t="s">
        <v>989</v>
      </c>
      <c r="N30" s="882">
        <f>SUM(N27:N29)</f>
      </c>
      <c r="O30" s="882"/>
    </row>
    <row r="31">
      <c r="A31" s="868">
        <v>45755</v>
      </c>
      <c r="B31" s="869" t="s">
        <v>997</v>
      </c>
      <c r="C31" s="870" t="s">
        <v>1001</v>
      </c>
      <c r="D31" s="869">
        <v>4</v>
      </c>
      <c r="E31" s="869">
        <v>29</v>
      </c>
      <c r="F31" s="869">
        <v>22</v>
      </c>
      <c r="G31" s="869">
        <v>5</v>
      </c>
      <c r="H31" s="872">
        <v>16247.8</v>
      </c>
      <c r="I31" s="872">
        <v>13531.529999999999</v>
      </c>
      <c r="J31" s="873">
        <f t="shared" si="0"/>
      </c>
      <c r="K31" s="873">
        <f t="shared" si="1"/>
      </c>
      <c r="L31" s="873">
        <f t="shared" si="2"/>
      </c>
      <c r="M31" s="874" t="s">
        <v>1019</v>
      </c>
      <c r="N31" s="869">
        <v>0.8</v>
      </c>
      <c r="O31" s="869" t="s">
        <v>1010</v>
      </c>
    </row>
    <row r="32">
      <c r="A32" s="868">
        <v>45755</v>
      </c>
      <c r="B32" s="869" t="s">
        <v>1012</v>
      </c>
      <c r="C32" s="870" t="s">
        <v>1002</v>
      </c>
      <c r="D32" s="869">
        <v>5</v>
      </c>
      <c r="E32" s="869">
        <v>52</v>
      </c>
      <c r="F32" s="869">
        <v>44</v>
      </c>
      <c r="G32" s="869">
        <v>5</v>
      </c>
      <c r="H32" s="872">
        <v>41723</v>
      </c>
      <c r="I32" s="872">
        <v>19175.71</v>
      </c>
      <c r="J32" s="873">
        <f t="shared" si="0"/>
      </c>
      <c r="K32" s="873">
        <f t="shared" si="1"/>
      </c>
      <c r="L32" s="873">
        <f t="shared" si="2"/>
      </c>
      <c r="M32" s="874" t="s">
        <v>999</v>
      </c>
      <c r="N32" s="869">
        <v>11</v>
      </c>
      <c r="O32" s="871"/>
    </row>
    <row r="33">
      <c r="A33" s="889">
        <v>45755</v>
      </c>
      <c r="B33" s="869" t="s">
        <v>993</v>
      </c>
      <c r="C33" s="870" t="s">
        <v>1003</v>
      </c>
      <c r="D33" s="869">
        <v>4</v>
      </c>
      <c r="E33" s="869">
        <v>29</v>
      </c>
      <c r="F33" s="869">
        <v>19</v>
      </c>
      <c r="G33" s="869">
        <v>3</v>
      </c>
      <c r="H33" s="869">
        <v>14818.800000000003</v>
      </c>
      <c r="I33" s="872">
        <v>11587.24</v>
      </c>
      <c r="J33" s="873">
        <f t="shared" si="0"/>
      </c>
      <c r="K33" s="873">
        <f t="shared" si="1"/>
      </c>
      <c r="L33" s="873">
        <f t="shared" si="2"/>
      </c>
      <c r="M33" s="874"/>
      <c r="N33" s="869"/>
      <c r="O33" s="869"/>
    </row>
    <row r="34">
      <c r="A34" s="880" t="s">
        <v>1024</v>
      </c>
      <c r="B34" s="881" t="s">
        <v>989</v>
      </c>
      <c r="C34" s="881" t="s">
        <v>989</v>
      </c>
      <c r="D34" s="882">
        <f>SUM(D31:D33)</f>
      </c>
      <c r="E34" s="882">
        <f>SUM(E31:E33)</f>
      </c>
      <c r="F34" s="882">
        <f>SUM(F31:F33)</f>
      </c>
      <c r="G34" s="882">
        <f>SUM(G31:G33)</f>
      </c>
      <c r="H34" s="882">
        <f>SUM(H31:H33)</f>
      </c>
      <c r="I34" s="882">
        <f>SUM(I31:I33)</f>
      </c>
      <c r="J34" s="883">
        <f t="shared" si="0"/>
      </c>
      <c r="K34" s="883">
        <f t="shared" si="1"/>
      </c>
      <c r="L34" s="883">
        <f t="shared" si="2"/>
      </c>
      <c r="M34" s="884" t="s">
        <v>989</v>
      </c>
      <c r="N34" s="882">
        <f>SUM(N31:N33)</f>
      </c>
      <c r="O34" s="882"/>
    </row>
    <row r="35">
      <c r="A35" s="868">
        <v>45756</v>
      </c>
      <c r="B35" s="869" t="s">
        <v>1005</v>
      </c>
      <c r="C35" s="870" t="s">
        <v>1001</v>
      </c>
      <c r="D35" s="869">
        <v>4</v>
      </c>
      <c r="E35" s="869">
        <v>27</v>
      </c>
      <c r="F35" s="869">
        <v>18</v>
      </c>
      <c r="G35" s="869">
        <v>1</v>
      </c>
      <c r="H35" s="872">
        <v>29033.6</v>
      </c>
      <c r="I35" s="872">
        <v>14721.349999999999</v>
      </c>
      <c r="J35" s="873">
        <f t="shared" si="0"/>
      </c>
      <c r="K35" s="873">
        <f t="shared" si="1"/>
      </c>
      <c r="L35" s="873">
        <f t="shared" si="2"/>
      </c>
      <c r="M35" s="874" t="s">
        <v>1019</v>
      </c>
      <c r="N35" s="869">
        <v>1.2</v>
      </c>
      <c r="O35" s="869" t="s">
        <v>1010</v>
      </c>
    </row>
    <row r="36">
      <c r="A36" s="868">
        <v>45756</v>
      </c>
      <c r="B36" s="869" t="s">
        <v>1012</v>
      </c>
      <c r="C36" s="870" t="s">
        <v>1025</v>
      </c>
      <c r="D36" s="869">
        <v>4</v>
      </c>
      <c r="E36" s="869">
        <v>21</v>
      </c>
      <c r="F36" s="869">
        <v>16</v>
      </c>
      <c r="G36" s="869">
        <v>2</v>
      </c>
      <c r="H36" s="872">
        <v>17910.200000000004</v>
      </c>
      <c r="I36" s="872">
        <v>17236.370000000003</v>
      </c>
      <c r="J36" s="873">
        <f t="shared" si="0"/>
      </c>
      <c r="K36" s="873">
        <f t="shared" si="1"/>
      </c>
      <c r="L36" s="873">
        <f t="shared" si="2"/>
      </c>
      <c r="M36" s="874" t="s">
        <v>999</v>
      </c>
      <c r="N36" s="869">
        <v>10</v>
      </c>
      <c r="O36" s="871"/>
    </row>
    <row r="37">
      <c r="A37" s="868">
        <v>45756</v>
      </c>
      <c r="B37" s="869" t="s">
        <v>997</v>
      </c>
      <c r="C37" s="870" t="s">
        <v>998</v>
      </c>
      <c r="D37" s="869">
        <v>5</v>
      </c>
      <c r="E37" s="869">
        <v>40</v>
      </c>
      <c r="F37" s="869">
        <v>32</v>
      </c>
      <c r="G37" s="869">
        <v>4</v>
      </c>
      <c r="H37" s="869">
        <v>29514.800000000003</v>
      </c>
      <c r="I37" s="872">
        <v>15287.21</v>
      </c>
      <c r="J37" s="873">
        <f t="shared" si="0"/>
      </c>
      <c r="K37" s="873">
        <f t="shared" si="1"/>
      </c>
      <c r="L37" s="873">
        <f t="shared" si="2"/>
      </c>
      <c r="M37" s="874"/>
      <c r="N37" s="869"/>
      <c r="O37" s="869"/>
    </row>
    <row r="38">
      <c r="A38" s="880" t="s">
        <v>1026</v>
      </c>
      <c r="B38" s="881" t="s">
        <v>989</v>
      </c>
      <c r="C38" s="881" t="s">
        <v>989</v>
      </c>
      <c r="D38" s="882">
        <f>SUM(D35:D37)</f>
      </c>
      <c r="E38" s="882">
        <f>SUM(E35:E37)</f>
      </c>
      <c r="F38" s="882">
        <f>SUM(F35:F37)</f>
      </c>
      <c r="G38" s="882">
        <f>SUM(G35:G37)</f>
      </c>
      <c r="H38" s="882">
        <f>SUM(H35:H37)</f>
      </c>
      <c r="I38" s="882">
        <f>SUM(I35:I37)</f>
      </c>
      <c r="J38" s="883">
        <f t="shared" si="0"/>
      </c>
      <c r="K38" s="883">
        <f t="shared" si="1"/>
      </c>
      <c r="L38" s="883">
        <f t="shared" si="2"/>
      </c>
      <c r="M38" s="884" t="s">
        <v>989</v>
      </c>
      <c r="N38" s="882">
        <f>SUM(N35:N37)</f>
      </c>
      <c r="O38" s="882"/>
    </row>
    <row r="39">
      <c r="A39" s="868">
        <v>45757</v>
      </c>
      <c r="B39" s="869" t="s">
        <v>1005</v>
      </c>
      <c r="C39" s="870" t="s">
        <v>1001</v>
      </c>
      <c r="D39" s="869">
        <v>4</v>
      </c>
      <c r="E39" s="869">
        <v>22</v>
      </c>
      <c r="F39" s="869">
        <v>18</v>
      </c>
      <c r="G39" s="869">
        <v>2</v>
      </c>
      <c r="H39" s="872">
        <v>17176.6</v>
      </c>
      <c r="I39" s="872">
        <v>8533.45</v>
      </c>
      <c r="J39" s="873">
        <f t="shared" si="0"/>
      </c>
      <c r="K39" s="873">
        <f t="shared" si="1"/>
      </c>
      <c r="L39" s="873">
        <f t="shared" si="2"/>
      </c>
      <c r="M39" s="874" t="s">
        <v>1019</v>
      </c>
      <c r="N39" s="869">
        <v>1.2</v>
      </c>
      <c r="O39" s="869" t="s">
        <v>1010</v>
      </c>
    </row>
    <row r="40">
      <c r="A40" s="868">
        <v>45757</v>
      </c>
      <c r="B40" s="869" t="s">
        <v>1012</v>
      </c>
      <c r="C40" s="870" t="s">
        <v>1025</v>
      </c>
      <c r="D40" s="869">
        <v>4</v>
      </c>
      <c r="E40" s="869">
        <v>16</v>
      </c>
      <c r="F40" s="869">
        <v>10</v>
      </c>
      <c r="G40" s="869">
        <v>0</v>
      </c>
      <c r="H40" s="872">
        <v>12298</v>
      </c>
      <c r="I40" s="872">
        <v>8876.650000000001</v>
      </c>
      <c r="J40" s="873">
        <f t="shared" si="0"/>
      </c>
      <c r="K40" s="873">
        <f t="shared" si="1"/>
      </c>
      <c r="L40" s="873">
        <f t="shared" si="2"/>
      </c>
      <c r="M40" s="874" t="s">
        <v>999</v>
      </c>
      <c r="N40" s="869">
        <v>10</v>
      </c>
      <c r="O40" s="871"/>
    </row>
    <row r="41">
      <c r="A41" s="868">
        <v>45757</v>
      </c>
      <c r="B41" s="869" t="s">
        <v>997</v>
      </c>
      <c r="C41" s="870" t="s">
        <v>998</v>
      </c>
      <c r="D41" s="869">
        <v>5</v>
      </c>
      <c r="E41" s="869">
        <v>21</v>
      </c>
      <c r="F41" s="869">
        <v>16</v>
      </c>
      <c r="G41" s="869">
        <v>5</v>
      </c>
      <c r="H41" s="869">
        <v>19642.399999999998</v>
      </c>
      <c r="I41" s="872">
        <v>10902.830000000002</v>
      </c>
      <c r="J41" s="873">
        <f t="shared" si="0"/>
      </c>
      <c r="K41" s="873">
        <f t="shared" si="1"/>
      </c>
      <c r="L41" s="873">
        <f t="shared" si="2"/>
      </c>
      <c r="M41" s="874"/>
      <c r="N41" s="869"/>
      <c r="O41" s="869"/>
    </row>
    <row r="42">
      <c r="A42" s="880" t="s">
        <v>1027</v>
      </c>
      <c r="B42" s="881" t="s">
        <v>989</v>
      </c>
      <c r="C42" s="881" t="s">
        <v>989</v>
      </c>
      <c r="D42" s="882">
        <f>SUM(D39:D41)</f>
      </c>
      <c r="E42" s="882">
        <f>SUM(E39:E41)</f>
      </c>
      <c r="F42" s="882">
        <f>SUM(F39:F41)</f>
      </c>
      <c r="G42" s="882">
        <f>SUM(G39:G41)</f>
      </c>
      <c r="H42" s="882">
        <f>SUM(H39:H41)</f>
      </c>
      <c r="I42" s="882">
        <f>SUM(I39:I41)</f>
      </c>
      <c r="J42" s="883">
        <f t="shared" si="0"/>
      </c>
      <c r="K42" s="883">
        <f t="shared" si="1"/>
      </c>
      <c r="L42" s="883">
        <f t="shared" si="2"/>
      </c>
      <c r="M42" s="884" t="s">
        <v>989</v>
      </c>
      <c r="N42" s="882">
        <f>SUM(N39:N41)</f>
      </c>
      <c r="O42" s="882"/>
    </row>
    <row r="43">
      <c r="A43" s="868">
        <v>45758</v>
      </c>
      <c r="B43" s="869" t="s">
        <v>1012</v>
      </c>
      <c r="C43" s="870" t="s">
        <v>1001</v>
      </c>
      <c r="D43" s="869">
        <v>4</v>
      </c>
      <c r="E43" s="869">
        <v>25</v>
      </c>
      <c r="F43" s="869">
        <v>18</v>
      </c>
      <c r="G43" s="869">
        <v>1</v>
      </c>
      <c r="H43" s="872">
        <v>15227.599999999999</v>
      </c>
      <c r="I43" s="872">
        <v>10164.8</v>
      </c>
      <c r="J43" s="873">
        <f t="shared" si="0"/>
      </c>
      <c r="K43" s="873">
        <f t="shared" si="1"/>
      </c>
      <c r="L43" s="873">
        <f t="shared" si="2"/>
      </c>
      <c r="M43" s="874" t="s">
        <v>1028</v>
      </c>
      <c r="N43" s="869">
        <v>3</v>
      </c>
      <c r="O43" s="869"/>
    </row>
    <row r="44">
      <c r="A44" s="868">
        <v>45758</v>
      </c>
      <c r="B44" s="869" t="s">
        <v>1005</v>
      </c>
      <c r="C44" s="870" t="s">
        <v>1025</v>
      </c>
      <c r="D44" s="869">
        <v>4</v>
      </c>
      <c r="E44" s="869">
        <v>7</v>
      </c>
      <c r="F44" s="869">
        <v>5</v>
      </c>
      <c r="G44" s="869">
        <v>1</v>
      </c>
      <c r="H44" s="872">
        <v>8352</v>
      </c>
      <c r="I44" s="872">
        <v>6797.66</v>
      </c>
      <c r="J44" s="873">
        <f t="shared" si="0"/>
      </c>
      <c r="K44" s="873">
        <f t="shared" si="1"/>
      </c>
      <c r="L44" s="873">
        <f t="shared" si="2"/>
      </c>
      <c r="M44" s="874" t="s">
        <v>1029</v>
      </c>
      <c r="N44" s="869">
        <v>4</v>
      </c>
      <c r="O44" s="871"/>
    </row>
    <row r="45">
      <c r="A45" s="868">
        <v>45758</v>
      </c>
      <c r="B45" s="869" t="s">
        <v>997</v>
      </c>
      <c r="C45" s="870" t="s">
        <v>998</v>
      </c>
      <c r="D45" s="869">
        <v>5</v>
      </c>
      <c r="E45" s="869">
        <v>25</v>
      </c>
      <c r="F45" s="869">
        <v>16</v>
      </c>
      <c r="G45" s="869">
        <v>1</v>
      </c>
      <c r="H45" s="869">
        <v>15762.6</v>
      </c>
      <c r="I45" s="872">
        <v>10767.6</v>
      </c>
      <c r="J45" s="873">
        <f t="shared" si="0"/>
      </c>
      <c r="K45" s="873">
        <f t="shared" si="1"/>
      </c>
      <c r="L45" s="873">
        <f t="shared" si="2"/>
      </c>
      <c r="M45" s="874" t="s">
        <v>1009</v>
      </c>
      <c r="N45" s="869">
        <v>6</v>
      </c>
      <c r="O45" s="869"/>
    </row>
    <row r="46">
      <c r="A46" s="880" t="s">
        <v>1030</v>
      </c>
      <c r="B46" s="881" t="s">
        <v>989</v>
      </c>
      <c r="C46" s="881" t="s">
        <v>989</v>
      </c>
      <c r="D46" s="882">
        <f>SUM(D43:D45)</f>
      </c>
      <c r="E46" s="882">
        <f>SUM(E43:E45)</f>
      </c>
      <c r="F46" s="882">
        <f>SUM(F43:F45)</f>
      </c>
      <c r="G46" s="882">
        <f>SUM(G43:G45)</f>
      </c>
      <c r="H46" s="882">
        <f>SUM(H43:H45)</f>
      </c>
      <c r="I46" s="882">
        <f>SUM(I43:I45)</f>
      </c>
      <c r="J46" s="883">
        <f t="shared" si="0"/>
      </c>
      <c r="K46" s="883">
        <f t="shared" si="1"/>
      </c>
      <c r="L46" s="883">
        <f t="shared" si="2"/>
      </c>
      <c r="M46" s="884" t="s">
        <v>989</v>
      </c>
      <c r="N46" s="882">
        <f>SUM(N43:N45)</f>
      </c>
      <c r="O46" s="882"/>
    </row>
    <row r="47">
      <c r="A47" s="868">
        <v>45759</v>
      </c>
      <c r="B47" s="869" t="s">
        <v>1005</v>
      </c>
      <c r="C47" s="870" t="s">
        <v>1001</v>
      </c>
      <c r="D47" s="869">
        <v>4</v>
      </c>
      <c r="E47" s="869">
        <v>15</v>
      </c>
      <c r="F47" s="869">
        <v>11</v>
      </c>
      <c r="G47" s="869">
        <v>1</v>
      </c>
      <c r="H47" s="872">
        <v>11374.800000000001</v>
      </c>
      <c r="I47" s="872">
        <v>8786.41</v>
      </c>
      <c r="J47" s="873">
        <f t="shared" si="0"/>
      </c>
      <c r="K47" s="873">
        <f t="shared" si="1"/>
      </c>
      <c r="L47" s="873">
        <f t="shared" si="2"/>
      </c>
      <c r="M47" s="874" t="s">
        <v>1028</v>
      </c>
      <c r="N47" s="869">
        <v>3</v>
      </c>
      <c r="O47" s="869"/>
    </row>
    <row r="48">
      <c r="A48" s="868">
        <v>45759</v>
      </c>
      <c r="B48" s="869" t="s">
        <v>1012</v>
      </c>
      <c r="C48" s="870" t="s">
        <v>1025</v>
      </c>
      <c r="D48" s="869">
        <v>4</v>
      </c>
      <c r="E48" s="869">
        <v>35</v>
      </c>
      <c r="F48" s="869">
        <v>19</v>
      </c>
      <c r="G48" s="869">
        <v>1</v>
      </c>
      <c r="H48" s="872">
        <v>19698</v>
      </c>
      <c r="I48" s="872">
        <v>13395.86</v>
      </c>
      <c r="J48" s="873">
        <f t="shared" si="0"/>
      </c>
      <c r="K48" s="873">
        <f t="shared" si="1"/>
      </c>
      <c r="L48" s="873">
        <f t="shared" si="2"/>
      </c>
      <c r="M48" s="874" t="s">
        <v>1029</v>
      </c>
      <c r="N48" s="869">
        <v>10</v>
      </c>
      <c r="O48" s="871"/>
    </row>
    <row r="49">
      <c r="A49" s="868">
        <v>45759</v>
      </c>
      <c r="B49" s="869" t="s">
        <v>997</v>
      </c>
      <c r="C49" s="870" t="s">
        <v>998</v>
      </c>
      <c r="D49" s="869">
        <v>5</v>
      </c>
      <c r="E49" s="869">
        <v>64</v>
      </c>
      <c r="F49" s="869">
        <v>46</v>
      </c>
      <c r="G49" s="869">
        <v>5</v>
      </c>
      <c r="H49" s="869">
        <v>50726.99999999999</v>
      </c>
      <c r="I49" s="872">
        <v>21624.91</v>
      </c>
      <c r="J49" s="873">
        <f t="shared" si="0"/>
      </c>
      <c r="K49" s="873">
        <f t="shared" si="1"/>
      </c>
      <c r="L49" s="873">
        <f t="shared" si="2"/>
      </c>
      <c r="M49" s="874"/>
      <c r="N49" s="869"/>
      <c r="O49" s="869"/>
    </row>
    <row r="50">
      <c r="A50" s="880" t="s">
        <v>1031</v>
      </c>
      <c r="B50" s="881" t="s">
        <v>989</v>
      </c>
      <c r="C50" s="881" t="s">
        <v>989</v>
      </c>
      <c r="D50" s="882">
        <f>SUM(D47:D49)</f>
      </c>
      <c r="E50" s="882">
        <f>SUM(E47:E49)</f>
      </c>
      <c r="F50" s="882">
        <f>SUM(F47:F49)</f>
      </c>
      <c r="G50" s="882">
        <f>SUM(G47:G49)</f>
      </c>
      <c r="H50" s="882">
        <f>SUM(H47:H49)</f>
      </c>
      <c r="I50" s="882">
        <f>SUM(I47:I49)</f>
      </c>
      <c r="J50" s="883">
        <f t="shared" si="0"/>
      </c>
      <c r="K50" s="883">
        <f t="shared" si="1"/>
      </c>
      <c r="L50" s="883">
        <f t="shared" si="2"/>
      </c>
      <c r="M50" s="884" t="s">
        <v>989</v>
      </c>
      <c r="N50" s="882">
        <f>SUM(N47:N49)</f>
      </c>
      <c r="O50" s="882"/>
    </row>
    <row r="51">
      <c r="A51" s="868">
        <v>45760</v>
      </c>
      <c r="B51" s="869" t="s">
        <v>1012</v>
      </c>
      <c r="C51" s="870" t="s">
        <v>991</v>
      </c>
      <c r="D51" s="869">
        <v>5</v>
      </c>
      <c r="E51" s="869">
        <v>42</v>
      </c>
      <c r="F51" s="869">
        <v>32</v>
      </c>
      <c r="G51" s="869">
        <v>5</v>
      </c>
      <c r="H51" s="872">
        <v>30030</v>
      </c>
      <c r="I51" s="872">
        <v>15175.21</v>
      </c>
      <c r="J51" s="873">
        <f t="shared" si="0"/>
      </c>
      <c r="K51" s="873">
        <f t="shared" si="1"/>
      </c>
      <c r="L51" s="873">
        <f t="shared" si="2"/>
      </c>
      <c r="M51" s="874" t="s">
        <v>999</v>
      </c>
      <c r="N51" s="869">
        <v>2.2</v>
      </c>
      <c r="O51" s="869" t="s">
        <v>1010</v>
      </c>
    </row>
    <row r="52">
      <c r="A52" s="868">
        <v>45760</v>
      </c>
      <c r="B52" s="869" t="s">
        <v>1032</v>
      </c>
      <c r="C52" s="870" t="s">
        <v>994</v>
      </c>
      <c r="D52" s="869">
        <v>4</v>
      </c>
      <c r="E52" s="869">
        <v>15</v>
      </c>
      <c r="F52" s="869">
        <v>11</v>
      </c>
      <c r="G52" s="869">
        <v>1</v>
      </c>
      <c r="H52" s="872">
        <v>20468.40000000001</v>
      </c>
      <c r="I52" s="872">
        <v>9293.82</v>
      </c>
      <c r="J52" s="873">
        <f t="shared" si="0"/>
      </c>
      <c r="K52" s="873">
        <f t="shared" si="1"/>
      </c>
      <c r="L52" s="873">
        <f t="shared" si="2"/>
      </c>
      <c r="M52" s="874" t="s">
        <v>992</v>
      </c>
      <c r="N52" s="869">
        <v>3.4</v>
      </c>
      <c r="O52" s="869" t="s">
        <v>1010</v>
      </c>
    </row>
    <row r="53">
      <c r="A53" s="868">
        <v>45760</v>
      </c>
      <c r="B53" s="869" t="s">
        <v>1033</v>
      </c>
      <c r="C53" s="870" t="s">
        <v>1008</v>
      </c>
      <c r="D53" s="869">
        <v>4</v>
      </c>
      <c r="E53" s="869">
        <v>30</v>
      </c>
      <c r="F53" s="869">
        <v>19</v>
      </c>
      <c r="G53" s="869">
        <v>3</v>
      </c>
      <c r="H53" s="869">
        <v>22364.2</v>
      </c>
      <c r="I53" s="872">
        <v>12995.44</v>
      </c>
      <c r="J53" s="873">
        <f t="shared" si="0"/>
      </c>
      <c r="K53" s="873">
        <f t="shared" si="1"/>
      </c>
      <c r="L53" s="873">
        <f t="shared" si="2"/>
      </c>
      <c r="M53" s="874" t="s">
        <v>1029</v>
      </c>
      <c r="N53" s="869">
        <v>10</v>
      </c>
      <c r="O53" s="869"/>
    </row>
    <row customHeight="true" ht="16.071428571428573" r="54">
      <c r="A54" s="868">
        <v>45760</v>
      </c>
      <c r="B54" s="869" t="s">
        <v>997</v>
      </c>
      <c r="C54" s="870" t="s">
        <v>1034</v>
      </c>
      <c r="D54" s="869">
        <v>5</v>
      </c>
      <c r="E54" s="869">
        <v>53</v>
      </c>
      <c r="F54" s="869">
        <v>37</v>
      </c>
      <c r="G54" s="869">
        <v>4</v>
      </c>
      <c r="H54" s="869">
        <v>35296.4</v>
      </c>
      <c r="I54" s="872">
        <v>16928.43</v>
      </c>
      <c r="J54" s="873">
        <f t="shared" si="0"/>
      </c>
      <c r="K54" s="873">
        <f t="shared" si="1"/>
      </c>
      <c r="L54" s="873">
        <f t="shared" si="2"/>
      </c>
      <c r="M54" s="874"/>
      <c r="N54" s="869"/>
      <c r="O54" s="869"/>
    </row>
    <row r="55">
      <c r="A55" s="880" t="s">
        <v>1035</v>
      </c>
      <c r="B55" s="881" t="s">
        <v>989</v>
      </c>
      <c r="C55" s="881" t="s">
        <v>989</v>
      </c>
      <c r="D55" s="882">
        <f>SUM(D51:D54)</f>
      </c>
      <c r="E55" s="882">
        <f>SUM(E51:E54)</f>
      </c>
      <c r="F55" s="882">
        <f>SUM(F51:F54)</f>
      </c>
      <c r="G55" s="882">
        <f>SUM(G51:G54)</f>
      </c>
      <c r="H55" s="882">
        <f>SUM(H51:H54)</f>
      </c>
      <c r="I55" s="882">
        <f>SUM(I51:I54)</f>
      </c>
      <c r="J55" s="883">
        <f t="shared" si="0"/>
      </c>
      <c r="K55" s="883">
        <f t="shared" si="1"/>
      </c>
      <c r="L55" s="883">
        <f t="shared" si="2"/>
      </c>
      <c r="M55" s="884" t="s">
        <v>989</v>
      </c>
      <c r="N55" s="882">
        <f>SUM(N51:N53)</f>
      </c>
      <c r="O55" s="882"/>
    </row>
    <row r="56">
      <c r="A56" s="868">
        <v>45761</v>
      </c>
      <c r="B56" s="869" t="s">
        <v>1012</v>
      </c>
      <c r="C56" s="870" t="s">
        <v>991</v>
      </c>
      <c r="D56" s="869">
        <v>5</v>
      </c>
      <c r="E56" s="869">
        <v>21</v>
      </c>
      <c r="F56" s="869">
        <v>20</v>
      </c>
      <c r="G56" s="869">
        <v>2</v>
      </c>
      <c r="H56" s="872">
        <v>13042.8</v>
      </c>
      <c r="I56" s="872">
        <v>14307.82</v>
      </c>
      <c r="J56" s="873">
        <f t="shared" si="0"/>
      </c>
      <c r="K56" s="873">
        <f t="shared" si="1"/>
      </c>
      <c r="L56" s="873">
        <f t="shared" si="2"/>
      </c>
      <c r="M56" s="874" t="s">
        <v>992</v>
      </c>
      <c r="N56" s="869">
        <v>9</v>
      </c>
      <c r="O56" s="869"/>
    </row>
    <row r="57">
      <c r="A57" s="868">
        <v>45761</v>
      </c>
      <c r="B57" s="869" t="s">
        <v>1032</v>
      </c>
      <c r="C57" s="870" t="s">
        <v>994</v>
      </c>
      <c r="D57" s="869">
        <v>4</v>
      </c>
      <c r="E57" s="869">
        <v>19</v>
      </c>
      <c r="F57" s="869">
        <v>18</v>
      </c>
      <c r="G57" s="869">
        <v>1</v>
      </c>
      <c r="H57" s="872">
        <v>14223.6</v>
      </c>
      <c r="I57" s="872">
        <v>9032.06</v>
      </c>
      <c r="J57" s="873">
        <f t="shared" si="0"/>
      </c>
      <c r="K57" s="873">
        <f t="shared" si="1"/>
      </c>
      <c r="L57" s="873">
        <f t="shared" si="2"/>
      </c>
      <c r="M57" s="874"/>
      <c r="N57" s="869"/>
      <c r="O57" s="869"/>
    </row>
    <row r="58">
      <c r="A58" s="868">
        <v>45761</v>
      </c>
      <c r="B58" s="869" t="s">
        <v>1033</v>
      </c>
      <c r="C58" s="870" t="s">
        <v>1008</v>
      </c>
      <c r="D58" s="869">
        <v>4</v>
      </c>
      <c r="E58" s="869">
        <v>38</v>
      </c>
      <c r="F58" s="869">
        <v>25</v>
      </c>
      <c r="G58" s="869">
        <v>2</v>
      </c>
      <c r="H58" s="869">
        <v>30197</v>
      </c>
      <c r="I58" s="872">
        <v>14563.940000000002</v>
      </c>
      <c r="J58" s="873">
        <f t="shared" si="0"/>
      </c>
      <c r="K58" s="873">
        <f t="shared" si="1"/>
      </c>
      <c r="L58" s="873">
        <f t="shared" si="2"/>
      </c>
      <c r="M58" s="874"/>
      <c r="N58" s="869"/>
      <c r="O58" s="869"/>
    </row>
    <row r="59">
      <c r="A59" s="868">
        <v>45761</v>
      </c>
      <c r="B59" s="869" t="s">
        <v>997</v>
      </c>
      <c r="C59" s="870" t="s">
        <v>1034</v>
      </c>
      <c r="D59" s="869">
        <v>5</v>
      </c>
      <c r="E59" s="869">
        <v>54</v>
      </c>
      <c r="F59" s="869">
        <v>35</v>
      </c>
      <c r="G59" s="869">
        <v>8</v>
      </c>
      <c r="H59" s="869">
        <v>31751.8</v>
      </c>
      <c r="I59" s="872">
        <v>17115.239999999998</v>
      </c>
      <c r="J59" s="873">
        <f t="shared" si="0"/>
      </c>
      <c r="K59" s="873">
        <f t="shared" si="1"/>
      </c>
      <c r="L59" s="873">
        <f t="shared" si="2"/>
      </c>
      <c r="M59" s="874" t="s">
        <v>1029</v>
      </c>
      <c r="N59" s="869">
        <v>9</v>
      </c>
      <c r="O59" s="869"/>
    </row>
    <row r="60">
      <c r="A60" s="880" t="s">
        <v>1036</v>
      </c>
      <c r="B60" s="881" t="s">
        <v>989</v>
      </c>
      <c r="C60" s="881" t="s">
        <v>989</v>
      </c>
      <c r="D60" s="882">
        <f>SUM(D56:D59)</f>
      </c>
      <c r="E60" s="882">
        <f>SUM(E56:E59)</f>
      </c>
      <c r="F60" s="882">
        <f>SUM(F56:F59)</f>
      </c>
      <c r="G60" s="882">
        <f>SUM(G56:G59)</f>
      </c>
      <c r="H60" s="882">
        <f>SUM(H56:H59)</f>
      </c>
      <c r="I60" s="882">
        <f>SUM(I56:I59)</f>
      </c>
      <c r="J60" s="883">
        <f t="shared" si="0"/>
      </c>
      <c r="K60" s="883">
        <f t="shared" si="1"/>
      </c>
      <c r="L60" s="883">
        <f t="shared" si="2"/>
      </c>
      <c r="M60" s="884" t="s">
        <v>989</v>
      </c>
      <c r="N60" s="882">
        <f>SUM(N56:N59)</f>
      </c>
      <c r="O60" s="882"/>
    </row>
    <row r="61">
      <c r="A61" s="868">
        <v>45762</v>
      </c>
      <c r="B61" s="869" t="s">
        <v>1005</v>
      </c>
      <c r="C61" s="870" t="s">
        <v>991</v>
      </c>
      <c r="D61" s="869">
        <v>5</v>
      </c>
      <c r="E61" s="869">
        <v>44</v>
      </c>
      <c r="F61" s="869">
        <v>40</v>
      </c>
      <c r="G61" s="869">
        <v>4</v>
      </c>
      <c r="H61" s="872">
        <v>51808.8</v>
      </c>
      <c r="I61" s="872">
        <v>19567.3</v>
      </c>
      <c r="J61" s="873">
        <f t="shared" si="0"/>
      </c>
      <c r="K61" s="873">
        <f t="shared" si="1"/>
      </c>
      <c r="L61" s="873">
        <f t="shared" si="2"/>
      </c>
      <c r="M61" s="874" t="s">
        <v>992</v>
      </c>
      <c r="N61" s="869">
        <v>9</v>
      </c>
      <c r="O61" s="869"/>
    </row>
    <row r="62">
      <c r="A62" s="868">
        <v>45762</v>
      </c>
      <c r="B62" s="869" t="s">
        <v>1012</v>
      </c>
      <c r="C62" s="870" t="s">
        <v>994</v>
      </c>
      <c r="D62" s="869">
        <v>4</v>
      </c>
      <c r="E62" s="869">
        <v>32</v>
      </c>
      <c r="F62" s="869">
        <v>23</v>
      </c>
      <c r="G62" s="869">
        <v>1</v>
      </c>
      <c r="H62" s="872">
        <v>24795.600000000002</v>
      </c>
      <c r="I62" s="872">
        <v>14234.599999999999</v>
      </c>
      <c r="J62" s="873">
        <f t="shared" si="0"/>
      </c>
      <c r="K62" s="873">
        <f t="shared" si="1"/>
      </c>
      <c r="L62" s="873">
        <f t="shared" si="2"/>
      </c>
      <c r="M62" s="874"/>
      <c r="N62" s="869"/>
      <c r="O62" s="869"/>
    </row>
    <row r="63">
      <c r="A63" s="868">
        <v>45762</v>
      </c>
      <c r="B63" s="869" t="s">
        <v>1032</v>
      </c>
      <c r="C63" s="870" t="s">
        <v>1008</v>
      </c>
      <c r="D63" s="869">
        <v>4</v>
      </c>
      <c r="E63" s="869">
        <v>27</v>
      </c>
      <c r="F63" s="869">
        <v>20</v>
      </c>
      <c r="G63" s="869">
        <v>3</v>
      </c>
      <c r="H63" s="869">
        <v>23131.399999999994</v>
      </c>
      <c r="I63" s="872">
        <v>12206.23</v>
      </c>
      <c r="J63" s="873">
        <f t="shared" si="0"/>
      </c>
      <c r="K63" s="873">
        <f t="shared" si="1"/>
      </c>
      <c r="L63" s="873">
        <f t="shared" si="2"/>
      </c>
      <c r="M63" s="874"/>
      <c r="N63" s="869"/>
      <c r="O63" s="869"/>
    </row>
    <row r="64">
      <c r="A64" s="868">
        <v>45762</v>
      </c>
      <c r="B64" s="869" t="s">
        <v>997</v>
      </c>
      <c r="C64" s="870" t="s">
        <v>1034</v>
      </c>
      <c r="D64" s="869">
        <v>5</v>
      </c>
      <c r="E64" s="869">
        <v>51</v>
      </c>
      <c r="F64" s="869">
        <v>39</v>
      </c>
      <c r="G64" s="869">
        <v>2</v>
      </c>
      <c r="H64" s="869">
        <v>33476.4</v>
      </c>
      <c r="I64" s="872">
        <v>21015.42</v>
      </c>
      <c r="J64" s="873">
        <f t="shared" si="0"/>
      </c>
      <c r="K64" s="873">
        <f t="shared" si="1"/>
      </c>
      <c r="L64" s="873">
        <f t="shared" si="2"/>
      </c>
      <c r="M64" s="874" t="s">
        <v>1029</v>
      </c>
      <c r="N64" s="869">
        <v>9</v>
      </c>
      <c r="O64" s="869"/>
    </row>
    <row r="65">
      <c r="A65" s="880" t="s">
        <v>1037</v>
      </c>
      <c r="B65" s="881" t="s">
        <v>989</v>
      </c>
      <c r="C65" s="881" t="s">
        <v>989</v>
      </c>
      <c r="D65" s="882">
        <f>SUM(D61:D64)</f>
      </c>
      <c r="E65" s="882">
        <f>SUM(E61:E64)</f>
      </c>
      <c r="F65" s="882">
        <f>SUM(F61:F64)</f>
      </c>
      <c r="G65" s="882">
        <f>SUM(G61:G64)</f>
      </c>
      <c r="H65" s="882">
        <f>SUM(H61:H64)</f>
      </c>
      <c r="I65" s="882">
        <f>SUM(I61:I64)</f>
      </c>
      <c r="J65" s="890">
        <f t="shared" si="0"/>
      </c>
      <c r="K65" s="890">
        <f t="shared" si="1"/>
      </c>
      <c r="L65" s="890">
        <f t="shared" si="2"/>
      </c>
      <c r="M65" s="891" t="s">
        <v>989</v>
      </c>
      <c r="N65" s="882">
        <f>SUM(N61:N64)</f>
      </c>
      <c r="O65" s="882"/>
    </row>
    <row r="66">
      <c r="A66" s="868">
        <v>45763</v>
      </c>
      <c r="B66" s="874" t="s">
        <v>1005</v>
      </c>
      <c r="C66" s="892" t="s">
        <v>1038</v>
      </c>
      <c r="D66" s="892">
        <v>5</v>
      </c>
      <c r="E66" s="892">
        <v>49</v>
      </c>
      <c r="F66" s="892">
        <v>39</v>
      </c>
      <c r="G66" s="892">
        <v>12</v>
      </c>
      <c r="H66" s="892">
        <v>32961.6</v>
      </c>
      <c r="I66" s="892">
        <v>19421.94</v>
      </c>
      <c r="J66" s="873">
        <f t="shared" si="0"/>
      </c>
      <c r="K66" s="873">
        <f t="shared" si="1"/>
      </c>
      <c r="L66" s="873">
        <f t="shared" si="2"/>
      </c>
      <c r="M66" s="892" t="s">
        <v>1039</v>
      </c>
      <c r="N66" s="892">
        <v>7</v>
      </c>
      <c r="O66" s="893"/>
      <c r="P66" s="888"/>
    </row>
    <row r="67">
      <c r="A67" s="868">
        <v>45763</v>
      </c>
      <c r="B67" s="869" t="s">
        <v>1033</v>
      </c>
      <c r="C67" s="894" t="s">
        <v>1001</v>
      </c>
      <c r="D67" s="895">
        <v>4</v>
      </c>
      <c r="E67" s="895">
        <v>28</v>
      </c>
      <c r="F67" s="895">
        <v>24</v>
      </c>
      <c r="G67" s="895">
        <v>2</v>
      </c>
      <c r="H67" s="896">
        <v>19134.800000000003</v>
      </c>
      <c r="I67" s="896">
        <v>12512.52</v>
      </c>
      <c r="J67" s="873">
        <f t="shared" si="0"/>
      </c>
      <c r="K67" s="873">
        <f t="shared" si="1"/>
      </c>
      <c r="L67" s="873">
        <f t="shared" si="2"/>
      </c>
      <c r="O67" s="895"/>
    </row>
    <row r="68">
      <c r="A68" s="868">
        <v>45763</v>
      </c>
      <c r="B68" s="869" t="s">
        <v>1040</v>
      </c>
      <c r="C68" s="870" t="s">
        <v>1041</v>
      </c>
      <c r="D68" s="869">
        <v>3</v>
      </c>
      <c r="E68" s="869">
        <v>17</v>
      </c>
      <c r="F68" s="869">
        <v>13</v>
      </c>
      <c r="G68" s="869">
        <v>2</v>
      </c>
      <c r="H68" s="872">
        <v>15396.000000000002</v>
      </c>
      <c r="I68" s="872">
        <v>13713.41</v>
      </c>
      <c r="J68" s="873">
        <f t="shared" si="0"/>
      </c>
      <c r="K68" s="873">
        <f t="shared" si="1"/>
      </c>
      <c r="L68" s="873">
        <f t="shared" si="2"/>
      </c>
      <c r="M68" s="897" t="s">
        <v>999</v>
      </c>
      <c r="N68" s="895">
        <v>4</v>
      </c>
      <c r="O68" s="869"/>
    </row>
    <row r="69">
      <c r="A69" s="868">
        <v>45763</v>
      </c>
      <c r="B69" s="869" t="s">
        <v>997</v>
      </c>
      <c r="C69" s="870" t="s">
        <v>1042</v>
      </c>
      <c r="D69" s="869">
        <v>4</v>
      </c>
      <c r="E69" s="869">
        <v>62</v>
      </c>
      <c r="F69" s="869">
        <v>50</v>
      </c>
      <c r="G69" s="869">
        <v>5</v>
      </c>
      <c r="H69" s="869">
        <v>40715.399999999994</v>
      </c>
      <c r="I69" s="872">
        <v>16798.940000000002</v>
      </c>
      <c r="J69" s="873">
        <f t="shared" si="0"/>
      </c>
      <c r="K69" s="873">
        <f t="shared" si="1"/>
      </c>
      <c r="L69" s="873">
        <f t="shared" si="2"/>
      </c>
      <c r="M69" s="874"/>
      <c r="N69" s="869"/>
      <c r="O69" s="869"/>
    </row>
    <row r="70">
      <c r="A70" s="868">
        <v>45763</v>
      </c>
      <c r="B70" s="869" t="s">
        <v>1032</v>
      </c>
      <c r="C70" s="870" t="s">
        <v>1043</v>
      </c>
      <c r="D70" s="869">
        <v>4</v>
      </c>
      <c r="E70" s="869">
        <v>28</v>
      </c>
      <c r="F70" s="869">
        <v>20</v>
      </c>
      <c r="G70" s="869">
        <v>3</v>
      </c>
      <c r="H70" s="869">
        <v>17028.6</v>
      </c>
      <c r="I70" s="872">
        <v>10549.83</v>
      </c>
      <c r="J70" s="873">
        <f t="shared" si="0"/>
      </c>
      <c r="K70" s="873">
        <f t="shared" si="1"/>
      </c>
      <c r="L70" s="873">
        <f t="shared" si="2"/>
      </c>
      <c r="M70" s="874" t="s">
        <v>1044</v>
      </c>
      <c r="N70" s="869">
        <v>9</v>
      </c>
      <c r="O70" s="869"/>
    </row>
    <row r="71">
      <c r="A71" s="880" t="s">
        <v>1045</v>
      </c>
      <c r="B71" s="881" t="s">
        <v>989</v>
      </c>
      <c r="C71" s="881" t="s">
        <v>989</v>
      </c>
      <c r="D71" s="882">
        <f>SUM(D66:D70)</f>
      </c>
      <c r="E71" s="882">
        <f>SUM(E66:E70)</f>
      </c>
      <c r="F71" s="882">
        <f>SUM(F66:F70)</f>
      </c>
      <c r="G71" s="882">
        <f>SUM(G66:G70)</f>
      </c>
      <c r="H71" s="882">
        <f>SUM(H66:H70)</f>
      </c>
      <c r="I71" s="882">
        <f>SUM(I66:I70)</f>
      </c>
      <c r="J71" s="883">
        <f t="shared" si="0"/>
      </c>
      <c r="K71" s="883">
        <f t="shared" si="1"/>
      </c>
      <c r="L71" s="883">
        <f t="shared" si="2"/>
      </c>
      <c r="M71" s="884" t="s">
        <v>989</v>
      </c>
      <c r="N71" s="882">
        <f>SUM(N66:N70)</f>
      </c>
      <c r="O71" s="882"/>
    </row>
    <row r="72">
      <c r="A72" s="868">
        <v>45764</v>
      </c>
      <c r="B72" s="874" t="s">
        <v>1005</v>
      </c>
      <c r="C72" s="892" t="s">
        <v>1038</v>
      </c>
      <c r="D72" s="892">
        <v>5</v>
      </c>
      <c r="E72" s="892">
        <v>27</v>
      </c>
      <c r="F72" s="892">
        <v>23</v>
      </c>
      <c r="G72" s="892">
        <v>5</v>
      </c>
      <c r="H72" s="892">
        <v>29492</v>
      </c>
      <c r="I72" s="892">
        <v>15723.89</v>
      </c>
      <c r="J72" s="873">
        <f t="shared" si="0"/>
      </c>
      <c r="K72" s="873">
        <f t="shared" si="1"/>
      </c>
      <c r="L72" s="873">
        <f t="shared" si="2"/>
      </c>
      <c r="M72" s="869" t="s">
        <v>1039</v>
      </c>
      <c r="N72" s="869">
        <v>8</v>
      </c>
      <c r="O72" s="893"/>
    </row>
    <row r="73">
      <c r="A73" s="868">
        <v>45764</v>
      </c>
      <c r="B73" s="869" t="s">
        <v>1012</v>
      </c>
      <c r="C73" s="894" t="s">
        <v>1001</v>
      </c>
      <c r="D73" s="895">
        <v>4</v>
      </c>
      <c r="E73" s="895">
        <v>21</v>
      </c>
      <c r="F73" s="895">
        <v>18</v>
      </c>
      <c r="G73" s="895">
        <v>3</v>
      </c>
      <c r="H73" s="896">
        <v>16822.8</v>
      </c>
      <c r="I73" s="896">
        <v>10787.74</v>
      </c>
      <c r="J73" s="873">
        <f t="shared" si="0"/>
      </c>
      <c r="K73" s="873">
        <f t="shared" si="1"/>
      </c>
      <c r="L73" s="873">
        <f t="shared" si="2"/>
      </c>
      <c r="M73" s="869"/>
      <c r="N73" s="869"/>
      <c r="O73" s="895"/>
    </row>
    <row r="74">
      <c r="A74" s="868">
        <v>45764</v>
      </c>
      <c r="B74" s="869" t="s">
        <v>1040</v>
      </c>
      <c r="C74" s="870" t="s">
        <v>1041</v>
      </c>
      <c r="D74" s="869">
        <v>3</v>
      </c>
      <c r="E74" s="869">
        <v>24</v>
      </c>
      <c r="F74" s="869">
        <v>21</v>
      </c>
      <c r="G74" s="869">
        <v>4</v>
      </c>
      <c r="H74" s="872">
        <v>19001.8</v>
      </c>
      <c r="I74" s="872">
        <v>9177.41</v>
      </c>
      <c r="J74" s="873">
        <f t="shared" si="0"/>
      </c>
      <c r="K74" s="873">
        <f t="shared" si="1"/>
      </c>
      <c r="L74" s="873">
        <f t="shared" si="2"/>
      </c>
      <c r="M74" s="869" t="s">
        <v>992</v>
      </c>
      <c r="N74" s="869">
        <v>6</v>
      </c>
      <c r="O74" s="869"/>
    </row>
    <row r="75">
      <c r="A75" s="868">
        <v>45764</v>
      </c>
      <c r="B75" s="869" t="s">
        <v>997</v>
      </c>
      <c r="C75" s="870" t="s">
        <v>1042</v>
      </c>
      <c r="D75" s="898">
        <v>3.5</v>
      </c>
      <c r="E75" s="869">
        <v>18</v>
      </c>
      <c r="F75" s="869">
        <v>14</v>
      </c>
      <c r="G75" s="869">
        <v>2</v>
      </c>
      <c r="H75" s="869">
        <v>14006.8</v>
      </c>
      <c r="I75" s="872">
        <v>11618.6</v>
      </c>
      <c r="J75" s="873">
        <f t="shared" si="0"/>
      </c>
      <c r="K75" s="873">
        <f t="shared" si="1"/>
      </c>
      <c r="L75" s="873">
        <f t="shared" si="2"/>
      </c>
      <c r="M75" s="869"/>
      <c r="N75" s="869"/>
      <c r="O75" s="869"/>
    </row>
    <row r="76">
      <c r="A76" s="868">
        <v>45764</v>
      </c>
      <c r="B76" s="869" t="s">
        <v>1032</v>
      </c>
      <c r="C76" s="870" t="s">
        <v>1043</v>
      </c>
      <c r="D76" s="869">
        <v>4</v>
      </c>
      <c r="E76" s="869">
        <v>39</v>
      </c>
      <c r="F76" s="869">
        <v>30</v>
      </c>
      <c r="G76" s="869">
        <v>4</v>
      </c>
      <c r="H76" s="869">
        <v>31052.8</v>
      </c>
      <c r="I76" s="872">
        <v>11622.04</v>
      </c>
      <c r="J76" s="873">
        <f t="shared" si="0"/>
      </c>
      <c r="K76" s="873">
        <f t="shared" si="1"/>
      </c>
      <c r="L76" s="873">
        <f t="shared" si="2"/>
      </c>
      <c r="M76" s="869" t="s">
        <v>1046</v>
      </c>
      <c r="N76" s="869">
        <v>6</v>
      </c>
      <c r="O76" s="869"/>
    </row>
    <row r="77">
      <c r="A77" s="880" t="s">
        <v>1047</v>
      </c>
      <c r="B77" s="881" t="s">
        <v>989</v>
      </c>
      <c r="C77" s="881" t="s">
        <v>989</v>
      </c>
      <c r="D77" s="882">
        <f>SUM(D72:D76)</f>
      </c>
      <c r="E77" s="882">
        <f>SUM(E72:E76)</f>
      </c>
      <c r="F77" s="882">
        <f>SUM(F72:F76)</f>
      </c>
      <c r="G77" s="882">
        <f>SUM(G72:G76)</f>
      </c>
      <c r="H77" s="882">
        <f>SUM(H72:H76)</f>
      </c>
      <c r="I77" s="882">
        <f>SUM(I72:I76)</f>
      </c>
      <c r="J77" s="883">
        <f t="shared" si="0"/>
      </c>
      <c r="K77" s="883">
        <f t="shared" si="1"/>
      </c>
      <c r="L77" s="883">
        <f t="shared" si="2"/>
      </c>
      <c r="M77" s="884" t="s">
        <v>989</v>
      </c>
      <c r="N77" s="882">
        <f>SUM(N72:N76)</f>
      </c>
      <c r="O77" s="882"/>
    </row>
    <row r="78">
      <c r="A78" s="868">
        <v>45765</v>
      </c>
      <c r="B78" s="874" t="s">
        <v>1005</v>
      </c>
      <c r="C78" s="892" t="s">
        <v>1048</v>
      </c>
      <c r="D78" s="892">
        <v>4</v>
      </c>
      <c r="E78" s="892">
        <v>11</v>
      </c>
      <c r="F78" s="892">
        <v>9</v>
      </c>
      <c r="G78" s="892">
        <v>1</v>
      </c>
      <c r="H78" s="892">
        <v>7538.4</v>
      </c>
      <c r="I78" s="892">
        <v>9919.51</v>
      </c>
      <c r="J78" s="873">
        <f t="shared" si="0"/>
      </c>
      <c r="K78" s="873">
        <f t="shared" si="1"/>
      </c>
      <c r="L78" s="873">
        <f t="shared" si="2"/>
      </c>
      <c r="M78" s="869" t="s">
        <v>1039</v>
      </c>
      <c r="N78" s="869">
        <v>8</v>
      </c>
      <c r="O78" s="893"/>
    </row>
    <row r="79">
      <c r="A79" s="868">
        <v>45765</v>
      </c>
      <c r="B79" s="869" t="s">
        <v>1040</v>
      </c>
      <c r="C79" s="894" t="s">
        <v>1015</v>
      </c>
      <c r="D79" s="895">
        <v>4</v>
      </c>
      <c r="E79" s="895">
        <v>34</v>
      </c>
      <c r="F79" s="895">
        <v>29</v>
      </c>
      <c r="G79" s="895">
        <v>5</v>
      </c>
      <c r="H79" s="896">
        <v>28174.8</v>
      </c>
      <c r="I79" s="896">
        <v>9833.3</v>
      </c>
      <c r="J79" s="873">
        <f t="shared" si="0"/>
      </c>
      <c r="K79" s="873">
        <f t="shared" si="1"/>
      </c>
      <c r="L79" s="873">
        <f t="shared" si="2"/>
      </c>
      <c r="M79" s="869"/>
      <c r="N79" s="869"/>
      <c r="O79" s="895"/>
    </row>
    <row r="80">
      <c r="A80" s="868">
        <v>45765</v>
      </c>
      <c r="B80" s="869" t="s">
        <v>1012</v>
      </c>
      <c r="C80" s="870" t="s">
        <v>1049</v>
      </c>
      <c r="D80" s="869">
        <v>4</v>
      </c>
      <c r="E80" s="869">
        <v>39</v>
      </c>
      <c r="F80" s="869">
        <v>36</v>
      </c>
      <c r="G80" s="869">
        <v>4</v>
      </c>
      <c r="H80" s="872">
        <v>37899.4</v>
      </c>
      <c r="I80" s="872">
        <v>14616.65</v>
      </c>
      <c r="J80" s="873">
        <f t="shared" si="0"/>
      </c>
      <c r="K80" s="873">
        <f t="shared" si="1"/>
      </c>
      <c r="L80" s="873">
        <f t="shared" si="2"/>
      </c>
      <c r="M80" s="869" t="s">
        <v>992</v>
      </c>
      <c r="N80" s="869">
        <v>6</v>
      </c>
      <c r="O80" s="869"/>
    </row>
    <row r="81">
      <c r="A81" s="868">
        <v>45765</v>
      </c>
      <c r="B81" s="869" t="s">
        <v>1032</v>
      </c>
      <c r="C81" s="870" t="s">
        <v>1042</v>
      </c>
      <c r="D81" s="869">
        <v>4</v>
      </c>
      <c r="E81" s="869">
        <v>38</v>
      </c>
      <c r="F81" s="869">
        <v>26</v>
      </c>
      <c r="G81" s="869">
        <v>4</v>
      </c>
      <c r="H81" s="872">
        <v>28255.2</v>
      </c>
      <c r="I81" s="872">
        <v>11644.96</v>
      </c>
      <c r="J81" s="873">
        <f t="shared" si="0"/>
      </c>
      <c r="K81" s="873">
        <f t="shared" si="1"/>
      </c>
      <c r="L81" s="873">
        <f t="shared" si="2"/>
      </c>
      <c r="M81" s="869"/>
      <c r="N81" s="869"/>
      <c r="O81" s="869"/>
    </row>
    <row r="82">
      <c r="A82" s="868">
        <v>45765</v>
      </c>
      <c r="B82" s="869" t="s">
        <v>1033</v>
      </c>
      <c r="C82" s="870" t="s">
        <v>1043</v>
      </c>
      <c r="D82" s="869">
        <v>4</v>
      </c>
      <c r="E82" s="869">
        <v>44</v>
      </c>
      <c r="F82" s="869">
        <v>35</v>
      </c>
      <c r="G82" s="869">
        <v>6</v>
      </c>
      <c r="H82" s="869">
        <v>33291.2</v>
      </c>
      <c r="I82" s="872">
        <v>10229.83</v>
      </c>
      <c r="J82" s="873">
        <f t="shared" si="0"/>
      </c>
      <c r="K82" s="873">
        <f t="shared" si="1"/>
      </c>
      <c r="L82" s="873">
        <f t="shared" si="2"/>
      </c>
      <c r="M82" s="869" t="s">
        <v>1046</v>
      </c>
      <c r="N82" s="869">
        <v>6</v>
      </c>
      <c r="O82" s="869"/>
    </row>
    <row r="83">
      <c r="A83" s="880" t="s">
        <v>1050</v>
      </c>
      <c r="B83" s="881" t="s">
        <v>989</v>
      </c>
      <c r="C83" s="881" t="s">
        <v>989</v>
      </c>
      <c r="D83" s="882">
        <f>SUM(D78:D82)</f>
      </c>
      <c r="E83" s="882">
        <f>SUM(E78:E82)</f>
      </c>
      <c r="F83" s="882">
        <f>SUM(F78:F82)</f>
      </c>
      <c r="G83" s="882">
        <f>SUM(G78:G82)</f>
      </c>
      <c r="H83" s="882">
        <f>SUM(H78:H82)</f>
      </c>
      <c r="I83" s="882">
        <f>SUM(I78:I82)</f>
      </c>
      <c r="J83" s="883">
        <f t="shared" si="0"/>
      </c>
      <c r="K83" s="883">
        <f t="shared" si="1"/>
      </c>
      <c r="L83" s="883">
        <f t="shared" si="2"/>
      </c>
      <c r="M83" s="884" t="s">
        <v>989</v>
      </c>
      <c r="N83" s="882">
        <f>SUM(N78:N82)</f>
      </c>
      <c r="O83" s="882"/>
    </row>
    <row r="84">
      <c r="A84" s="868">
        <v>45766</v>
      </c>
      <c r="B84" s="874" t="s">
        <v>1005</v>
      </c>
      <c r="C84" s="892" t="s">
        <v>1048</v>
      </c>
      <c r="D84" s="892">
        <v>4</v>
      </c>
      <c r="E84" s="892">
        <v>33</v>
      </c>
      <c r="F84" s="892">
        <v>25</v>
      </c>
      <c r="G84" s="892">
        <v>7</v>
      </c>
      <c r="H84" s="892">
        <v>19849.4</v>
      </c>
      <c r="I84" s="892">
        <v>13124.17</v>
      </c>
      <c r="J84" s="873">
        <f t="shared" si="0"/>
      </c>
      <c r="K84" s="873">
        <f t="shared" si="1"/>
      </c>
      <c r="L84" s="873">
        <f t="shared" si="2"/>
      </c>
      <c r="M84" s="869" t="s">
        <v>1039</v>
      </c>
      <c r="N84" s="869">
        <v>8</v>
      </c>
      <c r="O84" s="893"/>
    </row>
    <row r="85">
      <c r="A85" s="868">
        <v>45766</v>
      </c>
      <c r="B85" s="869" t="s">
        <v>1040</v>
      </c>
      <c r="C85" s="894" t="s">
        <v>1015</v>
      </c>
      <c r="D85" s="895">
        <v>4</v>
      </c>
      <c r="E85" s="895">
        <v>29</v>
      </c>
      <c r="F85" s="895">
        <v>23</v>
      </c>
      <c r="G85" s="895">
        <v>12</v>
      </c>
      <c r="H85" s="896">
        <v>36303</v>
      </c>
      <c r="I85" s="896">
        <v>12917.93</v>
      </c>
      <c r="J85" s="873">
        <f t="shared" si="0"/>
      </c>
      <c r="K85" s="873">
        <f t="shared" si="1"/>
      </c>
      <c r="L85" s="873">
        <f t="shared" si="2"/>
      </c>
      <c r="M85" s="869"/>
      <c r="N85" s="869"/>
      <c r="O85" s="895"/>
    </row>
    <row r="86">
      <c r="A86" s="868">
        <v>45766</v>
      </c>
      <c r="B86" s="869" t="s">
        <v>1012</v>
      </c>
      <c r="C86" s="870" t="s">
        <v>1049</v>
      </c>
      <c r="D86" s="869">
        <v>4</v>
      </c>
      <c r="E86" s="869">
        <v>36</v>
      </c>
      <c r="F86" s="869">
        <v>28</v>
      </c>
      <c r="G86" s="869">
        <v>7</v>
      </c>
      <c r="H86" s="872">
        <v>37442.4</v>
      </c>
      <c r="I86" s="872">
        <v>14234.22</v>
      </c>
      <c r="J86" s="873">
        <f t="shared" si="0"/>
      </c>
      <c r="K86" s="873">
        <f t="shared" si="1"/>
      </c>
      <c r="L86" s="873">
        <f t="shared" si="2"/>
      </c>
      <c r="M86" s="869" t="s">
        <v>1028</v>
      </c>
      <c r="N86" s="869">
        <v>2</v>
      </c>
      <c r="O86" s="869"/>
    </row>
    <row r="87">
      <c r="A87" s="868">
        <v>45766</v>
      </c>
      <c r="B87" s="869" t="s">
        <v>1032</v>
      </c>
      <c r="C87" s="870" t="s">
        <v>1042</v>
      </c>
      <c r="D87" s="869">
        <v>4</v>
      </c>
      <c r="E87" s="869">
        <v>34</v>
      </c>
      <c r="F87" s="869">
        <v>19</v>
      </c>
      <c r="G87" s="869">
        <v>2</v>
      </c>
      <c r="H87" s="872">
        <v>14815.4</v>
      </c>
      <c r="I87" s="872">
        <v>13018.72</v>
      </c>
      <c r="J87" s="873">
        <f t="shared" si="0"/>
      </c>
      <c r="K87" s="873">
        <f t="shared" si="1"/>
      </c>
      <c r="L87" s="873">
        <f t="shared" si="2"/>
      </c>
      <c r="M87" s="869"/>
      <c r="N87" s="869"/>
      <c r="O87" s="869"/>
    </row>
    <row r="88">
      <c r="A88" s="868">
        <v>45766</v>
      </c>
      <c r="B88" s="869" t="s">
        <v>1033</v>
      </c>
      <c r="C88" s="870" t="s">
        <v>1051</v>
      </c>
      <c r="D88" s="869">
        <v>3</v>
      </c>
      <c r="E88" s="869">
        <v>17</v>
      </c>
      <c r="F88" s="869">
        <v>11</v>
      </c>
      <c r="G88" s="869">
        <v>2</v>
      </c>
      <c r="H88" s="869">
        <v>9177.6</v>
      </c>
      <c r="I88" s="872">
        <v>6243.48</v>
      </c>
      <c r="J88" s="873">
        <f t="shared" si="0"/>
      </c>
      <c r="K88" s="873">
        <f t="shared" si="1"/>
      </c>
      <c r="L88" s="873">
        <f t="shared" si="2"/>
      </c>
      <c r="M88" s="869" t="s">
        <v>1009</v>
      </c>
      <c r="N88" s="869">
        <v>9</v>
      </c>
      <c r="O88" s="869"/>
    </row>
    <row r="89">
      <c r="A89" s="880" t="s">
        <v>1052</v>
      </c>
      <c r="B89" s="881" t="s">
        <v>989</v>
      </c>
      <c r="C89" s="881" t="s">
        <v>989</v>
      </c>
      <c r="D89" s="882">
        <f>SUM(D84:D88)</f>
      </c>
      <c r="E89" s="882">
        <f>SUM(E84:E88)</f>
      </c>
      <c r="F89" s="882">
        <f>SUM(F84:F88)</f>
      </c>
      <c r="G89" s="882">
        <f>SUM(G84:G88)</f>
      </c>
      <c r="H89" s="882">
        <f>SUM(H84:H88)</f>
      </c>
      <c r="I89" s="882">
        <f>SUM(I84:I88)</f>
      </c>
      <c r="J89" s="883">
        <f t="shared" si="0"/>
      </c>
      <c r="K89" s="883">
        <f t="shared" si="1"/>
      </c>
      <c r="L89" s="883">
        <f t="shared" si="2"/>
      </c>
      <c r="M89" s="884" t="s">
        <v>989</v>
      </c>
      <c r="N89" s="882">
        <f>SUM(N84:N88)</f>
      </c>
      <c r="O89" s="882"/>
    </row>
    <row r="90">
      <c r="A90" s="868">
        <v>45767</v>
      </c>
      <c r="B90" s="869" t="s">
        <v>1012</v>
      </c>
      <c r="C90" s="892" t="s">
        <v>1053</v>
      </c>
      <c r="D90" s="892">
        <v>4</v>
      </c>
      <c r="E90" s="892">
        <v>24</v>
      </c>
      <c r="F90" s="892">
        <v>16</v>
      </c>
      <c r="G90" s="892">
        <v>3</v>
      </c>
      <c r="H90" s="892">
        <v>24272.2</v>
      </c>
      <c r="I90" s="892">
        <v>10788.88</v>
      </c>
      <c r="J90" s="873">
        <f t="shared" si="0"/>
      </c>
      <c r="K90" s="873">
        <f t="shared" si="1"/>
      </c>
      <c r="L90" s="873">
        <f t="shared" si="2"/>
      </c>
      <c r="M90" s="869" t="s">
        <v>1054</v>
      </c>
      <c r="N90" s="869">
        <v>10</v>
      </c>
      <c r="O90" s="893"/>
    </row>
    <row r="91">
      <c r="A91" s="868">
        <v>45767</v>
      </c>
      <c r="B91" s="869" t="s">
        <v>1032</v>
      </c>
      <c r="C91" s="894" t="s">
        <v>1015</v>
      </c>
      <c r="D91" s="895">
        <v>4</v>
      </c>
      <c r="E91" s="895">
        <v>29</v>
      </c>
      <c r="F91" s="895">
        <v>25</v>
      </c>
      <c r="G91" s="895">
        <v>5</v>
      </c>
      <c r="H91" s="896">
        <v>26062.8</v>
      </c>
      <c r="I91" s="896">
        <v>11644.49</v>
      </c>
      <c r="J91" s="873">
        <f t="shared" si="0"/>
      </c>
      <c r="K91" s="873">
        <f t="shared" si="1"/>
      </c>
      <c r="L91" s="873">
        <f t="shared" si="2"/>
      </c>
      <c r="M91" s="869"/>
      <c r="N91" s="869"/>
      <c r="O91" s="895"/>
    </row>
    <row r="92">
      <c r="A92" s="868">
        <v>45767</v>
      </c>
      <c r="B92" s="869" t="s">
        <v>993</v>
      </c>
      <c r="C92" s="870" t="s">
        <v>1049</v>
      </c>
      <c r="D92" s="869">
        <v>4</v>
      </c>
      <c r="E92" s="869">
        <v>14</v>
      </c>
      <c r="F92" s="869">
        <v>10</v>
      </c>
      <c r="G92" s="869">
        <v>2</v>
      </c>
      <c r="H92" s="872">
        <v>15830.399999999989</v>
      </c>
      <c r="I92" s="872">
        <v>10558.44</v>
      </c>
      <c r="J92" s="873">
        <f t="shared" si="0"/>
      </c>
      <c r="K92" s="873">
        <f t="shared" si="1"/>
      </c>
      <c r="L92" s="873">
        <f t="shared" si="2"/>
      </c>
      <c r="M92" s="869"/>
      <c r="N92" s="869"/>
      <c r="O92" s="869"/>
    </row>
    <row r="93">
      <c r="A93" s="868">
        <v>45767</v>
      </c>
      <c r="B93" s="899" t="s">
        <v>1005</v>
      </c>
      <c r="C93" s="870" t="s">
        <v>1042</v>
      </c>
      <c r="D93" s="869">
        <v>4</v>
      </c>
      <c r="E93" s="869">
        <v>40</v>
      </c>
      <c r="F93" s="869">
        <v>34</v>
      </c>
      <c r="G93" s="869">
        <v>5</v>
      </c>
      <c r="H93" s="872">
        <v>21976.2</v>
      </c>
      <c r="I93" s="872">
        <v>11204.52</v>
      </c>
      <c r="J93" s="873">
        <f t="shared" si="0"/>
      </c>
      <c r="K93" s="873">
        <f t="shared" si="1"/>
      </c>
      <c r="L93" s="873">
        <f t="shared" si="2"/>
      </c>
      <c r="M93" s="869"/>
      <c r="N93" s="869"/>
      <c r="O93" s="869"/>
    </row>
    <row r="94">
      <c r="A94" s="868">
        <v>45767</v>
      </c>
      <c r="B94" s="869" t="s">
        <v>1033</v>
      </c>
      <c r="C94" s="870" t="s">
        <v>1043</v>
      </c>
      <c r="D94" s="869">
        <v>4</v>
      </c>
      <c r="E94" s="869">
        <v>32</v>
      </c>
      <c r="F94" s="869">
        <v>23</v>
      </c>
      <c r="G94" s="869">
        <v>1</v>
      </c>
      <c r="H94" s="869">
        <v>34358</v>
      </c>
      <c r="I94" s="872">
        <v>11588.93</v>
      </c>
      <c r="J94" s="873">
        <f t="shared" si="0"/>
      </c>
      <c r="K94" s="873">
        <f t="shared" si="1"/>
      </c>
      <c r="L94" s="873">
        <f t="shared" si="2"/>
      </c>
      <c r="M94" s="869" t="s">
        <v>1044</v>
      </c>
      <c r="N94" s="869">
        <v>10</v>
      </c>
      <c r="O94" s="869"/>
    </row>
    <row r="95">
      <c r="A95" s="880" t="s">
        <v>1055</v>
      </c>
      <c r="B95" s="881" t="s">
        <v>989</v>
      </c>
      <c r="C95" s="881" t="s">
        <v>989</v>
      </c>
      <c r="D95" s="882">
        <f>SUM(D90:D94)</f>
      </c>
      <c r="E95" s="882">
        <f>SUM(E90:E94)</f>
      </c>
      <c r="F95" s="882">
        <f>SUM(F90:F94)</f>
      </c>
      <c r="G95" s="882">
        <f>SUM(G90:G94)</f>
      </c>
      <c r="H95" s="882">
        <f>SUM(H90:H94)</f>
      </c>
      <c r="I95" s="882">
        <f>SUM(I90:I94)</f>
      </c>
      <c r="J95" s="883">
        <f t="shared" si="0"/>
      </c>
      <c r="K95" s="883">
        <f t="shared" si="1"/>
      </c>
      <c r="L95" s="883">
        <f t="shared" si="2"/>
      </c>
      <c r="M95" s="884" t="s">
        <v>989</v>
      </c>
      <c r="N95" s="882">
        <f>SUM(N90:N94)</f>
      </c>
      <c r="O95" s="882"/>
    </row>
    <row r="96">
      <c r="A96" s="868">
        <v>45768</v>
      </c>
      <c r="B96" s="869" t="s">
        <v>1012</v>
      </c>
      <c r="C96" s="892" t="s">
        <v>1053</v>
      </c>
      <c r="D96" s="892">
        <v>4</v>
      </c>
      <c r="E96" s="892">
        <v>13</v>
      </c>
      <c r="F96" s="892">
        <v>10</v>
      </c>
      <c r="G96" s="892">
        <v>0</v>
      </c>
      <c r="H96" s="892">
        <v>16184.4</v>
      </c>
      <c r="I96" s="892">
        <v>10139.91</v>
      </c>
      <c r="J96" s="873">
        <f t="shared" si="0"/>
      </c>
      <c r="K96" s="873">
        <f t="shared" si="1"/>
      </c>
      <c r="L96" s="873">
        <f t="shared" si="2"/>
      </c>
      <c r="M96" s="869" t="s">
        <v>1039</v>
      </c>
      <c r="N96" s="869">
        <v>8</v>
      </c>
      <c r="O96" s="893"/>
    </row>
    <row r="97">
      <c r="A97" s="868">
        <v>45768</v>
      </c>
      <c r="B97" s="869" t="s">
        <v>1032</v>
      </c>
      <c r="C97" s="894" t="s">
        <v>1015</v>
      </c>
      <c r="D97" s="895">
        <v>4</v>
      </c>
      <c r="E97" s="895">
        <v>15</v>
      </c>
      <c r="F97" s="895">
        <v>12</v>
      </c>
      <c r="G97" s="895">
        <v>3</v>
      </c>
      <c r="H97" s="896">
        <v>16674</v>
      </c>
      <c r="I97" s="896">
        <v>9101.47</v>
      </c>
      <c r="J97" s="873">
        <f t="shared" si="0"/>
      </c>
      <c r="K97" s="873">
        <f t="shared" si="1"/>
      </c>
      <c r="L97" s="873">
        <f t="shared" si="2"/>
      </c>
      <c r="M97" s="869"/>
      <c r="N97" s="869"/>
      <c r="O97" s="895"/>
    </row>
    <row r="98">
      <c r="A98" s="868">
        <v>45768</v>
      </c>
      <c r="B98" s="899" t="s">
        <v>1005</v>
      </c>
      <c r="C98" s="870" t="s">
        <v>1049</v>
      </c>
      <c r="D98" s="869">
        <v>4</v>
      </c>
      <c r="E98" s="869">
        <v>50</v>
      </c>
      <c r="F98" s="869">
        <v>42</v>
      </c>
      <c r="G98" s="869">
        <v>8</v>
      </c>
      <c r="H98" s="872">
        <v>31394</v>
      </c>
      <c r="I98" s="872">
        <v>18318.34</v>
      </c>
      <c r="J98" s="873">
        <f t="shared" si="0"/>
      </c>
      <c r="K98" s="873">
        <f t="shared" si="1"/>
      </c>
      <c r="L98" s="873">
        <f t="shared" si="2"/>
      </c>
      <c r="M98" s="869" t="s">
        <v>1009</v>
      </c>
      <c r="N98" s="869">
        <v>5</v>
      </c>
      <c r="O98" s="869"/>
    </row>
    <row r="99">
      <c r="A99" s="868">
        <v>45768</v>
      </c>
      <c r="B99" s="900" t="s">
        <v>1040</v>
      </c>
      <c r="C99" s="870" t="s">
        <v>1042</v>
      </c>
      <c r="D99" s="869">
        <v>4</v>
      </c>
      <c r="E99" s="869">
        <v>17</v>
      </c>
      <c r="F99" s="869">
        <v>9</v>
      </c>
      <c r="G99" s="869">
        <v>1</v>
      </c>
      <c r="H99" s="872">
        <v>10657</v>
      </c>
      <c r="I99" s="872">
        <v>12818.5</v>
      </c>
      <c r="J99" s="873">
        <f t="shared" si="0"/>
      </c>
      <c r="K99" s="873">
        <f t="shared" si="1"/>
      </c>
      <c r="L99" s="873">
        <f t="shared" si="2"/>
      </c>
      <c r="M99" s="869"/>
      <c r="N99" s="869"/>
      <c r="O99" s="869"/>
    </row>
    <row r="100">
      <c r="A100" s="868">
        <v>45768</v>
      </c>
      <c r="B100" s="869" t="s">
        <v>1033</v>
      </c>
      <c r="C100" s="870" t="s">
        <v>1043</v>
      </c>
      <c r="D100" s="869">
        <v>4</v>
      </c>
      <c r="E100" s="869">
        <v>41</v>
      </c>
      <c r="F100" s="869">
        <v>31</v>
      </c>
      <c r="G100" s="869">
        <v>4</v>
      </c>
      <c r="H100" s="869">
        <v>44922.00000000001</v>
      </c>
      <c r="I100" s="872">
        <v>10912.86</v>
      </c>
      <c r="J100" s="873">
        <f t="shared" si="0"/>
      </c>
      <c r="K100" s="873">
        <f t="shared" si="1"/>
      </c>
      <c r="L100" s="873">
        <f t="shared" si="2"/>
      </c>
      <c r="M100" s="869" t="s">
        <v>1044</v>
      </c>
      <c r="N100" s="869">
        <v>7</v>
      </c>
      <c r="O100" s="869"/>
    </row>
    <row r="101">
      <c r="A101" s="880" t="s">
        <v>1056</v>
      </c>
      <c r="B101" s="881" t="s">
        <v>989</v>
      </c>
      <c r="C101" s="881" t="s">
        <v>989</v>
      </c>
      <c r="D101" s="882">
        <f>SUM(D96:D100)</f>
      </c>
      <c r="E101" s="882">
        <f>SUM(E96:E100)</f>
      </c>
      <c r="F101" s="882">
        <f>SUM(F96:F100)</f>
      </c>
      <c r="G101" s="882">
        <f>SUM(G96:G100)</f>
      </c>
      <c r="H101" s="882">
        <f>SUM(H96:H100)</f>
      </c>
      <c r="I101" s="882">
        <f>SUM(I96:I100)</f>
      </c>
      <c r="J101" s="883">
        <f t="shared" si="0"/>
      </c>
      <c r="K101" s="883">
        <f t="shared" si="1"/>
      </c>
      <c r="L101" s="883">
        <f t="shared" si="2"/>
      </c>
      <c r="M101" s="884" t="s">
        <v>989</v>
      </c>
      <c r="N101" s="882">
        <f>SUM(N96:N100)</f>
      </c>
      <c r="O101" s="882"/>
    </row>
    <row r="102">
      <c r="A102" s="868">
        <v>45769</v>
      </c>
      <c r="B102" s="869" t="s">
        <v>1012</v>
      </c>
      <c r="C102" s="892" t="s">
        <v>1053</v>
      </c>
      <c r="D102" s="892">
        <v>4</v>
      </c>
      <c r="E102" s="892">
        <v>34</v>
      </c>
      <c r="F102" s="892">
        <v>23</v>
      </c>
      <c r="G102" s="892">
        <v>5</v>
      </c>
      <c r="H102" s="892">
        <v>24293.1</v>
      </c>
      <c r="I102" s="892">
        <v>14966.76</v>
      </c>
      <c r="J102" s="873">
        <f t="shared" si="0"/>
      </c>
      <c r="K102" s="873">
        <f t="shared" si="1"/>
      </c>
      <c r="L102" s="873">
        <f t="shared" si="2"/>
      </c>
      <c r="M102" s="869" t="s">
        <v>1057</v>
      </c>
      <c r="N102" s="869">
        <v>10</v>
      </c>
      <c r="O102" s="893"/>
    </row>
    <row r="103">
      <c r="A103" s="868">
        <v>45769</v>
      </c>
      <c r="B103" s="869" t="s">
        <v>1005</v>
      </c>
      <c r="C103" s="894" t="s">
        <v>1015</v>
      </c>
      <c r="D103" s="895">
        <v>4</v>
      </c>
      <c r="E103" s="895">
        <v>29</v>
      </c>
      <c r="F103" s="895">
        <v>20</v>
      </c>
      <c r="G103" s="895">
        <v>3</v>
      </c>
      <c r="H103" s="896">
        <v>33531.6</v>
      </c>
      <c r="I103" s="896">
        <v>16212.32</v>
      </c>
      <c r="J103" s="873">
        <f t="shared" si="0"/>
      </c>
      <c r="K103" s="873">
        <f t="shared" si="1"/>
      </c>
      <c r="L103" s="873">
        <f t="shared" si="2"/>
      </c>
      <c r="M103" s="869"/>
      <c r="N103" s="869"/>
      <c r="O103" s="895"/>
    </row>
    <row r="104">
      <c r="A104" s="868">
        <v>45769</v>
      </c>
      <c r="B104" s="900" t="s">
        <v>1032</v>
      </c>
      <c r="C104" s="870" t="s">
        <v>1049</v>
      </c>
      <c r="D104" s="869">
        <v>4</v>
      </c>
      <c r="E104" s="869">
        <v>16</v>
      </c>
      <c r="F104" s="869">
        <v>10</v>
      </c>
      <c r="G104" s="869">
        <v>0</v>
      </c>
      <c r="H104" s="872">
        <v>13520.8</v>
      </c>
      <c r="I104" s="872">
        <v>13936.939999999999</v>
      </c>
      <c r="J104" s="873">
        <f t="shared" si="0"/>
      </c>
      <c r="K104" s="873">
        <f t="shared" si="1"/>
      </c>
      <c r="L104" s="873">
        <f t="shared" si="2"/>
      </c>
      <c r="M104" s="869"/>
      <c r="N104" s="869"/>
      <c r="O104" s="869"/>
    </row>
    <row r="105">
      <c r="A105" s="868">
        <v>45769</v>
      </c>
      <c r="B105" s="900" t="s">
        <v>1040</v>
      </c>
      <c r="C105" s="870" t="s">
        <v>1042</v>
      </c>
      <c r="D105" s="869">
        <v>4</v>
      </c>
      <c r="E105" s="869">
        <v>26</v>
      </c>
      <c r="F105" s="869">
        <v>19</v>
      </c>
      <c r="G105" s="869">
        <v>1</v>
      </c>
      <c r="H105" s="872">
        <v>28230.6</v>
      </c>
      <c r="I105" s="872">
        <v>11912.650000000001</v>
      </c>
      <c r="J105" s="873">
        <f t="shared" si="0"/>
      </c>
      <c r="K105" s="873">
        <f t="shared" si="1"/>
      </c>
      <c r="L105" s="873">
        <f t="shared" si="2"/>
      </c>
      <c r="M105" s="869"/>
      <c r="N105" s="869"/>
      <c r="O105" s="869"/>
    </row>
    <row r="106">
      <c r="A106" s="868">
        <v>45769</v>
      </c>
      <c r="B106" s="869" t="s">
        <v>1033</v>
      </c>
      <c r="C106" s="870" t="s">
        <v>1043</v>
      </c>
      <c r="D106" s="869">
        <v>4</v>
      </c>
      <c r="E106" s="869">
        <v>45</v>
      </c>
      <c r="F106" s="869">
        <v>27</v>
      </c>
      <c r="G106" s="869">
        <v>6</v>
      </c>
      <c r="H106" s="869">
        <v>36165.600000000006</v>
      </c>
      <c r="I106" s="872">
        <v>17445.700000000004</v>
      </c>
      <c r="J106" s="873">
        <f t="shared" si="0"/>
      </c>
      <c r="K106" s="873">
        <f t="shared" si="1"/>
      </c>
      <c r="L106" s="873">
        <f t="shared" si="2"/>
      </c>
      <c r="M106" s="869" t="s">
        <v>1044</v>
      </c>
      <c r="N106" s="869">
        <v>10</v>
      </c>
      <c r="O106" s="869"/>
    </row>
    <row r="107">
      <c r="A107" s="880" t="s">
        <v>1058</v>
      </c>
      <c r="B107" s="881" t="s">
        <v>989</v>
      </c>
      <c r="C107" s="881" t="s">
        <v>989</v>
      </c>
      <c r="D107" s="882">
        <f>SUM(D102:D106)</f>
      </c>
      <c r="E107" s="882">
        <f>SUM(E102:E106)</f>
      </c>
      <c r="F107" s="882">
        <f>SUM(F102:F106)</f>
      </c>
      <c r="G107" s="882">
        <f>SUM(G102:G106)</f>
      </c>
      <c r="H107" s="882">
        <f>SUM(H102:H106)</f>
      </c>
      <c r="I107" s="882">
        <f>SUM(I102:I106)</f>
      </c>
      <c r="J107" s="883">
        <f t="shared" si="0"/>
      </c>
      <c r="K107" s="883">
        <f t="shared" si="1"/>
      </c>
      <c r="L107" s="883">
        <f t="shared" si="2"/>
      </c>
      <c r="M107" s="884" t="s">
        <v>989</v>
      </c>
      <c r="N107" s="882">
        <f>SUM(N102:N106)</f>
      </c>
      <c r="O107" s="882"/>
    </row>
    <row r="108">
      <c r="A108" s="868">
        <v>45770</v>
      </c>
      <c r="B108" s="869" t="s">
        <v>1005</v>
      </c>
      <c r="C108" s="892" t="s">
        <v>1059</v>
      </c>
      <c r="D108" s="869">
        <v>5</v>
      </c>
      <c r="E108" s="869">
        <v>59</v>
      </c>
      <c r="F108" s="869">
        <v>45</v>
      </c>
      <c r="G108" s="869">
        <v>3</v>
      </c>
      <c r="H108" s="872">
        <v>51144.2</v>
      </c>
      <c r="I108" s="872">
        <v>24749.48</v>
      </c>
      <c r="J108" s="873">
        <f t="shared" si="0"/>
      </c>
      <c r="K108" s="873">
        <f t="shared" si="1"/>
      </c>
      <c r="L108" s="873">
        <f t="shared" si="2"/>
      </c>
      <c r="M108" s="874" t="s">
        <v>1060</v>
      </c>
      <c r="N108" s="869">
        <v>6</v>
      </c>
      <c r="O108" s="869"/>
    </row>
    <row r="109">
      <c r="A109" s="868">
        <v>45770</v>
      </c>
      <c r="B109" s="900" t="s">
        <v>1040</v>
      </c>
      <c r="C109" s="870" t="s">
        <v>1061</v>
      </c>
      <c r="D109" s="869">
        <v>4.5</v>
      </c>
      <c r="E109" s="869">
        <v>24</v>
      </c>
      <c r="F109" s="869">
        <v>7</v>
      </c>
      <c r="G109" s="869">
        <v>0</v>
      </c>
      <c r="H109" s="872">
        <v>7366.8</v>
      </c>
      <c r="I109" s="872">
        <v>17277.18</v>
      </c>
      <c r="J109" s="873">
        <f t="shared" si="0"/>
      </c>
      <c r="K109" s="873">
        <f t="shared" si="1"/>
      </c>
      <c r="L109" s="873">
        <f t="shared" si="2"/>
      </c>
      <c r="M109" s="874" t="s">
        <v>992</v>
      </c>
      <c r="N109" s="869">
        <v>7</v>
      </c>
      <c r="O109" s="869"/>
    </row>
    <row r="110">
      <c r="A110" s="868">
        <v>45770</v>
      </c>
      <c r="B110" s="869" t="s">
        <v>1033</v>
      </c>
      <c r="C110" s="870" t="s">
        <v>1062</v>
      </c>
      <c r="D110" s="869">
        <v>5.5</v>
      </c>
      <c r="E110" s="869">
        <v>35</v>
      </c>
      <c r="F110" s="869">
        <v>21</v>
      </c>
      <c r="G110" s="869">
        <v>1</v>
      </c>
      <c r="H110" s="869">
        <v>32138.6</v>
      </c>
      <c r="I110" s="872">
        <v>14507.11</v>
      </c>
      <c r="J110" s="873">
        <f t="shared" si="0"/>
      </c>
      <c r="K110" s="873">
        <f t="shared" si="1"/>
      </c>
      <c r="L110" s="873">
        <f t="shared" si="2"/>
      </c>
      <c r="M110" s="874" t="s">
        <v>1044</v>
      </c>
      <c r="N110" s="869">
        <v>7</v>
      </c>
      <c r="O110" s="869"/>
    </row>
    <row r="111">
      <c r="A111" s="868">
        <v>45770</v>
      </c>
      <c r="B111" s="869" t="s">
        <v>1012</v>
      </c>
      <c r="C111" s="870" t="s">
        <v>1063</v>
      </c>
      <c r="D111" s="869">
        <v>5</v>
      </c>
      <c r="E111" s="869">
        <v>55</v>
      </c>
      <c r="F111" s="869">
        <v>40</v>
      </c>
      <c r="G111" s="869">
        <v>4</v>
      </c>
      <c r="H111" s="869">
        <v>42046.6</v>
      </c>
      <c r="I111" s="872">
        <v>21827.940000000002</v>
      </c>
      <c r="J111" s="873">
        <f t="shared" si="0"/>
      </c>
      <c r="K111" s="873">
        <f t="shared" si="1"/>
      </c>
      <c r="L111" s="873">
        <f t="shared" si="2"/>
      </c>
      <c r="M111" s="874"/>
      <c r="N111" s="869"/>
      <c r="O111" s="869"/>
    </row>
    <row r="112">
      <c r="A112" s="880" t="s">
        <v>1064</v>
      </c>
      <c r="B112" s="881" t="s">
        <v>989</v>
      </c>
      <c r="C112" s="881" t="s">
        <v>989</v>
      </c>
      <c r="D112" s="882">
        <f>SUM(D108:D111)</f>
      </c>
      <c r="E112" s="882">
        <f>SUM(E108:E111)</f>
      </c>
      <c r="F112" s="882">
        <f>SUM(F108:F111)</f>
      </c>
      <c r="G112" s="882">
        <f>SUM(G108:G111)</f>
      </c>
      <c r="H112" s="882">
        <f>SUM(H108:H111)</f>
      </c>
      <c r="I112" s="882">
        <f>SUM(I108:I111)</f>
      </c>
      <c r="J112" s="883">
        <f t="shared" si="0"/>
      </c>
      <c r="K112" s="883">
        <f t="shared" si="1"/>
      </c>
      <c r="L112" s="883">
        <f t="shared" si="2"/>
      </c>
      <c r="M112" s="884" t="s">
        <v>989</v>
      </c>
      <c r="N112" s="882">
        <f>SUM(N108:N110)</f>
      </c>
      <c r="O112" s="882"/>
    </row>
    <row r="113">
      <c r="A113" s="868">
        <v>45771</v>
      </c>
      <c r="B113" s="874" t="s">
        <v>1005</v>
      </c>
      <c r="C113" s="892" t="s">
        <v>1065</v>
      </c>
      <c r="D113" s="892">
        <v>5</v>
      </c>
      <c r="E113" s="892">
        <v>56</v>
      </c>
      <c r="F113" s="892">
        <v>46</v>
      </c>
      <c r="G113" s="892">
        <v>5</v>
      </c>
      <c r="H113" s="892">
        <v>59886.2</v>
      </c>
      <c r="I113" s="892">
        <v>23767.99</v>
      </c>
      <c r="J113" s="873">
        <f t="shared" si="0"/>
      </c>
      <c r="K113" s="873">
        <f t="shared" si="1"/>
      </c>
      <c r="L113" s="873">
        <f t="shared" si="2"/>
      </c>
      <c r="M113" s="892" t="s">
        <v>1060</v>
      </c>
      <c r="N113" s="892">
        <v>6.5</v>
      </c>
      <c r="O113" s="893"/>
    </row>
    <row r="114">
      <c r="A114" s="868">
        <v>45771</v>
      </c>
      <c r="B114" s="869" t="s">
        <v>1032</v>
      </c>
      <c r="C114" s="894" t="s">
        <v>1066</v>
      </c>
      <c r="D114" s="895">
        <v>3</v>
      </c>
      <c r="E114" s="895">
        <v>17</v>
      </c>
      <c r="F114" s="895">
        <v>15</v>
      </c>
      <c r="G114" s="895">
        <v>1</v>
      </c>
      <c r="H114" s="896">
        <v>16165.400000000005</v>
      </c>
      <c r="I114" s="896">
        <v>11504.43</v>
      </c>
      <c r="J114" s="873">
        <f t="shared" si="0"/>
      </c>
      <c r="K114" s="873">
        <f t="shared" si="1"/>
      </c>
      <c r="L114" s="873">
        <f t="shared" si="2"/>
      </c>
      <c r="O114" s="895"/>
    </row>
    <row r="115">
      <c r="A115" s="868">
        <v>45771</v>
      </c>
      <c r="B115" s="869" t="s">
        <v>1040</v>
      </c>
      <c r="C115" s="870" t="s">
        <v>1067</v>
      </c>
      <c r="D115" s="869">
        <v>3</v>
      </c>
      <c r="E115" s="869">
        <v>34</v>
      </c>
      <c r="F115" s="869">
        <v>30</v>
      </c>
      <c r="G115" s="869">
        <v>6</v>
      </c>
      <c r="H115" s="872">
        <v>18921.59999999999</v>
      </c>
      <c r="I115" s="872">
        <v>14897.3</v>
      </c>
      <c r="J115" s="873">
        <f t="shared" si="0"/>
      </c>
      <c r="K115" s="873">
        <f t="shared" si="1"/>
      </c>
      <c r="L115" s="873">
        <f t="shared" si="2"/>
      </c>
      <c r="M115" s="897" t="s">
        <v>999</v>
      </c>
      <c r="N115" s="895">
        <v>6.5</v>
      </c>
      <c r="O115" s="869"/>
    </row>
    <row r="116">
      <c r="A116" s="868">
        <v>45771</v>
      </c>
      <c r="B116" s="869" t="s">
        <v>1033</v>
      </c>
      <c r="C116" s="870" t="s">
        <v>1068</v>
      </c>
      <c r="D116" s="869">
        <v>5</v>
      </c>
      <c r="E116" s="869">
        <v>61</v>
      </c>
      <c r="F116" s="869">
        <v>50</v>
      </c>
      <c r="G116" s="869">
        <v>7</v>
      </c>
      <c r="H116" s="869">
        <v>49755.000000000015</v>
      </c>
      <c r="I116" s="872">
        <v>28249.25</v>
      </c>
      <c r="J116" s="873">
        <f t="shared" si="0"/>
      </c>
      <c r="K116" s="873">
        <f t="shared" si="1"/>
      </c>
      <c r="L116" s="873">
        <f t="shared" si="2"/>
      </c>
      <c r="M116" s="874"/>
      <c r="N116" s="869"/>
      <c r="O116" s="869"/>
    </row>
    <row r="117">
      <c r="A117" s="868">
        <v>45771</v>
      </c>
      <c r="B117" s="869" t="s">
        <v>1012</v>
      </c>
      <c r="C117" s="870" t="s">
        <v>1043</v>
      </c>
      <c r="D117" s="869">
        <v>4</v>
      </c>
      <c r="E117" s="869">
        <v>40</v>
      </c>
      <c r="F117" s="869">
        <v>29</v>
      </c>
      <c r="G117" s="869">
        <v>4</v>
      </c>
      <c r="H117" s="869">
        <v>44324.4</v>
      </c>
      <c r="I117" s="872">
        <v>20468.359999999997</v>
      </c>
      <c r="J117" s="873">
        <f t="shared" si="0"/>
      </c>
      <c r="K117" s="873">
        <f t="shared" si="1"/>
      </c>
      <c r="L117" s="873">
        <f t="shared" si="2"/>
      </c>
      <c r="M117" s="874" t="s">
        <v>1044</v>
      </c>
      <c r="N117" s="869">
        <v>7</v>
      </c>
      <c r="O117" s="869"/>
    </row>
    <row r="118">
      <c r="A118" s="880" t="s">
        <v>1069</v>
      </c>
      <c r="B118" s="881" t="s">
        <v>989</v>
      </c>
      <c r="C118" s="881" t="s">
        <v>989</v>
      </c>
      <c r="D118" s="882">
        <f>SUM(D113:D117)</f>
      </c>
      <c r="E118" s="882">
        <f>SUM(E113:E117)</f>
      </c>
      <c r="F118" s="882">
        <f>SUM(F113:F117)</f>
      </c>
      <c r="G118" s="882">
        <f>SUM(G113:G117)</f>
      </c>
      <c r="H118" s="882">
        <f>SUM(H113:H117)</f>
      </c>
      <c r="I118" s="882">
        <f>SUM(I113:I117)</f>
      </c>
      <c r="J118" s="883">
        <f t="shared" si="0"/>
      </c>
      <c r="K118" s="883">
        <f t="shared" si="1"/>
      </c>
      <c r="L118" s="883">
        <f t="shared" si="2"/>
      </c>
      <c r="M118" s="884" t="s">
        <v>989</v>
      </c>
      <c r="N118" s="882">
        <f>SUM(N113:N117)</f>
      </c>
      <c r="O118" s="882"/>
    </row>
    <row r="119">
      <c r="A119" s="868">
        <v>45772</v>
      </c>
      <c r="B119" s="874" t="s">
        <v>1005</v>
      </c>
      <c r="C119" s="892" t="s">
        <v>1065</v>
      </c>
      <c r="D119" s="892">
        <v>5</v>
      </c>
      <c r="E119" s="892">
        <v>58</v>
      </c>
      <c r="F119" s="892">
        <v>41</v>
      </c>
      <c r="G119" s="892">
        <v>8</v>
      </c>
      <c r="H119" s="892">
        <v>43594.399999999994</v>
      </c>
      <c r="I119" s="892">
        <v>23182.440000000002</v>
      </c>
      <c r="J119" s="873">
        <f t="shared" si="0"/>
      </c>
      <c r="K119" s="873">
        <f t="shared" si="1"/>
      </c>
      <c r="L119" s="873">
        <f t="shared" si="2"/>
      </c>
      <c r="M119" s="901" t="s">
        <v>1070</v>
      </c>
      <c r="N119" s="901">
        <v>8</v>
      </c>
      <c r="O119" s="893"/>
    </row>
    <row r="120">
      <c r="A120" s="868">
        <v>45772</v>
      </c>
      <c r="B120" s="869" t="s">
        <v>1040</v>
      </c>
      <c r="C120" s="894" t="s">
        <v>1066</v>
      </c>
      <c r="D120" s="895">
        <v>3</v>
      </c>
      <c r="E120" s="895">
        <v>23</v>
      </c>
      <c r="F120" s="895">
        <v>18</v>
      </c>
      <c r="G120" s="895">
        <v>1</v>
      </c>
      <c r="H120" s="896">
        <v>23818.400000000005</v>
      </c>
      <c r="I120" s="896">
        <v>13327.75</v>
      </c>
      <c r="J120" s="873">
        <f t="shared" si="0"/>
      </c>
      <c r="K120" s="873">
        <f t="shared" si="1"/>
      </c>
      <c r="L120" s="902">
        <f t="shared" si="2"/>
      </c>
      <c r="M120" s="893"/>
      <c r="N120" s="893"/>
      <c r="O120" s="903"/>
    </row>
    <row r="121">
      <c r="A121" s="868">
        <v>45772</v>
      </c>
      <c r="B121" s="869" t="s">
        <v>1032</v>
      </c>
      <c r="C121" s="870" t="s">
        <v>1067</v>
      </c>
      <c r="D121" s="869">
        <v>3</v>
      </c>
      <c r="E121" s="869">
        <v>20</v>
      </c>
      <c r="F121" s="869">
        <v>13</v>
      </c>
      <c r="G121" s="869">
        <v>1</v>
      </c>
      <c r="H121" s="872">
        <v>10835.6</v>
      </c>
      <c r="I121" s="872">
        <v>11577.77</v>
      </c>
      <c r="J121" s="873">
        <f t="shared" si="0"/>
      </c>
      <c r="K121" s="873">
        <f t="shared" si="1"/>
      </c>
      <c r="L121" s="873">
        <f t="shared" si="2"/>
      </c>
      <c r="M121" s="897" t="s">
        <v>992</v>
      </c>
      <c r="N121" s="895">
        <v>5</v>
      </c>
      <c r="O121" s="869"/>
    </row>
    <row r="122">
      <c r="A122" s="868">
        <v>45772</v>
      </c>
      <c r="B122" s="869" t="s">
        <v>1033</v>
      </c>
      <c r="C122" s="870" t="s">
        <v>1068</v>
      </c>
      <c r="D122" s="869">
        <v>5</v>
      </c>
      <c r="E122" s="869">
        <v>54</v>
      </c>
      <c r="F122" s="869">
        <v>41</v>
      </c>
      <c r="G122" s="869">
        <v>5</v>
      </c>
      <c r="H122" s="869">
        <v>35934.000000000015</v>
      </c>
      <c r="I122" s="872">
        <v>24873.760000000002</v>
      </c>
      <c r="J122" s="873">
        <f t="shared" si="0"/>
      </c>
      <c r="K122" s="873">
        <f t="shared" si="1"/>
      </c>
      <c r="L122" s="873">
        <f t="shared" si="2"/>
      </c>
      <c r="M122" s="874"/>
      <c r="N122" s="869"/>
      <c r="O122" s="869"/>
    </row>
    <row r="123">
      <c r="A123" s="868">
        <v>45772</v>
      </c>
      <c r="B123" s="869" t="s">
        <v>1012</v>
      </c>
      <c r="C123" s="870" t="s">
        <v>1043</v>
      </c>
      <c r="D123" s="869">
        <v>4</v>
      </c>
      <c r="E123" s="869">
        <v>49</v>
      </c>
      <c r="F123" s="869">
        <v>38</v>
      </c>
      <c r="G123" s="869">
        <v>6</v>
      </c>
      <c r="H123" s="869">
        <v>61259</v>
      </c>
      <c r="I123" s="872">
        <v>19073.96</v>
      </c>
      <c r="J123" s="873">
        <f t="shared" si="0"/>
      </c>
      <c r="K123" s="873">
        <f t="shared" si="1"/>
      </c>
      <c r="L123" s="873">
        <f t="shared" si="2"/>
      </c>
      <c r="M123" s="874" t="s">
        <v>1044</v>
      </c>
      <c r="N123" s="869">
        <v>7</v>
      </c>
      <c r="O123" s="869"/>
    </row>
    <row r="124">
      <c r="A124" s="880">
        <v>45772</v>
      </c>
      <c r="B124" s="881" t="s">
        <v>989</v>
      </c>
      <c r="C124" s="881" t="s">
        <v>989</v>
      </c>
      <c r="D124" s="882">
        <f>SUM(D119:D123)</f>
      </c>
      <c r="E124" s="882">
        <f>SUM(E119:E123)</f>
      </c>
      <c r="F124" s="882">
        <f>SUM(F119:F123)</f>
      </c>
      <c r="G124" s="882">
        <f>SUM(G119:G123)</f>
      </c>
      <c r="H124" s="882">
        <f>SUM(H119:H123)</f>
      </c>
      <c r="I124" s="882">
        <f>SUM(I119:I123)</f>
      </c>
      <c r="J124" s="883">
        <f t="shared" si="0"/>
      </c>
      <c r="K124" s="883">
        <f t="shared" si="1"/>
      </c>
      <c r="L124" s="883">
        <f t="shared" si="2"/>
      </c>
      <c r="M124" s="884" t="s">
        <v>989</v>
      </c>
      <c r="N124" s="882">
        <f>SUM(N119:N123)</f>
      </c>
      <c r="O124" s="882"/>
    </row>
    <row r="125">
      <c r="A125" s="868">
        <v>45773</v>
      </c>
      <c r="B125" s="874" t="s">
        <v>1005</v>
      </c>
      <c r="C125" s="892" t="s">
        <v>1065</v>
      </c>
      <c r="D125" s="892">
        <v>5</v>
      </c>
      <c r="E125" s="892">
        <v>44</v>
      </c>
      <c r="F125" s="892">
        <v>29</v>
      </c>
      <c r="G125" s="892">
        <v>4</v>
      </c>
      <c r="H125" s="892">
        <v>34691.4</v>
      </c>
      <c r="I125" s="892">
        <v>22977.05</v>
      </c>
      <c r="J125" s="873">
        <f t="shared" si="0"/>
      </c>
      <c r="K125" s="873">
        <f t="shared" si="1"/>
      </c>
      <c r="L125" s="873">
        <f t="shared" si="2"/>
      </c>
      <c r="M125" s="901" t="s">
        <v>1071</v>
      </c>
      <c r="N125" s="901">
        <v>10</v>
      </c>
      <c r="O125" s="893"/>
    </row>
    <row r="126">
      <c r="A126" s="868">
        <v>45773</v>
      </c>
      <c r="B126" s="869" t="s">
        <v>1040</v>
      </c>
      <c r="C126" s="894" t="s">
        <v>1066</v>
      </c>
      <c r="D126" s="895">
        <v>3</v>
      </c>
      <c r="E126" s="895">
        <v>20</v>
      </c>
      <c r="F126" s="895">
        <v>16</v>
      </c>
      <c r="G126" s="895">
        <v>3</v>
      </c>
      <c r="H126" s="896">
        <v>17482.8</v>
      </c>
      <c r="I126" s="896">
        <v>12860.67</v>
      </c>
      <c r="J126" s="873">
        <f t="shared" si="0"/>
      </c>
      <c r="K126" s="873">
        <f t="shared" si="1"/>
      </c>
      <c r="L126" s="902">
        <f t="shared" si="2"/>
      </c>
      <c r="M126" s="893"/>
      <c r="N126" s="893"/>
      <c r="O126" s="903"/>
    </row>
    <row r="127">
      <c r="A127" s="868">
        <v>45773</v>
      </c>
      <c r="B127" s="869" t="s">
        <v>1032</v>
      </c>
      <c r="C127" s="870" t="s">
        <v>1067</v>
      </c>
      <c r="D127" s="869">
        <v>3</v>
      </c>
      <c r="E127" s="869">
        <v>19</v>
      </c>
      <c r="F127" s="869">
        <v>9</v>
      </c>
      <c r="G127" s="869">
        <v>1</v>
      </c>
      <c r="H127" s="872">
        <v>15439.2</v>
      </c>
      <c r="I127" s="872">
        <v>9877.47</v>
      </c>
      <c r="J127" s="873">
        <f t="shared" si="0"/>
      </c>
      <c r="K127" s="873">
        <f t="shared" si="1"/>
      </c>
      <c r="L127" s="873">
        <f t="shared" si="2"/>
      </c>
      <c r="M127" s="897" t="s">
        <v>1072</v>
      </c>
      <c r="N127" s="895">
        <v>3</v>
      </c>
      <c r="O127" s="869"/>
    </row>
    <row r="128">
      <c r="A128" s="868">
        <v>45773</v>
      </c>
      <c r="B128" s="869" t="s">
        <v>1033</v>
      </c>
      <c r="C128" s="870" t="s">
        <v>1068</v>
      </c>
      <c r="D128" s="869">
        <v>5</v>
      </c>
      <c r="E128" s="869">
        <v>54</v>
      </c>
      <c r="F128" s="869">
        <v>33</v>
      </c>
      <c r="G128" s="869">
        <v>6</v>
      </c>
      <c r="H128" s="869">
        <v>32773.8</v>
      </c>
      <c r="I128" s="872">
        <v>16637.84</v>
      </c>
      <c r="J128" s="873">
        <f t="shared" si="0"/>
      </c>
      <c r="K128" s="873">
        <f t="shared" si="1"/>
      </c>
      <c r="L128" s="873">
        <f t="shared" si="2"/>
      </c>
      <c r="M128" s="874"/>
      <c r="N128" s="869"/>
      <c r="O128" s="869"/>
    </row>
    <row r="129">
      <c r="A129" s="868">
        <v>45773</v>
      </c>
      <c r="B129" s="869" t="s">
        <v>1012</v>
      </c>
      <c r="C129" s="870" t="s">
        <v>1043</v>
      </c>
      <c r="D129" s="869">
        <v>4</v>
      </c>
      <c r="E129" s="869">
        <v>43</v>
      </c>
      <c r="F129" s="869">
        <v>26</v>
      </c>
      <c r="G129" s="869">
        <v>4</v>
      </c>
      <c r="H129" s="869">
        <v>32041.800000000003</v>
      </c>
      <c r="I129" s="872">
        <v>14586.93</v>
      </c>
      <c r="J129" s="873">
        <f t="shared" si="0"/>
      </c>
      <c r="K129" s="873">
        <f t="shared" si="1"/>
      </c>
      <c r="L129" s="873">
        <f t="shared" si="2"/>
      </c>
      <c r="M129" s="874" t="s">
        <v>1044</v>
      </c>
      <c r="N129" s="869">
        <v>7</v>
      </c>
      <c r="O129" s="869"/>
    </row>
    <row r="130">
      <c r="A130" s="880">
        <v>45773</v>
      </c>
      <c r="B130" s="881" t="s">
        <v>989</v>
      </c>
      <c r="C130" s="881" t="s">
        <v>989</v>
      </c>
      <c r="D130" s="882">
        <f>SUM(D125:D129)</f>
      </c>
      <c r="E130" s="882">
        <f>SUM(E125:E129)</f>
      </c>
      <c r="F130" s="882">
        <f>SUM(F125:F129)</f>
      </c>
      <c r="G130" s="882">
        <f>SUM(G125:G129)</f>
      </c>
      <c r="H130" s="882">
        <f>SUM(H125:H129)</f>
      </c>
      <c r="I130" s="882">
        <f>SUM(I125:I129)</f>
      </c>
      <c r="J130" s="883">
        <f t="shared" si="0"/>
      </c>
      <c r="K130" s="883">
        <f t="shared" si="1"/>
      </c>
      <c r="L130" s="883">
        <f t="shared" si="2"/>
      </c>
      <c r="M130" s="884" t="s">
        <v>989</v>
      </c>
      <c r="N130" s="882">
        <f>SUM(N125:N129)</f>
      </c>
      <c r="O130" s="882"/>
    </row>
    <row r="131">
      <c r="A131" s="868">
        <v>45774</v>
      </c>
      <c r="B131" s="869" t="s">
        <v>1040</v>
      </c>
      <c r="C131" s="892" t="s">
        <v>1053</v>
      </c>
      <c r="D131" s="892">
        <v>4</v>
      </c>
      <c r="E131" s="892">
        <v>43</v>
      </c>
      <c r="F131" s="892">
        <v>32</v>
      </c>
      <c r="G131" s="892">
        <v>5</v>
      </c>
      <c r="H131" s="892">
        <v>44777.4</v>
      </c>
      <c r="I131" s="892">
        <v>19998.73</v>
      </c>
      <c r="J131" s="873">
        <f t="shared" si="0"/>
      </c>
      <c r="K131" s="873">
        <f t="shared" si="1"/>
      </c>
      <c r="L131" s="873">
        <f t="shared" si="2"/>
      </c>
      <c r="M131" s="901" t="s">
        <v>1071</v>
      </c>
      <c r="N131" s="901">
        <v>10</v>
      </c>
      <c r="O131" s="893"/>
    </row>
    <row r="132">
      <c r="A132" s="868">
        <v>45774</v>
      </c>
      <c r="B132" s="874" t="s">
        <v>1005</v>
      </c>
      <c r="C132" s="894" t="s">
        <v>1015</v>
      </c>
      <c r="D132" s="895">
        <v>4</v>
      </c>
      <c r="E132" s="895">
        <v>40</v>
      </c>
      <c r="F132" s="895">
        <v>28</v>
      </c>
      <c r="G132" s="895">
        <v>5</v>
      </c>
      <c r="H132" s="896">
        <v>30804</v>
      </c>
      <c r="I132" s="896">
        <v>17670.23</v>
      </c>
      <c r="J132" s="873">
        <f t="shared" si="0"/>
      </c>
      <c r="K132" s="873">
        <f t="shared" si="1"/>
      </c>
      <c r="L132" s="902">
        <f t="shared" si="2"/>
      </c>
      <c r="M132" s="893"/>
      <c r="N132" s="893"/>
      <c r="O132" s="903"/>
    </row>
    <row r="133">
      <c r="A133" s="868">
        <v>45774</v>
      </c>
      <c r="B133" s="869" t="s">
        <v>1032</v>
      </c>
      <c r="C133" s="870" t="s">
        <v>1049</v>
      </c>
      <c r="D133" s="869">
        <v>4</v>
      </c>
      <c r="E133" s="869">
        <v>44</v>
      </c>
      <c r="F133" s="869">
        <v>26</v>
      </c>
      <c r="G133" s="869">
        <v>5</v>
      </c>
      <c r="H133" s="872">
        <v>22064</v>
      </c>
      <c r="I133" s="872">
        <v>17939.29</v>
      </c>
      <c r="J133" s="873">
        <f t="shared" si="0"/>
      </c>
      <c r="K133" s="873">
        <f t="shared" si="1"/>
      </c>
      <c r="L133" s="873">
        <f t="shared" si="2"/>
      </c>
      <c r="M133" s="897"/>
      <c r="N133" s="895"/>
      <c r="O133" s="869"/>
    </row>
    <row r="134">
      <c r="A134" s="868">
        <v>45774</v>
      </c>
      <c r="B134" s="869" t="s">
        <v>1033</v>
      </c>
      <c r="C134" s="870" t="s">
        <v>1042</v>
      </c>
      <c r="D134" s="869">
        <v>4</v>
      </c>
      <c r="E134" s="869">
        <v>38</v>
      </c>
      <c r="F134" s="869">
        <v>21</v>
      </c>
      <c r="G134" s="869">
        <v>4</v>
      </c>
      <c r="H134" s="869">
        <v>37710.200000000004</v>
      </c>
      <c r="I134" s="872">
        <v>12713.85</v>
      </c>
      <c r="J134" s="873">
        <f t="shared" si="0"/>
      </c>
      <c r="K134" s="873">
        <f t="shared" si="1"/>
      </c>
      <c r="L134" s="873">
        <f t="shared" si="2"/>
      </c>
      <c r="M134" s="874"/>
      <c r="N134" s="869"/>
      <c r="O134" s="869"/>
    </row>
    <row r="135">
      <c r="A135" s="868">
        <v>45774</v>
      </c>
      <c r="B135" s="869" t="s">
        <v>1012</v>
      </c>
      <c r="C135" s="870" t="s">
        <v>1043</v>
      </c>
      <c r="D135" s="869">
        <v>4</v>
      </c>
      <c r="E135" s="869">
        <v>37</v>
      </c>
      <c r="F135" s="869">
        <v>22</v>
      </c>
      <c r="G135" s="869">
        <v>4</v>
      </c>
      <c r="H135" s="869">
        <v>25539.2</v>
      </c>
      <c r="I135" s="872">
        <v>12570.47</v>
      </c>
      <c r="J135" s="873">
        <f t="shared" si="0"/>
      </c>
      <c r="K135" s="873">
        <f t="shared" si="1"/>
      </c>
      <c r="L135" s="873">
        <f t="shared" si="2"/>
      </c>
      <c r="M135" s="874" t="s">
        <v>1044</v>
      </c>
      <c r="N135" s="869">
        <v>10</v>
      </c>
      <c r="O135" s="869"/>
    </row>
    <row r="136">
      <c r="A136" s="880">
        <v>45774</v>
      </c>
      <c r="B136" s="881" t="s">
        <v>989</v>
      </c>
      <c r="C136" s="881" t="s">
        <v>989</v>
      </c>
      <c r="D136" s="882">
        <f>SUM(D131:D135)</f>
      </c>
      <c r="E136" s="882">
        <f>SUM(E131:E135)</f>
      </c>
      <c r="F136" s="882">
        <f>SUM(F131:F135)</f>
      </c>
      <c r="G136" s="882">
        <f>SUM(G131:G135)</f>
      </c>
      <c r="H136" s="882">
        <f>SUM(H131:H135)</f>
      </c>
      <c r="I136" s="882">
        <f>SUM(I131:I135)</f>
      </c>
      <c r="J136" s="883">
        <f t="shared" si="0"/>
      </c>
      <c r="K136" s="883">
        <f t="shared" si="1"/>
      </c>
      <c r="L136" s="883">
        <f t="shared" si="2"/>
      </c>
      <c r="M136" s="884" t="s">
        <v>989</v>
      </c>
      <c r="N136" s="882">
        <f>SUM(N131:N135)</f>
      </c>
      <c r="O136" s="882"/>
    </row>
    <row r="137">
      <c r="A137" s="868">
        <v>45775</v>
      </c>
      <c r="B137" s="874" t="s">
        <v>1040</v>
      </c>
      <c r="C137" s="894" t="s">
        <v>1065</v>
      </c>
      <c r="D137" s="895">
        <v>5</v>
      </c>
      <c r="E137" s="895">
        <v>28</v>
      </c>
      <c r="F137" s="895">
        <v>21</v>
      </c>
      <c r="G137" s="895">
        <v>6</v>
      </c>
      <c r="H137" s="896">
        <v>20763.4</v>
      </c>
      <c r="I137" s="896">
        <v>17272.66</v>
      </c>
      <c r="J137" s="873">
        <f t="shared" si="0"/>
      </c>
      <c r="K137" s="873">
        <f t="shared" si="1"/>
      </c>
      <c r="L137" s="902">
        <f t="shared" si="2"/>
      </c>
      <c r="M137" s="892" t="s">
        <v>1071</v>
      </c>
      <c r="N137" s="892">
        <v>10</v>
      </c>
      <c r="O137" s="903"/>
    </row>
    <row r="138">
      <c r="A138" s="868">
        <v>45775</v>
      </c>
      <c r="B138" s="869" t="s">
        <v>1005</v>
      </c>
      <c r="C138" s="870" t="s">
        <v>1007</v>
      </c>
      <c r="D138" s="869">
        <v>5</v>
      </c>
      <c r="E138" s="869">
        <v>42</v>
      </c>
      <c r="F138" s="869">
        <v>27</v>
      </c>
      <c r="G138" s="869">
        <v>5</v>
      </c>
      <c r="H138" s="872">
        <v>28657</v>
      </c>
      <c r="I138" s="872">
        <v>13944.7</v>
      </c>
      <c r="J138" s="873">
        <f t="shared" si="0"/>
      </c>
      <c r="K138" s="873">
        <f t="shared" si="1"/>
      </c>
      <c r="L138" s="873">
        <f t="shared" si="2"/>
      </c>
      <c r="M138" s="897"/>
      <c r="N138" s="895"/>
      <c r="O138" s="869"/>
    </row>
    <row r="139">
      <c r="A139" s="868">
        <v>45775</v>
      </c>
      <c r="B139" s="869" t="s">
        <v>1032</v>
      </c>
      <c r="C139" s="870" t="s">
        <v>1013</v>
      </c>
      <c r="D139" s="869">
        <v>5</v>
      </c>
      <c r="E139" s="869">
        <v>33</v>
      </c>
      <c r="F139" s="869">
        <v>26</v>
      </c>
      <c r="G139" s="869">
        <v>4</v>
      </c>
      <c r="H139" s="869">
        <v>27198.199999999997</v>
      </c>
      <c r="I139" s="872">
        <v>15223.75</v>
      </c>
      <c r="J139" s="873">
        <f t="shared" si="0"/>
      </c>
      <c r="K139" s="873">
        <f t="shared" si="1"/>
      </c>
      <c r="L139" s="873">
        <f t="shared" si="2"/>
      </c>
      <c r="M139" s="874" t="s">
        <v>992</v>
      </c>
      <c r="N139" s="869">
        <v>3</v>
      </c>
      <c r="O139" s="869"/>
    </row>
    <row r="140">
      <c r="A140" s="868">
        <v>45775</v>
      </c>
      <c r="B140" s="869" t="s">
        <v>1012</v>
      </c>
      <c r="C140" s="870" t="s">
        <v>1063</v>
      </c>
      <c r="D140" s="869">
        <v>5</v>
      </c>
      <c r="E140" s="869">
        <v>60</v>
      </c>
      <c r="F140" s="869">
        <v>41</v>
      </c>
      <c r="G140" s="869">
        <v>4</v>
      </c>
      <c r="H140" s="869">
        <v>53120.19999999999</v>
      </c>
      <c r="I140" s="872">
        <v>20477.65</v>
      </c>
      <c r="J140" s="873">
        <f t="shared" si="0"/>
      </c>
      <c r="K140" s="873">
        <f t="shared" si="1"/>
      </c>
      <c r="L140" s="873">
        <f t="shared" si="2"/>
      </c>
      <c r="M140" s="874" t="s">
        <v>1044</v>
      </c>
      <c r="N140" s="869">
        <v>7</v>
      </c>
      <c r="O140" s="869"/>
    </row>
    <row r="141">
      <c r="A141" s="880">
        <v>45775</v>
      </c>
      <c r="B141" s="881" t="s">
        <v>989</v>
      </c>
      <c r="C141" s="881" t="s">
        <v>989</v>
      </c>
      <c r="D141" s="882">
        <f>SUM(D137:D140)</f>
      </c>
      <c r="E141" s="882">
        <f>SUM(E137:E140)</f>
      </c>
      <c r="F141" s="882">
        <f>SUM(F137:F140)</f>
      </c>
      <c r="G141" s="882">
        <f>SUM(G137:G140)</f>
      </c>
      <c r="H141" s="882">
        <f>SUM(H137:H140)</f>
      </c>
      <c r="I141" s="882">
        <f>SUM(I137:I140)</f>
      </c>
      <c r="J141" s="883">
        <f t="shared" si="0"/>
      </c>
      <c r="K141" s="883">
        <f t="shared" si="1"/>
      </c>
      <c r="L141" s="883">
        <f t="shared" si="2"/>
      </c>
      <c r="M141" s="884" t="s">
        <v>989</v>
      </c>
      <c r="N141" s="882">
        <f>SUM(N137:N140)</f>
      </c>
      <c r="O141" s="882"/>
    </row>
    <row r="142">
      <c r="A142" s="868">
        <v>45776</v>
      </c>
      <c r="B142" s="869" t="s">
        <v>1005</v>
      </c>
      <c r="C142" s="894" t="s">
        <v>1065</v>
      </c>
      <c r="D142" s="895">
        <v>5</v>
      </c>
      <c r="E142" s="895">
        <v>48</v>
      </c>
      <c r="F142" s="895">
        <v>37</v>
      </c>
      <c r="G142" s="895">
        <v>4</v>
      </c>
      <c r="H142" s="896">
        <v>37530.6</v>
      </c>
      <c r="I142" s="896">
        <v>23659.88</v>
      </c>
      <c r="J142" s="873">
        <f t="shared" si="0"/>
      </c>
      <c r="K142" s="873">
        <f t="shared" si="1"/>
      </c>
      <c r="L142" s="902">
        <f t="shared" si="2"/>
      </c>
      <c r="M142" s="892" t="s">
        <v>1071</v>
      </c>
      <c r="N142" s="892">
        <v>8</v>
      </c>
      <c r="O142" s="903"/>
    </row>
    <row r="143">
      <c r="A143" s="868">
        <v>45776</v>
      </c>
      <c r="B143" s="874" t="s">
        <v>1040</v>
      </c>
      <c r="C143" s="870" t="s">
        <v>1007</v>
      </c>
      <c r="D143" s="869">
        <v>5</v>
      </c>
      <c r="E143" s="869">
        <v>39</v>
      </c>
      <c r="F143" s="869">
        <v>24</v>
      </c>
      <c r="G143" s="869">
        <v>2</v>
      </c>
      <c r="H143" s="872">
        <v>32525.399999999998</v>
      </c>
      <c r="I143" s="872">
        <v>18665.25</v>
      </c>
      <c r="J143" s="873">
        <f t="shared" si="0"/>
      </c>
      <c r="K143" s="873">
        <f t="shared" si="1"/>
      </c>
      <c r="L143" s="873">
        <f t="shared" si="2"/>
      </c>
      <c r="M143" s="897"/>
      <c r="N143" s="895"/>
      <c r="O143" s="869"/>
    </row>
    <row r="144">
      <c r="A144" s="868">
        <v>45776</v>
      </c>
      <c r="B144" s="869" t="s">
        <v>1032</v>
      </c>
      <c r="C144" s="870" t="s">
        <v>1013</v>
      </c>
      <c r="D144" s="869">
        <v>5</v>
      </c>
      <c r="E144" s="869">
        <v>46</v>
      </c>
      <c r="F144" s="869">
        <v>30</v>
      </c>
      <c r="G144" s="869">
        <v>4</v>
      </c>
      <c r="H144" s="869">
        <v>22579.199999999997</v>
      </c>
      <c r="I144" s="872">
        <v>15588.240000000002</v>
      </c>
      <c r="J144" s="873">
        <f t="shared" si="0"/>
      </c>
      <c r="K144" s="873">
        <f t="shared" si="1"/>
      </c>
      <c r="L144" s="873">
        <f t="shared" si="2"/>
      </c>
      <c r="M144" s="874" t="s">
        <v>1029</v>
      </c>
      <c r="N144" s="869">
        <v>7</v>
      </c>
      <c r="O144" s="869"/>
    </row>
    <row r="145">
      <c r="A145" s="880">
        <v>45776</v>
      </c>
      <c r="B145" s="881" t="s">
        <v>989</v>
      </c>
      <c r="C145" s="881" t="s">
        <v>989</v>
      </c>
      <c r="D145" s="882">
        <f>SUM(D142:D144)</f>
      </c>
      <c r="E145" s="882">
        <f>SUM(E142:E144)</f>
      </c>
      <c r="F145" s="882">
        <f>SUM(F142:F144)</f>
      </c>
      <c r="G145" s="882">
        <f>SUM(G142:G144)</f>
      </c>
      <c r="H145" s="882">
        <f>SUM(H142:H144)</f>
      </c>
      <c r="I145" s="882">
        <f>SUM(I142:I144)</f>
      </c>
      <c r="J145" s="883">
        <f t="shared" si="0"/>
      </c>
      <c r="K145" s="883">
        <f t="shared" si="1"/>
      </c>
      <c r="L145" s="883">
        <f t="shared" si="2"/>
      </c>
      <c r="M145" s="884" t="s">
        <v>989</v>
      </c>
      <c r="N145" s="882">
        <f>SUM(N142:N144)</f>
      </c>
      <c r="O145" s="882"/>
    </row>
    <row r="146">
      <c r="A146" s="868">
        <v>45777</v>
      </c>
      <c r="B146" s="869" t="s">
        <v>1040</v>
      </c>
      <c r="C146" s="894" t="s">
        <v>1007</v>
      </c>
      <c r="D146" s="895">
        <v>5</v>
      </c>
      <c r="E146" s="895">
        <v>34</v>
      </c>
      <c r="F146" s="895">
        <v>23</v>
      </c>
      <c r="G146" s="895">
        <v>2</v>
      </c>
      <c r="H146" s="896">
        <v>24684</v>
      </c>
      <c r="I146" s="896">
        <v>17542.870000000003</v>
      </c>
      <c r="J146" s="873">
        <f t="shared" si="0"/>
      </c>
      <c r="K146" s="873">
        <f t="shared" si="1"/>
      </c>
      <c r="L146" s="902">
        <f t="shared" si="2"/>
      </c>
      <c r="M146" s="892" t="s">
        <v>999</v>
      </c>
      <c r="N146" s="892">
        <v>8</v>
      </c>
      <c r="O146" s="903"/>
    </row>
    <row r="147">
      <c r="A147" s="868">
        <v>45777</v>
      </c>
      <c r="B147" s="874" t="s">
        <v>1032</v>
      </c>
      <c r="C147" s="870" t="s">
        <v>1008</v>
      </c>
      <c r="D147" s="869">
        <v>4</v>
      </c>
      <c r="E147" s="869">
        <v>29</v>
      </c>
      <c r="F147" s="869">
        <v>17</v>
      </c>
      <c r="G147" s="869">
        <v>0</v>
      </c>
      <c r="H147" s="872">
        <v>31591.399999999998</v>
      </c>
      <c r="I147" s="872">
        <v>11384.880000000001</v>
      </c>
      <c r="J147" s="873">
        <f t="shared" si="0"/>
      </c>
      <c r="K147" s="873">
        <f t="shared" si="1"/>
      </c>
      <c r="L147" s="873">
        <f t="shared" si="2"/>
      </c>
      <c r="M147" s="897"/>
      <c r="N147" s="895"/>
      <c r="O147" s="869"/>
    </row>
    <row r="148">
      <c r="A148" s="868">
        <v>45777</v>
      </c>
      <c r="B148" s="869" t="s">
        <v>1005</v>
      </c>
      <c r="C148" s="870" t="s">
        <v>1034</v>
      </c>
      <c r="D148" s="869">
        <v>5</v>
      </c>
      <c r="E148" s="869">
        <v>61</v>
      </c>
      <c r="F148" s="869">
        <v>42</v>
      </c>
      <c r="G148" s="869">
        <v>7</v>
      </c>
      <c r="H148" s="869">
        <v>57224.399999999994</v>
      </c>
      <c r="I148" s="872">
        <v>18526.83</v>
      </c>
      <c r="J148" s="873">
        <f t="shared" si="0"/>
      </c>
      <c r="K148" s="873">
        <f t="shared" si="1"/>
      </c>
      <c r="L148" s="873">
        <f t="shared" si="2"/>
      </c>
      <c r="M148" s="874" t="s">
        <v>1029</v>
      </c>
      <c r="N148" s="869">
        <v>6</v>
      </c>
      <c r="O148" s="869"/>
    </row>
    <row r="149">
      <c r="A149" s="880">
        <v>45777</v>
      </c>
      <c r="B149" s="881" t="s">
        <v>989</v>
      </c>
      <c r="C149" s="881" t="s">
        <v>989</v>
      </c>
      <c r="D149" s="882">
        <f>SUM(D146:D148)</f>
      </c>
      <c r="E149" s="882">
        <f>SUM(E146:E148)</f>
      </c>
      <c r="F149" s="882">
        <f>SUM(F146:F148)</f>
      </c>
      <c r="G149" s="882">
        <f>SUM(G146:G148)</f>
      </c>
      <c r="H149" s="882">
        <f>SUM(H146:H148)</f>
      </c>
      <c r="I149" s="882">
        <f>SUM(I146:I148)</f>
      </c>
      <c r="J149" s="883">
        <f t="shared" si="0"/>
      </c>
      <c r="K149" s="883">
        <f t="shared" si="1"/>
      </c>
      <c r="L149" s="883">
        <f t="shared" si="2"/>
      </c>
      <c r="M149" s="884" t="s">
        <v>989</v>
      </c>
      <c r="N149" s="882">
        <f>SUM(N146:N148)</f>
      </c>
      <c r="O149" s="882"/>
    </row>
  </sheetData>
  <autoFilter ref="A1:O149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FFFF"/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11.549295774647888"/>
    <col collapsed="false" customWidth="true" hidden="false" max="15" min="15" style="0" width="11.549295774647888"/>
    <col collapsed="false" customWidth="true" hidden="false" max="23" min="23" style="0" width="11.549295774647888"/>
    <col collapsed="false" customWidth="true" hidden="false" max="8" min="8" style="0" width="11.549295774647888"/>
    <col collapsed="false" customWidth="true" hidden="false" max="16" min="16" style="0" width="11.549295774647888"/>
    <col collapsed="false" customWidth="true" hidden="false" max="24" min="24" style="0" width="11.549295774647888"/>
    <col collapsed="false" customWidth="true" hidden="false" max="1" min="1" style="0" width="11.549295774647888"/>
    <col collapsed="false" customWidth="true" hidden="false" max="9" min="9" style="0" width="11.549295774647888"/>
    <col collapsed="false" customWidth="true" hidden="false" max="17" min="17" style="0" width="11.549295774647888"/>
    <col collapsed="false" customWidth="true" hidden="false" max="25" min="25" style="0" width="11.549295774647888"/>
    <col collapsed="false" customWidth="true" hidden="false" max="2" min="2" style="0" width="11.549295774647888"/>
    <col collapsed="false" customWidth="true" hidden="false" max="10" min="10" style="0" width="11.549295774647888"/>
    <col collapsed="false" customWidth="true" hidden="false" max="18" min="18" style="0" width="11.549295774647888"/>
    <col collapsed="false" customWidth="true" hidden="false" max="26" min="26" style="0" width="11.549295774647888"/>
    <col collapsed="false" customWidth="true" hidden="false" max="3" min="3" style="0" width="11.549295774647888"/>
    <col collapsed="false" customWidth="true" hidden="false" max="11" min="11" style="0" width="11.549295774647888"/>
    <col collapsed="false" customWidth="true" hidden="false" max="19" min="19" style="0" width="11.549295774647888"/>
    <col collapsed="false" customWidth="true" hidden="false" max="27" min="27" style="0" width="11.549295774647888"/>
    <col collapsed="false" customWidth="true" hidden="false" max="4" min="4" style="0" width="11.549295774647888"/>
    <col collapsed="false" customWidth="true" hidden="false" max="12" min="12" style="0" width="11.549295774647888"/>
    <col collapsed="false" customWidth="true" hidden="false" max="20" min="20" style="0" width="11.549295774647888"/>
    <col collapsed="false" customWidth="true" hidden="false" max="28" min="28" style="0" width="11.549295774647888"/>
    <col collapsed="false" customWidth="true" hidden="false" max="5" min="5" style="0" width="11.549295774647888"/>
    <col collapsed="false" customWidth="true" hidden="false" max="13" min="13" style="0" width="11.549295774647888"/>
    <col collapsed="false" customWidth="true" hidden="false" max="21" min="21" style="0" width="11.549295774647888"/>
    <col collapsed="false" customWidth="true" hidden="false" max="29" min="29" style="0" width="11.549295774647888"/>
    <col collapsed="false" customWidth="true" hidden="false" max="6" min="6" style="0" width="11.549295774647888"/>
    <col collapsed="false" customWidth="true" hidden="false" max="14" min="14" style="0" width="11.549295774647888"/>
    <col collapsed="false" customWidth="true" hidden="false" max="22" min="22" style="0" width="11.549295774647888"/>
  </cols>
  <sheetData>
    <row customHeight="true" ht="16.071428571428573" r="1">
      <c r="A1" s="904" t="s">
        <v>1073</v>
      </c>
      <c r="B1" s="904" t="s">
        <v>1074</v>
      </c>
      <c r="C1" s="904" t="s">
        <v>1075</v>
      </c>
      <c r="D1" s="904" t="s">
        <v>1076</v>
      </c>
      <c r="E1" s="904" t="s">
        <v>1077</v>
      </c>
      <c r="F1" s="904" t="s">
        <v>1078</v>
      </c>
      <c r="G1" s="904" t="s">
        <v>1079</v>
      </c>
      <c r="H1" s="904" t="s">
        <v>1080</v>
      </c>
      <c r="I1" s="904" t="s">
        <v>1081</v>
      </c>
      <c r="J1" s="905" t="s">
        <v>1082</v>
      </c>
      <c r="K1" s="905" t="s">
        <v>1083</v>
      </c>
      <c r="L1" s="905" t="s">
        <v>1084</v>
      </c>
      <c r="M1" s="906" t="s">
        <v>1085</v>
      </c>
      <c r="N1" s="906" t="s">
        <v>1086</v>
      </c>
      <c r="O1" s="906" t="s">
        <v>1087</v>
      </c>
      <c r="P1" s="906" t="s">
        <v>1087</v>
      </c>
      <c r="Q1" s="906" t="s">
        <v>1087</v>
      </c>
      <c r="R1" t="s">
        <v>1087</v>
      </c>
      <c r="S1" t="s">
        <v>1087</v>
      </c>
      <c r="T1" t="s">
        <v>1087</v>
      </c>
      <c r="U1" t="s">
        <v>1087</v>
      </c>
      <c r="V1" t="s">
        <v>1087</v>
      </c>
      <c r="W1" t="s">
        <v>1087</v>
      </c>
      <c r="X1" t="s">
        <v>1087</v>
      </c>
      <c r="Y1" t="s">
        <v>1087</v>
      </c>
      <c r="Z1" t="s">
        <v>1087</v>
      </c>
      <c r="AA1" t="s">
        <v>1087</v>
      </c>
      <c r="AB1" t="s">
        <v>1087</v>
      </c>
      <c r="AC1" t="s">
        <v>1087</v>
      </c>
    </row>
    <row customHeight="true" ht="16.071428571428573" r="2">
      <c r="A2" s="907">
        <v>45734</v>
      </c>
      <c r="B2" s="908" t="s">
        <v>1088</v>
      </c>
      <c r="C2" s="909" t="s">
        <v>1089</v>
      </c>
      <c r="D2" s="908">
        <v>5</v>
      </c>
      <c r="E2" s="908">
        <v>13</v>
      </c>
      <c r="F2" s="908">
        <v>8</v>
      </c>
      <c r="G2" s="908">
        <v>1</v>
      </c>
      <c r="H2" s="910">
        <v>7800.2</v>
      </c>
      <c r="I2" s="910">
        <v>2917.7</v>
      </c>
      <c r="J2" s="911">
        <f t="shared" ref="J2:J56" si="0">H2/I2</f>
      </c>
      <c r="K2" s="911">
        <f t="shared" ref="K2:K56" si="1">H2/F2</f>
      </c>
      <c r="L2" s="911">
        <f t="shared" ref="L2:L56" si="2">I2/F2</f>
      </c>
      <c r="M2" s="912" t="s">
        <v>1090</v>
      </c>
      <c r="N2" s="908">
        <v>9</v>
      </c>
      <c r="O2" s="913" t="s">
        <v>1087</v>
      </c>
      <c r="P2" s="914" t="s">
        <v>1087</v>
      </c>
      <c r="Q2" s="913" t="s">
        <v>1087</v>
      </c>
      <c r="R2" s="915" t="s">
        <v>1087</v>
      </c>
      <c r="S2" t="s">
        <v>1087</v>
      </c>
      <c r="T2" t="s">
        <v>1087</v>
      </c>
      <c r="U2" t="s">
        <v>1087</v>
      </c>
      <c r="V2" t="s">
        <v>1087</v>
      </c>
      <c r="W2" t="s">
        <v>1087</v>
      </c>
      <c r="X2" t="s">
        <v>1087</v>
      </c>
      <c r="Y2" t="s">
        <v>1087</v>
      </c>
      <c r="Z2" t="s">
        <v>1087</v>
      </c>
      <c r="AA2" t="s">
        <v>1087</v>
      </c>
      <c r="AB2" t="s">
        <v>1087</v>
      </c>
      <c r="AC2" t="s">
        <v>1087</v>
      </c>
    </row>
    <row customHeight="true" ht="16.071428571428573" r="3">
      <c r="A3" s="907">
        <v>45734</v>
      </c>
      <c r="B3" s="908" t="s">
        <v>1091</v>
      </c>
      <c r="C3" s="909" t="s">
        <v>1092</v>
      </c>
      <c r="D3" s="908">
        <v>4</v>
      </c>
      <c r="E3" s="908">
        <v>12</v>
      </c>
      <c r="F3" s="908">
        <v>9</v>
      </c>
      <c r="G3" s="908">
        <v>2</v>
      </c>
      <c r="H3" s="908">
        <v>9066.4</v>
      </c>
      <c r="I3" s="910">
        <v>4645.53</v>
      </c>
      <c r="J3" s="911">
        <f t="shared" si="0"/>
      </c>
      <c r="K3" s="911">
        <f t="shared" si="1"/>
      </c>
      <c r="L3" s="911">
        <f t="shared" si="2"/>
      </c>
      <c r="M3" s="916" t="s">
        <v>1087</v>
      </c>
      <c r="N3" s="908" t="s">
        <v>1087</v>
      </c>
      <c r="O3" s="913" t="s">
        <v>1087</v>
      </c>
      <c r="P3" s="914" t="s">
        <v>1087</v>
      </c>
      <c r="Q3" s="917" t="s">
        <v>1087</v>
      </c>
      <c r="R3" s="915" t="s">
        <v>1087</v>
      </c>
      <c r="S3" t="s">
        <v>1087</v>
      </c>
      <c r="T3" t="s">
        <v>1087</v>
      </c>
      <c r="U3" t="s">
        <v>1087</v>
      </c>
      <c r="V3" t="s">
        <v>1087</v>
      </c>
      <c r="W3" t="s">
        <v>1087</v>
      </c>
      <c r="X3" t="s">
        <v>1087</v>
      </c>
      <c r="Y3" t="s">
        <v>1087</v>
      </c>
      <c r="Z3" t="s">
        <v>1087</v>
      </c>
      <c r="AA3" t="s">
        <v>1087</v>
      </c>
      <c r="AB3" t="s">
        <v>1087</v>
      </c>
      <c r="AC3" t="s">
        <v>1087</v>
      </c>
    </row>
    <row customHeight="true" ht="16.071428571428573" r="4">
      <c r="A4" s="918" t="s">
        <v>1093</v>
      </c>
      <c r="B4" s="919" t="s">
        <v>1087</v>
      </c>
      <c r="C4" s="919" t="s">
        <v>1087</v>
      </c>
      <c r="D4" s="919">
        <f>SUM(D2:D3)</f>
      </c>
      <c r="E4" s="919">
        <f>SUM(E2:E3)</f>
      </c>
      <c r="F4" s="919">
        <f>SUM(F2:F3)</f>
      </c>
      <c r="G4" s="919">
        <f>SUM(G2:G3)</f>
      </c>
      <c r="H4" s="920">
        <f>SUM(H2:H3)</f>
      </c>
      <c r="I4" s="920">
        <f>SUM(I2:I3)</f>
      </c>
      <c r="J4" s="921">
        <f t="shared" si="0"/>
      </c>
      <c r="K4" s="921">
        <f t="shared" si="1"/>
      </c>
      <c r="L4" s="921">
        <f t="shared" si="2"/>
      </c>
      <c r="M4" s="922" t="s">
        <v>1087</v>
      </c>
      <c r="N4" s="923">
        <f>SUM(N2:N3)</f>
      </c>
      <c r="O4" s="917" t="s">
        <v>1087</v>
      </c>
      <c r="P4" s="924" t="s">
        <v>1087</v>
      </c>
      <c r="Q4" s="917" t="s">
        <v>1087</v>
      </c>
      <c r="R4" t="s">
        <v>1087</v>
      </c>
      <c r="S4" t="s">
        <v>1087</v>
      </c>
      <c r="T4" t="s">
        <v>1087</v>
      </c>
      <c r="U4" t="s">
        <v>1087</v>
      </c>
      <c r="V4" t="s">
        <v>1087</v>
      </c>
      <c r="W4" t="s">
        <v>1087</v>
      </c>
      <c r="X4" t="s">
        <v>1087</v>
      </c>
      <c r="Y4" t="s">
        <v>1087</v>
      </c>
      <c r="Z4" t="s">
        <v>1087</v>
      </c>
      <c r="AA4" t="s">
        <v>1087</v>
      </c>
      <c r="AB4" t="s">
        <v>1087</v>
      </c>
      <c r="AC4" t="s">
        <v>1087</v>
      </c>
    </row>
    <row customHeight="true" ht="16.071428571428573" r="5">
      <c r="A5" s="907">
        <v>45735</v>
      </c>
      <c r="B5" s="908" t="s">
        <v>1088</v>
      </c>
      <c r="C5" s="909" t="s">
        <v>1094</v>
      </c>
      <c r="D5" s="908">
        <v>5</v>
      </c>
      <c r="E5" s="908">
        <v>30</v>
      </c>
      <c r="F5" s="908">
        <v>26</v>
      </c>
      <c r="G5" s="908">
        <v>3</v>
      </c>
      <c r="H5" s="910">
        <v>23401.8</v>
      </c>
      <c r="I5" s="910">
        <v>6214.61</v>
      </c>
      <c r="J5" s="911">
        <f t="shared" si="0"/>
      </c>
      <c r="K5" s="911">
        <f t="shared" si="1"/>
      </c>
      <c r="L5" s="911">
        <f t="shared" si="2"/>
      </c>
      <c r="M5" s="912" t="s">
        <v>1090</v>
      </c>
      <c r="N5" s="908">
        <v>9</v>
      </c>
      <c r="O5" s="913" t="s">
        <v>1087</v>
      </c>
      <c r="P5" s="914" t="s">
        <v>1087</v>
      </c>
      <c r="Q5" s="913" t="s">
        <v>1087</v>
      </c>
      <c r="R5" s="915" t="s">
        <v>1087</v>
      </c>
      <c r="S5" t="s">
        <v>1087</v>
      </c>
      <c r="T5" t="s">
        <v>1087</v>
      </c>
      <c r="U5" t="s">
        <v>1087</v>
      </c>
      <c r="V5" t="s">
        <v>1087</v>
      </c>
      <c r="W5" t="s">
        <v>1087</v>
      </c>
      <c r="X5" t="s">
        <v>1087</v>
      </c>
      <c r="Y5" t="s">
        <v>1087</v>
      </c>
      <c r="Z5" t="s">
        <v>1087</v>
      </c>
      <c r="AA5" t="s">
        <v>1087</v>
      </c>
      <c r="AB5" t="s">
        <v>1087</v>
      </c>
      <c r="AC5" t="s">
        <v>1087</v>
      </c>
    </row>
    <row customHeight="true" ht="16.071428571428573" r="6">
      <c r="A6" s="907">
        <v>45735</v>
      </c>
      <c r="B6" s="908" t="s">
        <v>1091</v>
      </c>
      <c r="C6" s="909" t="s">
        <v>1095</v>
      </c>
      <c r="D6" s="908">
        <v>4</v>
      </c>
      <c r="E6" s="908">
        <v>25</v>
      </c>
      <c r="F6" s="908">
        <v>19</v>
      </c>
      <c r="G6" s="908">
        <v>3</v>
      </c>
      <c r="H6" s="908">
        <v>18149</v>
      </c>
      <c r="I6" s="910">
        <v>11502.33</v>
      </c>
      <c r="J6" s="911">
        <f t="shared" si="0"/>
      </c>
      <c r="K6" s="911">
        <f t="shared" si="1"/>
      </c>
      <c r="L6" s="911">
        <f t="shared" si="2"/>
      </c>
      <c r="M6" s="916" t="s">
        <v>1087</v>
      </c>
      <c r="N6" s="908" t="s">
        <v>1087</v>
      </c>
      <c r="O6" s="913" t="s">
        <v>1087</v>
      </c>
      <c r="P6" s="914" t="s">
        <v>1087</v>
      </c>
      <c r="Q6" s="917" t="s">
        <v>1087</v>
      </c>
      <c r="R6" s="915" t="s">
        <v>1087</v>
      </c>
      <c r="S6" t="s">
        <v>1087</v>
      </c>
      <c r="T6" t="s">
        <v>1087</v>
      </c>
      <c r="U6" t="s">
        <v>1087</v>
      </c>
      <c r="V6" t="s">
        <v>1087</v>
      </c>
      <c r="W6" t="s">
        <v>1087</v>
      </c>
      <c r="X6" t="s">
        <v>1087</v>
      </c>
      <c r="Y6" t="s">
        <v>1087</v>
      </c>
      <c r="Z6" t="s">
        <v>1087</v>
      </c>
      <c r="AA6" t="s">
        <v>1087</v>
      </c>
      <c r="AB6" t="s">
        <v>1087</v>
      </c>
      <c r="AC6" t="s">
        <v>1087</v>
      </c>
    </row>
    <row customHeight="true" ht="16.071428571428573" r="7">
      <c r="A7" s="918" t="s">
        <v>1096</v>
      </c>
      <c r="B7" s="919" t="s">
        <v>1087</v>
      </c>
      <c r="C7" s="919" t="s">
        <v>1087</v>
      </c>
      <c r="D7" s="919">
        <f>SUM(D5:D6)</f>
      </c>
      <c r="E7" s="919">
        <f>SUM(E5:E6)</f>
      </c>
      <c r="F7" s="919">
        <f>SUM(F5:F6)</f>
      </c>
      <c r="G7" s="919">
        <f>SUM(G5:G6)</f>
      </c>
      <c r="H7" s="920">
        <f>SUM(H5:H6)</f>
      </c>
      <c r="I7" s="920">
        <f>SUM(I5:I6)</f>
      </c>
      <c r="J7" s="921">
        <f t="shared" si="0"/>
      </c>
      <c r="K7" s="921">
        <f t="shared" si="1"/>
      </c>
      <c r="L7" s="921">
        <f t="shared" si="2"/>
      </c>
      <c r="M7" s="922" t="s">
        <v>1087</v>
      </c>
      <c r="N7" s="923">
        <f>SUM(N5:N6)</f>
      </c>
      <c r="O7" s="917" t="s">
        <v>1087</v>
      </c>
      <c r="P7" s="924" t="s">
        <v>1087</v>
      </c>
      <c r="Q7" s="917" t="s">
        <v>1087</v>
      </c>
      <c r="R7" t="s">
        <v>1087</v>
      </c>
      <c r="S7" t="s">
        <v>1087</v>
      </c>
      <c r="T7" t="s">
        <v>1087</v>
      </c>
      <c r="U7" t="s">
        <v>1087</v>
      </c>
      <c r="V7" t="s">
        <v>1087</v>
      </c>
      <c r="W7" t="s">
        <v>1087</v>
      </c>
      <c r="X7" t="s">
        <v>1087</v>
      </c>
      <c r="Y7" t="s">
        <v>1087</v>
      </c>
      <c r="Z7" t="s">
        <v>1087</v>
      </c>
      <c r="AA7" t="s">
        <v>1087</v>
      </c>
      <c r="AB7" t="s">
        <v>1087</v>
      </c>
      <c r="AC7" t="s">
        <v>1087</v>
      </c>
    </row>
    <row customHeight="true" ht="16.071428571428573" r="8">
      <c r="A8" s="907">
        <v>45736</v>
      </c>
      <c r="B8" s="908" t="s">
        <v>1088</v>
      </c>
      <c r="C8" s="909" t="s">
        <v>1094</v>
      </c>
      <c r="D8" s="908">
        <v>5</v>
      </c>
      <c r="E8" s="908">
        <v>33</v>
      </c>
      <c r="F8" s="908">
        <v>29</v>
      </c>
      <c r="G8" s="908">
        <v>2</v>
      </c>
      <c r="H8" s="910">
        <v>20548.6</v>
      </c>
      <c r="I8" s="910">
        <v>13812.82</v>
      </c>
      <c r="J8" s="911">
        <f t="shared" si="0"/>
      </c>
      <c r="K8" s="911">
        <f t="shared" si="1"/>
      </c>
      <c r="L8" s="911">
        <f t="shared" si="2"/>
      </c>
      <c r="M8" s="916" t="s">
        <v>1097</v>
      </c>
      <c r="N8" s="908">
        <v>3.2</v>
      </c>
      <c r="O8" s="913" t="s">
        <v>1098</v>
      </c>
      <c r="P8" s="914" t="s">
        <v>1087</v>
      </c>
      <c r="Q8" s="913" t="s">
        <v>1087</v>
      </c>
      <c r="R8" s="915" t="s">
        <v>1087</v>
      </c>
      <c r="S8" t="s">
        <v>1087</v>
      </c>
      <c r="T8" t="s">
        <v>1087</v>
      </c>
      <c r="U8" t="s">
        <v>1087</v>
      </c>
      <c r="V8" t="s">
        <v>1087</v>
      </c>
      <c r="W8" t="s">
        <v>1087</v>
      </c>
      <c r="X8" t="s">
        <v>1087</v>
      </c>
      <c r="Y8" t="s">
        <v>1087</v>
      </c>
      <c r="Z8" t="s">
        <v>1087</v>
      </c>
      <c r="AA8" t="s">
        <v>1087</v>
      </c>
      <c r="AB8" t="s">
        <v>1087</v>
      </c>
      <c r="AC8" t="s">
        <v>1087</v>
      </c>
    </row>
    <row customHeight="true" ht="16.071428571428573" r="9">
      <c r="A9" s="907">
        <v>45736</v>
      </c>
      <c r="B9" s="908" t="s">
        <v>1099</v>
      </c>
      <c r="C9" s="909" t="s">
        <v>1100</v>
      </c>
      <c r="D9" s="908">
        <v>2</v>
      </c>
      <c r="E9" s="908">
        <v>8</v>
      </c>
      <c r="F9" s="908">
        <v>5</v>
      </c>
      <c r="G9" s="908">
        <v>0</v>
      </c>
      <c r="H9" s="910">
        <v>5293.2</v>
      </c>
      <c r="I9" s="910">
        <v>5480.13</v>
      </c>
      <c r="J9" s="911">
        <f t="shared" si="0"/>
      </c>
      <c r="K9" s="911">
        <f t="shared" si="1"/>
      </c>
      <c r="L9" s="911">
        <f t="shared" si="2"/>
      </c>
      <c r="M9" s="916" t="s">
        <v>1087</v>
      </c>
      <c r="N9" s="908" t="s">
        <v>1087</v>
      </c>
      <c r="O9" s="913" t="s">
        <v>1087</v>
      </c>
      <c r="P9" s="914" t="s">
        <v>1087</v>
      </c>
      <c r="Q9" s="913" t="s">
        <v>1087</v>
      </c>
      <c r="R9" s="915" t="s">
        <v>1087</v>
      </c>
      <c r="S9" t="s">
        <v>1087</v>
      </c>
      <c r="T9" t="s">
        <v>1087</v>
      </c>
      <c r="U9" t="s">
        <v>1087</v>
      </c>
      <c r="V9" t="s">
        <v>1087</v>
      </c>
      <c r="W9" t="s">
        <v>1087</v>
      </c>
      <c r="X9" t="s">
        <v>1087</v>
      </c>
      <c r="Y9" t="s">
        <v>1087</v>
      </c>
      <c r="Z9" t="s">
        <v>1087</v>
      </c>
      <c r="AA9" t="s">
        <v>1087</v>
      </c>
      <c r="AB9" t="s">
        <v>1087</v>
      </c>
      <c r="AC9" t="s">
        <v>1087</v>
      </c>
    </row>
    <row customHeight="true" ht="16.071428571428573" r="10">
      <c r="A10" s="907">
        <v>45736</v>
      </c>
      <c r="B10" s="908" t="s">
        <v>1091</v>
      </c>
      <c r="C10" s="909" t="s">
        <v>1101</v>
      </c>
      <c r="D10" s="908">
        <v>5</v>
      </c>
      <c r="E10" s="908">
        <v>12</v>
      </c>
      <c r="F10" s="908">
        <v>7</v>
      </c>
      <c r="G10" s="908">
        <v>2</v>
      </c>
      <c r="H10" s="908">
        <v>5820</v>
      </c>
      <c r="I10" s="910">
        <v>6588.29</v>
      </c>
      <c r="J10" s="911">
        <f t="shared" si="0"/>
      </c>
      <c r="K10" s="911">
        <f t="shared" si="1"/>
      </c>
      <c r="L10" s="911">
        <f t="shared" si="2"/>
      </c>
      <c r="M10" s="916" t="s">
        <v>1102</v>
      </c>
      <c r="N10" s="908">
        <v>4</v>
      </c>
      <c r="O10" s="913" t="s">
        <v>1087</v>
      </c>
      <c r="P10" s="914" t="s">
        <v>1087</v>
      </c>
      <c r="Q10" s="917" t="s">
        <v>1087</v>
      </c>
      <c r="R10" s="915" t="s">
        <v>1087</v>
      </c>
      <c r="S10" t="s">
        <v>1087</v>
      </c>
      <c r="T10" t="s">
        <v>1087</v>
      </c>
      <c r="U10" t="s">
        <v>1087</v>
      </c>
      <c r="V10" t="s">
        <v>1087</v>
      </c>
      <c r="W10" t="s">
        <v>1087</v>
      </c>
      <c r="X10" t="s">
        <v>1087</v>
      </c>
      <c r="Y10" t="s">
        <v>1087</v>
      </c>
      <c r="Z10" t="s">
        <v>1087</v>
      </c>
      <c r="AA10" t="s">
        <v>1087</v>
      </c>
      <c r="AB10" t="s">
        <v>1087</v>
      </c>
      <c r="AC10" t="s">
        <v>1087</v>
      </c>
    </row>
    <row customHeight="true" ht="16.071428571428573" r="11">
      <c r="A11" s="918" t="s">
        <v>1103</v>
      </c>
      <c r="B11" s="919" t="s">
        <v>1087</v>
      </c>
      <c r="C11" s="919" t="s">
        <v>1087</v>
      </c>
      <c r="D11" s="919">
        <f>SUM(D8:D10)</f>
      </c>
      <c r="E11" s="919">
        <f>SUM(E8:E10)</f>
      </c>
      <c r="F11" s="919">
        <f>SUM(F8:F10)</f>
      </c>
      <c r="G11" s="919">
        <f>SUM(G8:G10)</f>
      </c>
      <c r="H11" s="920">
        <f>SUM(H8:H10)</f>
      </c>
      <c r="I11" s="920">
        <f>SUM(I8:I10)</f>
      </c>
      <c r="J11" s="921">
        <f t="shared" si="0"/>
      </c>
      <c r="K11" s="921">
        <f t="shared" si="1"/>
      </c>
      <c r="L11" s="921">
        <f t="shared" si="2"/>
      </c>
      <c r="M11" s="922" t="s">
        <v>1087</v>
      </c>
      <c r="N11" s="923">
        <f>SUM(N8:N10)</f>
      </c>
      <c r="O11" s="917" t="s">
        <v>1087</v>
      </c>
      <c r="P11" s="924" t="s">
        <v>1087</v>
      </c>
      <c r="Q11" s="917" t="s">
        <v>1087</v>
      </c>
      <c r="R11" t="s">
        <v>1087</v>
      </c>
      <c r="S11" t="s">
        <v>1087</v>
      </c>
      <c r="T11" t="s">
        <v>1087</v>
      </c>
      <c r="U11" t="s">
        <v>1087</v>
      </c>
      <c r="V11" t="s">
        <v>1087</v>
      </c>
      <c r="W11" t="s">
        <v>1087</v>
      </c>
      <c r="X11" t="s">
        <v>1087</v>
      </c>
      <c r="Y11" t="s">
        <v>1087</v>
      </c>
      <c r="Z11" t="s">
        <v>1087</v>
      </c>
      <c r="AA11" t="s">
        <v>1087</v>
      </c>
      <c r="AB11" t="s">
        <v>1087</v>
      </c>
      <c r="AC11" t="s">
        <v>1087</v>
      </c>
    </row>
    <row customHeight="true" ht="16.071428571428573" r="12">
      <c r="A12" s="907">
        <v>45737</v>
      </c>
      <c r="B12" s="908" t="s">
        <v>1088</v>
      </c>
      <c r="C12" s="909" t="s">
        <v>1104</v>
      </c>
      <c r="D12" s="908">
        <v>5</v>
      </c>
      <c r="E12" s="908">
        <v>34</v>
      </c>
      <c r="F12" s="908">
        <v>26</v>
      </c>
      <c r="G12" s="908">
        <v>3</v>
      </c>
      <c r="H12" s="910">
        <v>22993.2</v>
      </c>
      <c r="I12" s="910">
        <v>14646.89</v>
      </c>
      <c r="J12" s="911">
        <f t="shared" si="0"/>
      </c>
      <c r="K12" s="911">
        <f t="shared" si="1"/>
      </c>
      <c r="L12" s="911">
        <f t="shared" si="2"/>
      </c>
      <c r="M12" s="916" t="s">
        <v>1105</v>
      </c>
      <c r="N12" s="908">
        <v>9</v>
      </c>
      <c r="O12" s="913" t="s">
        <v>1087</v>
      </c>
      <c r="P12" s="914" t="s">
        <v>1087</v>
      </c>
      <c r="Q12" s="913" t="s">
        <v>1087</v>
      </c>
      <c r="R12" s="915" t="s">
        <v>1087</v>
      </c>
      <c r="S12" t="s">
        <v>1087</v>
      </c>
      <c r="T12" t="s">
        <v>1087</v>
      </c>
      <c r="U12" t="s">
        <v>1087</v>
      </c>
      <c r="V12" t="s">
        <v>1087</v>
      </c>
      <c r="W12" t="s">
        <v>1087</v>
      </c>
      <c r="X12" t="s">
        <v>1087</v>
      </c>
      <c r="Y12" t="s">
        <v>1087</v>
      </c>
      <c r="Z12" t="s">
        <v>1087</v>
      </c>
      <c r="AA12" t="s">
        <v>1087</v>
      </c>
      <c r="AB12" t="s">
        <v>1087</v>
      </c>
      <c r="AC12" t="s">
        <v>1087</v>
      </c>
    </row>
    <row customHeight="true" ht="16.071428571428573" r="13">
      <c r="A13" s="907">
        <v>45737</v>
      </c>
      <c r="B13" s="908" t="s">
        <v>1091</v>
      </c>
      <c r="C13" s="909" t="s">
        <v>1106</v>
      </c>
      <c r="D13" s="908">
        <v>4</v>
      </c>
      <c r="E13" s="908">
        <v>16</v>
      </c>
      <c r="F13" s="908">
        <v>10</v>
      </c>
      <c r="G13" s="908">
        <v>0</v>
      </c>
      <c r="H13" s="908">
        <v>10053.6</v>
      </c>
      <c r="I13" s="910">
        <v>8339.34</v>
      </c>
      <c r="J13" s="911">
        <f t="shared" si="0"/>
      </c>
      <c r="K13" s="911">
        <f t="shared" si="1"/>
      </c>
      <c r="L13" s="911">
        <f t="shared" si="2"/>
      </c>
      <c r="M13" s="916" t="s">
        <v>1087</v>
      </c>
      <c r="N13" s="908" t="s">
        <v>1087</v>
      </c>
      <c r="O13" s="913" t="s">
        <v>1087</v>
      </c>
      <c r="P13" s="914" t="s">
        <v>1087</v>
      </c>
      <c r="Q13" s="917" t="s">
        <v>1087</v>
      </c>
      <c r="R13" s="915" t="s">
        <v>1087</v>
      </c>
      <c r="S13" t="s">
        <v>1087</v>
      </c>
      <c r="T13" t="s">
        <v>1087</v>
      </c>
      <c r="U13" t="s">
        <v>1087</v>
      </c>
      <c r="V13" t="s">
        <v>1087</v>
      </c>
      <c r="W13" t="s">
        <v>1087</v>
      </c>
      <c r="X13" t="s">
        <v>1087</v>
      </c>
      <c r="Y13" t="s">
        <v>1087</v>
      </c>
      <c r="Z13" t="s">
        <v>1087</v>
      </c>
      <c r="AA13" t="s">
        <v>1087</v>
      </c>
      <c r="AB13" t="s">
        <v>1087</v>
      </c>
      <c r="AC13" t="s">
        <v>1087</v>
      </c>
    </row>
    <row customHeight="true" ht="16.071428571428573" r="14">
      <c r="A14" s="918" t="s">
        <v>1107</v>
      </c>
      <c r="B14" s="919" t="s">
        <v>1087</v>
      </c>
      <c r="C14" s="919" t="s">
        <v>1087</v>
      </c>
      <c r="D14" s="919">
        <f>SUM(D12:D13)</f>
      </c>
      <c r="E14" s="919">
        <f>SUM(E12:E13)</f>
      </c>
      <c r="F14" s="919">
        <f>SUM(F12:F13)</f>
      </c>
      <c r="G14" s="919">
        <f>SUM(G12:G13)</f>
      </c>
      <c r="H14" s="920">
        <f>SUM(H12:H13)</f>
      </c>
      <c r="I14" s="920">
        <f>SUM(I12:I13)</f>
      </c>
      <c r="J14" s="921">
        <f t="shared" si="0"/>
      </c>
      <c r="K14" s="921">
        <f t="shared" si="1"/>
      </c>
      <c r="L14" s="921">
        <f t="shared" si="2"/>
      </c>
      <c r="M14" s="922" t="s">
        <v>1087</v>
      </c>
      <c r="N14" s="923">
        <f>SUM(N12:N13)</f>
      </c>
      <c r="O14" s="917" t="s">
        <v>1087</v>
      </c>
      <c r="P14" s="924" t="s">
        <v>1087</v>
      </c>
      <c r="Q14" s="917" t="s">
        <v>1087</v>
      </c>
      <c r="R14" t="s">
        <v>1087</v>
      </c>
      <c r="S14" t="s">
        <v>1087</v>
      </c>
      <c r="T14" t="s">
        <v>1087</v>
      </c>
      <c r="U14" t="s">
        <v>1087</v>
      </c>
      <c r="V14" t="s">
        <v>1087</v>
      </c>
      <c r="W14" t="s">
        <v>1087</v>
      </c>
      <c r="X14" t="s">
        <v>1087</v>
      </c>
      <c r="Y14" t="s">
        <v>1087</v>
      </c>
      <c r="Z14" t="s">
        <v>1087</v>
      </c>
      <c r="AA14" t="s">
        <v>1087</v>
      </c>
      <c r="AB14" t="s">
        <v>1087</v>
      </c>
      <c r="AC14" t="s">
        <v>1087</v>
      </c>
    </row>
    <row customHeight="true" ht="16.071428571428573" r="15">
      <c r="A15" s="907">
        <v>45738</v>
      </c>
      <c r="B15" s="908" t="s">
        <v>1091</v>
      </c>
      <c r="C15" s="909" t="s">
        <v>1108</v>
      </c>
      <c r="D15" s="908">
        <v>5</v>
      </c>
      <c r="E15" s="908">
        <v>17</v>
      </c>
      <c r="F15" s="908">
        <v>15</v>
      </c>
      <c r="G15" s="908">
        <v>4</v>
      </c>
      <c r="H15" s="910">
        <v>12446.4</v>
      </c>
      <c r="I15" s="910">
        <v>8001.98</v>
      </c>
      <c r="J15" s="911">
        <f t="shared" si="0"/>
      </c>
      <c r="K15" s="911">
        <f t="shared" si="1"/>
      </c>
      <c r="L15" s="911">
        <f t="shared" si="2"/>
      </c>
      <c r="M15" s="916" t="s">
        <v>1105</v>
      </c>
      <c r="N15" s="908">
        <v>8</v>
      </c>
      <c r="O15" s="913" t="s">
        <v>1087</v>
      </c>
      <c r="P15" s="914" t="s">
        <v>1087</v>
      </c>
      <c r="Q15" s="913" t="s">
        <v>1087</v>
      </c>
      <c r="R15" s="915" t="s">
        <v>1087</v>
      </c>
      <c r="S15" t="s">
        <v>1087</v>
      </c>
      <c r="T15" t="s">
        <v>1087</v>
      </c>
      <c r="U15" t="s">
        <v>1087</v>
      </c>
      <c r="V15" t="s">
        <v>1087</v>
      </c>
      <c r="W15" t="s">
        <v>1087</v>
      </c>
      <c r="X15" t="s">
        <v>1087</v>
      </c>
      <c r="Y15" t="s">
        <v>1087</v>
      </c>
      <c r="Z15" t="s">
        <v>1087</v>
      </c>
      <c r="AA15" t="s">
        <v>1087</v>
      </c>
      <c r="AB15" t="s">
        <v>1087</v>
      </c>
      <c r="AC15" t="s">
        <v>1087</v>
      </c>
    </row>
    <row customHeight="true" ht="16.071428571428573" r="16">
      <c r="A16" s="907">
        <v>45738</v>
      </c>
      <c r="B16" s="908" t="s">
        <v>1099</v>
      </c>
      <c r="C16" s="909" t="s">
        <v>1109</v>
      </c>
      <c r="D16" s="908">
        <v>2</v>
      </c>
      <c r="E16" s="908">
        <v>3</v>
      </c>
      <c r="F16" s="908">
        <v>1</v>
      </c>
      <c r="G16" s="908">
        <v>0</v>
      </c>
      <c r="H16" s="910">
        <v>1692</v>
      </c>
      <c r="I16" s="910">
        <v>1505.88</v>
      </c>
      <c r="J16" s="911">
        <f t="shared" si="0"/>
      </c>
      <c r="K16" s="911">
        <f t="shared" si="1"/>
      </c>
      <c r="L16" s="911">
        <f t="shared" si="2"/>
      </c>
      <c r="M16" s="916" t="s">
        <v>1087</v>
      </c>
      <c r="N16" s="908" t="s">
        <v>1087</v>
      </c>
      <c r="O16" s="913" t="s">
        <v>1087</v>
      </c>
      <c r="P16" s="914" t="s">
        <v>1087</v>
      </c>
      <c r="Q16" s="913" t="s">
        <v>1087</v>
      </c>
      <c r="R16" s="915" t="s">
        <v>1087</v>
      </c>
      <c r="S16" t="s">
        <v>1087</v>
      </c>
      <c r="T16" t="s">
        <v>1087</v>
      </c>
      <c r="U16" t="s">
        <v>1087</v>
      </c>
      <c r="V16" t="s">
        <v>1087</v>
      </c>
      <c r="W16" t="s">
        <v>1087</v>
      </c>
      <c r="X16" t="s">
        <v>1087</v>
      </c>
      <c r="Y16" t="s">
        <v>1087</v>
      </c>
      <c r="Z16" t="s">
        <v>1087</v>
      </c>
      <c r="AA16" t="s">
        <v>1087</v>
      </c>
      <c r="AB16" t="s">
        <v>1087</v>
      </c>
      <c r="AC16" t="s">
        <v>1087</v>
      </c>
    </row>
    <row customHeight="true" ht="16.071428571428573" r="17">
      <c r="A17" s="907">
        <v>45738</v>
      </c>
      <c r="B17" s="908" t="s">
        <v>1110</v>
      </c>
      <c r="C17" s="909" t="s">
        <v>1111</v>
      </c>
      <c r="D17" s="908">
        <v>5</v>
      </c>
      <c r="E17" s="908">
        <v>13</v>
      </c>
      <c r="F17" s="908">
        <v>7</v>
      </c>
      <c r="G17" s="908">
        <v>1</v>
      </c>
      <c r="H17" s="908">
        <v>7634.4</v>
      </c>
      <c r="I17" s="910">
        <v>2484.32</v>
      </c>
      <c r="J17" s="911">
        <f t="shared" si="0"/>
      </c>
      <c r="K17" s="911">
        <f t="shared" si="1"/>
      </c>
      <c r="L17" s="911">
        <f t="shared" si="2"/>
      </c>
      <c r="M17" s="916" t="s">
        <v>1090</v>
      </c>
      <c r="N17" s="908">
        <v>4</v>
      </c>
      <c r="O17" s="913" t="s">
        <v>1087</v>
      </c>
      <c r="P17" s="914" t="s">
        <v>1087</v>
      </c>
      <c r="Q17" s="917" t="s">
        <v>1087</v>
      </c>
      <c r="R17" s="915" t="s">
        <v>1087</v>
      </c>
      <c r="S17" t="s">
        <v>1087</v>
      </c>
      <c r="T17" t="s">
        <v>1087</v>
      </c>
      <c r="U17" t="s">
        <v>1087</v>
      </c>
      <c r="V17" t="s">
        <v>1087</v>
      </c>
      <c r="W17" t="s">
        <v>1087</v>
      </c>
      <c r="X17" t="s">
        <v>1087</v>
      </c>
      <c r="Y17" t="s">
        <v>1087</v>
      </c>
      <c r="Z17" t="s">
        <v>1087</v>
      </c>
      <c r="AA17" t="s">
        <v>1087</v>
      </c>
      <c r="AB17" t="s">
        <v>1087</v>
      </c>
      <c r="AC17" t="s">
        <v>1087</v>
      </c>
    </row>
    <row customHeight="true" ht="16.071428571428573" r="18">
      <c r="A18" s="918" t="s">
        <v>1112</v>
      </c>
      <c r="B18" s="919" t="s">
        <v>1087</v>
      </c>
      <c r="C18" s="919" t="s">
        <v>1087</v>
      </c>
      <c r="D18" s="919">
        <f>SUM(D15:D17)</f>
      </c>
      <c r="E18" s="919">
        <f>SUM(E15:E17)</f>
      </c>
      <c r="F18" s="919">
        <f>SUM(F15:F17)</f>
      </c>
      <c r="G18" s="919">
        <f>SUM(G15:G17)</f>
      </c>
      <c r="H18" s="920">
        <f>SUM(H15:H17)</f>
      </c>
      <c r="I18" s="920">
        <f>SUM(I15:I17)</f>
      </c>
      <c r="J18" s="921">
        <f t="shared" si="0"/>
      </c>
      <c r="K18" s="921">
        <f t="shared" si="1"/>
      </c>
      <c r="L18" s="921">
        <f t="shared" si="2"/>
      </c>
      <c r="M18" s="922" t="s">
        <v>1087</v>
      </c>
      <c r="N18" s="923">
        <f>SUM(N15:N17)</f>
      </c>
      <c r="O18" s="917" t="s">
        <v>1087</v>
      </c>
      <c r="P18" s="924" t="s">
        <v>1087</v>
      </c>
      <c r="Q18" s="917" t="s">
        <v>1087</v>
      </c>
      <c r="R18" t="s">
        <v>1087</v>
      </c>
      <c r="S18" t="s">
        <v>1087</v>
      </c>
      <c r="T18" t="s">
        <v>1087</v>
      </c>
      <c r="U18" t="s">
        <v>1087</v>
      </c>
      <c r="V18" t="s">
        <v>1087</v>
      </c>
      <c r="W18" t="s">
        <v>1087</v>
      </c>
      <c r="X18" t="s">
        <v>1087</v>
      </c>
      <c r="Y18" t="s">
        <v>1087</v>
      </c>
      <c r="Z18" t="s">
        <v>1087</v>
      </c>
      <c r="AA18" t="s">
        <v>1087</v>
      </c>
      <c r="AB18" t="s">
        <v>1087</v>
      </c>
      <c r="AC18" t="s">
        <v>1087</v>
      </c>
    </row>
    <row customHeight="true" ht="16.071428571428573" r="19">
      <c r="A19" s="907">
        <v>45739</v>
      </c>
      <c r="B19" s="908" t="s">
        <v>1091</v>
      </c>
      <c r="C19" s="909" t="s">
        <v>1113</v>
      </c>
      <c r="D19" s="908">
        <v>4</v>
      </c>
      <c r="E19" s="908">
        <v>12</v>
      </c>
      <c r="F19" s="908">
        <v>6</v>
      </c>
      <c r="G19" s="908">
        <v>1</v>
      </c>
      <c r="H19" s="910">
        <v>6093.8</v>
      </c>
      <c r="I19" s="910">
        <v>4071.72</v>
      </c>
      <c r="J19" s="911">
        <f t="shared" si="0"/>
      </c>
      <c r="K19" s="911">
        <f t="shared" si="1"/>
      </c>
      <c r="L19" s="911">
        <f t="shared" si="2"/>
      </c>
      <c r="M19" s="912" t="s">
        <v>1090</v>
      </c>
      <c r="N19" s="908">
        <v>9</v>
      </c>
      <c r="O19" s="913" t="s">
        <v>1087</v>
      </c>
      <c r="P19" s="914" t="s">
        <v>1087</v>
      </c>
      <c r="Q19" s="913" t="s">
        <v>1087</v>
      </c>
      <c r="R19" s="915" t="s">
        <v>1087</v>
      </c>
      <c r="S19" t="s">
        <v>1087</v>
      </c>
      <c r="T19" t="s">
        <v>1087</v>
      </c>
      <c r="U19" t="s">
        <v>1087</v>
      </c>
      <c r="V19" t="s">
        <v>1087</v>
      </c>
      <c r="W19" t="s">
        <v>1087</v>
      </c>
      <c r="X19" t="s">
        <v>1087</v>
      </c>
      <c r="Y19" t="s">
        <v>1087</v>
      </c>
      <c r="Z19" t="s">
        <v>1087</v>
      </c>
      <c r="AA19" t="s">
        <v>1087</v>
      </c>
      <c r="AB19" t="s">
        <v>1087</v>
      </c>
      <c r="AC19" t="s">
        <v>1087</v>
      </c>
    </row>
    <row customHeight="true" ht="16.071428571428573" r="20">
      <c r="A20" s="907">
        <v>45739</v>
      </c>
      <c r="B20" s="908" t="s">
        <v>1099</v>
      </c>
      <c r="C20" s="909" t="s">
        <v>1114</v>
      </c>
      <c r="D20" s="908">
        <v>3</v>
      </c>
      <c r="E20" s="908">
        <v>4</v>
      </c>
      <c r="F20" s="908">
        <v>4</v>
      </c>
      <c r="G20" s="908">
        <v>1</v>
      </c>
      <c r="H20" s="910">
        <v>2972.4</v>
      </c>
      <c r="I20" s="910">
        <v>1826.95</v>
      </c>
      <c r="J20" s="911">
        <f t="shared" si="0"/>
      </c>
      <c r="K20" s="911">
        <f t="shared" si="1"/>
      </c>
      <c r="L20" s="911">
        <f t="shared" si="2"/>
      </c>
      <c r="M20" s="916" t="s">
        <v>1097</v>
      </c>
      <c r="N20" s="908">
        <v>1</v>
      </c>
      <c r="O20" s="913" t="s">
        <v>1087</v>
      </c>
      <c r="P20" s="914" t="s">
        <v>1087</v>
      </c>
      <c r="Q20" s="913" t="s">
        <v>1087</v>
      </c>
      <c r="R20" s="915" t="s">
        <v>1087</v>
      </c>
      <c r="S20" t="s">
        <v>1087</v>
      </c>
      <c r="T20" t="s">
        <v>1087</v>
      </c>
      <c r="U20" t="s">
        <v>1087</v>
      </c>
      <c r="V20" t="s">
        <v>1087</v>
      </c>
      <c r="W20" t="s">
        <v>1087</v>
      </c>
      <c r="X20" t="s">
        <v>1087</v>
      </c>
      <c r="Y20" t="s">
        <v>1087</v>
      </c>
      <c r="Z20" t="s">
        <v>1087</v>
      </c>
      <c r="AA20" t="s">
        <v>1087</v>
      </c>
      <c r="AB20" t="s">
        <v>1087</v>
      </c>
      <c r="AC20" t="s">
        <v>1087</v>
      </c>
    </row>
    <row customHeight="true" ht="16.071428571428573" r="21">
      <c r="A21" s="907">
        <v>45739</v>
      </c>
      <c r="B21" s="908" t="s">
        <v>1088</v>
      </c>
      <c r="C21" s="909" t="s">
        <v>1115</v>
      </c>
      <c r="D21" s="908">
        <v>5</v>
      </c>
      <c r="E21" s="908">
        <v>4</v>
      </c>
      <c r="F21" s="908">
        <v>0</v>
      </c>
      <c r="G21" s="908">
        <v>0</v>
      </c>
      <c r="H21" s="908">
        <v>0</v>
      </c>
      <c r="I21" s="910">
        <v>1658.33</v>
      </c>
      <c r="J21" s="911">
        <f t="shared" si="0"/>
      </c>
      <c r="K21" s="911">
        <f t="shared" si="1"/>
      </c>
      <c r="L21" s="911">
        <f t="shared" si="2"/>
      </c>
      <c r="M21" s="916" t="s">
        <v>1090</v>
      </c>
      <c r="N21" s="908">
        <v>0.8</v>
      </c>
      <c r="O21" s="913" t="s">
        <v>1087</v>
      </c>
      <c r="P21" s="914" t="s">
        <v>1087</v>
      </c>
      <c r="Q21" s="917" t="s">
        <v>1087</v>
      </c>
      <c r="R21" s="915" t="s">
        <v>1087</v>
      </c>
      <c r="S21" t="s">
        <v>1087</v>
      </c>
      <c r="T21" t="s">
        <v>1087</v>
      </c>
      <c r="U21" t="s">
        <v>1087</v>
      </c>
      <c r="V21" t="s">
        <v>1087</v>
      </c>
      <c r="W21" t="s">
        <v>1087</v>
      </c>
      <c r="X21" t="s">
        <v>1087</v>
      </c>
      <c r="Y21" t="s">
        <v>1087</v>
      </c>
      <c r="Z21" t="s">
        <v>1087</v>
      </c>
      <c r="AA21" t="s">
        <v>1087</v>
      </c>
      <c r="AB21" t="s">
        <v>1087</v>
      </c>
      <c r="AC21" t="s">
        <v>1087</v>
      </c>
    </row>
    <row customHeight="true" ht="16.071428571428573" r="22">
      <c r="A22" s="918" t="s">
        <v>1116</v>
      </c>
      <c r="B22" s="919" t="s">
        <v>1087</v>
      </c>
      <c r="C22" s="919" t="s">
        <v>1087</v>
      </c>
      <c r="D22" s="919">
        <f>SUM(D19:D21)</f>
      </c>
      <c r="E22" s="919">
        <f>SUM(E19:E21)</f>
      </c>
      <c r="F22" s="919">
        <f>SUM(F19:F21)</f>
      </c>
      <c r="G22" s="919">
        <f>SUM(G19:G21)</f>
      </c>
      <c r="H22" s="920">
        <f>SUM(H19:H21)</f>
      </c>
      <c r="I22" s="920">
        <f>SUM(I19:I21)</f>
      </c>
      <c r="J22" s="921">
        <f t="shared" si="0"/>
      </c>
      <c r="K22" s="921">
        <f t="shared" si="1"/>
      </c>
      <c r="L22" s="921">
        <f t="shared" si="2"/>
      </c>
      <c r="M22" s="922" t="s">
        <v>1087</v>
      </c>
      <c r="N22" s="923">
        <f>SUM(N19:N21)</f>
      </c>
      <c r="O22" s="917" t="s">
        <v>1087</v>
      </c>
      <c r="P22" s="924" t="s">
        <v>1087</v>
      </c>
      <c r="Q22" s="917" t="s">
        <v>1087</v>
      </c>
      <c r="R22" t="s">
        <v>1087</v>
      </c>
      <c r="S22" t="s">
        <v>1087</v>
      </c>
      <c r="T22" t="s">
        <v>1087</v>
      </c>
      <c r="U22" t="s">
        <v>1087</v>
      </c>
      <c r="V22" t="s">
        <v>1087</v>
      </c>
      <c r="W22" t="s">
        <v>1087</v>
      </c>
      <c r="X22" t="s">
        <v>1087</v>
      </c>
      <c r="Y22" t="s">
        <v>1087</v>
      </c>
      <c r="Z22" t="s">
        <v>1087</v>
      </c>
      <c r="AA22" t="s">
        <v>1087</v>
      </c>
      <c r="AB22" t="s">
        <v>1087</v>
      </c>
      <c r="AC22" t="s">
        <v>1087</v>
      </c>
    </row>
    <row customHeight="true" ht="16.071428571428573" r="23">
      <c r="A23" s="907">
        <v>45740</v>
      </c>
      <c r="B23" s="908" t="s">
        <v>1088</v>
      </c>
      <c r="C23" s="909" t="s">
        <v>1104</v>
      </c>
      <c r="D23" s="908">
        <v>5</v>
      </c>
      <c r="E23" s="908">
        <v>37</v>
      </c>
      <c r="F23" s="908">
        <v>27</v>
      </c>
      <c r="G23" s="908">
        <v>4</v>
      </c>
      <c r="H23" s="910">
        <v>21853.4</v>
      </c>
      <c r="I23" s="910">
        <v>11188.23</v>
      </c>
      <c r="J23" s="911">
        <f t="shared" si="0"/>
      </c>
      <c r="K23" s="911">
        <f t="shared" si="1"/>
      </c>
      <c r="L23" s="911">
        <f t="shared" si="2"/>
      </c>
      <c r="M23" s="912" t="s">
        <v>1090</v>
      </c>
      <c r="N23" s="908">
        <v>3</v>
      </c>
      <c r="O23" s="913" t="s">
        <v>1087</v>
      </c>
      <c r="P23" s="914" t="s">
        <v>1087</v>
      </c>
      <c r="Q23" s="913" t="s">
        <v>1087</v>
      </c>
      <c r="R23" s="915" t="s">
        <v>1087</v>
      </c>
      <c r="S23" t="s">
        <v>1087</v>
      </c>
      <c r="T23" t="s">
        <v>1087</v>
      </c>
      <c r="U23" t="s">
        <v>1087</v>
      </c>
      <c r="V23" t="s">
        <v>1087</v>
      </c>
      <c r="W23" t="s">
        <v>1087</v>
      </c>
      <c r="X23" t="s">
        <v>1087</v>
      </c>
      <c r="Y23" t="s">
        <v>1087</v>
      </c>
      <c r="Z23" t="s">
        <v>1087</v>
      </c>
      <c r="AA23" t="s">
        <v>1087</v>
      </c>
      <c r="AB23" t="s">
        <v>1087</v>
      </c>
      <c r="AC23" t="s">
        <v>1087</v>
      </c>
    </row>
    <row customHeight="true" ht="16.071428571428573" r="24">
      <c r="A24" s="907">
        <v>45740</v>
      </c>
      <c r="B24" s="908" t="s">
        <v>1099</v>
      </c>
      <c r="C24" s="909" t="s">
        <v>1117</v>
      </c>
      <c r="D24" s="908">
        <v>2</v>
      </c>
      <c r="E24" s="908">
        <v>6</v>
      </c>
      <c r="F24" s="908">
        <v>3</v>
      </c>
      <c r="G24" s="908">
        <v>0</v>
      </c>
      <c r="H24" s="910">
        <v>1711.2</v>
      </c>
      <c r="I24" s="910">
        <v>4484.14</v>
      </c>
      <c r="J24" s="911">
        <f t="shared" si="0"/>
      </c>
      <c r="K24" s="911">
        <f t="shared" si="1"/>
      </c>
      <c r="L24" s="911">
        <f t="shared" si="2"/>
      </c>
      <c r="M24" s="916" t="s">
        <v>1118</v>
      </c>
      <c r="N24" s="908">
        <v>6</v>
      </c>
      <c r="O24" s="913" t="s">
        <v>1087</v>
      </c>
      <c r="P24" s="914" t="s">
        <v>1087</v>
      </c>
      <c r="Q24" s="913" t="s">
        <v>1087</v>
      </c>
      <c r="R24" s="915" t="s">
        <v>1087</v>
      </c>
      <c r="S24" t="s">
        <v>1087</v>
      </c>
      <c r="T24" t="s">
        <v>1087</v>
      </c>
      <c r="U24" t="s">
        <v>1087</v>
      </c>
      <c r="V24" t="s">
        <v>1087</v>
      </c>
      <c r="W24" t="s">
        <v>1087</v>
      </c>
      <c r="X24" t="s">
        <v>1087</v>
      </c>
      <c r="Y24" t="s">
        <v>1087</v>
      </c>
      <c r="Z24" t="s">
        <v>1087</v>
      </c>
      <c r="AA24" t="s">
        <v>1087</v>
      </c>
      <c r="AB24" t="s">
        <v>1087</v>
      </c>
      <c r="AC24" t="s">
        <v>1087</v>
      </c>
    </row>
    <row customHeight="true" ht="16.071428571428573" r="25">
      <c r="A25" s="907">
        <v>45740</v>
      </c>
      <c r="B25" s="908" t="s">
        <v>1091</v>
      </c>
      <c r="C25" s="909" t="s">
        <v>1119</v>
      </c>
      <c r="D25" s="908">
        <v>4</v>
      </c>
      <c r="E25" s="908">
        <v>11</v>
      </c>
      <c r="F25" s="908">
        <v>4</v>
      </c>
      <c r="G25" s="908">
        <v>0</v>
      </c>
      <c r="H25" s="908">
        <v>2612.4</v>
      </c>
      <c r="I25" s="910">
        <v>7987.43</v>
      </c>
      <c r="J25" s="911">
        <f t="shared" si="0"/>
      </c>
      <c r="K25" s="911">
        <f t="shared" si="1"/>
      </c>
      <c r="L25" s="911">
        <f t="shared" si="2"/>
      </c>
      <c r="M25" s="916" t="s">
        <v>1105</v>
      </c>
      <c r="N25" s="908">
        <v>2</v>
      </c>
      <c r="O25" s="913" t="s">
        <v>1087</v>
      </c>
      <c r="P25" s="913" t="s">
        <v>1087</v>
      </c>
      <c r="Q25" s="917" t="s">
        <v>1087</v>
      </c>
      <c r="R25" s="915" t="s">
        <v>1087</v>
      </c>
      <c r="S25" t="s">
        <v>1087</v>
      </c>
      <c r="T25" t="s">
        <v>1087</v>
      </c>
      <c r="U25" t="s">
        <v>1087</v>
      </c>
      <c r="V25" t="s">
        <v>1087</v>
      </c>
      <c r="W25" t="s">
        <v>1087</v>
      </c>
      <c r="X25" t="s">
        <v>1087</v>
      </c>
      <c r="Y25" t="s">
        <v>1087</v>
      </c>
      <c r="Z25" t="s">
        <v>1087</v>
      </c>
      <c r="AA25" t="s">
        <v>1087</v>
      </c>
      <c r="AB25" t="s">
        <v>1087</v>
      </c>
      <c r="AC25" t="s">
        <v>1087</v>
      </c>
    </row>
    <row customHeight="true" ht="16.071428571428573" r="26">
      <c r="A26" s="918" t="s">
        <v>1120</v>
      </c>
      <c r="B26" s="919" t="s">
        <v>1087</v>
      </c>
      <c r="C26" s="919" t="s">
        <v>1087</v>
      </c>
      <c r="D26" s="919">
        <f>SUM(D23:D25)</f>
      </c>
      <c r="E26" s="919">
        <f>SUM(E23:E25)</f>
      </c>
      <c r="F26" s="919">
        <f>SUM(F23:F25)</f>
      </c>
      <c r="G26" s="919">
        <f>SUM(G23:G25)</f>
      </c>
      <c r="H26" s="920">
        <f>SUM(H23:H25)</f>
      </c>
      <c r="I26" s="920">
        <f>SUM(I23:I25)</f>
      </c>
      <c r="J26" s="921">
        <f t="shared" si="0"/>
      </c>
      <c r="K26" s="921">
        <f t="shared" si="1"/>
      </c>
      <c r="L26" s="921">
        <f t="shared" si="2"/>
      </c>
      <c r="M26" s="922" t="s">
        <v>1087</v>
      </c>
      <c r="N26" s="923">
        <f>SUM(N23:N25)</f>
      </c>
      <c r="O26" s="913" t="s">
        <v>1087</v>
      </c>
      <c r="P26" s="913" t="s">
        <v>1087</v>
      </c>
      <c r="Q26" s="917" t="s">
        <v>1087</v>
      </c>
      <c r="R26" t="s">
        <v>1087</v>
      </c>
      <c r="S26" t="s">
        <v>1087</v>
      </c>
      <c r="T26" t="s">
        <v>1087</v>
      </c>
      <c r="U26" t="s">
        <v>1087</v>
      </c>
      <c r="V26" t="s">
        <v>1087</v>
      </c>
      <c r="W26" t="s">
        <v>1087</v>
      </c>
      <c r="X26" t="s">
        <v>1087</v>
      </c>
      <c r="Y26" t="s">
        <v>1087</v>
      </c>
      <c r="Z26" t="s">
        <v>1087</v>
      </c>
      <c r="AA26" t="s">
        <v>1087</v>
      </c>
      <c r="AB26" t="s">
        <v>1087</v>
      </c>
      <c r="AC26" t="s">
        <v>1087</v>
      </c>
    </row>
    <row customHeight="true" ht="16.071428571428573" r="27">
      <c r="A27" s="907">
        <v>45741</v>
      </c>
      <c r="B27" s="908" t="s">
        <v>1088</v>
      </c>
      <c r="C27" s="909" t="s">
        <v>1104</v>
      </c>
      <c r="D27" s="908">
        <v>5</v>
      </c>
      <c r="E27" s="908">
        <v>31</v>
      </c>
      <c r="F27" s="908">
        <v>5</v>
      </c>
      <c r="G27" s="908">
        <v>19</v>
      </c>
      <c r="H27" s="910">
        <v>12637.2</v>
      </c>
      <c r="I27" s="910">
        <v>11010.32</v>
      </c>
      <c r="J27" s="911">
        <f t="shared" si="0"/>
      </c>
      <c r="K27" s="911">
        <f t="shared" si="1"/>
      </c>
      <c r="L27" s="911">
        <f t="shared" si="2"/>
      </c>
      <c r="M27" s="916" t="s">
        <v>1105</v>
      </c>
      <c r="N27" s="908">
        <v>9</v>
      </c>
      <c r="O27" s="913" t="s">
        <v>1087</v>
      </c>
      <c r="P27" s="914" t="s">
        <v>1087</v>
      </c>
      <c r="Q27" s="913" t="s">
        <v>1087</v>
      </c>
      <c r="R27" s="915" t="s">
        <v>1087</v>
      </c>
      <c r="S27" t="s">
        <v>1087</v>
      </c>
      <c r="T27" t="s">
        <v>1087</v>
      </c>
      <c r="U27" t="s">
        <v>1087</v>
      </c>
      <c r="V27" t="s">
        <v>1087</v>
      </c>
      <c r="W27" t="s">
        <v>1087</v>
      </c>
      <c r="X27" t="s">
        <v>1087</v>
      </c>
      <c r="Y27" t="s">
        <v>1087</v>
      </c>
      <c r="Z27" t="s">
        <v>1087</v>
      </c>
      <c r="AA27" t="s">
        <v>1087</v>
      </c>
      <c r="AB27" t="s">
        <v>1087</v>
      </c>
      <c r="AC27" t="s">
        <v>1087</v>
      </c>
    </row>
    <row customHeight="true" ht="16.071428571428573" r="28">
      <c r="A28" s="907">
        <v>45741</v>
      </c>
      <c r="B28" s="908" t="s">
        <v>1110</v>
      </c>
      <c r="C28" s="909" t="s">
        <v>1106</v>
      </c>
      <c r="D28" s="908">
        <v>4</v>
      </c>
      <c r="E28" s="908">
        <v>11</v>
      </c>
      <c r="F28" s="908">
        <v>9</v>
      </c>
      <c r="G28" s="908">
        <v>2</v>
      </c>
      <c r="H28" s="910">
        <v>7412.4</v>
      </c>
      <c r="I28" s="910">
        <v>5394.26</v>
      </c>
      <c r="J28" s="911">
        <f t="shared" si="0"/>
      </c>
      <c r="K28" s="911">
        <f t="shared" si="1"/>
      </c>
      <c r="L28" s="911">
        <f t="shared" si="2"/>
      </c>
      <c r="M28" s="916" t="s">
        <v>1087</v>
      </c>
      <c r="N28" s="908" t="s">
        <v>1087</v>
      </c>
      <c r="O28" s="913" t="s">
        <v>1087</v>
      </c>
      <c r="P28" s="914" t="s">
        <v>1087</v>
      </c>
      <c r="Q28" s="913" t="s">
        <v>1087</v>
      </c>
      <c r="R28" s="915" t="s">
        <v>1087</v>
      </c>
      <c r="S28" t="s">
        <v>1087</v>
      </c>
      <c r="T28" t="s">
        <v>1087</v>
      </c>
      <c r="U28" t="s">
        <v>1087</v>
      </c>
      <c r="V28" t="s">
        <v>1087</v>
      </c>
      <c r="W28" t="s">
        <v>1087</v>
      </c>
      <c r="X28" t="s">
        <v>1087</v>
      </c>
      <c r="Y28" t="s">
        <v>1087</v>
      </c>
      <c r="Z28" t="s">
        <v>1087</v>
      </c>
      <c r="AA28" t="s">
        <v>1087</v>
      </c>
      <c r="AB28" t="s">
        <v>1087</v>
      </c>
      <c r="AC28" t="s">
        <v>1087</v>
      </c>
    </row>
    <row customHeight="true" ht="16.071428571428573" r="29">
      <c r="A29" s="907">
        <v>45741</v>
      </c>
      <c r="B29" s="908" t="s">
        <v>1091</v>
      </c>
      <c r="C29" s="909" t="s">
        <v>1121</v>
      </c>
      <c r="D29" s="908">
        <v>3</v>
      </c>
      <c r="E29" s="908">
        <v>7</v>
      </c>
      <c r="F29" s="908">
        <v>6</v>
      </c>
      <c r="G29" s="908">
        <v>1</v>
      </c>
      <c r="H29" s="908">
        <v>5227.2</v>
      </c>
      <c r="I29" s="910">
        <v>3037.11</v>
      </c>
      <c r="J29" s="911">
        <f t="shared" si="0"/>
      </c>
      <c r="K29" s="911">
        <f t="shared" si="1"/>
      </c>
      <c r="L29" s="911">
        <f t="shared" si="2"/>
      </c>
      <c r="M29" s="916" t="s">
        <v>1090</v>
      </c>
      <c r="N29" s="908">
        <v>1.2</v>
      </c>
      <c r="O29" s="913" t="s">
        <v>1087</v>
      </c>
      <c r="P29" s="914" t="s">
        <v>1087</v>
      </c>
      <c r="Q29" s="917" t="s">
        <v>1087</v>
      </c>
      <c r="R29" s="915" t="s">
        <v>1087</v>
      </c>
      <c r="S29" t="s">
        <v>1087</v>
      </c>
      <c r="T29" t="s">
        <v>1087</v>
      </c>
      <c r="U29" t="s">
        <v>1087</v>
      </c>
      <c r="V29" t="s">
        <v>1087</v>
      </c>
      <c r="W29" t="s">
        <v>1087</v>
      </c>
      <c r="X29" t="s">
        <v>1087</v>
      </c>
      <c r="Y29" t="s">
        <v>1087</v>
      </c>
      <c r="Z29" t="s">
        <v>1087</v>
      </c>
      <c r="AA29" t="s">
        <v>1087</v>
      </c>
      <c r="AB29" t="s">
        <v>1087</v>
      </c>
      <c r="AC29" t="s">
        <v>1087</v>
      </c>
    </row>
    <row customHeight="true" ht="16.071428571428573" r="30">
      <c r="A30" s="918" t="s">
        <v>1122</v>
      </c>
      <c r="B30" s="919" t="s">
        <v>1087</v>
      </c>
      <c r="C30" s="919" t="s">
        <v>1087</v>
      </c>
      <c r="D30" s="919">
        <f>SUM(D27:D29)</f>
      </c>
      <c r="E30" s="919">
        <f>SUM(E27:E29)</f>
      </c>
      <c r="F30" s="919">
        <f>SUM(F27:F29)</f>
      </c>
      <c r="G30" s="919">
        <f>SUM(G27:G29)</f>
      </c>
      <c r="H30" s="920">
        <f>SUM(H27:H29)</f>
      </c>
      <c r="I30" s="920">
        <f>SUM(I27:I29)</f>
      </c>
      <c r="J30" s="921">
        <f t="shared" si="0"/>
      </c>
      <c r="K30" s="921">
        <f t="shared" si="1"/>
      </c>
      <c r="L30" s="921">
        <f t="shared" si="2"/>
      </c>
      <c r="M30" s="922" t="s">
        <v>1087</v>
      </c>
      <c r="N30" s="923">
        <f>SUM(N27:N29)</f>
      </c>
      <c r="O30" s="917" t="s">
        <v>1087</v>
      </c>
      <c r="P30" s="924" t="s">
        <v>1087</v>
      </c>
      <c r="Q30" s="917" t="s">
        <v>1087</v>
      </c>
      <c r="R30" t="s">
        <v>1087</v>
      </c>
      <c r="S30" t="s">
        <v>1087</v>
      </c>
      <c r="T30" t="s">
        <v>1087</v>
      </c>
      <c r="U30" t="s">
        <v>1087</v>
      </c>
      <c r="V30" t="s">
        <v>1087</v>
      </c>
      <c r="W30" t="s">
        <v>1087</v>
      </c>
      <c r="X30" t="s">
        <v>1087</v>
      </c>
      <c r="Y30" t="s">
        <v>1087</v>
      </c>
      <c r="Z30" t="s">
        <v>1087</v>
      </c>
      <c r="AA30" t="s">
        <v>1087</v>
      </c>
      <c r="AB30" t="s">
        <v>1087</v>
      </c>
      <c r="AC30" t="s">
        <v>1087</v>
      </c>
    </row>
    <row customHeight="true" ht="16.071428571428573" r="31">
      <c r="A31" s="907">
        <v>45742</v>
      </c>
      <c r="B31" s="908" t="s">
        <v>1088</v>
      </c>
      <c r="C31" s="909" t="s">
        <v>1104</v>
      </c>
      <c r="D31" s="908">
        <v>5</v>
      </c>
      <c r="E31" s="908">
        <v>29</v>
      </c>
      <c r="F31" s="908">
        <v>22</v>
      </c>
      <c r="G31" s="908">
        <v>4</v>
      </c>
      <c r="H31" s="910">
        <v>16528.8</v>
      </c>
      <c r="I31" s="910">
        <v>14492.34</v>
      </c>
      <c r="J31" s="911">
        <f t="shared" si="0"/>
      </c>
      <c r="K31" s="911">
        <f t="shared" si="1"/>
      </c>
      <c r="L31" s="911">
        <f t="shared" si="2"/>
      </c>
      <c r="M31" s="916" t="s">
        <v>1097</v>
      </c>
      <c r="N31" s="908">
        <v>12</v>
      </c>
      <c r="O31" s="913" t="s">
        <v>1087</v>
      </c>
      <c r="P31" s="914" t="s">
        <v>1087</v>
      </c>
      <c r="Q31" s="913" t="s">
        <v>1087</v>
      </c>
      <c r="R31" s="915" t="s">
        <v>1087</v>
      </c>
      <c r="S31" t="s">
        <v>1087</v>
      </c>
      <c r="T31" t="s">
        <v>1087</v>
      </c>
      <c r="U31" t="s">
        <v>1087</v>
      </c>
      <c r="V31" t="s">
        <v>1087</v>
      </c>
      <c r="W31" t="s">
        <v>1087</v>
      </c>
      <c r="X31" t="s">
        <v>1087</v>
      </c>
      <c r="Y31" t="s">
        <v>1087</v>
      </c>
      <c r="Z31" t="s">
        <v>1087</v>
      </c>
      <c r="AA31" t="s">
        <v>1087</v>
      </c>
      <c r="AB31" t="s">
        <v>1087</v>
      </c>
      <c r="AC31" t="s">
        <v>1087</v>
      </c>
    </row>
    <row customHeight="true" ht="16.071428571428573" r="32">
      <c r="A32" s="907">
        <v>45742</v>
      </c>
      <c r="B32" s="908" t="s">
        <v>1091</v>
      </c>
      <c r="C32" s="909" t="s">
        <v>1106</v>
      </c>
      <c r="D32" s="908">
        <v>4</v>
      </c>
      <c r="E32" s="908">
        <v>12</v>
      </c>
      <c r="F32" s="908">
        <v>10</v>
      </c>
      <c r="G32" s="908">
        <v>2</v>
      </c>
      <c r="H32" s="910">
        <v>6234.2</v>
      </c>
      <c r="I32" s="910">
        <v>8762.89</v>
      </c>
      <c r="J32" s="911">
        <f t="shared" si="0"/>
      </c>
      <c r="K32" s="911">
        <f t="shared" si="1"/>
      </c>
      <c r="L32" s="911">
        <f t="shared" si="2"/>
      </c>
      <c r="M32" s="916" t="s">
        <v>1087</v>
      </c>
      <c r="N32" s="908" t="s">
        <v>1087</v>
      </c>
      <c r="O32" s="913" t="s">
        <v>1087</v>
      </c>
      <c r="P32" s="914" t="s">
        <v>1087</v>
      </c>
      <c r="Q32" s="913" t="s">
        <v>1087</v>
      </c>
      <c r="R32" s="915" t="s">
        <v>1087</v>
      </c>
      <c r="S32" t="s">
        <v>1087</v>
      </c>
      <c r="T32" t="s">
        <v>1087</v>
      </c>
      <c r="U32" t="s">
        <v>1087</v>
      </c>
      <c r="V32" t="s">
        <v>1087</v>
      </c>
      <c r="W32" t="s">
        <v>1087</v>
      </c>
      <c r="X32" t="s">
        <v>1087</v>
      </c>
      <c r="Y32" t="s">
        <v>1087</v>
      </c>
      <c r="Z32" t="s">
        <v>1087</v>
      </c>
      <c r="AA32" t="s">
        <v>1087</v>
      </c>
      <c r="AB32" t="s">
        <v>1087</v>
      </c>
      <c r="AC32" t="s">
        <v>1087</v>
      </c>
    </row>
    <row customHeight="true" ht="16.071428571428573" r="33">
      <c r="A33" s="907">
        <v>45742</v>
      </c>
      <c r="B33" s="908" t="s">
        <v>1123</v>
      </c>
      <c r="C33" s="909" t="s">
        <v>1121</v>
      </c>
      <c r="D33" s="908">
        <v>3</v>
      </c>
      <c r="E33" s="908">
        <v>29</v>
      </c>
      <c r="F33" s="908">
        <v>21</v>
      </c>
      <c r="G33" s="908">
        <v>4</v>
      </c>
      <c r="H33" s="908">
        <v>16196</v>
      </c>
      <c r="I33" s="910">
        <v>9586.55</v>
      </c>
      <c r="J33" s="911">
        <f t="shared" si="0"/>
      </c>
      <c r="K33" s="911">
        <f t="shared" si="1"/>
      </c>
      <c r="L33" s="911">
        <f t="shared" si="2"/>
      </c>
      <c r="M33" s="916" t="s">
        <v>1087</v>
      </c>
      <c r="N33" s="908" t="s">
        <v>1087</v>
      </c>
      <c r="O33" s="913" t="s">
        <v>1087</v>
      </c>
      <c r="P33" s="914" t="s">
        <v>1087</v>
      </c>
      <c r="Q33" s="917" t="s">
        <v>1087</v>
      </c>
      <c r="R33" s="915" t="s">
        <v>1087</v>
      </c>
      <c r="S33" t="s">
        <v>1087</v>
      </c>
      <c r="T33" t="s">
        <v>1087</v>
      </c>
      <c r="U33" t="s">
        <v>1087</v>
      </c>
      <c r="V33" t="s">
        <v>1087</v>
      </c>
      <c r="W33" t="s">
        <v>1087</v>
      </c>
      <c r="X33" t="s">
        <v>1087</v>
      </c>
      <c r="Y33" t="s">
        <v>1087</v>
      </c>
      <c r="Z33" t="s">
        <v>1087</v>
      </c>
      <c r="AA33" t="s">
        <v>1087</v>
      </c>
      <c r="AB33" t="s">
        <v>1087</v>
      </c>
      <c r="AC33" t="s">
        <v>1087</v>
      </c>
    </row>
    <row customHeight="true" ht="16.071428571428573" r="34">
      <c r="A34" s="918" t="s">
        <v>1124</v>
      </c>
      <c r="B34" s="919" t="s">
        <v>1087</v>
      </c>
      <c r="C34" s="919" t="s">
        <v>1087</v>
      </c>
      <c r="D34" s="919">
        <f>SUM(D31:D33)</f>
      </c>
      <c r="E34" s="919">
        <f>SUM(E31:E33)</f>
      </c>
      <c r="F34" s="919">
        <f>SUM(F31:F33)</f>
      </c>
      <c r="G34" s="919">
        <f>SUM(G31:G33)</f>
      </c>
      <c r="H34" s="920">
        <f>SUM(H31:H33)</f>
      </c>
      <c r="I34" s="920">
        <f>SUM(I31:I33)</f>
      </c>
      <c r="J34" s="921">
        <f t="shared" si="0"/>
      </c>
      <c r="K34" s="921">
        <f t="shared" si="1"/>
      </c>
      <c r="L34" s="921">
        <f t="shared" si="2"/>
      </c>
      <c r="M34" s="922" t="s">
        <v>1087</v>
      </c>
      <c r="N34" s="923">
        <f>SUM(N31:N33)</f>
      </c>
      <c r="O34" s="917" t="s">
        <v>1087</v>
      </c>
      <c r="P34" s="924" t="s">
        <v>1087</v>
      </c>
      <c r="Q34" s="917" t="s">
        <v>1087</v>
      </c>
      <c r="R34" t="s">
        <v>1087</v>
      </c>
      <c r="S34" t="s">
        <v>1087</v>
      </c>
      <c r="T34" t="s">
        <v>1087</v>
      </c>
      <c r="U34" t="s">
        <v>1087</v>
      </c>
      <c r="V34" t="s">
        <v>1087</v>
      </c>
      <c r="W34" t="s">
        <v>1087</v>
      </c>
      <c r="X34" t="s">
        <v>1087</v>
      </c>
      <c r="Y34" t="s">
        <v>1087</v>
      </c>
      <c r="Z34" t="s">
        <v>1087</v>
      </c>
      <c r="AA34" t="s">
        <v>1087</v>
      </c>
      <c r="AB34" t="s">
        <v>1087</v>
      </c>
      <c r="AC34" t="s">
        <v>1087</v>
      </c>
    </row>
    <row customHeight="true" ht="16.071428571428573" r="35">
      <c r="A35" s="907">
        <v>45743</v>
      </c>
      <c r="B35" s="908" t="s">
        <v>1125</v>
      </c>
      <c r="C35" s="909" t="s">
        <v>1126</v>
      </c>
      <c r="D35" s="908">
        <v>5</v>
      </c>
      <c r="E35" s="908">
        <v>64</v>
      </c>
      <c r="F35" s="908">
        <v>51</v>
      </c>
      <c r="G35" s="908">
        <v>17</v>
      </c>
      <c r="H35" s="910">
        <v>35151.4</v>
      </c>
      <c r="I35" s="910">
        <v>24110.21</v>
      </c>
      <c r="J35" s="911">
        <f t="shared" si="0"/>
      </c>
      <c r="K35" s="911">
        <f t="shared" si="1"/>
      </c>
      <c r="L35" s="911">
        <f t="shared" si="2"/>
      </c>
      <c r="M35" s="916" t="s">
        <v>1105</v>
      </c>
      <c r="N35" s="908">
        <v>9</v>
      </c>
      <c r="O35" s="913" t="s">
        <v>1087</v>
      </c>
      <c r="P35" s="914" t="s">
        <v>1087</v>
      </c>
      <c r="Q35" s="913" t="s">
        <v>1087</v>
      </c>
      <c r="R35" s="915" t="s">
        <v>1087</v>
      </c>
      <c r="S35" t="s">
        <v>1087</v>
      </c>
      <c r="T35" t="s">
        <v>1087</v>
      </c>
      <c r="U35" t="s">
        <v>1087</v>
      </c>
      <c r="V35" t="s">
        <v>1087</v>
      </c>
      <c r="W35" t="s">
        <v>1087</v>
      </c>
      <c r="X35" t="s">
        <v>1087</v>
      </c>
      <c r="Y35" t="s">
        <v>1087</v>
      </c>
      <c r="Z35" t="s">
        <v>1087</v>
      </c>
      <c r="AA35" t="s">
        <v>1087</v>
      </c>
      <c r="AB35" t="s">
        <v>1087</v>
      </c>
      <c r="AC35" t="s">
        <v>1087</v>
      </c>
    </row>
    <row customHeight="true" ht="16.071428571428573" r="36">
      <c r="A36" s="907">
        <v>45743</v>
      </c>
      <c r="B36" s="908" t="s">
        <v>1123</v>
      </c>
      <c r="C36" s="909" t="s">
        <v>1127</v>
      </c>
      <c r="D36" s="908">
        <v>4</v>
      </c>
      <c r="E36" s="908">
        <v>55</v>
      </c>
      <c r="F36" s="908">
        <v>48</v>
      </c>
      <c r="G36" s="908">
        <v>8</v>
      </c>
      <c r="H36" s="910">
        <v>33216.8</v>
      </c>
      <c r="I36" s="910">
        <v>20686.16</v>
      </c>
      <c r="J36" s="911">
        <f t="shared" si="0"/>
      </c>
      <c r="K36" s="911">
        <f t="shared" si="1"/>
      </c>
      <c r="L36" s="911">
        <f t="shared" si="2"/>
      </c>
      <c r="M36" s="916" t="s">
        <v>1087</v>
      </c>
      <c r="N36" s="908" t="s">
        <v>1087</v>
      </c>
      <c r="O36" s="913" t="s">
        <v>1087</v>
      </c>
      <c r="P36" s="914" t="s">
        <v>1087</v>
      </c>
      <c r="Q36" s="913" t="s">
        <v>1087</v>
      </c>
      <c r="R36" s="915" t="s">
        <v>1087</v>
      </c>
      <c r="S36" t="s">
        <v>1087</v>
      </c>
      <c r="T36" t="s">
        <v>1087</v>
      </c>
      <c r="U36" t="s">
        <v>1087</v>
      </c>
      <c r="V36" t="s">
        <v>1087</v>
      </c>
      <c r="W36" t="s">
        <v>1087</v>
      </c>
      <c r="X36" t="s">
        <v>1087</v>
      </c>
      <c r="Y36" t="s">
        <v>1087</v>
      </c>
      <c r="Z36" t="s">
        <v>1087</v>
      </c>
      <c r="AA36" t="s">
        <v>1087</v>
      </c>
      <c r="AB36" t="s">
        <v>1087</v>
      </c>
      <c r="AC36" t="s">
        <v>1087</v>
      </c>
    </row>
    <row customHeight="true" ht="16.071428571428573" r="37">
      <c r="A37" s="907">
        <v>45743</v>
      </c>
      <c r="B37" s="908" t="s">
        <v>1088</v>
      </c>
      <c r="C37" s="909" t="s">
        <v>1111</v>
      </c>
      <c r="D37" s="908">
        <v>5</v>
      </c>
      <c r="E37" s="908">
        <v>145</v>
      </c>
      <c r="F37" s="908">
        <v>129</v>
      </c>
      <c r="G37" s="908">
        <v>15</v>
      </c>
      <c r="H37" s="908">
        <v>96181</v>
      </c>
      <c r="I37" s="910">
        <v>59147.38</v>
      </c>
      <c r="J37" s="911">
        <f t="shared" si="0"/>
      </c>
      <c r="K37" s="911">
        <f t="shared" si="1"/>
      </c>
      <c r="L37" s="911">
        <f t="shared" si="2"/>
      </c>
      <c r="M37" s="916" t="s">
        <v>1090</v>
      </c>
      <c r="N37" s="908">
        <v>2</v>
      </c>
      <c r="O37" s="913" t="s">
        <v>1087</v>
      </c>
      <c r="P37" s="914" t="s">
        <v>1087</v>
      </c>
      <c r="Q37" s="917" t="s">
        <v>1087</v>
      </c>
      <c r="R37" s="915" t="s">
        <v>1087</v>
      </c>
      <c r="S37" t="s">
        <v>1087</v>
      </c>
      <c r="T37" t="s">
        <v>1087</v>
      </c>
      <c r="U37" t="s">
        <v>1087</v>
      </c>
      <c r="V37" t="s">
        <v>1087</v>
      </c>
      <c r="W37" t="s">
        <v>1087</v>
      </c>
      <c r="X37" t="s">
        <v>1087</v>
      </c>
      <c r="Y37" t="s">
        <v>1087</v>
      </c>
      <c r="Z37" t="s">
        <v>1087</v>
      </c>
      <c r="AA37" t="s">
        <v>1087</v>
      </c>
      <c r="AB37" t="s">
        <v>1087</v>
      </c>
      <c r="AC37" t="s">
        <v>1087</v>
      </c>
    </row>
    <row customHeight="true" ht="16.071428571428573" r="38">
      <c r="A38" s="918" t="s">
        <v>1128</v>
      </c>
      <c r="B38" s="919" t="s">
        <v>1087</v>
      </c>
      <c r="C38" s="919" t="s">
        <v>1087</v>
      </c>
      <c r="D38" s="919">
        <f>SUM(D35:D37)</f>
      </c>
      <c r="E38" s="919">
        <f>SUM(E35:E37)</f>
      </c>
      <c r="F38" s="919">
        <f>SUM(F35:F37)</f>
      </c>
      <c r="G38" s="919">
        <f>SUM(G35:G37)</f>
      </c>
      <c r="H38" s="920">
        <f>SUM(H35:H37)</f>
      </c>
      <c r="I38" s="920">
        <f>SUM(I35:I37)</f>
      </c>
      <c r="J38" s="921">
        <f t="shared" si="0"/>
      </c>
      <c r="K38" s="921">
        <f t="shared" si="1"/>
      </c>
      <c r="L38" s="921">
        <f t="shared" si="2"/>
      </c>
      <c r="M38" s="922" t="s">
        <v>1087</v>
      </c>
      <c r="N38" s="923">
        <f>SUM(N35:N37)</f>
      </c>
      <c r="O38" s="917" t="s">
        <v>1087</v>
      </c>
      <c r="P38" s="924" t="s">
        <v>1087</v>
      </c>
      <c r="Q38" s="917" t="s">
        <v>1087</v>
      </c>
      <c r="R38" t="s">
        <v>1087</v>
      </c>
      <c r="S38" t="s">
        <v>1087</v>
      </c>
      <c r="T38" t="s">
        <v>1087</v>
      </c>
      <c r="U38" t="s">
        <v>1087</v>
      </c>
      <c r="V38" t="s">
        <v>1087</v>
      </c>
      <c r="W38" t="s">
        <v>1087</v>
      </c>
      <c r="X38" t="s">
        <v>1087</v>
      </c>
      <c r="Y38" t="s">
        <v>1087</v>
      </c>
      <c r="Z38" t="s">
        <v>1087</v>
      </c>
      <c r="AA38" t="s">
        <v>1087</v>
      </c>
      <c r="AB38" t="s">
        <v>1087</v>
      </c>
      <c r="AC38" t="s">
        <v>1087</v>
      </c>
    </row>
    <row customHeight="true" ht="16.071428571428573" r="39">
      <c r="A39" s="907">
        <v>45744</v>
      </c>
      <c r="B39" s="908" t="s">
        <v>1125</v>
      </c>
      <c r="C39" s="909" t="s">
        <v>1126</v>
      </c>
      <c r="D39" s="908">
        <v>5</v>
      </c>
      <c r="E39" s="908">
        <v>89</v>
      </c>
      <c r="F39" s="908">
        <v>65</v>
      </c>
      <c r="G39" s="908">
        <v>12</v>
      </c>
      <c r="H39" s="910">
        <v>53057.6</v>
      </c>
      <c r="I39" s="910">
        <v>34104.58</v>
      </c>
      <c r="J39" s="911">
        <f t="shared" si="0"/>
      </c>
      <c r="K39" s="911">
        <f t="shared" si="1"/>
      </c>
      <c r="L39" s="911">
        <f t="shared" si="2"/>
      </c>
      <c r="M39" s="916" t="s">
        <v>1105</v>
      </c>
      <c r="N39" s="908">
        <v>10</v>
      </c>
      <c r="O39" s="913" t="s">
        <v>1087</v>
      </c>
      <c r="P39" s="914" t="s">
        <v>1087</v>
      </c>
      <c r="Q39" s="913" t="s">
        <v>1087</v>
      </c>
      <c r="R39" s="915" t="s">
        <v>1087</v>
      </c>
      <c r="S39" t="s">
        <v>1087</v>
      </c>
      <c r="T39" t="s">
        <v>1087</v>
      </c>
      <c r="U39" t="s">
        <v>1087</v>
      </c>
      <c r="V39" t="s">
        <v>1087</v>
      </c>
      <c r="W39" t="s">
        <v>1087</v>
      </c>
      <c r="X39" t="s">
        <v>1087</v>
      </c>
      <c r="Y39" t="s">
        <v>1087</v>
      </c>
      <c r="Z39" t="s">
        <v>1087</v>
      </c>
      <c r="AA39" t="s">
        <v>1087</v>
      </c>
      <c r="AB39" t="s">
        <v>1087</v>
      </c>
      <c r="AC39" t="s">
        <v>1087</v>
      </c>
    </row>
    <row customHeight="true" ht="16.071428571428573" r="40">
      <c r="A40" s="907">
        <v>45744</v>
      </c>
      <c r="B40" s="908" t="s">
        <v>1110</v>
      </c>
      <c r="C40" s="909" t="s">
        <v>1127</v>
      </c>
      <c r="D40" s="908">
        <v>4</v>
      </c>
      <c r="E40" s="908">
        <v>48</v>
      </c>
      <c r="F40" s="908">
        <v>43</v>
      </c>
      <c r="G40" s="908">
        <v>7</v>
      </c>
      <c r="H40" s="910">
        <v>34991.8</v>
      </c>
      <c r="I40" s="910">
        <v>25246.49</v>
      </c>
      <c r="J40" s="911">
        <f t="shared" si="0"/>
      </c>
      <c r="K40" s="911">
        <f t="shared" si="1"/>
      </c>
      <c r="L40" s="911">
        <f t="shared" si="2"/>
      </c>
      <c r="M40" s="916" t="s">
        <v>1087</v>
      </c>
      <c r="N40" s="908" t="s">
        <v>1087</v>
      </c>
      <c r="O40" s="913" t="s">
        <v>1087</v>
      </c>
      <c r="P40" s="914" t="s">
        <v>1087</v>
      </c>
      <c r="Q40" s="913" t="s">
        <v>1087</v>
      </c>
      <c r="R40" s="915" t="s">
        <v>1087</v>
      </c>
      <c r="S40" t="s">
        <v>1087</v>
      </c>
      <c r="T40" t="s">
        <v>1087</v>
      </c>
      <c r="U40" t="s">
        <v>1087</v>
      </c>
      <c r="V40" t="s">
        <v>1087</v>
      </c>
      <c r="W40" t="s">
        <v>1087</v>
      </c>
      <c r="X40" t="s">
        <v>1087</v>
      </c>
      <c r="Y40" t="s">
        <v>1087</v>
      </c>
      <c r="Z40" t="s">
        <v>1087</v>
      </c>
      <c r="AA40" t="s">
        <v>1087</v>
      </c>
      <c r="AB40" t="s">
        <v>1087</v>
      </c>
      <c r="AC40" t="s">
        <v>1087</v>
      </c>
    </row>
    <row customHeight="true" ht="16.071428571428573" r="41">
      <c r="A41" s="907">
        <v>45744</v>
      </c>
      <c r="B41" s="908" t="s">
        <v>1088</v>
      </c>
      <c r="C41" s="909" t="s">
        <v>1111</v>
      </c>
      <c r="D41" s="908">
        <v>5</v>
      </c>
      <c r="E41" s="908">
        <v>76</v>
      </c>
      <c r="F41" s="908">
        <v>64</v>
      </c>
      <c r="G41" s="908">
        <v>11</v>
      </c>
      <c r="H41" s="908">
        <v>47679.8</v>
      </c>
      <c r="I41" s="910">
        <v>33634.62</v>
      </c>
      <c r="J41" s="911">
        <f t="shared" si="0"/>
      </c>
      <c r="K41" s="911">
        <f t="shared" si="1"/>
      </c>
      <c r="L41" s="911">
        <f t="shared" si="2"/>
      </c>
      <c r="M41" s="916" t="s">
        <v>1090</v>
      </c>
      <c r="N41" s="908">
        <v>4</v>
      </c>
      <c r="O41" s="913" t="s">
        <v>1087</v>
      </c>
      <c r="P41" s="914" t="s">
        <v>1087</v>
      </c>
      <c r="Q41" s="917" t="s">
        <v>1087</v>
      </c>
      <c r="R41" s="915" t="s">
        <v>1087</v>
      </c>
      <c r="S41" t="s">
        <v>1087</v>
      </c>
      <c r="T41" t="s">
        <v>1087</v>
      </c>
      <c r="U41" t="s">
        <v>1087</v>
      </c>
      <c r="V41" t="s">
        <v>1087</v>
      </c>
      <c r="W41" t="s">
        <v>1087</v>
      </c>
      <c r="X41" t="s">
        <v>1087</v>
      </c>
      <c r="Y41" t="s">
        <v>1087</v>
      </c>
      <c r="Z41" t="s">
        <v>1087</v>
      </c>
      <c r="AA41" t="s">
        <v>1087</v>
      </c>
      <c r="AB41" t="s">
        <v>1087</v>
      </c>
      <c r="AC41" t="s">
        <v>1087</v>
      </c>
    </row>
    <row customHeight="true" ht="16.071428571428573" r="42">
      <c r="A42" s="918" t="s">
        <v>1129</v>
      </c>
      <c r="B42" s="919" t="s">
        <v>1087</v>
      </c>
      <c r="C42" s="919" t="s">
        <v>1087</v>
      </c>
      <c r="D42" s="919">
        <f>SUM(D39:D41)</f>
      </c>
      <c r="E42" s="919">
        <f>SUM(E39:E41)</f>
      </c>
      <c r="F42" s="919">
        <f>SUM(F39:F41)</f>
      </c>
      <c r="G42" s="919">
        <f>SUM(G39:G41)</f>
      </c>
      <c r="H42" s="920">
        <f>SUM(H39:H41)</f>
      </c>
      <c r="I42" s="920">
        <f>SUM(I39:I41)</f>
      </c>
      <c r="J42" s="921">
        <f t="shared" si="0"/>
      </c>
      <c r="K42" s="921">
        <f t="shared" si="1"/>
      </c>
      <c r="L42" s="921">
        <f t="shared" si="2"/>
      </c>
      <c r="M42" s="922" t="s">
        <v>1087</v>
      </c>
      <c r="N42" s="923">
        <f>SUM(N39:N41)</f>
      </c>
      <c r="O42" s="917" t="s">
        <v>1087</v>
      </c>
      <c r="P42" s="924" t="s">
        <v>1087</v>
      </c>
      <c r="Q42" s="917" t="s">
        <v>1087</v>
      </c>
      <c r="R42" t="s">
        <v>1087</v>
      </c>
      <c r="S42" t="s">
        <v>1087</v>
      </c>
      <c r="T42" t="s">
        <v>1087</v>
      </c>
      <c r="U42" t="s">
        <v>1087</v>
      </c>
      <c r="V42" t="s">
        <v>1087</v>
      </c>
      <c r="W42" t="s">
        <v>1087</v>
      </c>
      <c r="X42" t="s">
        <v>1087</v>
      </c>
      <c r="Y42" t="s">
        <v>1087</v>
      </c>
      <c r="Z42" t="s">
        <v>1087</v>
      </c>
      <c r="AA42" t="s">
        <v>1087</v>
      </c>
      <c r="AB42" t="s">
        <v>1087</v>
      </c>
      <c r="AC42" t="s">
        <v>1087</v>
      </c>
    </row>
    <row customHeight="true" ht="16.071428571428573" r="43">
      <c r="A43" s="907">
        <v>45745</v>
      </c>
      <c r="B43" s="908" t="s">
        <v>1125</v>
      </c>
      <c r="C43" s="909" t="s">
        <v>1104</v>
      </c>
      <c r="D43" s="908">
        <v>5</v>
      </c>
      <c r="E43" s="908">
        <v>35</v>
      </c>
      <c r="F43" s="908">
        <v>31</v>
      </c>
      <c r="G43" s="908">
        <v>3</v>
      </c>
      <c r="H43" s="910">
        <v>20794.4</v>
      </c>
      <c r="I43" s="910">
        <v>22403.28</v>
      </c>
      <c r="J43" s="911">
        <f t="shared" si="0"/>
      </c>
      <c r="K43" s="911">
        <f t="shared" si="1"/>
      </c>
      <c r="L43" s="911">
        <f t="shared" si="2"/>
      </c>
      <c r="M43" s="916" t="s">
        <v>1105</v>
      </c>
      <c r="N43" s="908">
        <v>7</v>
      </c>
      <c r="O43" s="913" t="s">
        <v>1087</v>
      </c>
      <c r="P43" s="914" t="s">
        <v>1087</v>
      </c>
      <c r="Q43" s="913" t="s">
        <v>1087</v>
      </c>
      <c r="R43" s="915" t="s">
        <v>1087</v>
      </c>
      <c r="S43" t="s">
        <v>1087</v>
      </c>
      <c r="T43" t="s">
        <v>1087</v>
      </c>
      <c r="U43" t="s">
        <v>1087</v>
      </c>
      <c r="V43" t="s">
        <v>1087</v>
      </c>
      <c r="W43" t="s">
        <v>1087</v>
      </c>
      <c r="X43" t="s">
        <v>1087</v>
      </c>
      <c r="Y43" t="s">
        <v>1087</v>
      </c>
      <c r="Z43" t="s">
        <v>1087</v>
      </c>
      <c r="AA43" t="s">
        <v>1087</v>
      </c>
      <c r="AB43" t="s">
        <v>1087</v>
      </c>
      <c r="AC43" t="s">
        <v>1087</v>
      </c>
    </row>
    <row customHeight="true" ht="16.071428571428573" r="44">
      <c r="A44" s="907">
        <v>45745</v>
      </c>
      <c r="B44" s="908" t="s">
        <v>1091</v>
      </c>
      <c r="C44" s="909" t="s">
        <v>1130</v>
      </c>
      <c r="D44" s="908">
        <v>3</v>
      </c>
      <c r="E44" s="908">
        <v>14</v>
      </c>
      <c r="F44" s="908">
        <v>11</v>
      </c>
      <c r="G44" s="908">
        <v>0</v>
      </c>
      <c r="H44" s="910">
        <v>8498.6</v>
      </c>
      <c r="I44" s="910">
        <v>9067.51</v>
      </c>
      <c r="J44" s="911">
        <f t="shared" si="0"/>
      </c>
      <c r="K44" s="911">
        <f t="shared" si="1"/>
      </c>
      <c r="L44" s="911">
        <f t="shared" si="2"/>
      </c>
      <c r="M44" s="916" t="s">
        <v>1102</v>
      </c>
      <c r="N44" s="908">
        <v>4</v>
      </c>
      <c r="O44" s="913" t="s">
        <v>1087</v>
      </c>
      <c r="P44" s="914" t="s">
        <v>1087</v>
      </c>
      <c r="Q44" s="913" t="s">
        <v>1087</v>
      </c>
      <c r="R44" s="915" t="s">
        <v>1087</v>
      </c>
      <c r="S44" t="s">
        <v>1087</v>
      </c>
      <c r="T44" t="s">
        <v>1087</v>
      </c>
      <c r="U44" t="s">
        <v>1087</v>
      </c>
      <c r="V44" t="s">
        <v>1087</v>
      </c>
      <c r="W44" t="s">
        <v>1087</v>
      </c>
      <c r="X44" t="s">
        <v>1087</v>
      </c>
      <c r="Y44" t="s">
        <v>1087</v>
      </c>
      <c r="Z44" t="s">
        <v>1087</v>
      </c>
      <c r="AA44" t="s">
        <v>1087</v>
      </c>
      <c r="AB44" t="s">
        <v>1087</v>
      </c>
      <c r="AC44" t="s">
        <v>1087</v>
      </c>
    </row>
    <row customHeight="true" ht="16.071428571428573" r="45">
      <c r="A45" s="907">
        <v>45745</v>
      </c>
      <c r="B45" s="908" t="s">
        <v>1110</v>
      </c>
      <c r="C45" s="909" t="s">
        <v>1131</v>
      </c>
      <c r="D45" s="908">
        <v>3</v>
      </c>
      <c r="E45" s="908">
        <v>15</v>
      </c>
      <c r="F45" s="908">
        <v>10</v>
      </c>
      <c r="G45" s="908">
        <v>0</v>
      </c>
      <c r="H45" s="910">
        <v>6204.4</v>
      </c>
      <c r="I45" s="910">
        <v>10780.46</v>
      </c>
      <c r="J45" s="911">
        <f t="shared" si="0"/>
      </c>
      <c r="K45" s="911">
        <f t="shared" si="1"/>
      </c>
      <c r="L45" s="911">
        <f t="shared" si="2"/>
      </c>
      <c r="M45" s="916" t="s">
        <v>1087</v>
      </c>
      <c r="N45" s="908" t="s">
        <v>1087</v>
      </c>
      <c r="O45" s="913" t="s">
        <v>1087</v>
      </c>
      <c r="P45" s="914" t="s">
        <v>1087</v>
      </c>
      <c r="Q45" s="913" t="s">
        <v>1087</v>
      </c>
      <c r="R45" s="915" t="s">
        <v>1087</v>
      </c>
      <c r="S45" t="s">
        <v>1087</v>
      </c>
      <c r="T45" t="s">
        <v>1087</v>
      </c>
      <c r="U45" t="s">
        <v>1087</v>
      </c>
      <c r="V45" t="s">
        <v>1087</v>
      </c>
      <c r="W45" t="s">
        <v>1087</v>
      </c>
      <c r="X45" t="s">
        <v>1087</v>
      </c>
      <c r="Y45" t="s">
        <v>1087</v>
      </c>
      <c r="Z45" t="s">
        <v>1087</v>
      </c>
      <c r="AA45" t="s">
        <v>1087</v>
      </c>
      <c r="AB45" t="s">
        <v>1087</v>
      </c>
      <c r="AC45" t="s">
        <v>1087</v>
      </c>
    </row>
    <row customHeight="true" ht="16.071428571428573" r="46">
      <c r="A46" s="907">
        <v>45745</v>
      </c>
      <c r="B46" s="908" t="s">
        <v>1088</v>
      </c>
      <c r="C46" s="909" t="s">
        <v>1111</v>
      </c>
      <c r="D46" s="908">
        <v>5</v>
      </c>
      <c r="E46" s="908">
        <v>63</v>
      </c>
      <c r="F46" s="908">
        <v>53</v>
      </c>
      <c r="G46" s="908">
        <v>2</v>
      </c>
      <c r="H46" s="908">
        <v>35676.4</v>
      </c>
      <c r="I46" s="910">
        <v>23668.44</v>
      </c>
      <c r="J46" s="911">
        <f t="shared" si="0"/>
      </c>
      <c r="K46" s="911">
        <f t="shared" si="1"/>
      </c>
      <c r="L46" s="911">
        <f t="shared" si="2"/>
      </c>
      <c r="M46" s="916" t="s">
        <v>1090</v>
      </c>
      <c r="N46" s="908">
        <v>2</v>
      </c>
      <c r="O46" s="913" t="s">
        <v>1087</v>
      </c>
      <c r="P46" s="914" t="s">
        <v>1087</v>
      </c>
      <c r="Q46" s="917" t="s">
        <v>1087</v>
      </c>
      <c r="R46" s="915" t="s">
        <v>1087</v>
      </c>
      <c r="S46" t="s">
        <v>1087</v>
      </c>
      <c r="T46" t="s">
        <v>1087</v>
      </c>
      <c r="U46" t="s">
        <v>1087</v>
      </c>
      <c r="V46" t="s">
        <v>1087</v>
      </c>
      <c r="W46" t="s">
        <v>1087</v>
      </c>
      <c r="X46" t="s">
        <v>1087</v>
      </c>
      <c r="Y46" t="s">
        <v>1087</v>
      </c>
      <c r="Z46" t="s">
        <v>1087</v>
      </c>
      <c r="AA46" t="s">
        <v>1087</v>
      </c>
      <c r="AB46" t="s">
        <v>1087</v>
      </c>
      <c r="AC46" t="s">
        <v>1087</v>
      </c>
    </row>
    <row customHeight="true" ht="16.071428571428573" r="47">
      <c r="A47" s="918" t="s">
        <v>1132</v>
      </c>
      <c r="B47" s="919" t="s">
        <v>1087</v>
      </c>
      <c r="C47" s="919" t="s">
        <v>1087</v>
      </c>
      <c r="D47" s="919">
        <f>SUM(D43:D46)</f>
      </c>
      <c r="E47" s="919">
        <f>SUM(E43:E46)</f>
      </c>
      <c r="F47" s="919">
        <f>SUM(F43:F46)</f>
      </c>
      <c r="G47" s="919">
        <f>SUM(G43:G46)</f>
      </c>
      <c r="H47" s="920">
        <f>SUM(H43:H46)</f>
      </c>
      <c r="I47" s="920">
        <f>SUM(I43:I46)</f>
      </c>
      <c r="J47" s="921">
        <f t="shared" si="0"/>
      </c>
      <c r="K47" s="921">
        <f t="shared" si="1"/>
      </c>
      <c r="L47" s="921">
        <f t="shared" si="2"/>
      </c>
      <c r="M47" s="922" t="s">
        <v>1087</v>
      </c>
      <c r="N47" s="923">
        <f>SUM(N43:N46)</f>
      </c>
      <c r="O47" s="917" t="s">
        <v>1087</v>
      </c>
      <c r="P47" s="924" t="s">
        <v>1087</v>
      </c>
      <c r="Q47" s="917" t="s">
        <v>1087</v>
      </c>
      <c r="R47" t="s">
        <v>1087</v>
      </c>
      <c r="S47" t="s">
        <v>1087</v>
      </c>
      <c r="T47" t="s">
        <v>1087</v>
      </c>
      <c r="U47" t="s">
        <v>1087</v>
      </c>
      <c r="V47" t="s">
        <v>1087</v>
      </c>
      <c r="W47" t="s">
        <v>1087</v>
      </c>
      <c r="X47" t="s">
        <v>1087</v>
      </c>
      <c r="Y47" t="s">
        <v>1087</v>
      </c>
      <c r="Z47" t="s">
        <v>1087</v>
      </c>
      <c r="AA47" t="s">
        <v>1087</v>
      </c>
      <c r="AB47" t="s">
        <v>1087</v>
      </c>
      <c r="AC47" t="s">
        <v>1087</v>
      </c>
    </row>
    <row customHeight="true" ht="16.071428571428573" r="48">
      <c r="A48" s="907">
        <v>45746</v>
      </c>
      <c r="B48" s="908" t="s">
        <v>1110</v>
      </c>
      <c r="C48" s="909" t="s">
        <v>1133</v>
      </c>
      <c r="D48" s="908">
        <v>4</v>
      </c>
      <c r="E48" s="908">
        <v>48</v>
      </c>
      <c r="F48" s="908">
        <v>38</v>
      </c>
      <c r="G48" s="908">
        <v>8</v>
      </c>
      <c r="H48" s="910">
        <v>34262.8</v>
      </c>
      <c r="I48" s="910">
        <v>20339.27</v>
      </c>
      <c r="J48" s="911">
        <f t="shared" si="0"/>
      </c>
      <c r="K48" s="911">
        <f t="shared" si="1"/>
      </c>
      <c r="L48" s="911">
        <f t="shared" si="2"/>
      </c>
      <c r="M48" s="916" t="s">
        <v>1102</v>
      </c>
      <c r="N48" s="908">
        <v>5</v>
      </c>
    </row>
    <row customHeight="true" ht="16.071428571428573" r="49">
      <c r="A49" s="907">
        <v>45746</v>
      </c>
      <c r="B49" s="908" t="s">
        <v>1125</v>
      </c>
      <c r="C49" s="909" t="s">
        <v>1127</v>
      </c>
      <c r="D49" s="908">
        <v>4</v>
      </c>
      <c r="E49" s="908">
        <v>60</v>
      </c>
      <c r="F49" s="908">
        <v>51</v>
      </c>
      <c r="G49" s="908">
        <v>10</v>
      </c>
      <c r="H49" s="910">
        <v>44503</v>
      </c>
      <c r="I49" s="910">
        <v>20936.22</v>
      </c>
      <c r="J49" s="911">
        <f t="shared" si="0"/>
      </c>
      <c r="K49" s="911">
        <f t="shared" si="1"/>
      </c>
      <c r="L49" s="911">
        <f t="shared" si="2"/>
      </c>
      <c r="M49" s="916" t="s">
        <v>1087</v>
      </c>
      <c r="N49" s="908" t="s">
        <v>1087</v>
      </c>
    </row>
    <row customHeight="true" ht="16.071428571428573" r="50">
      <c r="A50" s="907">
        <v>45746</v>
      </c>
      <c r="B50" s="908" t="s">
        <v>1088</v>
      </c>
      <c r="C50" s="909" t="s">
        <v>1111</v>
      </c>
      <c r="D50" s="908">
        <v>5</v>
      </c>
      <c r="E50" s="908">
        <v>67</v>
      </c>
      <c r="F50" s="908">
        <v>45</v>
      </c>
      <c r="G50" s="908">
        <v>7</v>
      </c>
      <c r="H50" s="908">
        <v>28271.2</v>
      </c>
      <c r="I50" s="910">
        <v>24803.47</v>
      </c>
      <c r="J50" s="911">
        <f t="shared" si="0"/>
      </c>
      <c r="K50" s="911">
        <f t="shared" si="1"/>
      </c>
      <c r="L50" s="911">
        <f t="shared" si="2"/>
      </c>
      <c r="M50" s="916" t="s">
        <v>1134</v>
      </c>
      <c r="N50" s="908">
        <v>8</v>
      </c>
    </row>
    <row customHeight="true" ht="16.071428571428573" r="51">
      <c r="A51" s="918" t="s">
        <v>1135</v>
      </c>
      <c r="B51" s="919" t="s">
        <v>1087</v>
      </c>
      <c r="C51" s="919" t="s">
        <v>1087</v>
      </c>
      <c r="D51" s="919">
        <f>SUM(D48:D50)</f>
      </c>
      <c r="E51" s="919">
        <f>SUM(E48:E50)</f>
      </c>
      <c r="F51" s="919">
        <f>SUM(F48:F50)</f>
      </c>
      <c r="G51" s="919">
        <f>SUM(G48:G50)</f>
      </c>
      <c r="H51" s="920">
        <f>SUM(H48:H50)</f>
      </c>
      <c r="I51" s="920">
        <f>SUM(I48:I50)</f>
      </c>
      <c r="J51" s="921">
        <f t="shared" si="0"/>
      </c>
      <c r="K51" s="921">
        <f t="shared" si="1"/>
      </c>
      <c r="L51" s="921">
        <f t="shared" si="2"/>
      </c>
      <c r="M51" s="922" t="s">
        <v>1087</v>
      </c>
      <c r="N51" s="923">
        <f>SUM(N48:N50)</f>
      </c>
    </row>
    <row customHeight="true" ht="16.071428571428573" r="52">
      <c r="A52" s="907">
        <v>45747</v>
      </c>
      <c r="B52" s="908" t="s">
        <v>1125</v>
      </c>
      <c r="C52" s="909" t="s">
        <v>1113</v>
      </c>
      <c r="D52" s="925">
        <v>4</v>
      </c>
      <c r="E52" s="925">
        <v>69</v>
      </c>
      <c r="F52" s="925">
        <v>54</v>
      </c>
      <c r="G52" s="925">
        <v>6</v>
      </c>
      <c r="H52" s="926">
        <v>46276.8</v>
      </c>
      <c r="I52" s="926">
        <v>24195.13</v>
      </c>
      <c r="J52" s="911">
        <f t="shared" si="0"/>
      </c>
      <c r="K52" s="911">
        <f t="shared" si="1"/>
      </c>
      <c r="L52" s="911">
        <f t="shared" si="2"/>
      </c>
      <c r="M52" s="916" t="s">
        <v>1090</v>
      </c>
      <c r="N52" s="908">
        <v>1.6</v>
      </c>
      <c r="O52" s="913" t="s">
        <v>1087</v>
      </c>
      <c r="P52" s="914" t="s">
        <v>1087</v>
      </c>
      <c r="Q52" s="913" t="s">
        <v>1087</v>
      </c>
      <c r="R52" s="915" t="s">
        <v>1087</v>
      </c>
      <c r="S52" t="s">
        <v>1087</v>
      </c>
      <c r="T52" t="s">
        <v>1087</v>
      </c>
      <c r="U52" t="s">
        <v>1087</v>
      </c>
      <c r="V52" t="s">
        <v>1087</v>
      </c>
      <c r="W52" t="s">
        <v>1087</v>
      </c>
      <c r="X52" t="s">
        <v>1087</v>
      </c>
      <c r="Y52" t="s">
        <v>1087</v>
      </c>
      <c r="Z52" t="s">
        <v>1087</v>
      </c>
      <c r="AA52" t="s">
        <v>1087</v>
      </c>
      <c r="AB52" t="s">
        <v>1087</v>
      </c>
      <c r="AC52" t="s">
        <v>1087</v>
      </c>
    </row>
    <row customHeight="true" ht="16.071428571428573" r="53">
      <c r="A53" s="907">
        <v>45747</v>
      </c>
      <c r="B53" s="908" t="s">
        <v>1110</v>
      </c>
      <c r="C53" s="909" t="s">
        <v>1133</v>
      </c>
      <c r="D53" s="925">
        <v>4</v>
      </c>
      <c r="E53" s="925">
        <v>38</v>
      </c>
      <c r="F53" s="925">
        <v>27</v>
      </c>
      <c r="G53" s="925">
        <v>4</v>
      </c>
      <c r="H53" s="926">
        <v>29140</v>
      </c>
      <c r="I53" s="926">
        <v>18017.24</v>
      </c>
      <c r="J53" s="911">
        <f t="shared" si="0"/>
      </c>
      <c r="K53" s="911">
        <f t="shared" si="1"/>
      </c>
      <c r="L53" s="911">
        <f t="shared" si="2"/>
      </c>
      <c r="M53" s="916" t="s">
        <v>1102</v>
      </c>
      <c r="N53" s="908">
        <v>5</v>
      </c>
      <c r="O53" s="913" t="s">
        <v>1087</v>
      </c>
      <c r="P53" s="914" t="s">
        <v>1087</v>
      </c>
      <c r="Q53" s="913" t="s">
        <v>1087</v>
      </c>
      <c r="R53" s="915" t="s">
        <v>1087</v>
      </c>
      <c r="S53" t="s">
        <v>1087</v>
      </c>
      <c r="T53" t="s">
        <v>1087</v>
      </c>
      <c r="U53" t="s">
        <v>1087</v>
      </c>
      <c r="V53" t="s">
        <v>1087</v>
      </c>
      <c r="W53" t="s">
        <v>1087</v>
      </c>
      <c r="X53" t="s">
        <v>1087</v>
      </c>
      <c r="Y53" t="s">
        <v>1087</v>
      </c>
      <c r="Z53" t="s">
        <v>1087</v>
      </c>
      <c r="AA53" t="s">
        <v>1087</v>
      </c>
      <c r="AB53" t="s">
        <v>1087</v>
      </c>
      <c r="AC53" t="s">
        <v>1087</v>
      </c>
    </row>
    <row customHeight="true" ht="16.071428571428573" r="54">
      <c r="A54" s="907">
        <v>45747</v>
      </c>
      <c r="B54" s="908" t="s">
        <v>1123</v>
      </c>
      <c r="C54" s="909" t="s">
        <v>1127</v>
      </c>
      <c r="D54" s="925">
        <v>4</v>
      </c>
      <c r="E54" s="925">
        <v>39</v>
      </c>
      <c r="F54" s="925">
        <v>25</v>
      </c>
      <c r="G54" s="925">
        <v>6</v>
      </c>
      <c r="H54" s="926">
        <v>20531</v>
      </c>
      <c r="I54" s="926">
        <v>13845.74</v>
      </c>
      <c r="J54" s="911">
        <f t="shared" si="0"/>
      </c>
      <c r="K54" s="911">
        <f t="shared" si="1"/>
      </c>
      <c r="L54" s="911">
        <f t="shared" si="2"/>
      </c>
      <c r="M54" s="916" t="s">
        <v>1087</v>
      </c>
      <c r="N54" s="908" t="s">
        <v>1087</v>
      </c>
      <c r="O54" s="913" t="s">
        <v>1087</v>
      </c>
      <c r="P54" s="914" t="s">
        <v>1087</v>
      </c>
      <c r="Q54" s="927"/>
      <c r="R54" s="915" t="s">
        <v>1087</v>
      </c>
      <c r="S54" t="s">
        <v>1087</v>
      </c>
      <c r="T54" t="s">
        <v>1087</v>
      </c>
      <c r="U54" t="s">
        <v>1087</v>
      </c>
      <c r="V54" t="s">
        <v>1087</v>
      </c>
      <c r="W54" t="s">
        <v>1087</v>
      </c>
      <c r="X54" t="s">
        <v>1087</v>
      </c>
      <c r="Y54" t="s">
        <v>1087</v>
      </c>
      <c r="Z54" t="s">
        <v>1087</v>
      </c>
      <c r="AA54" t="s">
        <v>1087</v>
      </c>
      <c r="AB54" t="s">
        <v>1087</v>
      </c>
      <c r="AC54" t="s">
        <v>1087</v>
      </c>
    </row>
    <row customHeight="true" ht="16.071428571428573" r="55">
      <c r="A55" s="907">
        <v>45747</v>
      </c>
      <c r="B55" s="908" t="s">
        <v>1088</v>
      </c>
      <c r="C55" s="909" t="s">
        <v>1111</v>
      </c>
      <c r="D55" s="925">
        <v>5</v>
      </c>
      <c r="E55" s="925">
        <v>87</v>
      </c>
      <c r="F55" s="925">
        <v>68</v>
      </c>
      <c r="G55" s="925">
        <v>16</v>
      </c>
      <c r="H55" s="925">
        <v>53358.8</v>
      </c>
      <c r="I55" s="926">
        <v>20326.39</v>
      </c>
      <c r="J55" s="911">
        <f t="shared" si="0"/>
      </c>
      <c r="K55" s="911">
        <f t="shared" si="1"/>
      </c>
      <c r="L55" s="911">
        <f t="shared" si="2"/>
      </c>
      <c r="M55" s="916" t="s">
        <v>1134</v>
      </c>
      <c r="N55" s="928">
        <v>8</v>
      </c>
      <c r="O55" s="913" t="s">
        <v>1087</v>
      </c>
      <c r="P55" s="914" t="s">
        <v>1087</v>
      </c>
      <c r="Q55" s="917" t="s">
        <v>1087</v>
      </c>
      <c r="R55" s="915" t="s">
        <v>1087</v>
      </c>
      <c r="S55" t="s">
        <v>1087</v>
      </c>
      <c r="T55" t="s">
        <v>1087</v>
      </c>
      <c r="U55" t="s">
        <v>1087</v>
      </c>
      <c r="V55" t="s">
        <v>1087</v>
      </c>
      <c r="W55" t="s">
        <v>1087</v>
      </c>
      <c r="X55" t="s">
        <v>1087</v>
      </c>
      <c r="Y55" t="s">
        <v>1087</v>
      </c>
      <c r="Z55" t="s">
        <v>1087</v>
      </c>
      <c r="AA55" t="s">
        <v>1087</v>
      </c>
      <c r="AB55" t="s">
        <v>1087</v>
      </c>
      <c r="AC55" t="s">
        <v>1087</v>
      </c>
    </row>
    <row customHeight="true" ht="16.071428571428573" r="56">
      <c r="A56" s="918" t="s">
        <v>1136</v>
      </c>
      <c r="B56" s="919" t="s">
        <v>1087</v>
      </c>
      <c r="C56" s="919" t="s">
        <v>1087</v>
      </c>
      <c r="D56" s="919">
        <f>SUM(D52:D55)</f>
      </c>
      <c r="E56" s="919">
        <f>SUM(E52:E55)</f>
      </c>
      <c r="F56" s="919">
        <f>SUM(F52:F55)</f>
      </c>
      <c r="G56" s="919">
        <f>SUM(G52:G55)</f>
      </c>
      <c r="H56" s="920">
        <f>SUM(H52:H55)</f>
      </c>
      <c r="I56" s="920">
        <f>SUM(I52:I55)</f>
      </c>
      <c r="J56" s="921">
        <f t="shared" si="0"/>
      </c>
      <c r="K56" s="921">
        <f t="shared" si="1"/>
      </c>
      <c r="L56" s="921">
        <f t="shared" si="2"/>
      </c>
      <c r="M56" s="922" t="s">
        <v>1087</v>
      </c>
      <c r="N56" s="923">
        <f>SUM(N52:N55)</f>
      </c>
      <c r="O56" s="917" t="s">
        <v>1087</v>
      </c>
      <c r="P56" s="924" t="s">
        <v>1087</v>
      </c>
      <c r="Q56" s="917" t="s">
        <v>1087</v>
      </c>
      <c r="R56" t="s">
        <v>1087</v>
      </c>
      <c r="S56" t="s">
        <v>1087</v>
      </c>
      <c r="T56" t="s">
        <v>1087</v>
      </c>
      <c r="U56" t="s">
        <v>1087</v>
      </c>
      <c r="V56" t="s">
        <v>1087</v>
      </c>
      <c r="W56" t="s">
        <v>1087</v>
      </c>
      <c r="X56" t="s">
        <v>1087</v>
      </c>
      <c r="Y56" t="s">
        <v>1087</v>
      </c>
      <c r="Z56" t="s">
        <v>1087</v>
      </c>
      <c r="AA56" t="s">
        <v>1087</v>
      </c>
      <c r="AB56" t="s">
        <v>1087</v>
      </c>
      <c r="AC56" t="s">
        <v>1087</v>
      </c>
    </row>
    <row customHeight="true" ht="16.071428571428573" r="57"/>
    <row customHeight="true" ht="16.071428571428573" r="58"/>
    <row r="59">
      <c r="D59" s="929"/>
    </row>
  </sheetData>
  <autoFilter ref="A1:O5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