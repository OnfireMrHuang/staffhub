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6年10月" sheetId="2" r:id="rId5"/>
    <sheet name="26年9月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39" i="2" a="true"/>
  <c r="G139" i="2" a="true"/>
  <c r="H139" i="2" a="true"/>
  <c r="I139" i="2" a="true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<sst xmlns="http://schemas.openxmlformats.org/spreadsheetml/2006/main" count="131" uniqueCount="131">
  <si>
    <t xml:space="preserve">  </t>
  </si>
  <si>
    <t xml:space="preserve">核心指标</t>
  </si>
  <si>
    <t xml:space="preserve">过程指标</t>
  </si>
  <si>
    <t xml:space="preserve">互动指标</t>
  </si>
  <si>
    <t xml:space="preserve">日期</t>
  </si>
  <si>
    <t xml:space="preserve">主播</t>
  </si>
  <si>
    <t xml:space="preserve">时间段</t>
  </si>
  <si>
    <t xml:space="preserve">消耗 （账面）</t>
  </si>
  <si>
    <t xml:space="preserve">提单数</t>
  </si>
  <si>
    <t xml:space="preserve">保单数（就医保）</t>
  </si>
  <si>
    <t xml:space="preserve">年化保费（就医保）</t>
  </si>
  <si>
    <t xml:space="preserve">保单数（众民保）</t>
  </si>
  <si>
    <t xml:space="preserve">年化保费（众民保）</t>
  </si>
  <si>
    <t xml:space="preserve">总保单</t>
  </si>
  <si>
    <t xml:space="preserve">总年化保费</t>
  </si>
  <si>
    <t xml:space="preserve">账户成本</t>
  </si>
  <si>
    <t xml:space="preserve">件均</t>
  </si>
  <si>
    <t xml:space="preserve">保单成本</t>
  </si>
  <si>
    <t xml:space="preserve">ROI</t>
  </si>
  <si>
    <t xml:space="preserve">业务ROI</t>
  </si>
  <si>
    <t xml:space="preserve">直播间进入成本</t>
  </si>
  <si>
    <t xml:space="preserve">组件点击成本</t>
  </si>
  <si>
    <t xml:space="preserve">转化成本</t>
  </si>
  <si>
    <t xml:space="preserve">直播间进入-组件点击</t>
  </si>
  <si>
    <t xml:space="preserve">组件点击-转化</t>
  </si>
  <si>
    <t xml:space="preserve">ctr</t>
  </si>
  <si>
    <t xml:space="preserve">cvr</t>
  </si>
  <si>
    <t xml:space="preserve">cpm（封面）</t>
  </si>
  <si>
    <t xml:space="preserve">cpc</t>
  </si>
  <si>
    <t xml:space="preserve">直播间进入-直播观看60s</t>
  </si>
  <si>
    <t xml:space="preserve">直播间进入-评论</t>
  </si>
  <si>
    <t xml:space="preserve">直播间进入-加粉</t>
  </si>
  <si>
    <t xml:space="preserve">直播间进入-分享</t>
  </si>
  <si>
    <t xml:space="preserve">投手</t>
  </si>
  <si>
    <t xml:space="preserve">场控</t>
  </si>
  <si>
    <t xml:space="preserve">曝光数</t>
  </si>
  <si>
    <t xml:space="preserve">行为数</t>
  </si>
  <si>
    <t xml:space="preserve">直播间进入人数</t>
  </si>
  <si>
    <t xml:space="preserve">组件点击量</t>
  </si>
  <si>
    <t xml:space="preserve">转化数</t>
  </si>
  <si>
    <t xml:space="preserve">直播观看60秒数</t>
  </si>
  <si>
    <t xml:space="preserve">直播间评论数</t>
  </si>
  <si>
    <t xml:space="preserve">粉丝关注数</t>
  </si>
  <si>
    <t xml:space="preserve">直播间分享数</t>
  </si>
  <si>
    <t xml:space="preserve">家庭单数</t>
  </si>
  <si>
    <t xml:space="preserve">勿动</t>
  </si>
  <si>
    <t xml:space="preserve">聂凡</t>
  </si>
  <si>
    <t xml:space="preserve">18:00-19:00</t>
  </si>
  <si>
    <t xml:space="preserve">张秋敏</t>
  </si>
  <si>
    <t xml:space="preserve">张滋怡</t>
  </si>
  <si>
    <t xml:space="preserve">19:00-20:00</t>
  </si>
  <si>
    <t xml:space="preserve">20:00-21:00</t>
  </si>
  <si>
    <t xml:space="preserve">主播合计</t>
  </si>
  <si>
    <t xml:space="preserve">卢美玲</t>
  </si>
  <si>
    <t xml:space="preserve">21:00-22:00</t>
  </si>
  <si>
    <t xml:space="preserve">22:00-23:00</t>
  </si>
  <si>
    <t xml:space="preserve">23:00-24:00</t>
  </si>
  <si>
    <t xml:space="preserve">当日合计</t>
  </si>
  <si>
    <t xml:space="preserve">邵二波</t>
  </si>
  <si>
    <t xml:space="preserve">董柯言</t>
  </si>
  <si>
    <t xml:space="preserve">尹小雨</t>
  </si>
  <si>
    <t xml:space="preserve">王佳惠</t>
  </si>
  <si>
    <t xml:space="preserve">张怡棣</t>
  </si>
  <si>
    <t xml:space="preserve">菅心茹</t>
  </si>
  <si>
    <t xml:space="preserve">孙紫欣</t>
  </si>
  <si>
    <t xml:space="preserve">武慧聪</t>
  </si>
  <si>
    <t xml:space="preserve">核心指标</t>
  </si>
  <si>
    <t xml:space="preserve">过程指标</t>
  </si>
  <si>
    <t xml:space="preserve">互动指标</t>
  </si>
  <si>
    <t xml:space="preserve">日期</t>
  </si>
  <si>
    <t xml:space="preserve">主播</t>
  </si>
  <si>
    <t xml:space="preserve">时间段</t>
  </si>
  <si>
    <t xml:space="preserve">消耗 （账面）</t>
  </si>
  <si>
    <t xml:space="preserve">提单数</t>
  </si>
  <si>
    <t xml:space="preserve">保单数（就医保）</t>
  </si>
  <si>
    <t xml:space="preserve">年化保费（就医保）</t>
  </si>
  <si>
    <t xml:space="preserve">保单数（众民保）</t>
  </si>
  <si>
    <t xml:space="preserve">年化保费（众民保）</t>
  </si>
  <si>
    <t xml:space="preserve">总保单</t>
  </si>
  <si>
    <t xml:space="preserve">总年化保费</t>
  </si>
  <si>
    <t xml:space="preserve">账户成本</t>
  </si>
  <si>
    <t xml:space="preserve">件均</t>
  </si>
  <si>
    <t xml:space="preserve">保单成本</t>
  </si>
  <si>
    <t xml:space="preserve">ROI</t>
  </si>
  <si>
    <t xml:space="preserve">业务ROI</t>
  </si>
  <si>
    <t xml:space="preserve">直播间进入成本</t>
  </si>
  <si>
    <t xml:space="preserve">组件点击成本</t>
  </si>
  <si>
    <t xml:space="preserve">转化成本</t>
  </si>
  <si>
    <t xml:space="preserve">直播间进入-组件点击</t>
  </si>
  <si>
    <t xml:space="preserve">组件点击-转化</t>
  </si>
  <si>
    <t xml:space="preserve">ctr</t>
  </si>
  <si>
    <t xml:space="preserve">cvr</t>
  </si>
  <si>
    <t xml:space="preserve">cpm（封面）</t>
  </si>
  <si>
    <t xml:space="preserve">cpc</t>
  </si>
  <si>
    <t xml:space="preserve">直播间进入-直播观看60s</t>
  </si>
  <si>
    <t xml:space="preserve">直播间进入-评论</t>
  </si>
  <si>
    <t xml:space="preserve">直播间进入-加粉</t>
  </si>
  <si>
    <t xml:space="preserve">直播间进入-分享</t>
  </si>
  <si>
    <t xml:space="preserve">投手</t>
  </si>
  <si>
    <t xml:space="preserve">场控</t>
  </si>
  <si>
    <t xml:space="preserve">曝光数</t>
  </si>
  <si>
    <t xml:space="preserve">行为数</t>
  </si>
  <si>
    <t xml:space="preserve">直播间进入人数</t>
  </si>
  <si>
    <t xml:space="preserve">组件点击量</t>
  </si>
  <si>
    <t xml:space="preserve">转化数</t>
  </si>
  <si>
    <t xml:space="preserve">直播观看60秒数</t>
  </si>
  <si>
    <t xml:space="preserve">直播间评论数</t>
  </si>
  <si>
    <t xml:space="preserve">粉丝关注数</t>
  </si>
  <si>
    <t xml:space="preserve">直播间分享数</t>
  </si>
  <si>
    <t xml:space="preserve">家庭单数</t>
  </si>
  <si>
    <t xml:space="preserve">勿动</t>
  </si>
  <si>
    <t xml:space="preserve">聂凡</t>
  </si>
  <si>
    <t xml:space="preserve">18:00-19:00</t>
  </si>
  <si>
    <t xml:space="preserve">=D3/AJ3+</t>
  </si>
  <si>
    <t xml:space="preserve">张秋敏</t>
  </si>
  <si>
    <t xml:space="preserve">王学伟</t>
  </si>
  <si>
    <t xml:space="preserve">主播合计</t>
  </si>
  <si>
    <t xml:space="preserve">卢美玲</t>
  </si>
  <si>
    <t xml:space="preserve">19:00-20:00</t>
  </si>
  <si>
    <t xml:space="preserve">20:00-21:00</t>
  </si>
  <si>
    <t xml:space="preserve">尹小雨</t>
  </si>
  <si>
    <t xml:space="preserve">21:00-22:00</t>
  </si>
  <si>
    <t xml:space="preserve">当日合计</t>
  </si>
  <si>
    <t xml:space="preserve">孙紫欣</t>
  </si>
  <si>
    <t xml:space="preserve">菅心茹</t>
  </si>
  <si>
    <t xml:space="preserve">22:00-23:00</t>
  </si>
  <si>
    <t xml:space="preserve">23:00-24:00</t>
  </si>
  <si>
    <t xml:space="preserve">王佳惠</t>
  </si>
  <si>
    <t xml:space="preserve">高琎梅</t>
  </si>
  <si>
    <t xml:space="preserve">董柯言</t>
  </si>
  <si>
    <t xml:space="preserve">张滋怡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</si>
</sst>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4">
    <numFmt numFmtId="164" formatCode="0.00%"/>
    <numFmt numFmtId="165" formatCode="#,##0.00"/>
    <numFmt numFmtId="166" formatCode="0"/>
    <numFmt numFmtId="167" formatCode="0.00_);(0.00)"/>
    <numFmt numFmtId="168" formatCode="#,##0"/>
    <numFmt numFmtId="169" formatCode="yyyy/m/d"/>
    <numFmt numFmtId="170" formatCode="h:mm;@"/>
    <numFmt numFmtId="171" formatCode="0_);(0)"/>
    <numFmt numFmtId="172" formatCode="0.00_ "/>
    <numFmt numFmtId="173" formatCode="#,##0.00_ "/>
    <numFmt numFmtId="174" formatCode="0.00"/>
    <numFmt numFmtId="175" formatCode="General"/>
    <numFmt numFmtId="176" formatCode="0.00_);(0.00)"/>
    <numFmt numFmtId="177" formatCode="#,##0.00"/>
    <numFmt numFmtId="178" formatCode="0"/>
    <numFmt numFmtId="179" formatCode="#,##0"/>
    <numFmt numFmtId="180" formatCode="yyyy/m/d"/>
    <numFmt numFmtId="181" formatCode="0.00_ "/>
    <numFmt numFmtId="182" formatCode="#,##0.00_ "/>
    <numFmt numFmtId="183" formatCode="0.00"/>
    <numFmt numFmtId="184" formatCode="0.00%"/>
    <numFmt numFmtId="185" formatCode="h:mm;@"/>
    <numFmt numFmtId="186" formatCode="0_);(0)"/>
    <numFmt numFmtId="187" formatCode="General"/>
  </numFmts>
  <fonts count="5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EAFAF1"/>
        <bgColor/>
      </patternFill>
    </fill>
    <fill>
      <patternFill patternType="solid">
        <fgColor rgb="FFDE3C36"/>
        <bgColor/>
      </patternFill>
    </fill>
    <fill>
      <patternFill patternType="solid">
        <fgColor rgb="FFF5F6F7"/>
        <bgColor/>
      </patternFill>
    </fill>
    <fill>
      <patternFill patternType="solid">
        <fgColor rgb="FFD8D8D8"/>
        <bgColor/>
      </patternFill>
    </fill>
    <fill>
      <patternFill patternType="solid">
        <fgColor rgb="FFFFC9C7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FFF9E3"/>
        <bgColor/>
      </patternFill>
    </fill>
    <fill>
      <patternFill patternType="solid">
        <fgColor rgb="FFFFF3EB"/>
        <bgColor/>
      </patternFill>
    </fill>
    <fill>
      <patternFill patternType="solid">
        <fgColor rgb="FFEAFAF1"/>
        <bgColor/>
      </patternFill>
    </fill>
    <fill>
      <patternFill patternType="solid">
        <fgColor rgb="FFDE3C36"/>
        <bgColor/>
      </patternFill>
    </fill>
    <fill>
      <patternFill patternType="solid">
        <fgColor rgb="FFF5F6F7"/>
        <bgColor/>
      </patternFill>
    </fill>
    <fill>
      <patternFill patternType="solid">
        <fgColor rgb="FFD8D8D8"/>
        <bgColor/>
      </patternFill>
    </fill>
    <fill>
      <patternFill patternType="solid">
        <fgColor rgb="FFFFC9C7"/>
        <bgColor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1F2329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2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2" fillId="3" fontId="1" numFmtId="0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true" applyProtection="false" borderId="1" fillId="4" fontId="1" numFmtId="164" xfId="0">
      <alignment horizontal="center" vertical="center"/>
    </xf>
    <xf applyAlignment="true" applyBorder="false" applyFill="true" applyFont="true" applyNumberFormat="false" applyProtection="false" borderId="3" fillId="5" fontId="1" numFmtId="0" xfId="0">
      <alignment horizontal="center" vertical="center"/>
    </xf>
    <xf applyAlignment="true" applyBorder="false" applyFill="true" applyFont="true" applyNumberFormat="false" applyProtection="false" borderId="1" fillId="6" fontId="1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true" applyFont="true" applyNumberFormat="false" applyProtection="false" borderId="2" fillId="2" fontId="1" numFmtId="0" xfId="0">
      <alignment horizontal="center" vertical="center"/>
    </xf>
    <xf applyAlignment="true" applyBorder="false" applyFill="true" applyFont="true" applyNumberFormat="false" applyProtection="false" borderId="3" fillId="2" fontId="1" numFmtId="0" xfId="0">
      <alignment horizontal="center" vertical="center"/>
    </xf>
    <xf applyAlignment="true" applyBorder="false" applyFill="true" applyFont="true" applyNumberFormat="true" applyProtection="false" borderId="4" fillId="3" fontId="1" numFmtId="165" xfId="0">
      <alignment horizontal="center" vertical="center"/>
    </xf>
    <xf applyAlignment="true" applyBorder="false" applyFill="true" applyFont="true" applyNumberFormat="true" applyProtection="false" borderId="1" fillId="3" fontId="1" numFmtId="166" xfId="0">
      <alignment horizontal="center" vertical="center"/>
    </xf>
    <xf applyAlignment="true" applyBorder="false" applyFill="true" applyFont="true" applyNumberFormat="true" applyProtection="false" borderId="1" fillId="3" fontId="1" numFmtId="167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5" fillId="3" fontId="1" numFmtId="0" xfId="0">
      <alignment horizontal="center" vertical="center"/>
    </xf>
    <xf applyAlignment="true" applyBorder="false" applyFill="true" applyFont="true" applyNumberFormat="false" applyProtection="false" borderId="1" fillId="5" fontId="1" numFmtId="0" xfId="0">
      <alignment horizontal="center" vertical="center"/>
    </xf>
    <xf applyAlignment="true" applyBorder="false" applyFill="true" applyFont="true" applyNumberFormat="false" applyProtection="false" borderId="6" fillId="6" fontId="1" numFmtId="0" xfId="0">
      <alignment horizontal="center" vertical="center"/>
    </xf>
    <xf applyAlignment="true" applyBorder="false" applyFill="false" applyFont="true" applyNumberFormat="true" applyProtection="false" borderId="1" fillId="0" fontId="1" numFmtId="168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true" applyFont="true" applyNumberFormat="true" applyProtection="false" borderId="1" fillId="7" fontId="1" numFmtId="168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center"/>
    </xf>
    <xf applyAlignment="true" applyBorder="false" applyFill="true" applyFont="true" applyNumberFormat="true" applyProtection="false" borderId="3" fillId="8" fontId="1" numFmtId="169" xfId="0">
      <alignment horizontal="center" vertical="center"/>
    </xf>
    <xf applyAlignment="true" applyBorder="false" applyFill="false" applyFont="true" applyNumberFormat="true" applyProtection="false" borderId="7" fillId="0" fontId="1" numFmtId="17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true" applyProtection="false" borderId="7" fillId="0" fontId="1" numFmtId="165" xfId="0">
      <alignment horizontal="center" vertical="center"/>
    </xf>
    <xf applyAlignment="true" applyBorder="false" applyFill="false" applyFont="true" applyNumberFormat="true" applyProtection="false" borderId="7" fillId="0" fontId="1" numFmtId="171" xfId="0">
      <alignment horizontal="center" vertical="center"/>
    </xf>
    <xf applyAlignment="true" applyBorder="false" applyFill="false" applyFont="true" applyNumberFormat="true" applyProtection="false" borderId="7" fillId="0" fontId="1" numFmtId="166" xfId="0">
      <alignment horizontal="center" vertical="center"/>
    </xf>
    <xf applyAlignment="true" applyBorder="false" applyFill="false" applyFont="true" applyNumberFormat="true" applyProtection="false" borderId="7" fillId="0" fontId="1" numFmtId="167" xfId="0">
      <alignment horizontal="center" vertical="center"/>
    </xf>
    <xf applyAlignment="true" applyBorder="false" applyFill="false" applyFont="true" applyNumberFormat="true" applyProtection="false" borderId="7" fillId="0" fontId="1" numFmtId="166" xfId="0">
      <alignment horizontal="center" vertical="center"/>
    </xf>
    <xf applyAlignment="true" applyBorder="false" applyFill="false" applyFont="true" applyNumberFormat="true" applyProtection="false" borderId="7" fillId="0" fontId="1" numFmtId="167" xfId="0">
      <alignment horizontal="center" vertical="center"/>
    </xf>
    <xf applyAlignment="true" applyBorder="false" applyFill="false" applyFont="true" applyNumberFormat="true" applyProtection="false" borderId="7" fillId="0" fontId="1" numFmtId="172" xfId="0">
      <alignment horizontal="center" vertical="center"/>
    </xf>
    <xf applyAlignment="true" applyBorder="false" applyFill="false" applyFont="true" applyNumberFormat="true" applyProtection="false" borderId="7" fillId="0" fontId="1" numFmtId="173" xfId="0">
      <alignment horizontal="center" vertical="center"/>
    </xf>
    <xf applyAlignment="true" applyBorder="false" applyFill="false" applyFont="true" applyNumberFormat="true" applyProtection="false" borderId="7" fillId="0" fontId="1" numFmtId="174" xfId="0">
      <alignment horizontal="center" vertical="center"/>
    </xf>
    <xf applyAlignment="true" applyBorder="false" applyFill="false" applyFont="true" applyNumberFormat="true" applyProtection="false" borderId="7" fillId="0" fontId="1" numFmtId="164" xfId="0">
      <alignment horizontal="center" vertical="center"/>
    </xf>
    <xf applyAlignment="true" applyBorder="false" applyFill="false" applyFont="true" applyNumberFormat="true" applyProtection="false" borderId="8" fillId="0" fontId="1" numFmtId="164" xfId="0">
      <alignment horizontal="center"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true" applyFont="true" applyNumberFormat="true" applyProtection="false" borderId="1" fillId="8" fontId="1" numFmtId="168" xfId="0">
      <alignment horizontal="center" vertical="center"/>
    </xf>
    <xf applyAlignment="true" applyBorder="false" applyFill="true" applyFont="true" applyNumberFormat="true" applyProtection="false" borderId="1" fillId="8" fontId="1" numFmtId="168" xfId="0">
      <alignment horizontal="center" vertical="center"/>
    </xf>
    <xf applyAlignment="true" applyBorder="false" applyFill="true" applyFont="true" applyNumberFormat="true" applyProtection="false" borderId="7" fillId="9" fontId="1" numFmtId="170" xfId="0">
      <alignment horizontal="center" vertical="center"/>
    </xf>
    <xf applyAlignment="true" applyBorder="false" applyFill="true" applyFont="true" applyNumberFormat="true" applyProtection="false" borderId="7" fillId="9" fontId="1" numFmtId="167" xfId="0">
      <alignment horizontal="center" vertical="center"/>
    </xf>
    <xf applyAlignment="true" applyBorder="false" applyFill="true" applyFont="true" applyNumberFormat="true" applyProtection="false" borderId="7" fillId="9" fontId="1" numFmtId="171" xfId="0">
      <alignment horizontal="center" vertical="center"/>
    </xf>
    <xf applyAlignment="true" applyBorder="false" applyFill="true" applyFont="true" applyNumberFormat="true" applyProtection="false" borderId="7" fillId="9" fontId="1" numFmtId="166" xfId="0">
      <alignment horizontal="center" vertical="center"/>
    </xf>
    <xf applyAlignment="true" applyBorder="false" applyFill="true" applyFont="true" applyNumberFormat="true" applyProtection="false" borderId="7" fillId="9" fontId="1" numFmtId="173" xfId="0">
      <alignment horizontal="center" vertical="center"/>
    </xf>
    <xf applyAlignment="true" applyBorder="false" applyFill="true" applyFont="true" applyNumberFormat="true" applyProtection="false" borderId="7" fillId="9" fontId="1" numFmtId="174" xfId="0">
      <alignment horizontal="center" vertical="center"/>
    </xf>
    <xf applyAlignment="true" applyBorder="false" applyFill="true" applyFont="true" applyNumberFormat="true" applyProtection="false" borderId="7" fillId="9" fontId="1" numFmtId="172" xfId="0">
      <alignment horizontal="center" vertical="center"/>
    </xf>
    <xf applyAlignment="true" applyBorder="false" applyFill="true" applyFont="true" applyNumberFormat="true" applyProtection="false" borderId="7" fillId="9" fontId="1" numFmtId="164" xfId="0">
      <alignment horizontal="center" vertical="center"/>
    </xf>
    <xf applyAlignment="true" applyBorder="false" applyFill="true" applyFont="true" applyNumberFormat="true" applyProtection="false" borderId="8" fillId="9" fontId="1" numFmtId="164" xfId="0">
      <alignment horizontal="center" vertical="center"/>
    </xf>
    <xf applyAlignment="true" applyBorder="false" applyFill="true" applyFont="true" applyNumberFormat="true" applyProtection="false" borderId="1" fillId="9" fontId="1" numFmtId="164" xfId="0">
      <alignment horizontal="center" vertical="center"/>
    </xf>
    <xf applyAlignment="true" applyBorder="false" applyFill="true" applyFont="true" applyNumberFormat="false" applyProtection="false" borderId="1" fillId="9" fontId="1" numFmtId="0" xfId="0">
      <alignment horizontal="center" vertical="center"/>
    </xf>
    <xf applyAlignment="true" applyBorder="false" applyFill="true" applyFont="true" applyNumberFormat="true" applyProtection="false" borderId="1" fillId="9" fontId="1" numFmtId="168" xfId="0">
      <alignment horizontal="center" vertical="center"/>
    </xf>
    <xf applyAlignment="true" applyBorder="false" applyFill="false" applyFont="true" applyNumberFormat="true" applyProtection="false" borderId="7" fillId="0" fontId="1" numFmtId="174" xfId="0">
      <alignment horizontal="center" vertical="center"/>
    </xf>
    <xf applyAlignment="true" applyBorder="false" applyFill="true" applyFont="true" applyNumberFormat="true" applyProtection="false" borderId="1" fillId="8" fontId="1" numFmtId="168" xfId="0">
      <alignment horizontal="center" vertical="center"/>
    </xf>
    <xf applyAlignment="true" applyBorder="false" applyFill="true" applyFont="true" applyNumberFormat="true" applyProtection="false" borderId="3" fillId="8" fontId="1" numFmtId="168" xfId="0">
      <alignment horizontal="center" vertical="center"/>
    </xf>
    <xf applyAlignment="true" applyBorder="false" applyFill="true" applyFont="true" applyNumberFormat="true" applyProtection="false" borderId="9" fillId="8" fontId="1" numFmtId="168" xfId="0">
      <alignment horizontal="center" vertical="center"/>
    </xf>
    <xf applyAlignment="true" applyBorder="false" applyFill="true" applyFont="true" applyNumberFormat="true" applyProtection="false" borderId="10" fillId="8" fontId="1" numFmtId="168" xfId="0">
      <alignment horizontal="center" vertical="center"/>
    </xf>
    <xf applyAlignment="true" applyBorder="false" applyFill="true" applyFont="true" applyNumberFormat="true" applyProtection="false" borderId="6" fillId="9" fontId="1" numFmtId="168" xfId="0">
      <alignment horizontal="center" vertical="center"/>
    </xf>
    <xf applyAlignment="true" applyBorder="false" applyFill="true" applyFont="true" applyNumberFormat="false" applyProtection="false" borderId="7" fillId="10" fontId="3" numFmtId="0" xfId="0">
      <alignment horizontal="center" vertical="center"/>
    </xf>
    <xf applyAlignment="true" applyBorder="false" applyFill="true" applyFont="true" applyNumberFormat="true" applyProtection="false" borderId="7" fillId="10" fontId="3" numFmtId="167" xfId="0">
      <alignment horizontal="center" vertical="center"/>
    </xf>
    <xf applyAlignment="true" applyBorder="false" applyFill="true" applyFont="true" applyNumberFormat="true" applyProtection="false" borderId="7" fillId="10" fontId="3" numFmtId="171" xfId="0">
      <alignment horizontal="center" vertical="center"/>
    </xf>
    <xf applyAlignment="true" applyBorder="false" applyFill="true" applyFont="true" applyNumberFormat="true" applyProtection="false" borderId="7" fillId="10" fontId="3" numFmtId="166" xfId="0">
      <alignment horizontal="center" vertical="center"/>
    </xf>
    <xf applyAlignment="true" applyBorder="false" applyFill="true" applyFont="true" applyNumberFormat="true" applyProtection="false" borderId="7" fillId="10" fontId="3" numFmtId="173" xfId="0">
      <alignment horizontal="center" vertical="center"/>
    </xf>
    <xf applyAlignment="true" applyBorder="false" applyFill="true" applyFont="true" applyNumberFormat="true" applyProtection="false" borderId="7" fillId="10" fontId="1" numFmtId="174" xfId="0">
      <alignment horizontal="center" vertical="center"/>
    </xf>
    <xf applyAlignment="true" applyBorder="false" applyFill="true" applyFont="true" applyNumberFormat="true" applyProtection="false" borderId="7" fillId="10" fontId="1" numFmtId="172" xfId="0">
      <alignment horizontal="center" vertical="center"/>
    </xf>
    <xf applyAlignment="true" applyBorder="false" applyFill="true" applyFont="true" applyNumberFormat="true" applyProtection="false" borderId="7" fillId="10" fontId="1" numFmtId="164" xfId="0">
      <alignment horizontal="center" vertical="center"/>
    </xf>
    <xf applyAlignment="true" applyBorder="false" applyFill="true" applyFont="true" applyNumberFormat="true" applyProtection="false" borderId="5" fillId="10" fontId="1" numFmtId="164" xfId="0">
      <alignment horizontal="center" vertical="center"/>
    </xf>
    <xf applyAlignment="true" applyBorder="false" applyFill="true" applyFont="true" applyNumberFormat="true" applyProtection="false" borderId="2" fillId="10" fontId="3" numFmtId="164" xfId="0">
      <alignment horizontal="center" vertical="center"/>
    </xf>
    <xf applyAlignment="true" applyBorder="false" applyFill="true" applyFont="true" applyNumberFormat="false" applyProtection="false" borderId="2" fillId="10" fontId="1" numFmtId="0" xfId="0">
      <alignment horizontal="center" vertical="center"/>
    </xf>
    <xf applyAlignment="true" applyBorder="false" applyFill="true" applyFont="true" applyNumberFormat="true" applyProtection="false" borderId="11" fillId="10" fontId="3" numFmtId="168" xfId="0">
      <alignment horizontal="center" vertical="center"/>
    </xf>
    <xf applyAlignment="true" applyBorder="false" applyFill="true" applyFont="true" applyNumberFormat="true" applyProtection="false" borderId="12" fillId="9" fontId="1" numFmtId="172" xfId="0">
      <alignment horizontal="center" vertical="center"/>
    </xf>
    <xf applyAlignment="true" applyBorder="false" applyFill="true" applyFont="true" applyNumberFormat="true" applyProtection="false" borderId="12" fillId="9" fontId="1" numFmtId="164" xfId="0">
      <alignment horizontal="center" vertical="center"/>
    </xf>
    <xf applyAlignment="true" applyBorder="false" applyFill="true" applyFont="true" applyNumberFormat="true" applyProtection="false" borderId="5" fillId="9" fontId="1" numFmtId="164" xfId="0">
      <alignment horizontal="center" vertical="center"/>
    </xf>
    <xf applyAlignment="true" applyBorder="false" applyFill="true" applyFont="true" applyNumberFormat="true" applyProtection="false" borderId="2" fillId="9" fontId="1" numFmtId="164" xfId="0">
      <alignment horizontal="center" vertical="center"/>
    </xf>
    <xf applyAlignment="true" applyBorder="false" applyFill="false" applyFont="true" applyNumberFormat="true" applyProtection="false" borderId="13" fillId="0" fontId="1" numFmtId="172" xfId="0">
      <alignment horizontal="center" vertical="center"/>
    </xf>
    <xf applyAlignment="true" applyBorder="false" applyFill="true" applyFont="true" applyNumberFormat="true" applyProtection="false" borderId="10" fillId="8" fontId="1" numFmtId="168" xfId="0">
      <alignment horizontal="center" vertical="center"/>
    </xf>
    <xf applyAlignment="true" applyBorder="false" applyFill="true" applyFont="true" applyNumberFormat="true" applyProtection="false" borderId="13" fillId="9" fontId="1" numFmtId="172" xfId="0">
      <alignment horizontal="center" vertical="center"/>
    </xf>
    <xf applyAlignment="true" applyBorder="false" applyFill="true" applyFont="true" applyNumberFormat="true" applyProtection="false" borderId="13" fillId="10" fontId="1" numFmtId="174" xfId="0">
      <alignment horizontal="center" vertical="center"/>
    </xf>
    <xf applyAlignment="true" applyBorder="false" applyFill="true" applyFont="true" applyNumberFormat="true" applyProtection="false" borderId="7" fillId="10" fontId="3" numFmtId="164" xfId="0">
      <alignment horizontal="center" vertical="center"/>
    </xf>
    <xf applyAlignment="true" applyBorder="false" applyFill="true" applyFont="true" applyNumberFormat="true" applyProtection="false" borderId="5" fillId="10" fontId="3" numFmtId="164" xfId="0">
      <alignment horizontal="center" vertical="center"/>
    </xf>
    <xf applyAlignment="true" applyBorder="false" applyFill="false" applyFont="true" applyNumberFormat="true" applyProtection="false" borderId="4" fillId="0" fontId="1" numFmtId="170" xfId="0">
      <alignment horizontal="center" vertical="center"/>
    </xf>
    <xf applyAlignment="true" applyBorder="false" applyFill="true" applyFont="true" applyNumberFormat="true" applyProtection="false" borderId="7" fillId="9" fontId="1" numFmtId="165" xfId="0">
      <alignment horizontal="center" vertical="center"/>
    </xf>
    <xf applyAlignment="true" applyBorder="false" applyFill="true" applyFont="true" applyNumberFormat="true" applyProtection="false" borderId="7" fillId="10" fontId="3" numFmtId="165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64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75" xfId="0">
      <alignment vertical="center"/>
    </xf>
    <xf applyAlignment="true" applyBorder="false" applyFill="false" applyFont="true" applyNumberFormat="true" applyProtection="false" borderId="0" fillId="0" fontId="4" numFmtId="165" xfId="0">
      <alignment vertical="center"/>
    </xf>
    <xf applyAlignment="true" applyBorder="false" applyFill="true" applyFont="true" applyNumberFormat="false" applyProtection="false" borderId="14" fillId="11" fontId="1" numFmtId="0" xfId="0">
      <alignment horizontal="center" vertical="center"/>
    </xf>
    <xf applyAlignment="true" applyBorder="false" applyFill="true" applyFont="true" applyNumberFormat="false" applyProtection="false" borderId="15" fillId="12" fontId="1" numFmtId="0" xfId="0">
      <alignment horizontal="center" vertical="center"/>
    </xf>
    <xf applyAlignment="true" applyBorder="false" applyFill="true" applyFont="true" applyNumberFormat="true" applyProtection="false" borderId="15" fillId="12" fontId="1" numFmtId="176" xfId="0">
      <alignment horizontal="center" vertical="center"/>
    </xf>
    <xf applyAlignment="true" applyBorder="false" applyFill="true" applyFont="true" applyNumberFormat="false" applyProtection="false" borderId="14" fillId="13" fontId="1" numFmtId="0" xfId="0">
      <alignment horizontal="center" vertical="center"/>
    </xf>
    <xf applyAlignment="true" applyBorder="false" applyFill="true" applyFont="true" applyNumberFormat="false" applyProtection="false" borderId="16" fillId="14" fontId="1" numFmtId="0" xfId="0">
      <alignment horizontal="center" vertical="center"/>
    </xf>
    <xf applyAlignment="true" applyBorder="false" applyFill="true" applyFont="true" applyNumberFormat="false" applyProtection="false" borderId="14" fillId="15" fontId="1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true" applyFont="true" applyNumberFormat="false" applyProtection="false" borderId="15" fillId="11" fontId="1" numFmtId="0" xfId="0">
      <alignment horizontal="center" vertical="center"/>
    </xf>
    <xf applyAlignment="true" applyBorder="false" applyFill="true" applyFont="true" applyNumberFormat="false" applyProtection="false" borderId="16" fillId="11" fontId="1" numFmtId="0" xfId="0">
      <alignment horizontal="center" vertical="center"/>
    </xf>
    <xf applyAlignment="true" applyBorder="false" applyFill="true" applyFont="true" applyNumberFormat="true" applyProtection="false" borderId="17" fillId="12" fontId="1" numFmtId="177" xfId="0">
      <alignment horizontal="center" vertical="center"/>
    </xf>
    <xf applyAlignment="true" applyBorder="false" applyFill="true" applyFont="true" applyNumberFormat="true" applyProtection="false" borderId="14" fillId="12" fontId="1" numFmtId="178" xfId="0">
      <alignment horizontal="center" vertical="center"/>
    </xf>
    <xf applyAlignment="true" applyBorder="false" applyFill="true" applyFont="true" applyNumberFormat="true" applyProtection="false" borderId="14" fillId="12" fontId="1" numFmtId="176" xfId="0">
      <alignment horizontal="center" vertical="center"/>
    </xf>
    <xf applyAlignment="true" applyBorder="false" applyFill="true" applyFont="true" applyNumberFormat="false" applyProtection="false" borderId="14" fillId="12" fontId="1" numFmtId="0" xfId="0">
      <alignment horizontal="center" vertical="center"/>
    </xf>
    <xf applyAlignment="true" applyBorder="false" applyFill="true" applyFont="true" applyNumberFormat="false" applyProtection="false" borderId="18" fillId="12" fontId="1" numFmtId="0" xfId="0">
      <alignment horizontal="center" vertical="center"/>
    </xf>
    <xf applyAlignment="true" applyBorder="false" applyFill="true" applyFont="true" applyNumberFormat="false" applyProtection="false" borderId="14" fillId="14" fontId="1" numFmtId="0" xfId="0">
      <alignment horizontal="center" vertical="center"/>
    </xf>
    <xf applyAlignment="true" applyBorder="false" applyFill="true" applyFont="true" applyNumberFormat="false" applyProtection="false" borderId="19" fillId="15" fontId="1" numFmtId="0" xfId="0">
      <alignment horizontal="center" vertical="center"/>
    </xf>
    <xf applyAlignment="true" applyBorder="false" applyFill="false" applyFont="true" applyNumberFormat="true" applyProtection="false" borderId="14" fillId="0" fontId="1" numFmtId="179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true" applyFont="true" applyNumberFormat="true" applyProtection="false" borderId="14" fillId="16" fontId="1" numFmtId="179" xfId="0">
      <alignment horizontal="center" vertical="center"/>
    </xf>
    <xf applyAlignment="true" applyBorder="false" applyFill="false" applyFont="true" applyNumberFormat="false" applyProtection="false" borderId="16" fillId="0" fontId="1" numFmtId="0" xfId="0">
      <alignment horizontal="center" vertical="center"/>
    </xf>
    <xf applyAlignment="true" applyBorder="false" applyFill="true" applyFont="true" applyNumberFormat="true" applyProtection="false" borderId="14" fillId="17" fontId="1" numFmtId="180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true" applyProtection="false" borderId="19" fillId="0" fontId="1" numFmtId="177" xfId="0">
      <alignment horizontal="center" vertical="center"/>
    </xf>
    <xf applyAlignment="true" applyBorder="false" applyFill="false" applyFont="true" applyNumberFormat="true" applyProtection="false" borderId="19" fillId="0" fontId="1" numFmtId="178" xfId="0">
      <alignment horizontal="center" vertical="center"/>
    </xf>
    <xf applyAlignment="true" applyBorder="false" applyFill="false" applyFont="true" applyNumberFormat="true" applyProtection="false" borderId="17" fillId="0" fontId="1" numFmtId="178" xfId="0">
      <alignment horizontal="center" vertical="center"/>
    </xf>
    <xf applyAlignment="true" applyBorder="false" applyFill="false" applyFont="true" applyNumberFormat="true" applyProtection="false" borderId="20" fillId="0" fontId="1" numFmtId="176" xfId="0">
      <alignment horizontal="center" vertical="center"/>
    </xf>
    <xf applyAlignment="true" applyBorder="false" applyFill="false" applyFont="true" applyNumberFormat="true" applyProtection="false" borderId="20" fillId="0" fontId="1" numFmtId="176" xfId="0">
      <alignment horizontal="center" vertical="center"/>
    </xf>
    <xf applyAlignment="true" applyBorder="false" applyFill="false" applyFont="true" applyNumberFormat="true" applyProtection="false" borderId="14" fillId="0" fontId="1" numFmtId="181" xfId="0">
      <alignment horizontal="center" vertical="center"/>
    </xf>
    <xf applyAlignment="true" applyBorder="false" applyFill="false" applyFont="true" applyNumberFormat="true" applyProtection="false" borderId="14" fillId="0" fontId="1" numFmtId="182" xfId="0">
      <alignment horizontal="center" vertical="center"/>
    </xf>
    <xf applyAlignment="true" applyBorder="false" applyFill="false" applyFont="true" applyNumberFormat="true" applyProtection="false" borderId="14" fillId="0" fontId="1" numFmtId="183" xfId="0">
      <alignment horizontal="center" vertical="center"/>
    </xf>
    <xf applyAlignment="true" applyBorder="false" applyFill="false" applyFont="true" applyNumberFormat="true" applyProtection="false" borderId="14" fillId="0" fontId="1" numFmtId="184" xfId="0">
      <alignment horizontal="center" vertical="center"/>
    </xf>
    <xf applyAlignment="true" applyBorder="false" applyFill="false" applyFont="true" applyNumberFormat="true" applyProtection="false" borderId="14" fillId="0" fontId="1" numFmtId="184" xfId="0">
      <alignment horizontal="center" vertical="center"/>
    </xf>
    <xf applyAlignment="true" applyBorder="false" applyFill="false" applyFont="true" applyNumberFormat="true" applyProtection="false" borderId="21" fillId="0" fontId="1" numFmtId="181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true" applyFont="true" applyNumberFormat="true" applyProtection="false" borderId="14" fillId="17" fontId="1" numFmtId="179" xfId="0">
      <alignment horizontal="center" vertical="center"/>
    </xf>
    <xf applyAlignment="true" applyBorder="false" applyFill="true" applyFont="true" applyNumberFormat="true" applyProtection="false" borderId="14" fillId="17" fontId="1" numFmtId="179" xfId="0">
      <alignment horizontal="center" vertical="center"/>
    </xf>
    <xf applyAlignment="true" applyBorder="false" applyFill="true" applyFont="true" applyNumberFormat="true" applyProtection="false" borderId="14" fillId="18" fontId="1" numFmtId="185" xfId="0">
      <alignment horizontal="center" vertical="center"/>
    </xf>
    <xf applyAlignment="true" applyBorder="false" applyFill="true" applyFont="true" applyNumberFormat="true" applyProtection="false" borderId="14" fillId="18" fontId="1" numFmtId="176" xfId="0">
      <alignment horizontal="center" vertical="center"/>
    </xf>
    <xf applyAlignment="true" applyBorder="false" applyFill="true" applyFont="true" applyNumberFormat="true" applyProtection="false" borderId="14" fillId="18" fontId="1" numFmtId="181" xfId="0">
      <alignment horizontal="center" vertical="center"/>
    </xf>
    <xf applyAlignment="true" applyBorder="false" applyFill="true" applyFont="true" applyNumberFormat="true" applyProtection="false" borderId="14" fillId="18" fontId="1" numFmtId="182" xfId="0">
      <alignment horizontal="center" vertical="center"/>
    </xf>
    <xf applyAlignment="true" applyBorder="false" applyFill="true" applyFont="true" applyNumberFormat="true" applyProtection="false" borderId="14" fillId="18" fontId="1" numFmtId="183" xfId="0">
      <alignment horizontal="center" vertical="center"/>
    </xf>
    <xf applyAlignment="true" applyBorder="false" applyFill="true" applyFont="true" applyNumberFormat="true" applyProtection="false" borderId="14" fillId="18" fontId="1" numFmtId="184" xfId="0">
      <alignment horizontal="center" vertical="center"/>
    </xf>
    <xf applyAlignment="true" applyBorder="false" applyFill="true" applyFont="true" applyNumberFormat="true" applyProtection="false" borderId="20" fillId="18" fontId="1" numFmtId="184" xfId="0">
      <alignment horizontal="center" vertical="center"/>
    </xf>
    <xf applyAlignment="true" applyBorder="false" applyFill="true" applyFont="true" applyNumberFormat="true" applyProtection="false" borderId="21" fillId="18" fontId="1" numFmtId="181" xfId="0">
      <alignment horizontal="center" vertical="center"/>
    </xf>
    <xf applyAlignment="true" applyBorder="false" applyFill="true" applyFont="true" applyNumberFormat="true" applyProtection="false" borderId="14" fillId="18" fontId="1" numFmtId="184" xfId="0">
      <alignment horizontal="center" vertical="center"/>
    </xf>
    <xf applyAlignment="true" applyBorder="false" applyFill="true" applyFont="true" applyNumberFormat="false" applyProtection="false" borderId="14" fillId="18" fontId="1" numFmtId="0" xfId="0">
      <alignment horizontal="center" vertical="center"/>
    </xf>
    <xf applyAlignment="true" applyBorder="false" applyFill="false" applyFont="true" applyNumberFormat="true" applyProtection="false" borderId="17" fillId="0" fontId="1" numFmtId="177" xfId="0">
      <alignment horizontal="center" vertical="center"/>
    </xf>
    <xf applyAlignment="true" applyBorder="false" applyFill="true" applyFont="true" applyNumberFormat="true" applyProtection="false" borderId="14" fillId="17" fontId="1" numFmtId="179" xfId="0">
      <alignment horizontal="center" vertical="center"/>
    </xf>
    <xf applyAlignment="true" applyBorder="false" applyFill="true" applyFont="true" applyNumberFormat="true" applyProtection="false" borderId="15" fillId="17" fontId="1" numFmtId="179" xfId="0">
      <alignment horizontal="center" vertical="center"/>
    </xf>
    <xf applyAlignment="true" applyBorder="false" applyFill="true" applyFont="true" applyNumberFormat="true" applyProtection="false" borderId="16" fillId="17" fontId="1" numFmtId="179" xfId="0">
      <alignment horizontal="center" vertical="center"/>
    </xf>
    <xf applyAlignment="true" applyBorder="false" applyFill="false" applyFont="true" applyNumberFormat="true" applyProtection="false" borderId="21" fillId="0" fontId="1" numFmtId="179" xfId="0">
      <alignment horizontal="center" vertical="center"/>
    </xf>
    <xf applyAlignment="true" applyBorder="false" applyFill="true" applyFont="true" applyNumberFormat="true" applyProtection="false" borderId="22" fillId="17" fontId="1" numFmtId="179" xfId="0">
      <alignment horizontal="center" vertical="center"/>
    </xf>
    <xf applyAlignment="true" applyBorder="false" applyFill="true" applyFont="true" applyNumberFormat="true" applyProtection="false" borderId="23" fillId="17" fontId="1" numFmtId="179" xfId="0">
      <alignment horizontal="center" vertical="center"/>
    </xf>
    <xf applyAlignment="true" applyBorder="false" applyFill="true" applyFont="true" applyNumberFormat="true" applyProtection="false" borderId="19" fillId="18" fontId="1" numFmtId="176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true" applyFont="true" applyNumberFormat="false" applyProtection="false" borderId="24" fillId="19" fontId="3" numFmtId="0" xfId="0">
      <alignment horizontal="center" vertical="center"/>
    </xf>
    <xf applyAlignment="true" applyBorder="false" applyFill="true" applyFont="true" applyNumberFormat="true" applyProtection="false" borderId="25" fillId="19" fontId="3" numFmtId="176" xfId="0">
      <alignment horizontal="center" vertical="center"/>
    </xf>
    <xf applyAlignment="true" applyBorder="false" applyFill="true" applyFont="true" applyNumberFormat="true" applyProtection="false" borderId="25" fillId="19" fontId="3" numFmtId="181" xfId="0">
      <alignment horizontal="center" vertical="center"/>
    </xf>
    <xf applyAlignment="true" applyBorder="false" applyFill="true" applyFont="true" applyNumberFormat="true" applyProtection="false" borderId="15" fillId="19" fontId="3" numFmtId="182" xfId="0">
      <alignment horizontal="center" vertical="center"/>
    </xf>
    <xf applyAlignment="true" applyBorder="false" applyFill="true" applyFont="true" applyNumberFormat="true" applyProtection="false" borderId="15" fillId="19" fontId="1" numFmtId="183" xfId="0">
      <alignment horizontal="center" vertical="center"/>
    </xf>
    <xf applyAlignment="true" applyBorder="false" applyFill="true" applyFont="true" applyNumberFormat="true" applyProtection="false" borderId="15" fillId="19" fontId="1" numFmtId="181" xfId="0">
      <alignment horizontal="center" vertical="center"/>
    </xf>
    <xf applyAlignment="true" applyBorder="false" applyFill="true" applyFont="true" applyNumberFormat="true" applyProtection="false" borderId="15" fillId="19" fontId="1" numFmtId="184" xfId="0">
      <alignment horizontal="center" vertical="center"/>
    </xf>
    <xf applyAlignment="true" applyBorder="false" applyFill="true" applyFont="true" applyNumberFormat="true" applyProtection="false" borderId="18" fillId="19" fontId="1" numFmtId="184" xfId="0">
      <alignment horizontal="center" vertical="center"/>
    </xf>
    <xf applyAlignment="true" applyBorder="false" applyFill="true" applyFont="true" applyNumberFormat="true" applyProtection="false" borderId="21" fillId="19" fontId="1" numFmtId="181" xfId="0">
      <alignment horizontal="center" vertical="center"/>
    </xf>
    <xf applyAlignment="true" applyBorder="false" applyFill="true" applyFont="true" applyNumberFormat="true" applyProtection="false" borderId="15" fillId="19" fontId="3" numFmtId="184" xfId="0">
      <alignment horizontal="center" vertical="center"/>
    </xf>
    <xf applyAlignment="true" applyBorder="false" applyFill="true" applyFont="true" applyNumberFormat="true" applyProtection="false" borderId="15" fillId="19" fontId="3" numFmtId="184" xfId="0">
      <alignment horizontal="center" vertical="center"/>
    </xf>
    <xf applyAlignment="true" applyBorder="false" applyFill="true" applyFont="true" applyNumberFormat="false" applyProtection="false" borderId="15" fillId="19" fontId="1" numFmtId="0" xfId="0">
      <alignment horizontal="center" vertical="center"/>
    </xf>
    <xf applyAlignment="true" applyBorder="false" applyFill="true" applyFont="true" applyNumberFormat="true" applyProtection="false" borderId="14" fillId="17" fontId="1" numFmtId="180" xfId="0">
      <alignment horizontal="center" vertical="center"/>
    </xf>
    <xf applyAlignment="true" applyBorder="false" applyFill="false" applyFont="true" applyNumberFormat="true" applyProtection="false" borderId="19" fillId="0" fontId="1" numFmtId="186" xfId="0">
      <alignment horizontal="center" vertical="center"/>
    </xf>
    <xf applyAlignment="true" applyBorder="false" applyFill="true" applyFont="true" applyNumberFormat="true" applyProtection="false" borderId="14" fillId="18" fontId="1" numFmtId="186" xfId="0">
      <alignment horizontal="center" vertical="center"/>
    </xf>
    <xf applyAlignment="true" applyBorder="false" applyFill="true" applyFont="true" applyNumberFormat="true" applyProtection="false" borderId="14" fillId="18" fontId="1" numFmtId="178" xfId="0">
      <alignment horizontal="center" vertical="center"/>
    </xf>
    <xf applyAlignment="true" applyBorder="false" applyFill="true" applyFont="true" applyNumberFormat="true" applyProtection="false" borderId="14" fillId="18" fontId="1" numFmtId="179" xfId="0">
      <alignment horizontal="center" vertical="center"/>
    </xf>
    <xf applyAlignment="true" applyBorder="false" applyFill="false" applyFont="true" applyNumberFormat="true" applyProtection="false" borderId="17" fillId="0" fontId="1" numFmtId="186" xfId="0">
      <alignment horizontal="center" vertical="center"/>
    </xf>
    <xf applyAlignment="true" applyBorder="false" applyFill="false" applyFont="true" applyNumberFormat="true" applyProtection="false" borderId="17" fillId="0" fontId="1" numFmtId="186" xfId="0">
      <alignment horizontal="center" vertical="center"/>
    </xf>
    <xf applyAlignment="true" applyBorder="false" applyFill="false" applyFont="true" applyNumberFormat="true" applyProtection="false" borderId="21" fillId="0" fontId="1" numFmtId="179" xfId="0">
      <alignment horizontal="center" vertical="center"/>
    </xf>
    <xf applyAlignment="true" applyBorder="false" applyFill="true" applyFont="true" applyNumberFormat="true" applyProtection="false" borderId="19" fillId="18" fontId="1" numFmtId="179" xfId="0">
      <alignment horizontal="center" vertical="center"/>
    </xf>
    <xf applyAlignment="true" applyBorder="false" applyFill="true" applyFont="true" applyNumberFormat="true" applyProtection="false" borderId="25" fillId="19" fontId="3" numFmtId="186" xfId="0">
      <alignment horizontal="center" vertical="center"/>
    </xf>
    <xf applyAlignment="true" applyBorder="false" applyFill="true" applyFont="true" applyNumberFormat="true" applyProtection="false" borderId="25" fillId="19" fontId="3" numFmtId="178" xfId="0">
      <alignment horizontal="center" vertical="center"/>
    </xf>
    <xf applyAlignment="true" applyBorder="false" applyFill="true" applyFont="true" applyNumberFormat="true" applyProtection="false" borderId="25" fillId="19" fontId="3" numFmtId="179" xfId="0">
      <alignment horizontal="center" vertical="center"/>
    </xf>
    <xf applyAlignment="true" applyBorder="false" applyFill="false" applyFont="true" applyNumberFormat="true" applyProtection="false" borderId="19" fillId="0" fontId="1" numFmtId="186" xfId="0">
      <alignment horizontal="center" vertical="center"/>
    </xf>
    <xf applyAlignment="true" applyBorder="false" applyFill="false" applyFont="true" applyNumberFormat="true" applyProtection="false" borderId="19" fillId="0" fontId="1" numFmtId="178" xfId="0">
      <alignment horizontal="center" vertical="center"/>
    </xf>
    <xf applyAlignment="true" applyBorder="false" applyFill="false" applyFont="true" applyNumberFormat="true" applyProtection="false" borderId="26" fillId="0" fontId="1" numFmtId="185" xfId="0">
      <alignment horizontal="center" vertical="center"/>
    </xf>
    <xf applyAlignment="true" applyBorder="false" applyFill="false" applyFont="true" applyNumberFormat="false" applyProtection="false" borderId="27" fillId="0" fontId="1" numFmtId="0" xfId="0">
      <alignment horizontal="center" vertical="center"/>
    </xf>
    <xf applyAlignment="true" applyBorder="false" applyFill="false" applyFont="true" applyNumberFormat="true" applyProtection="false" borderId="26" fillId="0" fontId="1" numFmtId="177" xfId="0">
      <alignment horizontal="center" vertical="center"/>
    </xf>
    <xf applyAlignment="true" applyBorder="false" applyFill="false" applyFont="true" applyNumberFormat="true" applyProtection="false" borderId="26" fillId="0" fontId="1" numFmtId="186" xfId="0">
      <alignment horizontal="center" vertical="center"/>
    </xf>
    <xf applyAlignment="true" applyBorder="false" applyFill="false" applyFont="true" applyNumberFormat="true" applyProtection="false" borderId="26" fillId="0" fontId="1" numFmtId="178" xfId="0">
      <alignment horizontal="center" vertical="center"/>
    </xf>
    <xf applyAlignment="true" applyBorder="false" applyFill="false" applyFont="true" applyNumberFormat="true" applyProtection="false" borderId="26" fillId="0" fontId="1" numFmtId="178" xfId="0">
      <alignment horizontal="center" vertical="center"/>
    </xf>
    <xf applyAlignment="true" applyBorder="false" applyFill="false" applyFont="true" applyNumberFormat="true" applyProtection="false" borderId="18" fillId="0" fontId="1" numFmtId="176" xfId="0">
      <alignment horizontal="center" vertical="center"/>
    </xf>
    <xf applyAlignment="true" applyBorder="false" applyFill="false" applyFont="true" applyNumberFormat="true" applyProtection="false" borderId="15" fillId="0" fontId="1" numFmtId="181" xfId="0">
      <alignment horizontal="center" vertical="center"/>
    </xf>
    <xf applyAlignment="true" applyBorder="false" applyFill="false" applyFont="true" applyNumberFormat="true" applyProtection="false" borderId="15" fillId="0" fontId="1" numFmtId="182" xfId="0">
      <alignment horizontal="center" vertical="center"/>
    </xf>
    <xf applyAlignment="true" applyBorder="false" applyFill="false" applyFont="true" applyNumberFormat="true" applyProtection="false" borderId="15" fillId="0" fontId="1" numFmtId="183" xfId="0">
      <alignment horizontal="center" vertical="center"/>
    </xf>
    <xf applyAlignment="true" applyBorder="false" applyFill="false" applyFont="true" applyNumberFormat="true" applyProtection="false" borderId="15" fillId="0" fontId="1" numFmtId="184" xfId="0">
      <alignment horizontal="center" vertical="center"/>
    </xf>
    <xf applyAlignment="true" applyBorder="false" applyFill="true" applyFont="true" applyNumberFormat="true" applyProtection="false" borderId="16" fillId="17" fontId="1" numFmtId="180" xfId="0">
      <alignment horizontal="center" vertical="center"/>
    </xf>
    <xf applyAlignment="true" applyBorder="false" applyFill="false" applyFont="true" applyNumberFormat="true" applyProtection="false" borderId="21" fillId="0" fontId="1" numFmtId="185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true" applyProtection="false" borderId="21" fillId="0" fontId="1" numFmtId="177" xfId="0">
      <alignment horizontal="center" vertical="center"/>
    </xf>
    <xf applyAlignment="true" applyBorder="false" applyFill="false" applyFont="true" applyNumberFormat="true" applyProtection="false" borderId="21" fillId="0" fontId="1" numFmtId="186" xfId="0">
      <alignment horizontal="center" vertical="center"/>
    </xf>
    <xf applyAlignment="true" applyBorder="false" applyFill="false" applyFont="true" applyNumberFormat="true" applyProtection="false" borderId="21" fillId="0" fontId="1" numFmtId="178" xfId="0">
      <alignment horizontal="center" vertical="center"/>
    </xf>
    <xf applyAlignment="true" applyBorder="false" applyFill="false" applyFont="true" applyNumberFormat="true" applyProtection="false" borderId="21" fillId="0" fontId="1" numFmtId="178" xfId="0">
      <alignment horizontal="center" vertical="center"/>
    </xf>
    <xf applyAlignment="true" applyBorder="false" applyFill="false" applyFont="true" applyNumberFormat="true" applyProtection="false" borderId="21" fillId="0" fontId="1" numFmtId="176" xfId="0">
      <alignment horizontal="center" vertical="center"/>
    </xf>
    <xf applyAlignment="true" applyBorder="false" applyFill="false" applyFont="true" applyNumberFormat="true" applyProtection="false" borderId="21" fillId="0" fontId="1" numFmtId="181" xfId="0">
      <alignment horizontal="center" vertical="center"/>
    </xf>
    <xf applyAlignment="true" applyBorder="false" applyFill="false" applyFont="true" applyNumberFormat="true" applyProtection="false" borderId="21" fillId="0" fontId="1" numFmtId="182" xfId="0">
      <alignment horizontal="center" vertical="center"/>
    </xf>
    <xf applyAlignment="true" applyBorder="false" applyFill="false" applyFont="true" applyNumberFormat="true" applyProtection="false" borderId="21" fillId="0" fontId="1" numFmtId="183" xfId="0">
      <alignment horizontal="center" vertical="center"/>
    </xf>
    <xf applyAlignment="true" applyBorder="false" applyFill="false" applyFont="true" applyNumberFormat="true" applyProtection="false" borderId="21" fillId="0" fontId="1" numFmtId="184" xfId="0">
      <alignment horizontal="center" vertical="center"/>
    </xf>
    <xf applyAlignment="true" applyBorder="false" applyFill="false" applyFont="true" applyNumberFormat="true" applyProtection="false" borderId="20" fillId="0" fontId="1" numFmtId="184" xfId="0">
      <alignment horizontal="center" vertical="center"/>
    </xf>
    <xf applyAlignment="true" applyBorder="false" applyFill="true" applyFont="true" applyNumberFormat="true" applyProtection="false" borderId="21" fillId="18" fontId="1" numFmtId="185" xfId="0">
      <alignment horizontal="center" vertical="center"/>
    </xf>
    <xf applyAlignment="true" applyBorder="false" applyFill="true" applyFont="true" applyNumberFormat="true" applyProtection="false" borderId="21" fillId="18" fontId="1" numFmtId="176" xfId="0">
      <alignment horizontal="center" vertical="center"/>
    </xf>
    <xf applyAlignment="true" applyBorder="false" applyFill="true" applyFont="true" applyNumberFormat="true" applyProtection="false" borderId="21" fillId="18" fontId="1" numFmtId="186" xfId="0">
      <alignment horizontal="center" vertical="center"/>
    </xf>
    <xf applyAlignment="true" applyBorder="false" applyFill="true" applyFont="true" applyNumberFormat="true" applyProtection="false" borderId="21" fillId="18" fontId="1" numFmtId="178" xfId="0">
      <alignment horizontal="center" vertical="center"/>
    </xf>
    <xf applyAlignment="true" applyBorder="false" applyFill="true" applyFont="true" applyNumberFormat="true" applyProtection="false" borderId="21" fillId="18" fontId="1" numFmtId="181" xfId="0">
      <alignment horizontal="center" vertical="center"/>
    </xf>
    <xf applyAlignment="true" applyBorder="false" applyFill="true" applyFont="true" applyNumberFormat="true" applyProtection="false" borderId="21" fillId="18" fontId="1" numFmtId="182" xfId="0">
      <alignment horizontal="center" vertical="center"/>
    </xf>
    <xf applyAlignment="true" applyBorder="false" applyFill="true" applyFont="true" applyNumberFormat="true" applyProtection="false" borderId="21" fillId="18" fontId="1" numFmtId="183" xfId="0">
      <alignment horizontal="center" vertical="center"/>
    </xf>
    <xf applyAlignment="true" applyBorder="false" applyFill="true" applyFont="true" applyNumberFormat="true" applyProtection="false" borderId="21" fillId="18" fontId="1" numFmtId="184" xfId="0">
      <alignment horizontal="center" vertical="center"/>
    </xf>
    <xf applyAlignment="true" applyBorder="false" applyFill="true" applyFont="true" applyNumberFormat="true" applyProtection="false" borderId="20" fillId="18" fontId="1" numFmtId="184" xfId="0">
      <alignment horizontal="center" vertical="center"/>
    </xf>
    <xf applyAlignment="true" applyBorder="false" applyFill="true" applyFont="true" applyNumberFormat="false" applyProtection="false" borderId="21" fillId="19" fontId="3" numFmtId="0" xfId="0">
      <alignment horizontal="center" vertical="center"/>
    </xf>
    <xf applyAlignment="true" applyBorder="false" applyFill="true" applyFont="true" applyNumberFormat="true" applyProtection="false" borderId="21" fillId="19" fontId="3" numFmtId="176" xfId="0">
      <alignment horizontal="center" vertical="center"/>
    </xf>
    <xf applyAlignment="true" applyBorder="false" applyFill="true" applyFont="true" applyNumberFormat="true" applyProtection="false" borderId="21" fillId="19" fontId="3" numFmtId="186" xfId="0">
      <alignment horizontal="center" vertical="center"/>
    </xf>
    <xf applyAlignment="true" applyBorder="false" applyFill="true" applyFont="true" applyNumberFormat="true" applyProtection="false" borderId="21" fillId="19" fontId="3" numFmtId="178" xfId="0">
      <alignment horizontal="center" vertical="center"/>
    </xf>
    <xf applyAlignment="true" applyBorder="false" applyFill="true" applyFont="true" applyNumberFormat="true" applyProtection="false" borderId="21" fillId="19" fontId="3" numFmtId="181" xfId="0">
      <alignment horizontal="center" vertical="center"/>
    </xf>
    <xf applyAlignment="true" applyBorder="false" applyFill="true" applyFont="true" applyNumberFormat="true" applyProtection="false" borderId="21" fillId="19" fontId="3" numFmtId="182" xfId="0">
      <alignment horizontal="center" vertical="center"/>
    </xf>
    <xf applyAlignment="true" applyBorder="false" applyFill="true" applyFont="true" applyNumberFormat="true" applyProtection="false" borderId="21" fillId="19" fontId="1" numFmtId="183" xfId="0">
      <alignment horizontal="center" vertical="center"/>
    </xf>
    <xf applyAlignment="true" applyBorder="false" applyFill="true" applyFont="true" applyNumberFormat="true" applyProtection="false" borderId="21" fillId="19" fontId="1" numFmtId="181" xfId="0">
      <alignment horizontal="center" vertical="center"/>
    </xf>
    <xf applyAlignment="true" applyBorder="false" applyFill="true" applyFont="true" applyNumberFormat="true" applyProtection="false" borderId="21" fillId="19" fontId="1" numFmtId="184" xfId="0">
      <alignment horizontal="center" vertical="center"/>
    </xf>
    <xf applyAlignment="true" applyBorder="false" applyFill="true" applyFont="true" applyNumberFormat="true" applyProtection="false" borderId="18" fillId="19" fontId="1" numFmtId="184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true" applyFont="true" applyNumberFormat="true" applyProtection="false" borderId="23" fillId="17" fontId="1" numFmtId="179" xfId="0">
      <alignment horizontal="center" vertical="center"/>
    </xf>
    <xf applyAlignment="true" applyBorder="false" applyFill="false" applyFont="true" applyNumberFormat="true" applyProtection="false" borderId="21" fillId="0" fontId="1" numFmtId="176" xfId="0">
      <alignment horizontal="center" vertical="center"/>
    </xf>
    <xf applyAlignment="true" applyBorder="false" applyFill="false" applyFont="true" applyNumberFormat="true" applyProtection="false" borderId="21" fillId="0" fontId="1" numFmtId="187" xfId="0">
      <alignment horizontal="center" vertical="center"/>
    </xf>
    <xf applyAlignment="true" applyBorder="false" applyFill="false" applyFont="true" applyNumberFormat="true" applyProtection="false" borderId="21" fillId="0" fontId="1" numFmtId="185" xfId="0">
      <alignment horizontal="center" vertical="center"/>
    </xf>
    <xf applyAlignment="true" applyBorder="false" applyFill="false" applyFont="true" applyNumberFormat="true" applyProtection="false" borderId="21" fillId="0" fontId="1" numFmtId="177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76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calcChain.xml" Type="http://schemas.openxmlformats.org/officeDocument/2006/relationships/calcChain"></Relationship><Relationship Id="rId8" Target="metadata.xml" Type="http://schemas.openxmlformats.org/officeDocument/2006/relationships/sheetMetadata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1" min="31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9" min="9" style="0" width="11.211267605633802"/>
  </cols>
  <sheetData>
    <row r="1">
      <c r="A1" s="1"/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2</v>
      </c>
      <c r="R1" s="3"/>
      <c r="S1" s="3"/>
      <c r="T1" s="3"/>
      <c r="U1" s="3"/>
      <c r="V1" s="3"/>
      <c r="W1" s="3"/>
      <c r="X1" s="3"/>
      <c r="Y1" s="4"/>
      <c r="Z1" s="5" t="s">
        <v>3</v>
      </c>
      <c r="AA1" s="5"/>
      <c r="AB1" s="5"/>
      <c r="AC1" s="5"/>
      <c r="AD1" s="6"/>
      <c r="AE1" s="6"/>
      <c r="AF1" s="7"/>
      <c r="AG1" s="7"/>
      <c r="AH1" s="7"/>
      <c r="AI1" s="7"/>
      <c r="AJ1" s="7"/>
      <c r="AK1" s="7"/>
      <c r="AL1" s="7"/>
      <c r="AM1" s="7"/>
      <c r="AN1" s="8"/>
      <c r="AO1" s="7"/>
      <c r="AP1" s="7"/>
    </row>
    <row hidden="true" r="2">
      <c r="A2" s="9" t="s">
        <v>4</v>
      </c>
      <c r="B2" s="1" t="s">
        <v>5</v>
      </c>
      <c r="C2" s="10" t="s">
        <v>6</v>
      </c>
      <c r="D2" s="11" t="s">
        <v>7</v>
      </c>
      <c r="E2" s="12" t="s">
        <v>8</v>
      </c>
      <c r="F2" s="12" t="s">
        <v>9</v>
      </c>
      <c r="G2" s="12" t="s">
        <v>10</v>
      </c>
      <c r="H2" s="12" t="s">
        <v>11</v>
      </c>
      <c r="I2" s="13" t="s">
        <v>12</v>
      </c>
      <c r="J2" s="12" t="s">
        <v>13</v>
      </c>
      <c r="K2" s="14" t="s">
        <v>14</v>
      </c>
      <c r="L2" s="15" t="s">
        <v>15</v>
      </c>
      <c r="M2" s="14" t="s">
        <v>16</v>
      </c>
      <c r="N2" s="14" t="s">
        <v>17</v>
      </c>
      <c r="O2" s="14" t="s">
        <v>18</v>
      </c>
      <c r="P2" s="14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26</v>
      </c>
      <c r="X2" s="3" t="s">
        <v>27</v>
      </c>
      <c r="Y2" s="4" t="s">
        <v>28</v>
      </c>
      <c r="Z2" s="16" t="s">
        <v>29</v>
      </c>
      <c r="AA2" s="16" t="s">
        <v>30</v>
      </c>
      <c r="AB2" s="16" t="s">
        <v>31</v>
      </c>
      <c r="AC2" s="16" t="s">
        <v>32</v>
      </c>
      <c r="AD2" s="17" t="s">
        <v>33</v>
      </c>
      <c r="AE2" s="17" t="s">
        <v>34</v>
      </c>
      <c r="AF2" s="18" t="s">
        <v>35</v>
      </c>
      <c r="AG2" s="18" t="s">
        <v>36</v>
      </c>
      <c r="AH2" s="18" t="s">
        <v>37</v>
      </c>
      <c r="AI2" s="19" t="s">
        <v>38</v>
      </c>
      <c r="AJ2" s="19" t="s">
        <v>39</v>
      </c>
      <c r="AK2" s="20" t="s">
        <v>40</v>
      </c>
      <c r="AL2" s="19" t="s">
        <v>41</v>
      </c>
      <c r="AM2" s="19" t="s">
        <v>42</v>
      </c>
      <c r="AN2" s="21" t="s">
        <v>43</v>
      </c>
      <c r="AO2" s="19" t="s">
        <v>44</v>
      </c>
      <c r="AP2" s="19" t="s">
        <v>45</v>
      </c>
    </row>
    <row r="3">
      <c r="A3" s="22">
        <v>46296</v>
      </c>
      <c r="B3" s="23" t="s">
        <v>46</v>
      </c>
      <c r="C3" s="24" t="s">
        <v>47</v>
      </c>
      <c r="D3" s="25">
        <v>232.1</v>
      </c>
      <c r="E3" s="26">
        <v>0</v>
      </c>
      <c r="F3" s="26">
        <v>0</v>
      </c>
      <c r="G3" s="27">
        <v>0</v>
      </c>
      <c r="H3" s="26">
        <v>0</v>
      </c>
      <c r="I3" s="28">
        <v>0</v>
      </c>
      <c r="J3" s="29">
        <f t="shared" ref="J3:J5" si="134">F3+H3</f>
      </c>
      <c r="K3" s="30">
        <f t="shared" ref="K3:K5" si="164">G3+I3</f>
      </c>
      <c r="L3" s="31">
        <f t="shared" ref="L3:L137" si="0">D3/AJ3</f>
      </c>
      <c r="M3" s="31">
        <f t="shared" ref="M3:M137" si="100">K3/J3</f>
      </c>
      <c r="N3" s="31">
        <f t="shared" ref="N3:N137" si="132">D3/J3</f>
      </c>
      <c r="O3" s="32">
        <f t="shared" ref="O3:O137" si="96">K3/D3</f>
      </c>
      <c r="P3" s="32">
        <f t="shared" ref="P3:P137" si="98">K3/(D3+(AP3)*300)</f>
      </c>
      <c r="Q3" s="33">
        <f t="shared" ref="Q3:Q8" si="32">D3/AH3</f>
      </c>
      <c r="R3" s="31">
        <f t="shared" ref="R3:R8" si="64">D3/AI3</f>
      </c>
      <c r="S3" s="31">
        <f t="shared" ref="S3:S8" si="194">D3/AJ3</f>
      </c>
      <c r="T3" s="34">
        <f t="shared" ref="T3:T8" si="1">AI3/AH3</f>
      </c>
      <c r="U3" s="35">
        <f t="shared" ref="U3:U8" si="17">AJ3/AI3</f>
      </c>
      <c r="V3" s="36">
        <f t="shared" ref="V3:V137" si="101">AG3/AF3</f>
      </c>
      <c r="W3" s="36">
        <f t="shared" ref="W3:W137" si="133">AJ3/AG3</f>
      </c>
      <c r="X3" s="31">
        <f t="shared" ref="X3:X137" si="97">D3/AF3*1000</f>
      </c>
      <c r="Y3" s="36">
        <f t="shared" ref="Y3:Y137" si="99">D3/AG3</f>
      </c>
      <c r="Z3" s="36">
        <f t="shared" ref="Z3:Z8" si="48">AK3/AH3</f>
      </c>
      <c r="AA3" s="36">
        <f t="shared" ref="AA3:AA8" si="80">AL3/AH3</f>
      </c>
      <c r="AB3" s="36">
        <f t="shared" ref="AB3:AB8" si="210">AM3/AH3</f>
      </c>
      <c r="AC3" s="36">
        <f t="shared" ref="AC3:AC137" si="31">AN3/AH3</f>
      </c>
      <c r="AD3" s="37" t="s">
        <v>48</v>
      </c>
      <c r="AE3" s="37" t="s">
        <v>49</v>
      </c>
      <c r="AF3" s="38">
        <v>2518</v>
      </c>
      <c r="AG3" s="38">
        <v>535</v>
      </c>
      <c r="AH3" s="38">
        <v>2893</v>
      </c>
      <c r="AI3" s="38">
        <v>22</v>
      </c>
      <c r="AJ3" s="39">
        <v>0</v>
      </c>
      <c r="AK3" s="38">
        <v>189</v>
      </c>
      <c r="AL3" s="38">
        <v>10</v>
      </c>
      <c r="AM3" s="38">
        <v>3</v>
      </c>
      <c r="AN3" s="38">
        <v>0</v>
      </c>
      <c r="AO3" s="39">
        <v>0</v>
      </c>
      <c r="AP3" s="38">
        <f t="shared" ref="AP3:AP5" si="102">COUNT(AK3)</f>
      </c>
    </row>
    <row r="4">
      <c r="A4" s="22"/>
      <c r="B4" s="23" t="s">
        <v>46</v>
      </c>
      <c r="C4" s="24" t="s">
        <v>50</v>
      </c>
      <c r="D4" s="25">
        <v>566.815</v>
      </c>
      <c r="E4" s="26">
        <v>0</v>
      </c>
      <c r="F4" s="26">
        <v>0</v>
      </c>
      <c r="G4" s="27">
        <v>0</v>
      </c>
      <c r="H4" s="26">
        <v>0</v>
      </c>
      <c r="I4" s="28">
        <v>0</v>
      </c>
      <c r="J4" s="29">
        <f t="shared" si="134"/>
      </c>
      <c r="K4" s="30">
        <f t="shared" si="164"/>
      </c>
      <c r="L4" s="31">
        <f t="shared" si="0"/>
      </c>
      <c r="M4" s="31">
        <f t="shared" si="100"/>
      </c>
      <c r="N4" s="31">
        <f t="shared" si="132"/>
      </c>
      <c r="O4" s="32">
        <f t="shared" si="96"/>
      </c>
      <c r="P4" s="32">
        <f t="shared" si="98"/>
      </c>
      <c r="Q4" s="33">
        <f t="shared" si="32"/>
      </c>
      <c r="R4" s="31">
        <f t="shared" si="64"/>
      </c>
      <c r="S4" s="31">
        <f t="shared" si="194"/>
      </c>
      <c r="T4" s="34">
        <f t="shared" si="1"/>
      </c>
      <c r="U4" s="35">
        <f t="shared" si="17"/>
      </c>
      <c r="V4" s="36">
        <f t="shared" si="101"/>
      </c>
      <c r="W4" s="36">
        <f t="shared" si="133"/>
      </c>
      <c r="X4" s="31">
        <f t="shared" si="97"/>
      </c>
      <c r="Y4" s="36">
        <f t="shared" si="99"/>
      </c>
      <c r="Z4" s="36">
        <f t="shared" si="48"/>
      </c>
      <c r="AA4" s="36">
        <f t="shared" si="80"/>
      </c>
      <c r="AB4" s="36">
        <f t="shared" si="210"/>
      </c>
      <c r="AC4" s="36">
        <f t="shared" si="31"/>
      </c>
      <c r="AD4" s="37" t="s">
        <v>48</v>
      </c>
      <c r="AE4" s="37" t="s">
        <v>49</v>
      </c>
      <c r="AF4" s="38">
        <v>9849</v>
      </c>
      <c r="AG4" s="38">
        <v>1643</v>
      </c>
      <c r="AH4" s="38">
        <v>19758</v>
      </c>
      <c r="AI4" s="38">
        <v>118</v>
      </c>
      <c r="AJ4" s="39">
        <v>0</v>
      </c>
      <c r="AK4" s="38">
        <v>1071</v>
      </c>
      <c r="AL4" s="38">
        <v>49</v>
      </c>
      <c r="AM4" s="38">
        <v>13</v>
      </c>
      <c r="AN4" s="38">
        <v>2</v>
      </c>
      <c r="AO4" s="39">
        <v>0</v>
      </c>
      <c r="AP4" s="38">
        <f t="shared" si="102"/>
      </c>
    </row>
    <row r="5">
      <c r="A5" s="22"/>
      <c r="B5" s="23" t="s">
        <v>46</v>
      </c>
      <c r="C5" s="24" t="s">
        <v>51</v>
      </c>
      <c r="D5" s="25">
        <v>886.239</v>
      </c>
      <c r="E5" s="26">
        <v>1</v>
      </c>
      <c r="F5" s="26">
        <v>0</v>
      </c>
      <c r="G5" s="27">
        <v>0</v>
      </c>
      <c r="H5" s="26">
        <v>0</v>
      </c>
      <c r="I5" s="28">
        <v>0</v>
      </c>
      <c r="J5" s="29">
        <f t="shared" si="134"/>
      </c>
      <c r="K5" s="30">
        <f t="shared" si="164"/>
      </c>
      <c r="L5" s="31">
        <f t="shared" si="0"/>
      </c>
      <c r="M5" s="31">
        <f t="shared" si="100"/>
      </c>
      <c r="N5" s="31">
        <f t="shared" si="132"/>
      </c>
      <c r="O5" s="32">
        <f t="shared" si="96"/>
      </c>
      <c r="P5" s="32">
        <f t="shared" si="98"/>
      </c>
      <c r="Q5" s="33">
        <f t="shared" si="32"/>
      </c>
      <c r="R5" s="31">
        <f t="shared" si="64"/>
      </c>
      <c r="S5" s="31">
        <f t="shared" si="194"/>
      </c>
      <c r="T5" s="34">
        <f t="shared" si="1"/>
      </c>
      <c r="U5" s="35">
        <f t="shared" si="17"/>
      </c>
      <c r="V5" s="36">
        <f t="shared" si="101"/>
      </c>
      <c r="W5" s="36">
        <f t="shared" si="133"/>
      </c>
      <c r="X5" s="31">
        <f t="shared" si="97"/>
      </c>
      <c r="Y5" s="36">
        <f t="shared" si="99"/>
      </c>
      <c r="Z5" s="36">
        <f t="shared" si="48"/>
      </c>
      <c r="AA5" s="36">
        <f t="shared" si="80"/>
      </c>
      <c r="AB5" s="36">
        <f t="shared" si="210"/>
      </c>
      <c r="AC5" s="36">
        <f t="shared" si="31"/>
      </c>
      <c r="AD5" s="37" t="s">
        <v>48</v>
      </c>
      <c r="AE5" s="37" t="s">
        <v>49</v>
      </c>
      <c r="AF5" s="38">
        <v>13997</v>
      </c>
      <c r="AG5" s="38">
        <v>2123</v>
      </c>
      <c r="AH5" s="38">
        <v>29581</v>
      </c>
      <c r="AI5" s="38">
        <v>136</v>
      </c>
      <c r="AJ5" s="39">
        <v>2</v>
      </c>
      <c r="AK5" s="38">
        <v>1661</v>
      </c>
      <c r="AL5" s="38">
        <v>54</v>
      </c>
      <c r="AM5" s="38">
        <v>5</v>
      </c>
      <c r="AN5" s="38">
        <v>2</v>
      </c>
      <c r="AO5" s="39">
        <v>0</v>
      </c>
      <c r="AP5" s="38">
        <f t="shared" si="102"/>
      </c>
    </row>
    <row r="6">
      <c r="A6" s="22"/>
      <c r="B6" s="40" t="s">
        <v>52</v>
      </c>
      <c r="C6" s="40"/>
      <c r="D6" s="41">
        <f>SUM(D3:D5)</f>
      </c>
      <c r="E6" s="42">
        <f>SUM(E3:E5)</f>
      </c>
      <c r="F6" s="42">
        <f>SUM(F3:F5)</f>
      </c>
      <c r="G6" s="41">
        <f>SUM(G3:G5)</f>
      </c>
      <c r="H6" s="42">
        <f>SUM(H3:H5)</f>
      </c>
      <c r="I6" s="41">
        <f>SUM(I3:I5)</f>
      </c>
      <c r="J6" s="43">
        <f>SUM(J3:J5)</f>
      </c>
      <c r="K6" s="41">
        <f>SUM(K3:K5)</f>
      </c>
      <c r="L6" s="41">
        <f t="shared" si="0"/>
      </c>
      <c r="M6" s="41">
        <f t="shared" si="100"/>
      </c>
      <c r="N6" s="41">
        <f t="shared" si="132"/>
      </c>
      <c r="O6" s="44">
        <f t="shared" si="96"/>
      </c>
      <c r="P6" s="44">
        <f t="shared" si="98"/>
      </c>
      <c r="Q6" s="45">
        <f t="shared" si="32"/>
      </c>
      <c r="R6" s="46">
        <f t="shared" si="64"/>
      </c>
      <c r="S6" s="46">
        <f t="shared" si="194"/>
      </c>
      <c r="T6" s="47">
        <f t="shared" si="1"/>
      </c>
      <c r="U6" s="48">
        <f t="shared" si="17"/>
      </c>
      <c r="V6" s="48">
        <f t="shared" si="101"/>
      </c>
      <c r="W6" s="48">
        <f t="shared" si="133"/>
      </c>
      <c r="X6" s="46">
        <f t="shared" si="97"/>
      </c>
      <c r="Y6" s="48">
        <f t="shared" si="99"/>
      </c>
      <c r="Z6" s="49">
        <f t="shared" si="48"/>
      </c>
      <c r="AA6" s="49">
        <f t="shared" si="80"/>
      </c>
      <c r="AB6" s="49">
        <f t="shared" si="210"/>
      </c>
      <c r="AC6" s="49">
        <f t="shared" si="31"/>
      </c>
      <c r="AD6" s="49"/>
      <c r="AE6" s="50"/>
      <c r="AF6" s="51">
        <f>SUM(AF3:AF5)</f>
      </c>
      <c r="AG6" s="51">
        <f>SUM(AG3:AG5)</f>
      </c>
      <c r="AH6" s="51">
        <f>SUM(AH3:AH5)</f>
      </c>
      <c r="AI6" s="51">
        <f>SUM(AI3:AI5)</f>
      </c>
      <c r="AJ6" s="51">
        <f>SUM(AJ3:AJ5)</f>
      </c>
      <c r="AK6" s="51">
        <f>SUM(AK3:AK5)</f>
      </c>
      <c r="AL6" s="51">
        <f>SUM(AL3:AL5)</f>
      </c>
      <c r="AM6" s="51">
        <f>SUM(AM3:AM5)</f>
      </c>
      <c r="AN6" s="51">
        <f>SUM(AN3:AN5)</f>
      </c>
      <c r="AO6" s="51">
        <f>SUM(AO3:AO5)</f>
      </c>
      <c r="AP6" s="51">
        <f>SUM(AP3:AP5)</f>
      </c>
    </row>
    <row r="7">
      <c r="A7" s="22"/>
      <c r="B7" s="23" t="s">
        <v>53</v>
      </c>
      <c r="C7" s="24" t="s">
        <v>54</v>
      </c>
      <c r="D7" s="25">
        <v>1012.632</v>
      </c>
      <c r="E7" s="26">
        <v>1</v>
      </c>
      <c r="F7" s="26">
        <v>1</v>
      </c>
      <c r="G7" s="52">
        <v>748.8</v>
      </c>
      <c r="H7" s="26">
        <v>0</v>
      </c>
      <c r="I7" s="28">
        <v>0</v>
      </c>
      <c r="J7" s="29">
        <f t="shared" ref="J7:J9" si="135">F7+H7</f>
      </c>
      <c r="K7" s="30">
        <f t="shared" ref="K7:K9" si="165">G7+I7</f>
      </c>
      <c r="L7" s="30">
        <f t="shared" si="0"/>
      </c>
      <c r="M7" s="30">
        <f t="shared" si="100"/>
      </c>
      <c r="N7" s="30">
        <f t="shared" si="132"/>
      </c>
      <c r="O7" s="32">
        <f t="shared" si="96"/>
      </c>
      <c r="P7" s="32">
        <f t="shared" si="98"/>
      </c>
      <c r="Q7" s="33">
        <f t="shared" si="32"/>
      </c>
      <c r="R7" s="31">
        <f t="shared" si="64"/>
      </c>
      <c r="S7" s="31">
        <f t="shared" si="194"/>
      </c>
      <c r="T7" s="34">
        <f t="shared" si="1"/>
      </c>
      <c r="U7" s="35">
        <f t="shared" si="17"/>
      </c>
      <c r="V7" s="36">
        <f t="shared" si="101"/>
      </c>
      <c r="W7" s="36">
        <f t="shared" si="133"/>
      </c>
      <c r="X7" s="31">
        <f t="shared" si="97"/>
      </c>
      <c r="Y7" s="36">
        <f t="shared" si="99"/>
      </c>
      <c r="Z7" s="36">
        <f t="shared" si="48"/>
      </c>
      <c r="AA7" s="36">
        <f t="shared" si="80"/>
      </c>
      <c r="AB7" s="36">
        <f t="shared" si="210"/>
      </c>
      <c r="AC7" s="36">
        <f t="shared" si="31"/>
      </c>
      <c r="AD7" s="37" t="s">
        <v>48</v>
      </c>
      <c r="AE7" s="37" t="s">
        <v>49</v>
      </c>
      <c r="AF7" s="53">
        <v>19451</v>
      </c>
      <c r="AG7" s="53">
        <v>3241</v>
      </c>
      <c r="AH7" s="38">
        <v>41288</v>
      </c>
      <c r="AI7" s="38">
        <v>256</v>
      </c>
      <c r="AJ7" s="39">
        <v>1</v>
      </c>
      <c r="AK7" s="53">
        <v>2341</v>
      </c>
      <c r="AL7" s="39">
        <v>89</v>
      </c>
      <c r="AM7" s="39">
        <v>19</v>
      </c>
      <c r="AN7" s="39">
        <v>1</v>
      </c>
      <c r="AO7" s="39">
        <v>0</v>
      </c>
      <c r="AP7" s="38">
        <f t="shared" ref="AP7:AP9" si="103">COUNT(AK7)</f>
      </c>
    </row>
    <row r="8">
      <c r="A8" s="22"/>
      <c r="B8" s="23" t="s">
        <v>53</v>
      </c>
      <c r="C8" s="24" t="s">
        <v>55</v>
      </c>
      <c r="D8" s="25">
        <v>981.261</v>
      </c>
      <c r="E8" s="26">
        <v>1</v>
      </c>
      <c r="F8" s="26">
        <v>0</v>
      </c>
      <c r="G8" s="27">
        <v>0</v>
      </c>
      <c r="H8" s="26">
        <v>0</v>
      </c>
      <c r="I8" s="28">
        <v>0</v>
      </c>
      <c r="J8" s="29">
        <f t="shared" si="135"/>
      </c>
      <c r="K8" s="30">
        <f t="shared" si="165"/>
      </c>
      <c r="L8" s="30">
        <f t="shared" si="0"/>
      </c>
      <c r="M8" s="30">
        <f t="shared" si="100"/>
      </c>
      <c r="N8" s="30">
        <f t="shared" si="132"/>
      </c>
      <c r="O8" s="32">
        <f t="shared" si="96"/>
      </c>
      <c r="P8" s="32">
        <f t="shared" si="98"/>
      </c>
      <c r="Q8" s="33">
        <f t="shared" si="32"/>
      </c>
      <c r="R8" s="31">
        <f t="shared" si="64"/>
      </c>
      <c r="S8" s="31">
        <f t="shared" si="194"/>
      </c>
      <c r="T8" s="34">
        <f t="shared" si="1"/>
      </c>
      <c r="U8" s="35">
        <f t="shared" si="17"/>
      </c>
      <c r="V8" s="36">
        <f t="shared" si="101"/>
      </c>
      <c r="W8" s="36">
        <f t="shared" si="133"/>
      </c>
      <c r="X8" s="31">
        <f t="shared" si="97"/>
      </c>
      <c r="Y8" s="36">
        <f t="shared" si="99"/>
      </c>
      <c r="Z8" s="36">
        <f t="shared" si="48"/>
      </c>
      <c r="AA8" s="36">
        <f t="shared" si="80"/>
      </c>
      <c r="AB8" s="36">
        <f t="shared" si="210"/>
      </c>
      <c r="AC8" s="36">
        <f t="shared" si="31"/>
      </c>
      <c r="AD8" s="37" t="s">
        <v>48</v>
      </c>
      <c r="AE8" s="37" t="s">
        <v>49</v>
      </c>
      <c r="AF8" s="38">
        <v>25134</v>
      </c>
      <c r="AG8" s="54">
        <v>3396</v>
      </c>
      <c r="AH8" s="38">
        <v>36892</v>
      </c>
      <c r="AI8" s="55">
        <v>291</v>
      </c>
      <c r="AJ8" s="56">
        <v>0</v>
      </c>
      <c r="AK8" s="56">
        <v>2282</v>
      </c>
      <c r="AL8" s="56">
        <v>91</v>
      </c>
      <c r="AM8" s="56">
        <v>21</v>
      </c>
      <c r="AN8" s="56">
        <v>2</v>
      </c>
      <c r="AO8" s="39">
        <v>0</v>
      </c>
      <c r="AP8" s="38">
        <f t="shared" si="103"/>
      </c>
    </row>
    <row r="9">
      <c r="A9" s="22"/>
      <c r="B9" s="23" t="s">
        <v>53</v>
      </c>
      <c r="C9" s="24" t="s">
        <v>56</v>
      </c>
      <c r="D9" s="25">
        <v>701.102</v>
      </c>
      <c r="E9" s="26">
        <v>0</v>
      </c>
      <c r="F9" s="26">
        <v>0</v>
      </c>
      <c r="G9" s="27">
        <v>0</v>
      </c>
      <c r="H9" s="26">
        <v>0</v>
      </c>
      <c r="I9" s="28">
        <v>0</v>
      </c>
      <c r="J9" s="29">
        <f t="shared" si="135"/>
      </c>
      <c r="K9" s="30">
        <f t="shared" si="165"/>
      </c>
      <c r="L9" s="30">
        <f t="shared" si="0"/>
      </c>
      <c r="M9" s="30">
        <f t="shared" si="100"/>
      </c>
      <c r="N9" s="30">
        <f t="shared" si="132"/>
      </c>
      <c r="O9" s="32">
        <f t="shared" si="96"/>
      </c>
      <c r="P9" s="32">
        <f t="shared" si="98"/>
      </c>
      <c r="Q9" s="33">
        <f>D9/AI9</f>
      </c>
      <c r="R9" s="31">
        <f>D9/AJ9</f>
      </c>
      <c r="S9" s="31">
        <f>D9/AK9</f>
      </c>
      <c r="T9" s="34">
        <f>AJ9/AI9</f>
      </c>
      <c r="U9" s="35">
        <f>AK9/AJ9</f>
      </c>
      <c r="V9" s="36">
        <f t="shared" si="101"/>
      </c>
      <c r="W9" s="36">
        <f t="shared" si="133"/>
      </c>
      <c r="X9" s="31">
        <f t="shared" si="97"/>
      </c>
      <c r="Y9" s="36">
        <f t="shared" si="99"/>
      </c>
      <c r="Z9" s="36">
        <f>AL9/AI9</f>
      </c>
      <c r="AA9" s="36">
        <f>AM9/AI9</f>
      </c>
      <c r="AB9" s="36">
        <f>AN9/AI9</f>
      </c>
      <c r="AC9" s="36">
        <f t="shared" si="31"/>
      </c>
      <c r="AD9" s="37" t="s">
        <v>48</v>
      </c>
      <c r="AE9" s="37" t="s">
        <v>49</v>
      </c>
      <c r="AF9" s="38">
        <v>20342</v>
      </c>
      <c r="AG9" s="54">
        <v>2966</v>
      </c>
      <c r="AH9" s="38">
        <v>26177</v>
      </c>
      <c r="AI9" s="55">
        <v>249</v>
      </c>
      <c r="AJ9" s="56">
        <v>0</v>
      </c>
      <c r="AK9" s="56">
        <v>1752</v>
      </c>
      <c r="AL9" s="56">
        <v>40</v>
      </c>
      <c r="AM9" s="56">
        <v>21</v>
      </c>
      <c r="AN9" s="56">
        <v>2</v>
      </c>
      <c r="AO9" s="39">
        <v>0</v>
      </c>
      <c r="AP9" s="38">
        <f t="shared" si="103"/>
      </c>
    </row>
    <row r="10">
      <c r="A10" s="22"/>
      <c r="B10" s="40" t="s">
        <v>52</v>
      </c>
      <c r="C10" s="40"/>
      <c r="D10" s="41">
        <f>SUM(D7:D9)</f>
      </c>
      <c r="E10" s="42">
        <f>SUM(E7:E9)</f>
      </c>
      <c r="F10" s="42">
        <f>SUM(F7:F9)</f>
      </c>
      <c r="G10" s="41">
        <f>SUM(G7:G9)</f>
      </c>
      <c r="H10" s="42">
        <f>SUM(H7:H9)</f>
      </c>
      <c r="I10" s="41">
        <f>SUM(I7:I9)</f>
      </c>
      <c r="J10" s="43">
        <f>SUM(J7:J9)</f>
      </c>
      <c r="K10" s="41">
        <f>SUM(K7:K9)</f>
      </c>
      <c r="L10" s="41">
        <f t="shared" si="0"/>
      </c>
      <c r="M10" s="41">
        <f t="shared" si="100"/>
      </c>
      <c r="N10" s="41">
        <f t="shared" si="132"/>
      </c>
      <c r="O10" s="44">
        <f t="shared" si="96"/>
      </c>
      <c r="P10" s="44">
        <f t="shared" si="98"/>
      </c>
      <c r="Q10" s="45">
        <f t="shared" ref="Q10:Q17" si="33">D10/AH10</f>
      </c>
      <c r="R10" s="46">
        <f t="shared" ref="R10:R17" si="65">D10/AI10</f>
      </c>
      <c r="S10" s="46">
        <f t="shared" ref="S10:S17" si="195">D10/AJ10</f>
      </c>
      <c r="T10" s="47">
        <f t="shared" ref="T10:T17" si="2">AI10/AH10</f>
      </c>
      <c r="U10" s="48">
        <f t="shared" ref="U10:U35" si="18">AJ10/AI10</f>
      </c>
      <c r="V10" s="48">
        <f t="shared" si="101"/>
      </c>
      <c r="W10" s="48">
        <f t="shared" si="133"/>
      </c>
      <c r="X10" s="46">
        <f t="shared" si="97"/>
      </c>
      <c r="Y10" s="48">
        <f t="shared" si="99"/>
      </c>
      <c r="Z10" s="49">
        <f t="shared" ref="Z10:Z17" si="49">AK10/AH10</f>
      </c>
      <c r="AA10" s="49">
        <f t="shared" ref="AA10:AA17" si="81">AL10/AH10</f>
      </c>
      <c r="AB10" s="49">
        <f t="shared" ref="AB10:AB17" si="211">AM10/AH10</f>
      </c>
      <c r="AC10" s="49">
        <f t="shared" si="31"/>
      </c>
      <c r="AD10" s="49"/>
      <c r="AE10" s="50"/>
      <c r="AF10" s="51">
        <f>SUM(AF7:AF9)</f>
      </c>
      <c r="AG10" s="51">
        <f>SUM(AG7:AG9)</f>
      </c>
      <c r="AH10" s="57">
        <f>SUM(AH7:AH9)</f>
      </c>
      <c r="AI10" s="51">
        <f>SUM(AI7:AI9)</f>
      </c>
      <c r="AJ10" s="51">
        <f>SUM(AJ7:AJ9)</f>
      </c>
      <c r="AK10" s="51">
        <f>SUM(AK7:AK9)</f>
      </c>
      <c r="AL10" s="51">
        <f>SUM(AL7:AL9)</f>
      </c>
      <c r="AM10" s="51">
        <f>SUM(AM7:AM9)</f>
      </c>
      <c r="AN10" s="51">
        <f>SUM(AN7:AN9)</f>
      </c>
      <c r="AO10" s="51">
        <f>SUM(AO7:AO9)</f>
      </c>
      <c r="AP10" s="51">
        <f>SUM(AP7:AP9)</f>
      </c>
    </row>
    <row r="11">
      <c r="A11" s="22"/>
      <c r="B11" s="58" t="s">
        <v>57</v>
      </c>
      <c r="C11" s="58"/>
      <c r="D11" s="59">
        <f>D10+D6</f>
      </c>
      <c r="E11" s="60">
        <f>E10+E6</f>
      </c>
      <c r="F11" s="60">
        <f>F10+F6</f>
      </c>
      <c r="G11" s="59">
        <f>G10+G6</f>
      </c>
      <c r="H11" s="60">
        <f>H10+H6</f>
      </c>
      <c r="I11" s="59">
        <f>I10+I6</f>
      </c>
      <c r="J11" s="61">
        <f>J10+J6</f>
      </c>
      <c r="K11" s="59">
        <f>K10+K6</f>
      </c>
      <c r="L11" s="59">
        <f t="shared" si="0"/>
      </c>
      <c r="M11" s="59">
        <f t="shared" si="100"/>
      </c>
      <c r="N11" s="59">
        <f t="shared" si="132"/>
      </c>
      <c r="O11" s="62">
        <f t="shared" si="96"/>
      </c>
      <c r="P11" s="62">
        <f t="shared" si="98"/>
      </c>
      <c r="Q11" s="63">
        <f t="shared" si="33"/>
      </c>
      <c r="R11" s="63">
        <f t="shared" si="65"/>
      </c>
      <c r="S11" s="64">
        <f t="shared" si="195"/>
      </c>
      <c r="T11" s="65">
        <f t="shared" si="2"/>
      </c>
      <c r="U11" s="66">
        <f t="shared" si="18"/>
      </c>
      <c r="V11" s="66">
        <f t="shared" si="101"/>
      </c>
      <c r="W11" s="66">
        <f t="shared" si="133"/>
      </c>
      <c r="X11" s="64">
        <f t="shared" si="97"/>
      </c>
      <c r="Y11" s="66">
        <f t="shared" si="99"/>
      </c>
      <c r="Z11" s="67">
        <f t="shared" si="49"/>
      </c>
      <c r="AA11" s="67">
        <f t="shared" si="81"/>
      </c>
      <c r="AB11" s="67">
        <f t="shared" si="211"/>
      </c>
      <c r="AC11" s="67">
        <f t="shared" si="31"/>
      </c>
      <c r="AD11" s="67"/>
      <c r="AE11" s="68"/>
      <c r="AF11" s="69">
        <f>AF10+AF6</f>
      </c>
      <c r="AG11" s="69">
        <f>AG10+AG6</f>
      </c>
      <c r="AH11" s="69">
        <f>AH10+AH6</f>
      </c>
      <c r="AI11" s="69">
        <f>AI10+AI6</f>
      </c>
      <c r="AJ11" s="69">
        <f>AJ10+AJ6</f>
      </c>
      <c r="AK11" s="69">
        <f>AK10+AK6</f>
      </c>
      <c r="AL11" s="69">
        <f>AL10+AL6</f>
      </c>
      <c r="AM11" s="69">
        <f>AM10+AM6</f>
      </c>
      <c r="AN11" s="69">
        <f>AN10+AN6</f>
      </c>
      <c r="AO11" s="69">
        <f>AO10+AO6</f>
      </c>
      <c r="AP11" s="69">
        <f>AP10+AP6</f>
      </c>
    </row>
    <row r="12">
      <c r="A12" s="22">
        <v>46297</v>
      </c>
      <c r="B12" s="23" t="s">
        <v>53</v>
      </c>
      <c r="C12" s="24" t="s">
        <v>47</v>
      </c>
      <c r="D12" s="25">
        <v>419.284</v>
      </c>
      <c r="E12" s="26">
        <v>2</v>
      </c>
      <c r="F12" s="26">
        <v>2</v>
      </c>
      <c r="G12" s="52">
        <v>2440.8</v>
      </c>
      <c r="H12" s="26">
        <v>0</v>
      </c>
      <c r="I12" s="28">
        <v>0</v>
      </c>
      <c r="J12" s="29">
        <f t="shared" ref="J12:J14" si="136">F12+H12</f>
      </c>
      <c r="K12" s="30">
        <f t="shared" ref="K12:K14" si="166">G12+I12</f>
      </c>
      <c r="L12" s="31">
        <f t="shared" si="0"/>
      </c>
      <c r="M12" s="31">
        <f t="shared" si="100"/>
      </c>
      <c r="N12" s="31">
        <f t="shared" si="132"/>
      </c>
      <c r="O12" s="32">
        <f t="shared" si="96"/>
      </c>
      <c r="P12" s="32">
        <f t="shared" si="98"/>
      </c>
      <c r="Q12" s="33">
        <f t="shared" si="33"/>
      </c>
      <c r="R12" s="31">
        <f t="shared" si="65"/>
      </c>
      <c r="S12" s="31">
        <f t="shared" si="195"/>
      </c>
      <c r="T12" s="34">
        <f t="shared" si="2"/>
      </c>
      <c r="U12" s="35">
        <f t="shared" si="18"/>
      </c>
      <c r="V12" s="36">
        <f t="shared" si="101"/>
      </c>
      <c r="W12" s="36">
        <f t="shared" si="133"/>
      </c>
      <c r="X12" s="31">
        <f t="shared" si="97"/>
      </c>
      <c r="Y12" s="36">
        <f t="shared" si="99"/>
      </c>
      <c r="Z12" s="36">
        <f t="shared" si="49"/>
      </c>
      <c r="AA12" s="36">
        <f t="shared" si="81"/>
      </c>
      <c r="AB12" s="36">
        <f t="shared" si="211"/>
      </c>
      <c r="AC12" s="36">
        <f t="shared" si="31"/>
      </c>
      <c r="AD12" s="37" t="s">
        <v>48</v>
      </c>
      <c r="AE12" s="37" t="s">
        <v>49</v>
      </c>
      <c r="AF12" s="38">
        <v>11519</v>
      </c>
      <c r="AG12" s="38">
        <v>1586</v>
      </c>
      <c r="AH12" s="38">
        <v>9304</v>
      </c>
      <c r="AI12" s="38">
        <v>161</v>
      </c>
      <c r="AJ12" s="39">
        <v>2</v>
      </c>
      <c r="AK12" s="38">
        <v>751</v>
      </c>
      <c r="AL12" s="38">
        <v>37</v>
      </c>
      <c r="AM12" s="38">
        <v>13</v>
      </c>
      <c r="AN12" s="38">
        <v>2</v>
      </c>
      <c r="AO12" s="39">
        <v>0</v>
      </c>
      <c r="AP12" s="38">
        <f t="shared" ref="AP12:AP14" si="104">COUNT(AK12)</f>
      </c>
    </row>
    <row r="13">
      <c r="A13" s="22"/>
      <c r="B13" s="23" t="s">
        <v>53</v>
      </c>
      <c r="C13" s="24" t="s">
        <v>50</v>
      </c>
      <c r="D13" s="25">
        <v>1063.962</v>
      </c>
      <c r="E13" s="26">
        <v>1</v>
      </c>
      <c r="F13" s="26">
        <v>1</v>
      </c>
      <c r="G13" s="27">
        <v>1190.4</v>
      </c>
      <c r="H13" s="26">
        <v>0</v>
      </c>
      <c r="I13" s="28">
        <v>0</v>
      </c>
      <c r="J13" s="29">
        <f t="shared" si="136"/>
      </c>
      <c r="K13" s="30">
        <f t="shared" si="166"/>
      </c>
      <c r="L13" s="31">
        <f t="shared" si="0"/>
      </c>
      <c r="M13" s="31">
        <f t="shared" si="100"/>
      </c>
      <c r="N13" s="31">
        <f t="shared" si="132"/>
      </c>
      <c r="O13" s="32">
        <f t="shared" si="96"/>
      </c>
      <c r="P13" s="32">
        <f t="shared" si="98"/>
      </c>
      <c r="Q13" s="33">
        <f t="shared" si="33"/>
      </c>
      <c r="R13" s="31">
        <f t="shared" si="65"/>
      </c>
      <c r="S13" s="31">
        <f t="shared" si="195"/>
      </c>
      <c r="T13" s="34">
        <f t="shared" si="2"/>
      </c>
      <c r="U13" s="35">
        <f t="shared" si="18"/>
      </c>
      <c r="V13" s="36">
        <f t="shared" si="101"/>
      </c>
      <c r="W13" s="36">
        <f t="shared" si="133"/>
      </c>
      <c r="X13" s="31">
        <f t="shared" si="97"/>
      </c>
      <c r="Y13" s="36">
        <f t="shared" si="99"/>
      </c>
      <c r="Z13" s="36">
        <f t="shared" si="49"/>
      </c>
      <c r="AA13" s="36">
        <f t="shared" si="81"/>
      </c>
      <c r="AB13" s="36">
        <f t="shared" si="211"/>
      </c>
      <c r="AC13" s="36">
        <f t="shared" si="31"/>
      </c>
      <c r="AD13" s="37" t="s">
        <v>48</v>
      </c>
      <c r="AE13" s="37" t="s">
        <v>49</v>
      </c>
      <c r="AF13" s="38">
        <v>32465</v>
      </c>
      <c r="AG13" s="38">
        <v>4029</v>
      </c>
      <c r="AH13" s="38">
        <v>24177</v>
      </c>
      <c r="AI13" s="38">
        <v>339</v>
      </c>
      <c r="AJ13" s="39">
        <v>1</v>
      </c>
      <c r="AK13" s="38">
        <v>1922</v>
      </c>
      <c r="AL13" s="38">
        <v>106</v>
      </c>
      <c r="AM13" s="38">
        <v>30</v>
      </c>
      <c r="AN13" s="38">
        <v>1</v>
      </c>
      <c r="AO13" s="39">
        <v>0</v>
      </c>
      <c r="AP13" s="38">
        <f t="shared" si="104"/>
      </c>
    </row>
    <row r="14">
      <c r="A14" s="22"/>
      <c r="B14" s="23" t="s">
        <v>53</v>
      </c>
      <c r="C14" s="24" t="s">
        <v>51</v>
      </c>
      <c r="D14" s="25">
        <v>1903.755</v>
      </c>
      <c r="E14" s="26">
        <v>0</v>
      </c>
      <c r="F14" s="26">
        <v>0</v>
      </c>
      <c r="G14" s="27">
        <v>0</v>
      </c>
      <c r="H14" s="26">
        <v>0</v>
      </c>
      <c r="I14" s="28">
        <v>0</v>
      </c>
      <c r="J14" s="29">
        <f t="shared" si="136"/>
      </c>
      <c r="K14" s="30">
        <f t="shared" si="166"/>
      </c>
      <c r="L14" s="31">
        <f t="shared" si="0"/>
      </c>
      <c r="M14" s="31">
        <f t="shared" si="100"/>
      </c>
      <c r="N14" s="31">
        <f t="shared" si="132"/>
      </c>
      <c r="O14" s="32">
        <f t="shared" si="96"/>
      </c>
      <c r="P14" s="32">
        <f t="shared" si="98"/>
      </c>
      <c r="Q14" s="33">
        <f t="shared" si="33"/>
      </c>
      <c r="R14" s="31">
        <f t="shared" si="65"/>
      </c>
      <c r="S14" s="31">
        <f t="shared" si="195"/>
      </c>
      <c r="T14" s="34">
        <f t="shared" si="2"/>
      </c>
      <c r="U14" s="35">
        <f t="shared" si="18"/>
      </c>
      <c r="V14" s="36">
        <f t="shared" si="101"/>
      </c>
      <c r="W14" s="36">
        <f t="shared" si="133"/>
      </c>
      <c r="X14" s="31">
        <f t="shared" si="97"/>
      </c>
      <c r="Y14" s="36">
        <f t="shared" si="99"/>
      </c>
      <c r="Z14" s="36">
        <f t="shared" si="49"/>
      </c>
      <c r="AA14" s="36">
        <f t="shared" si="81"/>
      </c>
      <c r="AB14" s="36">
        <f t="shared" si="211"/>
      </c>
      <c r="AC14" s="36">
        <f t="shared" si="31"/>
      </c>
      <c r="AD14" s="37" t="s">
        <v>48</v>
      </c>
      <c r="AE14" s="37" t="s">
        <v>49</v>
      </c>
      <c r="AF14" s="38">
        <v>39514</v>
      </c>
      <c r="AG14" s="38">
        <v>5637</v>
      </c>
      <c r="AH14" s="38">
        <v>34825</v>
      </c>
      <c r="AI14" s="38">
        <v>485</v>
      </c>
      <c r="AJ14" s="39">
        <v>0</v>
      </c>
      <c r="AK14" s="38">
        <v>2752</v>
      </c>
      <c r="AL14" s="38">
        <v>186</v>
      </c>
      <c r="AM14" s="38">
        <v>41</v>
      </c>
      <c r="AN14" s="38">
        <v>3</v>
      </c>
      <c r="AO14" s="39">
        <v>0</v>
      </c>
      <c r="AP14" s="38">
        <f t="shared" si="104"/>
      </c>
    </row>
    <row r="15">
      <c r="A15" s="22"/>
      <c r="B15" s="40" t="s">
        <v>52</v>
      </c>
      <c r="C15" s="40"/>
      <c r="D15" s="41">
        <f>SUM(D12:D14)</f>
      </c>
      <c r="E15" s="42">
        <f>SUM(E12:E14)</f>
      </c>
      <c r="F15" s="42">
        <f>SUM(F12:F14)</f>
      </c>
      <c r="G15" s="41">
        <f>SUM(G12:G14)</f>
      </c>
      <c r="H15" s="42">
        <f>SUM(H12:H14)</f>
      </c>
      <c r="I15" s="41">
        <f>SUM(I12:I14)</f>
      </c>
      <c r="J15" s="43">
        <f>SUM(J12:J14)</f>
      </c>
      <c r="K15" s="41">
        <f>SUM(K12:K14)</f>
      </c>
      <c r="L15" s="41">
        <f t="shared" si="0"/>
      </c>
      <c r="M15" s="41">
        <f t="shared" si="100"/>
      </c>
      <c r="N15" s="41">
        <f t="shared" si="132"/>
      </c>
      <c r="O15" s="44">
        <f t="shared" si="96"/>
      </c>
      <c r="P15" s="44">
        <f t="shared" si="98"/>
      </c>
      <c r="Q15" s="45">
        <f t="shared" si="33"/>
      </c>
      <c r="R15" s="46">
        <f t="shared" si="65"/>
      </c>
      <c r="S15" s="46">
        <f t="shared" si="195"/>
      </c>
      <c r="T15" s="47">
        <f t="shared" si="2"/>
      </c>
      <c r="U15" s="48">
        <f t="shared" si="18"/>
      </c>
      <c r="V15" s="48">
        <f t="shared" si="101"/>
      </c>
      <c r="W15" s="48">
        <f t="shared" si="133"/>
      </c>
      <c r="X15" s="46">
        <f t="shared" si="97"/>
      </c>
      <c r="Y15" s="48">
        <f t="shared" si="99"/>
      </c>
      <c r="Z15" s="49">
        <f t="shared" si="49"/>
      </c>
      <c r="AA15" s="49">
        <f t="shared" si="81"/>
      </c>
      <c r="AB15" s="49">
        <f t="shared" si="211"/>
      </c>
      <c r="AC15" s="49">
        <f t="shared" si="31"/>
      </c>
      <c r="AD15" s="49"/>
      <c r="AE15" s="50"/>
      <c r="AF15" s="51">
        <f>SUM(AF12:AF14)</f>
      </c>
      <c r="AG15" s="51">
        <f>SUM(AG12:AG14)</f>
      </c>
      <c r="AH15" s="51">
        <f>SUM(AH12:AH14)</f>
      </c>
      <c r="AI15" s="51">
        <f>SUM(AI12:AI14)</f>
      </c>
      <c r="AJ15" s="51">
        <f>SUM(AJ12:AJ14)</f>
      </c>
      <c r="AK15" s="51">
        <f>SUM(AK12:AK14)</f>
      </c>
      <c r="AL15" s="51">
        <f>SUM(AL12:AL14)</f>
      </c>
      <c r="AM15" s="51">
        <f>SUM(AM12:AM14)</f>
      </c>
      <c r="AN15" s="51">
        <f>SUM(AN12:AN14)</f>
      </c>
      <c r="AO15" s="51">
        <f>SUM(AO12:AO14)</f>
      </c>
      <c r="AP15" s="51">
        <f>SUM(AP12:AP14)</f>
      </c>
    </row>
    <row r="16">
      <c r="A16" s="22"/>
      <c r="B16" s="23" t="s">
        <v>46</v>
      </c>
      <c r="C16" s="24" t="s">
        <v>54</v>
      </c>
      <c r="D16" s="25">
        <v>1545.761</v>
      </c>
      <c r="E16" s="26">
        <v>4</v>
      </c>
      <c r="F16" s="26">
        <v>3</v>
      </c>
      <c r="G16" s="52">
        <v>1765.2</v>
      </c>
      <c r="H16" s="26">
        <v>0</v>
      </c>
      <c r="I16" s="28">
        <v>0</v>
      </c>
      <c r="J16" s="29">
        <f t="shared" ref="J16:J18" si="137">F16+H16</f>
      </c>
      <c r="K16" s="30">
        <f t="shared" ref="K16:K18" si="167">G16+I16</f>
      </c>
      <c r="L16" s="30">
        <f t="shared" si="0"/>
      </c>
      <c r="M16" s="30">
        <f t="shared" si="100"/>
      </c>
      <c r="N16" s="30">
        <f t="shared" si="132"/>
      </c>
      <c r="O16" s="32">
        <f t="shared" si="96"/>
      </c>
      <c r="P16" s="32">
        <f t="shared" si="98"/>
      </c>
      <c r="Q16" s="33">
        <f t="shared" si="33"/>
      </c>
      <c r="R16" s="31">
        <f t="shared" si="65"/>
      </c>
      <c r="S16" s="31">
        <f t="shared" si="195"/>
      </c>
      <c r="T16" s="34">
        <f t="shared" si="2"/>
      </c>
      <c r="U16" s="35">
        <f t="shared" si="18"/>
      </c>
      <c r="V16" s="36">
        <f t="shared" si="101"/>
      </c>
      <c r="W16" s="36">
        <f t="shared" si="133"/>
      </c>
      <c r="X16" s="31">
        <f t="shared" si="97"/>
      </c>
      <c r="Y16" s="36">
        <f t="shared" si="99"/>
      </c>
      <c r="Z16" s="36">
        <f t="shared" si="49"/>
      </c>
      <c r="AA16" s="36">
        <f t="shared" si="81"/>
      </c>
      <c r="AB16" s="36">
        <f t="shared" si="211"/>
      </c>
      <c r="AC16" s="36">
        <f t="shared" si="31"/>
      </c>
      <c r="AD16" s="37" t="s">
        <v>48</v>
      </c>
      <c r="AE16" s="37" t="s">
        <v>49</v>
      </c>
      <c r="AF16" s="53">
        <v>37955</v>
      </c>
      <c r="AG16" s="53">
        <v>5797</v>
      </c>
      <c r="AH16" s="38">
        <v>42297</v>
      </c>
      <c r="AI16" s="38">
        <v>514</v>
      </c>
      <c r="AJ16" s="39">
        <v>1</v>
      </c>
      <c r="AK16" s="53">
        <v>3162</v>
      </c>
      <c r="AL16" s="39">
        <v>189</v>
      </c>
      <c r="AM16" s="39">
        <v>46</v>
      </c>
      <c r="AN16" s="39">
        <v>9</v>
      </c>
      <c r="AO16" s="39">
        <v>1</v>
      </c>
      <c r="AP16" s="38">
        <f t="shared" ref="AP16:AP18" si="105">COUNT(AK16)</f>
      </c>
    </row>
    <row r="17">
      <c r="A17" s="22"/>
      <c r="B17" s="23" t="s">
        <v>46</v>
      </c>
      <c r="C17" s="24" t="s">
        <v>55</v>
      </c>
      <c r="D17" s="25">
        <v>1117.869</v>
      </c>
      <c r="E17" s="26">
        <v>0</v>
      </c>
      <c r="F17" s="26">
        <v>0</v>
      </c>
      <c r="G17" s="27">
        <v>0</v>
      </c>
      <c r="H17" s="26">
        <v>0</v>
      </c>
      <c r="I17" s="28">
        <v>0</v>
      </c>
      <c r="J17" s="29">
        <f t="shared" si="137"/>
      </c>
      <c r="K17" s="30">
        <f t="shared" si="167"/>
      </c>
      <c r="L17" s="30">
        <f t="shared" si="0"/>
      </c>
      <c r="M17" s="30">
        <f t="shared" si="100"/>
      </c>
      <c r="N17" s="30">
        <f t="shared" si="132"/>
      </c>
      <c r="O17" s="32">
        <f t="shared" si="96"/>
      </c>
      <c r="P17" s="32">
        <f t="shared" si="98"/>
      </c>
      <c r="Q17" s="33">
        <f t="shared" si="33"/>
      </c>
      <c r="R17" s="31">
        <f t="shared" si="65"/>
      </c>
      <c r="S17" s="31">
        <f t="shared" si="195"/>
      </c>
      <c r="T17" s="34">
        <f t="shared" si="2"/>
      </c>
      <c r="U17" s="35">
        <f t="shared" si="18"/>
      </c>
      <c r="V17" s="36">
        <f t="shared" si="101"/>
      </c>
      <c r="W17" s="36">
        <f t="shared" si="133"/>
      </c>
      <c r="X17" s="31">
        <f t="shared" si="97"/>
      </c>
      <c r="Y17" s="36">
        <f t="shared" si="99"/>
      </c>
      <c r="Z17" s="36">
        <f t="shared" si="49"/>
      </c>
      <c r="AA17" s="36">
        <f t="shared" si="81"/>
      </c>
      <c r="AB17" s="36">
        <f t="shared" si="211"/>
      </c>
      <c r="AC17" s="36">
        <f t="shared" si="31"/>
      </c>
      <c r="AD17" s="37" t="s">
        <v>48</v>
      </c>
      <c r="AE17" s="37" t="s">
        <v>49</v>
      </c>
      <c r="AF17" s="38">
        <v>31605</v>
      </c>
      <c r="AG17" s="54">
        <v>4485</v>
      </c>
      <c r="AH17" s="38">
        <v>38457</v>
      </c>
      <c r="AI17" s="55">
        <v>368</v>
      </c>
      <c r="AJ17" s="56">
        <v>0</v>
      </c>
      <c r="AK17" s="56">
        <v>2584</v>
      </c>
      <c r="AL17" s="56">
        <v>129</v>
      </c>
      <c r="AM17" s="56">
        <v>28</v>
      </c>
      <c r="AN17" s="56">
        <v>3</v>
      </c>
      <c r="AO17" s="39">
        <v>0</v>
      </c>
      <c r="AP17" s="38">
        <f t="shared" si="105"/>
      </c>
    </row>
    <row r="18">
      <c r="A18" s="22"/>
      <c r="B18" s="23" t="s">
        <v>46</v>
      </c>
      <c r="C18" s="24" t="s">
        <v>56</v>
      </c>
      <c r="D18" s="25">
        <v>671.146</v>
      </c>
      <c r="E18" s="26">
        <v>3</v>
      </c>
      <c r="F18" s="26">
        <v>0</v>
      </c>
      <c r="G18" s="27">
        <v>0</v>
      </c>
      <c r="H18" s="26">
        <v>2</v>
      </c>
      <c r="I18" s="28">
        <v>4137.6</v>
      </c>
      <c r="J18" s="29">
        <f t="shared" si="137"/>
      </c>
      <c r="K18" s="30">
        <f t="shared" si="167"/>
      </c>
      <c r="L18" s="30">
        <f t="shared" si="0"/>
      </c>
      <c r="M18" s="30">
        <f t="shared" si="100"/>
      </c>
      <c r="N18" s="30">
        <f t="shared" si="132"/>
      </c>
      <c r="O18" s="32">
        <f t="shared" si="96"/>
      </c>
      <c r="P18" s="32">
        <f t="shared" si="98"/>
      </c>
      <c r="Q18" s="33">
        <f>D18/AI18</f>
      </c>
      <c r="R18" s="31">
        <f>D18/AJ18</f>
      </c>
      <c r="S18" s="31">
        <f>D18/AK18</f>
      </c>
      <c r="T18" s="34">
        <f>AJ18/AI18</f>
      </c>
      <c r="U18" s="35">
        <f t="shared" si="18"/>
      </c>
      <c r="V18" s="36">
        <f t="shared" si="101"/>
      </c>
      <c r="W18" s="36">
        <f t="shared" si="133"/>
      </c>
      <c r="X18" s="31">
        <f t="shared" si="97"/>
      </c>
      <c r="Y18" s="36">
        <f t="shared" si="99"/>
      </c>
      <c r="Z18" s="36">
        <f>AL18/AI18</f>
      </c>
      <c r="AA18" s="36">
        <f>AM18/AI18</f>
      </c>
      <c r="AB18" s="36">
        <f>AN18/AI18</f>
      </c>
      <c r="AC18" s="36">
        <f t="shared" si="31"/>
      </c>
      <c r="AD18" s="37" t="s">
        <v>48</v>
      </c>
      <c r="AE18" s="37" t="s">
        <v>49</v>
      </c>
      <c r="AF18" s="38">
        <v>26608</v>
      </c>
      <c r="AG18" s="54">
        <v>3116</v>
      </c>
      <c r="AH18" s="38">
        <v>28225</v>
      </c>
      <c r="AI18" s="55">
        <v>258</v>
      </c>
      <c r="AJ18" s="56">
        <v>2</v>
      </c>
      <c r="AK18" s="56">
        <v>1825</v>
      </c>
      <c r="AL18" s="56">
        <v>98</v>
      </c>
      <c r="AM18" s="56">
        <v>11</v>
      </c>
      <c r="AN18" s="56">
        <v>2</v>
      </c>
      <c r="AO18" s="39">
        <v>0</v>
      </c>
      <c r="AP18" s="38">
        <f t="shared" si="105"/>
      </c>
    </row>
    <row r="19">
      <c r="A19" s="22"/>
      <c r="B19" s="40" t="s">
        <v>52</v>
      </c>
      <c r="C19" s="40"/>
      <c r="D19" s="41">
        <f>SUM(D16:D18)</f>
      </c>
      <c r="E19" s="42">
        <f>SUM(E16:E18)</f>
      </c>
      <c r="F19" s="42">
        <f>SUM(F16:F18)</f>
      </c>
      <c r="G19" s="41">
        <f>SUM(G16:G18)</f>
      </c>
      <c r="H19" s="42">
        <f>SUM(H16:H18)</f>
      </c>
      <c r="I19" s="41">
        <f>SUM(I16:I18)</f>
      </c>
      <c r="J19" s="43">
        <f>SUM(J16:J18)</f>
      </c>
      <c r="K19" s="41">
        <f>SUM(K16:K18)</f>
      </c>
      <c r="L19" s="41">
        <f t="shared" si="0"/>
      </c>
      <c r="M19" s="41">
        <f t="shared" si="100"/>
      </c>
      <c r="N19" s="41">
        <f t="shared" si="132"/>
      </c>
      <c r="O19" s="44">
        <f t="shared" si="96"/>
      </c>
      <c r="P19" s="44">
        <f t="shared" si="98"/>
      </c>
      <c r="Q19" s="45">
        <f t="shared" ref="Q19:Q26" si="34">D19/AH19</f>
      </c>
      <c r="R19" s="46">
        <f t="shared" ref="R19:R26" si="66">D19/AI19</f>
      </c>
      <c r="S19" s="46">
        <f t="shared" ref="S19:S26" si="196">D19/AJ19</f>
      </c>
      <c r="T19" s="47">
        <f t="shared" ref="T19:T26" si="3">AI19/AH19</f>
      </c>
      <c r="U19" s="48">
        <f t="shared" si="18"/>
      </c>
      <c r="V19" s="48">
        <f t="shared" si="101"/>
      </c>
      <c r="W19" s="48">
        <f t="shared" si="133"/>
      </c>
      <c r="X19" s="46">
        <f t="shared" si="97"/>
      </c>
      <c r="Y19" s="48">
        <f t="shared" si="99"/>
      </c>
      <c r="Z19" s="49">
        <f t="shared" ref="Z19:Z26" si="50">AK19/AH19</f>
      </c>
      <c r="AA19" s="49">
        <f t="shared" ref="AA19:AA26" si="82">AL19/AH19</f>
      </c>
      <c r="AB19" s="49">
        <f t="shared" ref="AB19:AB26" si="212">AM19/AH19</f>
      </c>
      <c r="AC19" s="49">
        <f t="shared" si="31"/>
      </c>
      <c r="AD19" s="49"/>
      <c r="AE19" s="50"/>
      <c r="AF19" s="51">
        <f>SUM(AF16:AF18)</f>
      </c>
      <c r="AG19" s="51">
        <f>SUM(AG16:AG18)</f>
      </c>
      <c r="AH19" s="57">
        <f>SUM(AH16:AH18)</f>
      </c>
      <c r="AI19" s="51">
        <f>SUM(AI16:AI18)</f>
      </c>
      <c r="AJ19" s="51">
        <f>SUM(AJ16:AJ18)</f>
      </c>
      <c r="AK19" s="51">
        <f>SUM(AK16:AK18)</f>
      </c>
      <c r="AL19" s="51">
        <f>SUM(AL16:AL18)</f>
      </c>
      <c r="AM19" s="51">
        <f>SUM(AM16:AM18)</f>
      </c>
      <c r="AN19" s="51">
        <f>SUM(AN16:AN18)</f>
      </c>
      <c r="AO19" s="51">
        <f>SUM(AO16:AO18)</f>
      </c>
      <c r="AP19" s="51">
        <f>SUM(AP16:AP18)</f>
      </c>
    </row>
    <row r="20">
      <c r="A20" s="22"/>
      <c r="B20" s="58" t="s">
        <v>57</v>
      </c>
      <c r="C20" s="58"/>
      <c r="D20" s="59">
        <f>D19+D15</f>
      </c>
      <c r="E20" s="60">
        <f>E19+E15</f>
      </c>
      <c r="F20" s="60">
        <f>F19+F15</f>
      </c>
      <c r="G20" s="59">
        <f>G19+G15</f>
      </c>
      <c r="H20" s="60">
        <f>H19+H15</f>
      </c>
      <c r="I20" s="59">
        <f>I19+I15</f>
      </c>
      <c r="J20" s="61">
        <f>J19+J15</f>
      </c>
      <c r="K20" s="59">
        <f>K19+K15</f>
      </c>
      <c r="L20" s="59">
        <f t="shared" si="0"/>
      </c>
      <c r="M20" s="59">
        <f t="shared" si="100"/>
      </c>
      <c r="N20" s="59">
        <f t="shared" si="132"/>
      </c>
      <c r="O20" s="62">
        <f t="shared" si="96"/>
      </c>
      <c r="P20" s="62">
        <f t="shared" si="98"/>
      </c>
      <c r="Q20" s="63">
        <f t="shared" si="34"/>
      </c>
      <c r="R20" s="63">
        <f t="shared" si="66"/>
      </c>
      <c r="S20" s="64">
        <f t="shared" si="196"/>
      </c>
      <c r="T20" s="65">
        <f t="shared" si="3"/>
      </c>
      <c r="U20" s="66">
        <f t="shared" si="18"/>
      </c>
      <c r="V20" s="66">
        <f t="shared" si="101"/>
      </c>
      <c r="W20" s="66">
        <f t="shared" si="133"/>
      </c>
      <c r="X20" s="64">
        <f t="shared" si="97"/>
      </c>
      <c r="Y20" s="66">
        <f t="shared" si="99"/>
      </c>
      <c r="Z20" s="67">
        <f t="shared" si="50"/>
      </c>
      <c r="AA20" s="67">
        <f t="shared" si="82"/>
      </c>
      <c r="AB20" s="67">
        <f t="shared" si="212"/>
      </c>
      <c r="AC20" s="67">
        <f t="shared" si="31"/>
      </c>
      <c r="AD20" s="67"/>
      <c r="AE20" s="68"/>
      <c r="AF20" s="69">
        <f>AF19+AF15</f>
      </c>
      <c r="AG20" s="69">
        <f>AG19+AG15</f>
      </c>
      <c r="AH20" s="69">
        <f>AH19+AH15</f>
      </c>
      <c r="AI20" s="69">
        <f>AI19+AI15</f>
      </c>
      <c r="AJ20" s="69">
        <f>AJ19+AJ15</f>
      </c>
      <c r="AK20" s="69">
        <f>AK19+AK15</f>
      </c>
      <c r="AL20" s="69">
        <f>AL19+AL15</f>
      </c>
      <c r="AM20" s="69">
        <f>AM19+AM15</f>
      </c>
      <c r="AN20" s="69">
        <f>AN19+AN15</f>
      </c>
      <c r="AO20" s="69">
        <f>AO19+AO15</f>
      </c>
      <c r="AP20" s="69">
        <f>AP19+AP15</f>
      </c>
    </row>
    <row r="21">
      <c r="A21" s="22">
        <v>46298</v>
      </c>
      <c r="B21" s="23" t="s">
        <v>53</v>
      </c>
      <c r="C21" s="24" t="s">
        <v>47</v>
      </c>
      <c r="D21" s="25">
        <v>826.653</v>
      </c>
      <c r="E21" s="26">
        <v>1</v>
      </c>
      <c r="F21" s="26">
        <v>0</v>
      </c>
      <c r="G21" s="52">
        <v>0</v>
      </c>
      <c r="H21" s="26">
        <v>0</v>
      </c>
      <c r="I21" s="28">
        <v>0</v>
      </c>
      <c r="J21" s="29">
        <f t="shared" ref="J21:J23" si="138">F21+H21</f>
      </c>
      <c r="K21" s="30">
        <f t="shared" ref="K21:K23" si="168">G21+I21</f>
      </c>
      <c r="L21" s="31">
        <f t="shared" si="0"/>
      </c>
      <c r="M21" s="31">
        <f t="shared" si="100"/>
      </c>
      <c r="N21" s="31">
        <f t="shared" si="132"/>
      </c>
      <c r="O21" s="32">
        <f t="shared" si="96"/>
      </c>
      <c r="P21" s="32">
        <f t="shared" si="98"/>
      </c>
      <c r="Q21" s="33">
        <f t="shared" si="34"/>
      </c>
      <c r="R21" s="31">
        <f t="shared" si="66"/>
      </c>
      <c r="S21" s="31">
        <f t="shared" si="196"/>
      </c>
      <c r="T21" s="34">
        <f t="shared" si="3"/>
      </c>
      <c r="U21" s="35">
        <f t="shared" si="18"/>
      </c>
      <c r="V21" s="36">
        <f t="shared" si="101"/>
      </c>
      <c r="W21" s="36">
        <f t="shared" si="133"/>
      </c>
      <c r="X21" s="31">
        <f t="shared" si="97"/>
      </c>
      <c r="Y21" s="36">
        <f t="shared" si="99"/>
      </c>
      <c r="Z21" s="36">
        <f t="shared" si="50"/>
      </c>
      <c r="AA21" s="36">
        <f t="shared" si="82"/>
      </c>
      <c r="AB21" s="36">
        <f t="shared" si="212"/>
      </c>
      <c r="AC21" s="36">
        <f t="shared" si="31"/>
      </c>
      <c r="AD21" s="37" t="s">
        <v>58</v>
      </c>
      <c r="AE21" s="37" t="s">
        <v>59</v>
      </c>
      <c r="AF21" s="38">
        <v>18196</v>
      </c>
      <c r="AG21" s="38">
        <v>3689</v>
      </c>
      <c r="AH21" s="38">
        <v>22201</v>
      </c>
      <c r="AI21" s="38">
        <v>333</v>
      </c>
      <c r="AJ21" s="39">
        <v>0</v>
      </c>
      <c r="AK21" s="38">
        <v>1923</v>
      </c>
      <c r="AL21" s="38">
        <v>141</v>
      </c>
      <c r="AM21" s="38">
        <v>36</v>
      </c>
      <c r="AN21" s="38">
        <v>1</v>
      </c>
      <c r="AO21" s="39">
        <v>0</v>
      </c>
      <c r="AP21" s="38">
        <f t="shared" ref="AP21:AP23" si="106">COUNT(AK21)</f>
      </c>
    </row>
    <row r="22">
      <c r="A22" s="22"/>
      <c r="B22" s="23" t="s">
        <v>53</v>
      </c>
      <c r="C22" s="24" t="s">
        <v>50</v>
      </c>
      <c r="D22" s="25">
        <v>732.309</v>
      </c>
      <c r="E22" s="26">
        <v>2</v>
      </c>
      <c r="F22" s="26">
        <v>0</v>
      </c>
      <c r="G22" s="27">
        <v>0</v>
      </c>
      <c r="H22" s="26">
        <v>0</v>
      </c>
      <c r="I22" s="28">
        <v>0</v>
      </c>
      <c r="J22" s="29">
        <f t="shared" si="138"/>
      </c>
      <c r="K22" s="30">
        <f t="shared" si="168"/>
      </c>
      <c r="L22" s="31">
        <f t="shared" si="0"/>
      </c>
      <c r="M22" s="31">
        <f t="shared" si="100"/>
      </c>
      <c r="N22" s="31">
        <f t="shared" si="132"/>
      </c>
      <c r="O22" s="32">
        <f t="shared" si="96"/>
      </c>
      <c r="P22" s="32">
        <f t="shared" si="98"/>
      </c>
      <c r="Q22" s="33">
        <f t="shared" si="34"/>
      </c>
      <c r="R22" s="31">
        <f t="shared" si="66"/>
      </c>
      <c r="S22" s="31">
        <f t="shared" si="196"/>
      </c>
      <c r="T22" s="34">
        <f t="shared" si="3"/>
      </c>
      <c r="U22" s="35">
        <f t="shared" si="18"/>
      </c>
      <c r="V22" s="36">
        <f t="shared" si="101"/>
      </c>
      <c r="W22" s="36">
        <f t="shared" si="133"/>
      </c>
      <c r="X22" s="31">
        <f t="shared" si="97"/>
      </c>
      <c r="Y22" s="36">
        <f t="shared" si="99"/>
      </c>
      <c r="Z22" s="36">
        <f t="shared" si="50"/>
      </c>
      <c r="AA22" s="36">
        <f t="shared" si="82"/>
      </c>
      <c r="AB22" s="36">
        <f t="shared" si="212"/>
      </c>
      <c r="AC22" s="36">
        <f t="shared" si="31"/>
      </c>
      <c r="AD22" s="37" t="s">
        <v>58</v>
      </c>
      <c r="AE22" s="37" t="s">
        <v>59</v>
      </c>
      <c r="AF22" s="38">
        <v>17809</v>
      </c>
      <c r="AG22" s="38">
        <v>4577</v>
      </c>
      <c r="AH22" s="38">
        <v>21902</v>
      </c>
      <c r="AI22" s="38">
        <v>415</v>
      </c>
      <c r="AJ22" s="39">
        <v>0</v>
      </c>
      <c r="AK22" s="38">
        <v>1904</v>
      </c>
      <c r="AL22" s="38">
        <v>184</v>
      </c>
      <c r="AM22" s="38">
        <v>27</v>
      </c>
      <c r="AN22" s="38">
        <v>3</v>
      </c>
      <c r="AO22" s="39">
        <v>0</v>
      </c>
      <c r="AP22" s="38">
        <f t="shared" si="106"/>
      </c>
    </row>
    <row r="23">
      <c r="A23" s="22"/>
      <c r="B23" s="23" t="s">
        <v>53</v>
      </c>
      <c r="C23" s="24" t="s">
        <v>51</v>
      </c>
      <c r="D23" s="25">
        <v>731.126</v>
      </c>
      <c r="E23" s="26">
        <v>1</v>
      </c>
      <c r="F23" s="26">
        <v>0</v>
      </c>
      <c r="G23" s="27">
        <v>0</v>
      </c>
      <c r="H23" s="26">
        <v>1</v>
      </c>
      <c r="I23" s="28">
        <v>1414.8000000000002</v>
      </c>
      <c r="J23" s="29">
        <f t="shared" si="138"/>
      </c>
      <c r="K23" s="30">
        <f t="shared" si="168"/>
      </c>
      <c r="L23" s="31">
        <f t="shared" si="0"/>
      </c>
      <c r="M23" s="31">
        <f t="shared" si="100"/>
      </c>
      <c r="N23" s="31">
        <f t="shared" si="132"/>
      </c>
      <c r="O23" s="32">
        <f t="shared" si="96"/>
      </c>
      <c r="P23" s="32">
        <f t="shared" si="98"/>
      </c>
      <c r="Q23" s="33">
        <f t="shared" si="34"/>
      </c>
      <c r="R23" s="31">
        <f t="shared" si="66"/>
      </c>
      <c r="S23" s="31">
        <f t="shared" si="196"/>
      </c>
      <c r="T23" s="34">
        <f t="shared" si="3"/>
      </c>
      <c r="U23" s="35">
        <f t="shared" si="18"/>
      </c>
      <c r="V23" s="36">
        <f t="shared" si="101"/>
      </c>
      <c r="W23" s="36">
        <f t="shared" si="133"/>
      </c>
      <c r="X23" s="31">
        <f t="shared" si="97"/>
      </c>
      <c r="Y23" s="36">
        <f t="shared" si="99"/>
      </c>
      <c r="Z23" s="36">
        <f t="shared" si="50"/>
      </c>
      <c r="AA23" s="36">
        <f t="shared" si="82"/>
      </c>
      <c r="AB23" s="36">
        <f t="shared" si="212"/>
      </c>
      <c r="AC23" s="36">
        <f t="shared" si="31"/>
      </c>
      <c r="AD23" s="37" t="s">
        <v>58</v>
      </c>
      <c r="AE23" s="37" t="s">
        <v>59</v>
      </c>
      <c r="AF23" s="38">
        <v>23037</v>
      </c>
      <c r="AG23" s="38">
        <v>5204</v>
      </c>
      <c r="AH23" s="38">
        <v>25229</v>
      </c>
      <c r="AI23" s="38">
        <v>490</v>
      </c>
      <c r="AJ23" s="39">
        <v>1</v>
      </c>
      <c r="AK23" s="38">
        <v>2145</v>
      </c>
      <c r="AL23" s="38">
        <v>205</v>
      </c>
      <c r="AM23" s="38">
        <v>18</v>
      </c>
      <c r="AN23" s="38">
        <v>1</v>
      </c>
      <c r="AO23" s="39">
        <v>0</v>
      </c>
      <c r="AP23" s="38">
        <f t="shared" si="106"/>
      </c>
    </row>
    <row r="24">
      <c r="A24" s="22"/>
      <c r="B24" s="40" t="s">
        <v>52</v>
      </c>
      <c r="C24" s="40"/>
      <c r="D24" s="41">
        <f>SUM(D21:D23)</f>
      </c>
      <c r="E24" s="42">
        <f>SUM(E21:E23)</f>
      </c>
      <c r="F24" s="42">
        <f>SUM(F21:F23)</f>
      </c>
      <c r="G24" s="41">
        <f>SUM(G21:G23)</f>
      </c>
      <c r="H24" s="42">
        <f>SUM(H21:H23)</f>
      </c>
      <c r="I24" s="41">
        <f>SUM(I21:I23)</f>
      </c>
      <c r="J24" s="43">
        <f>SUM(J21:J23)</f>
      </c>
      <c r="K24" s="41">
        <f>SUM(K21:K23)</f>
      </c>
      <c r="L24" s="41">
        <f t="shared" si="0"/>
      </c>
      <c r="M24" s="41">
        <f t="shared" si="100"/>
      </c>
      <c r="N24" s="41">
        <f t="shared" si="132"/>
      </c>
      <c r="O24" s="44">
        <f t="shared" si="96"/>
      </c>
      <c r="P24" s="44">
        <f t="shared" si="98"/>
      </c>
      <c r="Q24" s="45">
        <f t="shared" si="34"/>
      </c>
      <c r="R24" s="46">
        <f t="shared" si="66"/>
      </c>
      <c r="S24" s="46">
        <f t="shared" si="196"/>
      </c>
      <c r="T24" s="47">
        <f t="shared" si="3"/>
      </c>
      <c r="U24" s="48">
        <f t="shared" si="18"/>
      </c>
      <c r="V24" s="48">
        <f t="shared" si="101"/>
      </c>
      <c r="W24" s="48">
        <f t="shared" si="133"/>
      </c>
      <c r="X24" s="46">
        <f t="shared" si="97"/>
      </c>
      <c r="Y24" s="48">
        <f t="shared" si="99"/>
      </c>
      <c r="Z24" s="49">
        <f t="shared" si="50"/>
      </c>
      <c r="AA24" s="49">
        <f t="shared" si="82"/>
      </c>
      <c r="AB24" s="49">
        <f t="shared" si="212"/>
      </c>
      <c r="AC24" s="49">
        <f t="shared" si="31"/>
      </c>
      <c r="AD24" s="49"/>
      <c r="AE24" s="50"/>
      <c r="AF24" s="51">
        <f>SUM(AF21:AF23)</f>
      </c>
      <c r="AG24" s="51">
        <f>SUM(AG21:AG23)</f>
      </c>
      <c r="AH24" s="51">
        <f>SUM(AH21:AH23)</f>
      </c>
      <c r="AI24" s="51">
        <f>SUM(AI21:AI23)</f>
      </c>
      <c r="AJ24" s="51">
        <f>SUM(AJ21:AJ23)</f>
      </c>
      <c r="AK24" s="51">
        <f>SUM(AK21:AK23)</f>
      </c>
      <c r="AL24" s="51">
        <f>SUM(AL21:AL23)</f>
      </c>
      <c r="AM24" s="51">
        <f>SUM(AM21:AM23)</f>
      </c>
      <c r="AN24" s="51">
        <f>SUM(AN21:AN23)</f>
      </c>
      <c r="AO24" s="51">
        <f>SUM(AO21:AO23)</f>
      </c>
      <c r="AP24" s="51">
        <f>SUM(AP21:AP23)</f>
      </c>
    </row>
    <row r="25">
      <c r="A25" s="22"/>
      <c r="B25" s="23" t="s">
        <v>60</v>
      </c>
      <c r="C25" s="24" t="s">
        <v>54</v>
      </c>
      <c r="D25" s="25">
        <v>760.926</v>
      </c>
      <c r="E25" s="26">
        <v>2</v>
      </c>
      <c r="F25" s="26">
        <v>0</v>
      </c>
      <c r="G25" s="52">
        <v>0</v>
      </c>
      <c r="H25" s="26">
        <v>2</v>
      </c>
      <c r="I25" s="28">
        <v>2829.6000000000004</v>
      </c>
      <c r="J25" s="29">
        <f t="shared" ref="J25:J27" si="139">F25+H25</f>
      </c>
      <c r="K25" s="30">
        <f t="shared" ref="K25:K27" si="169">G25+I25</f>
      </c>
      <c r="L25" s="30">
        <f t="shared" si="0"/>
      </c>
      <c r="M25" s="30">
        <f t="shared" si="100"/>
      </c>
      <c r="N25" s="30">
        <f t="shared" si="132"/>
      </c>
      <c r="O25" s="32">
        <f t="shared" si="96"/>
      </c>
      <c r="P25" s="32">
        <f t="shared" si="98"/>
      </c>
      <c r="Q25" s="33">
        <f t="shared" si="34"/>
      </c>
      <c r="R25" s="31">
        <f t="shared" si="66"/>
      </c>
      <c r="S25" s="31">
        <f t="shared" si="196"/>
      </c>
      <c r="T25" s="34">
        <f t="shared" si="3"/>
      </c>
      <c r="U25" s="35">
        <f t="shared" si="18"/>
      </c>
      <c r="V25" s="36">
        <f t="shared" si="101"/>
      </c>
      <c r="W25" s="36">
        <f t="shared" si="133"/>
      </c>
      <c r="X25" s="31">
        <f t="shared" si="97"/>
      </c>
      <c r="Y25" s="36">
        <f t="shared" si="99"/>
      </c>
      <c r="Z25" s="36">
        <f t="shared" si="50"/>
      </c>
      <c r="AA25" s="36">
        <f t="shared" si="82"/>
      </c>
      <c r="AB25" s="36">
        <f t="shared" si="212"/>
      </c>
      <c r="AC25" s="36">
        <f t="shared" si="31"/>
      </c>
      <c r="AD25" s="37" t="s">
        <v>58</v>
      </c>
      <c r="AE25" s="37" t="s">
        <v>59</v>
      </c>
      <c r="AF25" s="53">
        <v>25685</v>
      </c>
      <c r="AG25" s="53">
        <v>4249</v>
      </c>
      <c r="AH25" s="38">
        <v>34322</v>
      </c>
      <c r="AI25" s="38">
        <v>401</v>
      </c>
      <c r="AJ25" s="39">
        <v>3</v>
      </c>
      <c r="AK25" s="53">
        <v>2317</v>
      </c>
      <c r="AL25" s="39">
        <v>176</v>
      </c>
      <c r="AM25" s="39">
        <v>30</v>
      </c>
      <c r="AN25" s="39">
        <v>4</v>
      </c>
      <c r="AO25" s="39">
        <v>0</v>
      </c>
      <c r="AP25" s="38">
        <f t="shared" ref="AP25:AP27" si="107">COUNT(AK25)</f>
      </c>
    </row>
    <row r="26">
      <c r="A26" s="22"/>
      <c r="B26" s="23" t="s">
        <v>60</v>
      </c>
      <c r="C26" s="24" t="s">
        <v>55</v>
      </c>
      <c r="D26" s="25">
        <v>1210.381</v>
      </c>
      <c r="E26" s="26">
        <v>2</v>
      </c>
      <c r="F26" s="26">
        <v>1</v>
      </c>
      <c r="G26" s="27">
        <v>748.8</v>
      </c>
      <c r="H26" s="26">
        <v>1</v>
      </c>
      <c r="I26" s="28">
        <v>1088.3999999999996</v>
      </c>
      <c r="J26" s="29">
        <f t="shared" si="139"/>
      </c>
      <c r="K26" s="30">
        <f t="shared" si="169"/>
      </c>
      <c r="L26" s="30">
        <f t="shared" si="0"/>
      </c>
      <c r="M26" s="30">
        <f t="shared" si="100"/>
      </c>
      <c r="N26" s="30">
        <f t="shared" si="132"/>
      </c>
      <c r="O26" s="32">
        <f t="shared" si="96"/>
      </c>
      <c r="P26" s="32">
        <f t="shared" si="98"/>
      </c>
      <c r="Q26" s="33">
        <f t="shared" si="34"/>
      </c>
      <c r="R26" s="31">
        <f t="shared" si="66"/>
      </c>
      <c r="S26" s="31">
        <f t="shared" si="196"/>
      </c>
      <c r="T26" s="34">
        <f t="shared" si="3"/>
      </c>
      <c r="U26" s="35">
        <f t="shared" si="18"/>
      </c>
      <c r="V26" s="36">
        <f t="shared" si="101"/>
      </c>
      <c r="W26" s="36">
        <f t="shared" si="133"/>
      </c>
      <c r="X26" s="31">
        <f t="shared" si="97"/>
      </c>
      <c r="Y26" s="36">
        <f t="shared" si="99"/>
      </c>
      <c r="Z26" s="36">
        <f t="shared" si="50"/>
      </c>
      <c r="AA26" s="36">
        <f t="shared" si="82"/>
      </c>
      <c r="AB26" s="36">
        <f t="shared" si="212"/>
      </c>
      <c r="AC26" s="36">
        <f t="shared" si="31"/>
      </c>
      <c r="AD26" s="37" t="s">
        <v>58</v>
      </c>
      <c r="AE26" s="37" t="s">
        <v>59</v>
      </c>
      <c r="AF26" s="38">
        <v>33313</v>
      </c>
      <c r="AG26" s="54">
        <v>6771</v>
      </c>
      <c r="AH26" s="38">
        <v>60592</v>
      </c>
      <c r="AI26" s="55">
        <v>599</v>
      </c>
      <c r="AJ26" s="56">
        <v>3</v>
      </c>
      <c r="AK26" s="56">
        <v>4177</v>
      </c>
      <c r="AL26" s="56">
        <v>165</v>
      </c>
      <c r="AM26" s="56">
        <v>36</v>
      </c>
      <c r="AN26" s="56">
        <v>7</v>
      </c>
      <c r="AO26" s="39">
        <v>0</v>
      </c>
      <c r="AP26" s="38">
        <f t="shared" si="107"/>
      </c>
    </row>
    <row r="27">
      <c r="A27" s="22"/>
      <c r="B27" s="23" t="s">
        <v>60</v>
      </c>
      <c r="C27" s="24" t="s">
        <v>56</v>
      </c>
      <c r="D27" s="25">
        <v>1232.678</v>
      </c>
      <c r="E27" s="26">
        <v>5</v>
      </c>
      <c r="F27" s="26">
        <v>1</v>
      </c>
      <c r="G27" s="27">
        <v>1132.8000000000002</v>
      </c>
      <c r="H27" s="26">
        <v>3</v>
      </c>
      <c r="I27" s="28">
        <v>5987.999999999999</v>
      </c>
      <c r="J27" s="29">
        <f t="shared" si="139"/>
      </c>
      <c r="K27" s="30">
        <f t="shared" si="169"/>
      </c>
      <c r="L27" s="30">
        <f t="shared" si="0"/>
      </c>
      <c r="M27" s="30">
        <f t="shared" si="100"/>
      </c>
      <c r="N27" s="30">
        <f t="shared" si="132"/>
      </c>
      <c r="O27" s="32">
        <f t="shared" si="96"/>
      </c>
      <c r="P27" s="32">
        <f t="shared" si="98"/>
      </c>
      <c r="Q27" s="33">
        <f>D27/AI27</f>
      </c>
      <c r="R27" s="31">
        <f>D27/AJ27</f>
      </c>
      <c r="S27" s="31">
        <f>D27/AK27</f>
      </c>
      <c r="T27" s="34">
        <f>AJ27/AI27</f>
      </c>
      <c r="U27" s="35">
        <f t="shared" si="18"/>
      </c>
      <c r="V27" s="36">
        <f t="shared" si="101"/>
      </c>
      <c r="W27" s="36">
        <f t="shared" si="133"/>
      </c>
      <c r="X27" s="31">
        <f t="shared" si="97"/>
      </c>
      <c r="Y27" s="36">
        <f t="shared" si="99"/>
      </c>
      <c r="Z27" s="36">
        <f>AL27/AI27</f>
      </c>
      <c r="AA27" s="36">
        <f>AM27/AI27</f>
      </c>
      <c r="AB27" s="36">
        <f>AN27/AI27</f>
      </c>
      <c r="AC27" s="36">
        <f t="shared" si="31"/>
      </c>
      <c r="AD27" s="37" t="s">
        <v>58</v>
      </c>
      <c r="AE27" s="37" t="s">
        <v>59</v>
      </c>
      <c r="AF27" s="38">
        <v>31102</v>
      </c>
      <c r="AG27" s="54">
        <v>5718</v>
      </c>
      <c r="AH27" s="38">
        <v>51191</v>
      </c>
      <c r="AI27" s="55">
        <v>507</v>
      </c>
      <c r="AJ27" s="56">
        <v>2</v>
      </c>
      <c r="AK27" s="56">
        <v>3761</v>
      </c>
      <c r="AL27" s="56">
        <v>174</v>
      </c>
      <c r="AM27" s="56">
        <v>42</v>
      </c>
      <c r="AN27" s="56">
        <v>6</v>
      </c>
      <c r="AO27" s="39">
        <v>1</v>
      </c>
      <c r="AP27" s="38">
        <f t="shared" si="107"/>
      </c>
    </row>
    <row r="28">
      <c r="A28" s="22"/>
      <c r="B28" s="40" t="s">
        <v>52</v>
      </c>
      <c r="C28" s="40"/>
      <c r="D28" s="41">
        <f>SUM(D25:D27)</f>
      </c>
      <c r="E28" s="42">
        <f>SUM(E25:E27)</f>
      </c>
      <c r="F28" s="42">
        <f>SUM(F25:F27)</f>
      </c>
      <c r="G28" s="41">
        <f>SUM(G25:G27)</f>
      </c>
      <c r="H28" s="42">
        <f>SUM(H25:H27)</f>
      </c>
      <c r="I28" s="41">
        <f>SUM(I25:I27)</f>
      </c>
      <c r="J28" s="43">
        <f>SUM(J25:J27)</f>
      </c>
      <c r="K28" s="41">
        <f>SUM(K25:K27)</f>
      </c>
      <c r="L28" s="41">
        <f t="shared" si="0"/>
      </c>
      <c r="M28" s="41">
        <f t="shared" si="100"/>
      </c>
      <c r="N28" s="41">
        <f t="shared" si="132"/>
      </c>
      <c r="O28" s="44">
        <f t="shared" si="96"/>
      </c>
      <c r="P28" s="44">
        <f t="shared" si="98"/>
      </c>
      <c r="Q28" s="45">
        <f t="shared" ref="Q28:Q35" si="35">D28/AH28</f>
      </c>
      <c r="R28" s="46">
        <f t="shared" ref="R28:R35" si="67">D28/AI28</f>
      </c>
      <c r="S28" s="46">
        <f t="shared" ref="S28:S35" si="197">D28/AJ28</f>
      </c>
      <c r="T28" s="47">
        <f t="shared" ref="T28:T35" si="4">AI28/AH28</f>
      </c>
      <c r="U28" s="48">
        <f t="shared" si="18"/>
      </c>
      <c r="V28" s="48">
        <f t="shared" si="101"/>
      </c>
      <c r="W28" s="48">
        <f t="shared" si="133"/>
      </c>
      <c r="X28" s="46">
        <f t="shared" si="97"/>
      </c>
      <c r="Y28" s="48">
        <f t="shared" si="99"/>
      </c>
      <c r="Z28" s="49">
        <f t="shared" ref="Z28:Z35" si="51">AK28/AH28</f>
      </c>
      <c r="AA28" s="49">
        <f t="shared" ref="AA28:AA35" si="83">AL28/AH28</f>
      </c>
      <c r="AB28" s="49">
        <f t="shared" ref="AB28:AB35" si="213">AM28/AH28</f>
      </c>
      <c r="AC28" s="49">
        <f t="shared" si="31"/>
      </c>
      <c r="AD28" s="49"/>
      <c r="AE28" s="50"/>
      <c r="AF28" s="51">
        <f>SUM(AF25:AF27)</f>
      </c>
      <c r="AG28" s="51">
        <f>SUM(AG25:AG27)</f>
      </c>
      <c r="AH28" s="57">
        <f>SUM(AH25:AH27)</f>
      </c>
      <c r="AI28" s="51">
        <f>SUM(AI25:AI27)</f>
      </c>
      <c r="AJ28" s="51">
        <f>SUM(AJ25:AJ27)</f>
      </c>
      <c r="AK28" s="51">
        <f>SUM(AK25:AK27)</f>
      </c>
      <c r="AL28" s="51">
        <f>SUM(AL25:AL27)</f>
      </c>
      <c r="AM28" s="51">
        <f>SUM(AM25:AM27)</f>
      </c>
      <c r="AN28" s="51">
        <f>SUM(AN25:AN27)</f>
      </c>
      <c r="AO28" s="51">
        <f>SUM(AO25:AO27)</f>
      </c>
      <c r="AP28" s="51">
        <f>SUM(AP25:AP27)</f>
      </c>
    </row>
    <row r="29">
      <c r="A29" s="22"/>
      <c r="B29" s="58" t="s">
        <v>57</v>
      </c>
      <c r="C29" s="58"/>
      <c r="D29" s="59">
        <f>D28+D24</f>
      </c>
      <c r="E29" s="60">
        <f>E28+E24</f>
      </c>
      <c r="F29" s="60">
        <f>F28+F24</f>
      </c>
      <c r="G29" s="59">
        <f>G28+G24</f>
      </c>
      <c r="H29" s="60">
        <f>H28+H24</f>
      </c>
      <c r="I29" s="59">
        <f>I28+I24</f>
      </c>
      <c r="J29" s="61">
        <f>J28+J24</f>
      </c>
      <c r="K29" s="59">
        <f>K28+K24</f>
      </c>
      <c r="L29" s="59">
        <f t="shared" si="0"/>
      </c>
      <c r="M29" s="59">
        <f t="shared" si="100"/>
      </c>
      <c r="N29" s="59">
        <f t="shared" si="132"/>
      </c>
      <c r="O29" s="62">
        <f t="shared" si="96"/>
      </c>
      <c r="P29" s="62">
        <f t="shared" si="98"/>
      </c>
      <c r="Q29" s="63">
        <f t="shared" si="35"/>
      </c>
      <c r="R29" s="63">
        <f t="shared" si="67"/>
      </c>
      <c r="S29" s="64">
        <f t="shared" si="197"/>
      </c>
      <c r="T29" s="65">
        <f t="shared" si="4"/>
      </c>
      <c r="U29" s="66">
        <f t="shared" si="18"/>
      </c>
      <c r="V29" s="66">
        <f t="shared" si="101"/>
      </c>
      <c r="W29" s="66">
        <f t="shared" si="133"/>
      </c>
      <c r="X29" s="64">
        <f t="shared" si="97"/>
      </c>
      <c r="Y29" s="66">
        <f t="shared" si="99"/>
      </c>
      <c r="Z29" s="67">
        <f t="shared" si="51"/>
      </c>
      <c r="AA29" s="67">
        <f t="shared" si="83"/>
      </c>
      <c r="AB29" s="67">
        <f t="shared" si="213"/>
      </c>
      <c r="AC29" s="67">
        <f t="shared" si="31"/>
      </c>
      <c r="AD29" s="67"/>
      <c r="AE29" s="68"/>
      <c r="AF29" s="69">
        <f>AF28+AF24</f>
      </c>
      <c r="AG29" s="69">
        <f>AG28+AG24</f>
      </c>
      <c r="AH29" s="69">
        <f>AH28+AH24</f>
      </c>
      <c r="AI29" s="69">
        <f>AI28+AI24</f>
      </c>
      <c r="AJ29" s="69">
        <f>AJ28+AJ24</f>
      </c>
      <c r="AK29" s="69">
        <f>AK28+AK24</f>
      </c>
      <c r="AL29" s="69">
        <f>AL28+AL24</f>
      </c>
      <c r="AM29" s="69">
        <f>AM28+AM24</f>
      </c>
      <c r="AN29" s="69">
        <f>AN28+AN24</f>
      </c>
      <c r="AO29" s="69">
        <f>AO28+AO24</f>
      </c>
      <c r="AP29" s="69">
        <f>AP28+AP24</f>
      </c>
    </row>
    <row r="30">
      <c r="A30" s="22">
        <v>46299</v>
      </c>
      <c r="B30" s="23" t="s">
        <v>61</v>
      </c>
      <c r="C30" s="24" t="s">
        <v>47</v>
      </c>
      <c r="D30" s="25">
        <v>1880.748</v>
      </c>
      <c r="E30" s="26">
        <v>2</v>
      </c>
      <c r="F30" s="26">
        <v>1</v>
      </c>
      <c r="G30" s="52">
        <v>498</v>
      </c>
      <c r="H30" s="26">
        <v>0</v>
      </c>
      <c r="I30" s="28">
        <v>0</v>
      </c>
      <c r="J30" s="29">
        <f t="shared" ref="J30:J32" si="140">F30+H30</f>
      </c>
      <c r="K30" s="30">
        <f t="shared" ref="K30:K32" si="170">G30+I30</f>
      </c>
      <c r="L30" s="31">
        <f t="shared" si="0"/>
      </c>
      <c r="M30" s="31">
        <f t="shared" si="100"/>
      </c>
      <c r="N30" s="31">
        <f t="shared" si="132"/>
      </c>
      <c r="O30" s="32">
        <f t="shared" si="96"/>
      </c>
      <c r="P30" s="32">
        <f t="shared" si="98"/>
      </c>
      <c r="Q30" s="33">
        <f t="shared" si="35"/>
      </c>
      <c r="R30" s="31">
        <f t="shared" si="67"/>
      </c>
      <c r="S30" s="31">
        <f t="shared" si="197"/>
      </c>
      <c r="T30" s="34">
        <f t="shared" si="4"/>
      </c>
      <c r="U30" s="35">
        <f t="shared" si="18"/>
      </c>
      <c r="V30" s="36">
        <f t="shared" si="101"/>
      </c>
      <c r="W30" s="36">
        <f t="shared" si="133"/>
      </c>
      <c r="X30" s="31">
        <f t="shared" si="97"/>
      </c>
      <c r="Y30" s="36">
        <f t="shared" si="99"/>
      </c>
      <c r="Z30" s="36">
        <f t="shared" si="51"/>
      </c>
      <c r="AA30" s="36">
        <f t="shared" si="83"/>
      </c>
      <c r="AB30" s="36">
        <f t="shared" si="213"/>
      </c>
      <c r="AC30" s="36">
        <f t="shared" si="31"/>
      </c>
      <c r="AD30" s="37" t="s">
        <v>58</v>
      </c>
      <c r="AE30" s="37" t="s">
        <v>59</v>
      </c>
      <c r="AF30" s="38">
        <v>35145</v>
      </c>
      <c r="AG30" s="38">
        <v>5012</v>
      </c>
      <c r="AH30" s="38">
        <v>63003</v>
      </c>
      <c r="AI30" s="38">
        <v>461</v>
      </c>
      <c r="AJ30" s="39">
        <v>1</v>
      </c>
      <c r="AK30" s="38">
        <v>4345</v>
      </c>
      <c r="AL30" s="38">
        <v>150</v>
      </c>
      <c r="AM30" s="38">
        <v>21</v>
      </c>
      <c r="AN30" s="38">
        <v>1</v>
      </c>
      <c r="AO30" s="39">
        <v>0</v>
      </c>
      <c r="AP30" s="38">
        <f t="shared" ref="AP30:AP32" si="108">COUNT(AK30)</f>
      </c>
    </row>
    <row r="31">
      <c r="A31" s="22"/>
      <c r="B31" s="23" t="s">
        <v>61</v>
      </c>
      <c r="C31" s="24" t="s">
        <v>50</v>
      </c>
      <c r="D31" s="25">
        <v>1220.184</v>
      </c>
      <c r="E31" s="26">
        <v>2</v>
      </c>
      <c r="F31" s="26">
        <v>0</v>
      </c>
      <c r="G31" s="27">
        <v>0</v>
      </c>
      <c r="H31" s="26">
        <v>0</v>
      </c>
      <c r="I31" s="28">
        <v>0</v>
      </c>
      <c r="J31" s="29">
        <f t="shared" si="140"/>
      </c>
      <c r="K31" s="30">
        <f t="shared" si="170"/>
      </c>
      <c r="L31" s="31">
        <f t="shared" si="0"/>
      </c>
      <c r="M31" s="31">
        <f t="shared" si="100"/>
      </c>
      <c r="N31" s="31">
        <f t="shared" si="132"/>
      </c>
      <c r="O31" s="32">
        <f t="shared" si="96"/>
      </c>
      <c r="P31" s="32">
        <f t="shared" si="98"/>
      </c>
      <c r="Q31" s="33">
        <f t="shared" si="35"/>
      </c>
      <c r="R31" s="31">
        <f t="shared" si="67"/>
      </c>
      <c r="S31" s="31">
        <f t="shared" si="197"/>
      </c>
      <c r="T31" s="34">
        <f t="shared" si="4"/>
      </c>
      <c r="U31" s="35">
        <f t="shared" si="18"/>
      </c>
      <c r="V31" s="36">
        <f t="shared" si="101"/>
      </c>
      <c r="W31" s="36">
        <f t="shared" si="133"/>
      </c>
      <c r="X31" s="31">
        <f t="shared" si="97"/>
      </c>
      <c r="Y31" s="36">
        <f t="shared" si="99"/>
      </c>
      <c r="Z31" s="36">
        <f t="shared" si="51"/>
      </c>
      <c r="AA31" s="36">
        <f t="shared" si="83"/>
      </c>
      <c r="AB31" s="36">
        <f t="shared" si="213"/>
      </c>
      <c r="AC31" s="36">
        <f t="shared" si="31"/>
      </c>
      <c r="AD31" s="37" t="s">
        <v>58</v>
      </c>
      <c r="AE31" s="37" t="s">
        <v>59</v>
      </c>
      <c r="AF31" s="38">
        <v>27179</v>
      </c>
      <c r="AG31" s="38">
        <v>4055</v>
      </c>
      <c r="AH31" s="38">
        <v>45188</v>
      </c>
      <c r="AI31" s="38">
        <v>366</v>
      </c>
      <c r="AJ31" s="39">
        <v>0</v>
      </c>
      <c r="AK31" s="38">
        <v>2807</v>
      </c>
      <c r="AL31" s="38">
        <v>126</v>
      </c>
      <c r="AM31" s="38">
        <v>24</v>
      </c>
      <c r="AN31" s="38">
        <v>2</v>
      </c>
      <c r="AO31" s="39">
        <v>0</v>
      </c>
      <c r="AP31" s="38">
        <f t="shared" si="108"/>
      </c>
    </row>
    <row r="32">
      <c r="A32" s="22"/>
      <c r="B32" s="23" t="s">
        <v>61</v>
      </c>
      <c r="C32" s="24" t="s">
        <v>51</v>
      </c>
      <c r="D32" s="25">
        <v>1105.102</v>
      </c>
      <c r="E32" s="26">
        <v>4</v>
      </c>
      <c r="F32" s="26">
        <v>0</v>
      </c>
      <c r="G32" s="27">
        <v>0</v>
      </c>
      <c r="H32" s="26">
        <v>2</v>
      </c>
      <c r="I32" s="28">
        <v>1437.6</v>
      </c>
      <c r="J32" s="29">
        <f t="shared" si="140"/>
      </c>
      <c r="K32" s="30">
        <f t="shared" si="170"/>
      </c>
      <c r="L32" s="31">
        <f t="shared" si="0"/>
      </c>
      <c r="M32" s="31">
        <f t="shared" si="100"/>
      </c>
      <c r="N32" s="31">
        <f t="shared" si="132"/>
      </c>
      <c r="O32" s="32">
        <f t="shared" si="96"/>
      </c>
      <c r="P32" s="32">
        <f t="shared" si="98"/>
      </c>
      <c r="Q32" s="33">
        <f t="shared" si="35"/>
      </c>
      <c r="R32" s="31">
        <f t="shared" si="67"/>
      </c>
      <c r="S32" s="31">
        <f t="shared" si="197"/>
      </c>
      <c r="T32" s="34">
        <f t="shared" si="4"/>
      </c>
      <c r="U32" s="35">
        <f t="shared" si="18"/>
      </c>
      <c r="V32" s="36">
        <f t="shared" si="101"/>
      </c>
      <c r="W32" s="36">
        <f t="shared" si="133"/>
      </c>
      <c r="X32" s="31">
        <f t="shared" si="97"/>
      </c>
      <c r="Y32" s="36">
        <f t="shared" si="99"/>
      </c>
      <c r="Z32" s="36">
        <f t="shared" si="51"/>
      </c>
      <c r="AA32" s="36">
        <f t="shared" si="83"/>
      </c>
      <c r="AB32" s="36">
        <f t="shared" si="213"/>
      </c>
      <c r="AC32" s="36">
        <f t="shared" si="31"/>
      </c>
      <c r="AD32" s="37" t="s">
        <v>58</v>
      </c>
      <c r="AE32" s="37" t="s">
        <v>59</v>
      </c>
      <c r="AF32" s="38">
        <v>27113</v>
      </c>
      <c r="AG32" s="38">
        <v>3805</v>
      </c>
      <c r="AH32" s="38">
        <v>35758</v>
      </c>
      <c r="AI32" s="38">
        <v>382</v>
      </c>
      <c r="AJ32" s="39">
        <v>2</v>
      </c>
      <c r="AK32" s="38">
        <v>2286</v>
      </c>
      <c r="AL32" s="38">
        <v>149</v>
      </c>
      <c r="AM32" s="38">
        <v>23</v>
      </c>
      <c r="AN32" s="38">
        <v>2</v>
      </c>
      <c r="AO32" s="39">
        <v>1</v>
      </c>
      <c r="AP32" s="38">
        <f t="shared" si="108"/>
      </c>
    </row>
    <row r="33">
      <c r="A33" s="22"/>
      <c r="B33" s="40" t="s">
        <v>52</v>
      </c>
      <c r="C33" s="40"/>
      <c r="D33" s="41">
        <f>SUM(D30:D32)</f>
      </c>
      <c r="E33" s="42">
        <f>SUM(E30:E32)</f>
      </c>
      <c r="F33" s="42">
        <f>SUM(F30:F32)</f>
      </c>
      <c r="G33" s="41">
        <f>SUM(G30:G32)</f>
      </c>
      <c r="H33" s="42">
        <f>SUM(H30:H32)</f>
      </c>
      <c r="I33" s="41">
        <f>SUM(I30:I32)</f>
      </c>
      <c r="J33" s="43">
        <f>SUM(J30:J32)</f>
      </c>
      <c r="K33" s="41">
        <f>SUM(K30:K32)</f>
      </c>
      <c r="L33" s="41">
        <f t="shared" si="0"/>
      </c>
      <c r="M33" s="41">
        <f t="shared" si="100"/>
      </c>
      <c r="N33" s="41">
        <f t="shared" si="132"/>
      </c>
      <c r="O33" s="44">
        <f t="shared" si="96"/>
      </c>
      <c r="P33" s="44">
        <f t="shared" si="98"/>
      </c>
      <c r="Q33" s="45">
        <f t="shared" si="35"/>
      </c>
      <c r="R33" s="46">
        <f t="shared" si="67"/>
      </c>
      <c r="S33" s="70">
        <f t="shared" si="197"/>
      </c>
      <c r="T33" s="71">
        <f t="shared" si="4"/>
      </c>
      <c r="U33" s="72">
        <f t="shared" si="18"/>
      </c>
      <c r="V33" s="72">
        <f t="shared" si="101"/>
      </c>
      <c r="W33" s="72">
        <f t="shared" si="133"/>
      </c>
      <c r="X33" s="70">
        <f t="shared" si="97"/>
      </c>
      <c r="Y33" s="72">
        <f t="shared" si="99"/>
      </c>
      <c r="Z33" s="73">
        <f t="shared" si="51"/>
      </c>
      <c r="AA33" s="73">
        <f t="shared" si="83"/>
      </c>
      <c r="AB33" s="73">
        <f t="shared" si="213"/>
      </c>
      <c r="AC33" s="73">
        <f t="shared" si="31"/>
      </c>
      <c r="AD33" s="49"/>
      <c r="AE33" s="50"/>
      <c r="AF33" s="51">
        <f>SUM(AF30:AF32)</f>
      </c>
      <c r="AG33" s="51">
        <f>SUM(AG30:AG32)</f>
      </c>
      <c r="AH33" s="51">
        <f>SUM(AH30:AH32)</f>
      </c>
      <c r="AI33" s="51">
        <f>SUM(AI30:AI32)</f>
      </c>
      <c r="AJ33" s="51">
        <f>SUM(AJ30:AJ32)</f>
      </c>
      <c r="AK33" s="51">
        <f>SUM(AK30:AK32)</f>
      </c>
      <c r="AL33" s="51">
        <f>SUM(AL30:AL32)</f>
      </c>
      <c r="AM33" s="51">
        <f>SUM(AM30:AM32)</f>
      </c>
      <c r="AN33" s="51">
        <f>SUM(AN30:AN32)</f>
      </c>
      <c r="AO33" s="51">
        <f>SUM(AO30:AO32)</f>
      </c>
      <c r="AP33" s="51">
        <f>SUM(AP30:AP32)</f>
      </c>
    </row>
    <row r="34">
      <c r="A34" s="22"/>
      <c r="B34" s="23" t="s">
        <v>60</v>
      </c>
      <c r="C34" s="24" t="s">
        <v>54</v>
      </c>
      <c r="D34" s="25">
        <v>1069.498</v>
      </c>
      <c r="E34" s="26">
        <v>4</v>
      </c>
      <c r="F34" s="26">
        <v>1</v>
      </c>
      <c r="G34" s="52">
        <v>704.4000000000001</v>
      </c>
      <c r="H34" s="26">
        <v>2</v>
      </c>
      <c r="I34" s="28">
        <v>3375.6</v>
      </c>
      <c r="J34" s="29">
        <f t="shared" ref="J34:J36" si="141">F34+H34</f>
      </c>
      <c r="K34" s="30">
        <f t="shared" ref="K34:K36" si="171">G34+I34</f>
      </c>
      <c r="L34" s="30">
        <f t="shared" si="0"/>
      </c>
      <c r="M34" s="30">
        <f t="shared" si="100"/>
      </c>
      <c r="N34" s="30">
        <f t="shared" si="132"/>
      </c>
      <c r="O34" s="32">
        <f t="shared" si="96"/>
      </c>
      <c r="P34" s="32">
        <f t="shared" si="98"/>
      </c>
      <c r="Q34" s="33">
        <f t="shared" si="35"/>
      </c>
      <c r="R34" s="74">
        <f t="shared" si="67"/>
      </c>
      <c r="S34" s="31">
        <f t="shared" si="197"/>
      </c>
      <c r="T34" s="34">
        <f t="shared" si="4"/>
      </c>
      <c r="U34" s="34">
        <f t="shared" si="18"/>
      </c>
      <c r="V34" s="34">
        <f t="shared" si="101"/>
      </c>
      <c r="W34" s="34">
        <f t="shared" si="133"/>
      </c>
      <c r="X34" s="31">
        <f t="shared" si="97"/>
      </c>
      <c r="Y34" s="34">
        <f t="shared" si="99"/>
      </c>
      <c r="Z34" s="34">
        <f t="shared" si="51"/>
      </c>
      <c r="AA34" s="34">
        <f t="shared" si="83"/>
      </c>
      <c r="AB34" s="34">
        <f t="shared" si="213"/>
      </c>
      <c r="AC34" s="34">
        <f t="shared" si="31"/>
      </c>
      <c r="AD34" s="37" t="s">
        <v>58</v>
      </c>
      <c r="AE34" s="37" t="s">
        <v>59</v>
      </c>
      <c r="AF34" s="53">
        <v>26986</v>
      </c>
      <c r="AG34" s="53">
        <v>4900</v>
      </c>
      <c r="AH34" s="38">
        <v>36057</v>
      </c>
      <c r="AI34" s="38">
        <v>365</v>
      </c>
      <c r="AJ34" s="39">
        <v>3</v>
      </c>
      <c r="AK34" s="53">
        <v>2527</v>
      </c>
      <c r="AL34" s="39">
        <v>159</v>
      </c>
      <c r="AM34" s="39">
        <v>39</v>
      </c>
      <c r="AN34" s="39">
        <v>3</v>
      </c>
      <c r="AO34" s="39">
        <v>0</v>
      </c>
      <c r="AP34" s="38">
        <f t="shared" ref="AP34:AP36" si="109">COUNT(AK34)</f>
      </c>
    </row>
    <row r="35">
      <c r="A35" s="22"/>
      <c r="B35" s="23" t="s">
        <v>60</v>
      </c>
      <c r="C35" s="24" t="s">
        <v>55</v>
      </c>
      <c r="D35" s="25">
        <v>951.759</v>
      </c>
      <c r="E35" s="26">
        <v>2</v>
      </c>
      <c r="F35" s="26">
        <v>1</v>
      </c>
      <c r="G35" s="27">
        <v>1691.9999999999995</v>
      </c>
      <c r="H35" s="26">
        <v>0</v>
      </c>
      <c r="I35" s="28">
        <v>0</v>
      </c>
      <c r="J35" s="29">
        <f t="shared" si="141"/>
      </c>
      <c r="K35" s="30">
        <f t="shared" si="171"/>
      </c>
      <c r="L35" s="30">
        <f t="shared" si="0"/>
      </c>
      <c r="M35" s="30">
        <f t="shared" si="100"/>
      </c>
      <c r="N35" s="30">
        <f t="shared" si="132"/>
      </c>
      <c r="O35" s="32">
        <f t="shared" si="96"/>
      </c>
      <c r="P35" s="32">
        <f t="shared" si="98"/>
      </c>
      <c r="Q35" s="33">
        <f t="shared" si="35"/>
      </c>
      <c r="R35" s="74">
        <f t="shared" si="67"/>
      </c>
      <c r="S35" s="31">
        <f t="shared" si="197"/>
      </c>
      <c r="T35" s="34">
        <f t="shared" si="4"/>
      </c>
      <c r="U35" s="34">
        <f t="shared" si="18"/>
      </c>
      <c r="V35" s="34">
        <f t="shared" si="101"/>
      </c>
      <c r="W35" s="34">
        <f t="shared" si="133"/>
      </c>
      <c r="X35" s="31">
        <f t="shared" si="97"/>
      </c>
      <c r="Y35" s="34">
        <f t="shared" si="99"/>
      </c>
      <c r="Z35" s="34">
        <f t="shared" si="51"/>
      </c>
      <c r="AA35" s="34">
        <f t="shared" si="83"/>
      </c>
      <c r="AB35" s="34">
        <f t="shared" si="213"/>
      </c>
      <c r="AC35" s="34">
        <f t="shared" si="31"/>
      </c>
      <c r="AD35" s="37" t="s">
        <v>58</v>
      </c>
      <c r="AE35" s="37" t="s">
        <v>59</v>
      </c>
      <c r="AF35" s="38">
        <v>27641</v>
      </c>
      <c r="AG35" s="54">
        <v>4635</v>
      </c>
      <c r="AH35" s="38">
        <v>41498</v>
      </c>
      <c r="AI35" s="55">
        <v>405</v>
      </c>
      <c r="AJ35" s="75">
        <v>1</v>
      </c>
      <c r="AK35" s="56">
        <v>2839</v>
      </c>
      <c r="AL35" s="56">
        <v>129</v>
      </c>
      <c r="AM35" s="56">
        <v>22</v>
      </c>
      <c r="AN35" s="56">
        <v>2</v>
      </c>
      <c r="AO35" s="39">
        <v>0</v>
      </c>
      <c r="AP35" s="38">
        <f t="shared" si="109"/>
      </c>
    </row>
    <row r="36">
      <c r="A36" s="22"/>
      <c r="B36" s="23" t="s">
        <v>60</v>
      </c>
      <c r="C36" s="24" t="s">
        <v>56</v>
      </c>
      <c r="D36" s="25">
        <v>890.444</v>
      </c>
      <c r="E36" s="26">
        <v>2</v>
      </c>
      <c r="F36" s="26">
        <v>1</v>
      </c>
      <c r="G36" s="27">
        <v>704.4000000000001</v>
      </c>
      <c r="H36" s="26">
        <v>1</v>
      </c>
      <c r="I36" s="28">
        <v>2722.8</v>
      </c>
      <c r="J36" s="29">
        <f t="shared" si="141"/>
      </c>
      <c r="K36" s="30">
        <f t="shared" si="171"/>
      </c>
      <c r="L36" s="30">
        <f t="shared" si="0"/>
      </c>
      <c r="M36" s="30">
        <f t="shared" si="100"/>
      </c>
      <c r="N36" s="30">
        <f t="shared" si="132"/>
      </c>
      <c r="O36" s="32">
        <f t="shared" si="96"/>
      </c>
      <c r="P36" s="32">
        <f t="shared" si="98"/>
      </c>
      <c r="Q36" s="33">
        <f>D36/AI36</f>
      </c>
      <c r="R36" s="74">
        <f>D36/AJ36</f>
      </c>
      <c r="S36" s="31">
        <f>D36/AK36</f>
      </c>
      <c r="T36" s="34">
        <f>AJ36/AI36</f>
      </c>
      <c r="U36" s="34">
        <f>AK36/AJ36</f>
      </c>
      <c r="V36" s="34">
        <f t="shared" si="101"/>
      </c>
      <c r="W36" s="34">
        <f t="shared" si="133"/>
      </c>
      <c r="X36" s="31">
        <f t="shared" si="97"/>
      </c>
      <c r="Y36" s="34">
        <f t="shared" si="99"/>
      </c>
      <c r="Z36" s="34">
        <f>AL36/AI36</f>
      </c>
      <c r="AA36" s="34">
        <f>AM36/AI36</f>
      </c>
      <c r="AB36" s="34">
        <f>AN36/AI36</f>
      </c>
      <c r="AC36" s="34">
        <f t="shared" si="31"/>
      </c>
      <c r="AD36" s="37" t="s">
        <v>58</v>
      </c>
      <c r="AE36" s="37" t="s">
        <v>59</v>
      </c>
      <c r="AF36" s="38">
        <v>29633</v>
      </c>
      <c r="AG36" s="54">
        <v>3673</v>
      </c>
      <c r="AH36" s="38">
        <v>34012</v>
      </c>
      <c r="AI36" s="55">
        <v>399</v>
      </c>
      <c r="AJ36" s="56">
        <v>2</v>
      </c>
      <c r="AK36" s="56">
        <v>2164</v>
      </c>
      <c r="AL36" s="56">
        <v>92</v>
      </c>
      <c r="AM36" s="56">
        <v>20</v>
      </c>
      <c r="AN36" s="56">
        <v>3</v>
      </c>
      <c r="AO36" s="39">
        <v>0</v>
      </c>
      <c r="AP36" s="38">
        <f t="shared" si="109"/>
      </c>
    </row>
    <row r="37">
      <c r="A37" s="22"/>
      <c r="B37" s="40" t="s">
        <v>52</v>
      </c>
      <c r="C37" s="40"/>
      <c r="D37" s="41">
        <f>SUM(D34:D36)</f>
      </c>
      <c r="E37" s="42">
        <f>SUM(E34:E36)</f>
      </c>
      <c r="F37" s="42">
        <f>SUM(F34:F36)</f>
      </c>
      <c r="G37" s="41">
        <f>SUM(G34:G36)</f>
      </c>
      <c r="H37" s="42">
        <f>SUM(H34:H36)</f>
      </c>
      <c r="I37" s="41">
        <f>SUM(I34:I36)</f>
      </c>
      <c r="J37" s="43">
        <f>SUM(J34:J36)</f>
      </c>
      <c r="K37" s="41">
        <f>SUM(K34:K36)</f>
      </c>
      <c r="L37" s="41">
        <f t="shared" si="0"/>
      </c>
      <c r="M37" s="41">
        <f t="shared" si="100"/>
      </c>
      <c r="N37" s="41">
        <f t="shared" si="132"/>
      </c>
      <c r="O37" s="44">
        <f t="shared" si="96"/>
      </c>
      <c r="P37" s="44">
        <f t="shared" si="98"/>
      </c>
      <c r="Q37" s="45">
        <f t="shared" ref="Q37:Q44" si="36">D37/AH37</f>
      </c>
      <c r="R37" s="76">
        <f t="shared" ref="R37:R44" si="68">D37/AI37</f>
      </c>
      <c r="S37" s="46">
        <f t="shared" ref="S37:S44" si="198">D37/AJ37</f>
      </c>
      <c r="T37" s="47">
        <f t="shared" ref="T37:T44" si="5">AI37/AH37</f>
      </c>
      <c r="U37" s="47">
        <f t="shared" ref="U37:U44" si="19">AJ37/AI37</f>
      </c>
      <c r="V37" s="47">
        <f t="shared" si="101"/>
      </c>
      <c r="W37" s="47">
        <f t="shared" si="133"/>
      </c>
      <c r="X37" s="46">
        <f t="shared" si="97"/>
      </c>
      <c r="Y37" s="47">
        <f t="shared" si="99"/>
      </c>
      <c r="Z37" s="47">
        <f t="shared" ref="Z37:Z44" si="52">AK37/AH37</f>
      </c>
      <c r="AA37" s="47">
        <f t="shared" ref="AA37:AA44" si="84">AL37/AH37</f>
      </c>
      <c r="AB37" s="47">
        <f t="shared" ref="AB37:AB44" si="214">AM37/AH37</f>
      </c>
      <c r="AC37" s="47">
        <f t="shared" si="31"/>
      </c>
      <c r="AD37" s="48"/>
      <c r="AE37" s="50"/>
      <c r="AF37" s="51">
        <f>SUM(AF34:AF36)</f>
      </c>
      <c r="AG37" s="51">
        <f>SUM(AG34:AG36)</f>
      </c>
      <c r="AH37" s="57">
        <f>SUM(AH34:AH36)</f>
      </c>
      <c r="AI37" s="51">
        <f>SUM(AI34:AI36)</f>
      </c>
      <c r="AJ37" s="51">
        <f>SUM(AJ34:AJ36)</f>
      </c>
      <c r="AK37" s="51">
        <f>SUM(AK34:AK36)</f>
      </c>
      <c r="AL37" s="51">
        <f>SUM(AL34:AL36)</f>
      </c>
      <c r="AM37" s="51">
        <f>SUM(AM34:AM36)</f>
      </c>
      <c r="AN37" s="51">
        <f>SUM(AN34:AN36)</f>
      </c>
      <c r="AO37" s="51">
        <f>SUM(AO34:AO36)</f>
      </c>
      <c r="AP37" s="51">
        <f>SUM(AP34:AP36)</f>
      </c>
    </row>
    <row r="38">
      <c r="A38" s="22"/>
      <c r="B38" s="58" t="s">
        <v>57</v>
      </c>
      <c r="C38" s="58"/>
      <c r="D38" s="59">
        <f>D37+D33</f>
      </c>
      <c r="E38" s="60">
        <f>E37+E33</f>
      </c>
      <c r="F38" s="60">
        <f>F37+F33</f>
      </c>
      <c r="G38" s="59">
        <f>G37+G33</f>
      </c>
      <c r="H38" s="60">
        <f>H37+H33</f>
      </c>
      <c r="I38" s="59">
        <f>I37+I33</f>
      </c>
      <c r="J38" s="61">
        <f>J37+J33</f>
      </c>
      <c r="K38" s="59">
        <f>K37+K33</f>
      </c>
      <c r="L38" s="59">
        <f t="shared" si="0"/>
      </c>
      <c r="M38" s="59">
        <f t="shared" si="100"/>
      </c>
      <c r="N38" s="59">
        <f t="shared" si="132"/>
      </c>
      <c r="O38" s="62">
        <f t="shared" si="96"/>
      </c>
      <c r="P38" s="62">
        <f t="shared" si="98"/>
      </c>
      <c r="Q38" s="63">
        <f t="shared" si="36"/>
      </c>
      <c r="R38" s="77">
        <f t="shared" si="68"/>
      </c>
      <c r="S38" s="64">
        <f t="shared" si="198"/>
      </c>
      <c r="T38" s="65">
        <f t="shared" si="5"/>
      </c>
      <c r="U38" s="65">
        <f t="shared" si="19"/>
      </c>
      <c r="V38" s="65">
        <f t="shared" si="101"/>
      </c>
      <c r="W38" s="65">
        <f t="shared" si="133"/>
      </c>
      <c r="X38" s="64">
        <f t="shared" si="97"/>
      </c>
      <c r="Y38" s="65">
        <f t="shared" si="99"/>
      </c>
      <c r="Z38" s="78">
        <f t="shared" si="52"/>
      </c>
      <c r="AA38" s="78">
        <f t="shared" si="84"/>
      </c>
      <c r="AB38" s="78">
        <f t="shared" si="214"/>
      </c>
      <c r="AC38" s="78">
        <f t="shared" si="31"/>
      </c>
      <c r="AD38" s="79"/>
      <c r="AE38" s="68"/>
      <c r="AF38" s="69">
        <f>AF37+AF33</f>
      </c>
      <c r="AG38" s="69">
        <f>AG37+AG33</f>
      </c>
      <c r="AH38" s="69">
        <f>AH37+AH33</f>
      </c>
      <c r="AI38" s="69">
        <f>AI37+AI33</f>
      </c>
      <c r="AJ38" s="69">
        <f>AJ37+AJ33</f>
      </c>
      <c r="AK38" s="69">
        <f>AK37+AK33</f>
      </c>
      <c r="AL38" s="69">
        <f>AL37+AL33</f>
      </c>
      <c r="AM38" s="69">
        <f>AM37+AM33</f>
      </c>
      <c r="AN38" s="69">
        <f>AN37+AN33</f>
      </c>
      <c r="AO38" s="69">
        <f>AO37+AO33</f>
      </c>
      <c r="AP38" s="69">
        <f>AP37+AP33</f>
      </c>
    </row>
    <row customHeight="true" ht="16.071428571428573" r="39">
      <c r="A39" s="22">
        <v>46300</v>
      </c>
      <c r="B39" s="23" t="s">
        <v>60</v>
      </c>
      <c r="C39" s="24" t="s">
        <v>47</v>
      </c>
      <c r="D39" s="25">
        <v>854.473</v>
      </c>
      <c r="E39" s="26">
        <v>1</v>
      </c>
      <c r="F39" s="26">
        <v>1</v>
      </c>
      <c r="G39" s="52">
        <v>704.4000000000001</v>
      </c>
      <c r="H39" s="26">
        <v>0</v>
      </c>
      <c r="I39" s="28">
        <v>0</v>
      </c>
      <c r="J39" s="29">
        <f t="shared" ref="J39:J41" si="142">F39+H39</f>
      </c>
      <c r="K39" s="30">
        <f t="shared" ref="K39:K41" si="172">G39+I39</f>
      </c>
      <c r="L39" s="31">
        <f t="shared" si="0"/>
      </c>
      <c r="M39" s="31">
        <f t="shared" si="100"/>
      </c>
      <c r="N39" s="31">
        <f t="shared" si="132"/>
      </c>
      <c r="O39" s="32">
        <f t="shared" si="96"/>
      </c>
      <c r="P39" s="32">
        <f t="shared" si="98"/>
      </c>
      <c r="Q39" s="33">
        <f t="shared" si="36"/>
      </c>
      <c r="R39" s="31">
        <f t="shared" si="68"/>
      </c>
      <c r="S39" s="31">
        <f t="shared" si="198"/>
      </c>
      <c r="T39" s="34">
        <f t="shared" si="5"/>
      </c>
      <c r="U39" s="35">
        <f t="shared" si="19"/>
      </c>
      <c r="V39" s="36">
        <f t="shared" si="101"/>
      </c>
      <c r="W39" s="36">
        <f t="shared" si="133"/>
      </c>
      <c r="X39" s="31">
        <f t="shared" si="97"/>
      </c>
      <c r="Y39" s="36">
        <f t="shared" si="99"/>
      </c>
      <c r="Z39" s="36">
        <f t="shared" si="52"/>
      </c>
      <c r="AA39" s="36">
        <f t="shared" si="84"/>
      </c>
      <c r="AB39" s="36">
        <f t="shared" si="214"/>
      </c>
      <c r="AC39" s="36">
        <f t="shared" si="31"/>
      </c>
      <c r="AD39" s="37" t="s">
        <v>58</v>
      </c>
      <c r="AE39" s="37" t="s">
        <v>62</v>
      </c>
      <c r="AF39" s="38">
        <v>14044</v>
      </c>
      <c r="AG39" s="38">
        <v>2563</v>
      </c>
      <c r="AH39" s="38">
        <v>19330</v>
      </c>
      <c r="AI39" s="38">
        <v>191</v>
      </c>
      <c r="AJ39" s="39">
        <v>1</v>
      </c>
      <c r="AK39" s="38">
        <v>1377</v>
      </c>
      <c r="AL39" s="38">
        <v>76</v>
      </c>
      <c r="AM39" s="38">
        <v>15</v>
      </c>
      <c r="AN39" s="38">
        <v>0</v>
      </c>
      <c r="AO39" s="39">
        <v>0</v>
      </c>
      <c r="AP39" s="38">
        <f t="shared" ref="AP39:AP41" si="110">COUNT(AK39)</f>
      </c>
    </row>
    <row customHeight="true" ht="16.071428571428573" r="40">
      <c r="A40" s="22"/>
      <c r="B40" s="23" t="s">
        <v>60</v>
      </c>
      <c r="C40" s="24" t="s">
        <v>50</v>
      </c>
      <c r="D40" s="25">
        <v>1157.4</v>
      </c>
      <c r="E40" s="26">
        <v>0</v>
      </c>
      <c r="F40" s="26">
        <v>0</v>
      </c>
      <c r="G40" s="27">
        <v>0</v>
      </c>
      <c r="H40" s="26">
        <v>0</v>
      </c>
      <c r="I40" s="28">
        <v>0</v>
      </c>
      <c r="J40" s="29">
        <f t="shared" si="142"/>
      </c>
      <c r="K40" s="30">
        <f t="shared" si="172"/>
      </c>
      <c r="L40" s="31">
        <f t="shared" si="0"/>
      </c>
      <c r="M40" s="31">
        <f t="shared" si="100"/>
      </c>
      <c r="N40" s="31">
        <f t="shared" si="132"/>
      </c>
      <c r="O40" s="32">
        <f t="shared" si="96"/>
      </c>
      <c r="P40" s="32">
        <f t="shared" si="98"/>
      </c>
      <c r="Q40" s="33">
        <f t="shared" si="36"/>
      </c>
      <c r="R40" s="31">
        <f t="shared" si="68"/>
      </c>
      <c r="S40" s="31">
        <f t="shared" si="198"/>
      </c>
      <c r="T40" s="34">
        <f t="shared" si="5"/>
      </c>
      <c r="U40" s="35">
        <f t="shared" si="19"/>
      </c>
      <c r="V40" s="36">
        <f t="shared" si="101"/>
      </c>
      <c r="W40" s="36">
        <f t="shared" si="133"/>
      </c>
      <c r="X40" s="31">
        <f t="shared" si="97"/>
      </c>
      <c r="Y40" s="36">
        <f t="shared" si="99"/>
      </c>
      <c r="Z40" s="36">
        <f t="shared" si="52"/>
      </c>
      <c r="AA40" s="36">
        <f t="shared" si="84"/>
      </c>
      <c r="AB40" s="36">
        <f t="shared" si="214"/>
      </c>
      <c r="AC40" s="36">
        <f t="shared" si="31"/>
      </c>
      <c r="AD40" s="37" t="s">
        <v>58</v>
      </c>
      <c r="AE40" s="37" t="s">
        <v>62</v>
      </c>
      <c r="AF40" s="38">
        <v>23546</v>
      </c>
      <c r="AG40" s="38">
        <v>4052</v>
      </c>
      <c r="AH40" s="38">
        <v>32584</v>
      </c>
      <c r="AI40" s="38">
        <v>326</v>
      </c>
      <c r="AJ40" s="39">
        <v>0</v>
      </c>
      <c r="AK40" s="38">
        <v>2053</v>
      </c>
      <c r="AL40" s="38">
        <v>141</v>
      </c>
      <c r="AM40" s="38">
        <v>21</v>
      </c>
      <c r="AN40" s="38">
        <v>2</v>
      </c>
      <c r="AO40" s="39">
        <v>0</v>
      </c>
      <c r="AP40" s="38">
        <f t="shared" si="110"/>
      </c>
    </row>
    <row customHeight="true" ht="16.071428571428573" r="41">
      <c r="A41" s="22"/>
      <c r="B41" s="23" t="s">
        <v>60</v>
      </c>
      <c r="C41" s="24" t="s">
        <v>51</v>
      </c>
      <c r="D41" s="25">
        <v>1201.568</v>
      </c>
      <c r="E41" s="26">
        <v>1</v>
      </c>
      <c r="F41" s="26">
        <v>1</v>
      </c>
      <c r="G41" s="27">
        <v>498</v>
      </c>
      <c r="H41" s="26">
        <v>0</v>
      </c>
      <c r="I41" s="28">
        <v>0</v>
      </c>
      <c r="J41" s="29">
        <f t="shared" si="142"/>
      </c>
      <c r="K41" s="30">
        <f t="shared" si="172"/>
      </c>
      <c r="L41" s="31">
        <f t="shared" si="0"/>
      </c>
      <c r="M41" s="31">
        <f t="shared" si="100"/>
      </c>
      <c r="N41" s="31">
        <f t="shared" si="132"/>
      </c>
      <c r="O41" s="32">
        <f t="shared" si="96"/>
      </c>
      <c r="P41" s="32">
        <f t="shared" si="98"/>
      </c>
      <c r="Q41" s="33">
        <f t="shared" si="36"/>
      </c>
      <c r="R41" s="31">
        <f t="shared" si="68"/>
      </c>
      <c r="S41" s="31">
        <f t="shared" si="198"/>
      </c>
      <c r="T41" s="34">
        <f t="shared" si="5"/>
      </c>
      <c r="U41" s="35">
        <f t="shared" si="19"/>
      </c>
      <c r="V41" s="36">
        <f t="shared" si="101"/>
      </c>
      <c r="W41" s="36">
        <f t="shared" si="133"/>
      </c>
      <c r="X41" s="31">
        <f t="shared" si="97"/>
      </c>
      <c r="Y41" s="36">
        <f t="shared" si="99"/>
      </c>
      <c r="Z41" s="36">
        <f t="shared" si="52"/>
      </c>
      <c r="AA41" s="36">
        <f t="shared" si="84"/>
      </c>
      <c r="AB41" s="36">
        <f t="shared" si="214"/>
      </c>
      <c r="AC41" s="36">
        <f t="shared" si="31"/>
      </c>
      <c r="AD41" s="37" t="s">
        <v>58</v>
      </c>
      <c r="AE41" s="37" t="s">
        <v>62</v>
      </c>
      <c r="AF41" s="38">
        <v>31680</v>
      </c>
      <c r="AG41" s="38">
        <v>4279</v>
      </c>
      <c r="AH41" s="38">
        <v>48011</v>
      </c>
      <c r="AI41" s="38">
        <v>392</v>
      </c>
      <c r="AJ41" s="39">
        <v>2</v>
      </c>
      <c r="AK41" s="38">
        <v>2463</v>
      </c>
      <c r="AL41" s="38">
        <v>169</v>
      </c>
      <c r="AM41" s="38">
        <v>26</v>
      </c>
      <c r="AN41" s="38">
        <v>1</v>
      </c>
      <c r="AO41" s="39">
        <v>0</v>
      </c>
      <c r="AP41" s="38">
        <f t="shared" si="110"/>
      </c>
    </row>
    <row customHeight="true" ht="16.071428571428573" r="42">
      <c r="A42" s="22"/>
      <c r="B42" s="40" t="s">
        <v>52</v>
      </c>
      <c r="C42" s="40"/>
      <c r="D42" s="41">
        <f>SUM(D39:D41)</f>
      </c>
      <c r="E42" s="42">
        <f>SUM(E39:E41)</f>
      </c>
      <c r="F42" s="42">
        <f>SUM(F39:F41)</f>
      </c>
      <c r="G42" s="41">
        <f>SUM(G39:G41)</f>
      </c>
      <c r="H42" s="42">
        <f>SUM(H39:H41)</f>
      </c>
      <c r="I42" s="41">
        <f>SUM(I39:I41)</f>
      </c>
      <c r="J42" s="43">
        <f>SUM(J39:J41)</f>
      </c>
      <c r="K42" s="41">
        <f>SUM(K39:K41)</f>
      </c>
      <c r="L42" s="41">
        <f t="shared" si="0"/>
      </c>
      <c r="M42" s="41">
        <f t="shared" si="100"/>
      </c>
      <c r="N42" s="41">
        <f t="shared" si="132"/>
      </c>
      <c r="O42" s="44">
        <f t="shared" si="96"/>
      </c>
      <c r="P42" s="44">
        <f t="shared" si="98"/>
      </c>
      <c r="Q42" s="45">
        <f t="shared" si="36"/>
      </c>
      <c r="R42" s="46">
        <f t="shared" si="68"/>
      </c>
      <c r="S42" s="70">
        <f t="shared" si="198"/>
      </c>
      <c r="T42" s="71">
        <f t="shared" si="5"/>
      </c>
      <c r="U42" s="72">
        <f t="shared" si="19"/>
      </c>
      <c r="V42" s="72">
        <f t="shared" si="101"/>
      </c>
      <c r="W42" s="72">
        <f t="shared" si="133"/>
      </c>
      <c r="X42" s="70">
        <f t="shared" si="97"/>
      </c>
      <c r="Y42" s="72">
        <f t="shared" si="99"/>
      </c>
      <c r="Z42" s="73">
        <f t="shared" si="52"/>
      </c>
      <c r="AA42" s="73">
        <f t="shared" si="84"/>
      </c>
      <c r="AB42" s="73">
        <f t="shared" si="214"/>
      </c>
      <c r="AC42" s="73">
        <f t="shared" si="31"/>
      </c>
      <c r="AD42" s="49"/>
      <c r="AE42" s="50"/>
      <c r="AF42" s="51">
        <f>SUM(AF39:AF41)</f>
      </c>
      <c r="AG42" s="51">
        <f>SUM(AG39:AG41)</f>
      </c>
      <c r="AH42" s="51">
        <f>SUM(AH39:AH41)</f>
      </c>
      <c r="AI42" s="51">
        <f>SUM(AI39:AI41)</f>
      </c>
      <c r="AJ42" s="51">
        <f>SUM(AJ39:AJ41)</f>
      </c>
      <c r="AK42" s="51">
        <f>SUM(AK39:AK41)</f>
      </c>
      <c r="AL42" s="51">
        <f>SUM(AL39:AL41)</f>
      </c>
      <c r="AM42" s="51">
        <f>SUM(AM39:AM41)</f>
      </c>
      <c r="AN42" s="51">
        <f>SUM(AN39:AN41)</f>
      </c>
      <c r="AO42" s="51">
        <f>SUM(AO39:AO41)</f>
      </c>
      <c r="AP42" s="51">
        <f>SUM(AP39:AP41)</f>
      </c>
    </row>
    <row customHeight="true" ht="16.071428571428573" r="43">
      <c r="A43" s="22"/>
      <c r="B43" s="23" t="s">
        <v>63</v>
      </c>
      <c r="C43" s="24" t="s">
        <v>54</v>
      </c>
      <c r="D43" s="25">
        <v>1619.707</v>
      </c>
      <c r="E43" s="26">
        <v>2</v>
      </c>
      <c r="F43" s="26">
        <v>2</v>
      </c>
      <c r="G43" s="52">
        <v>4876.799999999999</v>
      </c>
      <c r="H43" s="26">
        <v>0</v>
      </c>
      <c r="I43" s="28">
        <v>0</v>
      </c>
      <c r="J43" s="29">
        <f t="shared" ref="J43:J45" si="143">F43+H43</f>
      </c>
      <c r="K43" s="30">
        <f t="shared" ref="K43:K45" si="173">G43+I43</f>
      </c>
      <c r="L43" s="30">
        <f t="shared" si="0"/>
      </c>
      <c r="M43" s="30">
        <f t="shared" si="100"/>
      </c>
      <c r="N43" s="30">
        <f t="shared" si="132"/>
      </c>
      <c r="O43" s="32">
        <f t="shared" si="96"/>
      </c>
      <c r="P43" s="32">
        <f t="shared" si="98"/>
      </c>
      <c r="Q43" s="33">
        <f t="shared" si="36"/>
      </c>
      <c r="R43" s="74">
        <f t="shared" si="68"/>
      </c>
      <c r="S43" s="31">
        <f t="shared" si="198"/>
      </c>
      <c r="T43" s="34">
        <f t="shared" si="5"/>
      </c>
      <c r="U43" s="34">
        <f t="shared" si="19"/>
      </c>
      <c r="V43" s="34">
        <f t="shared" si="101"/>
      </c>
      <c r="W43" s="34">
        <f t="shared" si="133"/>
      </c>
      <c r="X43" s="31">
        <f t="shared" si="97"/>
      </c>
      <c r="Y43" s="34">
        <f t="shared" si="99"/>
      </c>
      <c r="Z43" s="34">
        <f t="shared" si="52"/>
      </c>
      <c r="AA43" s="34">
        <f t="shared" si="84"/>
      </c>
      <c r="AB43" s="34">
        <f t="shared" si="214"/>
      </c>
      <c r="AC43" s="34">
        <f t="shared" si="31"/>
      </c>
      <c r="AD43" s="37" t="s">
        <v>58</v>
      </c>
      <c r="AE43" s="37" t="s">
        <v>62</v>
      </c>
      <c r="AF43" s="53">
        <v>42514</v>
      </c>
      <c r="AG43" s="53">
        <v>5835</v>
      </c>
      <c r="AH43" s="38">
        <v>71160</v>
      </c>
      <c r="AI43" s="38">
        <v>413</v>
      </c>
      <c r="AJ43" s="39">
        <v>2</v>
      </c>
      <c r="AK43" s="53">
        <v>4019</v>
      </c>
      <c r="AL43" s="39">
        <v>155</v>
      </c>
      <c r="AM43" s="39">
        <v>32</v>
      </c>
      <c r="AN43" s="39">
        <v>5</v>
      </c>
      <c r="AO43" s="39">
        <v>0</v>
      </c>
      <c r="AP43" s="38">
        <f t="shared" ref="AP43:AP45" si="111">COUNT(AK43)</f>
      </c>
    </row>
    <row customHeight="true" ht="16.071428571428573" r="44">
      <c r="A44" s="22"/>
      <c r="B44" s="23" t="s">
        <v>63</v>
      </c>
      <c r="C44" s="24" t="s">
        <v>55</v>
      </c>
      <c r="D44" s="25">
        <v>1904.6</v>
      </c>
      <c r="E44" s="26">
        <v>3</v>
      </c>
      <c r="F44" s="26">
        <v>1</v>
      </c>
      <c r="G44" s="27">
        <v>615.6000000000004</v>
      </c>
      <c r="H44" s="26">
        <v>0</v>
      </c>
      <c r="I44" s="28">
        <v>0</v>
      </c>
      <c r="J44" s="29">
        <f t="shared" si="143"/>
      </c>
      <c r="K44" s="30">
        <f t="shared" si="173"/>
      </c>
      <c r="L44" s="30">
        <f t="shared" si="0"/>
      </c>
      <c r="M44" s="30">
        <f t="shared" si="100"/>
      </c>
      <c r="N44" s="30">
        <f t="shared" si="132"/>
      </c>
      <c r="O44" s="32">
        <f t="shared" si="96"/>
      </c>
      <c r="P44" s="32">
        <f t="shared" si="98"/>
      </c>
      <c r="Q44" s="33">
        <f t="shared" si="36"/>
      </c>
      <c r="R44" s="74">
        <f t="shared" si="68"/>
      </c>
      <c r="S44" s="31">
        <f t="shared" si="198"/>
      </c>
      <c r="T44" s="34">
        <f t="shared" si="5"/>
      </c>
      <c r="U44" s="34">
        <f t="shared" si="19"/>
      </c>
      <c r="V44" s="34">
        <f t="shared" si="101"/>
      </c>
      <c r="W44" s="34">
        <f t="shared" si="133"/>
      </c>
      <c r="X44" s="31">
        <f t="shared" si="97"/>
      </c>
      <c r="Y44" s="34">
        <f t="shared" si="99"/>
      </c>
      <c r="Z44" s="34">
        <f t="shared" si="52"/>
      </c>
      <c r="AA44" s="34">
        <f t="shared" si="84"/>
      </c>
      <c r="AB44" s="34">
        <f t="shared" si="214"/>
      </c>
      <c r="AC44" s="34">
        <f t="shared" si="31"/>
      </c>
      <c r="AD44" s="37" t="s">
        <v>58</v>
      </c>
      <c r="AE44" s="37" t="s">
        <v>62</v>
      </c>
      <c r="AF44" s="38">
        <v>50425</v>
      </c>
      <c r="AG44" s="54">
        <v>5461</v>
      </c>
      <c r="AH44" s="38">
        <v>96180</v>
      </c>
      <c r="AI44" s="55">
        <v>506</v>
      </c>
      <c r="AJ44" s="75">
        <v>1</v>
      </c>
      <c r="AK44" s="56">
        <v>4357</v>
      </c>
      <c r="AL44" s="56">
        <v>187</v>
      </c>
      <c r="AM44" s="56">
        <v>41</v>
      </c>
      <c r="AN44" s="56">
        <v>5</v>
      </c>
      <c r="AO44" s="39">
        <v>0</v>
      </c>
      <c r="AP44" s="38">
        <f t="shared" si="111"/>
      </c>
    </row>
    <row customHeight="true" ht="16.071428571428573" r="45">
      <c r="A45" s="22"/>
      <c r="B45" s="23" t="s">
        <v>63</v>
      </c>
      <c r="C45" s="24" t="s">
        <v>56</v>
      </c>
      <c r="D45" s="25">
        <v>802.092</v>
      </c>
      <c r="E45" s="26">
        <v>1</v>
      </c>
      <c r="F45" s="26">
        <v>0</v>
      </c>
      <c r="G45" s="27">
        <v>0</v>
      </c>
      <c r="H45" s="26">
        <v>0</v>
      </c>
      <c r="I45" s="28">
        <v>0</v>
      </c>
      <c r="J45" s="29">
        <f t="shared" si="143"/>
      </c>
      <c r="K45" s="30">
        <f t="shared" si="173"/>
      </c>
      <c r="L45" s="30">
        <f t="shared" si="0"/>
      </c>
      <c r="M45" s="30">
        <f t="shared" si="100"/>
      </c>
      <c r="N45" s="30">
        <f t="shared" si="132"/>
      </c>
      <c r="O45" s="32">
        <f t="shared" si="96"/>
      </c>
      <c r="P45" s="32">
        <f t="shared" si="98"/>
      </c>
      <c r="Q45" s="33">
        <f>D45/AI45</f>
      </c>
      <c r="R45" s="74">
        <f>D45/AJ45</f>
      </c>
      <c r="S45" s="31">
        <f>D45/AK45</f>
      </c>
      <c r="T45" s="34">
        <f>AJ45/AI45</f>
      </c>
      <c r="U45" s="34">
        <f>AK45/AJ45</f>
      </c>
      <c r="V45" s="34">
        <f t="shared" si="101"/>
      </c>
      <c r="W45" s="34">
        <f t="shared" si="133"/>
      </c>
      <c r="X45" s="31">
        <f t="shared" si="97"/>
      </c>
      <c r="Y45" s="34">
        <f t="shared" si="99"/>
      </c>
      <c r="Z45" s="34">
        <f>AL45/AI45</f>
      </c>
      <c r="AA45" s="34">
        <f>AM45/AI45</f>
      </c>
      <c r="AB45" s="34">
        <f>AN45/AI45</f>
      </c>
      <c r="AC45" s="34">
        <f t="shared" si="31"/>
      </c>
      <c r="AD45" s="37" t="s">
        <v>58</v>
      </c>
      <c r="AE45" s="37" t="s">
        <v>62</v>
      </c>
      <c r="AF45" s="38">
        <v>30086</v>
      </c>
      <c r="AG45" s="54">
        <v>2823</v>
      </c>
      <c r="AH45" s="38">
        <v>46890</v>
      </c>
      <c r="AI45" s="55">
        <v>323</v>
      </c>
      <c r="AJ45" s="56">
        <v>0</v>
      </c>
      <c r="AK45" s="56">
        <v>2163</v>
      </c>
      <c r="AL45" s="56">
        <v>144</v>
      </c>
      <c r="AM45" s="56">
        <v>30</v>
      </c>
      <c r="AN45" s="56">
        <v>3</v>
      </c>
      <c r="AO45" s="39">
        <v>0</v>
      </c>
      <c r="AP45" s="38">
        <f t="shared" si="111"/>
      </c>
    </row>
    <row customHeight="true" ht="16.071428571428573" r="46">
      <c r="A46" s="22"/>
      <c r="B46" s="40" t="s">
        <v>52</v>
      </c>
      <c r="C46" s="40"/>
      <c r="D46" s="41">
        <f>SUM(D43:D45)</f>
      </c>
      <c r="E46" s="42">
        <f>SUM(E43:E45)</f>
      </c>
      <c r="F46" s="42">
        <f>SUM(F43:F45)</f>
      </c>
      <c r="G46" s="41">
        <f>SUM(G43:G45)</f>
      </c>
      <c r="H46" s="42">
        <f>SUM(H43:H45)</f>
      </c>
      <c r="I46" s="41">
        <f>SUM(I43:I45)</f>
      </c>
      <c r="J46" s="43">
        <f>SUM(J43:J45)</f>
      </c>
      <c r="K46" s="41">
        <f>SUM(K43:K45)</f>
      </c>
      <c r="L46" s="41">
        <f t="shared" si="0"/>
      </c>
      <c r="M46" s="41">
        <f t="shared" si="100"/>
      </c>
      <c r="N46" s="41">
        <f t="shared" si="132"/>
      </c>
      <c r="O46" s="44">
        <f t="shared" si="96"/>
      </c>
      <c r="P46" s="44">
        <f t="shared" si="98"/>
      </c>
      <c r="Q46" s="45">
        <f t="shared" ref="Q46:Q53" si="37">D46/AH46</f>
      </c>
      <c r="R46" s="76">
        <f t="shared" ref="R46:R53" si="69">D46/AI46</f>
      </c>
      <c r="S46" s="46">
        <f t="shared" ref="S46:S53" si="199">D46/AJ46</f>
      </c>
      <c r="T46" s="47">
        <f t="shared" ref="T46:T53" si="6">AI46/AH46</f>
      </c>
      <c r="U46" s="47">
        <f t="shared" ref="U46:U53" si="20">AJ46/AI46</f>
      </c>
      <c r="V46" s="47">
        <f t="shared" si="101"/>
      </c>
      <c r="W46" s="47">
        <f t="shared" si="133"/>
      </c>
      <c r="X46" s="46">
        <f t="shared" si="97"/>
      </c>
      <c r="Y46" s="47">
        <f t="shared" si="99"/>
      </c>
      <c r="Z46" s="47">
        <f t="shared" ref="Z46:Z53" si="53">AK46/AH46</f>
      </c>
      <c r="AA46" s="47">
        <f t="shared" ref="AA46:AA53" si="85">AL46/AH46</f>
      </c>
      <c r="AB46" s="47">
        <f t="shared" ref="AB46:AB53" si="215">AM46/AH46</f>
      </c>
      <c r="AC46" s="47">
        <f t="shared" si="31"/>
      </c>
      <c r="AD46" s="48"/>
      <c r="AE46" s="50"/>
      <c r="AF46" s="51">
        <f>SUM(AF43:AF45)</f>
      </c>
      <c r="AG46" s="51">
        <f>SUM(AG43:AG45)</f>
      </c>
      <c r="AH46" s="57">
        <f>SUM(AH43:AH45)</f>
      </c>
      <c r="AI46" s="51">
        <f>SUM(AI43:AI45)</f>
      </c>
      <c r="AJ46" s="51">
        <f>SUM(AJ43:AJ45)</f>
      </c>
      <c r="AK46" s="51">
        <f>SUM(AK43:AK45)</f>
      </c>
      <c r="AL46" s="51">
        <f>SUM(AL43:AL45)</f>
      </c>
      <c r="AM46" s="51">
        <f>SUM(AM43:AM45)</f>
      </c>
      <c r="AN46" s="51">
        <f>SUM(AN43:AN45)</f>
      </c>
      <c r="AO46" s="51">
        <f>SUM(AO43:AO45)</f>
      </c>
      <c r="AP46" s="51">
        <f>SUM(AP43:AP45)</f>
      </c>
    </row>
    <row customHeight="true" ht="16.071428571428573" r="47">
      <c r="A47" s="22"/>
      <c r="B47" s="58" t="s">
        <v>57</v>
      </c>
      <c r="C47" s="58"/>
      <c r="D47" s="59">
        <f>D46+D42</f>
      </c>
      <c r="E47" s="60">
        <f>E46+E42</f>
      </c>
      <c r="F47" s="60">
        <f>F46+F42</f>
      </c>
      <c r="G47" s="59">
        <f>G46+G42</f>
      </c>
      <c r="H47" s="60">
        <f>H46+H42</f>
      </c>
      <c r="I47" s="59">
        <f>I46+I42</f>
      </c>
      <c r="J47" s="61">
        <f>J46+J42</f>
      </c>
      <c r="K47" s="59">
        <f>K46+K42</f>
      </c>
      <c r="L47" s="59">
        <f t="shared" si="0"/>
      </c>
      <c r="M47" s="59">
        <f t="shared" si="100"/>
      </c>
      <c r="N47" s="59">
        <f t="shared" si="132"/>
      </c>
      <c r="O47" s="62">
        <f t="shared" si="96"/>
      </c>
      <c r="P47" s="62">
        <f t="shared" si="98"/>
      </c>
      <c r="Q47" s="63">
        <f t="shared" si="37"/>
      </c>
      <c r="R47" s="77">
        <f t="shared" si="69"/>
      </c>
      <c r="S47" s="64">
        <f t="shared" si="199"/>
      </c>
      <c r="T47" s="65">
        <f t="shared" si="6"/>
      </c>
      <c r="U47" s="65">
        <f t="shared" si="20"/>
      </c>
      <c r="V47" s="65">
        <f t="shared" si="101"/>
      </c>
      <c r="W47" s="65">
        <f t="shared" si="133"/>
      </c>
      <c r="X47" s="64">
        <f t="shared" si="97"/>
      </c>
      <c r="Y47" s="65">
        <f t="shared" si="99"/>
      </c>
      <c r="Z47" s="78">
        <f t="shared" si="53"/>
      </c>
      <c r="AA47" s="78">
        <f t="shared" si="85"/>
      </c>
      <c r="AB47" s="78">
        <f t="shared" si="215"/>
      </c>
      <c r="AC47" s="78">
        <f t="shared" si="31"/>
      </c>
      <c r="AD47" s="79"/>
      <c r="AE47" s="68"/>
      <c r="AF47" s="69">
        <f>AF46+AF42</f>
      </c>
      <c r="AG47" s="69">
        <f>AG46+AG42</f>
      </c>
      <c r="AH47" s="69">
        <f>AH46+AH42</f>
      </c>
      <c r="AI47" s="69">
        <f>AI46+AI42</f>
      </c>
      <c r="AJ47" s="69">
        <f>AJ46+AJ42</f>
      </c>
      <c r="AK47" s="69">
        <f>AK46+AK42</f>
      </c>
      <c r="AL47" s="69">
        <f>AL46+AL42</f>
      </c>
      <c r="AM47" s="69">
        <f>AM46+AM42</f>
      </c>
      <c r="AN47" s="69">
        <f>AN46+AN42</f>
      </c>
      <c r="AO47" s="69">
        <f>AO46+AO42</f>
      </c>
      <c r="AP47" s="69">
        <f>AP46+AP42</f>
      </c>
    </row>
    <row r="48">
      <c r="A48" s="22">
        <v>46301</v>
      </c>
      <c r="B48" s="23" t="s">
        <v>64</v>
      </c>
      <c r="C48" s="24" t="s">
        <v>47</v>
      </c>
      <c r="D48" s="25">
        <v>744.262</v>
      </c>
      <c r="E48" s="26">
        <v>2</v>
      </c>
      <c r="F48" s="26">
        <v>1</v>
      </c>
      <c r="G48" s="52">
        <v>749</v>
      </c>
      <c r="H48" s="26">
        <v>0</v>
      </c>
      <c r="I48" s="28">
        <v>0</v>
      </c>
      <c r="J48" s="29">
        <f t="shared" ref="J48:J50" si="144">F48+H48</f>
      </c>
      <c r="K48" s="30">
        <f t="shared" ref="K48:K50" si="174">G48+I48</f>
      </c>
      <c r="L48" s="31">
        <f t="shared" si="0"/>
      </c>
      <c r="M48" s="31">
        <f t="shared" si="100"/>
      </c>
      <c r="N48" s="31">
        <f t="shared" si="132"/>
      </c>
      <c r="O48" s="32">
        <f t="shared" si="96"/>
      </c>
      <c r="P48" s="32">
        <f t="shared" si="98"/>
      </c>
      <c r="Q48" s="33">
        <f t="shared" si="37"/>
      </c>
      <c r="R48" s="31">
        <f t="shared" si="69"/>
      </c>
      <c r="S48" s="31">
        <f t="shared" si="199"/>
      </c>
      <c r="T48" s="34">
        <f t="shared" si="6"/>
      </c>
      <c r="U48" s="35">
        <f t="shared" si="20"/>
      </c>
      <c r="V48" s="36">
        <f t="shared" si="101"/>
      </c>
      <c r="W48" s="36">
        <f t="shared" si="133"/>
      </c>
      <c r="X48" s="31">
        <f t="shared" si="97"/>
      </c>
      <c r="Y48" s="36">
        <f t="shared" si="99"/>
      </c>
      <c r="Z48" s="36">
        <f t="shared" si="53"/>
      </c>
      <c r="AA48" s="36">
        <f t="shared" si="85"/>
      </c>
      <c r="AB48" s="36">
        <f t="shared" si="215"/>
      </c>
      <c r="AC48" s="36">
        <f t="shared" si="31"/>
      </c>
      <c r="AD48" s="37" t="s">
        <v>58</v>
      </c>
      <c r="AE48" s="37" t="s">
        <v>59</v>
      </c>
      <c r="AF48" s="38">
        <v>20761</v>
      </c>
      <c r="AG48" s="38">
        <v>4392</v>
      </c>
      <c r="AH48" s="38">
        <v>27929</v>
      </c>
      <c r="AI48" s="38">
        <v>230</v>
      </c>
      <c r="AJ48" s="39">
        <v>1</v>
      </c>
      <c r="AK48" s="38">
        <v>2264</v>
      </c>
      <c r="AL48" s="38">
        <v>53</v>
      </c>
      <c r="AM48" s="38">
        <v>24</v>
      </c>
      <c r="AN48" s="38">
        <v>0</v>
      </c>
      <c r="AO48" s="39">
        <v>0</v>
      </c>
      <c r="AP48" s="38">
        <f t="shared" ref="AP48:AP50" si="112">COUNT(AK48)</f>
      </c>
    </row>
    <row r="49">
      <c r="A49" s="22"/>
      <c r="B49" s="23" t="s">
        <v>64</v>
      </c>
      <c r="C49" s="24" t="s">
        <v>50</v>
      </c>
      <c r="D49" s="25">
        <v>1027.502</v>
      </c>
      <c r="E49" s="26">
        <v>1</v>
      </c>
      <c r="F49" s="26">
        <v>0</v>
      </c>
      <c r="G49" s="27">
        <v>0</v>
      </c>
      <c r="H49" s="26">
        <v>1</v>
      </c>
      <c r="I49" s="28">
        <v>1088.4</v>
      </c>
      <c r="J49" s="29">
        <f t="shared" si="144"/>
      </c>
      <c r="K49" s="30">
        <f t="shared" si="174"/>
      </c>
      <c r="L49" s="31">
        <f t="shared" si="0"/>
      </c>
      <c r="M49" s="31">
        <f t="shared" si="100"/>
      </c>
      <c r="N49" s="31">
        <f t="shared" si="132"/>
      </c>
      <c r="O49" s="32">
        <f t="shared" si="96"/>
      </c>
      <c r="P49" s="32">
        <f t="shared" si="98"/>
      </c>
      <c r="Q49" s="33">
        <f t="shared" si="37"/>
      </c>
      <c r="R49" s="31">
        <f t="shared" si="69"/>
      </c>
      <c r="S49" s="31">
        <f t="shared" si="199"/>
      </c>
      <c r="T49" s="34">
        <f t="shared" si="6"/>
      </c>
      <c r="U49" s="35">
        <f t="shared" si="20"/>
      </c>
      <c r="V49" s="36">
        <f t="shared" si="101"/>
      </c>
      <c r="W49" s="36">
        <f t="shared" si="133"/>
      </c>
      <c r="X49" s="31">
        <f t="shared" si="97"/>
      </c>
      <c r="Y49" s="36">
        <f t="shared" si="99"/>
      </c>
      <c r="Z49" s="36">
        <f t="shared" si="53"/>
      </c>
      <c r="AA49" s="36">
        <f t="shared" si="85"/>
      </c>
      <c r="AB49" s="36">
        <f t="shared" si="215"/>
      </c>
      <c r="AC49" s="36">
        <f t="shared" si="31"/>
      </c>
      <c r="AD49" s="37" t="s">
        <v>58</v>
      </c>
      <c r="AE49" s="37" t="s">
        <v>59</v>
      </c>
      <c r="AF49" s="38">
        <v>28175</v>
      </c>
      <c r="AG49" s="38">
        <v>5588</v>
      </c>
      <c r="AH49" s="38">
        <v>51294</v>
      </c>
      <c r="AI49" s="38">
        <v>384</v>
      </c>
      <c r="AJ49" s="39">
        <v>1</v>
      </c>
      <c r="AK49" s="38">
        <v>3147</v>
      </c>
      <c r="AL49" s="38">
        <v>145</v>
      </c>
      <c r="AM49" s="38">
        <v>22</v>
      </c>
      <c r="AN49" s="38">
        <v>0</v>
      </c>
      <c r="AO49" s="39">
        <v>0</v>
      </c>
      <c r="AP49" s="38">
        <f t="shared" si="112"/>
      </c>
    </row>
    <row r="50">
      <c r="A50" s="22"/>
      <c r="B50" s="23" t="s">
        <v>64</v>
      </c>
      <c r="C50" s="24" t="s">
        <v>51</v>
      </c>
      <c r="D50" s="25">
        <v>2204.437</v>
      </c>
      <c r="E50" s="26">
        <v>3</v>
      </c>
      <c r="F50" s="26">
        <v>3</v>
      </c>
      <c r="G50" s="27">
        <v>4826.400000000001</v>
      </c>
      <c r="H50" s="26">
        <v>0</v>
      </c>
      <c r="I50" s="28">
        <v>0</v>
      </c>
      <c r="J50" s="29">
        <f t="shared" si="144"/>
      </c>
      <c r="K50" s="30">
        <f t="shared" si="174"/>
      </c>
      <c r="L50" s="31">
        <f t="shared" si="0"/>
      </c>
      <c r="M50" s="31">
        <f t="shared" si="100"/>
      </c>
      <c r="N50" s="31">
        <f t="shared" si="132"/>
      </c>
      <c r="O50" s="32">
        <f t="shared" si="96"/>
      </c>
      <c r="P50" s="32">
        <f t="shared" si="98"/>
      </c>
      <c r="Q50" s="33">
        <f t="shared" si="37"/>
      </c>
      <c r="R50" s="31">
        <f t="shared" si="69"/>
      </c>
      <c r="S50" s="31">
        <f t="shared" si="199"/>
      </c>
      <c r="T50" s="34">
        <f t="shared" si="6"/>
      </c>
      <c r="U50" s="35">
        <f t="shared" si="20"/>
      </c>
      <c r="V50" s="36">
        <f t="shared" si="101"/>
      </c>
      <c r="W50" s="36">
        <f t="shared" si="133"/>
      </c>
      <c r="X50" s="31">
        <f t="shared" si="97"/>
      </c>
      <c r="Y50" s="36">
        <f t="shared" si="99"/>
      </c>
      <c r="Z50" s="36">
        <f t="shared" si="53"/>
      </c>
      <c r="AA50" s="36">
        <f t="shared" si="85"/>
      </c>
      <c r="AB50" s="36">
        <f t="shared" si="215"/>
      </c>
      <c r="AC50" s="36">
        <f t="shared" si="31"/>
      </c>
      <c r="AD50" s="37" t="s">
        <v>58</v>
      </c>
      <c r="AE50" s="37" t="s">
        <v>59</v>
      </c>
      <c r="AF50" s="38">
        <v>54339</v>
      </c>
      <c r="AG50" s="38">
        <v>10917</v>
      </c>
      <c r="AH50" s="38">
        <v>105333</v>
      </c>
      <c r="AI50" s="38">
        <v>753</v>
      </c>
      <c r="AJ50" s="39">
        <v>2</v>
      </c>
      <c r="AK50" s="38">
        <v>6191</v>
      </c>
      <c r="AL50" s="38">
        <v>264</v>
      </c>
      <c r="AM50" s="38">
        <v>56</v>
      </c>
      <c r="AN50" s="38">
        <v>5</v>
      </c>
      <c r="AO50" s="39">
        <v>0</v>
      </c>
      <c r="AP50" s="38">
        <f t="shared" si="112"/>
      </c>
    </row>
    <row r="51">
      <c r="A51" s="22"/>
      <c r="B51" s="40" t="s">
        <v>52</v>
      </c>
      <c r="C51" s="40"/>
      <c r="D51" s="41">
        <f>SUM(D48:D50)</f>
      </c>
      <c r="E51" s="42">
        <f>SUM(E48:E50)</f>
      </c>
      <c r="F51" s="42">
        <f>SUM(F48:F50)</f>
      </c>
      <c r="G51" s="41">
        <f>SUM(G48:G50)</f>
      </c>
      <c r="H51" s="42">
        <f>SUM(H48:H50)</f>
      </c>
      <c r="I51" s="41">
        <f>SUM(I48:I50)</f>
      </c>
      <c r="J51" s="43">
        <f>SUM(J48:J50)</f>
      </c>
      <c r="K51" s="41">
        <f>SUM(K48:K50)</f>
      </c>
      <c r="L51" s="41">
        <f t="shared" si="0"/>
      </c>
      <c r="M51" s="41">
        <f t="shared" si="100"/>
      </c>
      <c r="N51" s="41">
        <f t="shared" si="132"/>
      </c>
      <c r="O51" s="44">
        <f t="shared" si="96"/>
      </c>
      <c r="P51" s="44">
        <f t="shared" si="98"/>
      </c>
      <c r="Q51" s="45">
        <f t="shared" si="37"/>
      </c>
      <c r="R51" s="46">
        <f t="shared" si="69"/>
      </c>
      <c r="S51" s="70">
        <f t="shared" si="199"/>
      </c>
      <c r="T51" s="71">
        <f t="shared" si="6"/>
      </c>
      <c r="U51" s="72">
        <f t="shared" si="20"/>
      </c>
      <c r="V51" s="72">
        <f t="shared" si="101"/>
      </c>
      <c r="W51" s="72">
        <f t="shared" si="133"/>
      </c>
      <c r="X51" s="70">
        <f t="shared" si="97"/>
      </c>
      <c r="Y51" s="72">
        <f t="shared" si="99"/>
      </c>
      <c r="Z51" s="73">
        <f t="shared" si="53"/>
      </c>
      <c r="AA51" s="73">
        <f t="shared" si="85"/>
      </c>
      <c r="AB51" s="73">
        <f t="shared" si="215"/>
      </c>
      <c r="AC51" s="73">
        <f t="shared" si="31"/>
      </c>
      <c r="AD51" s="49"/>
      <c r="AE51" s="50"/>
      <c r="AF51" s="51">
        <f>SUM(AF48:AF50)</f>
      </c>
      <c r="AG51" s="51">
        <f>SUM(AG48:AG50)</f>
      </c>
      <c r="AH51" s="51">
        <f>SUM(AH48:AH50)</f>
      </c>
      <c r="AI51" s="51">
        <f>SUM(AI48:AI50)</f>
      </c>
      <c r="AJ51" s="51">
        <f>SUM(AJ48:AJ50)</f>
      </c>
      <c r="AK51" s="51">
        <f>SUM(AK48:AK50)</f>
      </c>
      <c r="AL51" s="51">
        <f>SUM(AL48:AL50)</f>
      </c>
      <c r="AM51" s="51">
        <f>SUM(AM48:AM50)</f>
      </c>
      <c r="AN51" s="51">
        <f>SUM(AN48:AN50)</f>
      </c>
      <c r="AO51" s="51">
        <f>SUM(AO48:AO50)</f>
      </c>
      <c r="AP51" s="51">
        <f>SUM(AP48:AP50)</f>
      </c>
    </row>
    <row r="52">
      <c r="A52" s="22"/>
      <c r="B52" s="23" t="s">
        <v>63</v>
      </c>
      <c r="C52" s="24" t="s">
        <v>54</v>
      </c>
      <c r="D52" s="25">
        <v>1583.414</v>
      </c>
      <c r="E52" s="26">
        <v>1</v>
      </c>
      <c r="F52" s="26">
        <v>0</v>
      </c>
      <c r="G52" s="52">
        <v>0</v>
      </c>
      <c r="H52" s="26">
        <v>1</v>
      </c>
      <c r="I52" s="28">
        <v>402</v>
      </c>
      <c r="J52" s="29">
        <f t="shared" ref="J52:J54" si="145">F52+H52</f>
      </c>
      <c r="K52" s="30">
        <f t="shared" ref="K52:K54" si="175">G52+I52</f>
      </c>
      <c r="L52" s="30">
        <f t="shared" si="0"/>
      </c>
      <c r="M52" s="30">
        <f t="shared" si="100"/>
      </c>
      <c r="N52" s="30">
        <f t="shared" si="132"/>
      </c>
      <c r="O52" s="32">
        <f t="shared" si="96"/>
      </c>
      <c r="P52" s="32">
        <f t="shared" si="98"/>
      </c>
      <c r="Q52" s="33">
        <f t="shared" si="37"/>
      </c>
      <c r="R52" s="74">
        <f t="shared" si="69"/>
      </c>
      <c r="S52" s="31">
        <f t="shared" si="199"/>
      </c>
      <c r="T52" s="34">
        <f t="shared" si="6"/>
      </c>
      <c r="U52" s="34">
        <f t="shared" si="20"/>
      </c>
      <c r="V52" s="34">
        <f t="shared" si="101"/>
      </c>
      <c r="W52" s="34">
        <f t="shared" si="133"/>
      </c>
      <c r="X52" s="31">
        <f t="shared" si="97"/>
      </c>
      <c r="Y52" s="34">
        <f t="shared" si="99"/>
      </c>
      <c r="Z52" s="34">
        <f t="shared" si="53"/>
      </c>
      <c r="AA52" s="34">
        <f t="shared" si="85"/>
      </c>
      <c r="AB52" s="34">
        <f t="shared" si="215"/>
      </c>
      <c r="AC52" s="34">
        <f t="shared" si="31"/>
      </c>
      <c r="AD52" s="37" t="s">
        <v>58</v>
      </c>
      <c r="AE52" s="37" t="s">
        <v>59</v>
      </c>
      <c r="AF52" s="53">
        <v>46542</v>
      </c>
      <c r="AG52" s="53">
        <v>12501</v>
      </c>
      <c r="AH52" s="38">
        <v>75443</v>
      </c>
      <c r="AI52" s="38">
        <v>626</v>
      </c>
      <c r="AJ52" s="39">
        <v>1</v>
      </c>
      <c r="AK52" s="53">
        <v>6391</v>
      </c>
      <c r="AL52" s="39">
        <v>250</v>
      </c>
      <c r="AM52" s="39">
        <v>40</v>
      </c>
      <c r="AN52" s="39">
        <v>4</v>
      </c>
      <c r="AO52" s="39">
        <v>0</v>
      </c>
      <c r="AP52" s="38">
        <f t="shared" ref="AP52:AP54" si="113">COUNT(AK52)</f>
      </c>
    </row>
    <row r="53">
      <c r="A53" s="22"/>
      <c r="B53" s="23" t="s">
        <v>63</v>
      </c>
      <c r="C53" s="24" t="s">
        <v>55</v>
      </c>
      <c r="D53" s="25">
        <v>990.33</v>
      </c>
      <c r="E53" s="26">
        <v>1</v>
      </c>
      <c r="F53" s="26">
        <v>1</v>
      </c>
      <c r="G53" s="27">
        <v>350</v>
      </c>
      <c r="H53" s="26">
        <v>0</v>
      </c>
      <c r="I53" s="28">
        <v>0</v>
      </c>
      <c r="J53" s="29">
        <f t="shared" si="145"/>
      </c>
      <c r="K53" s="30">
        <f t="shared" si="175"/>
      </c>
      <c r="L53" s="30">
        <f t="shared" si="0"/>
      </c>
      <c r="M53" s="30">
        <f t="shared" si="100"/>
      </c>
      <c r="N53" s="30">
        <f t="shared" si="132"/>
      </c>
      <c r="O53" s="32">
        <f t="shared" si="96"/>
      </c>
      <c r="P53" s="32">
        <f t="shared" si="98"/>
      </c>
      <c r="Q53" s="33">
        <f t="shared" si="37"/>
      </c>
      <c r="R53" s="74">
        <f t="shared" si="69"/>
      </c>
      <c r="S53" s="31">
        <f t="shared" si="199"/>
      </c>
      <c r="T53" s="34">
        <f t="shared" si="6"/>
      </c>
      <c r="U53" s="34">
        <f t="shared" si="20"/>
      </c>
      <c r="V53" s="34">
        <f t="shared" si="101"/>
      </c>
      <c r="W53" s="34">
        <f t="shared" si="133"/>
      </c>
      <c r="X53" s="31">
        <f t="shared" si="97"/>
      </c>
      <c r="Y53" s="34">
        <f t="shared" si="99"/>
      </c>
      <c r="Z53" s="34">
        <f t="shared" si="53"/>
      </c>
      <c r="AA53" s="34">
        <f t="shared" si="85"/>
      </c>
      <c r="AB53" s="34">
        <f t="shared" si="215"/>
      </c>
      <c r="AC53" s="34">
        <f t="shared" si="31"/>
      </c>
      <c r="AD53" s="37" t="s">
        <v>58</v>
      </c>
      <c r="AE53" s="37" t="s">
        <v>59</v>
      </c>
      <c r="AF53" s="38">
        <v>33774</v>
      </c>
      <c r="AG53" s="54">
        <v>7850</v>
      </c>
      <c r="AH53" s="38">
        <v>57602</v>
      </c>
      <c r="AI53" s="55">
        <v>499</v>
      </c>
      <c r="AJ53" s="75">
        <v>3</v>
      </c>
      <c r="AK53" s="56">
        <v>3703</v>
      </c>
      <c r="AL53" s="56">
        <v>202</v>
      </c>
      <c r="AM53" s="56">
        <v>30</v>
      </c>
      <c r="AN53" s="56">
        <v>1</v>
      </c>
      <c r="AO53" s="39">
        <v>0</v>
      </c>
      <c r="AP53" s="38">
        <f t="shared" si="113"/>
      </c>
    </row>
    <row r="54">
      <c r="A54" s="22"/>
      <c r="B54" s="23" t="s">
        <v>63</v>
      </c>
      <c r="C54" s="24" t="s">
        <v>56</v>
      </c>
      <c r="D54" s="25">
        <v>891.87</v>
      </c>
      <c r="E54" s="26">
        <v>1</v>
      </c>
      <c r="F54" s="26">
        <v>0</v>
      </c>
      <c r="G54" s="27">
        <v>0</v>
      </c>
      <c r="H54" s="26">
        <v>1</v>
      </c>
      <c r="I54" s="28">
        <v>652.8000000000002</v>
      </c>
      <c r="J54" s="29">
        <f t="shared" si="145"/>
      </c>
      <c r="K54" s="30">
        <f t="shared" si="175"/>
      </c>
      <c r="L54" s="30">
        <f t="shared" si="0"/>
      </c>
      <c r="M54" s="30">
        <f t="shared" si="100"/>
      </c>
      <c r="N54" s="30">
        <f t="shared" si="132"/>
      </c>
      <c r="O54" s="32">
        <f t="shared" si="96"/>
      </c>
      <c r="P54" s="32">
        <f t="shared" si="98"/>
      </c>
      <c r="Q54" s="33">
        <f>D54/AI54</f>
      </c>
      <c r="R54" s="74">
        <f>D54/AJ54</f>
      </c>
      <c r="S54" s="31">
        <f>D54/AK54</f>
      </c>
      <c r="T54" s="34">
        <f>AJ54/AI54</f>
      </c>
      <c r="U54" s="34">
        <f>AK54/AJ54</f>
      </c>
      <c r="V54" s="34">
        <f t="shared" si="101"/>
      </c>
      <c r="W54" s="34">
        <f t="shared" si="133"/>
      </c>
      <c r="X54" s="31">
        <f t="shared" si="97"/>
      </c>
      <c r="Y54" s="34">
        <f t="shared" si="99"/>
      </c>
      <c r="Z54" s="34">
        <f>AL54/AI54</f>
      </c>
      <c r="AA54" s="34">
        <f>AM54/AI54</f>
      </c>
      <c r="AB54" s="34">
        <f>AN54/AI54</f>
      </c>
      <c r="AC54" s="34">
        <f t="shared" si="31"/>
      </c>
      <c r="AD54" s="37" t="s">
        <v>58</v>
      </c>
      <c r="AE54" s="37" t="s">
        <v>59</v>
      </c>
      <c r="AF54" s="38">
        <v>43207</v>
      </c>
      <c r="AG54" s="54">
        <v>4265</v>
      </c>
      <c r="AH54" s="38">
        <v>39313</v>
      </c>
      <c r="AI54" s="55">
        <v>492</v>
      </c>
      <c r="AJ54" s="56">
        <v>1</v>
      </c>
      <c r="AK54" s="56">
        <v>2283</v>
      </c>
      <c r="AL54" s="56">
        <v>175</v>
      </c>
      <c r="AM54" s="56">
        <v>35</v>
      </c>
      <c r="AN54" s="56">
        <v>2</v>
      </c>
      <c r="AO54" s="39">
        <v>0</v>
      </c>
      <c r="AP54" s="38">
        <f t="shared" si="113"/>
      </c>
    </row>
    <row r="55">
      <c r="A55" s="22"/>
      <c r="B55" s="40" t="s">
        <v>52</v>
      </c>
      <c r="C55" s="40"/>
      <c r="D55" s="41">
        <f>SUM(D52:D54)</f>
      </c>
      <c r="E55" s="42">
        <f>SUM(E52:E54)</f>
      </c>
      <c r="F55" s="42">
        <f>SUM(F52:F54)</f>
      </c>
      <c r="G55" s="41">
        <f>SUM(G52:G54)</f>
      </c>
      <c r="H55" s="42">
        <f>SUM(H52:H54)</f>
      </c>
      <c r="I55" s="41">
        <f>SUM(I52:I54)</f>
      </c>
      <c r="J55" s="43">
        <f>SUM(J52:J54)</f>
      </c>
      <c r="K55" s="41">
        <f>SUM(K52:K54)</f>
      </c>
      <c r="L55" s="41">
        <f t="shared" si="0"/>
      </c>
      <c r="M55" s="41">
        <f t="shared" si="100"/>
      </c>
      <c r="N55" s="41">
        <f t="shared" si="132"/>
      </c>
      <c r="O55" s="44">
        <f t="shared" si="96"/>
      </c>
      <c r="P55" s="44">
        <f t="shared" si="98"/>
      </c>
      <c r="Q55" s="45">
        <f t="shared" ref="Q55:Q62" si="38">D55/AH55</f>
      </c>
      <c r="R55" s="76">
        <f t="shared" ref="R55:R62" si="70">D55/AI55</f>
      </c>
      <c r="S55" s="46">
        <f t="shared" ref="S55:S62" si="200">D55/AJ55</f>
      </c>
      <c r="T55" s="47">
        <f t="shared" ref="T55:T62" si="7">AI55/AH55</f>
      </c>
      <c r="U55" s="47">
        <f t="shared" ref="U55:U62" si="21">AJ55/AI55</f>
      </c>
      <c r="V55" s="47">
        <f t="shared" si="101"/>
      </c>
      <c r="W55" s="47">
        <f t="shared" si="133"/>
      </c>
      <c r="X55" s="46">
        <f t="shared" si="97"/>
      </c>
      <c r="Y55" s="47">
        <f t="shared" si="99"/>
      </c>
      <c r="Z55" s="47">
        <f t="shared" ref="Z55:Z62" si="54">AK55/AH55</f>
      </c>
      <c r="AA55" s="47">
        <f t="shared" ref="AA55:AA62" si="86">AL55/AH55</f>
      </c>
      <c r="AB55" s="47">
        <f t="shared" ref="AB55:AB62" si="216">AM55/AH55</f>
      </c>
      <c r="AC55" s="47">
        <f t="shared" si="31"/>
      </c>
      <c r="AD55" s="48"/>
      <c r="AE55" s="50"/>
      <c r="AF55" s="51">
        <f>SUM(AF52:AF54)</f>
      </c>
      <c r="AG55" s="51">
        <f>SUM(AG52:AG54)</f>
      </c>
      <c r="AH55" s="57">
        <f>SUM(AH52:AH54)</f>
      </c>
      <c r="AI55" s="51">
        <f>SUM(AI52:AI54)</f>
      </c>
      <c r="AJ55" s="51">
        <f>SUM(AJ52:AJ54)</f>
      </c>
      <c r="AK55" s="51">
        <f>SUM(AK52:AK54)</f>
      </c>
      <c r="AL55" s="51">
        <f>SUM(AL52:AL54)</f>
      </c>
      <c r="AM55" s="51">
        <f>SUM(AM52:AM54)</f>
      </c>
      <c r="AN55" s="51">
        <f>SUM(AN52:AN54)</f>
      </c>
      <c r="AO55" s="51">
        <f>SUM(AO52:AO54)</f>
      </c>
      <c r="AP55" s="51">
        <f>SUM(AP52:AP54)</f>
      </c>
    </row>
    <row r="56">
      <c r="A56" s="22"/>
      <c r="B56" s="58" t="s">
        <v>57</v>
      </c>
      <c r="C56" s="58"/>
      <c r="D56" s="59">
        <f>D55+D51</f>
      </c>
      <c r="E56" s="60">
        <f>E55+E51</f>
      </c>
      <c r="F56" s="60">
        <f>F55+F51</f>
      </c>
      <c r="G56" s="59">
        <f>G55+G51</f>
      </c>
      <c r="H56" s="60">
        <f>H55+H51</f>
      </c>
      <c r="I56" s="59">
        <f>I55+I51</f>
      </c>
      <c r="J56" s="61">
        <f>J55+J51</f>
      </c>
      <c r="K56" s="59">
        <f>K55+K51</f>
      </c>
      <c r="L56" s="59">
        <f t="shared" si="0"/>
      </c>
      <c r="M56" s="59">
        <f t="shared" si="100"/>
      </c>
      <c r="N56" s="59">
        <f t="shared" si="132"/>
      </c>
      <c r="O56" s="62">
        <f t="shared" si="96"/>
      </c>
      <c r="P56" s="62">
        <f t="shared" si="98"/>
      </c>
      <c r="Q56" s="63">
        <f t="shared" si="38"/>
      </c>
      <c r="R56" s="77">
        <f t="shared" si="70"/>
      </c>
      <c r="S56" s="64">
        <f t="shared" si="200"/>
      </c>
      <c r="T56" s="65">
        <f t="shared" si="7"/>
      </c>
      <c r="U56" s="65">
        <f t="shared" si="21"/>
      </c>
      <c r="V56" s="65">
        <f t="shared" si="101"/>
      </c>
      <c r="W56" s="65">
        <f t="shared" si="133"/>
      </c>
      <c r="X56" s="64">
        <f t="shared" si="97"/>
      </c>
      <c r="Y56" s="65">
        <f t="shared" si="99"/>
      </c>
      <c r="Z56" s="78">
        <f t="shared" si="54"/>
      </c>
      <c r="AA56" s="78">
        <f t="shared" si="86"/>
      </c>
      <c r="AB56" s="78">
        <f t="shared" si="216"/>
      </c>
      <c r="AC56" s="78">
        <f t="shared" si="31"/>
      </c>
      <c r="AD56" s="79"/>
      <c r="AE56" s="68"/>
      <c r="AF56" s="69">
        <f>AF55+AF51</f>
      </c>
      <c r="AG56" s="69">
        <f>AG55+AG51</f>
      </c>
      <c r="AH56" s="69">
        <f>AH55+AH51</f>
      </c>
      <c r="AI56" s="69">
        <f>AI55+AI51</f>
      </c>
      <c r="AJ56" s="69">
        <f>AJ55+AJ51</f>
      </c>
      <c r="AK56" s="69">
        <f>AK55+AK51</f>
      </c>
      <c r="AL56" s="69">
        <f>AL55+AL51</f>
      </c>
      <c r="AM56" s="69">
        <f>AM55+AM51</f>
      </c>
      <c r="AN56" s="69">
        <f>AN55+AN51</f>
      </c>
      <c r="AO56" s="69">
        <f>AO55+AO51</f>
      </c>
      <c r="AP56" s="69">
        <f>AP55+AP51</f>
      </c>
    </row>
    <row r="57">
      <c r="A57" s="22">
        <v>46302</v>
      </c>
      <c r="B57" s="23" t="s">
        <v>46</v>
      </c>
      <c r="C57" s="24" t="s">
        <v>47</v>
      </c>
      <c r="D57" s="25">
        <v>709.512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9">
        <f t="shared" ref="J57:J59" si="146">F57+H57</f>
      </c>
      <c r="K57" s="30">
        <f t="shared" ref="K57:K59" si="176">G57+I57</f>
      </c>
      <c r="L57" s="31">
        <f t="shared" si="0"/>
      </c>
      <c r="M57" s="31">
        <f t="shared" si="100"/>
      </c>
      <c r="N57" s="31">
        <f t="shared" si="132"/>
      </c>
      <c r="O57" s="32">
        <f t="shared" si="96"/>
      </c>
      <c r="P57" s="32">
        <f t="shared" si="98"/>
      </c>
      <c r="Q57" s="33">
        <f t="shared" si="38"/>
      </c>
      <c r="R57" s="31">
        <f t="shared" si="70"/>
      </c>
      <c r="S57" s="31">
        <f t="shared" si="200"/>
      </c>
      <c r="T57" s="34">
        <f t="shared" si="7"/>
      </c>
      <c r="U57" s="35">
        <f t="shared" si="21"/>
      </c>
      <c r="V57" s="36">
        <f t="shared" si="101"/>
      </c>
      <c r="W57" s="36">
        <f t="shared" si="133"/>
      </c>
      <c r="X57" s="31">
        <f t="shared" si="97"/>
      </c>
      <c r="Y57" s="36">
        <f t="shared" si="99"/>
      </c>
      <c r="Z57" s="36">
        <f t="shared" si="54"/>
      </c>
      <c r="AA57" s="36">
        <f t="shared" si="86"/>
      </c>
      <c r="AB57" s="36">
        <f t="shared" si="216"/>
      </c>
      <c r="AC57" s="36">
        <f t="shared" si="31"/>
      </c>
      <c r="AD57" s="37" t="s">
        <v>58</v>
      </c>
      <c r="AE57" s="37" t="s">
        <v>59</v>
      </c>
      <c r="AF57" s="38">
        <v>27219</v>
      </c>
      <c r="AG57" s="38">
        <v>2066</v>
      </c>
      <c r="AH57" s="38">
        <v>26411</v>
      </c>
      <c r="AI57" s="38">
        <v>194</v>
      </c>
      <c r="AJ57" s="39">
        <v>0</v>
      </c>
      <c r="AK57" s="38">
        <v>1551</v>
      </c>
      <c r="AL57" s="38">
        <v>46</v>
      </c>
      <c r="AM57" s="38">
        <v>20</v>
      </c>
      <c r="AN57" s="38">
        <v>0</v>
      </c>
      <c r="AO57" s="39">
        <v>0</v>
      </c>
      <c r="AP57" s="38">
        <f t="shared" ref="AP57:AP59" si="114">COUNT(AK57)</f>
      </c>
    </row>
    <row r="58">
      <c r="A58" s="22"/>
      <c r="B58" s="23" t="s">
        <v>46</v>
      </c>
      <c r="C58" s="24" t="s">
        <v>50</v>
      </c>
      <c r="D58" s="25">
        <v>906.163</v>
      </c>
      <c r="E58" s="26">
        <v>2</v>
      </c>
      <c r="F58" s="26">
        <v>1</v>
      </c>
      <c r="G58" s="27">
        <v>710.4000000000001</v>
      </c>
      <c r="H58" s="26">
        <v>0</v>
      </c>
      <c r="I58" s="28">
        <v>0</v>
      </c>
      <c r="J58" s="29">
        <f t="shared" si="146"/>
      </c>
      <c r="K58" s="30">
        <f t="shared" si="176"/>
      </c>
      <c r="L58" s="31">
        <f t="shared" si="0"/>
      </c>
      <c r="M58" s="31">
        <f t="shared" si="100"/>
      </c>
      <c r="N58" s="31">
        <f t="shared" si="132"/>
      </c>
      <c r="O58" s="32">
        <f t="shared" si="96"/>
      </c>
      <c r="P58" s="32">
        <f t="shared" si="98"/>
      </c>
      <c r="Q58" s="33">
        <f t="shared" si="38"/>
      </c>
      <c r="R58" s="31">
        <f t="shared" si="70"/>
      </c>
      <c r="S58" s="31">
        <f t="shared" si="200"/>
      </c>
      <c r="T58" s="34">
        <f t="shared" si="7"/>
      </c>
      <c r="U58" s="35">
        <f t="shared" si="21"/>
      </c>
      <c r="V58" s="36">
        <f t="shared" si="101"/>
      </c>
      <c r="W58" s="36">
        <f t="shared" si="133"/>
      </c>
      <c r="X58" s="31">
        <f t="shared" si="97"/>
      </c>
      <c r="Y58" s="36">
        <f t="shared" si="99"/>
      </c>
      <c r="Z58" s="36">
        <f t="shared" si="54"/>
      </c>
      <c r="AA58" s="36">
        <f t="shared" si="86"/>
      </c>
      <c r="AB58" s="36">
        <f t="shared" si="216"/>
      </c>
      <c r="AC58" s="36">
        <f t="shared" si="31"/>
      </c>
      <c r="AD58" s="37" t="s">
        <v>58</v>
      </c>
      <c r="AE58" s="37" t="s">
        <v>59</v>
      </c>
      <c r="AF58" s="38">
        <v>21145</v>
      </c>
      <c r="AG58" s="38">
        <v>3391</v>
      </c>
      <c r="AH58" s="38">
        <v>22338</v>
      </c>
      <c r="AI58" s="38">
        <v>338</v>
      </c>
      <c r="AJ58" s="39">
        <v>1</v>
      </c>
      <c r="AK58" s="38">
        <v>1436</v>
      </c>
      <c r="AL58" s="38">
        <v>96</v>
      </c>
      <c r="AM58" s="38">
        <v>19</v>
      </c>
      <c r="AN58" s="38">
        <v>1</v>
      </c>
      <c r="AO58" s="39">
        <v>0</v>
      </c>
      <c r="AP58" s="38">
        <f t="shared" si="114"/>
      </c>
    </row>
    <row r="59">
      <c r="A59" s="22"/>
      <c r="B59" s="23" t="s">
        <v>46</v>
      </c>
      <c r="C59" s="24" t="s">
        <v>51</v>
      </c>
      <c r="D59" s="25">
        <v>1465.911</v>
      </c>
      <c r="E59" s="26">
        <v>2</v>
      </c>
      <c r="F59" s="26">
        <v>1</v>
      </c>
      <c r="G59" s="27">
        <v>1190.4</v>
      </c>
      <c r="H59" s="26">
        <v>0</v>
      </c>
      <c r="I59" s="28">
        <v>0</v>
      </c>
      <c r="J59" s="29">
        <f t="shared" si="146"/>
      </c>
      <c r="K59" s="30">
        <f t="shared" si="176"/>
      </c>
      <c r="L59" s="31">
        <f t="shared" si="0"/>
      </c>
      <c r="M59" s="31">
        <f t="shared" si="100"/>
      </c>
      <c r="N59" s="31">
        <f t="shared" si="132"/>
      </c>
      <c r="O59" s="32">
        <f t="shared" si="96"/>
      </c>
      <c r="P59" s="32">
        <f t="shared" si="98"/>
      </c>
      <c r="Q59" s="33">
        <f t="shared" si="38"/>
      </c>
      <c r="R59" s="31">
        <f t="shared" si="70"/>
      </c>
      <c r="S59" s="31">
        <f t="shared" si="200"/>
      </c>
      <c r="T59" s="34">
        <f t="shared" si="7"/>
      </c>
      <c r="U59" s="35">
        <f t="shared" si="21"/>
      </c>
      <c r="V59" s="36">
        <f t="shared" si="101"/>
      </c>
      <c r="W59" s="36">
        <f t="shared" si="133"/>
      </c>
      <c r="X59" s="31">
        <f t="shared" si="97"/>
      </c>
      <c r="Y59" s="36">
        <f t="shared" si="99"/>
      </c>
      <c r="Z59" s="36">
        <f t="shared" si="54"/>
      </c>
      <c r="AA59" s="36">
        <f t="shared" si="86"/>
      </c>
      <c r="AB59" s="36">
        <f t="shared" si="216"/>
      </c>
      <c r="AC59" s="36">
        <f t="shared" si="31"/>
      </c>
      <c r="AD59" s="37" t="s">
        <v>58</v>
      </c>
      <c r="AE59" s="37" t="s">
        <v>59</v>
      </c>
      <c r="AF59" s="38">
        <v>36877</v>
      </c>
      <c r="AG59" s="38">
        <v>6532</v>
      </c>
      <c r="AH59" s="38">
        <v>54051</v>
      </c>
      <c r="AI59" s="38">
        <v>415</v>
      </c>
      <c r="AJ59" s="39">
        <v>1</v>
      </c>
      <c r="AK59" s="38">
        <v>3005</v>
      </c>
      <c r="AL59" s="38">
        <v>169</v>
      </c>
      <c r="AM59" s="38">
        <v>22</v>
      </c>
      <c r="AN59" s="38">
        <v>1</v>
      </c>
      <c r="AO59" s="39">
        <v>0</v>
      </c>
      <c r="AP59" s="38">
        <f t="shared" si="114"/>
      </c>
    </row>
    <row r="60">
      <c r="A60" s="22"/>
      <c r="B60" s="40" t="s">
        <v>52</v>
      </c>
      <c r="C60" s="40"/>
      <c r="D60" s="41">
        <f>SUM(D57:D59)</f>
      </c>
      <c r="E60" s="42">
        <f>SUM(E57:E59)</f>
      </c>
      <c r="F60" s="42">
        <f>SUM(F57:F59)</f>
      </c>
      <c r="G60" s="41">
        <f>SUM(G57:G59)</f>
      </c>
      <c r="H60" s="42">
        <f>SUM(H57:H59)</f>
      </c>
      <c r="I60" s="41">
        <f>SUM(I57:I59)</f>
      </c>
      <c r="J60" s="43">
        <f>SUM(J57:J59)</f>
      </c>
      <c r="K60" s="41">
        <f>SUM(K57:K59)</f>
      </c>
      <c r="L60" s="41">
        <f t="shared" si="0"/>
      </c>
      <c r="M60" s="41">
        <f t="shared" si="100"/>
      </c>
      <c r="N60" s="41">
        <f t="shared" si="132"/>
      </c>
      <c r="O60" s="44">
        <f t="shared" si="96"/>
      </c>
      <c r="P60" s="44">
        <f t="shared" si="98"/>
      </c>
      <c r="Q60" s="45">
        <f t="shared" si="38"/>
      </c>
      <c r="R60" s="46">
        <f t="shared" si="70"/>
      </c>
      <c r="S60" s="70">
        <f t="shared" si="200"/>
      </c>
      <c r="T60" s="71">
        <f t="shared" si="7"/>
      </c>
      <c r="U60" s="72">
        <f t="shared" si="21"/>
      </c>
      <c r="V60" s="72">
        <f t="shared" si="101"/>
      </c>
      <c r="W60" s="72">
        <f t="shared" si="133"/>
      </c>
      <c r="X60" s="70">
        <f t="shared" si="97"/>
      </c>
      <c r="Y60" s="72">
        <f t="shared" si="99"/>
      </c>
      <c r="Z60" s="73">
        <f t="shared" si="54"/>
      </c>
      <c r="AA60" s="73">
        <f t="shared" si="86"/>
      </c>
      <c r="AB60" s="73">
        <f t="shared" si="216"/>
      </c>
      <c r="AC60" s="73">
        <f t="shared" si="31"/>
      </c>
      <c r="AD60" s="49"/>
      <c r="AE60" s="50"/>
      <c r="AF60" s="51">
        <f>SUM(AF57:AF59)</f>
      </c>
      <c r="AG60" s="51">
        <f>SUM(AG57:AG59)</f>
      </c>
      <c r="AH60" s="51">
        <f>SUM(AH57:AH59)</f>
      </c>
      <c r="AI60" s="51">
        <f>SUM(AI57:AI59)</f>
      </c>
      <c r="AJ60" s="51">
        <f>SUM(AJ57:AJ59)</f>
      </c>
      <c r="AK60" s="51">
        <f>SUM(AK57:AK59)</f>
      </c>
      <c r="AL60" s="51">
        <f>SUM(AL57:AL59)</f>
      </c>
      <c r="AM60" s="51">
        <f>SUM(AM57:AM59)</f>
      </c>
      <c r="AN60" s="51">
        <f>SUM(AN57:AN59)</f>
      </c>
      <c r="AO60" s="51">
        <f>SUM(AO57:AO59)</f>
      </c>
      <c r="AP60" s="51">
        <f>SUM(AP57:AP59)</f>
      </c>
    </row>
    <row r="61">
      <c r="A61" s="22"/>
      <c r="B61" s="23" t="s">
        <v>63</v>
      </c>
      <c r="C61" s="24" t="s">
        <v>54</v>
      </c>
      <c r="D61" s="25">
        <v>2136.143</v>
      </c>
      <c r="E61" s="26">
        <v>0</v>
      </c>
      <c r="F61" s="26">
        <v>0</v>
      </c>
      <c r="G61" s="52">
        <v>0</v>
      </c>
      <c r="H61" s="26">
        <v>0</v>
      </c>
      <c r="I61" s="28">
        <v>0</v>
      </c>
      <c r="J61" s="29">
        <f t="shared" ref="J61:J63" si="147">F61+H61</f>
      </c>
      <c r="K61" s="30">
        <f t="shared" ref="K61:K63" si="177">G61+I61</f>
      </c>
      <c r="L61" s="30">
        <f t="shared" si="0"/>
      </c>
      <c r="M61" s="30">
        <f t="shared" si="100"/>
      </c>
      <c r="N61" s="30">
        <f t="shared" si="132"/>
      </c>
      <c r="O61" s="32">
        <f t="shared" si="96"/>
      </c>
      <c r="P61" s="32">
        <f t="shared" si="98"/>
      </c>
      <c r="Q61" s="33">
        <f t="shared" si="38"/>
      </c>
      <c r="R61" s="74">
        <f t="shared" si="70"/>
      </c>
      <c r="S61" s="31">
        <f t="shared" si="200"/>
      </c>
      <c r="T61" s="34">
        <f t="shared" si="7"/>
      </c>
      <c r="U61" s="34">
        <f t="shared" si="21"/>
      </c>
      <c r="V61" s="34">
        <f t="shared" si="101"/>
      </c>
      <c r="W61" s="34">
        <f t="shared" si="133"/>
      </c>
      <c r="X61" s="31">
        <f t="shared" si="97"/>
      </c>
      <c r="Y61" s="34">
        <f t="shared" si="99"/>
      </c>
      <c r="Z61" s="34">
        <f t="shared" si="54"/>
      </c>
      <c r="AA61" s="34">
        <f t="shared" si="86"/>
      </c>
      <c r="AB61" s="34">
        <f t="shared" si="216"/>
      </c>
      <c r="AC61" s="34">
        <f t="shared" si="31"/>
      </c>
      <c r="AD61" s="37" t="s">
        <v>58</v>
      </c>
      <c r="AE61" s="37" t="s">
        <v>59</v>
      </c>
      <c r="AF61" s="53">
        <v>52329</v>
      </c>
      <c r="AG61" s="53">
        <v>9510</v>
      </c>
      <c r="AH61" s="38">
        <v>81578</v>
      </c>
      <c r="AI61" s="38">
        <v>538</v>
      </c>
      <c r="AJ61" s="39">
        <v>2</v>
      </c>
      <c r="AK61" s="53">
        <v>4893</v>
      </c>
      <c r="AL61" s="39">
        <v>153</v>
      </c>
      <c r="AM61" s="39">
        <v>31</v>
      </c>
      <c r="AN61" s="39">
        <v>5</v>
      </c>
      <c r="AO61" s="39">
        <v>0</v>
      </c>
      <c r="AP61" s="38">
        <f t="shared" ref="AP61:AP63" si="115">COUNT(AK61)</f>
      </c>
    </row>
    <row r="62">
      <c r="A62" s="22"/>
      <c r="B62" s="23" t="s">
        <v>63</v>
      </c>
      <c r="C62" s="24" t="s">
        <v>55</v>
      </c>
      <c r="D62" s="25">
        <v>1880.849</v>
      </c>
      <c r="E62" s="26">
        <v>1</v>
      </c>
      <c r="F62" s="26">
        <v>0</v>
      </c>
      <c r="G62" s="27">
        <v>0</v>
      </c>
      <c r="H62" s="26">
        <v>0</v>
      </c>
      <c r="I62" s="28">
        <v>0</v>
      </c>
      <c r="J62" s="29">
        <f t="shared" si="147"/>
      </c>
      <c r="K62" s="30">
        <f t="shared" si="177"/>
      </c>
      <c r="L62" s="30">
        <f t="shared" si="0"/>
      </c>
      <c r="M62" s="30">
        <f t="shared" si="100"/>
      </c>
      <c r="N62" s="30">
        <f t="shared" si="132"/>
      </c>
      <c r="O62" s="32">
        <f t="shared" si="96"/>
      </c>
      <c r="P62" s="32">
        <f t="shared" si="98"/>
      </c>
      <c r="Q62" s="33">
        <f t="shared" si="38"/>
      </c>
      <c r="R62" s="74">
        <f t="shared" si="70"/>
      </c>
      <c r="S62" s="31">
        <f t="shared" si="200"/>
      </c>
      <c r="T62" s="34">
        <f t="shared" si="7"/>
      </c>
      <c r="U62" s="34">
        <f t="shared" si="21"/>
      </c>
      <c r="V62" s="34">
        <f t="shared" si="101"/>
      </c>
      <c r="W62" s="34">
        <f t="shared" si="133"/>
      </c>
      <c r="X62" s="31">
        <f t="shared" si="97"/>
      </c>
      <c r="Y62" s="34">
        <f t="shared" si="99"/>
      </c>
      <c r="Z62" s="34">
        <f t="shared" si="54"/>
      </c>
      <c r="AA62" s="34">
        <f t="shared" si="86"/>
      </c>
      <c r="AB62" s="34">
        <f t="shared" si="216"/>
      </c>
      <c r="AC62" s="34">
        <f t="shared" si="31"/>
      </c>
      <c r="AD62" s="37" t="s">
        <v>58</v>
      </c>
      <c r="AE62" s="37" t="s">
        <v>59</v>
      </c>
      <c r="AF62" s="38">
        <v>51166</v>
      </c>
      <c r="AG62" s="54">
        <v>10712</v>
      </c>
      <c r="AH62" s="38">
        <v>86908</v>
      </c>
      <c r="AI62" s="55">
        <v>754</v>
      </c>
      <c r="AJ62" s="75">
        <v>0</v>
      </c>
      <c r="AK62" s="56">
        <v>5850</v>
      </c>
      <c r="AL62" s="56">
        <v>177</v>
      </c>
      <c r="AM62" s="56">
        <v>35</v>
      </c>
      <c r="AN62" s="56">
        <v>2</v>
      </c>
      <c r="AO62" s="39">
        <v>0</v>
      </c>
      <c r="AP62" s="38">
        <f t="shared" si="115"/>
      </c>
    </row>
    <row r="63">
      <c r="A63" s="22"/>
      <c r="B63" s="23" t="s">
        <v>63</v>
      </c>
      <c r="C63" s="24" t="s">
        <v>56</v>
      </c>
      <c r="D63" s="25">
        <v>781.992</v>
      </c>
      <c r="E63" s="26">
        <v>6</v>
      </c>
      <c r="F63" s="26">
        <v>4</v>
      </c>
      <c r="G63" s="27">
        <v>2382</v>
      </c>
      <c r="H63" s="26">
        <v>1</v>
      </c>
      <c r="I63" s="28">
        <v>980.4000000000001</v>
      </c>
      <c r="J63" s="29">
        <f t="shared" si="147"/>
      </c>
      <c r="K63" s="30">
        <f t="shared" si="177"/>
      </c>
      <c r="L63" s="30">
        <f t="shared" si="0"/>
      </c>
      <c r="M63" s="30">
        <f t="shared" si="100"/>
      </c>
      <c r="N63" s="30">
        <f t="shared" si="132"/>
      </c>
      <c r="O63" s="32">
        <f t="shared" si="96"/>
      </c>
      <c r="P63" s="32">
        <f t="shared" si="98"/>
      </c>
      <c r="Q63" s="33">
        <f>D63/AI63</f>
      </c>
      <c r="R63" s="74">
        <f>D63/AJ63</f>
      </c>
      <c r="S63" s="31">
        <f>D63/AK63</f>
      </c>
      <c r="T63" s="34">
        <f>AJ63/AI63</f>
      </c>
      <c r="U63" s="34">
        <f>AK63/AJ63</f>
      </c>
      <c r="V63" s="34">
        <f t="shared" si="101"/>
      </c>
      <c r="W63" s="34">
        <f t="shared" si="133"/>
      </c>
      <c r="X63" s="31">
        <f t="shared" si="97"/>
      </c>
      <c r="Y63" s="34">
        <f t="shared" si="99"/>
      </c>
      <c r="Z63" s="34">
        <f>AL63/AI63</f>
      </c>
      <c r="AA63" s="34">
        <f>AM63/AI63</f>
      </c>
      <c r="AB63" s="34">
        <f>AN63/AI63</f>
      </c>
      <c r="AC63" s="34">
        <f t="shared" si="31"/>
      </c>
      <c r="AD63" s="37" t="s">
        <v>58</v>
      </c>
      <c r="AE63" s="37" t="s">
        <v>59</v>
      </c>
      <c r="AF63" s="38">
        <v>26327</v>
      </c>
      <c r="AG63" s="54">
        <v>5826</v>
      </c>
      <c r="AH63" s="38">
        <v>42473</v>
      </c>
      <c r="AI63" s="55">
        <v>444</v>
      </c>
      <c r="AJ63" s="56">
        <v>2</v>
      </c>
      <c r="AK63" s="56">
        <v>2871</v>
      </c>
      <c r="AL63" s="56">
        <v>68</v>
      </c>
      <c r="AM63" s="56">
        <v>21</v>
      </c>
      <c r="AN63" s="56">
        <v>6</v>
      </c>
      <c r="AO63" s="39">
        <v>1</v>
      </c>
      <c r="AP63" s="38">
        <f t="shared" si="115"/>
      </c>
    </row>
    <row r="64">
      <c r="A64" s="22"/>
      <c r="B64" s="40" t="s">
        <v>52</v>
      </c>
      <c r="C64" s="40"/>
      <c r="D64" s="41">
        <f>SUM(D61:D63)</f>
      </c>
      <c r="E64" s="42">
        <f>SUM(E61:E63)</f>
      </c>
      <c r="F64" s="42">
        <f>SUM(F61:F63)</f>
      </c>
      <c r="G64" s="41">
        <f>SUM(G61:G63)</f>
      </c>
      <c r="H64" s="42">
        <f>SUM(H61:H63)</f>
      </c>
      <c r="I64" s="41">
        <f>SUM(I61:I63)</f>
      </c>
      <c r="J64" s="43">
        <f>SUM(J61:J63)</f>
      </c>
      <c r="K64" s="41">
        <f>SUM(K61:K63)</f>
      </c>
      <c r="L64" s="41">
        <f t="shared" si="0"/>
      </c>
      <c r="M64" s="41">
        <f t="shared" si="100"/>
      </c>
      <c r="N64" s="41">
        <f t="shared" si="132"/>
      </c>
      <c r="O64" s="44">
        <f t="shared" si="96"/>
      </c>
      <c r="P64" s="44">
        <f t="shared" si="98"/>
      </c>
      <c r="Q64" s="45">
        <f t="shared" ref="Q64:Q71" si="39">D64/AH64</f>
      </c>
      <c r="R64" s="76">
        <f t="shared" ref="R64:R71" si="71">D64/AI64</f>
      </c>
      <c r="S64" s="46">
        <f t="shared" ref="S64:S71" si="201">D64/AJ64</f>
      </c>
      <c r="T64" s="47">
        <f t="shared" ref="T64:T71" si="8">AI64/AH64</f>
      </c>
      <c r="U64" s="47">
        <f t="shared" ref="U64:U71" si="22">AJ64/AI64</f>
      </c>
      <c r="V64" s="47">
        <f t="shared" si="101"/>
      </c>
      <c r="W64" s="47">
        <f t="shared" si="133"/>
      </c>
      <c r="X64" s="46">
        <f t="shared" si="97"/>
      </c>
      <c r="Y64" s="47">
        <f t="shared" si="99"/>
      </c>
      <c r="Z64" s="47">
        <f t="shared" ref="Z64:Z71" si="55">AK64/AH64</f>
      </c>
      <c r="AA64" s="47">
        <f t="shared" ref="AA64:AA71" si="87">AL64/AH64</f>
      </c>
      <c r="AB64" s="47">
        <f t="shared" ref="AB64:AB71" si="217">AM64/AH64</f>
      </c>
      <c r="AC64" s="47">
        <f t="shared" si="31"/>
      </c>
      <c r="AD64" s="48"/>
      <c r="AE64" s="50"/>
      <c r="AF64" s="51">
        <f>SUM(AF61:AF63)</f>
      </c>
      <c r="AG64" s="51">
        <f>SUM(AG61:AG63)</f>
      </c>
      <c r="AH64" s="57">
        <f>SUM(AH61:AH63)</f>
      </c>
      <c r="AI64" s="51">
        <f>SUM(AI61:AI63)</f>
      </c>
      <c r="AJ64" s="51">
        <f>SUM(AJ61:AJ63)</f>
      </c>
      <c r="AK64" s="51">
        <f>SUM(AK61:AK63)</f>
      </c>
      <c r="AL64" s="51">
        <f>SUM(AL61:AL63)</f>
      </c>
      <c r="AM64" s="51">
        <f>SUM(AM61:AM63)</f>
      </c>
      <c r="AN64" s="51">
        <f>SUM(AN61:AN63)</f>
      </c>
      <c r="AO64" s="51">
        <f>SUM(AO61:AO63)</f>
      </c>
      <c r="AP64" s="51">
        <f>SUM(AP61:AP63)</f>
      </c>
    </row>
    <row r="65">
      <c r="A65" s="22"/>
      <c r="B65" s="58" t="s">
        <v>57</v>
      </c>
      <c r="C65" s="58"/>
      <c r="D65" s="59">
        <f>D64+D60</f>
      </c>
      <c r="E65" s="60">
        <f>E64+E60</f>
      </c>
      <c r="F65" s="60">
        <f>F64+F60</f>
      </c>
      <c r="G65" s="59">
        <f>G64+G60</f>
      </c>
      <c r="H65" s="60">
        <f>H64+H60</f>
      </c>
      <c r="I65" s="59">
        <f>I64+I60</f>
      </c>
      <c r="J65" s="61">
        <f>J64+J60</f>
      </c>
      <c r="K65" s="59">
        <f>K64+K60</f>
      </c>
      <c r="L65" s="59">
        <f t="shared" si="0"/>
      </c>
      <c r="M65" s="59">
        <f t="shared" si="100"/>
      </c>
      <c r="N65" s="59">
        <f t="shared" si="132"/>
      </c>
      <c r="O65" s="62">
        <f t="shared" si="96"/>
      </c>
      <c r="P65" s="62">
        <f t="shared" si="98"/>
      </c>
      <c r="Q65" s="63">
        <f t="shared" si="39"/>
      </c>
      <c r="R65" s="77">
        <f t="shared" si="71"/>
      </c>
      <c r="S65" s="64">
        <f t="shared" si="201"/>
      </c>
      <c r="T65" s="65">
        <f t="shared" si="8"/>
      </c>
      <c r="U65" s="65">
        <f t="shared" si="22"/>
      </c>
      <c r="V65" s="65">
        <f t="shared" si="101"/>
      </c>
      <c r="W65" s="65">
        <f t="shared" si="133"/>
      </c>
      <c r="X65" s="64">
        <f t="shared" si="97"/>
      </c>
      <c r="Y65" s="65">
        <f t="shared" si="99"/>
      </c>
      <c r="Z65" s="78">
        <f t="shared" si="55"/>
      </c>
      <c r="AA65" s="78">
        <f t="shared" si="87"/>
      </c>
      <c r="AB65" s="78">
        <f t="shared" si="217"/>
      </c>
      <c r="AC65" s="78">
        <f t="shared" si="31"/>
      </c>
      <c r="AD65" s="79"/>
      <c r="AE65" s="68"/>
      <c r="AF65" s="69">
        <f>AF64+AF60</f>
      </c>
      <c r="AG65" s="69">
        <f>AG64+AG60</f>
      </c>
      <c r="AH65" s="69">
        <f>AH64+AH60</f>
      </c>
      <c r="AI65" s="69">
        <f>AI64+AI60</f>
      </c>
      <c r="AJ65" s="69">
        <f>AJ64+AJ60</f>
      </c>
      <c r="AK65" s="69">
        <f>AK64+AK60</f>
      </c>
      <c r="AL65" s="69">
        <f>AL64+AL60</f>
      </c>
      <c r="AM65" s="69">
        <f>AM64+AM60</f>
      </c>
      <c r="AN65" s="69">
        <f>AN64+AN60</f>
      </c>
      <c r="AO65" s="69">
        <f>AO64+AO60</f>
      </c>
      <c r="AP65" s="69">
        <f>AP64+AP60</f>
      </c>
    </row>
    <row r="66">
      <c r="A66" s="22">
        <v>46303</v>
      </c>
      <c r="B66" s="23" t="s">
        <v>63</v>
      </c>
      <c r="C66" s="24" t="s">
        <v>47</v>
      </c>
      <c r="D66" s="25">
        <v>992.07</v>
      </c>
      <c r="E66" s="26">
        <v>4</v>
      </c>
      <c r="F66" s="26">
        <v>1</v>
      </c>
      <c r="G66" s="26">
        <v>704.4000000000001</v>
      </c>
      <c r="H66" s="26">
        <v>1</v>
      </c>
      <c r="I66" s="26">
        <v>2722.8</v>
      </c>
      <c r="J66" s="29">
        <f t="shared" ref="J66:J68" si="148">F66+H66</f>
      </c>
      <c r="K66" s="30">
        <f t="shared" ref="K66:K68" si="178">G66+I66</f>
      </c>
      <c r="L66" s="31">
        <f t="shared" si="0"/>
      </c>
      <c r="M66" s="31">
        <f t="shared" si="100"/>
      </c>
      <c r="N66" s="31">
        <f t="shared" si="132"/>
      </c>
      <c r="O66" s="32">
        <f t="shared" si="96"/>
      </c>
      <c r="P66" s="32">
        <f t="shared" si="98"/>
      </c>
      <c r="Q66" s="33">
        <f t="shared" si="39"/>
      </c>
      <c r="R66" s="31">
        <f t="shared" si="71"/>
      </c>
      <c r="S66" s="31">
        <f t="shared" si="201"/>
      </c>
      <c r="T66" s="34">
        <f t="shared" si="8"/>
      </c>
      <c r="U66" s="35">
        <f t="shared" si="22"/>
      </c>
      <c r="V66" s="36">
        <f t="shared" si="101"/>
      </c>
      <c r="W66" s="36">
        <f t="shared" si="133"/>
      </c>
      <c r="X66" s="31">
        <f t="shared" si="97"/>
      </c>
      <c r="Y66" s="36">
        <f t="shared" si="99"/>
      </c>
      <c r="Z66" s="36">
        <f t="shared" si="55"/>
      </c>
      <c r="AA66" s="36">
        <f t="shared" si="87"/>
      </c>
      <c r="AB66" s="36">
        <f t="shared" si="217"/>
      </c>
      <c r="AC66" s="36">
        <f t="shared" si="31"/>
      </c>
      <c r="AD66" s="37" t="s">
        <v>58</v>
      </c>
      <c r="AE66" s="37" t="s">
        <v>59</v>
      </c>
      <c r="AF66" s="38">
        <v>28763</v>
      </c>
      <c r="AG66" s="38">
        <v>2899</v>
      </c>
      <c r="AH66" s="38">
        <v>45822</v>
      </c>
      <c r="AI66" s="38">
        <v>235</v>
      </c>
      <c r="AJ66" s="39">
        <v>2</v>
      </c>
      <c r="AK66" s="38">
        <v>2446</v>
      </c>
      <c r="AL66" s="38">
        <v>73</v>
      </c>
      <c r="AM66" s="38">
        <v>21</v>
      </c>
      <c r="AN66" s="38">
        <v>1</v>
      </c>
      <c r="AO66" s="39">
        <v>0</v>
      </c>
      <c r="AP66" s="38">
        <f t="shared" ref="AP66:AP68" si="116">COUNT(AK66)</f>
      </c>
    </row>
    <row r="67">
      <c r="A67" s="22"/>
      <c r="B67" s="23" t="s">
        <v>63</v>
      </c>
      <c r="C67" s="24" t="s">
        <v>50</v>
      </c>
      <c r="D67" s="25">
        <v>2745.069</v>
      </c>
      <c r="E67" s="26">
        <v>3</v>
      </c>
      <c r="F67" s="26">
        <v>1</v>
      </c>
      <c r="G67" s="27">
        <v>1190.4</v>
      </c>
      <c r="H67" s="26">
        <v>1</v>
      </c>
      <c r="I67" s="28">
        <v>2993.999999999999</v>
      </c>
      <c r="J67" s="29">
        <f t="shared" si="148"/>
      </c>
      <c r="K67" s="30">
        <f t="shared" si="178"/>
      </c>
      <c r="L67" s="31">
        <f t="shared" si="0"/>
      </c>
      <c r="M67" s="31">
        <f t="shared" si="100"/>
      </c>
      <c r="N67" s="31">
        <f t="shared" si="132"/>
      </c>
      <c r="O67" s="32">
        <f t="shared" si="96"/>
      </c>
      <c r="P67" s="32">
        <f t="shared" si="98"/>
      </c>
      <c r="Q67" s="33">
        <f t="shared" si="39"/>
      </c>
      <c r="R67" s="31">
        <f t="shared" si="71"/>
      </c>
      <c r="S67" s="31">
        <f t="shared" si="201"/>
      </c>
      <c r="T67" s="34">
        <f t="shared" si="8"/>
      </c>
      <c r="U67" s="35">
        <f t="shared" si="22"/>
      </c>
      <c r="V67" s="36">
        <f t="shared" si="101"/>
      </c>
      <c r="W67" s="36">
        <f t="shared" si="133"/>
      </c>
      <c r="X67" s="31">
        <f t="shared" si="97"/>
      </c>
      <c r="Y67" s="36">
        <f t="shared" si="99"/>
      </c>
      <c r="Z67" s="36">
        <f t="shared" si="55"/>
      </c>
      <c r="AA67" s="36">
        <f t="shared" si="87"/>
      </c>
      <c r="AB67" s="36">
        <f t="shared" si="217"/>
      </c>
      <c r="AC67" s="36">
        <f t="shared" si="31"/>
      </c>
      <c r="AD67" s="37" t="s">
        <v>58</v>
      </c>
      <c r="AE67" s="37" t="s">
        <v>59</v>
      </c>
      <c r="AF67" s="38">
        <v>68827</v>
      </c>
      <c r="AG67" s="38">
        <v>9576</v>
      </c>
      <c r="AH67" s="38">
        <v>125238</v>
      </c>
      <c r="AI67" s="38">
        <v>613</v>
      </c>
      <c r="AJ67" s="39">
        <v>2</v>
      </c>
      <c r="AK67" s="38">
        <v>6295</v>
      </c>
      <c r="AL67" s="38">
        <v>157</v>
      </c>
      <c r="AM67" s="38">
        <v>30</v>
      </c>
      <c r="AN67" s="38">
        <v>1</v>
      </c>
      <c r="AO67" s="39">
        <v>0</v>
      </c>
      <c r="AP67" s="38">
        <f t="shared" si="116"/>
      </c>
    </row>
    <row r="68">
      <c r="A68" s="22"/>
      <c r="B68" s="23" t="s">
        <v>63</v>
      </c>
      <c r="C68" s="24" t="s">
        <v>51</v>
      </c>
      <c r="D68" s="25">
        <v>2487.881</v>
      </c>
      <c r="E68" s="26">
        <v>3</v>
      </c>
      <c r="F68" s="26">
        <v>1</v>
      </c>
      <c r="G68" s="27">
        <v>748.8000000000002</v>
      </c>
      <c r="H68" s="26">
        <v>2</v>
      </c>
      <c r="I68" s="28">
        <v>5716.799999999999</v>
      </c>
      <c r="J68" s="29">
        <f t="shared" si="148"/>
      </c>
      <c r="K68" s="30">
        <f t="shared" si="178"/>
      </c>
      <c r="L68" s="31">
        <f t="shared" si="0"/>
      </c>
      <c r="M68" s="31">
        <f t="shared" si="100"/>
      </c>
      <c r="N68" s="31">
        <f t="shared" si="132"/>
      </c>
      <c r="O68" s="32">
        <f t="shared" si="96"/>
      </c>
      <c r="P68" s="32">
        <f t="shared" si="98"/>
      </c>
      <c r="Q68" s="33">
        <f t="shared" si="39"/>
      </c>
      <c r="R68" s="31">
        <f t="shared" si="71"/>
      </c>
      <c r="S68" s="31">
        <f t="shared" si="201"/>
      </c>
      <c r="T68" s="34">
        <f t="shared" si="8"/>
      </c>
      <c r="U68" s="35">
        <f t="shared" si="22"/>
      </c>
      <c r="V68" s="36">
        <f t="shared" si="101"/>
      </c>
      <c r="W68" s="36">
        <f t="shared" si="133"/>
      </c>
      <c r="X68" s="31">
        <f t="shared" si="97"/>
      </c>
      <c r="Y68" s="36">
        <f t="shared" si="99"/>
      </c>
      <c r="Z68" s="36">
        <f t="shared" si="55"/>
      </c>
      <c r="AA68" s="36">
        <f t="shared" si="87"/>
      </c>
      <c r="AB68" s="36">
        <f t="shared" si="217"/>
      </c>
      <c r="AC68" s="36">
        <f t="shared" si="31"/>
      </c>
      <c r="AD68" s="37" t="s">
        <v>58</v>
      </c>
      <c r="AE68" s="37" t="s">
        <v>59</v>
      </c>
      <c r="AF68" s="38">
        <v>65348</v>
      </c>
      <c r="AG68" s="38">
        <v>11581</v>
      </c>
      <c r="AH68" s="38">
        <v>114561</v>
      </c>
      <c r="AI68" s="38">
        <v>628</v>
      </c>
      <c r="AJ68" s="39">
        <v>2</v>
      </c>
      <c r="AK68" s="38">
        <v>6102</v>
      </c>
      <c r="AL68" s="38">
        <v>197</v>
      </c>
      <c r="AM68" s="38">
        <v>54</v>
      </c>
      <c r="AN68" s="38">
        <v>4</v>
      </c>
      <c r="AO68" s="39">
        <v>1</v>
      </c>
      <c r="AP68" s="38">
        <f t="shared" si="116"/>
      </c>
    </row>
    <row r="69">
      <c r="A69" s="22"/>
      <c r="B69" s="40" t="s">
        <v>52</v>
      </c>
      <c r="C69" s="40"/>
      <c r="D69" s="41">
        <f>SUM(D66:D68)</f>
      </c>
      <c r="E69" s="42">
        <f>SUM(E66:E68)</f>
      </c>
      <c r="F69" s="42">
        <f>SUM(F66:F68)</f>
      </c>
      <c r="G69" s="42">
        <f>SUM(G66:G68)</f>
      </c>
      <c r="H69" s="42">
        <f>SUM(H66:H68)</f>
      </c>
      <c r="I69" s="42">
        <f>SUM(I66:I68)</f>
      </c>
      <c r="J69" s="43">
        <f>SUM(J66:J68)</f>
      </c>
      <c r="K69" s="41">
        <f>SUM(K66:K68)</f>
      </c>
      <c r="L69" s="41">
        <f t="shared" si="0"/>
      </c>
      <c r="M69" s="41">
        <f t="shared" si="100"/>
      </c>
      <c r="N69" s="41">
        <f t="shared" si="132"/>
      </c>
      <c r="O69" s="44">
        <f t="shared" si="96"/>
      </c>
      <c r="P69" s="44">
        <f t="shared" si="98"/>
      </c>
      <c r="Q69" s="45">
        <f t="shared" si="39"/>
      </c>
      <c r="R69" s="46">
        <f t="shared" si="71"/>
      </c>
      <c r="S69" s="70">
        <f t="shared" si="201"/>
      </c>
      <c r="T69" s="71">
        <f t="shared" si="8"/>
      </c>
      <c r="U69" s="72">
        <f t="shared" si="22"/>
      </c>
      <c r="V69" s="72">
        <f t="shared" si="101"/>
      </c>
      <c r="W69" s="72">
        <f t="shared" si="133"/>
      </c>
      <c r="X69" s="70">
        <f t="shared" si="97"/>
      </c>
      <c r="Y69" s="72">
        <f t="shared" si="99"/>
      </c>
      <c r="Z69" s="73">
        <f t="shared" si="55"/>
      </c>
      <c r="AA69" s="73">
        <f t="shared" si="87"/>
      </c>
      <c r="AB69" s="73">
        <f t="shared" si="217"/>
      </c>
      <c r="AC69" s="73">
        <f t="shared" si="31"/>
      </c>
      <c r="AD69" s="49"/>
      <c r="AE69" s="50"/>
      <c r="AF69" s="51">
        <f>SUM(AF66:AF68)</f>
      </c>
      <c r="AG69" s="51">
        <f>SUM(AG66:AG68)</f>
      </c>
      <c r="AH69" s="51">
        <f>SUM(AH66:AH68)</f>
      </c>
      <c r="AI69" s="51">
        <f>SUM(AI66:AI68)</f>
      </c>
      <c r="AJ69" s="51">
        <f>SUM(AJ66:AJ68)</f>
      </c>
      <c r="AK69" s="51">
        <f>SUM(AK66:AK68)</f>
      </c>
      <c r="AL69" s="51">
        <f>SUM(AL66:AL68)</f>
      </c>
      <c r="AM69" s="51">
        <f>SUM(AM66:AM68)</f>
      </c>
      <c r="AN69" s="51">
        <f>SUM(AN66:AN68)</f>
      </c>
      <c r="AO69" s="51">
        <f>SUM(AO66:AO68)</f>
      </c>
      <c r="AP69" s="51">
        <f>SUM(AP66:AP68)</f>
      </c>
    </row>
    <row r="70">
      <c r="A70" s="22"/>
      <c r="B70" s="23" t="s">
        <v>53</v>
      </c>
      <c r="C70" s="24" t="s">
        <v>54</v>
      </c>
      <c r="D70" s="25">
        <v>1406.707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9">
        <f t="shared" ref="J70:J72" si="149">F70+H70</f>
      </c>
      <c r="K70" s="30">
        <f t="shared" ref="K70:K72" si="179">G70+I70</f>
      </c>
      <c r="L70" s="30">
        <f t="shared" si="0"/>
      </c>
      <c r="M70" s="30">
        <f t="shared" si="100"/>
      </c>
      <c r="N70" s="30">
        <f t="shared" si="132"/>
      </c>
      <c r="O70" s="32">
        <f t="shared" si="96"/>
      </c>
      <c r="P70" s="32">
        <f t="shared" si="98"/>
      </c>
      <c r="Q70" s="33">
        <f t="shared" si="39"/>
      </c>
      <c r="R70" s="74">
        <f t="shared" si="71"/>
      </c>
      <c r="S70" s="31">
        <f t="shared" si="201"/>
      </c>
      <c r="T70" s="34">
        <f t="shared" si="8"/>
      </c>
      <c r="U70" s="34">
        <f t="shared" si="22"/>
      </c>
      <c r="V70" s="34">
        <f t="shared" si="101"/>
      </c>
      <c r="W70" s="34">
        <f t="shared" si="133"/>
      </c>
      <c r="X70" s="31">
        <f t="shared" si="97"/>
      </c>
      <c r="Y70" s="34">
        <f t="shared" si="99"/>
      </c>
      <c r="Z70" s="34">
        <f t="shared" si="55"/>
      </c>
      <c r="AA70" s="34">
        <f t="shared" si="87"/>
      </c>
      <c r="AB70" s="34">
        <f t="shared" si="217"/>
      </c>
      <c r="AC70" s="34">
        <f t="shared" si="31"/>
      </c>
      <c r="AD70" s="37" t="s">
        <v>58</v>
      </c>
      <c r="AE70" s="37" t="s">
        <v>59</v>
      </c>
      <c r="AF70" s="53">
        <v>41011</v>
      </c>
      <c r="AG70" s="53">
        <v>10216</v>
      </c>
      <c r="AH70" s="38">
        <v>59807</v>
      </c>
      <c r="AI70" s="38">
        <v>409</v>
      </c>
      <c r="AJ70" s="39">
        <v>0</v>
      </c>
      <c r="AK70" s="53">
        <v>4284</v>
      </c>
      <c r="AL70" s="39">
        <v>147</v>
      </c>
      <c r="AM70" s="39">
        <v>21</v>
      </c>
      <c r="AN70" s="39">
        <v>6</v>
      </c>
      <c r="AO70" s="39">
        <v>0</v>
      </c>
      <c r="AP70" s="38">
        <f t="shared" ref="AP70:AP72" si="117">COUNT(AK70)</f>
      </c>
    </row>
    <row r="71">
      <c r="A71" s="22"/>
      <c r="B71" s="80" t="s">
        <v>53</v>
      </c>
      <c r="C71" s="24" t="s">
        <v>55</v>
      </c>
      <c r="D71" s="25">
        <v>622.219</v>
      </c>
      <c r="E71" s="26">
        <v>1</v>
      </c>
      <c r="F71" s="26">
        <v>0</v>
      </c>
      <c r="G71" s="27">
        <v>0</v>
      </c>
      <c r="H71" s="26">
        <v>1</v>
      </c>
      <c r="I71" s="28">
        <v>739.2000000000007</v>
      </c>
      <c r="J71" s="29">
        <f t="shared" si="149"/>
      </c>
      <c r="K71" s="30">
        <f t="shared" si="179"/>
      </c>
      <c r="L71" s="30">
        <f t="shared" si="0"/>
      </c>
      <c r="M71" s="30">
        <f t="shared" si="100"/>
      </c>
      <c r="N71" s="30">
        <f t="shared" si="132"/>
      </c>
      <c r="O71" s="32">
        <f t="shared" si="96"/>
      </c>
      <c r="P71" s="32">
        <f t="shared" si="98"/>
      </c>
      <c r="Q71" s="33">
        <f t="shared" si="39"/>
      </c>
      <c r="R71" s="74">
        <f t="shared" si="71"/>
      </c>
      <c r="S71" s="31">
        <f t="shared" si="201"/>
      </c>
      <c r="T71" s="34">
        <f t="shared" si="8"/>
      </c>
      <c r="U71" s="34">
        <f t="shared" si="22"/>
      </c>
      <c r="V71" s="34">
        <f t="shared" si="101"/>
      </c>
      <c r="W71" s="34">
        <f t="shared" si="133"/>
      </c>
      <c r="X71" s="31">
        <f t="shared" si="97"/>
      </c>
      <c r="Y71" s="34">
        <f t="shared" si="99"/>
      </c>
      <c r="Z71" s="34">
        <f t="shared" si="55"/>
      </c>
      <c r="AA71" s="34">
        <f t="shared" si="87"/>
      </c>
      <c r="AB71" s="34">
        <f t="shared" si="217"/>
      </c>
      <c r="AC71" s="34">
        <f t="shared" si="31"/>
      </c>
      <c r="AD71" s="37" t="s">
        <v>58</v>
      </c>
      <c r="AE71" s="37" t="s">
        <v>59</v>
      </c>
      <c r="AF71" s="38">
        <v>29914</v>
      </c>
      <c r="AG71" s="54">
        <v>4777</v>
      </c>
      <c r="AH71" s="38">
        <v>35409</v>
      </c>
      <c r="AI71" s="55">
        <v>282</v>
      </c>
      <c r="AJ71" s="75">
        <v>1</v>
      </c>
      <c r="AK71" s="56">
        <v>2129</v>
      </c>
      <c r="AL71" s="56">
        <v>54</v>
      </c>
      <c r="AM71" s="56">
        <v>32</v>
      </c>
      <c r="AN71" s="56">
        <v>3</v>
      </c>
      <c r="AO71" s="39">
        <v>0</v>
      </c>
      <c r="AP71" s="38">
        <f t="shared" si="117"/>
      </c>
    </row>
    <row r="72">
      <c r="A72" s="22"/>
      <c r="B72" s="80" t="s">
        <v>53</v>
      </c>
      <c r="C72" s="24" t="s">
        <v>56</v>
      </c>
      <c r="D72" s="25">
        <v>263.379</v>
      </c>
      <c r="E72" s="26">
        <v>0</v>
      </c>
      <c r="F72" s="26">
        <v>0</v>
      </c>
      <c r="G72" s="27">
        <v>0</v>
      </c>
      <c r="H72" s="26">
        <v>0</v>
      </c>
      <c r="I72" s="28">
        <v>0</v>
      </c>
      <c r="J72" s="29">
        <f t="shared" si="149"/>
      </c>
      <c r="K72" s="30">
        <f t="shared" si="179"/>
      </c>
      <c r="L72" s="30">
        <f t="shared" si="0"/>
      </c>
      <c r="M72" s="30">
        <f t="shared" si="100"/>
      </c>
      <c r="N72" s="30">
        <f t="shared" si="132"/>
      </c>
      <c r="O72" s="32">
        <f t="shared" si="96"/>
      </c>
      <c r="P72" s="32">
        <f t="shared" si="98"/>
      </c>
      <c r="Q72" s="33">
        <f>D72/AI72</f>
      </c>
      <c r="R72" s="74">
        <f>D72/AJ72</f>
      </c>
      <c r="S72" s="31">
        <f>D72/AK72</f>
      </c>
      <c r="T72" s="34">
        <f>AJ72/AI72</f>
      </c>
      <c r="U72" s="34">
        <f>AK72/AJ72</f>
      </c>
      <c r="V72" s="34">
        <f t="shared" si="101"/>
      </c>
      <c r="W72" s="34">
        <f t="shared" si="133"/>
      </c>
      <c r="X72" s="31">
        <f t="shared" si="97"/>
      </c>
      <c r="Y72" s="34">
        <f t="shared" si="99"/>
      </c>
      <c r="Z72" s="34">
        <f>AL72/AI72</f>
      </c>
      <c r="AA72" s="34">
        <f>AM72/AI72</f>
      </c>
      <c r="AB72" s="34">
        <f>AN72/AI72</f>
      </c>
      <c r="AC72" s="34">
        <f t="shared" si="31"/>
      </c>
      <c r="AD72" s="37" t="s">
        <v>58</v>
      </c>
      <c r="AE72" s="37" t="s">
        <v>59</v>
      </c>
      <c r="AF72" s="38">
        <v>10472</v>
      </c>
      <c r="AG72" s="54">
        <v>2301</v>
      </c>
      <c r="AH72" s="38">
        <v>10567</v>
      </c>
      <c r="AI72" s="55">
        <v>186</v>
      </c>
      <c r="AJ72" s="56">
        <v>0</v>
      </c>
      <c r="AK72" s="56">
        <v>745</v>
      </c>
      <c r="AL72" s="56">
        <v>49</v>
      </c>
      <c r="AM72" s="56">
        <v>10</v>
      </c>
      <c r="AN72" s="56">
        <v>3</v>
      </c>
      <c r="AO72" s="39">
        <v>0</v>
      </c>
      <c r="AP72" s="38">
        <f t="shared" si="117"/>
      </c>
    </row>
    <row r="73">
      <c r="A73" s="22"/>
      <c r="B73" s="40" t="s">
        <v>52</v>
      </c>
      <c r="C73" s="40"/>
      <c r="D73" s="41">
        <f>SUM(D70:D72)</f>
      </c>
      <c r="E73" s="42">
        <f>SUM(E70:E72)</f>
      </c>
      <c r="F73" s="42">
        <f>SUM(F70:F72)</f>
      </c>
      <c r="G73" s="41">
        <f>SUM(G70:G72)</f>
      </c>
      <c r="H73" s="42">
        <f>SUM(H70:H72)</f>
      </c>
      <c r="I73" s="41">
        <f>SUM(I70:I72)</f>
      </c>
      <c r="J73" s="43">
        <f>SUM(J70:J72)</f>
      </c>
      <c r="K73" s="41">
        <f>SUM(K70:K72)</f>
      </c>
      <c r="L73" s="41">
        <f t="shared" si="0"/>
      </c>
      <c r="M73" s="41">
        <f t="shared" si="100"/>
      </c>
      <c r="N73" s="41">
        <f t="shared" si="132"/>
      </c>
      <c r="O73" s="44">
        <f t="shared" si="96"/>
      </c>
      <c r="P73" s="44">
        <f t="shared" si="98"/>
      </c>
      <c r="Q73" s="45">
        <f t="shared" ref="Q73:Q80" si="40">D73/AH73</f>
      </c>
      <c r="R73" s="76">
        <f t="shared" ref="R73:R80" si="72">D73/AI73</f>
      </c>
      <c r="S73" s="46">
        <f t="shared" ref="S73:S80" si="202">D73/AJ73</f>
      </c>
      <c r="T73" s="47">
        <f t="shared" ref="T73:T80" si="9">AI73/AH73</f>
      </c>
      <c r="U73" s="47">
        <f t="shared" ref="U73:U80" si="23">AJ73/AI73</f>
      </c>
      <c r="V73" s="47">
        <f t="shared" si="101"/>
      </c>
      <c r="W73" s="47">
        <f t="shared" si="133"/>
      </c>
      <c r="X73" s="46">
        <f t="shared" si="97"/>
      </c>
      <c r="Y73" s="47">
        <f t="shared" si="99"/>
      </c>
      <c r="Z73" s="47">
        <f t="shared" ref="Z73:Z80" si="56">AK73/AH73</f>
      </c>
      <c r="AA73" s="47">
        <f t="shared" ref="AA73:AA80" si="88">AL73/AH73</f>
      </c>
      <c r="AB73" s="47">
        <f t="shared" ref="AB73:AB80" si="218">AM73/AH73</f>
      </c>
      <c r="AC73" s="47">
        <f t="shared" si="31"/>
      </c>
      <c r="AD73" s="48"/>
      <c r="AE73" s="50"/>
      <c r="AF73" s="51">
        <f>SUM(AF70:AF72)</f>
      </c>
      <c r="AG73" s="51">
        <f>SUM(AG70:AG72)</f>
      </c>
      <c r="AH73" s="57">
        <f>SUM(AH70:AH72)</f>
      </c>
      <c r="AI73" s="51">
        <f>SUM(AI70:AI72)</f>
      </c>
      <c r="AJ73" s="51">
        <f>SUM(AJ70:AJ72)</f>
      </c>
      <c r="AK73" s="51">
        <f>SUM(AK70:AK72)</f>
      </c>
      <c r="AL73" s="51">
        <f>SUM(AL70:AL72)</f>
      </c>
      <c r="AM73" s="51">
        <f>SUM(AM70:AM72)</f>
      </c>
      <c r="AN73" s="51">
        <f>SUM(AN70:AN72)</f>
      </c>
      <c r="AO73" s="51">
        <f>SUM(AO70:AO72)</f>
      </c>
      <c r="AP73" s="51">
        <f>SUM(AP70:AP72)</f>
      </c>
    </row>
    <row r="74">
      <c r="A74" s="22"/>
      <c r="B74" s="58" t="s">
        <v>57</v>
      </c>
      <c r="C74" s="58"/>
      <c r="D74" s="59">
        <f>D73+D69</f>
      </c>
      <c r="E74" s="60">
        <f>E73+E69</f>
      </c>
      <c r="F74" s="60">
        <f>F73+F69</f>
      </c>
      <c r="G74" s="59">
        <f>G73+G69</f>
      </c>
      <c r="H74" s="60">
        <f>H73+H69</f>
      </c>
      <c r="I74" s="59">
        <f>I73+I69</f>
      </c>
      <c r="J74" s="61">
        <f>J73+J69</f>
      </c>
      <c r="K74" s="59">
        <f>K73+K69</f>
      </c>
      <c r="L74" s="59">
        <f t="shared" si="0"/>
      </c>
      <c r="M74" s="59">
        <f t="shared" si="100"/>
      </c>
      <c r="N74" s="59">
        <f t="shared" si="132"/>
      </c>
      <c r="O74" s="62">
        <f t="shared" si="96"/>
      </c>
      <c r="P74" s="62">
        <f t="shared" si="98"/>
      </c>
      <c r="Q74" s="63">
        <f t="shared" si="40"/>
      </c>
      <c r="R74" s="77">
        <f t="shared" si="72"/>
      </c>
      <c r="S74" s="64">
        <f t="shared" si="202"/>
      </c>
      <c r="T74" s="65">
        <f t="shared" si="9"/>
      </c>
      <c r="U74" s="65">
        <f t="shared" si="23"/>
      </c>
      <c r="V74" s="65">
        <f t="shared" si="101"/>
      </c>
      <c r="W74" s="65">
        <f t="shared" si="133"/>
      </c>
      <c r="X74" s="64">
        <f t="shared" si="97"/>
      </c>
      <c r="Y74" s="65">
        <f t="shared" si="99"/>
      </c>
      <c r="Z74" s="78">
        <f t="shared" si="56"/>
      </c>
      <c r="AA74" s="78">
        <f t="shared" si="88"/>
      </c>
      <c r="AB74" s="78">
        <f t="shared" si="218"/>
      </c>
      <c r="AC74" s="78">
        <f t="shared" si="31"/>
      </c>
      <c r="AD74" s="79"/>
      <c r="AE74" s="68"/>
      <c r="AF74" s="69">
        <f>AF73+AF69</f>
      </c>
      <c r="AG74" s="69">
        <f>AG73+AG69</f>
      </c>
      <c r="AH74" s="69">
        <f>AH73+AH69</f>
      </c>
      <c r="AI74" s="69">
        <f>AI73+AI69</f>
      </c>
      <c r="AJ74" s="69">
        <f>AJ73+AJ69</f>
      </c>
      <c r="AK74" s="69">
        <f>AK73+AK69</f>
      </c>
      <c r="AL74" s="69">
        <f>AL73+AL69</f>
      </c>
      <c r="AM74" s="69">
        <f>AM73+AM69</f>
      </c>
      <c r="AN74" s="69">
        <f>AN73+AN69</f>
      </c>
      <c r="AO74" s="69">
        <f>AO73+AO69</f>
      </c>
      <c r="AP74" s="69">
        <f>AP73+AP69</f>
      </c>
    </row>
    <row customHeight="true" ht="16.071428571428573" r="75">
      <c r="A75" s="22">
        <v>46304</v>
      </c>
      <c r="B75" s="23" t="s">
        <v>65</v>
      </c>
      <c r="C75" s="24" t="s">
        <v>47</v>
      </c>
      <c r="D75" s="25">
        <v>428.716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9">
        <f t="shared" ref="J75:J78" si="150">F75+H75</f>
      </c>
      <c r="K75" s="30">
        <f t="shared" ref="K75:K78" si="180">G75+I75</f>
      </c>
      <c r="L75" s="31">
        <f t="shared" si="0"/>
      </c>
      <c r="M75" s="31">
        <f t="shared" si="100"/>
      </c>
      <c r="N75" s="31">
        <f t="shared" si="132"/>
      </c>
      <c r="O75" s="32">
        <f t="shared" si="96"/>
      </c>
      <c r="P75" s="32">
        <f t="shared" si="98"/>
      </c>
      <c r="Q75" s="33">
        <f t="shared" si="40"/>
      </c>
      <c r="R75" s="31">
        <f t="shared" si="72"/>
      </c>
      <c r="S75" s="31">
        <f t="shared" si="202"/>
      </c>
      <c r="T75" s="34">
        <f t="shared" si="9"/>
      </c>
      <c r="U75" s="35">
        <f t="shared" si="23"/>
      </c>
      <c r="V75" s="36">
        <f t="shared" si="101"/>
      </c>
      <c r="W75" s="36">
        <f t="shared" si="133"/>
      </c>
      <c r="X75" s="31">
        <f t="shared" si="97"/>
      </c>
      <c r="Y75" s="36">
        <f t="shared" si="99"/>
      </c>
      <c r="Z75" s="36">
        <f t="shared" si="56"/>
      </c>
      <c r="AA75" s="36">
        <f t="shared" si="88"/>
      </c>
      <c r="AB75" s="36">
        <f t="shared" si="218"/>
      </c>
      <c r="AC75" s="36">
        <f t="shared" si="31"/>
      </c>
      <c r="AD75" s="37" t="s">
        <v>58</v>
      </c>
      <c r="AE75" s="37" t="s">
        <v>62</v>
      </c>
      <c r="AF75" s="38">
        <v>8595</v>
      </c>
      <c r="AG75" s="38">
        <v>2354</v>
      </c>
      <c r="AH75" s="38">
        <v>12205</v>
      </c>
      <c r="AI75" s="38">
        <v>130</v>
      </c>
      <c r="AJ75" s="39">
        <v>0</v>
      </c>
      <c r="AK75" s="38">
        <v>1046</v>
      </c>
      <c r="AL75" s="38">
        <v>41</v>
      </c>
      <c r="AM75" s="38">
        <v>10</v>
      </c>
      <c r="AN75" s="38">
        <v>2</v>
      </c>
      <c r="AO75" s="39">
        <v>0</v>
      </c>
      <c r="AP75" s="38">
        <f t="shared" ref="AP75:AP78" si="118">COUNT(AK75)</f>
      </c>
    </row>
    <row customHeight="true" ht="16.071428571428573" r="76">
      <c r="A76" s="22"/>
      <c r="B76" s="23" t="s">
        <v>65</v>
      </c>
      <c r="C76" s="24" t="s">
        <v>50</v>
      </c>
      <c r="D76" s="25">
        <v>800.121</v>
      </c>
      <c r="E76" s="26">
        <v>1</v>
      </c>
      <c r="F76" s="26">
        <v>0</v>
      </c>
      <c r="G76" s="27">
        <v>0</v>
      </c>
      <c r="H76" s="26">
        <v>0</v>
      </c>
      <c r="I76" s="28">
        <v>0</v>
      </c>
      <c r="J76" s="29">
        <f t="shared" si="150"/>
      </c>
      <c r="K76" s="30">
        <f t="shared" si="180"/>
      </c>
      <c r="L76" s="31">
        <f t="shared" si="0"/>
      </c>
      <c r="M76" s="31">
        <f t="shared" si="100"/>
      </c>
      <c r="N76" s="31">
        <f t="shared" si="132"/>
      </c>
      <c r="O76" s="32">
        <f t="shared" si="96"/>
      </c>
      <c r="P76" s="32">
        <f t="shared" si="98"/>
      </c>
      <c r="Q76" s="33">
        <f t="shared" si="40"/>
      </c>
      <c r="R76" s="31">
        <f t="shared" si="72"/>
      </c>
      <c r="S76" s="31">
        <f t="shared" si="202"/>
      </c>
      <c r="T76" s="34">
        <f t="shared" si="9"/>
      </c>
      <c r="U76" s="35">
        <f t="shared" si="23"/>
      </c>
      <c r="V76" s="36">
        <f t="shared" si="101"/>
      </c>
      <c r="W76" s="36">
        <f t="shared" si="133"/>
      </c>
      <c r="X76" s="31">
        <f t="shared" si="97"/>
      </c>
      <c r="Y76" s="36">
        <f t="shared" si="99"/>
      </c>
      <c r="Z76" s="36">
        <f t="shared" si="56"/>
      </c>
      <c r="AA76" s="36">
        <f t="shared" si="88"/>
      </c>
      <c r="AB76" s="36">
        <f t="shared" si="218"/>
      </c>
      <c r="AC76" s="36">
        <f t="shared" si="31"/>
      </c>
      <c r="AD76" s="37" t="s">
        <v>58</v>
      </c>
      <c r="AE76" s="37" t="s">
        <v>62</v>
      </c>
      <c r="AF76" s="38">
        <v>19851</v>
      </c>
      <c r="AG76" s="38">
        <v>5273</v>
      </c>
      <c r="AH76" s="38">
        <v>34826</v>
      </c>
      <c r="AI76" s="38">
        <v>326</v>
      </c>
      <c r="AJ76" s="39">
        <v>0</v>
      </c>
      <c r="AK76" s="38">
        <v>2436</v>
      </c>
      <c r="AL76" s="38">
        <v>108</v>
      </c>
      <c r="AM76" s="38">
        <v>31</v>
      </c>
      <c r="AN76" s="38">
        <v>4</v>
      </c>
      <c r="AO76" s="39">
        <v>0</v>
      </c>
      <c r="AP76" s="38">
        <f t="shared" si="118"/>
      </c>
    </row>
    <row customHeight="true" ht="16.071428571428573" r="77">
      <c r="A77" s="22"/>
      <c r="B77" s="23" t="s">
        <v>65</v>
      </c>
      <c r="C77" s="24" t="s">
        <v>51</v>
      </c>
      <c r="D77" s="25">
        <v>935.035</v>
      </c>
      <c r="E77" s="26">
        <v>6</v>
      </c>
      <c r="F77" s="26">
        <v>0</v>
      </c>
      <c r="G77" s="27">
        <v>0</v>
      </c>
      <c r="H77" s="26">
        <v>3</v>
      </c>
      <c r="I77" s="28">
        <v>4174.799999999999</v>
      </c>
      <c r="J77" s="29">
        <f t="shared" si="150"/>
      </c>
      <c r="K77" s="30">
        <f t="shared" si="180"/>
      </c>
      <c r="L77" s="31">
        <f t="shared" si="0"/>
      </c>
      <c r="M77" s="31">
        <f t="shared" si="100"/>
      </c>
      <c r="N77" s="31">
        <f t="shared" si="132"/>
      </c>
      <c r="O77" s="32">
        <f t="shared" si="96"/>
      </c>
      <c r="P77" s="32">
        <f t="shared" si="98"/>
      </c>
      <c r="Q77" s="33">
        <f t="shared" si="40"/>
      </c>
      <c r="R77" s="31">
        <f t="shared" si="72"/>
      </c>
      <c r="S77" s="31">
        <f t="shared" si="202"/>
      </c>
      <c r="T77" s="34">
        <f t="shared" si="9"/>
      </c>
      <c r="U77" s="35">
        <f t="shared" si="23"/>
      </c>
      <c r="V77" s="36">
        <f t="shared" si="101"/>
      </c>
      <c r="W77" s="36">
        <f t="shared" si="133"/>
      </c>
      <c r="X77" s="31">
        <f t="shared" si="97"/>
      </c>
      <c r="Y77" s="36">
        <f t="shared" si="99"/>
      </c>
      <c r="Z77" s="36">
        <f t="shared" si="56"/>
      </c>
      <c r="AA77" s="36">
        <f t="shared" si="88"/>
      </c>
      <c r="AB77" s="36">
        <f t="shared" si="218"/>
      </c>
      <c r="AC77" s="36">
        <f t="shared" si="31"/>
      </c>
      <c r="AD77" s="37" t="s">
        <v>58</v>
      </c>
      <c r="AE77" s="37" t="s">
        <v>62</v>
      </c>
      <c r="AF77" s="38">
        <v>21811</v>
      </c>
      <c r="AG77" s="38">
        <v>5960</v>
      </c>
      <c r="AH77" s="38">
        <v>36577</v>
      </c>
      <c r="AI77" s="38">
        <v>498</v>
      </c>
      <c r="AJ77" s="39">
        <v>3</v>
      </c>
      <c r="AK77" s="38">
        <v>2642</v>
      </c>
      <c r="AL77" s="38">
        <v>231</v>
      </c>
      <c r="AM77" s="38">
        <v>30</v>
      </c>
      <c r="AN77" s="38">
        <v>4</v>
      </c>
      <c r="AO77" s="39">
        <v>1</v>
      </c>
      <c r="AP77" s="38">
        <f t="shared" si="118"/>
      </c>
    </row>
    <row customHeight="true" ht="16.071428571428573" r="78">
      <c r="A78" s="22"/>
      <c r="B78" s="23" t="s">
        <v>65</v>
      </c>
      <c r="C78" s="24" t="s">
        <v>54</v>
      </c>
      <c r="D78" s="25">
        <v>2551.819</v>
      </c>
      <c r="E78" s="26">
        <v>1</v>
      </c>
      <c r="F78" s="26">
        <v>1</v>
      </c>
      <c r="G78" s="27">
        <v>1132.8000000000002</v>
      </c>
      <c r="H78" s="26">
        <v>0</v>
      </c>
      <c r="I78" s="28">
        <v>0</v>
      </c>
      <c r="J78" s="29">
        <f t="shared" si="150"/>
      </c>
      <c r="K78" s="30">
        <f t="shared" si="180"/>
      </c>
      <c r="L78" s="31">
        <f t="shared" si="0"/>
      </c>
      <c r="M78" s="31">
        <f t="shared" si="100"/>
      </c>
      <c r="N78" s="31">
        <f t="shared" si="132"/>
      </c>
      <c r="O78" s="32">
        <f t="shared" si="96"/>
      </c>
      <c r="P78" s="32">
        <f t="shared" si="98"/>
      </c>
      <c r="Q78" s="33">
        <f t="shared" si="40"/>
      </c>
      <c r="R78" s="31">
        <f t="shared" si="72"/>
      </c>
      <c r="S78" s="31">
        <f t="shared" si="202"/>
      </c>
      <c r="T78" s="34">
        <f t="shared" si="9"/>
      </c>
      <c r="U78" s="35">
        <f t="shared" si="23"/>
      </c>
      <c r="V78" s="36">
        <f t="shared" si="101"/>
      </c>
      <c r="W78" s="36">
        <f t="shared" si="133"/>
      </c>
      <c r="X78" s="31">
        <f t="shared" si="97"/>
      </c>
      <c r="Y78" s="36">
        <f t="shared" si="99"/>
      </c>
      <c r="Z78" s="36">
        <f t="shared" si="56"/>
      </c>
      <c r="AA78" s="36">
        <f t="shared" si="88"/>
      </c>
      <c r="AB78" s="36">
        <f t="shared" si="218"/>
      </c>
      <c r="AC78" s="36">
        <f t="shared" si="31"/>
      </c>
      <c r="AD78" s="37" t="s">
        <v>58</v>
      </c>
      <c r="AE78" s="37" t="s">
        <v>62</v>
      </c>
      <c r="AF78" s="38">
        <v>61271</v>
      </c>
      <c r="AG78" s="38">
        <v>16523</v>
      </c>
      <c r="AH78" s="38">
        <v>133712</v>
      </c>
      <c r="AI78" s="38">
        <v>754</v>
      </c>
      <c r="AJ78" s="39">
        <v>0</v>
      </c>
      <c r="AK78" s="38">
        <v>9039</v>
      </c>
      <c r="AL78" s="38">
        <v>192</v>
      </c>
      <c r="AM78" s="38">
        <v>67</v>
      </c>
      <c r="AN78" s="38">
        <v>9</v>
      </c>
      <c r="AO78" s="39">
        <v>0</v>
      </c>
      <c r="AP78" s="38">
        <f t="shared" si="118"/>
      </c>
    </row>
    <row customHeight="true" ht="16.071428571428573" r="79">
      <c r="A79" s="22"/>
      <c r="B79" s="40" t="s">
        <v>52</v>
      </c>
      <c r="C79" s="40"/>
      <c r="D79" s="41">
        <f>SUM(D75:D78)</f>
      </c>
      <c r="E79" s="42">
        <f>SUM(E75:E78)</f>
      </c>
      <c r="F79" s="42">
        <f>SUM(F75:F78)</f>
      </c>
      <c r="G79" s="42">
        <f>SUM(G75:G78)</f>
      </c>
      <c r="H79" s="42">
        <f>SUM(H75:H78)</f>
      </c>
      <c r="I79" s="42">
        <f>SUM(I75:I78)</f>
      </c>
      <c r="J79" s="43">
        <f>SUM(J75:J78)</f>
      </c>
      <c r="K79" s="41">
        <f>SUM(K75:K78)</f>
      </c>
      <c r="L79" s="41">
        <f t="shared" si="0"/>
      </c>
      <c r="M79" s="41">
        <f t="shared" si="100"/>
      </c>
      <c r="N79" s="41">
        <f t="shared" si="132"/>
      </c>
      <c r="O79" s="44">
        <f t="shared" si="96"/>
      </c>
      <c r="P79" s="44">
        <f t="shared" si="98"/>
      </c>
      <c r="Q79" s="45">
        <f t="shared" si="40"/>
      </c>
      <c r="R79" s="46">
        <f t="shared" si="72"/>
      </c>
      <c r="S79" s="70">
        <f t="shared" si="202"/>
      </c>
      <c r="T79" s="71">
        <f t="shared" si="9"/>
      </c>
      <c r="U79" s="72">
        <f t="shared" si="23"/>
      </c>
      <c r="V79" s="72">
        <f t="shared" si="101"/>
      </c>
      <c r="W79" s="72">
        <f t="shared" si="133"/>
      </c>
      <c r="X79" s="70">
        <f t="shared" si="97"/>
      </c>
      <c r="Y79" s="72">
        <f t="shared" si="99"/>
      </c>
      <c r="Z79" s="73">
        <f t="shared" si="56"/>
      </c>
      <c r="AA79" s="73">
        <f t="shared" si="88"/>
      </c>
      <c r="AB79" s="73">
        <f t="shared" si="218"/>
      </c>
      <c r="AC79" s="73">
        <f t="shared" si="31"/>
      </c>
      <c r="AD79" s="49"/>
      <c r="AE79" s="50"/>
      <c r="AF79" s="51">
        <f>SUM(AF75:AF78)</f>
      </c>
      <c r="AG79" s="51">
        <f>SUM(AG75:AG78)</f>
      </c>
      <c r="AH79" s="51">
        <f>SUM(AH75:AH78)</f>
      </c>
      <c r="AI79" s="51">
        <f>SUM(AI75:AI78)</f>
      </c>
      <c r="AJ79" s="51">
        <f>SUM(AJ75:AJ78)</f>
      </c>
      <c r="AK79" s="51">
        <f>SUM(AK75:AK78)</f>
      </c>
      <c r="AL79" s="51">
        <f>SUM(AL75:AL78)</f>
      </c>
      <c r="AM79" s="51">
        <f>SUM(AM75:AM78)</f>
      </c>
      <c r="AN79" s="51">
        <f>SUM(AN75:AN78)</f>
      </c>
      <c r="AO79" s="51">
        <f>SUM(AO75:AO78)</f>
      </c>
      <c r="AP79" s="51">
        <f>SUM(AP75:AP78)</f>
      </c>
    </row>
    <row customHeight="true" ht="16.071428571428573" r="80">
      <c r="A80" s="22"/>
      <c r="B80" s="23" t="s">
        <v>63</v>
      </c>
      <c r="C80" s="24" t="s">
        <v>55</v>
      </c>
      <c r="D80" s="25">
        <v>2696.754</v>
      </c>
      <c r="E80" s="26">
        <v>3</v>
      </c>
      <c r="F80" s="26">
        <v>0</v>
      </c>
      <c r="G80" s="27">
        <v>0</v>
      </c>
      <c r="H80" s="26">
        <v>3</v>
      </c>
      <c r="I80" s="28">
        <v>6398.4000000000015</v>
      </c>
      <c r="J80" s="29">
        <f t="shared" ref="J80:J81" si="151">F80+H80</f>
      </c>
      <c r="K80" s="30">
        <f t="shared" ref="K80:K81" si="181">G80+I80</f>
      </c>
      <c r="L80" s="30">
        <f t="shared" si="0"/>
      </c>
      <c r="M80" s="30">
        <f t="shared" si="100"/>
      </c>
      <c r="N80" s="30">
        <f t="shared" si="132"/>
      </c>
      <c r="O80" s="32">
        <f t="shared" si="96"/>
      </c>
      <c r="P80" s="32">
        <f t="shared" si="98"/>
      </c>
      <c r="Q80" s="33">
        <f t="shared" si="40"/>
      </c>
      <c r="R80" s="74">
        <f t="shared" si="72"/>
      </c>
      <c r="S80" s="31">
        <f t="shared" si="202"/>
      </c>
      <c r="T80" s="34">
        <f t="shared" si="9"/>
      </c>
      <c r="U80" s="34">
        <f t="shared" si="23"/>
      </c>
      <c r="V80" s="34">
        <f t="shared" si="101"/>
      </c>
      <c r="W80" s="34">
        <f t="shared" si="133"/>
      </c>
      <c r="X80" s="31">
        <f t="shared" si="97"/>
      </c>
      <c r="Y80" s="34">
        <f t="shared" si="99"/>
      </c>
      <c r="Z80" s="34">
        <f t="shared" si="56"/>
      </c>
      <c r="AA80" s="34">
        <f t="shared" si="88"/>
      </c>
      <c r="AB80" s="34">
        <f t="shared" si="218"/>
      </c>
      <c r="AC80" s="34">
        <f t="shared" si="31"/>
      </c>
      <c r="AD80" s="37" t="s">
        <v>58</v>
      </c>
      <c r="AE80" s="37" t="s">
        <v>62</v>
      </c>
      <c r="AF80" s="38">
        <v>81804</v>
      </c>
      <c r="AG80" s="54">
        <v>18905</v>
      </c>
      <c r="AH80" s="38">
        <v>171133</v>
      </c>
      <c r="AI80" s="55">
        <v>880</v>
      </c>
      <c r="AJ80" s="75">
        <v>3</v>
      </c>
      <c r="AK80" s="56">
        <v>11104</v>
      </c>
      <c r="AL80" s="56">
        <v>221</v>
      </c>
      <c r="AM80" s="56">
        <v>73</v>
      </c>
      <c r="AN80" s="56">
        <v>12</v>
      </c>
      <c r="AO80" s="39">
        <v>1</v>
      </c>
      <c r="AP80" s="38">
        <f t="shared" ref="AP80:AP81" si="119">COUNT(AK80)</f>
      </c>
    </row>
    <row customHeight="true" ht="16.071428571428573" r="81">
      <c r="A81" s="22"/>
      <c r="B81" s="23" t="s">
        <v>63</v>
      </c>
      <c r="C81" s="24" t="s">
        <v>56</v>
      </c>
      <c r="D81" s="25">
        <v>1583.45</v>
      </c>
      <c r="E81" s="26">
        <v>1</v>
      </c>
      <c r="F81" s="26">
        <v>0</v>
      </c>
      <c r="G81" s="27">
        <v>0</v>
      </c>
      <c r="H81" s="26">
        <v>0</v>
      </c>
      <c r="I81" s="28">
        <v>0</v>
      </c>
      <c r="J81" s="29">
        <f t="shared" si="151"/>
      </c>
      <c r="K81" s="30">
        <f t="shared" si="181"/>
      </c>
      <c r="L81" s="30">
        <f t="shared" si="0"/>
      </c>
      <c r="M81" s="30">
        <f t="shared" si="100"/>
      </c>
      <c r="N81" s="30">
        <f t="shared" si="132"/>
      </c>
      <c r="O81" s="32">
        <f t="shared" si="96"/>
      </c>
      <c r="P81" s="32">
        <f t="shared" si="98"/>
      </c>
      <c r="Q81" s="33">
        <f>D81/AI81</f>
      </c>
      <c r="R81" s="74">
        <f>D81/AJ81</f>
      </c>
      <c r="S81" s="31">
        <f>D81/AK81</f>
      </c>
      <c r="T81" s="34">
        <f>AJ81/AI81</f>
      </c>
      <c r="U81" s="34">
        <f>AK81/AJ81</f>
      </c>
      <c r="V81" s="34">
        <f t="shared" si="101"/>
      </c>
      <c r="W81" s="34">
        <f t="shared" si="133"/>
      </c>
      <c r="X81" s="31">
        <f t="shared" si="97"/>
      </c>
      <c r="Y81" s="34">
        <f t="shared" si="99"/>
      </c>
      <c r="Z81" s="34">
        <f>AL81/AI81</f>
      </c>
      <c r="AA81" s="34">
        <f>AM81/AI81</f>
      </c>
      <c r="AB81" s="34">
        <f>AN81/AI81</f>
      </c>
      <c r="AC81" s="34">
        <f t="shared" si="31"/>
      </c>
      <c r="AD81" s="37" t="s">
        <v>58</v>
      </c>
      <c r="AE81" s="37" t="s">
        <v>62</v>
      </c>
      <c r="AF81" s="38">
        <v>66530</v>
      </c>
      <c r="AG81" s="54">
        <v>17181</v>
      </c>
      <c r="AH81" s="38">
        <v>114740</v>
      </c>
      <c r="AI81" s="55">
        <v>735</v>
      </c>
      <c r="AJ81" s="56">
        <v>1</v>
      </c>
      <c r="AK81" s="56">
        <v>8717</v>
      </c>
      <c r="AL81" s="56">
        <v>176</v>
      </c>
      <c r="AM81" s="56">
        <v>55</v>
      </c>
      <c r="AN81" s="56">
        <v>16</v>
      </c>
      <c r="AO81" s="39">
        <v>0</v>
      </c>
      <c r="AP81" s="38">
        <f t="shared" si="119"/>
      </c>
    </row>
    <row customHeight="true" ht="16.071428571428573" r="82">
      <c r="A82" s="22"/>
      <c r="B82" s="40" t="s">
        <v>52</v>
      </c>
      <c r="C82" s="40"/>
      <c r="D82" s="41">
        <f>SUM(D80:D81)</f>
      </c>
      <c r="E82" s="42">
        <f>SUM(E80:E81)</f>
      </c>
      <c r="F82" s="42">
        <f>SUM(F80:F81)</f>
      </c>
      <c r="G82" s="41">
        <f>SUM(G80:G81)</f>
      </c>
      <c r="H82" s="42">
        <f>SUM(H80:H81)</f>
      </c>
      <c r="I82" s="41">
        <f>SUM(I80:I81)</f>
      </c>
      <c r="J82" s="43">
        <f>SUM(J80:J81)</f>
      </c>
      <c r="K82" s="41">
        <f>SUM(K80:K81)</f>
      </c>
      <c r="L82" s="41">
        <f t="shared" si="0"/>
      </c>
      <c r="M82" s="41">
        <f t="shared" si="100"/>
      </c>
      <c r="N82" s="41">
        <f t="shared" si="132"/>
      </c>
      <c r="O82" s="44">
        <f t="shared" si="96"/>
      </c>
      <c r="P82" s="44">
        <f t="shared" si="98"/>
      </c>
      <c r="Q82" s="45">
        <f t="shared" ref="Q82:Q89" si="41">D82/AH82</f>
      </c>
      <c r="R82" s="76">
        <f t="shared" ref="R82:R89" si="73">D82/AI82</f>
      </c>
      <c r="S82" s="46">
        <f t="shared" ref="S82:S89" si="203">D82/AJ82</f>
      </c>
      <c r="T82" s="47">
        <f t="shared" ref="T82:T89" si="10">AI82/AH82</f>
      </c>
      <c r="U82" s="47">
        <f t="shared" ref="U82:U89" si="24">AJ82/AI82</f>
      </c>
      <c r="V82" s="47">
        <f t="shared" si="101"/>
      </c>
      <c r="W82" s="47">
        <f t="shared" si="133"/>
      </c>
      <c r="X82" s="46">
        <f t="shared" si="97"/>
      </c>
      <c r="Y82" s="47">
        <f t="shared" si="99"/>
      </c>
      <c r="Z82" s="47">
        <f t="shared" ref="Z82:Z89" si="57">AK82/AH82</f>
      </c>
      <c r="AA82" s="47">
        <f t="shared" ref="AA82:AA89" si="89">AL82/AH82</f>
      </c>
      <c r="AB82" s="47">
        <f t="shared" ref="AB82:AB89" si="219">AM82/AH82</f>
      </c>
      <c r="AC82" s="47">
        <f t="shared" si="31"/>
      </c>
      <c r="AD82" s="48"/>
      <c r="AE82" s="50"/>
      <c r="AF82" s="51">
        <f>SUM(AF80:AF81)</f>
      </c>
      <c r="AG82" s="51">
        <f>SUM(AG80:AG81)</f>
      </c>
      <c r="AH82" s="57">
        <f>SUM(AH80:AH81)</f>
      </c>
      <c r="AI82" s="51">
        <f>SUM(AI80:AI81)</f>
      </c>
      <c r="AJ82" s="51">
        <f>SUM(AJ80:AJ81)</f>
      </c>
      <c r="AK82" s="51">
        <f>SUM(AK80:AK81)</f>
      </c>
      <c r="AL82" s="51">
        <f>SUM(AL80:AL81)</f>
      </c>
      <c r="AM82" s="51">
        <f>SUM(AM80:AM81)</f>
      </c>
      <c r="AN82" s="51">
        <f>SUM(AN80:AN81)</f>
      </c>
      <c r="AO82" s="51">
        <f>SUM(AO80:AO81)</f>
      </c>
      <c r="AP82" s="51">
        <f>SUM(AP80:AP81)</f>
      </c>
    </row>
    <row customHeight="true" ht="16.071428571428573" r="83">
      <c r="A83" s="22"/>
      <c r="B83" s="58" t="s">
        <v>57</v>
      </c>
      <c r="C83" s="58"/>
      <c r="D83" s="59">
        <f>D82+D79</f>
      </c>
      <c r="E83" s="60">
        <f>E82+E79</f>
      </c>
      <c r="F83" s="60">
        <f>F82+F79</f>
      </c>
      <c r="G83" s="59">
        <f>G82+G79</f>
      </c>
      <c r="H83" s="60">
        <f>H82+H79</f>
      </c>
      <c r="I83" s="59">
        <f>I82+I79</f>
      </c>
      <c r="J83" s="61">
        <f>J82+J79</f>
      </c>
      <c r="K83" s="59">
        <f>K82+K79</f>
      </c>
      <c r="L83" s="59">
        <f t="shared" si="0"/>
      </c>
      <c r="M83" s="59">
        <f t="shared" si="100"/>
      </c>
      <c r="N83" s="59">
        <f t="shared" si="132"/>
      </c>
      <c r="O83" s="62">
        <f t="shared" si="96"/>
      </c>
      <c r="P83" s="62">
        <f t="shared" si="98"/>
      </c>
      <c r="Q83" s="63">
        <f t="shared" si="41"/>
      </c>
      <c r="R83" s="77">
        <f t="shared" si="73"/>
      </c>
      <c r="S83" s="64">
        <f t="shared" si="203"/>
      </c>
      <c r="T83" s="65">
        <f t="shared" si="10"/>
      </c>
      <c r="U83" s="65">
        <f t="shared" si="24"/>
      </c>
      <c r="V83" s="65">
        <f t="shared" si="101"/>
      </c>
      <c r="W83" s="65">
        <f t="shared" si="133"/>
      </c>
      <c r="X83" s="64">
        <f t="shared" si="97"/>
      </c>
      <c r="Y83" s="65">
        <f t="shared" si="99"/>
      </c>
      <c r="Z83" s="78">
        <f t="shared" si="57"/>
      </c>
      <c r="AA83" s="78">
        <f t="shared" si="89"/>
      </c>
      <c r="AB83" s="78">
        <f t="shared" si="219"/>
      </c>
      <c r="AC83" s="78">
        <f t="shared" si="31"/>
      </c>
      <c r="AD83" s="79"/>
      <c r="AE83" s="68"/>
      <c r="AF83" s="69">
        <f>AF82+AF79</f>
      </c>
      <c r="AG83" s="69">
        <f>AG82+AG79</f>
      </c>
      <c r="AH83" s="69">
        <f>AH82+AH79</f>
      </c>
      <c r="AI83" s="69">
        <f>AI82+AI79</f>
      </c>
      <c r="AJ83" s="69">
        <f>AJ82+AJ79</f>
      </c>
      <c r="AK83" s="69">
        <f>AK82+AK79</f>
      </c>
      <c r="AL83" s="69">
        <f>AL82+AL79</f>
      </c>
      <c r="AM83" s="69">
        <f>AM82+AM79</f>
      </c>
      <c r="AN83" s="69">
        <f>AN82+AN79</f>
      </c>
      <c r="AO83" s="69">
        <f>AO82+AO79</f>
      </c>
      <c r="AP83" s="69">
        <f>AP82+AP79</f>
      </c>
    </row>
    <row customHeight="true" ht="16.071428571428573" r="84">
      <c r="A84" s="22">
        <v>46305</v>
      </c>
      <c r="B84" s="23" t="s">
        <v>65</v>
      </c>
      <c r="C84" s="24" t="s">
        <v>47</v>
      </c>
      <c r="D84" s="25">
        <v>542.084</v>
      </c>
      <c r="E84" s="26">
        <v>3</v>
      </c>
      <c r="F84" s="26">
        <v>1</v>
      </c>
      <c r="G84" s="26">
        <v>748.8</v>
      </c>
      <c r="H84" s="26">
        <v>2</v>
      </c>
      <c r="I84" s="26">
        <v>4002</v>
      </c>
      <c r="J84" s="29">
        <f t="shared" ref="J84:J87" si="152">F84+H84</f>
      </c>
      <c r="K84" s="30">
        <f t="shared" ref="K84:K87" si="182">G84+I84</f>
      </c>
      <c r="L84" s="31">
        <f t="shared" si="0"/>
      </c>
      <c r="M84" s="31">
        <f t="shared" si="100"/>
      </c>
      <c r="N84" s="31">
        <f t="shared" si="132"/>
      </c>
      <c r="O84" s="32">
        <f t="shared" si="96"/>
      </c>
      <c r="P84" s="32">
        <f t="shared" si="98"/>
      </c>
      <c r="Q84" s="33">
        <f t="shared" si="41"/>
      </c>
      <c r="R84" s="31">
        <f t="shared" si="73"/>
      </c>
      <c r="S84" s="31">
        <f t="shared" si="203"/>
      </c>
      <c r="T84" s="34">
        <f t="shared" si="10"/>
      </c>
      <c r="U84" s="35">
        <f t="shared" si="24"/>
      </c>
      <c r="V84" s="36">
        <f t="shared" si="101"/>
      </c>
      <c r="W84" s="36">
        <f t="shared" si="133"/>
      </c>
      <c r="X84" s="31">
        <f t="shared" si="97"/>
      </c>
      <c r="Y84" s="36">
        <f t="shared" si="99"/>
      </c>
      <c r="Z84" s="36">
        <f t="shared" si="57"/>
      </c>
      <c r="AA84" s="36">
        <f t="shared" si="89"/>
      </c>
      <c r="AB84" s="36">
        <f t="shared" si="219"/>
      </c>
      <c r="AC84" s="36">
        <f t="shared" si="31"/>
      </c>
      <c r="AD84" s="37" t="s">
        <v>58</v>
      </c>
      <c r="AE84" s="37" t="s">
        <v>62</v>
      </c>
      <c r="AF84" s="38">
        <v>17815</v>
      </c>
      <c r="AG84" s="38">
        <v>3825</v>
      </c>
      <c r="AH84" s="38">
        <v>25880</v>
      </c>
      <c r="AI84" s="38">
        <v>264</v>
      </c>
      <c r="AJ84" s="39">
        <v>2</v>
      </c>
      <c r="AK84" s="38">
        <v>1784</v>
      </c>
      <c r="AL84" s="38">
        <v>62</v>
      </c>
      <c r="AM84" s="38">
        <v>11</v>
      </c>
      <c r="AN84" s="38">
        <v>2</v>
      </c>
      <c r="AO84" s="39">
        <v>1</v>
      </c>
      <c r="AP84" s="38">
        <f t="shared" ref="AP84:AP87" si="120">COUNT(AK84)</f>
      </c>
    </row>
    <row customHeight="true" ht="16.071428571428573" r="85">
      <c r="A85" s="22"/>
      <c r="B85" s="23" t="s">
        <v>65</v>
      </c>
      <c r="C85" s="24" t="s">
        <v>50</v>
      </c>
      <c r="D85" s="25">
        <v>1468.827</v>
      </c>
      <c r="E85" s="26">
        <v>0</v>
      </c>
      <c r="F85" s="26">
        <v>0</v>
      </c>
      <c r="G85" s="27">
        <v>0</v>
      </c>
      <c r="H85" s="26">
        <v>0</v>
      </c>
      <c r="I85" s="28">
        <v>0</v>
      </c>
      <c r="J85" s="29">
        <f t="shared" si="152"/>
      </c>
      <c r="K85" s="30">
        <f t="shared" si="182"/>
      </c>
      <c r="L85" s="31">
        <f t="shared" si="0"/>
      </c>
      <c r="M85" s="31">
        <f t="shared" si="100"/>
      </c>
      <c r="N85" s="31">
        <f t="shared" si="132"/>
      </c>
      <c r="O85" s="32">
        <f t="shared" si="96"/>
      </c>
      <c r="P85" s="32">
        <f t="shared" si="98"/>
      </c>
      <c r="Q85" s="33">
        <f t="shared" si="41"/>
      </c>
      <c r="R85" s="31">
        <f t="shared" si="73"/>
      </c>
      <c r="S85" s="31">
        <f t="shared" si="203"/>
      </c>
      <c r="T85" s="34">
        <f t="shared" si="10"/>
      </c>
      <c r="U85" s="35">
        <f t="shared" si="24"/>
      </c>
      <c r="V85" s="36">
        <f t="shared" si="101"/>
      </c>
      <c r="W85" s="36">
        <f t="shared" si="133"/>
      </c>
      <c r="X85" s="31">
        <f t="shared" si="97"/>
      </c>
      <c r="Y85" s="36">
        <f t="shared" si="99"/>
      </c>
      <c r="Z85" s="36">
        <f t="shared" si="57"/>
      </c>
      <c r="AA85" s="36">
        <f t="shared" si="89"/>
      </c>
      <c r="AB85" s="36">
        <f t="shared" si="219"/>
      </c>
      <c r="AC85" s="36">
        <f t="shared" si="31"/>
      </c>
      <c r="AD85" s="37" t="s">
        <v>58</v>
      </c>
      <c r="AE85" s="37" t="s">
        <v>62</v>
      </c>
      <c r="AF85" s="38">
        <v>52150</v>
      </c>
      <c r="AG85" s="38">
        <v>9197</v>
      </c>
      <c r="AH85" s="38">
        <v>72145</v>
      </c>
      <c r="AI85" s="38">
        <v>628</v>
      </c>
      <c r="AJ85" s="39">
        <v>0</v>
      </c>
      <c r="AK85" s="38">
        <v>4789</v>
      </c>
      <c r="AL85" s="38">
        <v>180</v>
      </c>
      <c r="AM85" s="38">
        <v>35</v>
      </c>
      <c r="AN85" s="38">
        <v>2</v>
      </c>
      <c r="AO85" s="39">
        <v>0</v>
      </c>
      <c r="AP85" s="38">
        <f t="shared" si="120"/>
      </c>
    </row>
    <row customHeight="true" ht="16.071428571428573" r="86">
      <c r="A86" s="22"/>
      <c r="B86" s="23" t="s">
        <v>65</v>
      </c>
      <c r="C86" s="24" t="s">
        <v>51</v>
      </c>
      <c r="D86" s="25">
        <v>2317.043</v>
      </c>
      <c r="E86" s="26">
        <v>5</v>
      </c>
      <c r="F86" s="26">
        <v>2</v>
      </c>
      <c r="G86" s="27">
        <v>1466.4000000000003</v>
      </c>
      <c r="H86" s="26">
        <v>2</v>
      </c>
      <c r="I86" s="28">
        <v>3667.2000000000007</v>
      </c>
      <c r="J86" s="29">
        <f t="shared" si="152"/>
      </c>
      <c r="K86" s="30">
        <f t="shared" si="182"/>
      </c>
      <c r="L86" s="31">
        <f t="shared" si="0"/>
      </c>
      <c r="M86" s="31">
        <f t="shared" si="100"/>
      </c>
      <c r="N86" s="31">
        <f t="shared" si="132"/>
      </c>
      <c r="O86" s="32">
        <f t="shared" si="96"/>
      </c>
      <c r="P86" s="32">
        <f t="shared" si="98"/>
      </c>
      <c r="Q86" s="33">
        <f t="shared" si="41"/>
      </c>
      <c r="R86" s="31">
        <f t="shared" si="73"/>
      </c>
      <c r="S86" s="31">
        <f t="shared" si="203"/>
      </c>
      <c r="T86" s="34">
        <f t="shared" si="10"/>
      </c>
      <c r="U86" s="35">
        <f t="shared" si="24"/>
      </c>
      <c r="V86" s="36">
        <f t="shared" si="101"/>
      </c>
      <c r="W86" s="36">
        <f t="shared" si="133"/>
      </c>
      <c r="X86" s="31">
        <f t="shared" si="97"/>
      </c>
      <c r="Y86" s="36">
        <f t="shared" si="99"/>
      </c>
      <c r="Z86" s="36">
        <f t="shared" si="57"/>
      </c>
      <c r="AA86" s="36">
        <f t="shared" si="89"/>
      </c>
      <c r="AB86" s="36">
        <f t="shared" si="219"/>
      </c>
      <c r="AC86" s="36">
        <f t="shared" si="31"/>
      </c>
      <c r="AD86" s="37" t="s">
        <v>58</v>
      </c>
      <c r="AE86" s="37" t="s">
        <v>62</v>
      </c>
      <c r="AF86" s="38">
        <v>59653</v>
      </c>
      <c r="AG86" s="38">
        <v>11653</v>
      </c>
      <c r="AH86" s="38">
        <v>98331</v>
      </c>
      <c r="AI86" s="38">
        <v>714</v>
      </c>
      <c r="AJ86" s="39">
        <v>2</v>
      </c>
      <c r="AK86" s="38">
        <v>6339</v>
      </c>
      <c r="AL86" s="38">
        <v>262</v>
      </c>
      <c r="AM86" s="38">
        <v>44</v>
      </c>
      <c r="AN86" s="38">
        <v>8</v>
      </c>
      <c r="AO86" s="39">
        <v>1</v>
      </c>
      <c r="AP86" s="38">
        <f t="shared" si="120"/>
      </c>
    </row>
    <row customHeight="true" ht="16.071428571428573" r="87">
      <c r="A87" s="22"/>
      <c r="B87" s="23" t="s">
        <v>65</v>
      </c>
      <c r="C87" s="24" t="s">
        <v>54</v>
      </c>
      <c r="D87" s="25">
        <v>912.495</v>
      </c>
      <c r="E87" s="26">
        <v>0</v>
      </c>
      <c r="F87" s="26">
        <v>0</v>
      </c>
      <c r="G87" s="27">
        <v>0</v>
      </c>
      <c r="H87" s="26">
        <v>0</v>
      </c>
      <c r="I87" s="28">
        <v>0</v>
      </c>
      <c r="J87" s="29">
        <f t="shared" si="152"/>
      </c>
      <c r="K87" s="30">
        <f t="shared" si="182"/>
      </c>
      <c r="L87" s="31">
        <f t="shared" si="0"/>
      </c>
      <c r="M87" s="31">
        <f t="shared" si="100"/>
      </c>
      <c r="N87" s="31">
        <f t="shared" si="132"/>
      </c>
      <c r="O87" s="32">
        <f t="shared" si="96"/>
      </c>
      <c r="P87" s="32">
        <f t="shared" si="98"/>
      </c>
      <c r="Q87" s="33">
        <f t="shared" si="41"/>
      </c>
      <c r="R87" s="31">
        <f t="shared" si="73"/>
      </c>
      <c r="S87" s="31">
        <f t="shared" si="203"/>
      </c>
      <c r="T87" s="34">
        <f t="shared" si="10"/>
      </c>
      <c r="U87" s="35">
        <f t="shared" si="24"/>
      </c>
      <c r="V87" s="36">
        <f t="shared" si="101"/>
      </c>
      <c r="W87" s="36">
        <f t="shared" si="133"/>
      </c>
      <c r="X87" s="31">
        <f t="shared" si="97"/>
      </c>
      <c r="Y87" s="36">
        <f t="shared" si="99"/>
      </c>
      <c r="Z87" s="36">
        <f t="shared" si="57"/>
      </c>
      <c r="AA87" s="36">
        <f t="shared" si="89"/>
      </c>
      <c r="AB87" s="36">
        <f t="shared" si="219"/>
      </c>
      <c r="AC87" s="36">
        <f t="shared" si="31"/>
      </c>
      <c r="AD87" s="37" t="s">
        <v>58</v>
      </c>
      <c r="AE87" s="37" t="s">
        <v>62</v>
      </c>
      <c r="AF87" s="38">
        <v>18463</v>
      </c>
      <c r="AG87" s="38">
        <v>4811</v>
      </c>
      <c r="AH87" s="38">
        <v>29022</v>
      </c>
      <c r="AI87" s="38">
        <v>288</v>
      </c>
      <c r="AJ87" s="39">
        <v>0</v>
      </c>
      <c r="AK87" s="38">
        <v>2254</v>
      </c>
      <c r="AL87" s="38">
        <v>107</v>
      </c>
      <c r="AM87" s="38">
        <v>20</v>
      </c>
      <c r="AN87" s="38">
        <v>3</v>
      </c>
      <c r="AO87" s="39">
        <v>0</v>
      </c>
      <c r="AP87" s="38">
        <f t="shared" si="120"/>
      </c>
    </row>
    <row customHeight="true" ht="16.071428571428573" r="88">
      <c r="A88" s="22"/>
      <c r="B88" s="40" t="s">
        <v>52</v>
      </c>
      <c r="C88" s="40"/>
      <c r="D88" s="41">
        <f>SUM(D84:D87)</f>
      </c>
      <c r="E88" s="42">
        <f>SUM(E84:E87)</f>
      </c>
      <c r="F88" s="42">
        <f>SUM(F84:F87)</f>
      </c>
      <c r="G88" s="42">
        <f>SUM(G84:G87)</f>
      </c>
      <c r="H88" s="42">
        <f>SUM(H84:H87)</f>
      </c>
      <c r="I88" s="42">
        <f>SUM(I84:I87)</f>
      </c>
      <c r="J88" s="43">
        <f>SUM(J84:J87)</f>
      </c>
      <c r="K88" s="41">
        <f>SUM(K84:K87)</f>
      </c>
      <c r="L88" s="41">
        <f t="shared" si="0"/>
      </c>
      <c r="M88" s="41">
        <f t="shared" si="100"/>
      </c>
      <c r="N88" s="41">
        <f t="shared" si="132"/>
      </c>
      <c r="O88" s="44">
        <f t="shared" si="96"/>
      </c>
      <c r="P88" s="44">
        <f t="shared" si="98"/>
      </c>
      <c r="Q88" s="45">
        <f t="shared" si="41"/>
      </c>
      <c r="R88" s="46">
        <f t="shared" si="73"/>
      </c>
      <c r="S88" s="70">
        <f t="shared" si="203"/>
      </c>
      <c r="T88" s="71">
        <f t="shared" si="10"/>
      </c>
      <c r="U88" s="72">
        <f t="shared" si="24"/>
      </c>
      <c r="V88" s="72">
        <f t="shared" si="101"/>
      </c>
      <c r="W88" s="72">
        <f t="shared" si="133"/>
      </c>
      <c r="X88" s="70">
        <f t="shared" si="97"/>
      </c>
      <c r="Y88" s="72">
        <f t="shared" si="99"/>
      </c>
      <c r="Z88" s="73">
        <f t="shared" si="57"/>
      </c>
      <c r="AA88" s="73">
        <f t="shared" si="89"/>
      </c>
      <c r="AB88" s="73">
        <f t="shared" si="219"/>
      </c>
      <c r="AC88" s="73">
        <f t="shared" si="31"/>
      </c>
      <c r="AD88" s="49"/>
      <c r="AE88" s="50"/>
      <c r="AF88" s="51">
        <f>SUM(AF84:AF87)</f>
      </c>
      <c r="AG88" s="51">
        <f>SUM(AG84:AG87)</f>
      </c>
      <c r="AH88" s="51">
        <f>SUM(AH84:AH87)</f>
      </c>
      <c r="AI88" s="51">
        <f>SUM(AI84:AI87)</f>
      </c>
      <c r="AJ88" s="51">
        <f>SUM(AJ84:AJ87)</f>
      </c>
      <c r="AK88" s="51">
        <f>SUM(AK84:AK87)</f>
      </c>
      <c r="AL88" s="51">
        <f>SUM(AL84:AL87)</f>
      </c>
      <c r="AM88" s="51">
        <f>SUM(AM84:AM87)</f>
      </c>
      <c r="AN88" s="51">
        <f>SUM(AN84:AN87)</f>
      </c>
      <c r="AO88" s="51">
        <f>SUM(AO84:AO87)</f>
      </c>
      <c r="AP88" s="51">
        <f>SUM(AP84:AP87)</f>
      </c>
    </row>
    <row customHeight="true" ht="16.071428571428573" r="89">
      <c r="A89" s="22"/>
      <c r="B89" s="23" t="s">
        <v>63</v>
      </c>
      <c r="C89" s="24" t="s">
        <v>55</v>
      </c>
      <c r="D89" s="25">
        <v>2286.165</v>
      </c>
      <c r="E89" s="26">
        <v>0</v>
      </c>
      <c r="F89" s="26">
        <v>0</v>
      </c>
      <c r="G89" s="27">
        <v>0</v>
      </c>
      <c r="H89" s="26">
        <v>0</v>
      </c>
      <c r="I89" s="28">
        <v>0</v>
      </c>
      <c r="J89" s="29">
        <f t="shared" ref="J89:J90" si="153">F89+H89</f>
      </c>
      <c r="K89" s="30">
        <f t="shared" ref="K89:K90" si="183">G89+I89</f>
      </c>
      <c r="L89" s="30">
        <f t="shared" si="0"/>
      </c>
      <c r="M89" s="30">
        <f t="shared" si="100"/>
      </c>
      <c r="N89" s="30">
        <f t="shared" si="132"/>
      </c>
      <c r="O89" s="32">
        <f t="shared" si="96"/>
      </c>
      <c r="P89" s="32">
        <f t="shared" si="98"/>
      </c>
      <c r="Q89" s="33">
        <f t="shared" si="41"/>
      </c>
      <c r="R89" s="74">
        <f t="shared" si="73"/>
      </c>
      <c r="S89" s="31">
        <f t="shared" si="203"/>
      </c>
      <c r="T89" s="34">
        <f t="shared" si="10"/>
      </c>
      <c r="U89" s="34">
        <f t="shared" si="24"/>
      </c>
      <c r="V89" s="34">
        <f t="shared" si="101"/>
      </c>
      <c r="W89" s="34">
        <f t="shared" si="133"/>
      </c>
      <c r="X89" s="31">
        <f t="shared" si="97"/>
      </c>
      <c r="Y89" s="34">
        <f t="shared" si="99"/>
      </c>
      <c r="Z89" s="34">
        <f t="shared" si="57"/>
      </c>
      <c r="AA89" s="34">
        <f t="shared" si="89"/>
      </c>
      <c r="AB89" s="34">
        <f t="shared" si="219"/>
      </c>
      <c r="AC89" s="34">
        <f t="shared" si="31"/>
      </c>
      <c r="AD89" s="37" t="s">
        <v>58</v>
      </c>
      <c r="AE89" s="37" t="s">
        <v>62</v>
      </c>
      <c r="AF89" s="38">
        <v>72136</v>
      </c>
      <c r="AG89" s="54">
        <v>13686</v>
      </c>
      <c r="AH89" s="38">
        <v>98523</v>
      </c>
      <c r="AI89" s="55">
        <v>850</v>
      </c>
      <c r="AJ89" s="75">
        <v>0</v>
      </c>
      <c r="AK89" s="56">
        <v>6857</v>
      </c>
      <c r="AL89" s="56">
        <v>234</v>
      </c>
      <c r="AM89" s="56">
        <v>42</v>
      </c>
      <c r="AN89" s="56">
        <v>4</v>
      </c>
      <c r="AO89" s="39">
        <v>0</v>
      </c>
      <c r="AP89" s="38">
        <f t="shared" ref="AP89:AP90" si="121">COUNT(AK89)</f>
      </c>
    </row>
    <row customHeight="true" ht="16.071428571428573" r="90">
      <c r="A90" s="22"/>
      <c r="B90" s="23" t="s">
        <v>63</v>
      </c>
      <c r="C90" s="24" t="s">
        <v>56</v>
      </c>
      <c r="D90" s="25">
        <v>1409.407</v>
      </c>
      <c r="E90" s="26">
        <v>3</v>
      </c>
      <c r="F90" s="26">
        <v>2</v>
      </c>
      <c r="G90" s="27">
        <v>2313.6</v>
      </c>
      <c r="H90" s="26">
        <v>1</v>
      </c>
      <c r="I90" s="28">
        <v>1414.7999999999993</v>
      </c>
      <c r="J90" s="29">
        <f t="shared" si="153"/>
      </c>
      <c r="K90" s="30">
        <f t="shared" si="183"/>
      </c>
      <c r="L90" s="30">
        <f t="shared" si="0"/>
      </c>
      <c r="M90" s="30">
        <f t="shared" si="100"/>
      </c>
      <c r="N90" s="30">
        <f t="shared" si="132"/>
      </c>
      <c r="O90" s="32">
        <f t="shared" si="96"/>
      </c>
      <c r="P90" s="32">
        <f t="shared" si="98"/>
      </c>
      <c r="Q90" s="33">
        <f>D90/AI90</f>
      </c>
      <c r="R90" s="74">
        <f>D90/AJ90</f>
      </c>
      <c r="S90" s="31">
        <f>D90/AK90</f>
      </c>
      <c r="T90" s="34">
        <f>AJ90/AI90</f>
      </c>
      <c r="U90" s="34">
        <f>AK90/AJ90</f>
      </c>
      <c r="V90" s="34">
        <f t="shared" si="101"/>
      </c>
      <c r="W90" s="34">
        <f t="shared" si="133"/>
      </c>
      <c r="X90" s="31">
        <f t="shared" si="97"/>
      </c>
      <c r="Y90" s="34">
        <f t="shared" si="99"/>
      </c>
      <c r="Z90" s="34">
        <f>AL90/AI90</f>
      </c>
      <c r="AA90" s="34">
        <f>AM90/AI90</f>
      </c>
      <c r="AB90" s="34">
        <f>AN90/AI90</f>
      </c>
      <c r="AC90" s="34">
        <f t="shared" si="31"/>
      </c>
      <c r="AD90" s="37" t="s">
        <v>58</v>
      </c>
      <c r="AE90" s="37" t="s">
        <v>62</v>
      </c>
      <c r="AF90" s="38">
        <v>79054</v>
      </c>
      <c r="AG90" s="54">
        <v>9282</v>
      </c>
      <c r="AH90" s="38">
        <v>66882</v>
      </c>
      <c r="AI90" s="55">
        <v>789</v>
      </c>
      <c r="AJ90" s="56">
        <v>1</v>
      </c>
      <c r="AK90" s="56">
        <v>4815</v>
      </c>
      <c r="AL90" s="56">
        <v>162</v>
      </c>
      <c r="AM90" s="56">
        <v>45</v>
      </c>
      <c r="AN90" s="56">
        <v>8</v>
      </c>
      <c r="AO90" s="39">
        <v>0</v>
      </c>
      <c r="AP90" s="38">
        <f t="shared" si="121"/>
      </c>
    </row>
    <row customHeight="true" ht="16.071428571428573" r="91">
      <c r="A91" s="22"/>
      <c r="B91" s="40" t="s">
        <v>52</v>
      </c>
      <c r="C91" s="40"/>
      <c r="D91" s="41">
        <f>SUM(D89:D90)</f>
      </c>
      <c r="E91" s="42">
        <f>SUM(E89:E90)</f>
      </c>
      <c r="F91" s="42">
        <f>SUM(F89:F90)</f>
      </c>
      <c r="G91" s="41">
        <f>SUM(G89:G90)</f>
      </c>
      <c r="H91" s="42">
        <f>SUM(H89:H90)</f>
      </c>
      <c r="I91" s="41">
        <f>SUM(I89:I90)</f>
      </c>
      <c r="J91" s="43">
        <f>SUM(J89:J90)</f>
      </c>
      <c r="K91" s="41">
        <f>SUM(K89:K90)</f>
      </c>
      <c r="L91" s="41">
        <f t="shared" si="0"/>
      </c>
      <c r="M91" s="41">
        <f t="shared" si="100"/>
      </c>
      <c r="N91" s="41">
        <f t="shared" si="132"/>
      </c>
      <c r="O91" s="44">
        <f t="shared" si="96"/>
      </c>
      <c r="P91" s="44">
        <f t="shared" si="98"/>
      </c>
      <c r="Q91" s="45">
        <f t="shared" ref="Q91:Q98" si="42">D91/AH91</f>
      </c>
      <c r="R91" s="76">
        <f t="shared" ref="R91:R98" si="74">D91/AI91</f>
      </c>
      <c r="S91" s="46">
        <f t="shared" ref="S91:S98" si="204">D91/AJ91</f>
      </c>
      <c r="T91" s="47">
        <f t="shared" ref="T91:T98" si="11">AI91/AH91</f>
      </c>
      <c r="U91" s="47">
        <f t="shared" ref="U91:U98" si="25">AJ91/AI91</f>
      </c>
      <c r="V91" s="47">
        <f t="shared" si="101"/>
      </c>
      <c r="W91" s="47">
        <f t="shared" si="133"/>
      </c>
      <c r="X91" s="46">
        <f t="shared" si="97"/>
      </c>
      <c r="Y91" s="47">
        <f t="shared" si="99"/>
      </c>
      <c r="Z91" s="47">
        <f t="shared" ref="Z91:Z98" si="58">AK91/AH91</f>
      </c>
      <c r="AA91" s="47">
        <f t="shared" ref="AA91:AA98" si="90">AL91/AH91</f>
      </c>
      <c r="AB91" s="47">
        <f t="shared" ref="AB91:AB98" si="220">AM91/AH91</f>
      </c>
      <c r="AC91" s="47">
        <f t="shared" si="31"/>
      </c>
      <c r="AD91" s="48"/>
      <c r="AE91" s="50"/>
      <c r="AF91" s="51">
        <f>SUM(AF89:AF90)</f>
      </c>
      <c r="AG91" s="51">
        <f>SUM(AG89:AG90)</f>
      </c>
      <c r="AH91" s="57">
        <f>SUM(AH89:AH90)</f>
      </c>
      <c r="AI91" s="51">
        <f>SUM(AI89:AI90)</f>
      </c>
      <c r="AJ91" s="51">
        <f>SUM(AJ89:AJ90)</f>
      </c>
      <c r="AK91" s="51">
        <f>SUM(AK89:AK90)</f>
      </c>
      <c r="AL91" s="51">
        <f>SUM(AL89:AL90)</f>
      </c>
      <c r="AM91" s="51">
        <f>SUM(AM89:AM90)</f>
      </c>
      <c r="AN91" s="51">
        <f>SUM(AN89:AN90)</f>
      </c>
      <c r="AO91" s="51">
        <f>SUM(AO89:AO90)</f>
      </c>
      <c r="AP91" s="51">
        <f>SUM(AP89:AP90)</f>
      </c>
    </row>
    <row customHeight="true" ht="16.071428571428573" r="92">
      <c r="A92" s="22"/>
      <c r="B92" s="58" t="s">
        <v>57</v>
      </c>
      <c r="C92" s="58"/>
      <c r="D92" s="59">
        <f>D91+D88</f>
      </c>
      <c r="E92" s="60">
        <f>E91+E88</f>
      </c>
      <c r="F92" s="60">
        <f>F91+F88</f>
      </c>
      <c r="G92" s="59">
        <f>G91+G88</f>
      </c>
      <c r="H92" s="60">
        <f>H91+H88</f>
      </c>
      <c r="I92" s="59">
        <f>I91+I88</f>
      </c>
      <c r="J92" s="61">
        <f>J91+J88</f>
      </c>
      <c r="K92" s="59">
        <f>K91+K88</f>
      </c>
      <c r="L92" s="59">
        <f t="shared" si="0"/>
      </c>
      <c r="M92" s="59">
        <f t="shared" si="100"/>
      </c>
      <c r="N92" s="59">
        <f t="shared" si="132"/>
      </c>
      <c r="O92" s="62">
        <f t="shared" si="96"/>
      </c>
      <c r="P92" s="62">
        <f t="shared" si="98"/>
      </c>
      <c r="Q92" s="63">
        <f t="shared" si="42"/>
      </c>
      <c r="R92" s="77">
        <f t="shared" si="74"/>
      </c>
      <c r="S92" s="64">
        <f t="shared" si="204"/>
      </c>
      <c r="T92" s="65">
        <f t="shared" si="11"/>
      </c>
      <c r="U92" s="65">
        <f t="shared" si="25"/>
      </c>
      <c r="V92" s="65">
        <f t="shared" si="101"/>
      </c>
      <c r="W92" s="65">
        <f t="shared" si="133"/>
      </c>
      <c r="X92" s="64">
        <f t="shared" si="97"/>
      </c>
      <c r="Y92" s="65">
        <f t="shared" si="99"/>
      </c>
      <c r="Z92" s="78">
        <f t="shared" si="58"/>
      </c>
      <c r="AA92" s="78">
        <f t="shared" si="90"/>
      </c>
      <c r="AB92" s="78">
        <f t="shared" si="220"/>
      </c>
      <c r="AC92" s="78">
        <f t="shared" si="31"/>
      </c>
      <c r="AD92" s="79"/>
      <c r="AE92" s="68"/>
      <c r="AF92" s="69">
        <f>AF91+AF88</f>
      </c>
      <c r="AG92" s="69">
        <f>AG91+AG88</f>
      </c>
      <c r="AH92" s="69">
        <f>AH91+AH88</f>
      </c>
      <c r="AI92" s="69">
        <f>AI91+AI88</f>
      </c>
      <c r="AJ92" s="69">
        <f>AJ91+AJ88</f>
      </c>
      <c r="AK92" s="69">
        <f>AK91+AK88</f>
      </c>
      <c r="AL92" s="69">
        <f>AL91+AL88</f>
      </c>
      <c r="AM92" s="69">
        <f>AM91+AM88</f>
      </c>
      <c r="AN92" s="69">
        <f>AN91+AN88</f>
      </c>
      <c r="AO92" s="69">
        <f>AO91+AO88</f>
      </c>
      <c r="AP92" s="69">
        <f>AP91+AP88</f>
      </c>
    </row>
    <row customHeight="true" ht="16.071428571428573" r="93">
      <c r="A93" s="22">
        <v>46306</v>
      </c>
      <c r="B93" s="23" t="s">
        <v>63</v>
      </c>
      <c r="C93" s="24" t="s">
        <v>47</v>
      </c>
      <c r="D93" s="25">
        <v>596.597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9">
        <f t="shared" ref="J93:J96" si="154">F93+H93</f>
      </c>
      <c r="K93" s="30">
        <f t="shared" ref="K93:K96" si="184">G93+I93</f>
      </c>
      <c r="L93" s="31">
        <f t="shared" si="0"/>
      </c>
      <c r="M93" s="31">
        <f t="shared" si="100"/>
      </c>
      <c r="N93" s="31">
        <f t="shared" si="132"/>
      </c>
      <c r="O93" s="32">
        <f t="shared" si="96"/>
      </c>
      <c r="P93" s="32">
        <f t="shared" si="98"/>
      </c>
      <c r="Q93" s="33">
        <f t="shared" si="42"/>
      </c>
      <c r="R93" s="31">
        <f t="shared" si="74"/>
      </c>
      <c r="S93" s="31">
        <f t="shared" si="204"/>
      </c>
      <c r="T93" s="34">
        <f t="shared" si="11"/>
      </c>
      <c r="U93" s="35">
        <f t="shared" si="25"/>
      </c>
      <c r="V93" s="36">
        <f t="shared" si="101"/>
      </c>
      <c r="W93" s="36">
        <f t="shared" si="133"/>
      </c>
      <c r="X93" s="31">
        <f t="shared" si="97"/>
      </c>
      <c r="Y93" s="36">
        <f t="shared" si="99"/>
      </c>
      <c r="Z93" s="36">
        <f t="shared" si="58"/>
      </c>
      <c r="AA93" s="36">
        <f t="shared" si="90"/>
      </c>
      <c r="AB93" s="36">
        <f t="shared" si="220"/>
      </c>
      <c r="AC93" s="36">
        <f t="shared" si="31"/>
      </c>
      <c r="AD93" s="37" t="s">
        <v>58</v>
      </c>
      <c r="AE93" s="37" t="s">
        <v>62</v>
      </c>
      <c r="AF93" s="38">
        <v>16841</v>
      </c>
      <c r="AG93" s="38">
        <v>4113</v>
      </c>
      <c r="AH93" s="38">
        <v>22462</v>
      </c>
      <c r="AI93" s="38">
        <v>289</v>
      </c>
      <c r="AJ93" s="39">
        <v>1</v>
      </c>
      <c r="AK93" s="38">
        <v>1873</v>
      </c>
      <c r="AL93" s="38">
        <v>54</v>
      </c>
      <c r="AM93" s="38">
        <v>17</v>
      </c>
      <c r="AN93" s="38">
        <v>2</v>
      </c>
      <c r="AO93" s="39">
        <v>0</v>
      </c>
      <c r="AP93" s="38">
        <f t="shared" ref="AP93:AP96" si="122">COUNT(AK93)</f>
      </c>
    </row>
    <row customHeight="true" ht="16.071428571428573" r="94">
      <c r="A94" s="22"/>
      <c r="B94" s="23" t="s">
        <v>63</v>
      </c>
      <c r="C94" s="24" t="s">
        <v>50</v>
      </c>
      <c r="D94" s="25">
        <v>320.671</v>
      </c>
      <c r="E94" s="26">
        <v>1</v>
      </c>
      <c r="F94" s="26">
        <v>1</v>
      </c>
      <c r="G94" s="27">
        <v>498</v>
      </c>
      <c r="H94" s="26">
        <v>0</v>
      </c>
      <c r="I94" s="28">
        <v>0</v>
      </c>
      <c r="J94" s="29">
        <f t="shared" si="154"/>
      </c>
      <c r="K94" s="30">
        <f t="shared" si="184"/>
      </c>
      <c r="L94" s="31">
        <f t="shared" si="0"/>
      </c>
      <c r="M94" s="31">
        <f t="shared" si="100"/>
      </c>
      <c r="N94" s="31">
        <f t="shared" si="132"/>
      </c>
      <c r="O94" s="32">
        <f t="shared" si="96"/>
      </c>
      <c r="P94" s="32">
        <f t="shared" si="98"/>
      </c>
      <c r="Q94" s="33">
        <f t="shared" si="42"/>
      </c>
      <c r="R94" s="31">
        <f t="shared" si="74"/>
      </c>
      <c r="S94" s="31">
        <f t="shared" si="204"/>
      </c>
      <c r="T94" s="34">
        <f t="shared" si="11"/>
      </c>
      <c r="U94" s="35">
        <f t="shared" si="25"/>
      </c>
      <c r="V94" s="36">
        <f t="shared" si="101"/>
      </c>
      <c r="W94" s="36">
        <f t="shared" si="133"/>
      </c>
      <c r="X94" s="31">
        <f t="shared" si="97"/>
      </c>
      <c r="Y94" s="36">
        <f t="shared" si="99"/>
      </c>
      <c r="Z94" s="36">
        <f t="shared" si="58"/>
      </c>
      <c r="AA94" s="36">
        <f t="shared" si="90"/>
      </c>
      <c r="AB94" s="36">
        <f t="shared" si="220"/>
      </c>
      <c r="AC94" s="36">
        <f t="shared" si="31"/>
      </c>
      <c r="AD94" s="37" t="s">
        <v>58</v>
      </c>
      <c r="AE94" s="37" t="s">
        <v>62</v>
      </c>
      <c r="AF94" s="38">
        <v>11328</v>
      </c>
      <c r="AG94" s="38">
        <v>3172</v>
      </c>
      <c r="AH94" s="38">
        <v>10377</v>
      </c>
      <c r="AI94" s="38">
        <v>176</v>
      </c>
      <c r="AJ94" s="39">
        <v>0</v>
      </c>
      <c r="AK94" s="38">
        <v>893</v>
      </c>
      <c r="AL94" s="38">
        <v>102</v>
      </c>
      <c r="AM94" s="38">
        <v>9</v>
      </c>
      <c r="AN94" s="38">
        <v>1</v>
      </c>
      <c r="AO94" s="39">
        <v>0</v>
      </c>
      <c r="AP94" s="38">
        <f t="shared" si="122"/>
      </c>
    </row>
    <row customHeight="true" ht="16.071428571428573" r="95">
      <c r="A95" s="22"/>
      <c r="B95" s="23" t="s">
        <v>63</v>
      </c>
      <c r="C95" s="24" t="s">
        <v>51</v>
      </c>
      <c r="D95" s="25">
        <v>479.033</v>
      </c>
      <c r="E95" s="26">
        <v>1</v>
      </c>
      <c r="F95" s="26">
        <v>0</v>
      </c>
      <c r="G95" s="27">
        <v>0</v>
      </c>
      <c r="H95" s="26">
        <v>1</v>
      </c>
      <c r="I95" s="28">
        <v>1414.8000000000002</v>
      </c>
      <c r="J95" s="29">
        <f t="shared" si="154"/>
      </c>
      <c r="K95" s="30">
        <f t="shared" si="184"/>
      </c>
      <c r="L95" s="31">
        <f t="shared" si="0"/>
      </c>
      <c r="M95" s="31">
        <f t="shared" si="100"/>
      </c>
      <c r="N95" s="31">
        <f t="shared" si="132"/>
      </c>
      <c r="O95" s="32">
        <f t="shared" si="96"/>
      </c>
      <c r="P95" s="32">
        <f t="shared" si="98"/>
      </c>
      <c r="Q95" s="33">
        <f t="shared" si="42"/>
      </c>
      <c r="R95" s="31">
        <f t="shared" si="74"/>
      </c>
      <c r="S95" s="31">
        <f t="shared" si="204"/>
      </c>
      <c r="T95" s="34">
        <f t="shared" si="11"/>
      </c>
      <c r="U95" s="35">
        <f t="shared" si="25"/>
      </c>
      <c r="V95" s="36">
        <f t="shared" si="101"/>
      </c>
      <c r="W95" s="36">
        <f t="shared" si="133"/>
      </c>
      <c r="X95" s="31">
        <f t="shared" si="97"/>
      </c>
      <c r="Y95" s="36">
        <f t="shared" si="99"/>
      </c>
      <c r="Z95" s="36">
        <f t="shared" si="58"/>
      </c>
      <c r="AA95" s="36">
        <f t="shared" si="90"/>
      </c>
      <c r="AB95" s="36">
        <f t="shared" si="220"/>
      </c>
      <c r="AC95" s="36">
        <f t="shared" si="31"/>
      </c>
      <c r="AD95" s="37" t="s">
        <v>58</v>
      </c>
      <c r="AE95" s="37" t="s">
        <v>62</v>
      </c>
      <c r="AF95" s="38">
        <v>16248</v>
      </c>
      <c r="AG95" s="38">
        <v>4267</v>
      </c>
      <c r="AH95" s="38">
        <v>15676</v>
      </c>
      <c r="AI95" s="38">
        <v>262</v>
      </c>
      <c r="AJ95" s="39">
        <v>1</v>
      </c>
      <c r="AK95" s="38">
        <v>1384</v>
      </c>
      <c r="AL95" s="38">
        <v>100</v>
      </c>
      <c r="AM95" s="38">
        <v>11</v>
      </c>
      <c r="AN95" s="38">
        <v>1</v>
      </c>
      <c r="AO95" s="39">
        <v>0</v>
      </c>
      <c r="AP95" s="38">
        <f t="shared" si="122"/>
      </c>
    </row>
    <row customHeight="true" ht="16.071428571428573" r="96">
      <c r="A96" s="22"/>
      <c r="B96" s="23" t="s">
        <v>63</v>
      </c>
      <c r="C96" s="24" t="s">
        <v>54</v>
      </c>
      <c r="D96" s="25">
        <v>603.276</v>
      </c>
      <c r="E96" s="26">
        <v>1</v>
      </c>
      <c r="F96" s="26">
        <v>0</v>
      </c>
      <c r="G96" s="27">
        <v>0</v>
      </c>
      <c r="H96" s="26">
        <v>0</v>
      </c>
      <c r="I96" s="28">
        <v>0</v>
      </c>
      <c r="J96" s="29">
        <f t="shared" si="154"/>
      </c>
      <c r="K96" s="30">
        <f t="shared" si="184"/>
      </c>
      <c r="L96" s="31">
        <f t="shared" si="0"/>
      </c>
      <c r="M96" s="31">
        <f t="shared" si="100"/>
      </c>
      <c r="N96" s="31">
        <f t="shared" si="132"/>
      </c>
      <c r="O96" s="32">
        <f t="shared" si="96"/>
      </c>
      <c r="P96" s="32">
        <f t="shared" si="98"/>
      </c>
      <c r="Q96" s="33">
        <f t="shared" si="42"/>
      </c>
      <c r="R96" s="31">
        <f t="shared" si="74"/>
      </c>
      <c r="S96" s="31">
        <f t="shared" si="204"/>
      </c>
      <c r="T96" s="34">
        <f t="shared" si="11"/>
      </c>
      <c r="U96" s="35">
        <f t="shared" si="25"/>
      </c>
      <c r="V96" s="36">
        <f t="shared" si="101"/>
      </c>
      <c r="W96" s="36">
        <f t="shared" si="133"/>
      </c>
      <c r="X96" s="31">
        <f t="shared" si="97"/>
      </c>
      <c r="Y96" s="36">
        <f t="shared" si="99"/>
      </c>
      <c r="Z96" s="36">
        <f t="shared" si="58"/>
      </c>
      <c r="AA96" s="36">
        <f t="shared" si="90"/>
      </c>
      <c r="AB96" s="36">
        <f t="shared" si="220"/>
      </c>
      <c r="AC96" s="36">
        <f t="shared" si="31"/>
      </c>
      <c r="AD96" s="37" t="s">
        <v>58</v>
      </c>
      <c r="AE96" s="37" t="s">
        <v>62</v>
      </c>
      <c r="AF96" s="38">
        <v>15695</v>
      </c>
      <c r="AG96" s="38">
        <v>3735</v>
      </c>
      <c r="AH96" s="38">
        <v>18839</v>
      </c>
      <c r="AI96" s="38">
        <v>256</v>
      </c>
      <c r="AJ96" s="39">
        <v>0</v>
      </c>
      <c r="AK96" s="38">
        <v>1409</v>
      </c>
      <c r="AL96" s="38">
        <v>75</v>
      </c>
      <c r="AM96" s="38">
        <v>11</v>
      </c>
      <c r="AN96" s="38">
        <v>0</v>
      </c>
      <c r="AO96" s="39">
        <v>0</v>
      </c>
      <c r="AP96" s="38">
        <f t="shared" si="122"/>
      </c>
    </row>
    <row customHeight="true" ht="16.071428571428573" r="97">
      <c r="A97" s="22"/>
      <c r="B97" s="40" t="s">
        <v>52</v>
      </c>
      <c r="C97" s="40"/>
      <c r="D97" s="41">
        <f>SUM(D93:D96)</f>
      </c>
      <c r="E97" s="42">
        <f>SUM(E93:E96)</f>
      </c>
      <c r="F97" s="42">
        <f>SUM(F93:F96)</f>
      </c>
      <c r="G97" s="42">
        <f>SUM(G93:G96)</f>
      </c>
      <c r="H97" s="42">
        <f>SUM(H93:H96)</f>
      </c>
      <c r="I97" s="42">
        <f>SUM(I93:I96)</f>
      </c>
      <c r="J97" s="43">
        <f>SUM(J93:J96)</f>
      </c>
      <c r="K97" s="41">
        <f>SUM(K93:K96)</f>
      </c>
      <c r="L97" s="41">
        <f t="shared" si="0"/>
      </c>
      <c r="M97" s="41">
        <f t="shared" si="100"/>
      </c>
      <c r="N97" s="41">
        <f t="shared" si="132"/>
      </c>
      <c r="O97" s="44">
        <f t="shared" si="96"/>
      </c>
      <c r="P97" s="44">
        <f t="shared" si="98"/>
      </c>
      <c r="Q97" s="45">
        <f t="shared" si="42"/>
      </c>
      <c r="R97" s="46">
        <f t="shared" si="74"/>
      </c>
      <c r="S97" s="70">
        <f t="shared" si="204"/>
      </c>
      <c r="T97" s="71">
        <f t="shared" si="11"/>
      </c>
      <c r="U97" s="72">
        <f t="shared" si="25"/>
      </c>
      <c r="V97" s="72">
        <f t="shared" si="101"/>
      </c>
      <c r="W97" s="72">
        <f t="shared" si="133"/>
      </c>
      <c r="X97" s="70">
        <f t="shared" si="97"/>
      </c>
      <c r="Y97" s="72">
        <f t="shared" si="99"/>
      </c>
      <c r="Z97" s="73">
        <f t="shared" si="58"/>
      </c>
      <c r="AA97" s="73">
        <f t="shared" si="90"/>
      </c>
      <c r="AB97" s="73">
        <f t="shared" si="220"/>
      </c>
      <c r="AC97" s="73">
        <f t="shared" si="31"/>
      </c>
      <c r="AD97" s="49"/>
      <c r="AE97" s="50"/>
      <c r="AF97" s="51">
        <f>SUM(AF93:AF96)</f>
      </c>
      <c r="AG97" s="51">
        <f>SUM(AG93:AG96)</f>
      </c>
      <c r="AH97" s="51">
        <f>SUM(AH93:AH96)</f>
      </c>
      <c r="AI97" s="51">
        <f>SUM(AI93:AI96)</f>
      </c>
      <c r="AJ97" s="51">
        <f>SUM(AJ93:AJ96)</f>
      </c>
      <c r="AK97" s="51">
        <f>SUM(AK93:AK96)</f>
      </c>
      <c r="AL97" s="51">
        <f>SUM(AL93:AL96)</f>
      </c>
      <c r="AM97" s="51">
        <f>SUM(AM93:AM96)</f>
      </c>
      <c r="AN97" s="51">
        <f>SUM(AN93:AN96)</f>
      </c>
      <c r="AO97" s="51">
        <f>SUM(AO93:AO96)</f>
      </c>
      <c r="AP97" s="51">
        <f>SUM(AP93:AP96)</f>
      </c>
    </row>
    <row customHeight="true" ht="16.071428571428573" r="98">
      <c r="A98" s="22"/>
      <c r="B98" s="23" t="s">
        <v>60</v>
      </c>
      <c r="C98" s="24" t="s">
        <v>55</v>
      </c>
      <c r="D98" s="25">
        <v>591.95</v>
      </c>
      <c r="E98" s="26">
        <v>1</v>
      </c>
      <c r="F98" s="26">
        <v>0</v>
      </c>
      <c r="G98" s="27">
        <v>0</v>
      </c>
      <c r="H98" s="26">
        <v>0</v>
      </c>
      <c r="I98" s="28">
        <v>0</v>
      </c>
      <c r="J98" s="29">
        <f t="shared" ref="J98:J99" si="155">F98+H98</f>
      </c>
      <c r="K98" s="30">
        <f t="shared" ref="K98:K99" si="185">G98+I98</f>
      </c>
      <c r="L98" s="30">
        <f t="shared" si="0"/>
      </c>
      <c r="M98" s="30">
        <f t="shared" si="100"/>
      </c>
      <c r="N98" s="30">
        <f t="shared" si="132"/>
      </c>
      <c r="O98" s="32">
        <f t="shared" si="96"/>
      </c>
      <c r="P98" s="32">
        <f t="shared" si="98"/>
      </c>
      <c r="Q98" s="33">
        <f t="shared" si="42"/>
      </c>
      <c r="R98" s="74">
        <f t="shared" si="74"/>
      </c>
      <c r="S98" s="31">
        <f t="shared" si="204"/>
      </c>
      <c r="T98" s="34">
        <f t="shared" si="11"/>
      </c>
      <c r="U98" s="34">
        <f t="shared" si="25"/>
      </c>
      <c r="V98" s="34">
        <f t="shared" si="101"/>
      </c>
      <c r="W98" s="34">
        <f t="shared" si="133"/>
      </c>
      <c r="X98" s="31">
        <f t="shared" si="97"/>
      </c>
      <c r="Y98" s="34">
        <f t="shared" si="99"/>
      </c>
      <c r="Z98" s="34">
        <f t="shared" si="58"/>
      </c>
      <c r="AA98" s="34">
        <f t="shared" si="90"/>
      </c>
      <c r="AB98" s="34">
        <f t="shared" si="220"/>
      </c>
      <c r="AC98" s="34">
        <f t="shared" si="31"/>
      </c>
      <c r="AD98" s="37" t="s">
        <v>58</v>
      </c>
      <c r="AE98" s="37" t="s">
        <v>62</v>
      </c>
      <c r="AF98" s="38">
        <v>12481</v>
      </c>
      <c r="AG98" s="54">
        <v>2150</v>
      </c>
      <c r="AH98" s="38">
        <v>16653</v>
      </c>
      <c r="AI98" s="55">
        <v>205</v>
      </c>
      <c r="AJ98" s="75">
        <v>0</v>
      </c>
      <c r="AK98" s="56">
        <v>1038</v>
      </c>
      <c r="AL98" s="56">
        <v>44</v>
      </c>
      <c r="AM98" s="56">
        <v>9</v>
      </c>
      <c r="AN98" s="56">
        <v>2</v>
      </c>
      <c r="AO98" s="39">
        <v>0</v>
      </c>
      <c r="AP98" s="38">
        <f t="shared" ref="AP98:AP99" si="123">COUNT(AK98)</f>
      </c>
    </row>
    <row customHeight="true" ht="16.071428571428573" r="99">
      <c r="A99" s="22"/>
      <c r="B99" s="23" t="s">
        <v>60</v>
      </c>
      <c r="C99" s="24" t="s">
        <v>56</v>
      </c>
      <c r="D99" s="25">
        <v>391.496</v>
      </c>
      <c r="E99" s="26">
        <v>1</v>
      </c>
      <c r="F99" s="26">
        <v>1</v>
      </c>
      <c r="G99" s="27">
        <v>748.8</v>
      </c>
      <c r="H99" s="26">
        <v>0</v>
      </c>
      <c r="I99" s="28">
        <v>0</v>
      </c>
      <c r="J99" s="29">
        <f t="shared" si="155"/>
      </c>
      <c r="K99" s="30">
        <f t="shared" si="185"/>
      </c>
      <c r="L99" s="30">
        <f t="shared" si="0"/>
      </c>
      <c r="M99" s="30">
        <f t="shared" si="100"/>
      </c>
      <c r="N99" s="30">
        <f t="shared" si="132"/>
      </c>
      <c r="O99" s="32">
        <f t="shared" si="96"/>
      </c>
      <c r="P99" s="32">
        <f t="shared" si="98"/>
      </c>
      <c r="Q99" s="33">
        <f>D99/AI99</f>
      </c>
      <c r="R99" s="74">
        <f>D99/AJ99</f>
      </c>
      <c r="S99" s="31">
        <f>D99/AK99</f>
      </c>
      <c r="T99" s="34">
        <f>AJ99/AI99</f>
      </c>
      <c r="U99" s="34">
        <f>AK99/AJ99</f>
      </c>
      <c r="V99" s="34">
        <f t="shared" si="101"/>
      </c>
      <c r="W99" s="34">
        <f t="shared" si="133"/>
      </c>
      <c r="X99" s="31">
        <f t="shared" si="97"/>
      </c>
      <c r="Y99" s="34">
        <f t="shared" si="99"/>
      </c>
      <c r="Z99" s="34">
        <f>AL99/AI99</f>
      </c>
      <c r="AA99" s="34">
        <f>AM99/AI99</f>
      </c>
      <c r="AB99" s="34">
        <f>AN99/AI99</f>
      </c>
      <c r="AC99" s="34">
        <f t="shared" si="31"/>
      </c>
      <c r="AD99" s="37" t="s">
        <v>58</v>
      </c>
      <c r="AE99" s="37" t="s">
        <v>62</v>
      </c>
      <c r="AF99" s="38">
        <v>11443</v>
      </c>
      <c r="AG99" s="54">
        <v>1533</v>
      </c>
      <c r="AH99" s="38">
        <v>13184</v>
      </c>
      <c r="AI99" s="55">
        <v>188</v>
      </c>
      <c r="AJ99" s="56">
        <v>1</v>
      </c>
      <c r="AK99" s="56">
        <v>736</v>
      </c>
      <c r="AL99" s="56">
        <v>58</v>
      </c>
      <c r="AM99" s="56">
        <v>9</v>
      </c>
      <c r="AN99" s="56">
        <v>3</v>
      </c>
      <c r="AO99" s="39">
        <v>0</v>
      </c>
      <c r="AP99" s="38">
        <f t="shared" si="123"/>
      </c>
    </row>
    <row customHeight="true" ht="16.071428571428573" r="100">
      <c r="A100" s="22"/>
      <c r="B100" s="40" t="s">
        <v>52</v>
      </c>
      <c r="C100" s="40"/>
      <c r="D100" s="41">
        <f>SUM(D98:D99)</f>
      </c>
      <c r="E100" s="42">
        <f>SUM(E98:E99)</f>
      </c>
      <c r="F100" s="42">
        <f>SUM(F98:F99)</f>
      </c>
      <c r="G100" s="41">
        <f>SUM(G98:G99)</f>
      </c>
      <c r="H100" s="42">
        <f>SUM(H98:H99)</f>
      </c>
      <c r="I100" s="41">
        <f>SUM(I98:I99)</f>
      </c>
      <c r="J100" s="43">
        <f>SUM(J98:J99)</f>
      </c>
      <c r="K100" s="41">
        <f>SUM(K98:K99)</f>
      </c>
      <c r="L100" s="41">
        <f t="shared" si="0"/>
      </c>
      <c r="M100" s="41">
        <f t="shared" si="100"/>
      </c>
      <c r="N100" s="41">
        <f t="shared" si="132"/>
      </c>
      <c r="O100" s="44">
        <f t="shared" si="96"/>
      </c>
      <c r="P100" s="44">
        <f t="shared" si="98"/>
      </c>
      <c r="Q100" s="45">
        <f t="shared" ref="Q100:Q107" si="43">D100/AH100</f>
      </c>
      <c r="R100" s="76">
        <f t="shared" ref="R100:R107" si="75">D100/AI100</f>
      </c>
      <c r="S100" s="46">
        <f t="shared" ref="S100:S107" si="205">D100/AJ100</f>
      </c>
      <c r="T100" s="47">
        <f t="shared" ref="T100:T107" si="12">AI100/AH100</f>
      </c>
      <c r="U100" s="47">
        <f t="shared" ref="U100:U107" si="26">AJ100/AI100</f>
      </c>
      <c r="V100" s="47">
        <f t="shared" si="101"/>
      </c>
      <c r="W100" s="47">
        <f t="shared" si="133"/>
      </c>
      <c r="X100" s="46">
        <f t="shared" si="97"/>
      </c>
      <c r="Y100" s="47">
        <f t="shared" si="99"/>
      </c>
      <c r="Z100" s="47">
        <f t="shared" ref="Z100:Z107" si="59">AK100/AH100</f>
      </c>
      <c r="AA100" s="47">
        <f t="shared" ref="AA100:AA107" si="91">AL100/AH100</f>
      </c>
      <c r="AB100" s="47">
        <f t="shared" ref="AB100:AB107" si="221">AM100/AH100</f>
      </c>
      <c r="AC100" s="47">
        <f t="shared" si="31"/>
      </c>
      <c r="AD100" s="48"/>
      <c r="AE100" s="50"/>
      <c r="AF100" s="51">
        <f>SUM(AF98:AF99)</f>
      </c>
      <c r="AG100" s="51">
        <f>SUM(AG98:AG99)</f>
      </c>
      <c r="AH100" s="57">
        <f>SUM(AH98:AH99)</f>
      </c>
      <c r="AI100" s="51">
        <f>SUM(AI98:AI99)</f>
      </c>
      <c r="AJ100" s="51">
        <f>SUM(AJ98:AJ99)</f>
      </c>
      <c r="AK100" s="51">
        <f>SUM(AK98:AK99)</f>
      </c>
      <c r="AL100" s="51">
        <f>SUM(AL98:AL99)</f>
      </c>
      <c r="AM100" s="51">
        <f>SUM(AM98:AM99)</f>
      </c>
      <c r="AN100" s="51">
        <f>SUM(AN98:AN99)</f>
      </c>
      <c r="AO100" s="51">
        <f>SUM(AO98:AO99)</f>
      </c>
      <c r="AP100" s="51">
        <f>SUM(AP98:AP99)</f>
      </c>
    </row>
    <row customHeight="true" ht="16.071428571428573" r="101">
      <c r="A101" s="22"/>
      <c r="B101" s="58" t="s">
        <v>57</v>
      </c>
      <c r="C101" s="58"/>
      <c r="D101" s="59">
        <f>D100+D97</f>
      </c>
      <c r="E101" s="60">
        <f>E100+E97</f>
      </c>
      <c r="F101" s="60">
        <f>F100+F97</f>
      </c>
      <c r="G101" s="59">
        <f>G100+G97</f>
      </c>
      <c r="H101" s="60">
        <f>H100+H97</f>
      </c>
      <c r="I101" s="59">
        <f>I100+I97</f>
      </c>
      <c r="J101" s="61">
        <f>J100+J97</f>
      </c>
      <c r="K101" s="59">
        <f>K100+K97</f>
      </c>
      <c r="L101" s="59">
        <f t="shared" si="0"/>
      </c>
      <c r="M101" s="59">
        <f t="shared" si="100"/>
      </c>
      <c r="N101" s="59">
        <f t="shared" si="132"/>
      </c>
      <c r="O101" s="62">
        <f t="shared" si="96"/>
      </c>
      <c r="P101" s="62">
        <f t="shared" si="98"/>
      </c>
      <c r="Q101" s="63">
        <f t="shared" si="43"/>
      </c>
      <c r="R101" s="77">
        <f t="shared" si="75"/>
      </c>
      <c r="S101" s="64">
        <f t="shared" si="205"/>
      </c>
      <c r="T101" s="65">
        <f t="shared" si="12"/>
      </c>
      <c r="U101" s="65">
        <f t="shared" si="26"/>
      </c>
      <c r="V101" s="65">
        <f t="shared" si="101"/>
      </c>
      <c r="W101" s="65">
        <f t="shared" si="133"/>
      </c>
      <c r="X101" s="64">
        <f t="shared" si="97"/>
      </c>
      <c r="Y101" s="65">
        <f t="shared" si="99"/>
      </c>
      <c r="Z101" s="78">
        <f t="shared" si="59"/>
      </c>
      <c r="AA101" s="78">
        <f t="shared" si="91"/>
      </c>
      <c r="AB101" s="78">
        <f t="shared" si="221"/>
      </c>
      <c r="AC101" s="78">
        <f t="shared" si="31"/>
      </c>
      <c r="AD101" s="79"/>
      <c r="AE101" s="68"/>
      <c r="AF101" s="69">
        <f>AF100+AF97</f>
      </c>
      <c r="AG101" s="69">
        <f>AG100+AG97</f>
      </c>
      <c r="AH101" s="69">
        <f>AH100+AH97</f>
      </c>
      <c r="AI101" s="69">
        <f>AI100+AI97</f>
      </c>
      <c r="AJ101" s="69">
        <f>AJ100+AJ97</f>
      </c>
      <c r="AK101" s="69">
        <f>AK100+AK97</f>
      </c>
      <c r="AL101" s="69">
        <f>AL100+AL97</f>
      </c>
      <c r="AM101" s="69">
        <f>AM100+AM97</f>
      </c>
      <c r="AN101" s="69">
        <f>AN100+AN97</f>
      </c>
      <c r="AO101" s="69">
        <f>AO100+AO97</f>
      </c>
      <c r="AP101" s="69">
        <f>AP100+AP97</f>
      </c>
    </row>
    <row customHeight="true" ht="16.071428571428573" r="102">
      <c r="A102" s="22">
        <v>46307</v>
      </c>
      <c r="B102" s="23" t="s">
        <v>63</v>
      </c>
      <c r="C102" s="24" t="s">
        <v>47</v>
      </c>
      <c r="D102" s="25">
        <v>692.585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9">
        <f t="shared" ref="J102:J104" si="156">F102+H102</f>
      </c>
      <c r="K102" s="30">
        <f t="shared" ref="K102:K104" si="186">G102+I102</f>
      </c>
      <c r="L102" s="31">
        <f t="shared" si="0"/>
      </c>
      <c r="M102" s="31">
        <f t="shared" si="100"/>
      </c>
      <c r="N102" s="31">
        <f t="shared" si="132"/>
      </c>
      <c r="O102" s="32">
        <f t="shared" si="96"/>
      </c>
      <c r="P102" s="32">
        <f t="shared" si="98"/>
      </c>
      <c r="Q102" s="33">
        <f t="shared" si="43"/>
      </c>
      <c r="R102" s="31">
        <f t="shared" si="75"/>
      </c>
      <c r="S102" s="31">
        <f t="shared" si="205"/>
      </c>
      <c r="T102" s="34">
        <f t="shared" si="12"/>
      </c>
      <c r="U102" s="35">
        <f t="shared" si="26"/>
      </c>
      <c r="V102" s="36">
        <f t="shared" si="101"/>
      </c>
      <c r="W102" s="36">
        <f t="shared" si="133"/>
      </c>
      <c r="X102" s="31">
        <f t="shared" si="97"/>
      </c>
      <c r="Y102" s="36">
        <f t="shared" si="99"/>
      </c>
      <c r="Z102" s="36">
        <f t="shared" si="59"/>
      </c>
      <c r="AA102" s="36">
        <f t="shared" si="91"/>
      </c>
      <c r="AB102" s="36">
        <f t="shared" si="221"/>
      </c>
      <c r="AC102" s="36">
        <f t="shared" si="31"/>
      </c>
      <c r="AD102" s="37" t="s">
        <v>58</v>
      </c>
      <c r="AE102" s="37" t="s">
        <v>62</v>
      </c>
      <c r="AF102" s="38">
        <v>24327</v>
      </c>
      <c r="AG102" s="38">
        <v>5712</v>
      </c>
      <c r="AH102" s="38">
        <v>27203</v>
      </c>
      <c r="AI102" s="38">
        <v>325</v>
      </c>
      <c r="AJ102" s="39">
        <v>0</v>
      </c>
      <c r="AK102" s="38">
        <v>2011</v>
      </c>
      <c r="AL102" s="38">
        <v>111</v>
      </c>
      <c r="AM102" s="38">
        <v>13</v>
      </c>
      <c r="AN102" s="38">
        <v>1</v>
      </c>
      <c r="AO102" s="39">
        <v>0</v>
      </c>
      <c r="AP102" s="38">
        <f t="shared" ref="AP102:AP104" si="124">COUNT(AK102)</f>
      </c>
    </row>
    <row customHeight="true" ht="16.071428571428573" r="103">
      <c r="A103" s="22"/>
      <c r="B103" s="23" t="s">
        <v>63</v>
      </c>
      <c r="C103" s="24" t="s">
        <v>50</v>
      </c>
      <c r="D103" s="25">
        <v>343.762</v>
      </c>
      <c r="E103" s="26">
        <v>0</v>
      </c>
      <c r="F103" s="26">
        <v>0</v>
      </c>
      <c r="G103" s="27">
        <v>0</v>
      </c>
      <c r="H103" s="26">
        <v>0</v>
      </c>
      <c r="I103" s="28">
        <v>0</v>
      </c>
      <c r="J103" s="29">
        <f t="shared" si="156"/>
      </c>
      <c r="K103" s="30">
        <f t="shared" si="186"/>
      </c>
      <c r="L103" s="31">
        <f t="shared" si="0"/>
      </c>
      <c r="M103" s="31">
        <f t="shared" si="100"/>
      </c>
      <c r="N103" s="31">
        <f t="shared" si="132"/>
      </c>
      <c r="O103" s="32">
        <f t="shared" si="96"/>
      </c>
      <c r="P103" s="32">
        <f t="shared" si="98"/>
      </c>
      <c r="Q103" s="33">
        <f t="shared" si="43"/>
      </c>
      <c r="R103" s="31">
        <f t="shared" si="75"/>
      </c>
      <c r="S103" s="31">
        <f t="shared" si="205"/>
      </c>
      <c r="T103" s="34">
        <f t="shared" si="12"/>
      </c>
      <c r="U103" s="35">
        <f t="shared" si="26"/>
      </c>
      <c r="V103" s="36">
        <f t="shared" si="101"/>
      </c>
      <c r="W103" s="36">
        <f t="shared" si="133"/>
      </c>
      <c r="X103" s="31">
        <f t="shared" si="97"/>
      </c>
      <c r="Y103" s="36">
        <f t="shared" si="99"/>
      </c>
      <c r="Z103" s="36">
        <f t="shared" si="59"/>
      </c>
      <c r="AA103" s="36">
        <f t="shared" si="91"/>
      </c>
      <c r="AB103" s="36">
        <f t="shared" si="221"/>
      </c>
      <c r="AC103" s="36">
        <f t="shared" si="31"/>
      </c>
      <c r="AD103" s="37" t="s">
        <v>58</v>
      </c>
      <c r="AE103" s="37" t="s">
        <v>62</v>
      </c>
      <c r="AF103" s="38">
        <v>13114</v>
      </c>
      <c r="AG103" s="38">
        <v>4108</v>
      </c>
      <c r="AH103" s="38">
        <v>10775</v>
      </c>
      <c r="AI103" s="38">
        <v>243</v>
      </c>
      <c r="AJ103" s="39">
        <v>0</v>
      </c>
      <c r="AK103" s="38">
        <v>1045</v>
      </c>
      <c r="AL103" s="38">
        <v>106</v>
      </c>
      <c r="AM103" s="38">
        <v>12</v>
      </c>
      <c r="AN103" s="38">
        <v>1</v>
      </c>
      <c r="AO103" s="39">
        <v>0</v>
      </c>
      <c r="AP103" s="38">
        <f t="shared" si="124"/>
      </c>
    </row>
    <row customHeight="true" ht="16.071428571428573" r="104">
      <c r="A104" s="22"/>
      <c r="B104" s="23" t="s">
        <v>63</v>
      </c>
      <c r="C104" s="24" t="s">
        <v>51</v>
      </c>
      <c r="D104" s="25">
        <v>214.17</v>
      </c>
      <c r="E104" s="26">
        <v>1</v>
      </c>
      <c r="F104" s="26">
        <v>0</v>
      </c>
      <c r="G104" s="27">
        <v>0</v>
      </c>
      <c r="H104" s="26">
        <v>0</v>
      </c>
      <c r="I104" s="28">
        <v>0</v>
      </c>
      <c r="J104" s="29">
        <f t="shared" si="156"/>
      </c>
      <c r="K104" s="30">
        <f t="shared" si="186"/>
      </c>
      <c r="L104" s="31">
        <f t="shared" si="0"/>
      </c>
      <c r="M104" s="31">
        <f t="shared" si="100"/>
      </c>
      <c r="N104" s="31">
        <f t="shared" si="132"/>
      </c>
      <c r="O104" s="32">
        <f t="shared" si="96"/>
      </c>
      <c r="P104" s="32">
        <f t="shared" si="98"/>
      </c>
      <c r="Q104" s="33">
        <f t="shared" si="43"/>
      </c>
      <c r="R104" s="31">
        <f t="shared" si="75"/>
      </c>
      <c r="S104" s="31">
        <f t="shared" si="205"/>
      </c>
      <c r="T104" s="34">
        <f t="shared" si="12"/>
      </c>
      <c r="U104" s="35">
        <f t="shared" si="26"/>
      </c>
      <c r="V104" s="36">
        <f t="shared" si="101"/>
      </c>
      <c r="W104" s="36">
        <f t="shared" si="133"/>
      </c>
      <c r="X104" s="31">
        <f t="shared" si="97"/>
      </c>
      <c r="Y104" s="36">
        <f t="shared" si="99"/>
      </c>
      <c r="Z104" s="36">
        <f t="shared" si="59"/>
      </c>
      <c r="AA104" s="36">
        <f t="shared" si="91"/>
      </c>
      <c r="AB104" s="36">
        <f t="shared" si="221"/>
      </c>
      <c r="AC104" s="36">
        <f t="shared" si="31"/>
      </c>
      <c r="AD104" s="37" t="s">
        <v>58</v>
      </c>
      <c r="AE104" s="37" t="s">
        <v>62</v>
      </c>
      <c r="AF104" s="38">
        <v>7835</v>
      </c>
      <c r="AG104" s="38">
        <v>2209</v>
      </c>
      <c r="AH104" s="38">
        <v>5325</v>
      </c>
      <c r="AI104" s="38">
        <v>179</v>
      </c>
      <c r="AJ104" s="39">
        <v>0</v>
      </c>
      <c r="AK104" s="38">
        <v>560</v>
      </c>
      <c r="AL104" s="38">
        <v>69</v>
      </c>
      <c r="AM104" s="38">
        <v>9</v>
      </c>
      <c r="AN104" s="38">
        <v>1</v>
      </c>
      <c r="AO104" s="39">
        <v>0</v>
      </c>
      <c r="AP104" s="38">
        <f t="shared" si="124"/>
      </c>
    </row>
    <row customHeight="true" ht="16.071428571428573" r="105">
      <c r="A105" s="22"/>
      <c r="B105" s="40" t="s">
        <v>52</v>
      </c>
      <c r="C105" s="40"/>
      <c r="D105" s="41">
        <f>SUM(D102:D104)</f>
      </c>
      <c r="E105" s="42">
        <f>SUM(E102:E104)</f>
      </c>
      <c r="F105" s="42">
        <f>SUM(F102:F104)</f>
      </c>
      <c r="G105" s="42">
        <f>SUM(G102:G104)</f>
      </c>
      <c r="H105" s="42">
        <f>SUM(H102:H104)</f>
      </c>
      <c r="I105" s="42">
        <f>SUM(I102:I104)</f>
      </c>
      <c r="J105" s="43">
        <f>SUM(J102:J104)</f>
      </c>
      <c r="K105" s="41">
        <f>SUM(K102:K104)</f>
      </c>
      <c r="L105" s="41">
        <f t="shared" si="0"/>
      </c>
      <c r="M105" s="41">
        <f t="shared" si="100"/>
      </c>
      <c r="N105" s="41">
        <f t="shared" si="132"/>
      </c>
      <c r="O105" s="44">
        <f t="shared" si="96"/>
      </c>
      <c r="P105" s="44">
        <f t="shared" si="98"/>
      </c>
      <c r="Q105" s="45">
        <f t="shared" si="43"/>
      </c>
      <c r="R105" s="46">
        <f t="shared" si="75"/>
      </c>
      <c r="S105" s="70">
        <f t="shared" si="205"/>
      </c>
      <c r="T105" s="71">
        <f t="shared" si="12"/>
      </c>
      <c r="U105" s="72">
        <f t="shared" si="26"/>
      </c>
      <c r="V105" s="72">
        <f t="shared" si="101"/>
      </c>
      <c r="W105" s="72">
        <f t="shared" si="133"/>
      </c>
      <c r="X105" s="70">
        <f t="shared" si="97"/>
      </c>
      <c r="Y105" s="72">
        <f t="shared" si="99"/>
      </c>
      <c r="Z105" s="73">
        <f t="shared" si="59"/>
      </c>
      <c r="AA105" s="73">
        <f t="shared" si="91"/>
      </c>
      <c r="AB105" s="73">
        <f t="shared" si="221"/>
      </c>
      <c r="AC105" s="73">
        <f t="shared" si="31"/>
      </c>
      <c r="AD105" s="49"/>
      <c r="AE105" s="50"/>
      <c r="AF105" s="51">
        <f>SUM(AF102:AF104)</f>
      </c>
      <c r="AG105" s="51">
        <f>SUM(AG102:AG104)</f>
      </c>
      <c r="AH105" s="51">
        <f>SUM(AH102:AH104)</f>
      </c>
      <c r="AI105" s="51">
        <f>SUM(AI102:AI104)</f>
      </c>
      <c r="AJ105" s="51">
        <f>SUM(AJ102:AJ104)</f>
      </c>
      <c r="AK105" s="51">
        <f>SUM(AK102:AK104)</f>
      </c>
      <c r="AL105" s="51">
        <f>SUM(AL102:AL104)</f>
      </c>
      <c r="AM105" s="51">
        <f>SUM(AM102:AM104)</f>
      </c>
      <c r="AN105" s="51">
        <f>SUM(AN102:AN104)</f>
      </c>
      <c r="AO105" s="51">
        <f>SUM(AO102:AO104)</f>
      </c>
      <c r="AP105" s="51">
        <f>SUM(AP102:AP104)</f>
      </c>
    </row>
    <row customHeight="true" ht="16.071428571428573" r="106">
      <c r="A106" s="22"/>
      <c r="B106" s="23" t="s">
        <v>60</v>
      </c>
      <c r="C106" s="24" t="s">
        <v>54</v>
      </c>
      <c r="D106" s="25">
        <v>141.939</v>
      </c>
      <c r="E106" s="26">
        <v>0</v>
      </c>
      <c r="F106" s="26">
        <v>0</v>
      </c>
      <c r="G106" s="27">
        <v>0</v>
      </c>
      <c r="H106" s="26">
        <v>0</v>
      </c>
      <c r="I106" s="28">
        <v>0</v>
      </c>
      <c r="J106" s="29">
        <f t="shared" ref="J106:J108" si="157">F106+H106</f>
      </c>
      <c r="K106" s="30">
        <f t="shared" ref="K106:K108" si="187">G106+I106</f>
      </c>
      <c r="L106" s="30">
        <f t="shared" si="0"/>
      </c>
      <c r="M106" s="30">
        <f t="shared" si="100"/>
      </c>
      <c r="N106" s="30">
        <f t="shared" si="132"/>
      </c>
      <c r="O106" s="32">
        <f t="shared" si="96"/>
      </c>
      <c r="P106" s="32">
        <f t="shared" si="98"/>
      </c>
      <c r="Q106" s="33">
        <f t="shared" si="43"/>
      </c>
      <c r="R106" s="74">
        <f t="shared" si="75"/>
      </c>
      <c r="S106" s="31">
        <f t="shared" si="205"/>
      </c>
      <c r="T106" s="34">
        <f t="shared" si="12"/>
      </c>
      <c r="U106" s="34">
        <f t="shared" si="26"/>
      </c>
      <c r="V106" s="34">
        <f t="shared" si="101"/>
      </c>
      <c r="W106" s="34">
        <f t="shared" si="133"/>
      </c>
      <c r="X106" s="31">
        <f t="shared" si="97"/>
      </c>
      <c r="Y106" s="34">
        <f t="shared" si="99"/>
      </c>
      <c r="Z106" s="34">
        <f t="shared" si="59"/>
      </c>
      <c r="AA106" s="34">
        <f t="shared" si="91"/>
      </c>
      <c r="AB106" s="34">
        <f t="shared" si="221"/>
      </c>
      <c r="AC106" s="34">
        <f t="shared" si="31"/>
      </c>
      <c r="AD106" s="37" t="s">
        <v>58</v>
      </c>
      <c r="AE106" s="37" t="s">
        <v>62</v>
      </c>
      <c r="AF106" s="38">
        <v>4877</v>
      </c>
      <c r="AG106" s="54">
        <v>1424</v>
      </c>
      <c r="AH106" s="38">
        <v>3556</v>
      </c>
      <c r="AI106" s="55">
        <v>149</v>
      </c>
      <c r="AJ106" s="75">
        <v>0</v>
      </c>
      <c r="AK106" s="56">
        <v>332</v>
      </c>
      <c r="AL106" s="56">
        <v>37</v>
      </c>
      <c r="AM106" s="56">
        <v>2</v>
      </c>
      <c r="AN106" s="56">
        <v>1</v>
      </c>
      <c r="AO106" s="39">
        <v>0</v>
      </c>
      <c r="AP106" s="38">
        <f t="shared" ref="AP106:AP108" si="125">COUNT(AK106)</f>
      </c>
    </row>
    <row customHeight="true" ht="16.071428571428573" r="107">
      <c r="A107" s="22"/>
      <c r="B107" s="23" t="s">
        <v>60</v>
      </c>
      <c r="C107" s="24" t="s">
        <v>55</v>
      </c>
      <c r="D107" s="25">
        <v>572.521</v>
      </c>
      <c r="E107" s="26">
        <v>1</v>
      </c>
      <c r="F107" s="26">
        <v>1</v>
      </c>
      <c r="G107" s="27">
        <v>2994</v>
      </c>
      <c r="H107" s="26">
        <v>0</v>
      </c>
      <c r="I107" s="28">
        <v>0</v>
      </c>
      <c r="J107" s="29">
        <f t="shared" si="157"/>
      </c>
      <c r="K107" s="30">
        <f t="shared" si="187"/>
      </c>
      <c r="L107" s="30">
        <f t="shared" si="0"/>
      </c>
      <c r="M107" s="30">
        <f t="shared" si="100"/>
      </c>
      <c r="N107" s="30">
        <f t="shared" si="132"/>
      </c>
      <c r="O107" s="32">
        <f t="shared" si="96"/>
      </c>
      <c r="P107" s="32">
        <f t="shared" si="98"/>
      </c>
      <c r="Q107" s="33">
        <f t="shared" si="43"/>
      </c>
      <c r="R107" s="74">
        <f t="shared" si="75"/>
      </c>
      <c r="S107" s="31">
        <f t="shared" si="205"/>
      </c>
      <c r="T107" s="34">
        <f t="shared" si="12"/>
      </c>
      <c r="U107" s="34">
        <f t="shared" si="26"/>
      </c>
      <c r="V107" s="34">
        <f t="shared" si="101"/>
      </c>
      <c r="W107" s="34">
        <f t="shared" si="133"/>
      </c>
      <c r="X107" s="31">
        <f t="shared" si="97"/>
      </c>
      <c r="Y107" s="34">
        <f t="shared" si="99"/>
      </c>
      <c r="Z107" s="34">
        <f t="shared" si="59"/>
      </c>
      <c r="AA107" s="34">
        <f t="shared" si="91"/>
      </c>
      <c r="AB107" s="34">
        <f t="shared" si="221"/>
      </c>
      <c r="AC107" s="34">
        <f t="shared" si="31"/>
      </c>
      <c r="AD107" s="37" t="s">
        <v>58</v>
      </c>
      <c r="AE107" s="37" t="s">
        <v>62</v>
      </c>
      <c r="AF107" s="38">
        <v>15665</v>
      </c>
      <c r="AG107" s="54">
        <v>4500</v>
      </c>
      <c r="AH107" s="38">
        <v>25350</v>
      </c>
      <c r="AI107" s="55">
        <v>268</v>
      </c>
      <c r="AJ107" s="75">
        <v>1</v>
      </c>
      <c r="AK107" s="56">
        <v>1605</v>
      </c>
      <c r="AL107" s="56">
        <v>37</v>
      </c>
      <c r="AM107" s="56">
        <v>14</v>
      </c>
      <c r="AN107" s="56">
        <v>1</v>
      </c>
      <c r="AO107" s="39">
        <v>0</v>
      </c>
      <c r="AP107" s="38">
        <f t="shared" si="125"/>
      </c>
    </row>
    <row customHeight="true" ht="16.071428571428573" r="108">
      <c r="A108" s="22"/>
      <c r="B108" s="23" t="s">
        <v>60</v>
      </c>
      <c r="C108" s="24" t="s">
        <v>56</v>
      </c>
      <c r="D108" s="25">
        <v>1348.35</v>
      </c>
      <c r="E108" s="26">
        <v>0</v>
      </c>
      <c r="F108" s="26">
        <v>0</v>
      </c>
      <c r="G108" s="27">
        <v>0</v>
      </c>
      <c r="H108" s="26">
        <v>0</v>
      </c>
      <c r="I108" s="28">
        <v>0</v>
      </c>
      <c r="J108" s="29">
        <f t="shared" si="157"/>
      </c>
      <c r="K108" s="30">
        <f t="shared" si="187"/>
      </c>
      <c r="L108" s="30">
        <f t="shared" si="0"/>
      </c>
      <c r="M108" s="30">
        <f t="shared" si="100"/>
      </c>
      <c r="N108" s="30">
        <f t="shared" si="132"/>
      </c>
      <c r="O108" s="32">
        <f t="shared" si="96"/>
      </c>
      <c r="P108" s="32">
        <f t="shared" si="98"/>
      </c>
      <c r="Q108" s="33">
        <f>D108/AI108</f>
      </c>
      <c r="R108" s="74">
        <f>D108/AJ108</f>
      </c>
      <c r="S108" s="31">
        <f>D108/AK108</f>
      </c>
      <c r="T108" s="34">
        <f>AJ108/AI108</f>
      </c>
      <c r="U108" s="34">
        <f>AK108/AJ108</f>
      </c>
      <c r="V108" s="34">
        <f t="shared" si="101"/>
      </c>
      <c r="W108" s="34">
        <f t="shared" si="133"/>
      </c>
      <c r="X108" s="31">
        <f t="shared" si="97"/>
      </c>
      <c r="Y108" s="34">
        <f t="shared" si="99"/>
      </c>
      <c r="Z108" s="34">
        <f>AL108/AI108</f>
      </c>
      <c r="AA108" s="34">
        <f>AM108/AI108</f>
      </c>
      <c r="AB108" s="34">
        <f>AN108/AI108</f>
      </c>
      <c r="AC108" s="34">
        <f t="shared" si="31"/>
      </c>
      <c r="AD108" s="37" t="s">
        <v>58</v>
      </c>
      <c r="AE108" s="37" t="s">
        <v>62</v>
      </c>
      <c r="AF108" s="38">
        <v>52313</v>
      </c>
      <c r="AG108" s="54">
        <v>11701</v>
      </c>
      <c r="AH108" s="38">
        <v>95992</v>
      </c>
      <c r="AI108" s="55">
        <v>586</v>
      </c>
      <c r="AJ108" s="56">
        <v>0</v>
      </c>
      <c r="AK108" s="56">
        <v>5920</v>
      </c>
      <c r="AL108" s="56">
        <v>184</v>
      </c>
      <c r="AM108" s="56">
        <v>33</v>
      </c>
      <c r="AN108" s="56">
        <v>5</v>
      </c>
      <c r="AO108" s="39">
        <v>0</v>
      </c>
      <c r="AP108" s="38">
        <f t="shared" si="125"/>
      </c>
    </row>
    <row customHeight="true" ht="16.071428571428573" r="109">
      <c r="A109" s="22"/>
      <c r="B109" s="40" t="s">
        <v>52</v>
      </c>
      <c r="C109" s="40"/>
      <c r="D109" s="41">
        <f>SUM(D106:D108)</f>
      </c>
      <c r="E109" s="42">
        <f>SUM(E106:E108)</f>
      </c>
      <c r="F109" s="42">
        <f>SUM(F106:F108)</f>
      </c>
      <c r="G109" s="41">
        <f>SUM(G106:G108)</f>
      </c>
      <c r="H109" s="42">
        <f>SUM(H106:H108)</f>
      </c>
      <c r="I109" s="41">
        <f>SUM(I106:I108)</f>
      </c>
      <c r="J109" s="43">
        <f>SUM(J106:J108)</f>
      </c>
      <c r="K109" s="41">
        <f>SUM(K106:K108)</f>
      </c>
      <c r="L109" s="41">
        <f t="shared" si="0"/>
      </c>
      <c r="M109" s="41">
        <f t="shared" si="100"/>
      </c>
      <c r="N109" s="41">
        <f t="shared" si="132"/>
      </c>
      <c r="O109" s="44">
        <f t="shared" si="96"/>
      </c>
      <c r="P109" s="44">
        <f t="shared" si="98"/>
      </c>
      <c r="Q109" s="45">
        <f t="shared" ref="Q109:Q116" si="44">D109/AH109</f>
      </c>
      <c r="R109" s="76">
        <f t="shared" ref="R109:R116" si="76">D109/AI109</f>
      </c>
      <c r="S109" s="46">
        <f t="shared" ref="S109:S116" si="206">D109/AJ109</f>
      </c>
      <c r="T109" s="47">
        <f t="shared" ref="T109:T116" si="13">AI109/AH109</f>
      </c>
      <c r="U109" s="47">
        <f t="shared" ref="U109:U116" si="27">AJ109/AI109</f>
      </c>
      <c r="V109" s="47">
        <f t="shared" si="101"/>
      </c>
      <c r="W109" s="47">
        <f t="shared" si="133"/>
      </c>
      <c r="X109" s="46">
        <f t="shared" si="97"/>
      </c>
      <c r="Y109" s="47">
        <f t="shared" si="99"/>
      </c>
      <c r="Z109" s="47">
        <f t="shared" ref="Z109:Z116" si="60">AK109/AH109</f>
      </c>
      <c r="AA109" s="47">
        <f t="shared" ref="AA109:AA116" si="92">AL109/AH109</f>
      </c>
      <c r="AB109" s="47">
        <f t="shared" ref="AB109:AB116" si="222">AM109/AH109</f>
      </c>
      <c r="AC109" s="47">
        <f t="shared" si="31"/>
      </c>
      <c r="AD109" s="48"/>
      <c r="AE109" s="50"/>
      <c r="AF109" s="51">
        <f>SUM(AF106:AF108)</f>
      </c>
      <c r="AG109" s="51">
        <f>SUM(AG106:AG108)</f>
      </c>
      <c r="AH109" s="57">
        <f>SUM(AH106:AH108)</f>
      </c>
      <c r="AI109" s="51">
        <f>SUM(AI106:AI108)</f>
      </c>
      <c r="AJ109" s="51">
        <f>SUM(AJ106:AJ108)</f>
      </c>
      <c r="AK109" s="51">
        <f>SUM(AK106:AK108)</f>
      </c>
      <c r="AL109" s="51">
        <f>SUM(AL106:AL108)</f>
      </c>
      <c r="AM109" s="51">
        <f>SUM(AM106:AM108)</f>
      </c>
      <c r="AN109" s="51">
        <f>SUM(AN106:AN108)</f>
      </c>
      <c r="AO109" s="51">
        <f>SUM(AO106:AO108)</f>
      </c>
      <c r="AP109" s="51">
        <f>SUM(AP106:AP108)</f>
      </c>
    </row>
    <row customHeight="true" ht="16.071428571428573" r="110">
      <c r="A110" s="22"/>
      <c r="B110" s="58" t="s">
        <v>57</v>
      </c>
      <c r="C110" s="58"/>
      <c r="D110" s="59">
        <f>D109+D105</f>
      </c>
      <c r="E110" s="60">
        <f>E109+E105</f>
      </c>
      <c r="F110" s="60">
        <f>F109+F105</f>
      </c>
      <c r="G110" s="59">
        <f>G109+G105</f>
      </c>
      <c r="H110" s="60">
        <f>H109+H105</f>
      </c>
      <c r="I110" s="59">
        <f>I109+I105</f>
      </c>
      <c r="J110" s="61">
        <f>J109+J105</f>
      </c>
      <c r="K110" s="59">
        <f>K109+K105</f>
      </c>
      <c r="L110" s="59">
        <f t="shared" si="0"/>
      </c>
      <c r="M110" s="59">
        <f t="shared" si="100"/>
      </c>
      <c r="N110" s="59">
        <f t="shared" si="132"/>
      </c>
      <c r="O110" s="62">
        <f t="shared" si="96"/>
      </c>
      <c r="P110" s="62">
        <f t="shared" si="98"/>
      </c>
      <c r="Q110" s="63">
        <f t="shared" si="44"/>
      </c>
      <c r="R110" s="77">
        <f t="shared" si="76"/>
      </c>
      <c r="S110" s="64">
        <f t="shared" si="206"/>
      </c>
      <c r="T110" s="65">
        <f t="shared" si="13"/>
      </c>
      <c r="U110" s="65">
        <f t="shared" si="27"/>
      </c>
      <c r="V110" s="65">
        <f t="shared" si="101"/>
      </c>
      <c r="W110" s="65">
        <f t="shared" si="133"/>
      </c>
      <c r="X110" s="64">
        <f t="shared" si="97"/>
      </c>
      <c r="Y110" s="65">
        <f t="shared" si="99"/>
      </c>
      <c r="Z110" s="78">
        <f t="shared" si="60"/>
      </c>
      <c r="AA110" s="78">
        <f t="shared" si="92"/>
      </c>
      <c r="AB110" s="78">
        <f t="shared" si="222"/>
      </c>
      <c r="AC110" s="78">
        <f t="shared" si="31"/>
      </c>
      <c r="AD110" s="79"/>
      <c r="AE110" s="68"/>
      <c r="AF110" s="69">
        <f>AF109+AF105</f>
      </c>
      <c r="AG110" s="69">
        <f>AG109+AG105</f>
      </c>
      <c r="AH110" s="69">
        <f>AH109+AH105</f>
      </c>
      <c r="AI110" s="69">
        <f>AI109+AI105</f>
      </c>
      <c r="AJ110" s="69">
        <f>AJ109+AJ105</f>
      </c>
      <c r="AK110" s="69">
        <f>AK109+AK105</f>
      </c>
      <c r="AL110" s="69">
        <f>AL109+AL105</f>
      </c>
      <c r="AM110" s="69">
        <f>AM109+AM105</f>
      </c>
      <c r="AN110" s="69">
        <f>AN109+AN105</f>
      </c>
      <c r="AO110" s="69">
        <f>AO109+AO105</f>
      </c>
      <c r="AP110" s="69">
        <f>AP109+AP105</f>
      </c>
    </row>
    <row customHeight="true" ht="16.071428571428573" r="111">
      <c r="A111" s="22">
        <v>46308</v>
      </c>
      <c r="B111" s="23" t="s">
        <v>53</v>
      </c>
      <c r="C111" s="24" t="s">
        <v>47</v>
      </c>
      <c r="D111" s="25">
        <v>151.278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9">
        <f t="shared" ref="J111:J113" si="158">F111+H111</f>
      </c>
      <c r="K111" s="30">
        <f t="shared" ref="K111:K113" si="188">G111+I111</f>
      </c>
      <c r="L111" s="31">
        <f t="shared" si="0"/>
      </c>
      <c r="M111" s="31">
        <f t="shared" si="100"/>
      </c>
      <c r="N111" s="31">
        <f t="shared" si="132"/>
      </c>
      <c r="O111" s="32">
        <f t="shared" si="96"/>
      </c>
      <c r="P111" s="32">
        <f t="shared" si="98"/>
      </c>
      <c r="Q111" s="33">
        <f t="shared" si="44"/>
      </c>
      <c r="R111" s="31">
        <f t="shared" si="76"/>
      </c>
      <c r="S111" s="31">
        <f t="shared" si="206"/>
      </c>
      <c r="T111" s="34">
        <f t="shared" si="13"/>
      </c>
      <c r="U111" s="35">
        <f t="shared" si="27"/>
      </c>
      <c r="V111" s="36">
        <f t="shared" si="101"/>
      </c>
      <c r="W111" s="36">
        <f t="shared" si="133"/>
      </c>
      <c r="X111" s="31">
        <f t="shared" si="97"/>
      </c>
      <c r="Y111" s="36">
        <f t="shared" si="99"/>
      </c>
      <c r="Z111" s="36">
        <f t="shared" si="60"/>
      </c>
      <c r="AA111" s="36">
        <f t="shared" si="92"/>
      </c>
      <c r="AB111" s="36">
        <f t="shared" si="222"/>
      </c>
      <c r="AC111" s="36">
        <f t="shared" si="31"/>
      </c>
      <c r="AD111" s="37" t="s">
        <v>58</v>
      </c>
      <c r="AE111" s="37" t="s">
        <v>62</v>
      </c>
      <c r="AF111" s="38">
        <v>3685</v>
      </c>
      <c r="AG111" s="38">
        <v>820</v>
      </c>
      <c r="AH111" s="38">
        <v>3504</v>
      </c>
      <c r="AI111" s="38">
        <v>94</v>
      </c>
      <c r="AJ111" s="39">
        <v>0</v>
      </c>
      <c r="AK111" s="38">
        <v>255</v>
      </c>
      <c r="AL111" s="38">
        <v>26</v>
      </c>
      <c r="AM111" s="38">
        <v>7</v>
      </c>
      <c r="AN111" s="38">
        <v>3</v>
      </c>
      <c r="AO111" s="39">
        <v>0</v>
      </c>
      <c r="AP111" s="38">
        <f t="shared" ref="AP111:AP113" si="126">COUNT(AK111)</f>
      </c>
    </row>
    <row customHeight="true" ht="16.071428571428573" r="112">
      <c r="A112" s="22"/>
      <c r="B112" s="23" t="s">
        <v>53</v>
      </c>
      <c r="C112" s="24" t="s">
        <v>50</v>
      </c>
      <c r="D112" s="25">
        <v>799.484</v>
      </c>
      <c r="E112" s="26">
        <v>0</v>
      </c>
      <c r="F112" s="26">
        <v>0</v>
      </c>
      <c r="G112" s="27">
        <v>0</v>
      </c>
      <c r="H112" s="26">
        <v>0</v>
      </c>
      <c r="I112" s="28">
        <v>0</v>
      </c>
      <c r="J112" s="29">
        <f t="shared" si="158"/>
      </c>
      <c r="K112" s="30">
        <f t="shared" si="188"/>
      </c>
      <c r="L112" s="31">
        <f t="shared" si="0"/>
      </c>
      <c r="M112" s="31">
        <f t="shared" si="100"/>
      </c>
      <c r="N112" s="31">
        <f t="shared" si="132"/>
      </c>
      <c r="O112" s="32">
        <f t="shared" si="96"/>
      </c>
      <c r="P112" s="32">
        <f t="shared" si="98"/>
      </c>
      <c r="Q112" s="33">
        <f t="shared" si="44"/>
      </c>
      <c r="R112" s="31">
        <f t="shared" si="76"/>
      </c>
      <c r="S112" s="31">
        <f t="shared" si="206"/>
      </c>
      <c r="T112" s="34">
        <f t="shared" si="13"/>
      </c>
      <c r="U112" s="35">
        <f t="shared" si="27"/>
      </c>
      <c r="V112" s="36">
        <f t="shared" si="101"/>
      </c>
      <c r="W112" s="36">
        <f t="shared" si="133"/>
      </c>
      <c r="X112" s="31">
        <f t="shared" si="97"/>
      </c>
      <c r="Y112" s="36">
        <f t="shared" si="99"/>
      </c>
      <c r="Z112" s="36">
        <f t="shared" si="60"/>
      </c>
      <c r="AA112" s="36">
        <f t="shared" si="92"/>
      </c>
      <c r="AB112" s="36">
        <f t="shared" si="222"/>
      </c>
      <c r="AC112" s="36">
        <f t="shared" si="31"/>
      </c>
      <c r="AD112" s="37" t="s">
        <v>58</v>
      </c>
      <c r="AE112" s="37" t="s">
        <v>62</v>
      </c>
      <c r="AF112" s="38">
        <v>32441</v>
      </c>
      <c r="AG112" s="38">
        <v>6716</v>
      </c>
      <c r="AH112" s="38">
        <v>43266</v>
      </c>
      <c r="AI112" s="38">
        <v>351</v>
      </c>
      <c r="AJ112" s="39">
        <v>0</v>
      </c>
      <c r="AK112" s="38">
        <v>2767</v>
      </c>
      <c r="AL112" s="38">
        <v>126</v>
      </c>
      <c r="AM112" s="38">
        <v>22</v>
      </c>
      <c r="AN112" s="38">
        <v>0</v>
      </c>
      <c r="AO112" s="39">
        <v>0</v>
      </c>
      <c r="AP112" s="38">
        <f t="shared" si="126"/>
      </c>
    </row>
    <row customHeight="true" ht="16.071428571428573" r="113">
      <c r="A113" s="22"/>
      <c r="B113" s="23" t="s">
        <v>53</v>
      </c>
      <c r="C113" s="24" t="s">
        <v>51</v>
      </c>
      <c r="D113" s="25">
        <v>2634.771</v>
      </c>
      <c r="E113" s="26">
        <v>0</v>
      </c>
      <c r="F113" s="26">
        <v>0</v>
      </c>
      <c r="G113" s="27">
        <v>0</v>
      </c>
      <c r="H113" s="26">
        <v>0</v>
      </c>
      <c r="I113" s="28">
        <v>0</v>
      </c>
      <c r="J113" s="29">
        <f t="shared" si="158"/>
      </c>
      <c r="K113" s="30">
        <f t="shared" si="188"/>
      </c>
      <c r="L113" s="31">
        <f t="shared" si="0"/>
      </c>
      <c r="M113" s="31">
        <f t="shared" si="100"/>
      </c>
      <c r="N113" s="31">
        <f t="shared" si="132"/>
      </c>
      <c r="O113" s="32">
        <f t="shared" si="96"/>
      </c>
      <c r="P113" s="32">
        <f t="shared" si="98"/>
      </c>
      <c r="Q113" s="33">
        <f t="shared" si="44"/>
      </c>
      <c r="R113" s="31">
        <f t="shared" si="76"/>
      </c>
      <c r="S113" s="31">
        <f t="shared" si="206"/>
      </c>
      <c r="T113" s="34">
        <f t="shared" si="13"/>
      </c>
      <c r="U113" s="35">
        <f t="shared" si="27"/>
      </c>
      <c r="V113" s="36">
        <f t="shared" si="101"/>
      </c>
      <c r="W113" s="36">
        <f t="shared" si="133"/>
      </c>
      <c r="X113" s="31">
        <f t="shared" si="97"/>
      </c>
      <c r="Y113" s="36">
        <f t="shared" si="99"/>
      </c>
      <c r="Z113" s="36">
        <f t="shared" si="60"/>
      </c>
      <c r="AA113" s="36">
        <f t="shared" si="92"/>
      </c>
      <c r="AB113" s="36">
        <f t="shared" si="222"/>
      </c>
      <c r="AC113" s="36">
        <f t="shared" si="31"/>
      </c>
      <c r="AD113" s="37" t="s">
        <v>58</v>
      </c>
      <c r="AE113" s="37" t="s">
        <v>62</v>
      </c>
      <c r="AF113" s="38">
        <v>97992</v>
      </c>
      <c r="AG113" s="38">
        <v>16420</v>
      </c>
      <c r="AH113" s="38">
        <v>157467</v>
      </c>
      <c r="AI113" s="38">
        <v>807</v>
      </c>
      <c r="AJ113" s="39">
        <v>0</v>
      </c>
      <c r="AK113" s="38">
        <v>8314</v>
      </c>
      <c r="AL113" s="38">
        <v>274</v>
      </c>
      <c r="AM113" s="38">
        <v>71</v>
      </c>
      <c r="AN113" s="38">
        <v>5</v>
      </c>
      <c r="AO113" s="39">
        <v>0</v>
      </c>
      <c r="AP113" s="38">
        <f t="shared" si="126"/>
      </c>
    </row>
    <row customHeight="true" ht="16.071428571428573" r="114">
      <c r="A114" s="22"/>
      <c r="B114" s="40" t="s">
        <v>52</v>
      </c>
      <c r="C114" s="40"/>
      <c r="D114" s="41">
        <f>SUM(D111:D113)</f>
      </c>
      <c r="E114" s="42">
        <f>SUM(E111:E113)</f>
      </c>
      <c r="F114" s="42">
        <f>SUM(F111:F113)</f>
      </c>
      <c r="G114" s="42">
        <f>SUM(G111:G113)</f>
      </c>
      <c r="H114" s="42">
        <f>SUM(H111:H113)</f>
      </c>
      <c r="I114" s="42">
        <f>SUM(I111:I113)</f>
      </c>
      <c r="J114" s="43">
        <f>SUM(J111:J113)</f>
      </c>
      <c r="K114" s="41">
        <f>SUM(K111:K113)</f>
      </c>
      <c r="L114" s="41">
        <f t="shared" si="0"/>
      </c>
      <c r="M114" s="41">
        <f t="shared" si="100"/>
      </c>
      <c r="N114" s="41">
        <f t="shared" si="132"/>
      </c>
      <c r="O114" s="44">
        <f t="shared" si="96"/>
      </c>
      <c r="P114" s="44">
        <f t="shared" si="98"/>
      </c>
      <c r="Q114" s="45">
        <f t="shared" si="44"/>
      </c>
      <c r="R114" s="46">
        <f t="shared" si="76"/>
      </c>
      <c r="S114" s="70">
        <f t="shared" si="206"/>
      </c>
      <c r="T114" s="71">
        <f t="shared" si="13"/>
      </c>
      <c r="U114" s="72">
        <f t="shared" si="27"/>
      </c>
      <c r="V114" s="72">
        <f t="shared" si="101"/>
      </c>
      <c r="W114" s="72">
        <f t="shared" si="133"/>
      </c>
      <c r="X114" s="70">
        <f t="shared" si="97"/>
      </c>
      <c r="Y114" s="72">
        <f t="shared" si="99"/>
      </c>
      <c r="Z114" s="73">
        <f t="shared" si="60"/>
      </c>
      <c r="AA114" s="73">
        <f t="shared" si="92"/>
      </c>
      <c r="AB114" s="73">
        <f t="shared" si="222"/>
      </c>
      <c r="AC114" s="73">
        <f t="shared" si="31"/>
      </c>
      <c r="AD114" s="49"/>
      <c r="AE114" s="50"/>
      <c r="AF114" s="51">
        <f>SUM(AF111:AF113)</f>
      </c>
      <c r="AG114" s="51">
        <f>SUM(AG111:AG113)</f>
      </c>
      <c r="AH114" s="51">
        <f>SUM(AH111:AH113)</f>
      </c>
      <c r="AI114" s="51">
        <f>SUM(AI111:AI113)</f>
      </c>
      <c r="AJ114" s="51">
        <f>SUM(AJ111:AJ113)</f>
      </c>
      <c r="AK114" s="51">
        <f>SUM(AK111:AK113)</f>
      </c>
      <c r="AL114" s="51">
        <f>SUM(AL111:AL113)</f>
      </c>
      <c r="AM114" s="51">
        <f>SUM(AM111:AM113)</f>
      </c>
      <c r="AN114" s="51">
        <f>SUM(AN111:AN113)</f>
      </c>
      <c r="AO114" s="51">
        <f>SUM(AO111:AO113)</f>
      </c>
      <c r="AP114" s="51">
        <f>SUM(AP111:AP113)</f>
      </c>
    </row>
    <row customHeight="true" ht="16.071428571428573" r="115">
      <c r="A115" s="22"/>
      <c r="B115" s="23" t="s">
        <v>60</v>
      </c>
      <c r="C115" s="24" t="s">
        <v>54</v>
      </c>
      <c r="D115" s="25">
        <v>2506.486</v>
      </c>
      <c r="E115" s="26">
        <v>1</v>
      </c>
      <c r="F115" s="26">
        <v>1</v>
      </c>
      <c r="G115" s="27">
        <v>1525.1999999999998</v>
      </c>
      <c r="H115" s="26">
        <v>0</v>
      </c>
      <c r="I115" s="28">
        <v>0</v>
      </c>
      <c r="J115" s="29">
        <f t="shared" ref="J115:J117" si="159">F115+H115</f>
      </c>
      <c r="K115" s="30">
        <f t="shared" ref="K115:K117" si="189">G115+I115</f>
      </c>
      <c r="L115" s="30">
        <f t="shared" si="0"/>
      </c>
      <c r="M115" s="30">
        <f t="shared" si="100"/>
      </c>
      <c r="N115" s="30">
        <f t="shared" si="132"/>
      </c>
      <c r="O115" s="32">
        <f t="shared" si="96"/>
      </c>
      <c r="P115" s="32">
        <f t="shared" si="98"/>
      </c>
      <c r="Q115" s="33">
        <f t="shared" si="44"/>
      </c>
      <c r="R115" s="74">
        <f t="shared" si="76"/>
      </c>
      <c r="S115" s="31">
        <f t="shared" si="206"/>
      </c>
      <c r="T115" s="34">
        <f t="shared" si="13"/>
      </c>
      <c r="U115" s="34">
        <f t="shared" si="27"/>
      </c>
      <c r="V115" s="34">
        <f t="shared" si="101"/>
      </c>
      <c r="W115" s="34">
        <f t="shared" si="133"/>
      </c>
      <c r="X115" s="31">
        <f t="shared" si="97"/>
      </c>
      <c r="Y115" s="34">
        <f t="shared" si="99"/>
      </c>
      <c r="Z115" s="34">
        <f t="shared" si="60"/>
      </c>
      <c r="AA115" s="34">
        <f t="shared" si="92"/>
      </c>
      <c r="AB115" s="34">
        <f t="shared" si="222"/>
      </c>
      <c r="AC115" s="34">
        <f t="shared" si="31"/>
      </c>
      <c r="AD115" s="37" t="s">
        <v>58</v>
      </c>
      <c r="AE115" s="37" t="s">
        <v>62</v>
      </c>
      <c r="AF115" s="38">
        <v>87806</v>
      </c>
      <c r="AG115" s="54">
        <v>13480</v>
      </c>
      <c r="AH115" s="38">
        <v>148826</v>
      </c>
      <c r="AI115" s="55">
        <v>753</v>
      </c>
      <c r="AJ115" s="75">
        <v>0</v>
      </c>
      <c r="AK115" s="56">
        <v>8363</v>
      </c>
      <c r="AL115" s="56">
        <v>284</v>
      </c>
      <c r="AM115" s="56">
        <v>45</v>
      </c>
      <c r="AN115" s="56">
        <v>7</v>
      </c>
      <c r="AO115" s="39">
        <v>0</v>
      </c>
      <c r="AP115" s="38">
        <f t="shared" ref="AP115:AP117" si="127">COUNT(AK115)</f>
      </c>
    </row>
    <row customHeight="true" ht="16.071428571428573" r="116">
      <c r="A116" s="22"/>
      <c r="B116" s="23" t="s">
        <v>60</v>
      </c>
      <c r="C116" s="24" t="s">
        <v>55</v>
      </c>
      <c r="D116" s="25">
        <v>1185.519</v>
      </c>
      <c r="E116" s="26">
        <v>3</v>
      </c>
      <c r="F116" s="26">
        <v>1</v>
      </c>
      <c r="G116" s="27">
        <v>704.4000000000005</v>
      </c>
      <c r="H116" s="26">
        <v>0</v>
      </c>
      <c r="I116" s="28">
        <v>0</v>
      </c>
      <c r="J116" s="29">
        <f t="shared" si="159"/>
      </c>
      <c r="K116" s="30">
        <f t="shared" si="189"/>
      </c>
      <c r="L116" s="30">
        <f t="shared" si="0"/>
      </c>
      <c r="M116" s="30">
        <f t="shared" si="100"/>
      </c>
      <c r="N116" s="30">
        <f t="shared" si="132"/>
      </c>
      <c r="O116" s="32">
        <f t="shared" si="96"/>
      </c>
      <c r="P116" s="32">
        <f t="shared" si="98"/>
      </c>
      <c r="Q116" s="33">
        <f t="shared" si="44"/>
      </c>
      <c r="R116" s="74">
        <f t="shared" si="76"/>
      </c>
      <c r="S116" s="31">
        <f t="shared" si="206"/>
      </c>
      <c r="T116" s="34">
        <f t="shared" si="13"/>
      </c>
      <c r="U116" s="34">
        <f t="shared" si="27"/>
      </c>
      <c r="V116" s="34">
        <f t="shared" si="101"/>
      </c>
      <c r="W116" s="34">
        <f t="shared" si="133"/>
      </c>
      <c r="X116" s="31">
        <f t="shared" si="97"/>
      </c>
      <c r="Y116" s="34">
        <f t="shared" si="99"/>
      </c>
      <c r="Z116" s="34">
        <f t="shared" si="60"/>
      </c>
      <c r="AA116" s="34">
        <f t="shared" si="92"/>
      </c>
      <c r="AB116" s="34">
        <f t="shared" si="222"/>
      </c>
      <c r="AC116" s="34">
        <f t="shared" si="31"/>
      </c>
      <c r="AD116" s="37" t="s">
        <v>58</v>
      </c>
      <c r="AE116" s="37" t="s">
        <v>62</v>
      </c>
      <c r="AF116" s="38">
        <v>54453</v>
      </c>
      <c r="AG116" s="54">
        <v>7596</v>
      </c>
      <c r="AH116" s="38">
        <v>82339</v>
      </c>
      <c r="AI116" s="55">
        <v>613</v>
      </c>
      <c r="AJ116" s="75">
        <v>1</v>
      </c>
      <c r="AK116" s="56">
        <v>4310</v>
      </c>
      <c r="AL116" s="56">
        <v>174</v>
      </c>
      <c r="AM116" s="56">
        <v>30</v>
      </c>
      <c r="AN116" s="56">
        <v>10</v>
      </c>
      <c r="AO116" s="39">
        <v>0</v>
      </c>
      <c r="AP116" s="38">
        <f t="shared" si="127"/>
      </c>
    </row>
    <row customHeight="true" ht="16.071428571428573" r="117">
      <c r="A117" s="22"/>
      <c r="B117" s="23" t="s">
        <v>60</v>
      </c>
      <c r="C117" s="24" t="s">
        <v>56</v>
      </c>
      <c r="D117" s="25">
        <v>525.357</v>
      </c>
      <c r="E117" s="26">
        <v>0</v>
      </c>
      <c r="F117" s="26">
        <v>0</v>
      </c>
      <c r="G117" s="27">
        <v>0</v>
      </c>
      <c r="H117" s="26">
        <v>0</v>
      </c>
      <c r="I117" s="28">
        <v>0</v>
      </c>
      <c r="J117" s="29">
        <f t="shared" si="159"/>
      </c>
      <c r="K117" s="30">
        <f t="shared" si="189"/>
      </c>
      <c r="L117" s="30">
        <f t="shared" si="0"/>
      </c>
      <c r="M117" s="30">
        <f t="shared" si="100"/>
      </c>
      <c r="N117" s="30">
        <f t="shared" si="132"/>
      </c>
      <c r="O117" s="32">
        <f t="shared" si="96"/>
      </c>
      <c r="P117" s="32">
        <f t="shared" si="98"/>
      </c>
      <c r="Q117" s="33">
        <f>D117/AI117</f>
      </c>
      <c r="R117" s="74">
        <f>D117/AJ117</f>
      </c>
      <c r="S117" s="31">
        <f>D117/AK117</f>
      </c>
      <c r="T117" s="34">
        <f>AJ117/AI117</f>
      </c>
      <c r="U117" s="34">
        <f>AK117/AJ117</f>
      </c>
      <c r="V117" s="34">
        <f t="shared" si="101"/>
      </c>
      <c r="W117" s="34">
        <f t="shared" si="133"/>
      </c>
      <c r="X117" s="31">
        <f t="shared" si="97"/>
      </c>
      <c r="Y117" s="34">
        <f t="shared" si="99"/>
      </c>
      <c r="Z117" s="34">
        <f>AL117/AI117</f>
      </c>
      <c r="AA117" s="34">
        <f>AM117/AI117</f>
      </c>
      <c r="AB117" s="34">
        <f>AN117/AI117</f>
      </c>
      <c r="AC117" s="34">
        <f t="shared" si="31"/>
      </c>
      <c r="AD117" s="37" t="s">
        <v>58</v>
      </c>
      <c r="AE117" s="37" t="s">
        <v>62</v>
      </c>
      <c r="AF117" s="38">
        <v>39708</v>
      </c>
      <c r="AG117" s="54">
        <v>4090</v>
      </c>
      <c r="AH117" s="38">
        <v>28380</v>
      </c>
      <c r="AI117" s="55">
        <v>428</v>
      </c>
      <c r="AJ117" s="56">
        <v>0</v>
      </c>
      <c r="AK117" s="56">
        <v>1753</v>
      </c>
      <c r="AL117" s="56">
        <v>102</v>
      </c>
      <c r="AM117" s="56">
        <v>17</v>
      </c>
      <c r="AN117" s="56">
        <v>2</v>
      </c>
      <c r="AO117" s="39">
        <v>0</v>
      </c>
      <c r="AP117" s="38">
        <f t="shared" si="127"/>
      </c>
    </row>
    <row customHeight="true" ht="16.071428571428573" r="118">
      <c r="A118" s="22"/>
      <c r="B118" s="40" t="s">
        <v>52</v>
      </c>
      <c r="C118" s="40"/>
      <c r="D118" s="41">
        <f>SUM(D115:D117)</f>
      </c>
      <c r="E118" s="42">
        <f>SUM(E115:E117)</f>
      </c>
      <c r="F118" s="42">
        <f>SUM(F115:F117)</f>
      </c>
      <c r="G118" s="41">
        <f>SUM(G115:G117)</f>
      </c>
      <c r="H118" s="42">
        <f>SUM(H115:H117)</f>
      </c>
      <c r="I118" s="41">
        <f>SUM(I115:I117)</f>
      </c>
      <c r="J118" s="43">
        <f>SUM(J115:J117)</f>
      </c>
      <c r="K118" s="41">
        <f>SUM(K115:K117)</f>
      </c>
      <c r="L118" s="41">
        <f t="shared" si="0"/>
      </c>
      <c r="M118" s="41">
        <f t="shared" si="100"/>
      </c>
      <c r="N118" s="41">
        <f t="shared" si="132"/>
      </c>
      <c r="O118" s="44">
        <f t="shared" si="96"/>
      </c>
      <c r="P118" s="44">
        <f t="shared" si="98"/>
      </c>
      <c r="Q118" s="45">
        <f t="shared" ref="Q118:Q125" si="45">D118/AH118</f>
      </c>
      <c r="R118" s="76">
        <f t="shared" ref="R118:R125" si="77">D118/AI118</f>
      </c>
      <c r="S118" s="46">
        <f t="shared" ref="S118:S125" si="207">D118/AJ118</f>
      </c>
      <c r="T118" s="47">
        <f t="shared" ref="T118:T125" si="14">AI118/AH118</f>
      </c>
      <c r="U118" s="47">
        <f t="shared" ref="U118:U125" si="28">AJ118/AI118</f>
      </c>
      <c r="V118" s="47">
        <f t="shared" si="101"/>
      </c>
      <c r="W118" s="47">
        <f t="shared" si="133"/>
      </c>
      <c r="X118" s="46">
        <f t="shared" si="97"/>
      </c>
      <c r="Y118" s="47">
        <f t="shared" si="99"/>
      </c>
      <c r="Z118" s="47">
        <f t="shared" ref="Z118:Z125" si="61">AK118/AH118</f>
      </c>
      <c r="AA118" s="47">
        <f t="shared" ref="AA118:AA125" si="93">AL118/AH118</f>
      </c>
      <c r="AB118" s="47">
        <f t="shared" ref="AB118:AB125" si="223">AM118/AH118</f>
      </c>
      <c r="AC118" s="47">
        <f t="shared" si="31"/>
      </c>
      <c r="AD118" s="48"/>
      <c r="AE118" s="50"/>
      <c r="AF118" s="51">
        <f>SUM(AF115:AF117)</f>
      </c>
      <c r="AG118" s="51">
        <f>SUM(AG115:AG117)</f>
      </c>
      <c r="AH118" s="57">
        <f>SUM(AH115:AH117)</f>
      </c>
      <c r="AI118" s="51">
        <f>SUM(AI115:AI117)</f>
      </c>
      <c r="AJ118" s="51">
        <f>SUM(AJ115:AJ117)</f>
      </c>
      <c r="AK118" s="51">
        <f>SUM(AK115:AK117)</f>
      </c>
      <c r="AL118" s="51">
        <f>SUM(AL115:AL117)</f>
      </c>
      <c r="AM118" s="51">
        <f>SUM(AM115:AM117)</f>
      </c>
      <c r="AN118" s="51">
        <f>SUM(AN115:AN117)</f>
      </c>
      <c r="AO118" s="51">
        <f>SUM(AO115:AO117)</f>
      </c>
      <c r="AP118" s="51">
        <f>SUM(AP115:AP117)</f>
      </c>
    </row>
    <row customHeight="true" ht="16.071428571428573" r="119">
      <c r="A119" s="22"/>
      <c r="B119" s="58" t="s">
        <v>57</v>
      </c>
      <c r="C119" s="58"/>
      <c r="D119" s="59">
        <f>D118+D114</f>
      </c>
      <c r="E119" s="60">
        <f>E118+E114</f>
      </c>
      <c r="F119" s="60">
        <f>F118+F114</f>
      </c>
      <c r="G119" s="59">
        <f>G118+G114</f>
      </c>
      <c r="H119" s="60">
        <f>H118+H114</f>
      </c>
      <c r="I119" s="59">
        <f>I118+I114</f>
      </c>
      <c r="J119" s="61">
        <f>J118+J114</f>
      </c>
      <c r="K119" s="59">
        <f>K118+K114</f>
      </c>
      <c r="L119" s="59">
        <f t="shared" si="0"/>
      </c>
      <c r="M119" s="59">
        <f t="shared" si="100"/>
      </c>
      <c r="N119" s="59">
        <f t="shared" si="132"/>
      </c>
      <c r="O119" s="62">
        <f t="shared" si="96"/>
      </c>
      <c r="P119" s="62">
        <f t="shared" si="98"/>
      </c>
      <c r="Q119" s="63">
        <f t="shared" si="45"/>
      </c>
      <c r="R119" s="77">
        <f t="shared" si="77"/>
      </c>
      <c r="S119" s="64">
        <f t="shared" si="207"/>
      </c>
      <c r="T119" s="65">
        <f t="shared" si="14"/>
      </c>
      <c r="U119" s="65">
        <f t="shared" si="28"/>
      </c>
      <c r="V119" s="65">
        <f t="shared" si="101"/>
      </c>
      <c r="W119" s="65">
        <f t="shared" si="133"/>
      </c>
      <c r="X119" s="64">
        <f t="shared" si="97"/>
      </c>
      <c r="Y119" s="65">
        <f t="shared" si="99"/>
      </c>
      <c r="Z119" s="78">
        <f t="shared" si="61"/>
      </c>
      <c r="AA119" s="78">
        <f t="shared" si="93"/>
      </c>
      <c r="AB119" s="78">
        <f t="shared" si="223"/>
      </c>
      <c r="AC119" s="78">
        <f t="shared" si="31"/>
      </c>
      <c r="AD119" s="79"/>
      <c r="AE119" s="68"/>
      <c r="AF119" s="69">
        <f>AF118+AF114</f>
      </c>
      <c r="AG119" s="69">
        <f>AG118+AG114</f>
      </c>
      <c r="AH119" s="69">
        <f>AH118+AH114</f>
      </c>
      <c r="AI119" s="69">
        <f>AI118+AI114</f>
      </c>
      <c r="AJ119" s="69">
        <f>AJ118+AJ114</f>
      </c>
      <c r="AK119" s="69">
        <f>AK118+AK114</f>
      </c>
      <c r="AL119" s="69">
        <f>AL118+AL114</f>
      </c>
      <c r="AM119" s="69">
        <f>AM118+AM114</f>
      </c>
      <c r="AN119" s="69">
        <f>AN118+AN114</f>
      </c>
      <c r="AO119" s="69">
        <f>AO118+AO114</f>
      </c>
      <c r="AP119" s="69">
        <f>AP118+AP114</f>
      </c>
    </row>
    <row customHeight="true" ht="16.071428571428573" r="120">
      <c r="A120" s="22">
        <v>46309</v>
      </c>
      <c r="B120" s="23" t="s">
        <v>61</v>
      </c>
      <c r="C120" s="24" t="s">
        <v>47</v>
      </c>
      <c r="D120" s="25">
        <v>366.257</v>
      </c>
      <c r="E120" s="26">
        <v>1</v>
      </c>
      <c r="F120" s="26">
        <v>0</v>
      </c>
      <c r="G120" s="26">
        <v>0</v>
      </c>
      <c r="H120" s="26">
        <v>1</v>
      </c>
      <c r="I120" s="26">
        <v>1414.8000000000002</v>
      </c>
      <c r="J120" s="29">
        <f t="shared" ref="J120:J122" si="160">F120+H120</f>
      </c>
      <c r="K120" s="30">
        <f t="shared" ref="K120:K122" si="190">G120+I120</f>
      </c>
      <c r="L120" s="31">
        <f t="shared" si="0"/>
      </c>
      <c r="M120" s="31">
        <f t="shared" si="100"/>
      </c>
      <c r="N120" s="31">
        <f t="shared" si="132"/>
      </c>
      <c r="O120" s="32">
        <f t="shared" si="96"/>
      </c>
      <c r="P120" s="32">
        <f t="shared" si="98"/>
      </c>
      <c r="Q120" s="33">
        <f t="shared" si="45"/>
      </c>
      <c r="R120" s="31">
        <f t="shared" si="77"/>
      </c>
      <c r="S120" s="31">
        <f t="shared" si="207"/>
      </c>
      <c r="T120" s="34">
        <f t="shared" si="14"/>
      </c>
      <c r="U120" s="35">
        <f t="shared" si="28"/>
      </c>
      <c r="V120" s="36">
        <f t="shared" si="101"/>
      </c>
      <c r="W120" s="36">
        <f t="shared" si="133"/>
      </c>
      <c r="X120" s="31">
        <f t="shared" si="97"/>
      </c>
      <c r="Y120" s="36">
        <f t="shared" si="99"/>
      </c>
      <c r="Z120" s="36">
        <f t="shared" si="61"/>
      </c>
      <c r="AA120" s="36">
        <f t="shared" si="93"/>
      </c>
      <c r="AB120" s="36">
        <f t="shared" si="223"/>
      </c>
      <c r="AC120" s="36">
        <f t="shared" si="31"/>
      </c>
      <c r="AD120" s="37" t="s">
        <v>58</v>
      </c>
      <c r="AE120" s="37" t="s">
        <v>62</v>
      </c>
      <c r="AF120" s="38">
        <v>8546</v>
      </c>
      <c r="AG120" s="38">
        <v>2290</v>
      </c>
      <c r="AH120" s="38">
        <v>12617</v>
      </c>
      <c r="AI120" s="38">
        <v>276</v>
      </c>
      <c r="AJ120" s="39">
        <v>1</v>
      </c>
      <c r="AK120" s="38">
        <v>916</v>
      </c>
      <c r="AL120" s="38">
        <v>92</v>
      </c>
      <c r="AM120" s="38">
        <v>12</v>
      </c>
      <c r="AN120" s="38">
        <v>2</v>
      </c>
      <c r="AO120" s="39">
        <v>0</v>
      </c>
      <c r="AP120" s="38">
        <f t="shared" ref="AP120:AP122" si="128">COUNT(AK120)</f>
      </c>
    </row>
    <row customHeight="true" ht="16.071428571428573" r="121">
      <c r="A121" s="22"/>
      <c r="B121" s="23" t="s">
        <v>61</v>
      </c>
      <c r="C121" s="24" t="s">
        <v>50</v>
      </c>
      <c r="D121" s="25">
        <v>1090.98</v>
      </c>
      <c r="E121" s="26">
        <v>0</v>
      </c>
      <c r="F121" s="26">
        <v>0</v>
      </c>
      <c r="G121" s="27">
        <v>0</v>
      </c>
      <c r="H121" s="26">
        <v>0</v>
      </c>
      <c r="I121" s="28">
        <v>0</v>
      </c>
      <c r="J121" s="29">
        <f t="shared" si="160"/>
      </c>
      <c r="K121" s="30">
        <f t="shared" si="190"/>
      </c>
      <c r="L121" s="31">
        <f t="shared" si="0"/>
      </c>
      <c r="M121" s="31">
        <f t="shared" si="100"/>
      </c>
      <c r="N121" s="31">
        <f t="shared" si="132"/>
      </c>
      <c r="O121" s="32">
        <f t="shared" si="96"/>
      </c>
      <c r="P121" s="32">
        <f t="shared" si="98"/>
      </c>
      <c r="Q121" s="33">
        <f t="shared" si="45"/>
      </c>
      <c r="R121" s="31">
        <f t="shared" si="77"/>
      </c>
      <c r="S121" s="31">
        <f t="shared" si="207"/>
      </c>
      <c r="T121" s="34">
        <f t="shared" si="14"/>
      </c>
      <c r="U121" s="35">
        <f t="shared" si="28"/>
      </c>
      <c r="V121" s="36">
        <f t="shared" si="101"/>
      </c>
      <c r="W121" s="36">
        <f t="shared" si="133"/>
      </c>
      <c r="X121" s="31">
        <f t="shared" si="97"/>
      </c>
      <c r="Y121" s="36">
        <f t="shared" si="99"/>
      </c>
      <c r="Z121" s="36">
        <f t="shared" si="61"/>
      </c>
      <c r="AA121" s="36">
        <f t="shared" si="93"/>
      </c>
      <c r="AB121" s="36">
        <f t="shared" si="223"/>
      </c>
      <c r="AC121" s="36">
        <f t="shared" si="31"/>
      </c>
      <c r="AD121" s="37" t="s">
        <v>58</v>
      </c>
      <c r="AE121" s="37" t="s">
        <v>62</v>
      </c>
      <c r="AF121" s="38">
        <v>41405</v>
      </c>
      <c r="AG121" s="38">
        <v>9926</v>
      </c>
      <c r="AH121" s="38">
        <v>67995</v>
      </c>
      <c r="AI121" s="38">
        <v>536</v>
      </c>
      <c r="AJ121" s="39">
        <v>0</v>
      </c>
      <c r="AK121" s="38">
        <v>4740</v>
      </c>
      <c r="AL121" s="38">
        <v>233</v>
      </c>
      <c r="AM121" s="38">
        <v>22</v>
      </c>
      <c r="AN121" s="38">
        <v>3</v>
      </c>
      <c r="AO121" s="39">
        <v>0</v>
      </c>
      <c r="AP121" s="38">
        <f t="shared" si="128"/>
      </c>
    </row>
    <row customHeight="true" ht="16.071428571428573" r="122">
      <c r="A122" s="22"/>
      <c r="B122" s="23" t="s">
        <v>61</v>
      </c>
      <c r="C122" s="24" t="s">
        <v>51</v>
      </c>
      <c r="D122" s="25">
        <v>3595.007</v>
      </c>
      <c r="E122" s="26">
        <v>4</v>
      </c>
      <c r="F122" s="26">
        <v>1</v>
      </c>
      <c r="G122" s="27">
        <v>499</v>
      </c>
      <c r="H122" s="26">
        <v>1</v>
      </c>
      <c r="I122" s="28">
        <v>1414.8000000000002</v>
      </c>
      <c r="J122" s="29">
        <f t="shared" si="160"/>
      </c>
      <c r="K122" s="30">
        <f t="shared" si="190"/>
      </c>
      <c r="L122" s="31">
        <f t="shared" si="0"/>
      </c>
      <c r="M122" s="31">
        <f t="shared" si="100"/>
      </c>
      <c r="N122" s="31">
        <f t="shared" si="132"/>
      </c>
      <c r="O122" s="32">
        <f t="shared" si="96"/>
      </c>
      <c r="P122" s="32">
        <f t="shared" si="98"/>
      </c>
      <c r="Q122" s="33">
        <f t="shared" si="45"/>
      </c>
      <c r="R122" s="31">
        <f t="shared" si="77"/>
      </c>
      <c r="S122" s="31">
        <f t="shared" si="207"/>
      </c>
      <c r="T122" s="34">
        <f t="shared" si="14"/>
      </c>
      <c r="U122" s="35">
        <f t="shared" si="28"/>
      </c>
      <c r="V122" s="36">
        <f t="shared" si="101"/>
      </c>
      <c r="W122" s="36">
        <f t="shared" si="133"/>
      </c>
      <c r="X122" s="31">
        <f t="shared" si="97"/>
      </c>
      <c r="Y122" s="36">
        <f t="shared" si="99"/>
      </c>
      <c r="Z122" s="36">
        <f t="shared" si="61"/>
      </c>
      <c r="AA122" s="36">
        <f t="shared" si="93"/>
      </c>
      <c r="AB122" s="36">
        <f t="shared" si="223"/>
      </c>
      <c r="AC122" s="36">
        <f t="shared" si="31"/>
      </c>
      <c r="AD122" s="37" t="s">
        <v>58</v>
      </c>
      <c r="AE122" s="37" t="s">
        <v>62</v>
      </c>
      <c r="AF122" s="38">
        <v>132276</v>
      </c>
      <c r="AG122" s="38">
        <v>22907</v>
      </c>
      <c r="AH122" s="38">
        <v>258875</v>
      </c>
      <c r="AI122" s="38">
        <v>1131</v>
      </c>
      <c r="AJ122" s="39">
        <v>1</v>
      </c>
      <c r="AK122" s="38">
        <v>14100</v>
      </c>
      <c r="AL122" s="38">
        <v>449</v>
      </c>
      <c r="AM122" s="38">
        <v>78</v>
      </c>
      <c r="AN122" s="38">
        <v>8</v>
      </c>
      <c r="AO122" s="39">
        <v>0</v>
      </c>
      <c r="AP122" s="38">
        <f t="shared" si="128"/>
      </c>
    </row>
    <row customHeight="true" ht="16.071428571428573" r="123">
      <c r="A123" s="22"/>
      <c r="B123" s="40" t="s">
        <v>52</v>
      </c>
      <c r="C123" s="40"/>
      <c r="D123" s="81">
        <f>SUM(D120:D122)</f>
      </c>
      <c r="E123" s="42">
        <f>SUM(E120:E122)</f>
      </c>
      <c r="F123" s="42">
        <f>SUM(F120:F122)</f>
      </c>
      <c r="G123" s="42">
        <f>SUM(G120:G122)</f>
      </c>
      <c r="H123" s="42">
        <f>SUM(H120:H122)</f>
      </c>
      <c r="I123" s="42">
        <f>SUM(I120:I122)</f>
      </c>
      <c r="J123" s="43">
        <f>SUM(J120:J122)</f>
      </c>
      <c r="K123" s="41">
        <f>SUM(K120:K122)</f>
      </c>
      <c r="L123" s="41">
        <f t="shared" si="0"/>
      </c>
      <c r="M123" s="41">
        <f t="shared" si="100"/>
      </c>
      <c r="N123" s="41">
        <f t="shared" si="132"/>
      </c>
      <c r="O123" s="44">
        <f t="shared" si="96"/>
      </c>
      <c r="P123" s="44">
        <f t="shared" si="98"/>
      </c>
      <c r="Q123" s="45">
        <f t="shared" si="45"/>
      </c>
      <c r="R123" s="46">
        <f t="shared" si="77"/>
      </c>
      <c r="S123" s="70">
        <f t="shared" si="207"/>
      </c>
      <c r="T123" s="71">
        <f t="shared" si="14"/>
      </c>
      <c r="U123" s="72">
        <f t="shared" si="28"/>
      </c>
      <c r="V123" s="72">
        <f t="shared" si="101"/>
      </c>
      <c r="W123" s="72">
        <f t="shared" si="133"/>
      </c>
      <c r="X123" s="70">
        <f t="shared" si="97"/>
      </c>
      <c r="Y123" s="72">
        <f t="shared" si="99"/>
      </c>
      <c r="Z123" s="73">
        <f t="shared" si="61"/>
      </c>
      <c r="AA123" s="73">
        <f t="shared" si="93"/>
      </c>
      <c r="AB123" s="73">
        <f t="shared" si="223"/>
      </c>
      <c r="AC123" s="73">
        <f t="shared" si="31"/>
      </c>
      <c r="AD123" s="49"/>
      <c r="AE123" s="50"/>
      <c r="AF123" s="51">
        <f>SUM(AF120:AF122)</f>
      </c>
      <c r="AG123" s="51">
        <f>SUM(AG120:AG122)</f>
      </c>
      <c r="AH123" s="51">
        <f>SUM(AH120:AH122)</f>
      </c>
      <c r="AI123" s="51">
        <f>SUM(AI120:AI122)</f>
      </c>
      <c r="AJ123" s="51">
        <f>SUM(AJ120:AJ122)</f>
      </c>
      <c r="AK123" s="51">
        <f>SUM(AK120:AK122)</f>
      </c>
      <c r="AL123" s="51">
        <f>SUM(AL120:AL122)</f>
      </c>
      <c r="AM123" s="51">
        <f>SUM(AM120:AM122)</f>
      </c>
      <c r="AN123" s="51">
        <f>SUM(AN120:AN122)</f>
      </c>
      <c r="AO123" s="51">
        <f>SUM(AO120:AO122)</f>
      </c>
      <c r="AP123" s="51">
        <f>SUM(AP120:AP122)</f>
      </c>
    </row>
    <row customHeight="true" ht="16.071428571428573" r="124">
      <c r="A124" s="22"/>
      <c r="B124" s="23" t="s">
        <v>60</v>
      </c>
      <c r="C124" s="24" t="s">
        <v>54</v>
      </c>
      <c r="D124" s="25">
        <v>3477.858</v>
      </c>
      <c r="E124" s="26">
        <v>2</v>
      </c>
      <c r="F124" s="26">
        <v>0</v>
      </c>
      <c r="G124" s="27">
        <v>0</v>
      </c>
      <c r="H124" s="26">
        <v>2</v>
      </c>
      <c r="I124" s="28">
        <v>2124</v>
      </c>
      <c r="J124" s="29">
        <f t="shared" ref="J124:J126" si="161">F124+H124</f>
      </c>
      <c r="K124" s="30">
        <f t="shared" ref="K124:K126" si="191">G124+I124</f>
      </c>
      <c r="L124" s="30">
        <f t="shared" si="0"/>
      </c>
      <c r="M124" s="30">
        <f t="shared" si="100"/>
      </c>
      <c r="N124" s="30">
        <f t="shared" si="132"/>
      </c>
      <c r="O124" s="32">
        <f t="shared" si="96"/>
      </c>
      <c r="P124" s="32">
        <f t="shared" si="98"/>
      </c>
      <c r="Q124" s="33">
        <f t="shared" si="45"/>
      </c>
      <c r="R124" s="74">
        <f t="shared" si="77"/>
      </c>
      <c r="S124" s="31">
        <f t="shared" si="207"/>
      </c>
      <c r="T124" s="34">
        <f t="shared" si="14"/>
      </c>
      <c r="U124" s="34">
        <f t="shared" si="28"/>
      </c>
      <c r="V124" s="34">
        <f t="shared" si="101"/>
      </c>
      <c r="W124" s="34">
        <f t="shared" si="133"/>
      </c>
      <c r="X124" s="31">
        <f t="shared" si="97"/>
      </c>
      <c r="Y124" s="34">
        <f t="shared" si="99"/>
      </c>
      <c r="Z124" s="34">
        <f t="shared" si="61"/>
      </c>
      <c r="AA124" s="34">
        <f t="shared" si="93"/>
      </c>
      <c r="AB124" s="34">
        <f t="shared" si="223"/>
      </c>
      <c r="AC124" s="34">
        <f t="shared" si="31"/>
      </c>
      <c r="AD124" s="37" t="s">
        <v>58</v>
      </c>
      <c r="AE124" s="37" t="s">
        <v>62</v>
      </c>
      <c r="AF124" s="38">
        <v>126411</v>
      </c>
      <c r="AG124" s="54">
        <v>23942</v>
      </c>
      <c r="AH124" s="38">
        <v>232164</v>
      </c>
      <c r="AI124" s="55">
        <v>1211</v>
      </c>
      <c r="AJ124" s="75">
        <v>2</v>
      </c>
      <c r="AK124" s="56">
        <v>13882</v>
      </c>
      <c r="AL124" s="56">
        <v>504</v>
      </c>
      <c r="AM124" s="56">
        <v>82</v>
      </c>
      <c r="AN124" s="56">
        <v>16</v>
      </c>
      <c r="AO124" s="39">
        <v>1</v>
      </c>
      <c r="AP124" s="38">
        <f t="shared" ref="AP124:AP126" si="129">COUNT(AK124)</f>
      </c>
    </row>
    <row customHeight="true" ht="16.071428571428573" r="125">
      <c r="A125" s="22"/>
      <c r="B125" s="23" t="s">
        <v>60</v>
      </c>
      <c r="C125" s="24" t="s">
        <v>55</v>
      </c>
      <c r="D125" s="25">
        <v>1616.861</v>
      </c>
      <c r="E125" s="26">
        <v>0</v>
      </c>
      <c r="F125" s="26">
        <v>0</v>
      </c>
      <c r="G125" s="27">
        <v>0</v>
      </c>
      <c r="H125" s="26">
        <v>0</v>
      </c>
      <c r="I125" s="28">
        <v>0</v>
      </c>
      <c r="J125" s="29">
        <f t="shared" si="161"/>
      </c>
      <c r="K125" s="30">
        <f t="shared" si="191"/>
      </c>
      <c r="L125" s="30">
        <f t="shared" si="0"/>
      </c>
      <c r="M125" s="30">
        <f t="shared" si="100"/>
      </c>
      <c r="N125" s="30">
        <f t="shared" si="132"/>
      </c>
      <c r="O125" s="32">
        <f t="shared" si="96"/>
      </c>
      <c r="P125" s="32">
        <f t="shared" si="98"/>
      </c>
      <c r="Q125" s="33">
        <f t="shared" si="45"/>
      </c>
      <c r="R125" s="74">
        <f t="shared" si="77"/>
      </c>
      <c r="S125" s="31">
        <f t="shared" si="207"/>
      </c>
      <c r="T125" s="34">
        <f t="shared" si="14"/>
      </c>
      <c r="U125" s="34">
        <f t="shared" si="28"/>
      </c>
      <c r="V125" s="34">
        <f t="shared" si="101"/>
      </c>
      <c r="W125" s="34">
        <f t="shared" si="133"/>
      </c>
      <c r="X125" s="31">
        <f t="shared" si="97"/>
      </c>
      <c r="Y125" s="34">
        <f t="shared" si="99"/>
      </c>
      <c r="Z125" s="34">
        <f t="shared" si="61"/>
      </c>
      <c r="AA125" s="34">
        <f t="shared" si="93"/>
      </c>
      <c r="AB125" s="34">
        <f t="shared" si="223"/>
      </c>
      <c r="AC125" s="34">
        <f t="shared" si="31"/>
      </c>
      <c r="AD125" s="37" t="s">
        <v>58</v>
      </c>
      <c r="AE125" s="37" t="s">
        <v>62</v>
      </c>
      <c r="AF125" s="38">
        <v>71332</v>
      </c>
      <c r="AG125" s="54">
        <v>16555</v>
      </c>
      <c r="AH125" s="38">
        <v>110800</v>
      </c>
      <c r="AI125" s="55">
        <v>1063</v>
      </c>
      <c r="AJ125" s="75">
        <v>0</v>
      </c>
      <c r="AK125" s="56">
        <v>7490</v>
      </c>
      <c r="AL125" s="56">
        <v>397</v>
      </c>
      <c r="AM125" s="56">
        <v>69</v>
      </c>
      <c r="AN125" s="56">
        <v>11</v>
      </c>
      <c r="AO125" s="39">
        <v>0</v>
      </c>
      <c r="AP125" s="38">
        <f t="shared" si="129"/>
      </c>
    </row>
    <row customHeight="true" ht="16.071428571428573" r="126">
      <c r="A126" s="22"/>
      <c r="B126" s="23" t="s">
        <v>60</v>
      </c>
      <c r="C126" s="24" t="s">
        <v>56</v>
      </c>
      <c r="D126" s="25">
        <v>863.141</v>
      </c>
      <c r="E126" s="26">
        <v>1</v>
      </c>
      <c r="F126" s="26">
        <v>1</v>
      </c>
      <c r="G126" s="27">
        <v>333.6</v>
      </c>
      <c r="H126" s="26">
        <v>0</v>
      </c>
      <c r="I126" s="28">
        <v>0</v>
      </c>
      <c r="J126" s="29">
        <f t="shared" si="161"/>
      </c>
      <c r="K126" s="30">
        <f t="shared" si="191"/>
      </c>
      <c r="L126" s="30">
        <f t="shared" si="0"/>
      </c>
      <c r="M126" s="30">
        <f t="shared" si="100"/>
      </c>
      <c r="N126" s="30">
        <f t="shared" si="132"/>
      </c>
      <c r="O126" s="32">
        <f t="shared" si="96"/>
      </c>
      <c r="P126" s="32">
        <f t="shared" si="98"/>
      </c>
      <c r="Q126" s="33">
        <f>D126/AI126</f>
      </c>
      <c r="R126" s="74">
        <f>D126/AJ126</f>
      </c>
      <c r="S126" s="31">
        <f>D126/AK126</f>
      </c>
      <c r="T126" s="34">
        <f>AJ126/AI126</f>
      </c>
      <c r="U126" s="34">
        <f>AK126/AJ126</f>
      </c>
      <c r="V126" s="34">
        <f t="shared" si="101"/>
      </c>
      <c r="W126" s="34">
        <f t="shared" si="133"/>
      </c>
      <c r="X126" s="31">
        <f t="shared" si="97"/>
      </c>
      <c r="Y126" s="34">
        <f t="shared" si="99"/>
      </c>
      <c r="Z126" s="34">
        <f>AL126/AI126</f>
      </c>
      <c r="AA126" s="34">
        <f>AM126/AI126</f>
      </c>
      <c r="AB126" s="34">
        <f>AN126/AI126</f>
      </c>
      <c r="AC126" s="34">
        <f t="shared" si="31"/>
      </c>
      <c r="AD126" s="37" t="s">
        <v>58</v>
      </c>
      <c r="AE126" s="37" t="s">
        <v>62</v>
      </c>
      <c r="AF126" s="38">
        <v>41742</v>
      </c>
      <c r="AG126" s="54">
        <v>9526</v>
      </c>
      <c r="AH126" s="38">
        <v>60022</v>
      </c>
      <c r="AI126" s="55">
        <v>662</v>
      </c>
      <c r="AJ126" s="56">
        <v>1</v>
      </c>
      <c r="AK126" s="56">
        <v>3592</v>
      </c>
      <c r="AL126" s="56">
        <v>226</v>
      </c>
      <c r="AM126" s="56">
        <v>34</v>
      </c>
      <c r="AN126" s="56">
        <v>13</v>
      </c>
      <c r="AO126" s="39">
        <v>0</v>
      </c>
      <c r="AP126" s="38">
        <f t="shared" si="129"/>
      </c>
    </row>
    <row customHeight="true" ht="16.071428571428573" r="127">
      <c r="A127" s="22"/>
      <c r="B127" s="40" t="s">
        <v>52</v>
      </c>
      <c r="C127" s="40"/>
      <c r="D127" s="81">
        <f>SUM(D124:D126)</f>
      </c>
      <c r="E127" s="42">
        <f>SUM(E124:E126)</f>
      </c>
      <c r="F127" s="42">
        <f>SUM(F124:F126)</f>
      </c>
      <c r="G127" s="41">
        <f>SUM(G124:G126)</f>
      </c>
      <c r="H127" s="42">
        <f>SUM(H124:H126)</f>
      </c>
      <c r="I127" s="41">
        <f>SUM(I124:I126)</f>
      </c>
      <c r="J127" s="43">
        <f>SUM(J124:J126)</f>
      </c>
      <c r="K127" s="41">
        <f>SUM(K124:K126)</f>
      </c>
      <c r="L127" s="41">
        <f t="shared" si="0"/>
      </c>
      <c r="M127" s="41">
        <f t="shared" si="100"/>
      </c>
      <c r="N127" s="41">
        <f t="shared" si="132"/>
      </c>
      <c r="O127" s="44">
        <f t="shared" si="96"/>
      </c>
      <c r="P127" s="44">
        <f t="shared" si="98"/>
      </c>
      <c r="Q127" s="45">
        <f t="shared" ref="Q127:Q134" si="46">D127/AH127</f>
      </c>
      <c r="R127" s="76">
        <f t="shared" ref="R127:R134" si="78">D127/AI127</f>
      </c>
      <c r="S127" s="46">
        <f t="shared" ref="S127:S134" si="208">D127/AJ127</f>
      </c>
      <c r="T127" s="47">
        <f t="shared" ref="T127:T134" si="15">AI127/AH127</f>
      </c>
      <c r="U127" s="47">
        <f t="shared" ref="U127:U134" si="29">AJ127/AI127</f>
      </c>
      <c r="V127" s="47">
        <f t="shared" si="101"/>
      </c>
      <c r="W127" s="47">
        <f t="shared" si="133"/>
      </c>
      <c r="X127" s="46">
        <f t="shared" si="97"/>
      </c>
      <c r="Y127" s="47">
        <f t="shared" si="99"/>
      </c>
      <c r="Z127" s="47">
        <f t="shared" ref="Z127:Z134" si="62">AK127/AH127</f>
      </c>
      <c r="AA127" s="47">
        <f t="shared" ref="AA127:AA134" si="94">AL127/AH127</f>
      </c>
      <c r="AB127" s="47">
        <f t="shared" ref="AB127:AB134" si="224">AM127/AH127</f>
      </c>
      <c r="AC127" s="47">
        <f t="shared" si="31"/>
      </c>
      <c r="AD127" s="48"/>
      <c r="AE127" s="50"/>
      <c r="AF127" s="51">
        <f>SUM(AF124:AF126)</f>
      </c>
      <c r="AG127" s="51">
        <f>SUM(AG124:AG126)</f>
      </c>
      <c r="AH127" s="57">
        <f>SUM(AH124:AH126)</f>
      </c>
      <c r="AI127" s="51">
        <f>SUM(AI124:AI126)</f>
      </c>
      <c r="AJ127" s="51">
        <f>SUM(AJ124:AJ126)</f>
      </c>
      <c r="AK127" s="51">
        <f>SUM(AK124:AK126)</f>
      </c>
      <c r="AL127" s="51">
        <f>SUM(AL124:AL126)</f>
      </c>
      <c r="AM127" s="51">
        <f>SUM(AM124:AM126)</f>
      </c>
      <c r="AN127" s="51">
        <f>SUM(AN124:AN126)</f>
      </c>
      <c r="AO127" s="51">
        <f>SUM(AO124:AO126)</f>
      </c>
      <c r="AP127" s="51">
        <f>SUM(AP124:AP126)</f>
      </c>
    </row>
    <row customHeight="true" ht="16.071428571428573" r="128">
      <c r="A128" s="22"/>
      <c r="B128" s="58" t="s">
        <v>57</v>
      </c>
      <c r="C128" s="58"/>
      <c r="D128" s="82">
        <f>D127+D123</f>
      </c>
      <c r="E128" s="60">
        <f>E127+E123</f>
      </c>
      <c r="F128" s="60">
        <f>F127+F123</f>
      </c>
      <c r="G128" s="59">
        <f>G127+G123</f>
      </c>
      <c r="H128" s="60">
        <f>H127+H123</f>
      </c>
      <c r="I128" s="59">
        <f>I127+I123</f>
      </c>
      <c r="J128" s="61">
        <f>J127+J123</f>
      </c>
      <c r="K128" s="59">
        <f>K127+K123</f>
      </c>
      <c r="L128" s="59">
        <f t="shared" si="0"/>
      </c>
      <c r="M128" s="59">
        <f t="shared" si="100"/>
      </c>
      <c r="N128" s="59">
        <f t="shared" si="132"/>
      </c>
      <c r="O128" s="62">
        <f t="shared" si="96"/>
      </c>
      <c r="P128" s="62">
        <f t="shared" si="98"/>
      </c>
      <c r="Q128" s="63">
        <f t="shared" si="46"/>
      </c>
      <c r="R128" s="77">
        <f t="shared" si="78"/>
      </c>
      <c r="S128" s="64">
        <f t="shared" si="208"/>
      </c>
      <c r="T128" s="65">
        <f t="shared" si="15"/>
      </c>
      <c r="U128" s="65">
        <f t="shared" si="29"/>
      </c>
      <c r="V128" s="65">
        <f t="shared" si="101"/>
      </c>
      <c r="W128" s="65">
        <f t="shared" si="133"/>
      </c>
      <c r="X128" s="64">
        <f t="shared" si="97"/>
      </c>
      <c r="Y128" s="65">
        <f t="shared" si="99"/>
      </c>
      <c r="Z128" s="78">
        <f t="shared" si="62"/>
      </c>
      <c r="AA128" s="78">
        <f t="shared" si="94"/>
      </c>
      <c r="AB128" s="78">
        <f t="shared" si="224"/>
      </c>
      <c r="AC128" s="78">
        <f t="shared" si="31"/>
      </c>
      <c r="AD128" s="79"/>
      <c r="AE128" s="68"/>
      <c r="AF128" s="69">
        <f>AF127+AF123</f>
      </c>
      <c r="AG128" s="69">
        <f>AG127+AG123</f>
      </c>
      <c r="AH128" s="69">
        <f>AH127+AH123</f>
      </c>
      <c r="AI128" s="69">
        <f>AI127+AI123</f>
      </c>
      <c r="AJ128" s="69">
        <f>AJ127+AJ123</f>
      </c>
      <c r="AK128" s="69">
        <f>AK127+AK123</f>
      </c>
      <c r="AL128" s="69">
        <f>AL127+AL123</f>
      </c>
      <c r="AM128" s="69">
        <f>AM127+AM123</f>
      </c>
      <c r="AN128" s="69">
        <f>AN127+AN123</f>
      </c>
      <c r="AO128" s="69">
        <f>AO127+AO123</f>
      </c>
      <c r="AP128" s="69">
        <f>AP127+AP123</f>
      </c>
    </row>
    <row customHeight="true" ht="16.071428571428573" r="129">
      <c r="A129" s="22">
        <v>46310</v>
      </c>
      <c r="B129" s="23" t="s">
        <v>53</v>
      </c>
      <c r="C129" s="24" t="s">
        <v>47</v>
      </c>
      <c r="D129" s="25">
        <v>121.415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  <c r="J129" s="29">
        <f t="shared" ref="J129:J131" si="162">F129+H129</f>
      </c>
      <c r="K129" s="30">
        <f t="shared" ref="K129:K131" si="192">G129+I129</f>
      </c>
      <c r="L129" s="31">
        <f t="shared" si="0"/>
      </c>
      <c r="M129" s="31">
        <f t="shared" si="100"/>
      </c>
      <c r="N129" s="31">
        <f t="shared" si="132"/>
      </c>
      <c r="O129" s="32">
        <f t="shared" si="96"/>
      </c>
      <c r="P129" s="32">
        <f t="shared" si="98"/>
      </c>
      <c r="Q129" s="33">
        <f t="shared" si="46"/>
      </c>
      <c r="R129" s="31">
        <f t="shared" si="78"/>
      </c>
      <c r="S129" s="31">
        <f t="shared" si="208"/>
      </c>
      <c r="T129" s="34">
        <f t="shared" si="15"/>
      </c>
      <c r="U129" s="35">
        <f t="shared" si="29"/>
      </c>
      <c r="V129" s="36">
        <f t="shared" si="101"/>
      </c>
      <c r="W129" s="36">
        <f t="shared" si="133"/>
      </c>
      <c r="X129" s="31">
        <f t="shared" si="97"/>
      </c>
      <c r="Y129" s="36">
        <f t="shared" si="99"/>
      </c>
      <c r="Z129" s="36">
        <f t="shared" si="62"/>
      </c>
      <c r="AA129" s="36">
        <f t="shared" si="94"/>
      </c>
      <c r="AB129" s="36">
        <f t="shared" si="224"/>
      </c>
      <c r="AC129" s="36">
        <f t="shared" si="31"/>
      </c>
      <c r="AD129" s="37" t="s">
        <v>58</v>
      </c>
      <c r="AE129" s="37" t="s">
        <v>62</v>
      </c>
      <c r="AF129" s="38">
        <v>3513</v>
      </c>
      <c r="AG129" s="38">
        <v>724</v>
      </c>
      <c r="AH129" s="38">
        <v>3075</v>
      </c>
      <c r="AI129" s="38">
        <v>69</v>
      </c>
      <c r="AJ129" s="39">
        <v>0</v>
      </c>
      <c r="AK129" s="38">
        <v>197</v>
      </c>
      <c r="AL129" s="38">
        <v>29</v>
      </c>
      <c r="AM129" s="38">
        <v>3</v>
      </c>
      <c r="AN129" s="38">
        <v>1</v>
      </c>
      <c r="AO129" s="39">
        <v>0</v>
      </c>
      <c r="AP129" s="38">
        <f t="shared" ref="AP129:AP131" si="130">COUNT(AK129)</f>
      </c>
    </row>
    <row customHeight="true" ht="16.071428571428573" r="130">
      <c r="A130" s="22"/>
      <c r="B130" s="23" t="s">
        <v>53</v>
      </c>
      <c r="C130" s="24" t="s">
        <v>50</v>
      </c>
      <c r="D130" s="25">
        <v>445.899</v>
      </c>
      <c r="E130" s="26">
        <v>1</v>
      </c>
      <c r="F130" s="26">
        <v>0</v>
      </c>
      <c r="G130" s="27">
        <v>0</v>
      </c>
      <c r="H130" s="26">
        <v>0</v>
      </c>
      <c r="I130" s="28">
        <v>0</v>
      </c>
      <c r="J130" s="29">
        <f t="shared" si="162"/>
      </c>
      <c r="K130" s="30">
        <f t="shared" si="192"/>
      </c>
      <c r="L130" s="31">
        <f t="shared" si="0"/>
      </c>
      <c r="M130" s="31">
        <f t="shared" si="100"/>
      </c>
      <c r="N130" s="31">
        <f t="shared" si="132"/>
      </c>
      <c r="O130" s="32">
        <f t="shared" si="96"/>
      </c>
      <c r="P130" s="32">
        <f t="shared" si="98"/>
      </c>
      <c r="Q130" s="33">
        <f t="shared" si="46"/>
      </c>
      <c r="R130" s="31">
        <f t="shared" si="78"/>
      </c>
      <c r="S130" s="31">
        <f t="shared" si="208"/>
      </c>
      <c r="T130" s="34">
        <f t="shared" si="15"/>
      </c>
      <c r="U130" s="35">
        <f t="shared" si="29"/>
      </c>
      <c r="V130" s="36">
        <f t="shared" si="101"/>
      </c>
      <c r="W130" s="36">
        <f t="shared" si="133"/>
      </c>
      <c r="X130" s="31">
        <f t="shared" si="97"/>
      </c>
      <c r="Y130" s="36">
        <f t="shared" si="99"/>
      </c>
      <c r="Z130" s="36">
        <f t="shared" si="62"/>
      </c>
      <c r="AA130" s="36">
        <f t="shared" si="94"/>
      </c>
      <c r="AB130" s="36">
        <f t="shared" si="224"/>
      </c>
      <c r="AC130" s="36">
        <f t="shared" si="31"/>
      </c>
      <c r="AD130" s="37" t="s">
        <v>58</v>
      </c>
      <c r="AE130" s="37" t="s">
        <v>62</v>
      </c>
      <c r="AF130" s="38">
        <v>16956</v>
      </c>
      <c r="AG130" s="38">
        <v>4834</v>
      </c>
      <c r="AH130" s="38">
        <v>24844</v>
      </c>
      <c r="AI130" s="38">
        <v>280</v>
      </c>
      <c r="AJ130" s="39">
        <v>0</v>
      </c>
      <c r="AK130" s="38">
        <v>1678</v>
      </c>
      <c r="AL130" s="38">
        <v>82</v>
      </c>
      <c r="AM130" s="38">
        <v>18</v>
      </c>
      <c r="AN130" s="38">
        <v>0</v>
      </c>
      <c r="AO130" s="39">
        <v>0</v>
      </c>
      <c r="AP130" s="38">
        <f t="shared" si="130"/>
      </c>
    </row>
    <row customHeight="true" ht="16.071428571428573" r="131">
      <c r="A131" s="22"/>
      <c r="B131" s="23" t="s">
        <v>53</v>
      </c>
      <c r="C131" s="24" t="s">
        <v>51</v>
      </c>
      <c r="D131" s="25">
        <v>1036.541</v>
      </c>
      <c r="E131" s="26">
        <v>0</v>
      </c>
      <c r="F131" s="26">
        <v>0</v>
      </c>
      <c r="G131" s="27">
        <v>0</v>
      </c>
      <c r="H131" s="26">
        <v>0</v>
      </c>
      <c r="I131" s="28">
        <v>0</v>
      </c>
      <c r="J131" s="29">
        <f t="shared" si="162"/>
      </c>
      <c r="K131" s="30">
        <f t="shared" si="192"/>
      </c>
      <c r="L131" s="31">
        <f t="shared" si="0"/>
      </c>
      <c r="M131" s="31">
        <f t="shared" si="100"/>
      </c>
      <c r="N131" s="31">
        <f t="shared" si="132"/>
      </c>
      <c r="O131" s="32">
        <f t="shared" si="96"/>
      </c>
      <c r="P131" s="32">
        <f t="shared" si="98"/>
      </c>
      <c r="Q131" s="33">
        <f t="shared" si="46"/>
      </c>
      <c r="R131" s="31">
        <f t="shared" si="78"/>
      </c>
      <c r="S131" s="31">
        <f t="shared" si="208"/>
      </c>
      <c r="T131" s="34">
        <f t="shared" si="15"/>
      </c>
      <c r="U131" s="35">
        <f t="shared" si="29"/>
      </c>
      <c r="V131" s="36">
        <f t="shared" si="101"/>
      </c>
      <c r="W131" s="36">
        <f t="shared" si="133"/>
      </c>
      <c r="X131" s="31">
        <f t="shared" si="97"/>
      </c>
      <c r="Y131" s="36">
        <f t="shared" si="99"/>
      </c>
      <c r="Z131" s="36">
        <f t="shared" si="62"/>
      </c>
      <c r="AA131" s="36">
        <f t="shared" si="94"/>
      </c>
      <c r="AB131" s="36">
        <f t="shared" si="224"/>
      </c>
      <c r="AC131" s="36">
        <f t="shared" si="31"/>
      </c>
      <c r="AD131" s="37" t="s">
        <v>58</v>
      </c>
      <c r="AE131" s="37" t="s">
        <v>62</v>
      </c>
      <c r="AF131" s="38">
        <v>43241</v>
      </c>
      <c r="AG131" s="38">
        <v>10504</v>
      </c>
      <c r="AH131" s="38">
        <v>63138</v>
      </c>
      <c r="AI131" s="38">
        <v>698</v>
      </c>
      <c r="AJ131" s="39">
        <v>0</v>
      </c>
      <c r="AK131" s="38">
        <v>3910</v>
      </c>
      <c r="AL131" s="38">
        <v>329</v>
      </c>
      <c r="AM131" s="38">
        <v>48</v>
      </c>
      <c r="AN131" s="38">
        <v>2</v>
      </c>
      <c r="AO131" s="39">
        <v>0</v>
      </c>
      <c r="AP131" s="38">
        <f t="shared" si="130"/>
      </c>
    </row>
    <row customHeight="true" ht="16.071428571428573" r="132">
      <c r="A132" s="22"/>
      <c r="B132" s="40" t="s">
        <v>52</v>
      </c>
      <c r="C132" s="40"/>
      <c r="D132" s="81">
        <f>SUM(D129:D131)</f>
      </c>
      <c r="E132" s="42">
        <f>SUM(E129:E131)</f>
      </c>
      <c r="F132" s="42">
        <f>SUM(F129:F131)</f>
      </c>
      <c r="G132" s="42">
        <f>SUM(G129:G131)</f>
      </c>
      <c r="H132" s="42">
        <f>SUM(H129:H131)</f>
      </c>
      <c r="I132" s="42">
        <f>SUM(I129:I131)</f>
      </c>
      <c r="J132" s="43">
        <f>SUM(J129:J131)</f>
      </c>
      <c r="K132" s="41">
        <f>SUM(K129:K131)</f>
      </c>
      <c r="L132" s="41">
        <f t="shared" si="0"/>
      </c>
      <c r="M132" s="41">
        <f t="shared" si="100"/>
      </c>
      <c r="N132" s="41">
        <f t="shared" si="132"/>
      </c>
      <c r="O132" s="44">
        <f t="shared" si="96"/>
      </c>
      <c r="P132" s="44">
        <f t="shared" si="98"/>
      </c>
      <c r="Q132" s="45">
        <f t="shared" si="46"/>
      </c>
      <c r="R132" s="46">
        <f t="shared" si="78"/>
      </c>
      <c r="S132" s="70">
        <f t="shared" si="208"/>
      </c>
      <c r="T132" s="71">
        <f t="shared" si="15"/>
      </c>
      <c r="U132" s="72">
        <f t="shared" si="29"/>
      </c>
      <c r="V132" s="72">
        <f t="shared" si="101"/>
      </c>
      <c r="W132" s="72">
        <f t="shared" si="133"/>
      </c>
      <c r="X132" s="70">
        <f t="shared" si="97"/>
      </c>
      <c r="Y132" s="72">
        <f t="shared" si="99"/>
      </c>
      <c r="Z132" s="73">
        <f t="shared" si="62"/>
      </c>
      <c r="AA132" s="73">
        <f t="shared" si="94"/>
      </c>
      <c r="AB132" s="73">
        <f t="shared" si="224"/>
      </c>
      <c r="AC132" s="73">
        <f t="shared" si="31"/>
      </c>
      <c r="AD132" s="49"/>
      <c r="AE132" s="50"/>
      <c r="AF132" s="51">
        <f>SUM(AF129:AF131)</f>
      </c>
      <c r="AG132" s="51">
        <f>SUM(AG129:AG131)</f>
      </c>
      <c r="AH132" s="51">
        <f>SUM(AH129:AH131)</f>
      </c>
      <c r="AI132" s="51">
        <f>SUM(AI129:AI131)</f>
      </c>
      <c r="AJ132" s="51">
        <f>SUM(AJ129:AJ131)</f>
      </c>
      <c r="AK132" s="51">
        <f>SUM(AK129:AK131)</f>
      </c>
      <c r="AL132" s="51">
        <f>SUM(AL129:AL131)</f>
      </c>
      <c r="AM132" s="51">
        <f>SUM(AM129:AM131)</f>
      </c>
      <c r="AN132" s="51">
        <f>SUM(AN129:AN131)</f>
      </c>
      <c r="AO132" s="51">
        <f>SUM(AO129:AO131)</f>
      </c>
      <c r="AP132" s="51">
        <f>SUM(AP129:AP131)</f>
      </c>
    </row>
    <row customHeight="true" ht="16.071428571428573" r="133">
      <c r="A133" s="22"/>
      <c r="B133" s="23" t="s">
        <v>60</v>
      </c>
      <c r="C133" s="24" t="s">
        <v>54</v>
      </c>
      <c r="D133" s="25">
        <v>863.378</v>
      </c>
      <c r="E133" s="26">
        <v>2</v>
      </c>
      <c r="F133" s="26">
        <v>1</v>
      </c>
      <c r="G133" s="27">
        <v>379.20000000000005</v>
      </c>
      <c r="H133" s="26">
        <v>1</v>
      </c>
      <c r="I133" s="28">
        <v>1035.6</v>
      </c>
      <c r="J133" s="29">
        <f t="shared" ref="J133:J135" si="163">F133+H133</f>
      </c>
      <c r="K133" s="30">
        <f t="shared" ref="K133:K135" si="193">G133+I133</f>
      </c>
      <c r="L133" s="30">
        <f t="shared" si="0"/>
      </c>
      <c r="M133" s="30">
        <f t="shared" si="100"/>
      </c>
      <c r="N133" s="30">
        <f t="shared" si="132"/>
      </c>
      <c r="O133" s="32">
        <f t="shared" si="96"/>
      </c>
      <c r="P133" s="32">
        <f t="shared" si="98"/>
      </c>
      <c r="Q133" s="33">
        <f t="shared" si="46"/>
      </c>
      <c r="R133" s="74">
        <f t="shared" si="78"/>
      </c>
      <c r="S133" s="31">
        <f t="shared" si="208"/>
      </c>
      <c r="T133" s="34">
        <f t="shared" si="15"/>
      </c>
      <c r="U133" s="34">
        <f t="shared" si="29"/>
      </c>
      <c r="V133" s="34">
        <f t="shared" si="101"/>
      </c>
      <c r="W133" s="34">
        <f t="shared" si="133"/>
      </c>
      <c r="X133" s="31">
        <f t="shared" si="97"/>
      </c>
      <c r="Y133" s="34">
        <f t="shared" si="99"/>
      </c>
      <c r="Z133" s="34">
        <f t="shared" si="62"/>
      </c>
      <c r="AA133" s="34">
        <f t="shared" si="94"/>
      </c>
      <c r="AB133" s="34">
        <f t="shared" si="224"/>
      </c>
      <c r="AC133" s="34">
        <f t="shared" si="31"/>
      </c>
      <c r="AD133" s="37" t="s">
        <v>58</v>
      </c>
      <c r="AE133" s="37" t="s">
        <v>62</v>
      </c>
      <c r="AF133" s="38">
        <v>40800</v>
      </c>
      <c r="AG133" s="54">
        <v>10232</v>
      </c>
      <c r="AH133" s="38">
        <v>59419</v>
      </c>
      <c r="AI133" s="55">
        <v>607</v>
      </c>
      <c r="AJ133" s="75">
        <v>1</v>
      </c>
      <c r="AK133" s="56">
        <v>3739</v>
      </c>
      <c r="AL133" s="56">
        <v>306</v>
      </c>
      <c r="AM133" s="56">
        <v>23</v>
      </c>
      <c r="AN133" s="56">
        <v>2</v>
      </c>
      <c r="AO133" s="39">
        <v>1</v>
      </c>
      <c r="AP133" s="38">
        <f t="shared" ref="AP133:AP135" si="131">COUNT(AK133)</f>
      </c>
    </row>
    <row customHeight="true" ht="16.071428571428573" r="134">
      <c r="A134" s="22"/>
      <c r="B134" s="23" t="s">
        <v>60</v>
      </c>
      <c r="C134" s="24" t="s">
        <v>55</v>
      </c>
      <c r="D134" s="25">
        <v>931.435</v>
      </c>
      <c r="E134" s="26">
        <v>0</v>
      </c>
      <c r="F134" s="26">
        <v>0</v>
      </c>
      <c r="G134" s="27">
        <v>0</v>
      </c>
      <c r="H134" s="26">
        <v>0</v>
      </c>
      <c r="I134" s="28">
        <v>0</v>
      </c>
      <c r="J134" s="29">
        <f t="shared" si="163"/>
      </c>
      <c r="K134" s="30">
        <f t="shared" si="193"/>
      </c>
      <c r="L134" s="30">
        <f t="shared" si="0"/>
      </c>
      <c r="M134" s="30">
        <f t="shared" si="100"/>
      </c>
      <c r="N134" s="30">
        <f t="shared" si="132"/>
      </c>
      <c r="O134" s="32">
        <f t="shared" si="96"/>
      </c>
      <c r="P134" s="32">
        <f t="shared" si="98"/>
      </c>
      <c r="Q134" s="33">
        <f t="shared" si="46"/>
      </c>
      <c r="R134" s="74">
        <f t="shared" si="78"/>
      </c>
      <c r="S134" s="31">
        <f t="shared" si="208"/>
      </c>
      <c r="T134" s="34">
        <f t="shared" si="15"/>
      </c>
      <c r="U134" s="34">
        <f t="shared" si="29"/>
      </c>
      <c r="V134" s="34">
        <f t="shared" si="101"/>
      </c>
      <c r="W134" s="34">
        <f t="shared" si="133"/>
      </c>
      <c r="X134" s="31">
        <f t="shared" si="97"/>
      </c>
      <c r="Y134" s="34">
        <f t="shared" si="99"/>
      </c>
      <c r="Z134" s="34">
        <f t="shared" si="62"/>
      </c>
      <c r="AA134" s="34">
        <f t="shared" si="94"/>
      </c>
      <c r="AB134" s="34">
        <f t="shared" si="224"/>
      </c>
      <c r="AC134" s="34">
        <f t="shared" si="31"/>
      </c>
      <c r="AD134" s="37" t="s">
        <v>58</v>
      </c>
      <c r="AE134" s="37" t="s">
        <v>62</v>
      </c>
      <c r="AF134" s="38">
        <v>39655</v>
      </c>
      <c r="AG134" s="54">
        <v>11144</v>
      </c>
      <c r="AH134" s="38">
        <v>64212</v>
      </c>
      <c r="AI134" s="55">
        <v>681</v>
      </c>
      <c r="AJ134" s="75">
        <v>1</v>
      </c>
      <c r="AK134" s="56">
        <v>4185</v>
      </c>
      <c r="AL134" s="56">
        <v>256</v>
      </c>
      <c r="AM134" s="56">
        <v>39</v>
      </c>
      <c r="AN134" s="56">
        <v>8</v>
      </c>
      <c r="AO134" s="39">
        <v>0</v>
      </c>
      <c r="AP134" s="38">
        <f t="shared" si="131"/>
      </c>
    </row>
    <row customHeight="true" ht="16.071428571428573" r="135">
      <c r="A135" s="22"/>
      <c r="B135" s="23" t="s">
        <v>60</v>
      </c>
      <c r="C135" s="24" t="s">
        <v>56</v>
      </c>
      <c r="D135" s="25">
        <v>652.48</v>
      </c>
      <c r="E135" s="26">
        <v>1</v>
      </c>
      <c r="F135" s="26">
        <v>1</v>
      </c>
      <c r="G135" s="27">
        <v>380</v>
      </c>
      <c r="H135" s="26">
        <v>0</v>
      </c>
      <c r="I135" s="28">
        <v>0</v>
      </c>
      <c r="J135" s="29">
        <f t="shared" si="163"/>
      </c>
      <c r="K135" s="30">
        <f t="shared" si="193"/>
      </c>
      <c r="L135" s="30">
        <f t="shared" si="0"/>
      </c>
      <c r="M135" s="30">
        <f t="shared" si="100"/>
      </c>
      <c r="N135" s="30">
        <f t="shared" si="132"/>
      </c>
      <c r="O135" s="32">
        <f t="shared" si="96"/>
      </c>
      <c r="P135" s="32">
        <f t="shared" si="98"/>
      </c>
      <c r="Q135" s="33">
        <f>D135/AI135</f>
      </c>
      <c r="R135" s="74">
        <f>D135/AJ135</f>
      </c>
      <c r="S135" s="31">
        <f>D135/AK135</f>
      </c>
      <c r="T135" s="34">
        <f>AJ135/AI135</f>
      </c>
      <c r="U135" s="34">
        <f>AK135/AJ135</f>
      </c>
      <c r="V135" s="34">
        <f t="shared" si="101"/>
      </c>
      <c r="W135" s="34">
        <f t="shared" si="133"/>
      </c>
      <c r="X135" s="31">
        <f t="shared" si="97"/>
      </c>
      <c r="Y135" s="34">
        <f t="shared" si="99"/>
      </c>
      <c r="Z135" s="34">
        <f>AL135/AI135</f>
      </c>
      <c r="AA135" s="34">
        <f>AM135/AI135</f>
      </c>
      <c r="AB135" s="34">
        <f>AN135/AI135</f>
      </c>
      <c r="AC135" s="34">
        <f t="shared" si="31"/>
      </c>
      <c r="AD135" s="37" t="s">
        <v>58</v>
      </c>
      <c r="AE135" s="37" t="s">
        <v>62</v>
      </c>
      <c r="AF135" s="38">
        <v>32344</v>
      </c>
      <c r="AG135" s="54">
        <v>8255</v>
      </c>
      <c r="AH135" s="38">
        <v>49344</v>
      </c>
      <c r="AI135" s="55">
        <v>648</v>
      </c>
      <c r="AJ135" s="56">
        <v>0</v>
      </c>
      <c r="AK135" s="56">
        <v>3049</v>
      </c>
      <c r="AL135" s="56">
        <v>202</v>
      </c>
      <c r="AM135" s="56">
        <v>28</v>
      </c>
      <c r="AN135" s="56">
        <v>2</v>
      </c>
      <c r="AO135" s="39">
        <v>0</v>
      </c>
      <c r="AP135" s="38">
        <f t="shared" si="131"/>
      </c>
    </row>
    <row customHeight="true" ht="16.071428571428573" r="136">
      <c r="A136" s="22"/>
      <c r="B136" s="40" t="s">
        <v>52</v>
      </c>
      <c r="C136" s="40"/>
      <c r="D136" s="81">
        <f>SUM(D133:D135)</f>
      </c>
      <c r="E136" s="42">
        <f>SUM(E133:E135)</f>
      </c>
      <c r="F136" s="42">
        <f>SUM(F133:F135)</f>
      </c>
      <c r="G136" s="41">
        <f>SUM(G133:G135)</f>
      </c>
      <c r="H136" s="42">
        <f>SUM(H133:H135)</f>
      </c>
      <c r="I136" s="41">
        <f>SUM(I133:I135)</f>
      </c>
      <c r="J136" s="43">
        <f>SUM(J133:J135)</f>
      </c>
      <c r="K136" s="41">
        <f>SUM(K133:K135)</f>
      </c>
      <c r="L136" s="41">
        <f t="shared" si="0"/>
      </c>
      <c r="M136" s="41">
        <f t="shared" si="100"/>
      </c>
      <c r="N136" s="41">
        <f t="shared" si="132"/>
      </c>
      <c r="O136" s="44">
        <f t="shared" si="96"/>
      </c>
      <c r="P136" s="44">
        <f t="shared" si="98"/>
      </c>
      <c r="Q136" s="45">
        <f t="shared" ref="Q136:Q137" si="47">D136/AH136</f>
      </c>
      <c r="R136" s="76">
        <f t="shared" ref="R136:R137" si="79">D136/AI136</f>
      </c>
      <c r="S136" s="46">
        <f t="shared" ref="S136:S137" si="209">D136/AJ136</f>
      </c>
      <c r="T136" s="47">
        <f t="shared" ref="T136:T137" si="16">AI136/AH136</f>
      </c>
      <c r="U136" s="47">
        <f t="shared" ref="U136:U137" si="30">AJ136/AI136</f>
      </c>
      <c r="V136" s="47">
        <f t="shared" si="101"/>
      </c>
      <c r="W136" s="47">
        <f t="shared" si="133"/>
      </c>
      <c r="X136" s="46">
        <f t="shared" si="97"/>
      </c>
      <c r="Y136" s="47">
        <f t="shared" si="99"/>
      </c>
      <c r="Z136" s="47">
        <f t="shared" ref="Z136:Z137" si="63">AK136/AH136</f>
      </c>
      <c r="AA136" s="47">
        <f t="shared" ref="AA136:AA137" si="95">AL136/AH136</f>
      </c>
      <c r="AB136" s="47">
        <f t="shared" ref="AB136:AB137" si="225">AM136/AH136</f>
      </c>
      <c r="AC136" s="47">
        <f t="shared" si="31"/>
      </c>
      <c r="AD136" s="48"/>
      <c r="AE136" s="50"/>
      <c r="AF136" s="51">
        <f>SUM(AF133:AF135)</f>
      </c>
      <c r="AG136" s="51">
        <f>SUM(AG133:AG135)</f>
      </c>
      <c r="AH136" s="57">
        <f>SUM(AH133:AH135)</f>
      </c>
      <c r="AI136" s="51">
        <f>SUM(AI133:AI135)</f>
      </c>
      <c r="AJ136" s="51">
        <f>SUM(AJ133:AJ135)</f>
      </c>
      <c r="AK136" s="51">
        <f>SUM(AK133:AK135)</f>
      </c>
      <c r="AL136" s="51">
        <f>SUM(AL133:AL135)</f>
      </c>
      <c r="AM136" s="51">
        <f>SUM(AM133:AM135)</f>
      </c>
      <c r="AN136" s="51">
        <f>SUM(AN133:AN135)</f>
      </c>
      <c r="AO136" s="51">
        <f>SUM(AO133:AO135)</f>
      </c>
      <c r="AP136" s="51">
        <f>SUM(AP133:AP135)</f>
      </c>
    </row>
    <row customHeight="true" ht="16.071428571428573" r="137">
      <c r="A137" s="22"/>
      <c r="B137" s="58" t="s">
        <v>57</v>
      </c>
      <c r="C137" s="58"/>
      <c r="D137" s="82">
        <f>D136+D132</f>
      </c>
      <c r="E137" s="60">
        <f>E136+E132</f>
      </c>
      <c r="F137" s="60">
        <f>F136+F132</f>
      </c>
      <c r="G137" s="59">
        <f>G136+G132</f>
      </c>
      <c r="H137" s="60">
        <f>H136+H132</f>
      </c>
      <c r="I137" s="59">
        <f>I136+I132</f>
      </c>
      <c r="J137" s="61">
        <f>J136+J132</f>
      </c>
      <c r="K137" s="59">
        <f>K136+K132</f>
      </c>
      <c r="L137" s="59">
        <f t="shared" si="0"/>
      </c>
      <c r="M137" s="59">
        <f t="shared" si="100"/>
      </c>
      <c r="N137" s="59">
        <f t="shared" si="132"/>
      </c>
      <c r="O137" s="62">
        <f t="shared" si="96"/>
      </c>
      <c r="P137" s="62">
        <f t="shared" si="98"/>
      </c>
      <c r="Q137" s="63">
        <f t="shared" si="47"/>
      </c>
      <c r="R137" s="77">
        <f t="shared" si="79"/>
      </c>
      <c r="S137" s="64">
        <f t="shared" si="209"/>
      </c>
      <c r="T137" s="65">
        <f t="shared" si="16"/>
      </c>
      <c r="U137" s="65">
        <f t="shared" si="30"/>
      </c>
      <c r="V137" s="65">
        <f t="shared" si="101"/>
      </c>
      <c r="W137" s="65">
        <f t="shared" si="133"/>
      </c>
      <c r="X137" s="64">
        <f t="shared" si="97"/>
      </c>
      <c r="Y137" s="65">
        <f t="shared" si="99"/>
      </c>
      <c r="Z137" s="78">
        <f t="shared" si="63"/>
      </c>
      <c r="AA137" s="78">
        <f t="shared" si="95"/>
      </c>
      <c r="AB137" s="78">
        <f t="shared" si="225"/>
      </c>
      <c r="AC137" s="78">
        <f t="shared" si="31"/>
      </c>
      <c r="AD137" s="79"/>
      <c r="AE137" s="68"/>
      <c r="AF137" s="69">
        <f>AF136+AF132</f>
      </c>
      <c r="AG137" s="69">
        <f>AG136+AG132</f>
      </c>
      <c r="AH137" s="69">
        <f>AH136+AH132</f>
      </c>
      <c r="AI137" s="69">
        <f>AI136+AI132</f>
      </c>
      <c r="AJ137" s="69">
        <f>AJ136+AJ132</f>
      </c>
      <c r="AK137" s="69">
        <f>AK136+AK132</f>
      </c>
      <c r="AL137" s="69">
        <f>AL136+AL132</f>
      </c>
      <c r="AM137" s="69">
        <f>AM136+AM132</f>
      </c>
      <c r="AN137" s="69">
        <f>AN136+AN132</f>
      </c>
      <c r="AO137" s="69">
        <f>AO136+AO132</f>
      </c>
      <c r="AP137" s="69">
        <f>AP136+AP132</f>
      </c>
    </row>
    <row r="138">
      <c r="B138" s="83"/>
      <c r="C138" s="83"/>
      <c r="F138">
        <f>F139-F137</f>
      </c>
      <c r="G138">
        <f>G139-G137</f>
      </c>
      <c r="H138">
        <f>H139-H137</f>
      </c>
      <c r="I138">
        <f>I139-I137</f>
      </c>
      <c r="J138" s="83"/>
      <c r="K138" s="83"/>
      <c r="L138" s="83"/>
      <c r="M138" s="83"/>
      <c r="N138" s="83"/>
      <c r="O138" s="83"/>
      <c r="P138" s="83"/>
      <c r="Q138" s="83"/>
      <c r="R138" s="83"/>
      <c r="S138" s="83"/>
      <c r="T138" s="83"/>
      <c r="U138" s="83"/>
      <c r="V138" s="83"/>
      <c r="W138" s="83"/>
      <c r="X138" s="83"/>
      <c r="Y138" s="84"/>
      <c r="Z138" s="83"/>
      <c r="AA138" s="83"/>
      <c r="AB138" s="83"/>
      <c r="AC138" s="83"/>
    </row>
    <row r="139">
      <c r="E139" s="85"/>
      <c r="F139" s="85" cm="1">
        <f t="array" ref="F139:F139">IMPORTRANGE("https://meimeiwangluo.feishu.cn/sheets/Rz47sTH40hQ0WdtUXVnc7Nb2nRf","'快手'!J130")</f>
      </c>
      <c r="G139" s="85" cm="1">
        <f t="array" ref="G139:G139">IMPORTRANGE("https://meimeiwangluo.feishu.cn/sheets/Rz47sTH40hQ0WdtUXVnc7Nb2nRf","'快手'!J128")</f>
      </c>
      <c r="H139" s="85" cm="1">
        <f t="array" ref="H139:H139">IMPORTRANGE("https://meimeiwangluo.feishu.cn/sheets/Rz47sTH40hQ0WdtUXVnc7Nb2nRf","'快手'!K130")</f>
      </c>
      <c r="I139" s="86" cm="1">
        <f t="array" ref="I139:I139">IMPORTRANGE("https://meimeiwangluo.feishu.cn/sheets/Rz47sTH40hQ0WdtUXVnc7Nb2nRf","'快手'!K128")</f>
      </c>
      <c r="Y139" s="84"/>
    </row>
    <row r="140">
      <c r="Y140" s="84"/>
    </row>
    <row r="141">
      <c r="Y141" s="84"/>
    </row>
    <row r="142">
      <c r="Y142" s="84"/>
    </row>
    <row r="143">
      <c r="B143" s="87"/>
      <c r="Y143" s="84"/>
    </row>
    <row r="144">
      <c r="Y144" s="84"/>
    </row>
    <row r="145">
      <c r="Y145" s="84"/>
    </row>
    <row r="146">
      <c r="Y146" s="84"/>
    </row>
    <row r="147">
      <c r="Y147" s="84"/>
    </row>
    <row r="148">
      <c r="Y148" s="84"/>
    </row>
    <row r="149">
      <c r="Y149" s="84"/>
    </row>
    <row r="150">
      <c r="Y150" s="84"/>
    </row>
    <row r="151">
      <c r="Y151" s="84"/>
    </row>
    <row r="152">
      <c r="Y152" s="84"/>
    </row>
    <row r="153">
      <c r="Y153" s="84"/>
    </row>
    <row r="154">
      <c r="Y154" s="84"/>
    </row>
    <row r="155">
      <c r="Y155" s="84"/>
    </row>
    <row r="156">
      <c r="Y156" s="84"/>
    </row>
    <row r="157">
      <c r="Y157" s="84"/>
    </row>
    <row r="158">
      <c r="Y158" s="84"/>
    </row>
    <row r="159">
      <c r="Y159" s="84"/>
    </row>
    <row r="160">
      <c r="Y160" s="84"/>
    </row>
    <row r="161">
      <c r="Y161" s="84"/>
    </row>
    <row r="162">
      <c r="Y162" s="84"/>
    </row>
    <row r="163">
      <c r="Y163" s="84"/>
    </row>
    <row r="164">
      <c r="Y164" s="84"/>
    </row>
    <row r="165">
      <c r="Y165" s="84"/>
    </row>
    <row r="166">
      <c r="Y166" s="84"/>
    </row>
    <row r="167">
      <c r="Y167" s="84"/>
    </row>
    <row r="168">
      <c r="Y168" s="84"/>
    </row>
    <row r="169">
      <c r="Y169" s="84"/>
    </row>
    <row r="170">
      <c r="Y170" s="84"/>
    </row>
    <row r="171">
      <c r="Y171" s="84"/>
    </row>
    <row r="172">
      <c r="Y172" s="84"/>
    </row>
    <row r="173">
      <c r="Y173" s="84"/>
    </row>
    <row r="174">
      <c r="Y174" s="84"/>
    </row>
    <row r="175">
      <c r="Y175" s="84"/>
    </row>
    <row r="176">
      <c r="Y176" s="84"/>
    </row>
    <row r="177">
      <c r="Y177" s="84"/>
    </row>
    <row r="178">
      <c r="Y178" s="84"/>
    </row>
    <row r="179">
      <c r="Y179" s="84"/>
    </row>
    <row r="180">
      <c r="Y180" s="84"/>
    </row>
    <row r="181">
      <c r="Y181" s="84"/>
    </row>
    <row r="182">
      <c r="Y182" s="84"/>
    </row>
    <row r="183">
      <c r="Y183" s="84"/>
    </row>
    <row r="184">
      <c r="Y184" s="84"/>
    </row>
    <row r="185">
      <c r="Y185" s="84"/>
    </row>
    <row r="186">
      <c r="Y186" s="84"/>
    </row>
    <row r="187">
      <c r="Y187" s="84"/>
    </row>
    <row r="188">
      <c r="Y188" s="84"/>
    </row>
    <row r="189">
      <c r="Y189" s="84"/>
    </row>
    <row r="190">
      <c r="Y190" s="84"/>
    </row>
    <row r="191">
      <c r="Y191" s="84"/>
    </row>
    <row r="192">
      <c r="Y192" s="84"/>
    </row>
    <row r="193">
      <c r="Y193" s="84"/>
    </row>
    <row r="194">
      <c r="Y194" s="84"/>
    </row>
    <row r="195">
      <c r="Y195" s="84"/>
    </row>
    <row r="196">
      <c r="Y196" s="84"/>
    </row>
    <row r="197">
      <c r="Y197" s="84"/>
    </row>
    <row r="198">
      <c r="Y198" s="84"/>
    </row>
    <row r="199">
      <c r="Y199" s="84"/>
    </row>
    <row r="200">
      <c r="Y200" s="84"/>
    </row>
    <row r="201">
      <c r="Y201" s="84"/>
    </row>
    <row r="202">
      <c r="Y202" s="84"/>
    </row>
    <row r="203">
      <c r="Y203" s="84"/>
    </row>
    <row r="204">
      <c r="Y204" s="84"/>
    </row>
    <row r="205">
      <c r="Y205" s="84"/>
    </row>
    <row r="206">
      <c r="Y206" s="84"/>
    </row>
    <row r="207">
      <c r="Y207" s="84"/>
    </row>
    <row r="208">
      <c r="Y208" s="84"/>
    </row>
    <row r="209">
      <c r="Y209" s="84"/>
    </row>
    <row r="210">
      <c r="Y210" s="84"/>
    </row>
    <row r="211">
      <c r="Y211" s="84"/>
    </row>
    <row r="212">
      <c r="Y212" s="84"/>
    </row>
    <row r="213">
      <c r="Y213" s="84"/>
    </row>
    <row r="214">
      <c r="Y214" s="84"/>
    </row>
    <row r="215">
      <c r="Y215" s="84"/>
    </row>
    <row r="216">
      <c r="Y216" s="84"/>
    </row>
    <row r="217">
      <c r="Y217" s="84"/>
    </row>
    <row r="218">
      <c r="Y218" s="84"/>
    </row>
    <row r="219">
      <c r="Y219" s="84"/>
    </row>
    <row r="220">
      <c r="Y220" s="84"/>
    </row>
    <row r="221">
      <c r="Y221" s="84"/>
    </row>
    <row r="222">
      <c r="Y222" s="84"/>
    </row>
    <row r="223">
      <c r="Y223" s="84"/>
    </row>
    <row r="224">
      <c r="Y224" s="84"/>
    </row>
    <row r="225">
      <c r="Y225" s="84"/>
    </row>
    <row r="226">
      <c r="Y226" s="84"/>
    </row>
    <row r="227">
      <c r="Y227" s="84"/>
    </row>
    <row r="228">
      <c r="Y228" s="84"/>
    </row>
    <row r="229">
      <c r="Y229" s="84"/>
    </row>
    <row r="230">
      <c r="Y230" s="84"/>
    </row>
    <row r="231">
      <c r="Y231" s="84"/>
    </row>
    <row r="232">
      <c r="Y232" s="84"/>
    </row>
    <row r="233">
      <c r="Y233" s="84"/>
    </row>
    <row r="234">
      <c r="Y234" s="84"/>
    </row>
    <row r="235">
      <c r="Y235" s="84"/>
    </row>
    <row r="236">
      <c r="Y236" s="84"/>
    </row>
    <row r="237">
      <c r="Y237" s="84"/>
    </row>
    <row r="238">
      <c r="Y238" s="84"/>
    </row>
    <row r="239">
      <c r="Y239" s="84"/>
    </row>
    <row r="240">
      <c r="Y240" s="84"/>
    </row>
    <row r="241">
      <c r="Y241" s="84"/>
    </row>
    <row r="242">
      <c r="Y242" s="84"/>
    </row>
    <row r="243">
      <c r="Y243" s="84"/>
    </row>
    <row r="244">
      <c r="Y244" s="84"/>
    </row>
    <row r="245">
      <c r="Y245" s="84"/>
    </row>
    <row r="246">
      <c r="Y246" s="84"/>
    </row>
    <row r="247">
      <c r="Y247" s="84"/>
    </row>
    <row r="248">
      <c r="Y248" s="84"/>
    </row>
    <row r="249">
      <c r="Y249" s="84"/>
    </row>
    <row r="250">
      <c r="Y250" s="84"/>
    </row>
    <row r="251">
      <c r="Y251" s="84"/>
    </row>
    <row r="252">
      <c r="Y252" s="84"/>
    </row>
    <row r="253">
      <c r="Y253" s="84"/>
    </row>
    <row r="254">
      <c r="Y254" s="84"/>
    </row>
    <row r="255">
      <c r="Y255" s="84"/>
    </row>
    <row r="256">
      <c r="Y256" s="84"/>
    </row>
    <row r="257">
      <c r="Y257" s="84"/>
    </row>
    <row r="258">
      <c r="Y258" s="84"/>
    </row>
    <row r="259">
      <c r="Y259" s="84"/>
    </row>
    <row r="260">
      <c r="Y260" s="84"/>
    </row>
    <row r="261">
      <c r="Y261" s="84"/>
    </row>
    <row r="262">
      <c r="Y262" s="84"/>
    </row>
    <row r="263">
      <c r="Y263" s="84"/>
    </row>
    <row r="264">
      <c r="Y264" s="84"/>
    </row>
    <row r="265">
      <c r="Y265" s="84"/>
    </row>
    <row r="266">
      <c r="Y266" s="84"/>
    </row>
    <row r="267">
      <c r="Y267" s="84"/>
    </row>
    <row r="268">
      <c r="Y268" s="84"/>
    </row>
    <row r="269">
      <c r="Y269" s="84"/>
    </row>
    <row r="270">
      <c r="Y270" s="84"/>
    </row>
    <row r="271">
      <c r="Y271" s="84"/>
    </row>
    <row r="272">
      <c r="Y272" s="84"/>
    </row>
  </sheetData>
  <autoFilter ref="A1:A272">
    <filterColumn colId="0">
      <filters blank="true">
        <dateGroupItem dateTimeGrouping="year" year="2026"/>
      </filters>
    </filterColumn>
  </autoFilter>
  <mergeCells>
    <mergeCell ref="B137:C137"/>
    <mergeCell ref="B136:C136"/>
    <mergeCell ref="B132:C132"/>
    <mergeCell ref="A129:A137"/>
    <mergeCell ref="B128:C128"/>
    <mergeCell ref="B127:C127"/>
    <mergeCell ref="B123:C123"/>
    <mergeCell ref="A120:A128"/>
    <mergeCell ref="B119:C119"/>
    <mergeCell ref="B118:C118"/>
    <mergeCell ref="B114:C114"/>
    <mergeCell ref="A111:A119"/>
    <mergeCell ref="A75:A83"/>
    <mergeCell ref="B79:C79"/>
    <mergeCell ref="B82:C82"/>
    <mergeCell ref="B83:C83"/>
    <mergeCell ref="B74:C74"/>
    <mergeCell ref="B73:C73"/>
    <mergeCell ref="B69:C69"/>
    <mergeCell ref="A66:A74"/>
    <mergeCell ref="B65:C65"/>
    <mergeCell ref="B64:C64"/>
    <mergeCell ref="B60:C60"/>
    <mergeCell ref="A57:A65"/>
    <mergeCell ref="B56:C56"/>
    <mergeCell ref="B55:C55"/>
    <mergeCell ref="B51:C51"/>
    <mergeCell ref="A48:A56"/>
    <mergeCell ref="B47:C47"/>
    <mergeCell ref="B46:C46"/>
    <mergeCell ref="B42:C42"/>
    <mergeCell ref="A39:A47"/>
    <mergeCell ref="B38:C38"/>
    <mergeCell ref="B37:C37"/>
    <mergeCell ref="B33:C33"/>
    <mergeCell ref="A30:A38"/>
    <mergeCell ref="B29:C29"/>
    <mergeCell ref="B28:C28"/>
    <mergeCell ref="B24:C24"/>
    <mergeCell ref="A21:A29"/>
    <mergeCell ref="B20:C20"/>
    <mergeCell ref="B19:C19"/>
    <mergeCell ref="B15:C15"/>
    <mergeCell ref="A12:A20"/>
    <mergeCell ref="A1:C1"/>
    <mergeCell ref="AD1:AE1"/>
    <mergeCell ref="Z1:AC1"/>
    <mergeCell ref="Q1:Y1"/>
    <mergeCell ref="D1:P1"/>
    <mergeCell ref="B11:C11"/>
    <mergeCell ref="B10:C10"/>
    <mergeCell ref="B6:C6"/>
    <mergeCell ref="A3:A11"/>
    <mergeCell ref="A84:A92"/>
    <mergeCell ref="B88:C88"/>
    <mergeCell ref="B91:C91"/>
    <mergeCell ref="B92:C92"/>
    <mergeCell ref="A93:A101"/>
    <mergeCell ref="B97:C97"/>
    <mergeCell ref="B100:C100"/>
    <mergeCell ref="B101:C101"/>
    <mergeCell ref="B105:C105"/>
    <mergeCell ref="A102:A110"/>
    <mergeCell ref="B109:C109"/>
    <mergeCell ref="B110:C110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7" min="17" style="0" width="11.211267605633802"/>
    <col collapsed="false" customWidth="true" hidden="false" max="28" min="28" style="0" width="11.211267605633802"/>
    <col collapsed="false" customWidth="true" hidden="false" max="32" min="32" style="0" width="11.211267605633802"/>
    <col collapsed="false" customWidth="true" hidden="false" max="33" min="33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8" min="18" style="0" width="11.211267605633802"/>
    <col collapsed="false" customWidth="true" hidden="false" max="21" min="21" style="0" width="11.211267605633802"/>
    <col collapsed="false" customWidth="true" hidden="false" max="25" min="25" style="0" width="11.211267605633802"/>
    <col collapsed="false" customWidth="true" hidden="false" max="29" min="29" style="0" width="11.211267605633802"/>
    <col collapsed="false" customWidth="true" hidden="false" max="42" min="4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9" min="19" style="0" width="11.211267605633802"/>
    <col collapsed="false" customWidth="true" hidden="false" max="22" min="22" style="0" width="11.211267605633802"/>
    <col collapsed="false" customWidth="true" hidden="false" max="23" min="23" style="0" width="11.211267605633802"/>
    <col collapsed="false" customWidth="true" hidden="false" max="26" min="26" style="0" width="11.211267605633802"/>
    <col collapsed="false" customWidth="true" hidden="false" max="30" min="30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27" min="27" style="0" width="11.211267605633802"/>
  </cols>
  <sheetData>
    <row r="1">
      <c r="A1" s="88"/>
      <c r="B1" s="88"/>
      <c r="C1" s="88"/>
      <c r="D1" s="89" t="s">
        <v>66</v>
      </c>
      <c r="E1" s="89"/>
      <c r="F1" s="89"/>
      <c r="G1" s="89"/>
      <c r="H1" s="89"/>
      <c r="I1" s="90"/>
      <c r="J1" s="89"/>
      <c r="K1" s="89"/>
      <c r="L1" s="89"/>
      <c r="M1" s="89"/>
      <c r="N1" s="89"/>
      <c r="O1" s="89"/>
      <c r="P1" s="89"/>
      <c r="Q1" s="91" t="s">
        <v>67</v>
      </c>
      <c r="R1" s="91"/>
      <c r="S1" s="91"/>
      <c r="T1" s="91"/>
      <c r="U1" s="91"/>
      <c r="V1" s="91"/>
      <c r="W1" s="91"/>
      <c r="X1" s="91"/>
      <c r="Y1" s="91"/>
      <c r="Z1" s="92" t="s">
        <v>68</v>
      </c>
      <c r="AA1" s="92"/>
      <c r="AB1" s="92"/>
      <c r="AC1" s="92"/>
      <c r="AD1" s="93"/>
      <c r="AE1" s="93"/>
      <c r="AF1" s="94"/>
      <c r="AG1" s="94"/>
      <c r="AH1" s="94"/>
      <c r="AI1" s="94"/>
      <c r="AJ1" s="94"/>
      <c r="AK1" s="94"/>
      <c r="AL1" s="94"/>
      <c r="AM1" s="94"/>
      <c r="AN1" s="95"/>
      <c r="AO1" s="94"/>
      <c r="AP1" s="94"/>
    </row>
    <row r="2">
      <c r="A2" s="96" t="s">
        <v>69</v>
      </c>
      <c r="B2" s="88" t="s">
        <v>70</v>
      </c>
      <c r="C2" s="97" t="s">
        <v>71</v>
      </c>
      <c r="D2" s="98" t="s">
        <v>72</v>
      </c>
      <c r="E2" s="99" t="s">
        <v>73</v>
      </c>
      <c r="F2" s="99" t="s">
        <v>74</v>
      </c>
      <c r="G2" s="99" t="s">
        <v>75</v>
      </c>
      <c r="H2" s="99" t="s">
        <v>76</v>
      </c>
      <c r="I2" s="100" t="s">
        <v>77</v>
      </c>
      <c r="J2" s="99" t="s">
        <v>78</v>
      </c>
      <c r="K2" s="101" t="s">
        <v>79</v>
      </c>
      <c r="L2" s="102" t="s">
        <v>80</v>
      </c>
      <c r="M2" s="101" t="s">
        <v>81</v>
      </c>
      <c r="N2" s="101" t="s">
        <v>82</v>
      </c>
      <c r="O2" s="101" t="s">
        <v>83</v>
      </c>
      <c r="P2" s="101" t="s">
        <v>84</v>
      </c>
      <c r="Q2" s="91" t="s">
        <v>85</v>
      </c>
      <c r="R2" s="91" t="s">
        <v>86</v>
      </c>
      <c r="S2" s="91" t="s">
        <v>87</v>
      </c>
      <c r="T2" s="91" t="s">
        <v>88</v>
      </c>
      <c r="U2" s="91" t="s">
        <v>89</v>
      </c>
      <c r="V2" s="91" t="s">
        <v>90</v>
      </c>
      <c r="W2" s="91" t="s">
        <v>91</v>
      </c>
      <c r="X2" s="91" t="s">
        <v>92</v>
      </c>
      <c r="Y2" s="91" t="s">
        <v>93</v>
      </c>
      <c r="Z2" s="103" t="s">
        <v>94</v>
      </c>
      <c r="AA2" s="103" t="s">
        <v>95</v>
      </c>
      <c r="AB2" s="103" t="s">
        <v>96</v>
      </c>
      <c r="AC2" s="103" t="s">
        <v>97</v>
      </c>
      <c r="AD2" s="104" t="s">
        <v>98</v>
      </c>
      <c r="AE2" s="104" t="s">
        <v>99</v>
      </c>
      <c r="AF2" s="105" t="s">
        <v>100</v>
      </c>
      <c r="AG2" s="105" t="s">
        <v>101</v>
      </c>
      <c r="AH2" s="105" t="s">
        <v>102</v>
      </c>
      <c r="AI2" s="106" t="s">
        <v>103</v>
      </c>
      <c r="AJ2" s="106" t="s">
        <v>104</v>
      </c>
      <c r="AK2" s="107" t="s">
        <v>105</v>
      </c>
      <c r="AL2" s="106" t="s">
        <v>106</v>
      </c>
      <c r="AM2" s="106" t="s">
        <v>107</v>
      </c>
      <c r="AN2" s="108" t="s">
        <v>108</v>
      </c>
      <c r="AO2" s="106" t="s">
        <v>109</v>
      </c>
      <c r="AP2" s="106" t="s">
        <v>110</v>
      </c>
    </row>
    <row r="3">
      <c r="A3" s="109">
        <v>46282</v>
      </c>
      <c r="B3" s="110" t="s">
        <v>111</v>
      </c>
      <c r="C3" s="106" t="s">
        <v>112</v>
      </c>
      <c r="D3" s="111">
        <v>254.29</v>
      </c>
      <c r="E3" s="112">
        <v>1</v>
      </c>
      <c r="F3" s="112">
        <v>0</v>
      </c>
      <c r="G3" s="112">
        <v>0</v>
      </c>
      <c r="H3" s="112">
        <v>1</v>
      </c>
      <c r="I3" s="112">
        <v>1414.8000000000002</v>
      </c>
      <c r="J3" s="113">
        <f>F3+H3</f>
      </c>
      <c r="K3" s="114">
        <f t="shared" ref="K3:K45" si="152">G3+I3</f>
      </c>
      <c r="L3" s="115" t="s">
        <v>113</v>
      </c>
      <c r="M3" s="116">
        <f t="shared" ref="M3:M46" si="172">K3/E3</f>
      </c>
      <c r="N3" s="116">
        <f t="shared" ref="N3:N126" si="182">D3/J3</f>
      </c>
      <c r="O3" s="117">
        <f t="shared" ref="O3:O126" si="187">K3/D3</f>
      </c>
      <c r="P3" s="117">
        <f t="shared" ref="P3:P126" si="3">K3/(D3+(AP3)*300)</f>
      </c>
      <c r="Q3" s="118">
        <f t="shared" ref="Q3:Q5" si="18">D3/AH3</f>
      </c>
      <c r="R3" s="116">
        <f t="shared" ref="R3:R5" si="46">D3/AI3</f>
      </c>
      <c r="S3" s="116">
        <f t="shared" ref="S3:S5" si="61">D3/AJ3</f>
      </c>
      <c r="T3" s="119">
        <f t="shared" ref="T3:T5" si="75">AI3/AH3</f>
      </c>
      <c r="U3" s="119">
        <f t="shared" ref="U3:U5" si="89">AJ3/AI3</f>
      </c>
      <c r="V3" s="120">
        <f t="shared" ref="V3:V120" si="103">AG3/AF3</f>
      </c>
      <c r="W3" s="120">
        <f t="shared" ref="W3:W120" si="170">AJ3/AG3</f>
      </c>
      <c r="X3" s="121">
        <f t="shared" ref="X3:X120" si="173">D3/AF3*1000</f>
      </c>
      <c r="Y3" s="120">
        <f t="shared" ref="Y3:Y120" si="183">D3/AG3</f>
      </c>
      <c r="Z3" s="120">
        <f t="shared" ref="Z3:Z115" si="0">AL3/AI3</f>
      </c>
      <c r="AA3" s="119">
        <f t="shared" ref="AA3:AA5" si="4">AL3/AH3</f>
      </c>
      <c r="AB3" s="119">
        <f t="shared" ref="AB3:AB5" si="32">AM3/AH3</f>
      </c>
      <c r="AC3" s="119">
        <f t="shared" ref="AC3:AC126" si="60">AN3/AH3</f>
      </c>
      <c r="AD3" s="122" t="s">
        <v>114</v>
      </c>
      <c r="AE3" s="110" t="s">
        <v>115</v>
      </c>
      <c r="AF3" s="123">
        <v>3912</v>
      </c>
      <c r="AG3" s="123">
        <v>192</v>
      </c>
      <c r="AH3" s="123">
        <v>11945</v>
      </c>
      <c r="AI3" s="123">
        <v>23</v>
      </c>
      <c r="AJ3" s="123">
        <v>1</v>
      </c>
      <c r="AK3" s="123">
        <v>476</v>
      </c>
      <c r="AL3" s="123">
        <v>3</v>
      </c>
      <c r="AM3" s="123">
        <v>3</v>
      </c>
      <c r="AN3" s="123">
        <v>1</v>
      </c>
      <c r="AO3" s="124">
        <v>0</v>
      </c>
      <c r="AP3" s="123">
        <f>COUNT(AO3)</f>
      </c>
    </row>
    <row r="4">
      <c r="A4" s="109"/>
      <c r="B4" s="125" t="s">
        <v>116</v>
      </c>
      <c r="C4" s="125"/>
      <c r="D4" s="126">
        <f>SUM(D3)</f>
      </c>
      <c r="E4" s="126">
        <f>SUM(E3)</f>
      </c>
      <c r="F4" s="126">
        <f>SUM(F3)</f>
      </c>
      <c r="G4" s="126">
        <f>SUM(G3)</f>
      </c>
      <c r="H4" s="126">
        <f>SUM(H3)</f>
      </c>
      <c r="I4" s="126">
        <f>SUM(I3)</f>
      </c>
      <c r="J4" s="126">
        <f>SUM(J3)</f>
      </c>
      <c r="K4" s="126">
        <f t="shared" si="152"/>
      </c>
      <c r="L4" s="126">
        <f t="shared" ref="L4:L126" si="175">D4/AJ4</f>
      </c>
      <c r="M4" s="127">
        <f t="shared" si="172"/>
      </c>
      <c r="N4" s="127">
        <f t="shared" si="182"/>
      </c>
      <c r="O4" s="128">
        <f t="shared" si="187"/>
      </c>
      <c r="P4" s="128">
        <f t="shared" si="3"/>
      </c>
      <c r="Q4" s="129">
        <f t="shared" si="18"/>
      </c>
      <c r="R4" s="127">
        <f t="shared" si="46"/>
      </c>
      <c r="S4" s="127">
        <f t="shared" si="61"/>
      </c>
      <c r="T4" s="130">
        <f t="shared" si="75"/>
      </c>
      <c r="U4" s="130">
        <f t="shared" si="89"/>
      </c>
      <c r="V4" s="131">
        <f t="shared" si="103"/>
      </c>
      <c r="W4" s="131">
        <f t="shared" si="170"/>
      </c>
      <c r="X4" s="132">
        <f t="shared" si="173"/>
      </c>
      <c r="Y4" s="131">
        <f t="shared" si="183"/>
      </c>
      <c r="Z4" s="133">
        <f t="shared" si="0"/>
      </c>
      <c r="AA4" s="130">
        <f t="shared" si="4"/>
      </c>
      <c r="AB4" s="130">
        <f t="shared" si="32"/>
      </c>
      <c r="AC4" s="130">
        <f t="shared" si="60"/>
      </c>
      <c r="AD4" s="130"/>
      <c r="AE4" s="134"/>
      <c r="AF4" s="126">
        <f>SUM(AF3)</f>
      </c>
      <c r="AG4" s="126">
        <f>SUM(AG3)</f>
      </c>
      <c r="AH4" s="126">
        <f>SUM(AH3)</f>
      </c>
      <c r="AI4" s="126">
        <f>SUM(AI3)</f>
      </c>
      <c r="AJ4" s="126">
        <f>SUM(AJ3)</f>
      </c>
      <c r="AK4" s="126">
        <f>SUM(AK3)</f>
      </c>
      <c r="AL4" s="126">
        <f>SUM(AL3)</f>
      </c>
      <c r="AM4" s="126">
        <f>SUM(AM3)</f>
      </c>
      <c r="AN4" s="126">
        <f>SUM(AN3)</f>
      </c>
      <c r="AO4" s="126">
        <f>SUM(AO3)</f>
      </c>
      <c r="AP4" s="126">
        <f>SUM(AP3)</f>
      </c>
    </row>
    <row r="5">
      <c r="A5" s="109"/>
      <c r="B5" s="110" t="s">
        <v>117</v>
      </c>
      <c r="C5" s="108" t="s">
        <v>118</v>
      </c>
      <c r="D5" s="135">
        <v>1946.698</v>
      </c>
      <c r="E5" s="113">
        <v>2</v>
      </c>
      <c r="F5" s="113">
        <v>0</v>
      </c>
      <c r="G5" s="113">
        <v>0</v>
      </c>
      <c r="H5" s="113">
        <v>0</v>
      </c>
      <c r="I5" s="113">
        <v>0</v>
      </c>
      <c r="J5" s="113">
        <f t="shared" ref="J5:J6" si="126">F5+H5</f>
      </c>
      <c r="K5" s="114">
        <f t="shared" si="152"/>
      </c>
      <c r="L5" s="114">
        <f t="shared" si="175"/>
      </c>
      <c r="M5" s="116">
        <f t="shared" si="172"/>
      </c>
      <c r="N5" s="116">
        <f t="shared" si="182"/>
      </c>
      <c r="O5" s="117">
        <f t="shared" si="187"/>
      </c>
      <c r="P5" s="117">
        <f t="shared" si="3"/>
      </c>
      <c r="Q5" s="118">
        <f t="shared" si="18"/>
      </c>
      <c r="R5" s="116">
        <f t="shared" si="46"/>
      </c>
      <c r="S5" s="116">
        <f t="shared" si="61"/>
      </c>
      <c r="T5" s="119">
        <f t="shared" si="75"/>
      </c>
      <c r="U5" s="119">
        <f t="shared" si="89"/>
      </c>
      <c r="V5" s="120">
        <f t="shared" si="103"/>
      </c>
      <c r="W5" s="120">
        <f t="shared" si="170"/>
      </c>
      <c r="X5" s="121">
        <f t="shared" si="173"/>
      </c>
      <c r="Y5" s="120">
        <f t="shared" si="183"/>
      </c>
      <c r="Z5" s="120">
        <f t="shared" si="0"/>
      </c>
      <c r="AA5" s="119">
        <f t="shared" si="4"/>
      </c>
      <c r="AB5" s="119">
        <f t="shared" si="32"/>
      </c>
      <c r="AC5" s="119">
        <f t="shared" si="60"/>
      </c>
      <c r="AD5" s="122" t="s">
        <v>114</v>
      </c>
      <c r="AE5" s="110" t="s">
        <v>115</v>
      </c>
      <c r="AF5" s="136">
        <v>40515</v>
      </c>
      <c r="AG5" s="136">
        <v>1960</v>
      </c>
      <c r="AH5" s="137">
        <v>116895</v>
      </c>
      <c r="AI5" s="123">
        <v>203</v>
      </c>
      <c r="AJ5" s="123">
        <v>0</v>
      </c>
      <c r="AK5" s="136">
        <v>4931</v>
      </c>
      <c r="AL5" s="123">
        <v>37</v>
      </c>
      <c r="AM5" s="123">
        <v>16</v>
      </c>
      <c r="AN5" s="123">
        <v>3</v>
      </c>
      <c r="AO5" s="124">
        <v>0</v>
      </c>
      <c r="AP5" s="123">
        <f t="shared" ref="AP5:AP6" si="105">COUNT(AO5)</f>
      </c>
    </row>
    <row customHeight="true" ht="16.071428571428573" r="6">
      <c r="A6" s="109"/>
      <c r="B6" s="110" t="s">
        <v>117</v>
      </c>
      <c r="C6" s="108" t="s">
        <v>119</v>
      </c>
      <c r="D6" s="135">
        <v>1231.087</v>
      </c>
      <c r="E6" s="113">
        <v>1</v>
      </c>
      <c r="F6" s="113">
        <v>0</v>
      </c>
      <c r="G6" s="113">
        <v>0</v>
      </c>
      <c r="H6" s="113">
        <v>1</v>
      </c>
      <c r="I6" s="113">
        <v>1414.8000000000002</v>
      </c>
      <c r="J6" s="113">
        <f t="shared" si="126"/>
      </c>
      <c r="K6" s="114">
        <f t="shared" si="152"/>
      </c>
      <c r="L6" s="114">
        <f t="shared" si="175"/>
      </c>
      <c r="M6" s="116">
        <f t="shared" si="172"/>
      </c>
      <c r="N6" s="116">
        <f t="shared" si="182"/>
      </c>
      <c r="O6" s="117">
        <f t="shared" si="187"/>
      </c>
      <c r="P6" s="117">
        <f t="shared" si="3"/>
      </c>
      <c r="Q6" s="118">
        <f>D6/AI6</f>
      </c>
      <c r="R6" s="116">
        <f>D6/AJ6</f>
      </c>
      <c r="S6" s="116">
        <f>D6/AK6</f>
      </c>
      <c r="T6" s="119">
        <f>AJ6/AI6</f>
      </c>
      <c r="U6" s="119">
        <f>AK6/AJ6</f>
      </c>
      <c r="V6" s="120">
        <f t="shared" si="103"/>
      </c>
      <c r="W6" s="120">
        <f t="shared" si="170"/>
      </c>
      <c r="X6" s="121">
        <f t="shared" si="173"/>
      </c>
      <c r="Y6" s="120">
        <f t="shared" si="183"/>
      </c>
      <c r="Z6" s="120">
        <f t="shared" si="0"/>
      </c>
      <c r="AA6" s="119">
        <f>AM6/AI6</f>
      </c>
      <c r="AB6" s="119">
        <f>AN6/AI6</f>
      </c>
      <c r="AC6" s="119">
        <f t="shared" si="60"/>
      </c>
      <c r="AD6" s="122" t="s">
        <v>114</v>
      </c>
      <c r="AE6" s="110" t="s">
        <v>115</v>
      </c>
      <c r="AF6" s="123">
        <v>29908</v>
      </c>
      <c r="AG6" s="138">
        <v>1293</v>
      </c>
      <c r="AH6" s="139">
        <v>79365</v>
      </c>
      <c r="AI6" s="140">
        <v>136</v>
      </c>
      <c r="AJ6" s="141">
        <v>0</v>
      </c>
      <c r="AK6" s="141">
        <v>3363</v>
      </c>
      <c r="AL6" s="141">
        <v>17</v>
      </c>
      <c r="AM6" s="141">
        <v>10</v>
      </c>
      <c r="AN6" s="141">
        <v>1</v>
      </c>
      <c r="AO6" s="124">
        <v>0</v>
      </c>
      <c r="AP6" s="123">
        <f t="shared" si="105"/>
      </c>
    </row>
    <row r="7">
      <c r="A7" s="109"/>
      <c r="B7" s="125" t="s">
        <v>116</v>
      </c>
      <c r="C7" s="125"/>
      <c r="D7" s="126">
        <f>SUM(D5:D6)</f>
      </c>
      <c r="E7" s="126">
        <f>SUM(E5:E6)</f>
      </c>
      <c r="F7" s="126">
        <f>SUM(F5:F6)</f>
      </c>
      <c r="G7" s="126">
        <f>SUM(G5:G6)</f>
      </c>
      <c r="H7" s="126">
        <f>SUM(H5:H6)</f>
      </c>
      <c r="I7" s="126">
        <f>SUM(I5:I6)</f>
      </c>
      <c r="J7" s="126">
        <f>SUM(J5:J6)</f>
      </c>
      <c r="K7" s="126">
        <f t="shared" si="152"/>
      </c>
      <c r="L7" s="126">
        <f t="shared" si="175"/>
      </c>
      <c r="M7" s="127">
        <f t="shared" si="172"/>
      </c>
      <c r="N7" s="127">
        <f t="shared" si="182"/>
      </c>
      <c r="O7" s="128">
        <f t="shared" si="187"/>
      </c>
      <c r="P7" s="128">
        <f t="shared" si="3"/>
      </c>
      <c r="Q7" s="129">
        <f t="shared" ref="Q7:Q16" si="19">D7/AH7</f>
      </c>
      <c r="R7" s="127">
        <f t="shared" ref="R7:R16" si="47">D7/AI7</f>
      </c>
      <c r="S7" s="127">
        <f t="shared" ref="S7:S16" si="62">D7/AJ7</f>
      </c>
      <c r="T7" s="130">
        <f t="shared" ref="T7:T16" si="76">AI7/AH7</f>
      </c>
      <c r="U7" s="130">
        <f t="shared" ref="U7:U16" si="90">AJ7/AI7</f>
      </c>
      <c r="V7" s="131">
        <f t="shared" si="103"/>
      </c>
      <c r="W7" s="131">
        <f t="shared" si="170"/>
      </c>
      <c r="X7" s="132">
        <f t="shared" si="173"/>
      </c>
      <c r="Y7" s="131">
        <f t="shared" si="183"/>
      </c>
      <c r="Z7" s="133">
        <f t="shared" si="0"/>
      </c>
      <c r="AA7" s="130">
        <f t="shared" ref="AA7:AA16" si="5">AL7/AH7</f>
      </c>
      <c r="AB7" s="130">
        <f t="shared" ref="AB7:AB16" si="33">AM7/AH7</f>
      </c>
      <c r="AC7" s="130">
        <f t="shared" si="60"/>
      </c>
      <c r="AD7" s="130"/>
      <c r="AE7" s="134"/>
      <c r="AF7" s="126">
        <f>SUM(AF5:AF6)</f>
      </c>
      <c r="AG7" s="126">
        <f>SUM(AG5:AG6)</f>
      </c>
      <c r="AH7" s="142">
        <f>SUM(AH5:AH6)</f>
      </c>
      <c r="AI7" s="126">
        <f>SUM(AI5:AI6)</f>
      </c>
      <c r="AJ7" s="126">
        <f>SUM(AJ5:AJ6)</f>
      </c>
      <c r="AK7" s="126">
        <f>SUM(AK5:AK6)</f>
      </c>
      <c r="AL7" s="126">
        <f>SUM(AL5:AL6)</f>
      </c>
      <c r="AM7" s="126">
        <f>SUM(AM5:AM6)</f>
      </c>
      <c r="AN7" s="126">
        <f>SUM(AN5:AN6)</f>
      </c>
      <c r="AO7" s="126">
        <f>SUM(AO5:AO6)</f>
      </c>
      <c r="AP7" s="126">
        <f>SUM(AP5:AP6)</f>
      </c>
    </row>
    <row customHeight="true" ht="16.071428571428573" r="8">
      <c r="A8" s="109"/>
      <c r="B8" s="122" t="s">
        <v>120</v>
      </c>
      <c r="C8" s="143" t="s">
        <v>121</v>
      </c>
      <c r="D8" s="111">
        <v>140.111</v>
      </c>
      <c r="E8" s="112">
        <v>0</v>
      </c>
      <c r="F8" s="112">
        <v>0</v>
      </c>
      <c r="G8" s="112">
        <v>0</v>
      </c>
      <c r="H8" s="112">
        <v>0</v>
      </c>
      <c r="I8" s="112">
        <v>0</v>
      </c>
      <c r="J8" s="113">
        <f>F8+H8</f>
      </c>
      <c r="K8" s="114">
        <f t="shared" si="152"/>
      </c>
      <c r="L8" s="114">
        <f t="shared" si="175"/>
      </c>
      <c r="M8" s="116">
        <f t="shared" si="172"/>
      </c>
      <c r="N8" s="116">
        <f t="shared" si="182"/>
      </c>
      <c r="O8" s="117">
        <f t="shared" si="187"/>
      </c>
      <c r="P8" s="117">
        <f t="shared" si="3"/>
      </c>
      <c r="Q8" s="118">
        <f t="shared" si="19"/>
      </c>
      <c r="R8" s="116">
        <f t="shared" si="47"/>
      </c>
      <c r="S8" s="116">
        <f t="shared" si="62"/>
      </c>
      <c r="T8" s="119">
        <f t="shared" si="76"/>
      </c>
      <c r="U8" s="119">
        <f t="shared" si="90"/>
      </c>
      <c r="V8" s="120">
        <f t="shared" si="103"/>
      </c>
      <c r="W8" s="120">
        <f t="shared" si="170"/>
      </c>
      <c r="X8" s="121">
        <f t="shared" si="173"/>
      </c>
      <c r="Y8" s="120">
        <f t="shared" si="183"/>
      </c>
      <c r="Z8" s="120">
        <f t="shared" si="0"/>
      </c>
      <c r="AA8" s="119">
        <f t="shared" si="5"/>
      </c>
      <c r="AB8" s="119">
        <f t="shared" si="33"/>
      </c>
      <c r="AC8" s="119">
        <f t="shared" si="60"/>
      </c>
      <c r="AD8" s="122" t="s">
        <v>114</v>
      </c>
      <c r="AE8" s="110" t="s">
        <v>115</v>
      </c>
      <c r="AF8" s="123">
        <v>3404</v>
      </c>
      <c r="AG8" s="123">
        <v>172</v>
      </c>
      <c r="AH8" s="123">
        <v>8287</v>
      </c>
      <c r="AI8" s="123">
        <v>26</v>
      </c>
      <c r="AJ8" s="123">
        <v>0</v>
      </c>
      <c r="AK8" s="123">
        <v>368</v>
      </c>
      <c r="AL8" s="123">
        <v>5</v>
      </c>
      <c r="AM8" s="123">
        <v>4</v>
      </c>
      <c r="AN8" s="123">
        <v>2</v>
      </c>
      <c r="AO8" s="124">
        <v>0</v>
      </c>
      <c r="AP8" s="123">
        <f>COUNT(AO8)</f>
      </c>
    </row>
    <row customHeight="true" ht="16.071428571428573" r="9">
      <c r="A9" s="109"/>
      <c r="B9" s="125" t="s">
        <v>116</v>
      </c>
      <c r="C9" s="125"/>
      <c r="D9" s="126">
        <f>SUM(D8)</f>
      </c>
      <c r="E9" s="126">
        <f>SUM(E8)</f>
      </c>
      <c r="F9" s="126">
        <f>SUM(F8)</f>
      </c>
      <c r="G9" s="126">
        <f>SUM(G8)</f>
      </c>
      <c r="H9" s="126">
        <f>SUM(H8)</f>
      </c>
      <c r="I9" s="126">
        <f>SUM(I8)</f>
      </c>
      <c r="J9" s="126">
        <f>SUM(J8)</f>
      </c>
      <c r="K9" s="126">
        <f t="shared" si="152"/>
      </c>
      <c r="L9" s="126">
        <f t="shared" si="175"/>
      </c>
      <c r="M9" s="127">
        <f t="shared" si="172"/>
      </c>
      <c r="N9" s="127">
        <f t="shared" si="182"/>
      </c>
      <c r="O9" s="128">
        <f t="shared" si="187"/>
      </c>
      <c r="P9" s="128">
        <f t="shared" si="3"/>
      </c>
      <c r="Q9" s="129">
        <f t="shared" si="19"/>
      </c>
      <c r="R9" s="127">
        <f t="shared" si="47"/>
      </c>
      <c r="S9" s="127">
        <f t="shared" si="62"/>
      </c>
      <c r="T9" s="130">
        <f t="shared" si="76"/>
      </c>
      <c r="U9" s="130">
        <f t="shared" si="90"/>
      </c>
      <c r="V9" s="131">
        <f t="shared" si="103"/>
      </c>
      <c r="W9" s="131">
        <f t="shared" si="170"/>
      </c>
      <c r="X9" s="132">
        <f t="shared" si="173"/>
      </c>
      <c r="Y9" s="131">
        <f t="shared" si="183"/>
      </c>
      <c r="Z9" s="133">
        <f t="shared" si="0"/>
      </c>
      <c r="AA9" s="130">
        <f t="shared" si="5"/>
      </c>
      <c r="AB9" s="130">
        <f t="shared" si="33"/>
      </c>
      <c r="AC9" s="130">
        <f t="shared" si="60"/>
      </c>
      <c r="AD9" s="130"/>
      <c r="AE9" s="134"/>
      <c r="AF9" s="126">
        <f>SUM(AF8)</f>
      </c>
      <c r="AG9" s="126">
        <f>SUM(AG8)</f>
      </c>
      <c r="AH9" s="126">
        <f>SUM(AH8)</f>
      </c>
      <c r="AI9" s="126">
        <f>SUM(AI8)</f>
      </c>
      <c r="AJ9" s="126">
        <f>SUM(AJ8)</f>
      </c>
      <c r="AK9" s="126">
        <f>SUM(AK8)</f>
      </c>
      <c r="AL9" s="126">
        <f>SUM(AL8)</f>
      </c>
      <c r="AM9" s="126">
        <f>SUM(AM8)</f>
      </c>
      <c r="AN9" s="126">
        <f>SUM(AN8)</f>
      </c>
      <c r="AO9" s="126">
        <f>SUM(AO8)</f>
      </c>
      <c r="AP9" s="126">
        <f>SUM(AP8)</f>
      </c>
    </row>
    <row r="10">
      <c r="A10" s="109"/>
      <c r="B10" s="144" t="s">
        <v>122</v>
      </c>
      <c r="C10" s="144"/>
      <c r="D10" s="145">
        <f>D9+D7+D4</f>
      </c>
      <c r="E10" s="145">
        <f>E9+E7+E4</f>
      </c>
      <c r="F10" s="145">
        <f>F9+F7+F4</f>
      </c>
      <c r="G10" s="145">
        <f>G9+G7+G4</f>
      </c>
      <c r="H10" s="145">
        <f>H9+H7+H4</f>
      </c>
      <c r="I10" s="145">
        <f>I9+I7+I4</f>
      </c>
      <c r="J10" s="145">
        <f>J9+J7+J4</f>
      </c>
      <c r="K10" s="145">
        <f t="shared" si="152"/>
      </c>
      <c r="L10" s="145">
        <f t="shared" si="175"/>
      </c>
      <c r="M10" s="146">
        <f t="shared" si="172"/>
      </c>
      <c r="N10" s="146">
        <f t="shared" si="182"/>
      </c>
      <c r="O10" s="147">
        <f t="shared" si="187"/>
      </c>
      <c r="P10" s="147">
        <f t="shared" si="3"/>
      </c>
      <c r="Q10" s="148">
        <f t="shared" si="19"/>
      </c>
      <c r="R10" s="148">
        <f t="shared" si="47"/>
      </c>
      <c r="S10" s="149">
        <f t="shared" si="62"/>
      </c>
      <c r="T10" s="150">
        <f t="shared" si="76"/>
      </c>
      <c r="U10" s="150">
        <f t="shared" si="90"/>
      </c>
      <c r="V10" s="151">
        <f t="shared" si="103"/>
      </c>
      <c r="W10" s="151">
        <f t="shared" si="170"/>
      </c>
      <c r="X10" s="152">
        <f t="shared" si="173"/>
      </c>
      <c r="Y10" s="151">
        <f t="shared" si="183"/>
      </c>
      <c r="Z10" s="153">
        <f t="shared" si="0"/>
      </c>
      <c r="AA10" s="154">
        <f t="shared" si="5"/>
      </c>
      <c r="AB10" s="154">
        <f t="shared" si="33"/>
      </c>
      <c r="AC10" s="154">
        <f t="shared" si="60"/>
      </c>
      <c r="AD10" s="154"/>
      <c r="AE10" s="155"/>
      <c r="AF10" s="145">
        <f>AF9+AF7+AF4</f>
      </c>
      <c r="AG10" s="145">
        <f>AG9+AG7+AG4</f>
      </c>
      <c r="AH10" s="145">
        <f>AH9+AH7+AH4</f>
      </c>
      <c r="AI10" s="145">
        <f>AI9+AI7+AI4</f>
      </c>
      <c r="AJ10" s="145">
        <f>AJ9+AJ7+AJ4</f>
      </c>
      <c r="AK10" s="145">
        <f>AK9+AK7+AK4</f>
      </c>
      <c r="AL10" s="145">
        <f>AL9+AL7+AL4</f>
      </c>
      <c r="AM10" s="145">
        <f>AM9+AM7+AM4</f>
      </c>
      <c r="AN10" s="145">
        <f>AN9+AN7+AN4</f>
      </c>
      <c r="AO10" s="145">
        <f>AO9+AO7+AO4</f>
      </c>
      <c r="AP10" s="145">
        <f>AP9+AP7+AP4</f>
      </c>
    </row>
    <row customHeight="true" ht="16.071428571428573" r="11">
      <c r="A11" s="156">
        <v>46283</v>
      </c>
      <c r="B11" s="122" t="s">
        <v>123</v>
      </c>
      <c r="C11" s="106" t="s">
        <v>112</v>
      </c>
      <c r="D11" s="111">
        <v>369.755</v>
      </c>
      <c r="E11" s="157">
        <v>1</v>
      </c>
      <c r="F11" s="157">
        <v>0</v>
      </c>
      <c r="G11" s="112">
        <v>0</v>
      </c>
      <c r="H11" s="157">
        <v>1</v>
      </c>
      <c r="I11" s="112">
        <v>1088.4</v>
      </c>
      <c r="J11" s="113">
        <f t="shared" ref="J11:J13" si="127">F11+H11</f>
      </c>
      <c r="K11" s="114">
        <f t="shared" si="152"/>
      </c>
      <c r="L11" s="114">
        <f t="shared" si="175"/>
      </c>
      <c r="M11" s="116">
        <f t="shared" si="172"/>
      </c>
      <c r="N11" s="116">
        <f t="shared" si="182"/>
      </c>
      <c r="O11" s="117">
        <f t="shared" si="187"/>
      </c>
      <c r="P11" s="117">
        <f t="shared" si="3"/>
      </c>
      <c r="Q11" s="118">
        <f t="shared" si="19"/>
      </c>
      <c r="R11" s="116">
        <f t="shared" si="47"/>
      </c>
      <c r="S11" s="116">
        <f t="shared" si="62"/>
      </c>
      <c r="T11" s="119">
        <f t="shared" si="76"/>
      </c>
      <c r="U11" s="119">
        <f t="shared" si="90"/>
      </c>
      <c r="V11" s="120">
        <f t="shared" si="103"/>
      </c>
      <c r="W11" s="120">
        <f t="shared" si="170"/>
      </c>
      <c r="X11" s="121">
        <f t="shared" si="173"/>
      </c>
      <c r="Y11" s="120">
        <f t="shared" si="183"/>
      </c>
      <c r="Z11" s="120">
        <f t="shared" si="0"/>
      </c>
      <c r="AA11" s="119">
        <f t="shared" si="5"/>
      </c>
      <c r="AB11" s="119">
        <f t="shared" si="33"/>
      </c>
      <c r="AC11" s="119">
        <f t="shared" si="60"/>
      </c>
      <c r="AD11" s="122" t="s">
        <v>114</v>
      </c>
      <c r="AE11" s="110" t="s">
        <v>115</v>
      </c>
      <c r="AF11" s="123">
        <v>3136</v>
      </c>
      <c r="AG11" s="123">
        <v>171</v>
      </c>
      <c r="AH11" s="123">
        <v>8682</v>
      </c>
      <c r="AI11" s="123">
        <v>38</v>
      </c>
      <c r="AJ11" s="124">
        <v>1</v>
      </c>
      <c r="AK11" s="123">
        <v>577</v>
      </c>
      <c r="AL11" s="123">
        <v>5</v>
      </c>
      <c r="AM11" s="123">
        <v>2</v>
      </c>
      <c r="AN11" s="123">
        <v>0</v>
      </c>
      <c r="AO11" s="124">
        <v>0</v>
      </c>
      <c r="AP11" s="123">
        <f t="shared" ref="AP11:AP13" si="106">COUNT(AO11)</f>
      </c>
    </row>
    <row customHeight="true" ht="16.071428571428573" r="12">
      <c r="A12" s="156"/>
      <c r="B12" s="122" t="s">
        <v>123</v>
      </c>
      <c r="C12" s="106" t="s">
        <v>118</v>
      </c>
      <c r="D12" s="111">
        <v>303.392</v>
      </c>
      <c r="E12" s="157">
        <v>3</v>
      </c>
      <c r="F12" s="157">
        <v>0</v>
      </c>
      <c r="G12" s="112">
        <v>0</v>
      </c>
      <c r="H12" s="157">
        <v>2</v>
      </c>
      <c r="I12" s="112">
        <v>4503.6</v>
      </c>
      <c r="J12" s="113">
        <f t="shared" si="127"/>
      </c>
      <c r="K12" s="114">
        <f t="shared" si="152"/>
      </c>
      <c r="L12" s="114">
        <f t="shared" si="175"/>
      </c>
      <c r="M12" s="116">
        <f t="shared" si="172"/>
      </c>
      <c r="N12" s="116">
        <f t="shared" si="182"/>
      </c>
      <c r="O12" s="117">
        <f t="shared" si="187"/>
      </c>
      <c r="P12" s="117">
        <f t="shared" si="3"/>
      </c>
      <c r="Q12" s="118">
        <f t="shared" si="19"/>
      </c>
      <c r="R12" s="116">
        <f t="shared" si="47"/>
      </c>
      <c r="S12" s="116">
        <f t="shared" si="62"/>
      </c>
      <c r="T12" s="119">
        <f t="shared" si="76"/>
      </c>
      <c r="U12" s="119">
        <f t="shared" si="90"/>
      </c>
      <c r="V12" s="120">
        <f t="shared" si="103"/>
      </c>
      <c r="W12" s="120">
        <f t="shared" si="170"/>
      </c>
      <c r="X12" s="121">
        <f t="shared" si="173"/>
      </c>
      <c r="Y12" s="120">
        <f t="shared" si="183"/>
      </c>
      <c r="Z12" s="120">
        <f t="shared" si="0"/>
      </c>
      <c r="AA12" s="119">
        <f t="shared" si="5"/>
      </c>
      <c r="AB12" s="119">
        <f t="shared" si="33"/>
      </c>
      <c r="AC12" s="119">
        <f t="shared" si="60"/>
      </c>
      <c r="AD12" s="122" t="s">
        <v>114</v>
      </c>
      <c r="AE12" s="110" t="s">
        <v>115</v>
      </c>
      <c r="AF12" s="123">
        <v>4259</v>
      </c>
      <c r="AG12" s="123">
        <v>218</v>
      </c>
      <c r="AH12" s="123">
        <v>11298</v>
      </c>
      <c r="AI12" s="123">
        <v>44</v>
      </c>
      <c r="AJ12" s="124">
        <v>1</v>
      </c>
      <c r="AK12" s="123">
        <v>568</v>
      </c>
      <c r="AL12" s="123">
        <v>13</v>
      </c>
      <c r="AM12" s="123">
        <v>6</v>
      </c>
      <c r="AN12" s="123">
        <v>1</v>
      </c>
      <c r="AO12" s="124">
        <v>1</v>
      </c>
      <c r="AP12" s="123">
        <f t="shared" si="106"/>
      </c>
    </row>
    <row customHeight="true" ht="16.071428571428573" r="13">
      <c r="A13" s="156"/>
      <c r="B13" s="122" t="s">
        <v>123</v>
      </c>
      <c r="C13" s="106" t="s">
        <v>119</v>
      </c>
      <c r="D13" s="111">
        <v>650.929</v>
      </c>
      <c r="E13" s="157">
        <v>0</v>
      </c>
      <c r="F13" s="157">
        <v>0</v>
      </c>
      <c r="G13" s="112">
        <v>0</v>
      </c>
      <c r="H13" s="157">
        <v>0</v>
      </c>
      <c r="I13" s="112">
        <v>0</v>
      </c>
      <c r="J13" s="113">
        <f t="shared" si="127"/>
      </c>
      <c r="K13" s="114">
        <f t="shared" si="152"/>
      </c>
      <c r="L13" s="114">
        <f t="shared" si="175"/>
      </c>
      <c r="M13" s="116">
        <f t="shared" si="172"/>
      </c>
      <c r="N13" s="116">
        <f t="shared" si="182"/>
      </c>
      <c r="O13" s="117">
        <f t="shared" si="187"/>
      </c>
      <c r="P13" s="117">
        <f t="shared" si="3"/>
      </c>
      <c r="Q13" s="118">
        <f t="shared" si="19"/>
      </c>
      <c r="R13" s="116">
        <f t="shared" si="47"/>
      </c>
      <c r="S13" s="116">
        <f t="shared" si="62"/>
      </c>
      <c r="T13" s="119">
        <f t="shared" si="76"/>
      </c>
      <c r="U13" s="119">
        <f t="shared" si="90"/>
      </c>
      <c r="V13" s="120">
        <f t="shared" si="103"/>
      </c>
      <c r="W13" s="120">
        <f t="shared" si="170"/>
      </c>
      <c r="X13" s="121">
        <f t="shared" si="173"/>
      </c>
      <c r="Y13" s="120">
        <f t="shared" si="183"/>
      </c>
      <c r="Z13" s="120">
        <f t="shared" si="0"/>
      </c>
      <c r="AA13" s="119">
        <f t="shared" si="5"/>
      </c>
      <c r="AB13" s="119">
        <f t="shared" si="33"/>
      </c>
      <c r="AC13" s="119">
        <f t="shared" si="60"/>
      </c>
      <c r="AD13" s="122" t="s">
        <v>114</v>
      </c>
      <c r="AE13" s="110" t="s">
        <v>115</v>
      </c>
      <c r="AF13" s="123">
        <v>10011</v>
      </c>
      <c r="AG13" s="123">
        <v>495</v>
      </c>
      <c r="AH13" s="123">
        <v>27823</v>
      </c>
      <c r="AI13" s="123">
        <v>84</v>
      </c>
      <c r="AJ13" s="123">
        <v>0</v>
      </c>
      <c r="AK13" s="123">
        <v>1236</v>
      </c>
      <c r="AL13" s="123">
        <v>21</v>
      </c>
      <c r="AM13" s="123">
        <v>4</v>
      </c>
      <c r="AN13" s="123">
        <v>1</v>
      </c>
      <c r="AO13" s="124">
        <v>0</v>
      </c>
      <c r="AP13" s="123">
        <f t="shared" si="106"/>
      </c>
    </row>
    <row customHeight="true" ht="16.071428571428573" r="14">
      <c r="A14" s="156"/>
      <c r="B14" s="125" t="s">
        <v>116</v>
      </c>
      <c r="C14" s="125"/>
      <c r="D14" s="126">
        <f>SUM(D11:D13)</f>
      </c>
      <c r="E14" s="158">
        <f>SUM(E11:E13)</f>
      </c>
      <c r="F14" s="158">
        <f>SUM(F11:F13)</f>
      </c>
      <c r="G14" s="126">
        <f>SUM(G11:G13)</f>
      </c>
      <c r="H14" s="158">
        <f>SUM(H11:H13)</f>
      </c>
      <c r="I14" s="126">
        <f>SUM(I11:I13)</f>
      </c>
      <c r="J14" s="159">
        <f>SUM(J11:J13)</f>
      </c>
      <c r="K14" s="126">
        <f t="shared" si="152"/>
      </c>
      <c r="L14" s="126">
        <f t="shared" si="175"/>
      </c>
      <c r="M14" s="127">
        <f t="shared" si="172"/>
      </c>
      <c r="N14" s="127">
        <f t="shared" si="182"/>
      </c>
      <c r="O14" s="128">
        <f t="shared" si="187"/>
      </c>
      <c r="P14" s="128">
        <f t="shared" si="3"/>
      </c>
      <c r="Q14" s="129">
        <f t="shared" si="19"/>
      </c>
      <c r="R14" s="127">
        <f t="shared" si="47"/>
      </c>
      <c r="S14" s="127">
        <f t="shared" si="62"/>
      </c>
      <c r="T14" s="130">
        <f t="shared" si="76"/>
      </c>
      <c r="U14" s="130">
        <f t="shared" si="90"/>
      </c>
      <c r="V14" s="131">
        <f t="shared" si="103"/>
      </c>
      <c r="W14" s="131">
        <f t="shared" si="170"/>
      </c>
      <c r="X14" s="132">
        <f t="shared" si="173"/>
      </c>
      <c r="Y14" s="131">
        <f t="shared" si="183"/>
      </c>
      <c r="Z14" s="133">
        <f t="shared" si="0"/>
      </c>
      <c r="AA14" s="130">
        <f t="shared" si="5"/>
      </c>
      <c r="AB14" s="130">
        <f t="shared" si="33"/>
      </c>
      <c r="AC14" s="130">
        <f t="shared" si="60"/>
      </c>
      <c r="AD14" s="130"/>
      <c r="AE14" s="134"/>
      <c r="AF14" s="160">
        <f>SUM(AF11:AF13)</f>
      </c>
      <c r="AG14" s="160">
        <f>SUM(AG11:AG13)</f>
      </c>
      <c r="AH14" s="160">
        <f>SUM(AH11:AH13)</f>
      </c>
      <c r="AI14" s="160">
        <f>SUM(AI11:AI13)</f>
      </c>
      <c r="AJ14" s="160">
        <f>SUM(AJ11:AJ13)</f>
      </c>
      <c r="AK14" s="160">
        <f>SUM(AK11:AK13)</f>
      </c>
      <c r="AL14" s="160">
        <f>SUM(AL11:AL13)</f>
      </c>
      <c r="AM14" s="160">
        <f>SUM(AM11:AM13)</f>
      </c>
      <c r="AN14" s="160">
        <f>SUM(AN11:AN13)</f>
      </c>
      <c r="AO14" s="160">
        <f>SUM(AO11:AO13)</f>
      </c>
      <c r="AP14" s="160">
        <f>SUM(AP11:AP13)</f>
      </c>
    </row>
    <row customHeight="true" ht="16.071428571428573" r="15">
      <c r="A15" s="156"/>
      <c r="B15" s="122" t="s">
        <v>124</v>
      </c>
      <c r="C15" s="108" t="s">
        <v>121</v>
      </c>
      <c r="D15" s="135">
        <v>767.68</v>
      </c>
      <c r="E15" s="161">
        <v>0</v>
      </c>
      <c r="F15" s="161">
        <v>0</v>
      </c>
      <c r="G15" s="113">
        <v>0</v>
      </c>
      <c r="H15" s="161">
        <v>0</v>
      </c>
      <c r="I15" s="113">
        <v>0</v>
      </c>
      <c r="J15" s="113">
        <f t="shared" ref="J15:J17" si="128">F15+H15</f>
      </c>
      <c r="K15" s="114">
        <f t="shared" si="152"/>
      </c>
      <c r="L15" s="114">
        <f t="shared" si="175"/>
      </c>
      <c r="M15" s="116">
        <f t="shared" si="172"/>
      </c>
      <c r="N15" s="116">
        <f t="shared" si="182"/>
      </c>
      <c r="O15" s="117">
        <f t="shared" si="187"/>
      </c>
      <c r="P15" s="117">
        <f t="shared" si="3"/>
      </c>
      <c r="Q15" s="118">
        <f t="shared" si="19"/>
      </c>
      <c r="R15" s="116">
        <f t="shared" si="47"/>
      </c>
      <c r="S15" s="116">
        <f t="shared" si="62"/>
      </c>
      <c r="T15" s="119">
        <f t="shared" si="76"/>
      </c>
      <c r="U15" s="119">
        <f t="shared" si="90"/>
      </c>
      <c r="V15" s="120">
        <f t="shared" si="103"/>
      </c>
      <c r="W15" s="120">
        <f t="shared" si="170"/>
      </c>
      <c r="X15" s="121">
        <f t="shared" si="173"/>
      </c>
      <c r="Y15" s="120">
        <f t="shared" si="183"/>
      </c>
      <c r="Z15" s="120">
        <f t="shared" si="0"/>
      </c>
      <c r="AA15" s="119">
        <f t="shared" si="5"/>
      </c>
      <c r="AB15" s="119">
        <f t="shared" si="33"/>
      </c>
      <c r="AC15" s="119">
        <f t="shared" si="60"/>
      </c>
      <c r="AD15" s="122" t="s">
        <v>114</v>
      </c>
      <c r="AE15" s="110" t="s">
        <v>115</v>
      </c>
      <c r="AF15" s="136">
        <v>12223</v>
      </c>
      <c r="AG15" s="136">
        <v>725</v>
      </c>
      <c r="AH15" s="137">
        <v>34568</v>
      </c>
      <c r="AI15" s="123">
        <v>110</v>
      </c>
      <c r="AJ15" s="123">
        <v>1</v>
      </c>
      <c r="AK15" s="136">
        <v>1642</v>
      </c>
      <c r="AL15" s="123">
        <v>22</v>
      </c>
      <c r="AM15" s="123">
        <v>10</v>
      </c>
      <c r="AN15" s="123">
        <v>3</v>
      </c>
      <c r="AO15" s="124">
        <v>0</v>
      </c>
      <c r="AP15" s="123">
        <f t="shared" ref="AP15:AP17" si="107">COUNT(AO15)</f>
      </c>
    </row>
    <row customHeight="true" ht="16.071428571428573" r="16">
      <c r="A16" s="156"/>
      <c r="B16" s="122" t="s">
        <v>124</v>
      </c>
      <c r="C16" s="108" t="s">
        <v>125</v>
      </c>
      <c r="D16" s="135">
        <v>500.907</v>
      </c>
      <c r="E16" s="161">
        <v>1</v>
      </c>
      <c r="F16" s="161">
        <v>1</v>
      </c>
      <c r="G16" s="113">
        <v>645.5999999999999</v>
      </c>
      <c r="H16" s="161">
        <v>0</v>
      </c>
      <c r="I16" s="113">
        <v>0</v>
      </c>
      <c r="J16" s="113">
        <f t="shared" si="128"/>
      </c>
      <c r="K16" s="114">
        <f t="shared" si="152"/>
      </c>
      <c r="L16" s="114">
        <f t="shared" si="175"/>
      </c>
      <c r="M16" s="116">
        <f t="shared" si="172"/>
      </c>
      <c r="N16" s="116">
        <f t="shared" si="182"/>
      </c>
      <c r="O16" s="117">
        <f t="shared" si="187"/>
      </c>
      <c r="P16" s="117">
        <f t="shared" si="3"/>
      </c>
      <c r="Q16" s="118">
        <f t="shared" si="19"/>
      </c>
      <c r="R16" s="116">
        <f t="shared" si="47"/>
      </c>
      <c r="S16" s="116">
        <f t="shared" si="62"/>
      </c>
      <c r="T16" s="119">
        <f t="shared" si="76"/>
      </c>
      <c r="U16" s="119">
        <f t="shared" si="90"/>
      </c>
      <c r="V16" s="120">
        <f t="shared" si="103"/>
      </c>
      <c r="W16" s="120">
        <f t="shared" si="170"/>
      </c>
      <c r="X16" s="121">
        <f t="shared" si="173"/>
      </c>
      <c r="Y16" s="120">
        <f t="shared" si="183"/>
      </c>
      <c r="Z16" s="120">
        <f t="shared" si="0"/>
      </c>
      <c r="AA16" s="119">
        <f t="shared" si="5"/>
      </c>
      <c r="AB16" s="119">
        <f t="shared" si="33"/>
      </c>
      <c r="AC16" s="119">
        <f t="shared" si="60"/>
      </c>
      <c r="AD16" s="122" t="s">
        <v>114</v>
      </c>
      <c r="AE16" s="110" t="s">
        <v>115</v>
      </c>
      <c r="AF16" s="136">
        <v>8615</v>
      </c>
      <c r="AG16" s="136">
        <v>500</v>
      </c>
      <c r="AH16" s="137">
        <v>24033</v>
      </c>
      <c r="AI16" s="123">
        <v>76</v>
      </c>
      <c r="AJ16" s="123">
        <v>2</v>
      </c>
      <c r="AK16" s="136">
        <v>1101</v>
      </c>
      <c r="AL16" s="123">
        <v>12</v>
      </c>
      <c r="AM16" s="123">
        <v>8</v>
      </c>
      <c r="AN16" s="123">
        <v>1</v>
      </c>
      <c r="AO16" s="124">
        <v>0</v>
      </c>
      <c r="AP16" s="123">
        <f t="shared" si="107"/>
      </c>
    </row>
    <row customHeight="true" ht="16.071428571428573" r="17">
      <c r="A17" s="156"/>
      <c r="B17" s="122" t="s">
        <v>124</v>
      </c>
      <c r="C17" s="108" t="s">
        <v>126</v>
      </c>
      <c r="D17" s="135">
        <v>422.991</v>
      </c>
      <c r="E17" s="162">
        <v>2</v>
      </c>
      <c r="F17" s="161">
        <v>0</v>
      </c>
      <c r="G17" s="113">
        <v>0</v>
      </c>
      <c r="H17" s="161">
        <v>0</v>
      </c>
      <c r="I17" s="113">
        <v>0</v>
      </c>
      <c r="J17" s="113">
        <f t="shared" si="128"/>
      </c>
      <c r="K17" s="114">
        <f t="shared" si="152"/>
      </c>
      <c r="L17" s="114">
        <f t="shared" si="175"/>
      </c>
      <c r="M17" s="116">
        <f t="shared" si="172"/>
      </c>
      <c r="N17" s="116">
        <f t="shared" si="182"/>
      </c>
      <c r="O17" s="117">
        <f t="shared" si="187"/>
      </c>
      <c r="P17" s="117">
        <f t="shared" si="3"/>
      </c>
      <c r="Q17" s="118">
        <f>D17/AI17</f>
      </c>
      <c r="R17" s="116">
        <f>D17/AJ17</f>
      </c>
      <c r="S17" s="116">
        <f>D17/AK17</f>
      </c>
      <c r="T17" s="119">
        <f>AJ17/AI17</f>
      </c>
      <c r="U17" s="119">
        <f>AK17/AJ17</f>
      </c>
      <c r="V17" s="120">
        <f t="shared" si="103"/>
      </c>
      <c r="W17" s="120">
        <f t="shared" si="170"/>
      </c>
      <c r="X17" s="121">
        <f t="shared" si="173"/>
      </c>
      <c r="Y17" s="120">
        <f t="shared" si="183"/>
      </c>
      <c r="Z17" s="120">
        <f t="shared" si="0"/>
      </c>
      <c r="AA17" s="119">
        <f>AM17/AI17</f>
      </c>
      <c r="AB17" s="119">
        <f>AN17/AI17</f>
      </c>
      <c r="AC17" s="119">
        <f t="shared" si="60"/>
      </c>
      <c r="AD17" s="122" t="s">
        <v>114</v>
      </c>
      <c r="AE17" s="110" t="s">
        <v>115</v>
      </c>
      <c r="AF17" s="123">
        <v>7359</v>
      </c>
      <c r="AG17" s="138">
        <v>455</v>
      </c>
      <c r="AH17" s="163">
        <v>20410</v>
      </c>
      <c r="AI17" s="140">
        <v>64</v>
      </c>
      <c r="AJ17" s="141">
        <v>0</v>
      </c>
      <c r="AK17" s="141">
        <v>1126</v>
      </c>
      <c r="AL17" s="141">
        <v>9</v>
      </c>
      <c r="AM17" s="141">
        <v>4</v>
      </c>
      <c r="AN17" s="141">
        <v>0</v>
      </c>
      <c r="AO17" s="124">
        <v>0</v>
      </c>
      <c r="AP17" s="123">
        <f t="shared" si="107"/>
      </c>
    </row>
    <row customHeight="true" ht="16.071428571428573" r="18">
      <c r="A18" s="156"/>
      <c r="B18" s="125" t="s">
        <v>116</v>
      </c>
      <c r="C18" s="125"/>
      <c r="D18" s="126">
        <f>SUM(D15:D17)</f>
      </c>
      <c r="E18" s="158">
        <f>SUM(E15:E17)</f>
      </c>
      <c r="F18" s="158">
        <f>SUM(F15:F17)</f>
      </c>
      <c r="G18" s="126">
        <f>SUM(G15:G17)</f>
      </c>
      <c r="H18" s="158">
        <f>SUM(H15:H17)</f>
      </c>
      <c r="I18" s="126">
        <f>SUM(I15:I17)</f>
      </c>
      <c r="J18" s="159">
        <f>SUM(J15:J17)</f>
      </c>
      <c r="K18" s="126">
        <f t="shared" si="152"/>
      </c>
      <c r="L18" s="126">
        <f t="shared" si="175"/>
      </c>
      <c r="M18" s="127">
        <f t="shared" si="172"/>
      </c>
      <c r="N18" s="127">
        <f t="shared" si="182"/>
      </c>
      <c r="O18" s="128">
        <f t="shared" si="187"/>
      </c>
      <c r="P18" s="128">
        <f t="shared" si="3"/>
      </c>
      <c r="Q18" s="129">
        <f t="shared" ref="Q18:Q25" si="20">D18/AH18</f>
      </c>
      <c r="R18" s="127">
        <f t="shared" ref="R18:R25" si="48">D18/AI18</f>
      </c>
      <c r="S18" s="127">
        <f t="shared" ref="S18:S25" si="63">D18/AJ18</f>
      </c>
      <c r="T18" s="130">
        <f t="shared" ref="T18:T25" si="77">AI18/AH18</f>
      </c>
      <c r="U18" s="130">
        <f t="shared" ref="U18:U25" si="91">AJ18/AI18</f>
      </c>
      <c r="V18" s="131">
        <f t="shared" si="103"/>
      </c>
      <c r="W18" s="131">
        <f t="shared" si="170"/>
      </c>
      <c r="X18" s="132">
        <f t="shared" si="173"/>
      </c>
      <c r="Y18" s="131">
        <f t="shared" si="183"/>
      </c>
      <c r="Z18" s="133">
        <f t="shared" si="0"/>
      </c>
      <c r="AA18" s="130">
        <f t="shared" ref="AA18:AA25" si="6">AL18/AH18</f>
      </c>
      <c r="AB18" s="130">
        <f t="shared" ref="AB18:AB25" si="34">AM18/AH18</f>
      </c>
      <c r="AC18" s="130">
        <f t="shared" si="60"/>
      </c>
      <c r="AD18" s="130"/>
      <c r="AE18" s="134"/>
      <c r="AF18" s="160">
        <f>SUM(AF15:AF17)</f>
      </c>
      <c r="AG18" s="160">
        <f>SUM(AG15:AG17)</f>
      </c>
      <c r="AH18" s="164">
        <f>SUM(AH15:AH17)</f>
      </c>
      <c r="AI18" s="160">
        <f>SUM(AI15:AI17)</f>
      </c>
      <c r="AJ18" s="160">
        <f>SUM(AJ15:AJ17)</f>
      </c>
      <c r="AK18" s="160">
        <f>SUM(AK15:AK17)</f>
      </c>
      <c r="AL18" s="160">
        <f>SUM(AL15:AL17)</f>
      </c>
      <c r="AM18" s="160">
        <f>SUM(AM15:AM17)</f>
      </c>
      <c r="AN18" s="160">
        <f>SUM(AN15:AN17)</f>
      </c>
      <c r="AO18" s="160">
        <f>SUM(AO15:AO17)</f>
      </c>
      <c r="AP18" s="160">
        <f>SUM(AP15:AP17)</f>
      </c>
    </row>
    <row customHeight="true" ht="16.071428571428573" r="19">
      <c r="A19" s="156"/>
      <c r="B19" s="144" t="s">
        <v>122</v>
      </c>
      <c r="C19" s="144"/>
      <c r="D19" s="145">
        <f>D18+D14</f>
      </c>
      <c r="E19" s="165">
        <f>E18+E14</f>
      </c>
      <c r="F19" s="165">
        <f>F18+F14</f>
      </c>
      <c r="G19" s="145">
        <f>G18+G14</f>
      </c>
      <c r="H19" s="165">
        <f>H18+H14</f>
      </c>
      <c r="I19" s="145">
        <f>I18+I14</f>
      </c>
      <c r="J19" s="166">
        <f>J18+J14</f>
      </c>
      <c r="K19" s="145">
        <f t="shared" si="152"/>
      </c>
      <c r="L19" s="145">
        <f t="shared" si="175"/>
      </c>
      <c r="M19" s="146">
        <f t="shared" si="172"/>
      </c>
      <c r="N19" s="146">
        <f t="shared" si="182"/>
      </c>
      <c r="O19" s="147">
        <f t="shared" si="187"/>
      </c>
      <c r="P19" s="147">
        <f t="shared" si="3"/>
      </c>
      <c r="Q19" s="148">
        <f t="shared" si="20"/>
      </c>
      <c r="R19" s="148">
        <f t="shared" si="48"/>
      </c>
      <c r="S19" s="149">
        <f t="shared" si="63"/>
      </c>
      <c r="T19" s="150">
        <f t="shared" si="77"/>
      </c>
      <c r="U19" s="150">
        <f t="shared" si="91"/>
      </c>
      <c r="V19" s="151">
        <f t="shared" si="103"/>
      </c>
      <c r="W19" s="151">
        <f t="shared" si="170"/>
      </c>
      <c r="X19" s="152">
        <f t="shared" si="173"/>
      </c>
      <c r="Y19" s="151">
        <f t="shared" si="183"/>
      </c>
      <c r="Z19" s="153">
        <f t="shared" si="0"/>
      </c>
      <c r="AA19" s="154">
        <f t="shared" si="6"/>
      </c>
      <c r="AB19" s="154">
        <f t="shared" si="34"/>
      </c>
      <c r="AC19" s="154">
        <f t="shared" si="60"/>
      </c>
      <c r="AD19" s="154"/>
      <c r="AE19" s="155"/>
      <c r="AF19" s="167">
        <f>AF18+AF14</f>
      </c>
      <c r="AG19" s="167">
        <f>AG18+AG14</f>
      </c>
      <c r="AH19" s="167">
        <f>AH18+AH14</f>
      </c>
      <c r="AI19" s="167">
        <f>AI18+AI14</f>
      </c>
      <c r="AJ19" s="167">
        <f>AJ18+AJ14</f>
      </c>
      <c r="AK19" s="167">
        <f>AK18+AK14</f>
      </c>
      <c r="AL19" s="167">
        <f>AL18+AL14</f>
      </c>
      <c r="AM19" s="167">
        <f>AM18+AM14</f>
      </c>
      <c r="AN19" s="167">
        <f>AN18+AN14</f>
      </c>
      <c r="AO19" s="167">
        <f>AO18+AO14</f>
      </c>
      <c r="AP19" s="167">
        <f>AP18+AP14</f>
      </c>
    </row>
    <row r="20">
      <c r="A20" s="156">
        <v>46284</v>
      </c>
      <c r="B20" s="122" t="s">
        <v>127</v>
      </c>
      <c r="C20" s="106" t="s">
        <v>112</v>
      </c>
      <c r="D20" s="111">
        <v>1089.788</v>
      </c>
      <c r="E20" s="157">
        <v>0</v>
      </c>
      <c r="F20" s="157">
        <v>0</v>
      </c>
      <c r="G20" s="112">
        <v>0</v>
      </c>
      <c r="H20" s="157">
        <v>0</v>
      </c>
      <c r="I20" s="112">
        <v>0</v>
      </c>
      <c r="J20" s="113">
        <f t="shared" ref="J20:J23" si="129">F20+H20</f>
      </c>
      <c r="K20" s="114">
        <f t="shared" si="152"/>
      </c>
      <c r="L20" s="114">
        <f t="shared" si="175"/>
      </c>
      <c r="M20" s="116">
        <f t="shared" si="172"/>
      </c>
      <c r="N20" s="116">
        <f t="shared" si="182"/>
      </c>
      <c r="O20" s="117">
        <f t="shared" si="187"/>
      </c>
      <c r="P20" s="117">
        <f t="shared" si="3"/>
      </c>
      <c r="Q20" s="118">
        <f t="shared" si="20"/>
      </c>
      <c r="R20" s="116">
        <f t="shared" si="48"/>
      </c>
      <c r="S20" s="116">
        <f t="shared" si="63"/>
      </c>
      <c r="T20" s="119">
        <f t="shared" si="77"/>
      </c>
      <c r="U20" s="119">
        <f t="shared" si="91"/>
      </c>
      <c r="V20" s="120">
        <f t="shared" si="103"/>
      </c>
      <c r="W20" s="120">
        <f t="shared" si="170"/>
      </c>
      <c r="X20" s="121">
        <f t="shared" si="173"/>
      </c>
      <c r="Y20" s="120">
        <f t="shared" si="183"/>
      </c>
      <c r="Z20" s="120">
        <f t="shared" si="0"/>
      </c>
      <c r="AA20" s="119">
        <f t="shared" si="6"/>
      </c>
      <c r="AB20" s="119">
        <f t="shared" si="34"/>
      </c>
      <c r="AC20" s="119">
        <f t="shared" si="60"/>
      </c>
      <c r="AD20" s="122" t="s">
        <v>114</v>
      </c>
      <c r="AE20" s="122" t="s">
        <v>115</v>
      </c>
      <c r="AF20" s="123">
        <v>13985</v>
      </c>
      <c r="AG20" s="123">
        <v>714</v>
      </c>
      <c r="AH20" s="123">
        <v>41469</v>
      </c>
      <c r="AI20" s="123">
        <v>92</v>
      </c>
      <c r="AJ20" s="123">
        <v>0</v>
      </c>
      <c r="AK20" s="123">
        <v>2564</v>
      </c>
      <c r="AL20" s="123">
        <v>9</v>
      </c>
      <c r="AM20" s="123">
        <v>4</v>
      </c>
      <c r="AN20" s="123">
        <v>1</v>
      </c>
      <c r="AO20" s="124">
        <v>0</v>
      </c>
      <c r="AP20" s="123">
        <f t="shared" ref="AP20:AP23" si="108">COUNT(AO20)</f>
      </c>
    </row>
    <row r="21">
      <c r="A21" s="156"/>
      <c r="B21" s="122" t="s">
        <v>127</v>
      </c>
      <c r="C21" s="106" t="s">
        <v>118</v>
      </c>
      <c r="D21" s="111">
        <v>1147.575</v>
      </c>
      <c r="E21" s="157">
        <v>3</v>
      </c>
      <c r="F21" s="157">
        <v>1</v>
      </c>
      <c r="G21" s="112">
        <v>1692</v>
      </c>
      <c r="H21" s="157">
        <v>2</v>
      </c>
      <c r="I21" s="112">
        <v>2433.6000000000004</v>
      </c>
      <c r="J21" s="113">
        <f t="shared" si="129"/>
      </c>
      <c r="K21" s="114">
        <f t="shared" si="152"/>
      </c>
      <c r="L21" s="114">
        <f t="shared" si="175"/>
      </c>
      <c r="M21" s="116">
        <f t="shared" si="172"/>
      </c>
      <c r="N21" s="116">
        <f t="shared" si="182"/>
      </c>
      <c r="O21" s="117">
        <f t="shared" si="187"/>
      </c>
      <c r="P21" s="117">
        <f t="shared" si="3"/>
      </c>
      <c r="Q21" s="118">
        <f t="shared" si="20"/>
      </c>
      <c r="R21" s="116">
        <f t="shared" si="48"/>
      </c>
      <c r="S21" s="116">
        <f t="shared" si="63"/>
      </c>
      <c r="T21" s="119">
        <f t="shared" si="77"/>
      </c>
      <c r="U21" s="119">
        <f t="shared" si="91"/>
      </c>
      <c r="V21" s="120">
        <f t="shared" si="103"/>
      </c>
      <c r="W21" s="120">
        <f t="shared" si="170"/>
      </c>
      <c r="X21" s="121">
        <f t="shared" si="173"/>
      </c>
      <c r="Y21" s="120">
        <f t="shared" si="183"/>
      </c>
      <c r="Z21" s="120">
        <f t="shared" si="0"/>
      </c>
      <c r="AA21" s="119">
        <f t="shared" si="6"/>
      </c>
      <c r="AB21" s="119">
        <f t="shared" si="34"/>
      </c>
      <c r="AC21" s="119">
        <f t="shared" si="60"/>
      </c>
      <c r="AD21" s="122" t="s">
        <v>114</v>
      </c>
      <c r="AE21" s="110" t="s">
        <v>115</v>
      </c>
      <c r="AF21" s="123">
        <v>15873</v>
      </c>
      <c r="AG21" s="123">
        <v>916</v>
      </c>
      <c r="AH21" s="123">
        <v>50983</v>
      </c>
      <c r="AI21" s="123">
        <v>146</v>
      </c>
      <c r="AJ21" s="123">
        <v>3</v>
      </c>
      <c r="AK21" s="123">
        <v>2585</v>
      </c>
      <c r="AL21" s="123">
        <v>21</v>
      </c>
      <c r="AM21" s="123">
        <v>6</v>
      </c>
      <c r="AN21" s="123">
        <v>3</v>
      </c>
      <c r="AO21" s="124">
        <v>0</v>
      </c>
      <c r="AP21" s="123">
        <f t="shared" si="108"/>
      </c>
    </row>
    <row customHeight="true" ht="16.071428571428573" r="22">
      <c r="A22" s="156"/>
      <c r="B22" s="122" t="s">
        <v>127</v>
      </c>
      <c r="C22" s="106" t="s">
        <v>119</v>
      </c>
      <c r="D22" s="111">
        <v>1625.765</v>
      </c>
      <c r="E22" s="157">
        <v>1</v>
      </c>
      <c r="F22" s="157">
        <v>0</v>
      </c>
      <c r="G22" s="112">
        <v>0</v>
      </c>
      <c r="H22" s="157">
        <v>0</v>
      </c>
      <c r="I22" s="112">
        <v>0</v>
      </c>
      <c r="J22" s="113">
        <f t="shared" si="129"/>
      </c>
      <c r="K22" s="114">
        <f t="shared" si="152"/>
      </c>
      <c r="L22" s="114">
        <f t="shared" si="175"/>
      </c>
      <c r="M22" s="116">
        <f t="shared" si="172"/>
      </c>
      <c r="N22" s="116">
        <f t="shared" si="182"/>
      </c>
      <c r="O22" s="117">
        <f t="shared" si="187"/>
      </c>
      <c r="P22" s="117">
        <f t="shared" si="3"/>
      </c>
      <c r="Q22" s="118">
        <f t="shared" si="20"/>
      </c>
      <c r="R22" s="116">
        <f t="shared" si="48"/>
      </c>
      <c r="S22" s="116">
        <f t="shared" si="63"/>
      </c>
      <c r="T22" s="119">
        <f t="shared" si="77"/>
      </c>
      <c r="U22" s="119">
        <f t="shared" si="91"/>
      </c>
      <c r="V22" s="120">
        <f t="shared" si="103"/>
      </c>
      <c r="W22" s="120">
        <f t="shared" si="170"/>
      </c>
      <c r="X22" s="121">
        <f t="shared" si="173"/>
      </c>
      <c r="Y22" s="120">
        <f t="shared" si="183"/>
      </c>
      <c r="Z22" s="120">
        <f t="shared" si="0"/>
      </c>
      <c r="AA22" s="119">
        <f t="shared" si="6"/>
      </c>
      <c r="AB22" s="119">
        <f t="shared" si="34"/>
      </c>
      <c r="AC22" s="119">
        <f t="shared" si="60"/>
      </c>
      <c r="AD22" s="122" t="s">
        <v>114</v>
      </c>
      <c r="AE22" s="110" t="s">
        <v>115</v>
      </c>
      <c r="AF22" s="123">
        <v>24667</v>
      </c>
      <c r="AG22" s="123">
        <v>1310</v>
      </c>
      <c r="AH22" s="123">
        <v>76375</v>
      </c>
      <c r="AI22" s="123">
        <v>166</v>
      </c>
      <c r="AJ22" s="123">
        <v>0</v>
      </c>
      <c r="AK22" s="123">
        <v>3714</v>
      </c>
      <c r="AL22" s="123">
        <v>27</v>
      </c>
      <c r="AM22" s="123">
        <v>15</v>
      </c>
      <c r="AN22" s="123">
        <v>3</v>
      </c>
      <c r="AO22" s="124">
        <v>0</v>
      </c>
      <c r="AP22" s="123">
        <f t="shared" si="108"/>
      </c>
    </row>
    <row r="23">
      <c r="A23" s="156"/>
      <c r="B23" s="122" t="s">
        <v>127</v>
      </c>
      <c r="C23" s="108" t="s">
        <v>121</v>
      </c>
      <c r="D23" s="111">
        <v>407.189</v>
      </c>
      <c r="E23" s="157">
        <v>2</v>
      </c>
      <c r="F23" s="157">
        <v>1</v>
      </c>
      <c r="G23" s="112">
        <v>498</v>
      </c>
      <c r="H23" s="157">
        <v>1</v>
      </c>
      <c r="I23" s="112">
        <v>1414.8000000000002</v>
      </c>
      <c r="J23" s="113">
        <f t="shared" si="129"/>
      </c>
      <c r="K23" s="114">
        <f t="shared" si="152"/>
      </c>
      <c r="L23" s="114">
        <f t="shared" si="175"/>
      </c>
      <c r="M23" s="116">
        <f t="shared" si="172"/>
      </c>
      <c r="N23" s="116">
        <f t="shared" si="182"/>
      </c>
      <c r="O23" s="117">
        <f t="shared" si="187"/>
      </c>
      <c r="P23" s="117">
        <f t="shared" si="3"/>
      </c>
      <c r="Q23" s="118">
        <f t="shared" si="20"/>
      </c>
      <c r="R23" s="116">
        <f t="shared" si="48"/>
      </c>
      <c r="S23" s="116">
        <f t="shared" si="63"/>
      </c>
      <c r="T23" s="119">
        <f t="shared" si="77"/>
      </c>
      <c r="U23" s="119">
        <f t="shared" si="91"/>
      </c>
      <c r="V23" s="120">
        <f t="shared" si="103"/>
      </c>
      <c r="W23" s="120">
        <f t="shared" si="170"/>
      </c>
      <c r="X23" s="121">
        <f t="shared" si="173"/>
      </c>
      <c r="Y23" s="120">
        <f t="shared" si="183"/>
      </c>
      <c r="Z23" s="120">
        <f t="shared" si="0"/>
      </c>
      <c r="AA23" s="119">
        <f t="shared" si="6"/>
      </c>
      <c r="AB23" s="119">
        <f t="shared" si="34"/>
      </c>
      <c r="AC23" s="119">
        <f t="shared" si="60"/>
      </c>
      <c r="AD23" s="122" t="s">
        <v>114</v>
      </c>
      <c r="AE23" s="110" t="s">
        <v>115</v>
      </c>
      <c r="AF23" s="123">
        <v>6565</v>
      </c>
      <c r="AG23" s="123">
        <v>367</v>
      </c>
      <c r="AH23" s="123">
        <v>19312</v>
      </c>
      <c r="AI23" s="123">
        <v>72</v>
      </c>
      <c r="AJ23" s="123">
        <v>2</v>
      </c>
      <c r="AK23" s="123">
        <v>877</v>
      </c>
      <c r="AL23" s="123">
        <v>15</v>
      </c>
      <c r="AM23" s="123">
        <v>7</v>
      </c>
      <c r="AN23" s="123">
        <v>3</v>
      </c>
      <c r="AO23" s="124">
        <v>0</v>
      </c>
      <c r="AP23" s="123">
        <f t="shared" si="108"/>
      </c>
    </row>
    <row r="24">
      <c r="A24" s="156"/>
      <c r="B24" s="125" t="s">
        <v>116</v>
      </c>
      <c r="C24" s="125"/>
      <c r="D24" s="126">
        <f>SUM(D20:D23)</f>
      </c>
      <c r="E24" s="158">
        <f>SUM(E20:E23)</f>
      </c>
      <c r="F24" s="158">
        <f>SUM(F20:F23)</f>
      </c>
      <c r="G24" s="126">
        <f>SUM(G20:G23)</f>
      </c>
      <c r="H24" s="158">
        <f>SUM(H20:H23)</f>
      </c>
      <c r="I24" s="126">
        <f>SUM(I20:I23)</f>
      </c>
      <c r="J24" s="159">
        <f>SUM(J20:J23)</f>
      </c>
      <c r="K24" s="126">
        <f t="shared" si="152"/>
      </c>
      <c r="L24" s="126">
        <f t="shared" si="175"/>
      </c>
      <c r="M24" s="127">
        <f t="shared" si="172"/>
      </c>
      <c r="N24" s="127">
        <f t="shared" si="182"/>
      </c>
      <c r="O24" s="128">
        <f t="shared" si="187"/>
      </c>
      <c r="P24" s="128">
        <f t="shared" si="3"/>
      </c>
      <c r="Q24" s="129">
        <f t="shared" si="20"/>
      </c>
      <c r="R24" s="127">
        <f t="shared" si="48"/>
      </c>
      <c r="S24" s="127">
        <f t="shared" si="63"/>
      </c>
      <c r="T24" s="130">
        <f t="shared" si="77"/>
      </c>
      <c r="U24" s="130">
        <f t="shared" si="91"/>
      </c>
      <c r="V24" s="131">
        <f t="shared" si="103"/>
      </c>
      <c r="W24" s="131">
        <f t="shared" si="170"/>
      </c>
      <c r="X24" s="132">
        <f t="shared" si="173"/>
      </c>
      <c r="Y24" s="131">
        <f t="shared" si="183"/>
      </c>
      <c r="Z24" s="133">
        <f t="shared" si="0"/>
      </c>
      <c r="AA24" s="130">
        <f t="shared" si="6"/>
      </c>
      <c r="AB24" s="130">
        <f t="shared" si="34"/>
      </c>
      <c r="AC24" s="130">
        <f t="shared" si="60"/>
      </c>
      <c r="AD24" s="130"/>
      <c r="AE24" s="134"/>
      <c r="AF24" s="160">
        <f>SUM(AF20:AF23)</f>
      </c>
      <c r="AG24" s="160">
        <f>SUM(AG20:AG23)</f>
      </c>
      <c r="AH24" s="160">
        <f>SUM(AH20:AH23)</f>
      </c>
      <c r="AI24" s="160">
        <f>SUM(AI20:AI23)</f>
      </c>
      <c r="AJ24" s="160">
        <f>SUM(AJ20:AJ23)</f>
      </c>
      <c r="AK24" s="160">
        <f>SUM(AK20:AK23)</f>
      </c>
      <c r="AL24" s="160">
        <f>SUM(AL20:AL23)</f>
      </c>
      <c r="AM24" s="160">
        <f>SUM(AM20:AM23)</f>
      </c>
      <c r="AN24" s="160">
        <f>SUM(AN20:AN23)</f>
      </c>
      <c r="AO24" s="160">
        <f>SUM(AO20:AO23)</f>
      </c>
      <c r="AP24" s="160">
        <f>SUM(AP20:AP23)</f>
      </c>
    </row>
    <row r="25">
      <c r="A25" s="156"/>
      <c r="B25" s="122" t="s">
        <v>124</v>
      </c>
      <c r="C25" s="108" t="s">
        <v>125</v>
      </c>
      <c r="D25" s="135">
        <v>401.91</v>
      </c>
      <c r="E25" s="161">
        <v>2</v>
      </c>
      <c r="F25" s="161">
        <v>1</v>
      </c>
      <c r="G25" s="113">
        <v>1609.1999999999998</v>
      </c>
      <c r="H25" s="161">
        <v>1</v>
      </c>
      <c r="I25" s="113">
        <v>652.8000000000002</v>
      </c>
      <c r="J25" s="113">
        <f t="shared" ref="J25:J26" si="130">F25+H25</f>
      </c>
      <c r="K25" s="114">
        <f t="shared" si="152"/>
      </c>
      <c r="L25" s="114">
        <f t="shared" si="175"/>
      </c>
      <c r="M25" s="116">
        <f t="shared" si="172"/>
      </c>
      <c r="N25" s="116">
        <f t="shared" si="182"/>
      </c>
      <c r="O25" s="117">
        <f t="shared" si="187"/>
      </c>
      <c r="P25" s="117">
        <f t="shared" si="3"/>
      </c>
      <c r="Q25" s="118">
        <f t="shared" si="20"/>
      </c>
      <c r="R25" s="116">
        <f t="shared" si="48"/>
      </c>
      <c r="S25" s="116">
        <f t="shared" si="63"/>
      </c>
      <c r="T25" s="119">
        <f t="shared" si="77"/>
      </c>
      <c r="U25" s="119">
        <f t="shared" si="91"/>
      </c>
      <c r="V25" s="120">
        <f t="shared" si="103"/>
      </c>
      <c r="W25" s="120">
        <f t="shared" si="170"/>
      </c>
      <c r="X25" s="121">
        <f t="shared" si="173"/>
      </c>
      <c r="Y25" s="120">
        <f t="shared" si="183"/>
      </c>
      <c r="Z25" s="120">
        <f t="shared" si="0"/>
      </c>
      <c r="AA25" s="119">
        <f t="shared" si="6"/>
      </c>
      <c r="AB25" s="119">
        <f t="shared" si="34"/>
      </c>
      <c r="AC25" s="119">
        <f t="shared" si="60"/>
      </c>
      <c r="AD25" s="122" t="s">
        <v>114</v>
      </c>
      <c r="AE25" s="110" t="s">
        <v>115</v>
      </c>
      <c r="AF25" s="136">
        <v>7100</v>
      </c>
      <c r="AG25" s="136">
        <v>437</v>
      </c>
      <c r="AH25" s="137">
        <v>18547</v>
      </c>
      <c r="AI25" s="123">
        <v>119</v>
      </c>
      <c r="AJ25" s="123">
        <v>1</v>
      </c>
      <c r="AK25" s="136">
        <v>935</v>
      </c>
      <c r="AL25" s="123">
        <v>14</v>
      </c>
      <c r="AM25" s="123">
        <v>7</v>
      </c>
      <c r="AN25" s="123">
        <v>2</v>
      </c>
      <c r="AO25" s="124">
        <v>0</v>
      </c>
      <c r="AP25" s="123">
        <f t="shared" ref="AP25:AP26" si="109">COUNT(AO25)</f>
      </c>
    </row>
    <row r="26">
      <c r="A26" s="156"/>
      <c r="B26" s="122" t="s">
        <v>124</v>
      </c>
      <c r="C26" s="108" t="s">
        <v>126</v>
      </c>
      <c r="D26" s="135">
        <v>308.922</v>
      </c>
      <c r="E26" s="162">
        <v>1</v>
      </c>
      <c r="F26" s="161">
        <v>0</v>
      </c>
      <c r="G26" s="113">
        <v>0</v>
      </c>
      <c r="H26" s="161">
        <v>0</v>
      </c>
      <c r="I26" s="113">
        <v>0</v>
      </c>
      <c r="J26" s="113">
        <f t="shared" si="130"/>
      </c>
      <c r="K26" s="114">
        <f t="shared" si="152"/>
      </c>
      <c r="L26" s="114">
        <f t="shared" si="175"/>
      </c>
      <c r="M26" s="116">
        <f t="shared" si="172"/>
      </c>
      <c r="N26" s="116">
        <f t="shared" si="182"/>
      </c>
      <c r="O26" s="117">
        <f t="shared" si="187"/>
      </c>
      <c r="P26" s="117">
        <f t="shared" si="3"/>
      </c>
      <c r="Q26" s="118">
        <f>D26/AI26</f>
      </c>
      <c r="R26" s="116">
        <f>D26/AJ26</f>
      </c>
      <c r="S26" s="116">
        <f>D26/AK26</f>
      </c>
      <c r="T26" s="119">
        <f>AJ26/AI26</f>
      </c>
      <c r="U26" s="119">
        <f>AK26/AJ26</f>
      </c>
      <c r="V26" s="120">
        <f t="shared" si="103"/>
      </c>
      <c r="W26" s="120">
        <f t="shared" si="170"/>
      </c>
      <c r="X26" s="121">
        <f t="shared" si="173"/>
      </c>
      <c r="Y26" s="120">
        <f t="shared" si="183"/>
      </c>
      <c r="Z26" s="120">
        <f t="shared" si="0"/>
      </c>
      <c r="AA26" s="119">
        <f>AM26/AI26</f>
      </c>
      <c r="AB26" s="119">
        <f>AN26/AI26</f>
      </c>
      <c r="AC26" s="119">
        <f t="shared" si="60"/>
      </c>
      <c r="AD26" s="122" t="s">
        <v>114</v>
      </c>
      <c r="AE26" s="110" t="s">
        <v>115</v>
      </c>
      <c r="AF26" s="123">
        <v>6737</v>
      </c>
      <c r="AG26" s="138">
        <v>433</v>
      </c>
      <c r="AH26" s="163">
        <v>15959</v>
      </c>
      <c r="AI26" s="140">
        <v>147</v>
      </c>
      <c r="AJ26" s="141">
        <v>0</v>
      </c>
      <c r="AK26" s="141">
        <v>818</v>
      </c>
      <c r="AL26" s="141">
        <v>20</v>
      </c>
      <c r="AM26" s="141">
        <v>8</v>
      </c>
      <c r="AN26" s="141">
        <v>2</v>
      </c>
      <c r="AO26" s="124">
        <v>0</v>
      </c>
      <c r="AP26" s="123">
        <f t="shared" si="109"/>
      </c>
    </row>
    <row r="27">
      <c r="A27" s="156"/>
      <c r="B27" s="125" t="s">
        <v>116</v>
      </c>
      <c r="C27" s="125"/>
      <c r="D27" s="126">
        <f>SUM(D25:D26)</f>
      </c>
      <c r="E27" s="158">
        <f>SUM(E25:E26)</f>
      </c>
      <c r="F27" s="158">
        <f>SUM(F25:F26)</f>
      </c>
      <c r="G27" s="126">
        <f>SUM(G25:G26)</f>
      </c>
      <c r="H27" s="158">
        <f>SUM(H25:H26)</f>
      </c>
      <c r="I27" s="126">
        <f>SUM(I25:I26)</f>
      </c>
      <c r="J27" s="159">
        <f>SUM(J25:J26)</f>
      </c>
      <c r="K27" s="126">
        <f t="shared" si="152"/>
      </c>
      <c r="L27" s="126">
        <f t="shared" si="175"/>
      </c>
      <c r="M27" s="127">
        <f t="shared" si="172"/>
      </c>
      <c r="N27" s="127">
        <f t="shared" si="182"/>
      </c>
      <c r="O27" s="128">
        <f t="shared" si="187"/>
      </c>
      <c r="P27" s="128">
        <f t="shared" si="3"/>
      </c>
      <c r="Q27" s="129">
        <f t="shared" ref="Q27:Q34" si="21">D27/AH27</f>
      </c>
      <c r="R27" s="127">
        <f t="shared" ref="R27:R34" si="49">D27/AI27</f>
      </c>
      <c r="S27" s="127">
        <f t="shared" ref="S27:S34" si="64">D27/AJ27</f>
      </c>
      <c r="T27" s="130">
        <f t="shared" ref="T27:T34" si="78">AI27/AH27</f>
      </c>
      <c r="U27" s="130">
        <f t="shared" ref="U27:U34" si="92">AJ27/AI27</f>
      </c>
      <c r="V27" s="131">
        <f t="shared" si="103"/>
      </c>
      <c r="W27" s="131">
        <f t="shared" si="170"/>
      </c>
      <c r="X27" s="132">
        <f t="shared" si="173"/>
      </c>
      <c r="Y27" s="131">
        <f t="shared" si="183"/>
      </c>
      <c r="Z27" s="133">
        <f t="shared" si="0"/>
      </c>
      <c r="AA27" s="130">
        <f t="shared" ref="AA27:AA34" si="7">AL27/AH27</f>
      </c>
      <c r="AB27" s="130">
        <f t="shared" ref="AB27:AB34" si="35">AM27/AH27</f>
      </c>
      <c r="AC27" s="130">
        <f t="shared" si="60"/>
      </c>
      <c r="AD27" s="130"/>
      <c r="AE27" s="134"/>
      <c r="AF27" s="160">
        <f>SUM(AF25:AF26)</f>
      </c>
      <c r="AG27" s="160">
        <f>SUM(AG25:AG26)</f>
      </c>
      <c r="AH27" s="164">
        <f>SUM(AH25:AH26)</f>
      </c>
      <c r="AI27" s="160">
        <f>SUM(AI25:AI26)</f>
      </c>
      <c r="AJ27" s="160">
        <f>SUM(AJ25:AJ26)</f>
      </c>
      <c r="AK27" s="160">
        <f>SUM(AK25:AK26)</f>
      </c>
      <c r="AL27" s="160">
        <f>SUM(AL25:AL26)</f>
      </c>
      <c r="AM27" s="160">
        <f>SUM(AM25:AM26)</f>
      </c>
      <c r="AN27" s="160">
        <f>SUM(AN25:AN26)</f>
      </c>
      <c r="AO27" s="160">
        <f>SUM(AO25:AO26)</f>
      </c>
      <c r="AP27" s="160">
        <f>SUM(AP25:AP26)</f>
      </c>
    </row>
    <row r="28">
      <c r="A28" s="156"/>
      <c r="B28" s="144" t="s">
        <v>122</v>
      </c>
      <c r="C28" s="144"/>
      <c r="D28" s="145">
        <f>D27+D24</f>
      </c>
      <c r="E28" s="165">
        <f>E27+E24</f>
      </c>
      <c r="F28" s="165">
        <f>F27+F24</f>
      </c>
      <c r="G28" s="145">
        <f>G27+G24</f>
      </c>
      <c r="H28" s="165">
        <f>H27+H24</f>
      </c>
      <c r="I28" s="145">
        <f>I27+I24</f>
      </c>
      <c r="J28" s="166">
        <f>J27+J24</f>
      </c>
      <c r="K28" s="145">
        <f t="shared" si="152"/>
      </c>
      <c r="L28" s="145">
        <f t="shared" si="175"/>
      </c>
      <c r="M28" s="146">
        <f t="shared" si="172"/>
      </c>
      <c r="N28" s="146">
        <f t="shared" si="182"/>
      </c>
      <c r="O28" s="147">
        <f t="shared" si="187"/>
      </c>
      <c r="P28" s="147">
        <f t="shared" si="3"/>
      </c>
      <c r="Q28" s="148">
        <f t="shared" si="21"/>
      </c>
      <c r="R28" s="148">
        <f t="shared" si="49"/>
      </c>
      <c r="S28" s="149">
        <f t="shared" si="64"/>
      </c>
      <c r="T28" s="150">
        <f t="shared" si="78"/>
      </c>
      <c r="U28" s="150">
        <f t="shared" si="92"/>
      </c>
      <c r="V28" s="151">
        <f t="shared" si="103"/>
      </c>
      <c r="W28" s="151">
        <f t="shared" si="170"/>
      </c>
      <c r="X28" s="152">
        <f t="shared" si="173"/>
      </c>
      <c r="Y28" s="151">
        <f t="shared" si="183"/>
      </c>
      <c r="Z28" s="153">
        <f t="shared" si="0"/>
      </c>
      <c r="AA28" s="154">
        <f t="shared" si="7"/>
      </c>
      <c r="AB28" s="154">
        <f t="shared" si="35"/>
      </c>
      <c r="AC28" s="154">
        <f t="shared" si="60"/>
      </c>
      <c r="AD28" s="154"/>
      <c r="AE28" s="155"/>
      <c r="AF28" s="167">
        <f>AF27+AF24</f>
      </c>
      <c r="AG28" s="167">
        <f>AG27+AG24</f>
      </c>
      <c r="AH28" s="167">
        <f>AH27+AH24</f>
      </c>
      <c r="AI28" s="167">
        <f>AI27+AI24</f>
      </c>
      <c r="AJ28" s="167">
        <f>AJ27+AJ24</f>
      </c>
      <c r="AK28" s="167">
        <f>AK27+AK24</f>
      </c>
      <c r="AL28" s="167">
        <f>AL27+AL24</f>
      </c>
      <c r="AM28" s="167">
        <f>AM27+AM24</f>
      </c>
      <c r="AN28" s="167">
        <f>AN27+AN24</f>
      </c>
      <c r="AO28" s="167">
        <f>AO27+AO24</f>
      </c>
      <c r="AP28" s="167">
        <f>AP27+AP24</f>
      </c>
    </row>
    <row r="29">
      <c r="A29" s="156">
        <v>46285</v>
      </c>
      <c r="B29" s="122" t="s">
        <v>111</v>
      </c>
      <c r="C29" s="106" t="s">
        <v>112</v>
      </c>
      <c r="D29" s="111">
        <v>471.48</v>
      </c>
      <c r="E29" s="168">
        <v>1</v>
      </c>
      <c r="F29" s="168">
        <v>1</v>
      </c>
      <c r="G29" s="112">
        <v>1190.4</v>
      </c>
      <c r="H29" s="168">
        <v>0</v>
      </c>
      <c r="I29" s="169">
        <v>0</v>
      </c>
      <c r="J29" s="113">
        <f t="shared" ref="J29:J31" si="131">F29+H29</f>
      </c>
      <c r="K29" s="114">
        <f t="shared" si="152"/>
      </c>
      <c r="L29" s="114">
        <f t="shared" si="175"/>
      </c>
      <c r="M29" s="116">
        <f t="shared" si="172"/>
      </c>
      <c r="N29" s="116">
        <f t="shared" si="182"/>
      </c>
      <c r="O29" s="117">
        <f t="shared" si="187"/>
      </c>
      <c r="P29" s="117">
        <f t="shared" si="3"/>
      </c>
      <c r="Q29" s="118">
        <f t="shared" si="21"/>
      </c>
      <c r="R29" s="116">
        <f t="shared" si="49"/>
      </c>
      <c r="S29" s="116">
        <f t="shared" si="64"/>
      </c>
      <c r="T29" s="119">
        <f t="shared" si="78"/>
      </c>
      <c r="U29" s="119">
        <f t="shared" si="92"/>
      </c>
      <c r="V29" s="120">
        <f t="shared" si="103"/>
      </c>
      <c r="W29" s="120">
        <f t="shared" si="170"/>
      </c>
      <c r="X29" s="121">
        <f t="shared" si="173"/>
      </c>
      <c r="Y29" s="120">
        <f t="shared" si="183"/>
      </c>
      <c r="Z29" s="120">
        <f t="shared" si="0"/>
      </c>
      <c r="AA29" s="119">
        <f t="shared" si="7"/>
      </c>
      <c r="AB29" s="119">
        <f t="shared" si="35"/>
      </c>
      <c r="AC29" s="119">
        <f t="shared" si="60"/>
      </c>
      <c r="AD29" s="122" t="s">
        <v>114</v>
      </c>
      <c r="AE29" s="122" t="s">
        <v>128</v>
      </c>
      <c r="AF29" s="123">
        <v>3698</v>
      </c>
      <c r="AG29" s="123">
        <v>260</v>
      </c>
      <c r="AH29" s="123">
        <v>10598</v>
      </c>
      <c r="AI29" s="123">
        <v>90</v>
      </c>
      <c r="AJ29" s="123">
        <v>1</v>
      </c>
      <c r="AK29" s="123">
        <v>732</v>
      </c>
      <c r="AL29" s="123">
        <v>18</v>
      </c>
      <c r="AM29" s="123">
        <v>6</v>
      </c>
      <c r="AN29" s="123">
        <v>0</v>
      </c>
      <c r="AO29" s="124">
        <v>0</v>
      </c>
      <c r="AP29" s="123">
        <f t="shared" ref="AP29:AP31" si="110">COUNT(AO29)</f>
      </c>
    </row>
    <row r="30">
      <c r="A30" s="156"/>
      <c r="B30" s="122" t="s">
        <v>111</v>
      </c>
      <c r="C30" s="106" t="s">
        <v>118</v>
      </c>
      <c r="D30" s="111">
        <v>546.377</v>
      </c>
      <c r="E30" s="168">
        <v>1</v>
      </c>
      <c r="F30" s="168">
        <v>0</v>
      </c>
      <c r="G30" s="169">
        <v>0</v>
      </c>
      <c r="H30" s="168">
        <v>0</v>
      </c>
      <c r="I30" s="169">
        <v>0</v>
      </c>
      <c r="J30" s="113">
        <f t="shared" si="131"/>
      </c>
      <c r="K30" s="114">
        <f t="shared" si="152"/>
      </c>
      <c r="L30" s="114">
        <f t="shared" si="175"/>
      </c>
      <c r="M30" s="116">
        <f t="shared" si="172"/>
      </c>
      <c r="N30" s="116">
        <f t="shared" si="182"/>
      </c>
      <c r="O30" s="117">
        <f t="shared" si="187"/>
      </c>
      <c r="P30" s="117">
        <f t="shared" si="3"/>
      </c>
      <c r="Q30" s="118">
        <f t="shared" si="21"/>
      </c>
      <c r="R30" s="116">
        <f t="shared" si="49"/>
      </c>
      <c r="S30" s="116">
        <f t="shared" si="64"/>
      </c>
      <c r="T30" s="119">
        <f t="shared" si="78"/>
      </c>
      <c r="U30" s="119">
        <f t="shared" si="92"/>
      </c>
      <c r="V30" s="120">
        <f t="shared" si="103"/>
      </c>
      <c r="W30" s="120">
        <f t="shared" si="170"/>
      </c>
      <c r="X30" s="121">
        <f t="shared" si="173"/>
      </c>
      <c r="Y30" s="120">
        <f t="shared" si="183"/>
      </c>
      <c r="Z30" s="120">
        <f t="shared" si="0"/>
      </c>
      <c r="AA30" s="119">
        <f t="shared" si="7"/>
      </c>
      <c r="AB30" s="119">
        <f t="shared" si="35"/>
      </c>
      <c r="AC30" s="119">
        <f t="shared" si="60"/>
      </c>
      <c r="AD30" s="122" t="s">
        <v>114</v>
      </c>
      <c r="AE30" s="122" t="s">
        <v>128</v>
      </c>
      <c r="AF30" s="123">
        <v>6428</v>
      </c>
      <c r="AG30" s="123">
        <v>397</v>
      </c>
      <c r="AH30" s="123">
        <v>18187</v>
      </c>
      <c r="AI30" s="123">
        <v>108</v>
      </c>
      <c r="AJ30" s="123">
        <v>0</v>
      </c>
      <c r="AK30" s="123">
        <v>970</v>
      </c>
      <c r="AL30" s="123">
        <v>26</v>
      </c>
      <c r="AM30" s="123">
        <v>2</v>
      </c>
      <c r="AN30" s="123">
        <v>1</v>
      </c>
      <c r="AO30" s="124">
        <v>0</v>
      </c>
      <c r="AP30" s="123">
        <f t="shared" si="110"/>
      </c>
    </row>
    <row r="31">
      <c r="A31" s="156"/>
      <c r="B31" s="122" t="s">
        <v>111</v>
      </c>
      <c r="C31" s="106" t="s">
        <v>119</v>
      </c>
      <c r="D31" s="111">
        <v>291.653</v>
      </c>
      <c r="E31" s="168">
        <v>2</v>
      </c>
      <c r="F31" s="168">
        <v>2</v>
      </c>
      <c r="G31" s="112">
        <v>3301.2</v>
      </c>
      <c r="H31" s="168">
        <v>0</v>
      </c>
      <c r="I31" s="169">
        <v>0</v>
      </c>
      <c r="J31" s="113">
        <f t="shared" si="131"/>
      </c>
      <c r="K31" s="114">
        <f t="shared" si="152"/>
      </c>
      <c r="L31" s="114">
        <f t="shared" si="175"/>
      </c>
      <c r="M31" s="116">
        <f t="shared" si="172"/>
      </c>
      <c r="N31" s="116">
        <f t="shared" si="182"/>
      </c>
      <c r="O31" s="117">
        <f t="shared" si="187"/>
      </c>
      <c r="P31" s="117">
        <f t="shared" si="3"/>
      </c>
      <c r="Q31" s="118">
        <f t="shared" si="21"/>
      </c>
      <c r="R31" s="116">
        <f t="shared" si="49"/>
      </c>
      <c r="S31" s="116">
        <f t="shared" si="64"/>
      </c>
      <c r="T31" s="119">
        <f t="shared" si="78"/>
      </c>
      <c r="U31" s="119">
        <f t="shared" si="92"/>
      </c>
      <c r="V31" s="120">
        <f t="shared" si="103"/>
      </c>
      <c r="W31" s="120">
        <f t="shared" si="170"/>
      </c>
      <c r="X31" s="121">
        <f t="shared" si="173"/>
      </c>
      <c r="Y31" s="120">
        <f t="shared" si="183"/>
      </c>
      <c r="Z31" s="120">
        <f t="shared" si="0"/>
      </c>
      <c r="AA31" s="119">
        <f t="shared" si="7"/>
      </c>
      <c r="AB31" s="119">
        <f t="shared" si="35"/>
      </c>
      <c r="AC31" s="119">
        <f t="shared" si="60"/>
      </c>
      <c r="AD31" s="122" t="s">
        <v>114</v>
      </c>
      <c r="AE31" s="122" t="s">
        <v>128</v>
      </c>
      <c r="AF31" s="123">
        <v>3608</v>
      </c>
      <c r="AG31" s="123">
        <v>219</v>
      </c>
      <c r="AH31" s="123">
        <v>9016</v>
      </c>
      <c r="AI31" s="123">
        <v>70</v>
      </c>
      <c r="AJ31" s="123">
        <v>1</v>
      </c>
      <c r="AK31" s="123">
        <v>460</v>
      </c>
      <c r="AL31" s="123">
        <v>13</v>
      </c>
      <c r="AM31" s="123">
        <v>2</v>
      </c>
      <c r="AN31" s="123">
        <v>1</v>
      </c>
      <c r="AO31" s="124">
        <v>1</v>
      </c>
      <c r="AP31" s="123">
        <f t="shared" si="110"/>
      </c>
    </row>
    <row r="32">
      <c r="A32" s="156"/>
      <c r="B32" s="125" t="s">
        <v>116</v>
      </c>
      <c r="C32" s="125"/>
      <c r="D32" s="126">
        <f>SUM(D29:D31)</f>
      </c>
      <c r="E32" s="158">
        <f>SUM(E29:E31)</f>
      </c>
      <c r="F32" s="158">
        <f>SUM(F29:F31)</f>
      </c>
      <c r="G32" s="126">
        <f>SUM(G29:G31)</f>
      </c>
      <c r="H32" s="158">
        <f>SUM(H29:H31)</f>
      </c>
      <c r="I32" s="126">
        <f>SUM(I29:I31)</f>
      </c>
      <c r="J32" s="159">
        <f>SUM(J29:J31)</f>
      </c>
      <c r="K32" s="126">
        <f t="shared" si="152"/>
      </c>
      <c r="L32" s="126">
        <f t="shared" si="175"/>
      </c>
      <c r="M32" s="127">
        <f t="shared" si="172"/>
      </c>
      <c r="N32" s="127">
        <f t="shared" si="182"/>
      </c>
      <c r="O32" s="128">
        <f t="shared" si="187"/>
      </c>
      <c r="P32" s="128">
        <f t="shared" si="3"/>
      </c>
      <c r="Q32" s="129">
        <f t="shared" si="21"/>
      </c>
      <c r="R32" s="127">
        <f t="shared" si="49"/>
      </c>
      <c r="S32" s="127">
        <f t="shared" si="64"/>
      </c>
      <c r="T32" s="130">
        <f t="shared" si="78"/>
      </c>
      <c r="U32" s="130">
        <f t="shared" si="92"/>
      </c>
      <c r="V32" s="131">
        <f t="shared" si="103"/>
      </c>
      <c r="W32" s="131">
        <f t="shared" si="170"/>
      </c>
      <c r="X32" s="132">
        <f t="shared" si="173"/>
      </c>
      <c r="Y32" s="131">
        <f t="shared" si="183"/>
      </c>
      <c r="Z32" s="133">
        <f t="shared" si="0"/>
      </c>
      <c r="AA32" s="130">
        <f t="shared" si="7"/>
      </c>
      <c r="AB32" s="130">
        <f t="shared" si="35"/>
      </c>
      <c r="AC32" s="130">
        <f t="shared" si="60"/>
      </c>
      <c r="AD32" s="130"/>
      <c r="AE32" s="134"/>
      <c r="AF32" s="160">
        <f>SUM(AF29:AF31)</f>
      </c>
      <c r="AG32" s="160">
        <f>SUM(AG29:AG31)</f>
      </c>
      <c r="AH32" s="160">
        <f>SUM(AH29:AH31)</f>
      </c>
      <c r="AI32" s="160">
        <f>SUM(AI29:AI31)</f>
      </c>
      <c r="AJ32" s="160">
        <f>SUM(AJ29:AJ31)</f>
      </c>
      <c r="AK32" s="160">
        <f>SUM(AK29:AK31)</f>
      </c>
      <c r="AL32" s="160">
        <f>SUM(AL29:AL31)</f>
      </c>
      <c r="AM32" s="160">
        <f>SUM(AM29:AM31)</f>
      </c>
      <c r="AN32" s="160">
        <f>SUM(AN29:AN31)</f>
      </c>
      <c r="AO32" s="160">
        <f>SUM(AO29:AO31)</f>
      </c>
      <c r="AP32" s="160">
        <f>SUM(AP29:AP31)</f>
      </c>
    </row>
    <row r="33">
      <c r="A33" s="156"/>
      <c r="B33" s="170" t="s">
        <v>120</v>
      </c>
      <c r="C33" s="171" t="s">
        <v>121</v>
      </c>
      <c r="D33" s="172">
        <v>220.539</v>
      </c>
      <c r="E33" s="173">
        <v>0</v>
      </c>
      <c r="F33" s="173">
        <v>0</v>
      </c>
      <c r="G33" s="174">
        <v>0</v>
      </c>
      <c r="H33" s="173">
        <v>0</v>
      </c>
      <c r="I33" s="174">
        <v>0</v>
      </c>
      <c r="J33" s="175">
        <f t="shared" ref="J33:J35" si="132">F33+H33</f>
      </c>
      <c r="K33" s="176">
        <f t="shared" si="152"/>
      </c>
      <c r="L33" s="176">
        <f t="shared" si="175"/>
      </c>
      <c r="M33" s="177">
        <f t="shared" si="172"/>
      </c>
      <c r="N33" s="177">
        <f t="shared" si="182"/>
      </c>
      <c r="O33" s="178">
        <f t="shared" si="187"/>
      </c>
      <c r="P33" s="178">
        <f t="shared" si="3"/>
      </c>
      <c r="Q33" s="179">
        <f t="shared" si="21"/>
      </c>
      <c r="R33" s="177">
        <f t="shared" si="49"/>
      </c>
      <c r="S33" s="177">
        <f t="shared" si="64"/>
      </c>
      <c r="T33" s="180">
        <f t="shared" si="78"/>
      </c>
      <c r="U33" s="119">
        <f t="shared" si="92"/>
      </c>
      <c r="V33" s="120">
        <f t="shared" si="103"/>
      </c>
      <c r="W33" s="120">
        <f t="shared" si="170"/>
      </c>
      <c r="X33" s="121">
        <f t="shared" si="173"/>
      </c>
      <c r="Y33" s="120">
        <f t="shared" si="183"/>
      </c>
      <c r="Z33" s="120">
        <f t="shared" si="0"/>
      </c>
      <c r="AA33" s="119">
        <f t="shared" si="7"/>
      </c>
      <c r="AB33" s="119">
        <f t="shared" si="35"/>
      </c>
      <c r="AC33" s="119">
        <f t="shared" si="60"/>
      </c>
      <c r="AD33" s="122" t="s">
        <v>114</v>
      </c>
      <c r="AE33" s="122" t="s">
        <v>128</v>
      </c>
      <c r="AF33" s="136">
        <v>2562</v>
      </c>
      <c r="AG33" s="136">
        <v>173</v>
      </c>
      <c r="AH33" s="137">
        <v>6179</v>
      </c>
      <c r="AI33" s="123">
        <v>53</v>
      </c>
      <c r="AJ33" s="124">
        <v>2</v>
      </c>
      <c r="AK33" s="136">
        <v>286</v>
      </c>
      <c r="AL33" s="123">
        <v>12</v>
      </c>
      <c r="AM33" s="123">
        <v>4</v>
      </c>
      <c r="AN33" s="123">
        <v>0</v>
      </c>
      <c r="AO33" s="124">
        <v>0</v>
      </c>
      <c r="AP33" s="123">
        <f t="shared" ref="AP33:AP35" si="111">COUNT(AO33)</f>
      </c>
    </row>
    <row customHeight="true" ht="16.071428571428573" r="34">
      <c r="A34" s="181"/>
      <c r="B34" s="182" t="s">
        <v>120</v>
      </c>
      <c r="C34" s="183" t="s">
        <v>125</v>
      </c>
      <c r="D34" s="184">
        <v>189.985</v>
      </c>
      <c r="E34" s="185">
        <v>1</v>
      </c>
      <c r="F34" s="185">
        <v>0</v>
      </c>
      <c r="G34" s="186">
        <v>0</v>
      </c>
      <c r="H34" s="185">
        <v>1</v>
      </c>
      <c r="I34" s="187">
        <v>2722.8</v>
      </c>
      <c r="J34" s="187">
        <f t="shared" si="132"/>
      </c>
      <c r="K34" s="188">
        <f t="shared" si="152"/>
      </c>
      <c r="L34" s="188">
        <f t="shared" si="175"/>
      </c>
      <c r="M34" s="189">
        <f t="shared" si="172"/>
      </c>
      <c r="N34" s="189">
        <f t="shared" si="182"/>
      </c>
      <c r="O34" s="190">
        <f t="shared" si="187"/>
      </c>
      <c r="P34" s="190">
        <f t="shared" si="3"/>
      </c>
      <c r="Q34" s="191">
        <f t="shared" si="21"/>
      </c>
      <c r="R34" s="189">
        <f t="shared" si="49"/>
      </c>
      <c r="S34" s="189">
        <f t="shared" si="64"/>
      </c>
      <c r="T34" s="192">
        <f t="shared" si="78"/>
      </c>
      <c r="U34" s="193">
        <f t="shared" si="92"/>
      </c>
      <c r="V34" s="120">
        <f t="shared" si="103"/>
      </c>
      <c r="W34" s="120">
        <f t="shared" si="170"/>
      </c>
      <c r="X34" s="121">
        <f t="shared" si="173"/>
      </c>
      <c r="Y34" s="120">
        <f t="shared" si="183"/>
      </c>
      <c r="Z34" s="120">
        <f t="shared" si="0"/>
      </c>
      <c r="AA34" s="119">
        <f t="shared" si="7"/>
      </c>
      <c r="AB34" s="119">
        <f t="shared" si="35"/>
      </c>
      <c r="AC34" s="119">
        <f t="shared" si="60"/>
      </c>
      <c r="AD34" s="122" t="s">
        <v>114</v>
      </c>
      <c r="AE34" s="122" t="s">
        <v>128</v>
      </c>
      <c r="AF34" s="136">
        <v>1947</v>
      </c>
      <c r="AG34" s="136">
        <v>138</v>
      </c>
      <c r="AH34" s="137">
        <v>5220</v>
      </c>
      <c r="AI34" s="123">
        <v>64</v>
      </c>
      <c r="AJ34" s="124">
        <v>0</v>
      </c>
      <c r="AK34" s="136">
        <v>287</v>
      </c>
      <c r="AL34" s="123">
        <v>9</v>
      </c>
      <c r="AM34" s="123">
        <v>3</v>
      </c>
      <c r="AN34" s="123">
        <v>0</v>
      </c>
      <c r="AO34" s="124">
        <v>0</v>
      </c>
      <c r="AP34" s="123">
        <f t="shared" si="111"/>
      </c>
    </row>
    <row r="35">
      <c r="A35" s="181"/>
      <c r="B35" s="182" t="s">
        <v>120</v>
      </c>
      <c r="C35" s="183" t="s">
        <v>126</v>
      </c>
      <c r="D35" s="184">
        <v>141.313</v>
      </c>
      <c r="E35" s="185">
        <v>1</v>
      </c>
      <c r="F35" s="185">
        <v>0</v>
      </c>
      <c r="G35" s="186">
        <v>0</v>
      </c>
      <c r="H35" s="185">
        <v>1</v>
      </c>
      <c r="I35" s="187">
        <v>2587.2</v>
      </c>
      <c r="J35" s="187">
        <f t="shared" si="132"/>
      </c>
      <c r="K35" s="188">
        <f t="shared" si="152"/>
      </c>
      <c r="L35" s="188">
        <f t="shared" si="175"/>
      </c>
      <c r="M35" s="189">
        <f t="shared" si="172"/>
      </c>
      <c r="N35" s="189">
        <f t="shared" si="182"/>
      </c>
      <c r="O35" s="190">
        <f t="shared" si="187"/>
      </c>
      <c r="P35" s="190">
        <f t="shared" si="3"/>
      </c>
      <c r="Q35" s="191">
        <f>D35/AI35</f>
      </c>
      <c r="R35" s="189">
        <f>D35/AJ35</f>
      </c>
      <c r="S35" s="189">
        <f>D35/AK35</f>
      </c>
      <c r="T35" s="192">
        <f>AJ35/AI35</f>
      </c>
      <c r="U35" s="193">
        <f>AK35/AJ35</f>
      </c>
      <c r="V35" s="120">
        <f t="shared" si="103"/>
      </c>
      <c r="W35" s="120">
        <f t="shared" si="170"/>
      </c>
      <c r="X35" s="121">
        <f t="shared" si="173"/>
      </c>
      <c r="Y35" s="120">
        <f t="shared" si="183"/>
      </c>
      <c r="Z35" s="120">
        <f t="shared" si="0"/>
      </c>
      <c r="AA35" s="119">
        <f>AM35/AI35</f>
      </c>
      <c r="AB35" s="119">
        <f>AN35/AI35</f>
      </c>
      <c r="AC35" s="119">
        <f t="shared" si="60"/>
      </c>
      <c r="AD35" s="122" t="s">
        <v>114</v>
      </c>
      <c r="AE35" s="122" t="s">
        <v>128</v>
      </c>
      <c r="AF35" s="123">
        <v>2244</v>
      </c>
      <c r="AG35" s="138">
        <v>176</v>
      </c>
      <c r="AH35" s="163">
        <v>6362</v>
      </c>
      <c r="AI35" s="140">
        <v>73</v>
      </c>
      <c r="AJ35" s="141">
        <v>0</v>
      </c>
      <c r="AK35" s="141">
        <v>318</v>
      </c>
      <c r="AL35" s="141">
        <v>15</v>
      </c>
      <c r="AM35" s="141">
        <v>4</v>
      </c>
      <c r="AN35" s="141">
        <v>0</v>
      </c>
      <c r="AO35" s="124">
        <v>1</v>
      </c>
      <c r="AP35" s="123">
        <f t="shared" si="111"/>
      </c>
    </row>
    <row r="36">
      <c r="A36" s="181"/>
      <c r="B36" s="194" t="s">
        <v>116</v>
      </c>
      <c r="C36" s="194"/>
      <c r="D36" s="195">
        <f>SUM(D33:D35)</f>
      </c>
      <c r="E36" s="196">
        <f>SUM(E33:E35)</f>
      </c>
      <c r="F36" s="196">
        <f>SUM(F33:F35)</f>
      </c>
      <c r="G36" s="195">
        <f>SUM(G33:G35)</f>
      </c>
      <c r="H36" s="196">
        <f>SUM(H33:H35)</f>
      </c>
      <c r="I36" s="195">
        <f>SUM(I33:I35)</f>
      </c>
      <c r="J36" s="197">
        <f>SUM(J33:J35)</f>
      </c>
      <c r="K36" s="195">
        <f t="shared" si="152"/>
      </c>
      <c r="L36" s="195">
        <f t="shared" si="175"/>
      </c>
      <c r="M36" s="198">
        <f t="shared" si="172"/>
      </c>
      <c r="N36" s="198">
        <f t="shared" si="182"/>
      </c>
      <c r="O36" s="199">
        <f t="shared" si="187"/>
      </c>
      <c r="P36" s="199">
        <f t="shared" si="3"/>
      </c>
      <c r="Q36" s="200">
        <f t="shared" ref="Q36:Q43" si="22">D36/AH36</f>
      </c>
      <c r="R36" s="198">
        <f t="shared" ref="R36:R43" si="50">D36/AI36</f>
      </c>
      <c r="S36" s="198">
        <f t="shared" ref="S36:S43" si="65">D36/AJ36</f>
      </c>
      <c r="T36" s="201">
        <f t="shared" ref="T36:T43" si="79">AI36/AH36</f>
      </c>
      <c r="U36" s="202">
        <f t="shared" ref="U36:U43" si="93">AJ36/AI36</f>
      </c>
      <c r="V36" s="131">
        <f t="shared" si="103"/>
      </c>
      <c r="W36" s="131">
        <f t="shared" si="170"/>
      </c>
      <c r="X36" s="132">
        <f t="shared" si="173"/>
      </c>
      <c r="Y36" s="131">
        <f t="shared" si="183"/>
      </c>
      <c r="Z36" s="133">
        <f t="shared" si="0"/>
      </c>
      <c r="AA36" s="130">
        <f t="shared" ref="AA36:AA43" si="8">AL36/AH36</f>
      </c>
      <c r="AB36" s="130">
        <f t="shared" ref="AB36:AB43" si="36">AM36/AH36</f>
      </c>
      <c r="AC36" s="130">
        <f t="shared" si="60"/>
      </c>
      <c r="AD36" s="130"/>
      <c r="AE36" s="134"/>
      <c r="AF36" s="160">
        <f>SUM(AF33:AF35)</f>
      </c>
      <c r="AG36" s="160">
        <f>SUM(AG33:AG35)</f>
      </c>
      <c r="AH36" s="164">
        <f>SUM(AH33:AH35)</f>
      </c>
      <c r="AI36" s="160">
        <f>SUM(AI33:AI35)</f>
      </c>
      <c r="AJ36" s="160">
        <f>SUM(AJ33:AJ35)</f>
      </c>
      <c r="AK36" s="160">
        <f>SUM(AK33:AK35)</f>
      </c>
      <c r="AL36" s="160">
        <f>SUM(AL33:AL35)</f>
      </c>
      <c r="AM36" s="160">
        <f>SUM(AM33:AM35)</f>
      </c>
      <c r="AN36" s="160">
        <f>SUM(AN33:AN35)</f>
      </c>
      <c r="AO36" s="160">
        <f>SUM(AO33:AO35)</f>
      </c>
      <c r="AP36" s="160">
        <f>SUM(AP33:AP35)</f>
      </c>
    </row>
    <row r="37">
      <c r="A37" s="181"/>
      <c r="B37" s="203" t="s">
        <v>122</v>
      </c>
      <c r="C37" s="203"/>
      <c r="D37" s="204">
        <f>D36+D32</f>
      </c>
      <c r="E37" s="205">
        <f>E36+E32</f>
      </c>
      <c r="F37" s="205">
        <f>F36+F32</f>
      </c>
      <c r="G37" s="204">
        <f>G36+G32</f>
      </c>
      <c r="H37" s="205">
        <f>H36+H32</f>
      </c>
      <c r="I37" s="204">
        <f>I36+I32</f>
      </c>
      <c r="J37" s="206">
        <f>J36+J32</f>
      </c>
      <c r="K37" s="204">
        <f t="shared" si="152"/>
      </c>
      <c r="L37" s="204">
        <f t="shared" si="175"/>
      </c>
      <c r="M37" s="207">
        <f t="shared" si="172"/>
      </c>
      <c r="N37" s="207">
        <f t="shared" si="182"/>
      </c>
      <c r="O37" s="208">
        <f t="shared" si="187"/>
      </c>
      <c r="P37" s="208">
        <f t="shared" si="3"/>
      </c>
      <c r="Q37" s="209">
        <f t="shared" si="22"/>
      </c>
      <c r="R37" s="209">
        <f t="shared" si="50"/>
      </c>
      <c r="S37" s="210">
        <f t="shared" si="65"/>
      </c>
      <c r="T37" s="211">
        <f t="shared" si="79"/>
      </c>
      <c r="U37" s="212">
        <f t="shared" si="93"/>
      </c>
      <c r="V37" s="151">
        <f t="shared" si="103"/>
      </c>
      <c r="W37" s="151">
        <f t="shared" si="170"/>
      </c>
      <c r="X37" s="152">
        <f t="shared" si="173"/>
      </c>
      <c r="Y37" s="151">
        <f t="shared" si="183"/>
      </c>
      <c r="Z37" s="153">
        <f t="shared" si="0"/>
      </c>
      <c r="AA37" s="154">
        <f t="shared" si="8"/>
      </c>
      <c r="AB37" s="154">
        <f t="shared" si="36"/>
      </c>
      <c r="AC37" s="154">
        <f t="shared" si="60"/>
      </c>
      <c r="AD37" s="154"/>
      <c r="AE37" s="155"/>
      <c r="AF37" s="167">
        <f>AF36+AF32</f>
      </c>
      <c r="AG37" s="167">
        <f>AG36+AG32</f>
      </c>
      <c r="AH37" s="167">
        <f>AH36+AH32</f>
      </c>
      <c r="AI37" s="167">
        <f>AI36+AI32</f>
      </c>
      <c r="AJ37" s="167">
        <f>AJ36+AJ32</f>
      </c>
      <c r="AK37" s="167">
        <f>AK36+AK32</f>
      </c>
      <c r="AL37" s="167">
        <f>AL36+AL32</f>
      </c>
      <c r="AM37" s="167">
        <f>AM36+AM32</f>
      </c>
      <c r="AN37" s="167">
        <f>AN36+AN32</f>
      </c>
      <c r="AO37" s="167">
        <f>AO36+AO32</f>
      </c>
      <c r="AP37" s="167">
        <f>AP36+AP32</f>
      </c>
    </row>
    <row r="38">
      <c r="A38" s="181">
        <v>46286</v>
      </c>
      <c r="B38" s="213" t="s">
        <v>111</v>
      </c>
      <c r="C38" s="183" t="s">
        <v>112</v>
      </c>
      <c r="D38" s="184">
        <v>138.219</v>
      </c>
      <c r="E38" s="185">
        <v>1</v>
      </c>
      <c r="F38" s="185">
        <v>0</v>
      </c>
      <c r="G38" s="187">
        <v>0</v>
      </c>
      <c r="H38" s="185">
        <v>0</v>
      </c>
      <c r="I38" s="186">
        <v>0</v>
      </c>
      <c r="J38" s="187">
        <f t="shared" ref="J38:J40" si="133">F38+H38</f>
      </c>
      <c r="K38" s="188">
        <f t="shared" si="152"/>
      </c>
      <c r="L38" s="188">
        <f t="shared" si="175"/>
      </c>
      <c r="M38" s="189">
        <f t="shared" si="172"/>
      </c>
      <c r="N38" s="189">
        <f t="shared" si="182"/>
      </c>
      <c r="O38" s="190">
        <f t="shared" si="187"/>
      </c>
      <c r="P38" s="190">
        <f t="shared" si="3"/>
      </c>
      <c r="Q38" s="191">
        <f t="shared" si="22"/>
      </c>
      <c r="R38" s="189">
        <f t="shared" si="50"/>
      </c>
      <c r="S38" s="189">
        <f t="shared" si="65"/>
      </c>
      <c r="T38" s="192">
        <f t="shared" si="79"/>
      </c>
      <c r="U38" s="193">
        <f t="shared" si="93"/>
      </c>
      <c r="V38" s="120">
        <f t="shared" si="103"/>
      </c>
      <c r="W38" s="120">
        <f t="shared" si="170"/>
      </c>
      <c r="X38" s="121">
        <f t="shared" si="173"/>
      </c>
      <c r="Y38" s="120">
        <f t="shared" si="183"/>
      </c>
      <c r="Z38" s="120">
        <f t="shared" si="0"/>
      </c>
      <c r="AA38" s="119">
        <f t="shared" si="8"/>
      </c>
      <c r="AB38" s="119">
        <f t="shared" si="36"/>
      </c>
      <c r="AC38" s="119">
        <f t="shared" si="60"/>
      </c>
      <c r="AD38" s="122" t="s">
        <v>114</v>
      </c>
      <c r="AE38" s="122" t="s">
        <v>129</v>
      </c>
      <c r="AF38" s="123">
        <v>1029</v>
      </c>
      <c r="AG38" s="123">
        <v>133</v>
      </c>
      <c r="AH38" s="123">
        <v>1899</v>
      </c>
      <c r="AI38" s="123">
        <v>86</v>
      </c>
      <c r="AJ38" s="124">
        <v>0</v>
      </c>
      <c r="AK38" s="123">
        <v>127</v>
      </c>
      <c r="AL38" s="123">
        <v>10</v>
      </c>
      <c r="AM38" s="123">
        <v>7</v>
      </c>
      <c r="AN38" s="123">
        <v>0</v>
      </c>
      <c r="AO38" s="124">
        <v>0</v>
      </c>
      <c r="AP38" s="123">
        <f t="shared" ref="AP38:AP40" si="112">COUNT(AO38)</f>
      </c>
    </row>
    <row r="39">
      <c r="A39" s="181"/>
      <c r="B39" s="213" t="s">
        <v>111</v>
      </c>
      <c r="C39" s="183" t="s">
        <v>118</v>
      </c>
      <c r="D39" s="184">
        <v>183.085</v>
      </c>
      <c r="E39" s="185">
        <v>1</v>
      </c>
      <c r="F39" s="185">
        <v>0</v>
      </c>
      <c r="G39" s="187">
        <v>0</v>
      </c>
      <c r="H39" s="185">
        <v>0</v>
      </c>
      <c r="I39" s="186">
        <v>0</v>
      </c>
      <c r="J39" s="187">
        <f t="shared" si="133"/>
      </c>
      <c r="K39" s="188">
        <f t="shared" si="152"/>
      </c>
      <c r="L39" s="188">
        <f t="shared" si="175"/>
      </c>
      <c r="M39" s="189">
        <f t="shared" si="172"/>
      </c>
      <c r="N39" s="189">
        <f t="shared" si="182"/>
      </c>
      <c r="O39" s="190">
        <f t="shared" si="187"/>
      </c>
      <c r="P39" s="190">
        <f t="shared" si="3"/>
      </c>
      <c r="Q39" s="191">
        <f t="shared" si="22"/>
      </c>
      <c r="R39" s="189">
        <f t="shared" si="50"/>
      </c>
      <c r="S39" s="189">
        <f t="shared" si="65"/>
      </c>
      <c r="T39" s="192">
        <f t="shared" si="79"/>
      </c>
      <c r="U39" s="193">
        <f t="shared" si="93"/>
      </c>
      <c r="V39" s="120">
        <f t="shared" si="103"/>
      </c>
      <c r="W39" s="120">
        <f t="shared" si="170"/>
      </c>
      <c r="X39" s="121">
        <f t="shared" si="173"/>
      </c>
      <c r="Y39" s="120">
        <f t="shared" si="183"/>
      </c>
      <c r="Z39" s="120">
        <f t="shared" si="0"/>
      </c>
      <c r="AA39" s="119">
        <f t="shared" si="8"/>
      </c>
      <c r="AB39" s="119">
        <f t="shared" si="36"/>
      </c>
      <c r="AC39" s="119">
        <f t="shared" si="60"/>
      </c>
      <c r="AD39" s="122" t="s">
        <v>114</v>
      </c>
      <c r="AE39" s="122" t="s">
        <v>129</v>
      </c>
      <c r="AF39" s="123">
        <v>1967</v>
      </c>
      <c r="AG39" s="123">
        <v>201</v>
      </c>
      <c r="AH39" s="123">
        <v>3682</v>
      </c>
      <c r="AI39" s="123">
        <v>140</v>
      </c>
      <c r="AJ39" s="124">
        <v>0</v>
      </c>
      <c r="AK39" s="123">
        <v>206</v>
      </c>
      <c r="AL39" s="123">
        <v>19</v>
      </c>
      <c r="AM39" s="123">
        <v>3</v>
      </c>
      <c r="AN39" s="123">
        <v>1</v>
      </c>
      <c r="AO39" s="124">
        <v>0</v>
      </c>
      <c r="AP39" s="123">
        <f t="shared" si="112"/>
      </c>
    </row>
    <row r="40">
      <c r="A40" s="181"/>
      <c r="B40" s="213" t="s">
        <v>111</v>
      </c>
      <c r="C40" s="183" t="s">
        <v>119</v>
      </c>
      <c r="D40" s="184">
        <v>221.372</v>
      </c>
      <c r="E40" s="185">
        <v>1</v>
      </c>
      <c r="F40" s="185">
        <v>1</v>
      </c>
      <c r="G40" s="187">
        <v>379.20000000000005</v>
      </c>
      <c r="H40" s="185">
        <v>0</v>
      </c>
      <c r="I40" s="186">
        <v>0</v>
      </c>
      <c r="J40" s="187">
        <f t="shared" si="133"/>
      </c>
      <c r="K40" s="188">
        <f t="shared" si="152"/>
      </c>
      <c r="L40" s="188">
        <f t="shared" si="175"/>
      </c>
      <c r="M40" s="189">
        <f t="shared" si="172"/>
      </c>
      <c r="N40" s="189">
        <f t="shared" si="182"/>
      </c>
      <c r="O40" s="190">
        <f t="shared" si="187"/>
      </c>
      <c r="P40" s="190">
        <f t="shared" si="3"/>
      </c>
      <c r="Q40" s="191">
        <f t="shared" si="22"/>
      </c>
      <c r="R40" s="189">
        <f t="shared" si="50"/>
      </c>
      <c r="S40" s="189">
        <f t="shared" si="65"/>
      </c>
      <c r="T40" s="192">
        <f t="shared" si="79"/>
      </c>
      <c r="U40" s="193">
        <f t="shared" si="93"/>
      </c>
      <c r="V40" s="120">
        <f t="shared" si="103"/>
      </c>
      <c r="W40" s="120">
        <f t="shared" si="170"/>
      </c>
      <c r="X40" s="121">
        <f t="shared" si="173"/>
      </c>
      <c r="Y40" s="120">
        <f t="shared" si="183"/>
      </c>
      <c r="Z40" s="120">
        <f t="shared" si="0"/>
      </c>
      <c r="AA40" s="119">
        <f t="shared" si="8"/>
      </c>
      <c r="AB40" s="119">
        <f t="shared" si="36"/>
      </c>
      <c r="AC40" s="119">
        <f t="shared" si="60"/>
      </c>
      <c r="AD40" s="122" t="s">
        <v>114</v>
      </c>
      <c r="AE40" s="122" t="s">
        <v>129</v>
      </c>
      <c r="AF40" s="123">
        <v>2528</v>
      </c>
      <c r="AG40" s="123">
        <v>256</v>
      </c>
      <c r="AH40" s="123">
        <v>4698</v>
      </c>
      <c r="AI40" s="123">
        <v>174</v>
      </c>
      <c r="AJ40" s="124">
        <v>1</v>
      </c>
      <c r="AK40" s="123">
        <v>244</v>
      </c>
      <c r="AL40" s="123">
        <v>36</v>
      </c>
      <c r="AM40" s="123">
        <v>17</v>
      </c>
      <c r="AN40" s="123">
        <v>1</v>
      </c>
      <c r="AO40" s="124">
        <v>0</v>
      </c>
      <c r="AP40" s="123">
        <f t="shared" si="112"/>
      </c>
    </row>
    <row r="41">
      <c r="A41" s="181"/>
      <c r="B41" s="194" t="s">
        <v>116</v>
      </c>
      <c r="C41" s="194"/>
      <c r="D41" s="195">
        <f>SUM(D38:D40)</f>
      </c>
      <c r="E41" s="196">
        <f>SUM(E38:E40)</f>
      </c>
      <c r="F41" s="196">
        <f>SUM(F38:F40)</f>
      </c>
      <c r="G41" s="195">
        <f>SUM(G38:G40)</f>
      </c>
      <c r="H41" s="196">
        <f>SUM(H38:H40)</f>
      </c>
      <c r="I41" s="195">
        <f>SUM(I38:I40)</f>
      </c>
      <c r="J41" s="197">
        <f>SUM(J38:J40)</f>
      </c>
      <c r="K41" s="195">
        <f t="shared" si="152"/>
      </c>
      <c r="L41" s="195">
        <f t="shared" si="175"/>
      </c>
      <c r="M41" s="198">
        <f t="shared" si="172"/>
      </c>
      <c r="N41" s="198">
        <f t="shared" si="182"/>
      </c>
      <c r="O41" s="199">
        <f t="shared" si="187"/>
      </c>
      <c r="P41" s="199">
        <f t="shared" si="3"/>
      </c>
      <c r="Q41" s="200">
        <f t="shared" si="22"/>
      </c>
      <c r="R41" s="198">
        <f t="shared" si="50"/>
      </c>
      <c r="S41" s="198">
        <f t="shared" si="65"/>
      </c>
      <c r="T41" s="201">
        <f t="shared" si="79"/>
      </c>
      <c r="U41" s="202">
        <f t="shared" si="93"/>
      </c>
      <c r="V41" s="131">
        <f t="shared" si="103"/>
      </c>
      <c r="W41" s="131">
        <f t="shared" si="170"/>
      </c>
      <c r="X41" s="132">
        <f t="shared" si="173"/>
      </c>
      <c r="Y41" s="131">
        <f t="shared" si="183"/>
      </c>
      <c r="Z41" s="133">
        <f t="shared" si="0"/>
      </c>
      <c r="AA41" s="130">
        <f t="shared" si="8"/>
      </c>
      <c r="AB41" s="130">
        <f t="shared" si="36"/>
      </c>
      <c r="AC41" s="130">
        <f t="shared" si="60"/>
      </c>
      <c r="AD41" s="130"/>
      <c r="AE41" s="134"/>
      <c r="AF41" s="160">
        <f>SUM(AF38:AF40)</f>
      </c>
      <c r="AG41" s="160">
        <f>SUM(AG38:AG40)</f>
      </c>
      <c r="AH41" s="160">
        <f>SUM(AH38:AH40)</f>
      </c>
      <c r="AI41" s="160">
        <f>SUM(AI38:AI40)</f>
      </c>
      <c r="AJ41" s="160">
        <f>SUM(AJ38:AJ40)</f>
      </c>
      <c r="AK41" s="160">
        <f>SUM(AK38:AK40)</f>
      </c>
      <c r="AL41" s="160">
        <f>SUM(AL38:AL40)</f>
      </c>
      <c r="AM41" s="160">
        <f>SUM(AM38:AM40)</f>
      </c>
      <c r="AN41" s="160">
        <f>SUM(AN38:AN40)</f>
      </c>
      <c r="AO41" s="160">
        <f>SUM(AO38:AO40)</f>
      </c>
      <c r="AP41" s="160">
        <f>SUM(AP38:AP40)</f>
      </c>
    </row>
    <row r="42">
      <c r="A42" s="181"/>
      <c r="B42" s="182" t="s">
        <v>120</v>
      </c>
      <c r="C42" s="183" t="s">
        <v>121</v>
      </c>
      <c r="D42" s="184">
        <v>335.196</v>
      </c>
      <c r="E42" s="185">
        <v>1</v>
      </c>
      <c r="F42" s="185">
        <v>0</v>
      </c>
      <c r="G42" s="186">
        <v>0</v>
      </c>
      <c r="H42" s="185">
        <v>0</v>
      </c>
      <c r="I42" s="186">
        <v>0</v>
      </c>
      <c r="J42" s="187">
        <f t="shared" ref="J42:J44" si="134">F42+H42</f>
      </c>
      <c r="K42" s="188">
        <f t="shared" si="152"/>
      </c>
      <c r="L42" s="188">
        <f t="shared" si="175"/>
      </c>
      <c r="M42" s="189">
        <f t="shared" si="172"/>
      </c>
      <c r="N42" s="189">
        <f t="shared" si="182"/>
      </c>
      <c r="O42" s="190">
        <f t="shared" si="187"/>
      </c>
      <c r="P42" s="190">
        <f t="shared" si="3"/>
      </c>
      <c r="Q42" s="191">
        <f t="shared" si="22"/>
      </c>
      <c r="R42" s="189">
        <f t="shared" si="50"/>
      </c>
      <c r="S42" s="189">
        <f t="shared" si="65"/>
      </c>
      <c r="T42" s="192">
        <f t="shared" si="79"/>
      </c>
      <c r="U42" s="193">
        <f t="shared" si="93"/>
      </c>
      <c r="V42" s="120">
        <f t="shared" si="103"/>
      </c>
      <c r="W42" s="120">
        <f t="shared" si="170"/>
      </c>
      <c r="X42" s="121">
        <f t="shared" si="173"/>
      </c>
      <c r="Y42" s="120">
        <f t="shared" si="183"/>
      </c>
      <c r="Z42" s="120">
        <f t="shared" si="0"/>
      </c>
      <c r="AA42" s="119">
        <f t="shared" si="8"/>
      </c>
      <c r="AB42" s="119">
        <f t="shared" si="36"/>
      </c>
      <c r="AC42" s="119">
        <f t="shared" si="60"/>
      </c>
      <c r="AD42" s="122" t="s">
        <v>114</v>
      </c>
      <c r="AE42" s="122" t="s">
        <v>129</v>
      </c>
      <c r="AF42" s="136">
        <v>4064</v>
      </c>
      <c r="AG42" s="136">
        <v>340</v>
      </c>
      <c r="AH42" s="137">
        <v>8695</v>
      </c>
      <c r="AI42" s="123">
        <v>161</v>
      </c>
      <c r="AJ42" s="123">
        <v>0</v>
      </c>
      <c r="AK42" s="136">
        <v>378</v>
      </c>
      <c r="AL42" s="124">
        <v>38</v>
      </c>
      <c r="AM42" s="124">
        <v>18</v>
      </c>
      <c r="AN42" s="124">
        <v>2</v>
      </c>
      <c r="AO42" s="124">
        <v>0</v>
      </c>
      <c r="AP42" s="123">
        <f t="shared" ref="AP42:AP44" si="113">COUNT(AO42)</f>
      </c>
    </row>
    <row r="43">
      <c r="A43" s="181"/>
      <c r="B43" s="182" t="s">
        <v>120</v>
      </c>
      <c r="C43" s="183" t="s">
        <v>125</v>
      </c>
      <c r="D43" s="184">
        <v>328.642</v>
      </c>
      <c r="E43" s="185">
        <v>1</v>
      </c>
      <c r="F43" s="185">
        <v>0</v>
      </c>
      <c r="G43" s="186">
        <v>0</v>
      </c>
      <c r="H43" s="185">
        <v>1</v>
      </c>
      <c r="I43" s="187">
        <v>1414.8000000000002</v>
      </c>
      <c r="J43" s="187">
        <f t="shared" si="134"/>
      </c>
      <c r="K43" s="188">
        <f t="shared" si="152"/>
      </c>
      <c r="L43" s="188">
        <f t="shared" si="175"/>
      </c>
      <c r="M43" s="189">
        <f t="shared" si="172"/>
      </c>
      <c r="N43" s="189">
        <f t="shared" si="182"/>
      </c>
      <c r="O43" s="190">
        <f t="shared" si="187"/>
      </c>
      <c r="P43" s="190">
        <f t="shared" si="3"/>
      </c>
      <c r="Q43" s="191">
        <f t="shared" si="22"/>
      </c>
      <c r="R43" s="189">
        <f t="shared" si="50"/>
      </c>
      <c r="S43" s="189">
        <f t="shared" si="65"/>
      </c>
      <c r="T43" s="192">
        <f t="shared" si="79"/>
      </c>
      <c r="U43" s="193">
        <f t="shared" si="93"/>
      </c>
      <c r="V43" s="120">
        <f t="shared" si="103"/>
      </c>
      <c r="W43" s="120">
        <f t="shared" si="170"/>
      </c>
      <c r="X43" s="121">
        <f t="shared" si="173"/>
      </c>
      <c r="Y43" s="120">
        <f t="shared" si="183"/>
      </c>
      <c r="Z43" s="120">
        <f t="shared" si="0"/>
      </c>
      <c r="AA43" s="119">
        <f t="shared" si="8"/>
      </c>
      <c r="AB43" s="119">
        <f t="shared" si="36"/>
      </c>
      <c r="AC43" s="119">
        <f t="shared" si="60"/>
      </c>
      <c r="AD43" s="122" t="s">
        <v>114</v>
      </c>
      <c r="AE43" s="122" t="s">
        <v>129</v>
      </c>
      <c r="AF43" s="136">
        <v>4014</v>
      </c>
      <c r="AG43" s="136">
        <v>278</v>
      </c>
      <c r="AH43" s="137">
        <v>8663</v>
      </c>
      <c r="AI43" s="124">
        <v>121</v>
      </c>
      <c r="AJ43" s="124">
        <v>1</v>
      </c>
      <c r="AK43" s="124">
        <v>468</v>
      </c>
      <c r="AL43" s="124">
        <v>28</v>
      </c>
      <c r="AM43" s="124">
        <v>13</v>
      </c>
      <c r="AN43" s="124">
        <v>0</v>
      </c>
      <c r="AO43" s="124">
        <v>0</v>
      </c>
      <c r="AP43" s="123">
        <f t="shared" si="113"/>
      </c>
    </row>
    <row r="44">
      <c r="A44" s="181"/>
      <c r="B44" s="182" t="s">
        <v>120</v>
      </c>
      <c r="C44" s="183" t="s">
        <v>126</v>
      </c>
      <c r="D44" s="184">
        <v>278.141</v>
      </c>
      <c r="E44" s="185">
        <v>0</v>
      </c>
      <c r="F44" s="185">
        <v>0</v>
      </c>
      <c r="G44" s="186">
        <v>0</v>
      </c>
      <c r="H44" s="185">
        <v>0</v>
      </c>
      <c r="I44" s="186">
        <v>0</v>
      </c>
      <c r="J44" s="187">
        <f t="shared" si="134"/>
      </c>
      <c r="K44" s="188">
        <f t="shared" si="152"/>
      </c>
      <c r="L44" s="188">
        <f t="shared" si="175"/>
      </c>
      <c r="M44" s="189">
        <f t="shared" si="172"/>
      </c>
      <c r="N44" s="189">
        <f t="shared" si="182"/>
      </c>
      <c r="O44" s="190">
        <f t="shared" si="187"/>
      </c>
      <c r="P44" s="190">
        <f t="shared" si="3"/>
      </c>
      <c r="Q44" s="191">
        <f>D44/AI44</f>
      </c>
      <c r="R44" s="189">
        <f>D44/AJ44</f>
      </c>
      <c r="S44" s="189">
        <f>D44/AK44</f>
      </c>
      <c r="T44" s="192">
        <f>AJ44/AI44</f>
      </c>
      <c r="U44" s="193">
        <f>AK44/AJ44</f>
      </c>
      <c r="V44" s="120">
        <f t="shared" si="103"/>
      </c>
      <c r="W44" s="120">
        <f t="shared" si="170"/>
      </c>
      <c r="X44" s="121">
        <f t="shared" si="173"/>
      </c>
      <c r="Y44" s="120">
        <f t="shared" si="183"/>
      </c>
      <c r="Z44" s="120">
        <f t="shared" si="0"/>
      </c>
      <c r="AA44" s="119">
        <f>AM44/AI44</f>
      </c>
      <c r="AB44" s="119">
        <f>AN44/AI44</f>
      </c>
      <c r="AC44" s="119">
        <f t="shared" si="60"/>
      </c>
      <c r="AD44" s="122" t="s">
        <v>114</v>
      </c>
      <c r="AE44" s="122" t="s">
        <v>129</v>
      </c>
      <c r="AF44" s="123">
        <v>4609</v>
      </c>
      <c r="AG44" s="138">
        <v>312</v>
      </c>
      <c r="AH44" s="163">
        <v>9950</v>
      </c>
      <c r="AI44" s="140">
        <v>113</v>
      </c>
      <c r="AJ44" s="214">
        <v>0</v>
      </c>
      <c r="AK44" s="141">
        <v>454</v>
      </c>
      <c r="AL44" s="141">
        <v>16</v>
      </c>
      <c r="AM44" s="141">
        <v>7</v>
      </c>
      <c r="AN44" s="141">
        <v>1</v>
      </c>
      <c r="AO44" s="124">
        <v>0</v>
      </c>
      <c r="AP44" s="123">
        <f t="shared" si="113"/>
      </c>
    </row>
    <row r="45">
      <c r="A45" s="181"/>
      <c r="B45" s="194" t="s">
        <v>116</v>
      </c>
      <c r="C45" s="194"/>
      <c r="D45" s="195">
        <f>SUM(D42:D44)</f>
      </c>
      <c r="E45" s="196">
        <f>SUM(E42:E44)</f>
      </c>
      <c r="F45" s="196">
        <f>SUM(F42:F44)</f>
      </c>
      <c r="G45" s="195">
        <f>SUM(G42:G44)</f>
      </c>
      <c r="H45" s="196">
        <f>SUM(H42:H44)</f>
      </c>
      <c r="I45" s="195">
        <f>SUM(I42:I44)</f>
      </c>
      <c r="J45" s="197">
        <f>SUM(J42:J44)</f>
      </c>
      <c r="K45" s="195">
        <f t="shared" si="152"/>
      </c>
      <c r="L45" s="195">
        <f t="shared" si="175"/>
      </c>
      <c r="M45" s="198">
        <f t="shared" si="172"/>
      </c>
      <c r="N45" s="198">
        <f t="shared" si="182"/>
      </c>
      <c r="O45" s="199">
        <f t="shared" si="187"/>
      </c>
      <c r="P45" s="199">
        <f t="shared" si="3"/>
      </c>
      <c r="Q45" s="200">
        <f t="shared" ref="Q45:Q52" si="23">D45/AH45</f>
      </c>
      <c r="R45" s="198">
        <f t="shared" ref="R45:R52" si="51">D45/AI45</f>
      </c>
      <c r="S45" s="198">
        <f t="shared" ref="S45:S52" si="66">D45/AJ45</f>
      </c>
      <c r="T45" s="201">
        <f t="shared" ref="T45:T52" si="80">AI45/AH45</f>
      </c>
      <c r="U45" s="202">
        <f t="shared" ref="U45:U52" si="94">AJ45/AI45</f>
      </c>
      <c r="V45" s="131">
        <f t="shared" si="103"/>
      </c>
      <c r="W45" s="131">
        <f t="shared" si="170"/>
      </c>
      <c r="X45" s="132">
        <f t="shared" si="173"/>
      </c>
      <c r="Y45" s="131">
        <f t="shared" si="183"/>
      </c>
      <c r="Z45" s="133">
        <f t="shared" si="0"/>
      </c>
      <c r="AA45" s="130">
        <f t="shared" ref="AA45:AA52" si="9">AL45/AH45</f>
      </c>
      <c r="AB45" s="130">
        <f t="shared" ref="AB45:AB52" si="37">AM45/AH45</f>
      </c>
      <c r="AC45" s="130">
        <f t="shared" si="60"/>
      </c>
      <c r="AD45" s="130"/>
      <c r="AE45" s="134"/>
      <c r="AF45" s="160">
        <f>SUM(AF42:AF44)</f>
      </c>
      <c r="AG45" s="160">
        <f>SUM(AG42:AG44)</f>
      </c>
      <c r="AH45" s="164">
        <f>SUM(AH42:AH44)</f>
      </c>
      <c r="AI45" s="160">
        <f>SUM(AI42:AI44)</f>
      </c>
      <c r="AJ45" s="160">
        <f>SUM(AJ42:AJ44)</f>
      </c>
      <c r="AK45" s="160">
        <f>SUM(AK42:AK44)</f>
      </c>
      <c r="AL45" s="160">
        <f>SUM(AL42:AL44)</f>
      </c>
      <c r="AM45" s="160">
        <f>SUM(AM42:AM44)</f>
      </c>
      <c r="AN45" s="160">
        <f>SUM(AN42:AN44)</f>
      </c>
      <c r="AO45" s="160">
        <f>SUM(AO42:AO44)</f>
      </c>
      <c r="AP45" s="160">
        <f>SUM(AP42:AP44)</f>
      </c>
    </row>
    <row r="46">
      <c r="A46" s="181"/>
      <c r="B46" s="203" t="s">
        <v>122</v>
      </c>
      <c r="C46" s="203"/>
      <c r="D46" s="204">
        <f>D45+D41</f>
      </c>
      <c r="E46" s="205">
        <f>E45+E41</f>
      </c>
      <c r="F46" s="205">
        <f>F45+F41</f>
      </c>
      <c r="G46" s="204">
        <f>G45+G41</f>
      </c>
      <c r="H46" s="205">
        <f>H45+H41</f>
      </c>
      <c r="I46" s="204">
        <f>I45+I41</f>
      </c>
      <c r="J46" s="206">
        <f>J45+J41</f>
      </c>
      <c r="K46" s="204">
        <f>K45+K41</f>
      </c>
      <c r="L46" s="204">
        <f t="shared" si="175"/>
      </c>
      <c r="M46" s="207">
        <f t="shared" si="172"/>
      </c>
      <c r="N46" s="207">
        <f t="shared" si="182"/>
      </c>
      <c r="O46" s="208">
        <f t="shared" si="187"/>
      </c>
      <c r="P46" s="208">
        <f t="shared" si="3"/>
      </c>
      <c r="Q46" s="209">
        <f t="shared" si="23"/>
      </c>
      <c r="R46" s="209">
        <f t="shared" si="51"/>
      </c>
      <c r="S46" s="210">
        <f t="shared" si="66"/>
      </c>
      <c r="T46" s="211">
        <f t="shared" si="80"/>
      </c>
      <c r="U46" s="212">
        <f t="shared" si="94"/>
      </c>
      <c r="V46" s="151">
        <f t="shared" si="103"/>
      </c>
      <c r="W46" s="151">
        <f t="shared" si="170"/>
      </c>
      <c r="X46" s="152">
        <f t="shared" si="173"/>
      </c>
      <c r="Y46" s="151">
        <f t="shared" si="183"/>
      </c>
      <c r="Z46" s="153">
        <f t="shared" si="0"/>
      </c>
      <c r="AA46" s="154">
        <f t="shared" si="9"/>
      </c>
      <c r="AB46" s="154">
        <f t="shared" si="37"/>
      </c>
      <c r="AC46" s="154">
        <f t="shared" si="60"/>
      </c>
      <c r="AD46" s="154"/>
      <c r="AE46" s="155"/>
      <c r="AF46" s="167">
        <f>AF45+AF41</f>
      </c>
      <c r="AG46" s="167">
        <f>AG45+AG41</f>
      </c>
      <c r="AH46" s="167">
        <f>AH45+AH41</f>
      </c>
      <c r="AI46" s="167">
        <f>AI45+AI41</f>
      </c>
      <c r="AJ46" s="167">
        <f>AJ45+AJ41</f>
      </c>
      <c r="AK46" s="167">
        <f>AK45+AK41</f>
      </c>
      <c r="AL46" s="167">
        <f>AL45+AL41</f>
      </c>
      <c r="AM46" s="167">
        <f>AM45+AM41</f>
      </c>
      <c r="AN46" s="167">
        <f>AN45+AN41</f>
      </c>
      <c r="AO46" s="167">
        <f>AO45+AO41</f>
      </c>
      <c r="AP46" s="167">
        <f>AP45+AP41</f>
      </c>
    </row>
    <row r="47">
      <c r="A47" s="181">
        <v>46287</v>
      </c>
      <c r="B47" s="213" t="s">
        <v>111</v>
      </c>
      <c r="C47" s="183" t="s">
        <v>112</v>
      </c>
      <c r="D47" s="184">
        <v>399.46</v>
      </c>
      <c r="E47" s="185">
        <v>3</v>
      </c>
      <c r="F47" s="185">
        <v>0</v>
      </c>
      <c r="G47" s="187">
        <v>0</v>
      </c>
      <c r="H47" s="185">
        <v>1</v>
      </c>
      <c r="I47" s="215">
        <v>652.8</v>
      </c>
      <c r="J47" s="187">
        <f t="shared" ref="J47:J49" si="135">F47+H47</f>
      </c>
      <c r="K47" s="188">
        <f t="shared" ref="K47:K49" si="153">G47+I47</f>
      </c>
      <c r="L47" s="189">
        <f t="shared" si="175"/>
      </c>
      <c r="M47" s="189">
        <f t="shared" ref="M47:M126" si="125">K47/J47</f>
      </c>
      <c r="N47" s="189">
        <f t="shared" si="182"/>
      </c>
      <c r="O47" s="190">
        <f t="shared" si="187"/>
      </c>
      <c r="P47" s="190">
        <f t="shared" si="3"/>
      </c>
      <c r="Q47" s="191">
        <f t="shared" si="23"/>
      </c>
      <c r="R47" s="189">
        <f t="shared" si="51"/>
      </c>
      <c r="S47" s="189">
        <f t="shared" si="66"/>
      </c>
      <c r="T47" s="192">
        <f t="shared" si="80"/>
      </c>
      <c r="U47" s="193">
        <f t="shared" si="94"/>
      </c>
      <c r="V47" s="120">
        <f t="shared" si="103"/>
      </c>
      <c r="W47" s="120">
        <f t="shared" si="170"/>
      </c>
      <c r="X47" s="121">
        <f t="shared" si="173"/>
      </c>
      <c r="Y47" s="120">
        <f t="shared" si="183"/>
      </c>
      <c r="Z47" s="120">
        <f t="shared" si="0"/>
      </c>
      <c r="AA47" s="119">
        <f t="shared" si="9"/>
      </c>
      <c r="AB47" s="119">
        <f t="shared" si="37"/>
      </c>
      <c r="AC47" s="119">
        <f t="shared" si="60"/>
      </c>
      <c r="AD47" s="122" t="s">
        <v>114</v>
      </c>
      <c r="AE47" s="122" t="s">
        <v>129</v>
      </c>
      <c r="AF47" s="123">
        <v>6003</v>
      </c>
      <c r="AG47" s="123">
        <v>2020</v>
      </c>
      <c r="AH47" s="123">
        <v>9378</v>
      </c>
      <c r="AI47" s="123">
        <v>195</v>
      </c>
      <c r="AJ47" s="124">
        <v>1</v>
      </c>
      <c r="AK47" s="123">
        <v>954</v>
      </c>
      <c r="AL47" s="123">
        <v>63</v>
      </c>
      <c r="AM47" s="123">
        <v>18</v>
      </c>
      <c r="AN47" s="123">
        <v>1</v>
      </c>
      <c r="AO47" s="124">
        <v>0</v>
      </c>
      <c r="AP47" s="123">
        <f t="shared" ref="AP47:AP49" si="114">COUNT(AO47)</f>
      </c>
    </row>
    <row r="48">
      <c r="A48" s="181"/>
      <c r="B48" s="213" t="s">
        <v>111</v>
      </c>
      <c r="C48" s="183" t="s">
        <v>118</v>
      </c>
      <c r="D48" s="184">
        <v>1141.505</v>
      </c>
      <c r="E48" s="185">
        <v>0</v>
      </c>
      <c r="F48" s="185">
        <v>0</v>
      </c>
      <c r="G48" s="187">
        <v>0</v>
      </c>
      <c r="H48" s="185">
        <v>0</v>
      </c>
      <c r="I48" s="215">
        <v>0</v>
      </c>
      <c r="J48" s="187">
        <f t="shared" si="135"/>
      </c>
      <c r="K48" s="188">
        <f t="shared" si="153"/>
      </c>
      <c r="L48" s="189">
        <f t="shared" si="175"/>
      </c>
      <c r="M48" s="189">
        <f t="shared" si="125"/>
      </c>
      <c r="N48" s="189">
        <f t="shared" si="182"/>
      </c>
      <c r="O48" s="190">
        <f t="shared" si="187"/>
      </c>
      <c r="P48" s="190">
        <f t="shared" si="3"/>
      </c>
      <c r="Q48" s="191">
        <f t="shared" si="23"/>
      </c>
      <c r="R48" s="189">
        <f t="shared" si="51"/>
      </c>
      <c r="S48" s="189">
        <f t="shared" si="66"/>
      </c>
      <c r="T48" s="192">
        <f t="shared" si="80"/>
      </c>
      <c r="U48" s="193">
        <f t="shared" si="94"/>
      </c>
      <c r="V48" s="120">
        <f t="shared" si="103"/>
      </c>
      <c r="W48" s="120">
        <f t="shared" si="170"/>
      </c>
      <c r="X48" s="121">
        <f t="shared" si="173"/>
      </c>
      <c r="Y48" s="120">
        <f t="shared" si="183"/>
      </c>
      <c r="Z48" s="120">
        <f t="shared" si="0"/>
      </c>
      <c r="AA48" s="119">
        <f t="shared" si="9"/>
      </c>
      <c r="AB48" s="119">
        <f t="shared" si="37"/>
      </c>
      <c r="AC48" s="119">
        <f t="shared" si="60"/>
      </c>
      <c r="AD48" s="122" t="s">
        <v>114</v>
      </c>
      <c r="AE48" s="122" t="s">
        <v>129</v>
      </c>
      <c r="AF48" s="123">
        <v>18409</v>
      </c>
      <c r="AG48" s="123">
        <v>5452</v>
      </c>
      <c r="AH48" s="123">
        <v>37599</v>
      </c>
      <c r="AI48" s="123">
        <v>337</v>
      </c>
      <c r="AJ48" s="124">
        <v>3</v>
      </c>
      <c r="AK48" s="123">
        <v>2924</v>
      </c>
      <c r="AL48" s="123">
        <v>131</v>
      </c>
      <c r="AM48" s="123">
        <v>43</v>
      </c>
      <c r="AN48" s="123">
        <v>1</v>
      </c>
      <c r="AO48" s="124">
        <v>0</v>
      </c>
      <c r="AP48" s="123">
        <f t="shared" si="114"/>
      </c>
    </row>
    <row r="49">
      <c r="A49" s="181"/>
      <c r="B49" s="213" t="s">
        <v>111</v>
      </c>
      <c r="C49" s="183" t="s">
        <v>119</v>
      </c>
      <c r="D49" s="184">
        <v>2756.373</v>
      </c>
      <c r="E49" s="185">
        <v>4</v>
      </c>
      <c r="F49" s="185">
        <v>1</v>
      </c>
      <c r="G49" s="187">
        <v>645.5999999999999</v>
      </c>
      <c r="H49" s="185">
        <v>1</v>
      </c>
      <c r="I49" s="215">
        <v>1414.8000000000004</v>
      </c>
      <c r="J49" s="187">
        <f t="shared" si="135"/>
      </c>
      <c r="K49" s="188">
        <f t="shared" si="153"/>
      </c>
      <c r="L49" s="189">
        <f t="shared" si="175"/>
      </c>
      <c r="M49" s="189">
        <f t="shared" si="125"/>
      </c>
      <c r="N49" s="189">
        <f t="shared" si="182"/>
      </c>
      <c r="O49" s="190">
        <f t="shared" si="187"/>
      </c>
      <c r="P49" s="190">
        <f t="shared" si="3"/>
      </c>
      <c r="Q49" s="191">
        <f t="shared" si="23"/>
      </c>
      <c r="R49" s="189">
        <f t="shared" si="51"/>
      </c>
      <c r="S49" s="189">
        <f t="shared" si="66"/>
      </c>
      <c r="T49" s="192">
        <f t="shared" si="80"/>
      </c>
      <c r="U49" s="193">
        <f t="shared" si="94"/>
      </c>
      <c r="V49" s="120">
        <f t="shared" si="103"/>
      </c>
      <c r="W49" s="120">
        <f t="shared" si="170"/>
      </c>
      <c r="X49" s="121">
        <f t="shared" si="173"/>
      </c>
      <c r="Y49" s="120">
        <f t="shared" si="183"/>
      </c>
      <c r="Z49" s="120">
        <f t="shared" si="0"/>
      </c>
      <c r="AA49" s="119">
        <f t="shared" si="9"/>
      </c>
      <c r="AB49" s="119">
        <f t="shared" si="37"/>
      </c>
      <c r="AC49" s="119">
        <f t="shared" si="60"/>
      </c>
      <c r="AD49" s="122" t="s">
        <v>114</v>
      </c>
      <c r="AE49" s="122" t="s">
        <v>129</v>
      </c>
      <c r="AF49" s="123">
        <v>47278</v>
      </c>
      <c r="AG49" s="123">
        <v>6870</v>
      </c>
      <c r="AH49" s="123">
        <v>105623</v>
      </c>
      <c r="AI49" s="123">
        <v>626</v>
      </c>
      <c r="AJ49" s="124">
        <v>1</v>
      </c>
      <c r="AK49" s="123">
        <v>5851</v>
      </c>
      <c r="AL49" s="123">
        <v>129</v>
      </c>
      <c r="AM49" s="123">
        <v>54</v>
      </c>
      <c r="AN49" s="123">
        <v>3</v>
      </c>
      <c r="AO49" s="124">
        <v>0</v>
      </c>
      <c r="AP49" s="123">
        <f t="shared" si="114"/>
      </c>
    </row>
    <row r="50">
      <c r="A50" s="181"/>
      <c r="B50" s="194" t="s">
        <v>116</v>
      </c>
      <c r="C50" s="194"/>
      <c r="D50" s="195">
        <f>SUM(D47:D49)</f>
      </c>
      <c r="E50" s="196">
        <f>SUM(E47:E49)</f>
      </c>
      <c r="F50" s="196">
        <f>SUM(F47:F49)</f>
      </c>
      <c r="G50" s="195">
        <f>SUM(G47:G49)</f>
      </c>
      <c r="H50" s="196">
        <f>SUM(H47:H49)</f>
      </c>
      <c r="I50" s="195">
        <f>SUM(I47:I49)</f>
      </c>
      <c r="J50" s="197">
        <f>SUM(J47:J49)</f>
      </c>
      <c r="K50" s="195">
        <f>SUM(K47:K49)</f>
      </c>
      <c r="L50" s="195">
        <f t="shared" si="175"/>
      </c>
      <c r="M50" s="195">
        <f t="shared" si="125"/>
      </c>
      <c r="N50" s="195">
        <f t="shared" si="182"/>
      </c>
      <c r="O50" s="199">
        <f t="shared" si="187"/>
      </c>
      <c r="P50" s="199">
        <f t="shared" si="3"/>
      </c>
      <c r="Q50" s="200">
        <f t="shared" si="23"/>
      </c>
      <c r="R50" s="198">
        <f t="shared" si="51"/>
      </c>
      <c r="S50" s="198">
        <f t="shared" si="66"/>
      </c>
      <c r="T50" s="201">
        <f t="shared" si="80"/>
      </c>
      <c r="U50" s="202">
        <f t="shared" si="94"/>
      </c>
      <c r="V50" s="131">
        <f t="shared" si="103"/>
      </c>
      <c r="W50" s="131">
        <f t="shared" si="170"/>
      </c>
      <c r="X50" s="132">
        <f t="shared" si="173"/>
      </c>
      <c r="Y50" s="131">
        <f t="shared" si="183"/>
      </c>
      <c r="Z50" s="133">
        <f t="shared" si="0"/>
      </c>
      <c r="AA50" s="130">
        <f t="shared" si="9"/>
      </c>
      <c r="AB50" s="130">
        <f t="shared" si="37"/>
      </c>
      <c r="AC50" s="130">
        <f t="shared" si="60"/>
      </c>
      <c r="AD50" s="130"/>
      <c r="AE50" s="134"/>
      <c r="AF50" s="160">
        <f>SUM(AF47:AF49)</f>
      </c>
      <c r="AG50" s="160">
        <f>SUM(AG47:AG49)</f>
      </c>
      <c r="AH50" s="160">
        <f>SUM(AH47:AH49)</f>
      </c>
      <c r="AI50" s="160">
        <f>SUM(AI47:AI49)</f>
      </c>
      <c r="AJ50" s="160">
        <f>SUM(AJ47:AJ49)</f>
      </c>
      <c r="AK50" s="160">
        <f>SUM(AK47:AK49)</f>
      </c>
      <c r="AL50" s="160">
        <f>SUM(AL47:AL49)</f>
      </c>
      <c r="AM50" s="160">
        <f>SUM(AM47:AM49)</f>
      </c>
      <c r="AN50" s="160">
        <f>SUM(AN47:AN49)</f>
      </c>
      <c r="AO50" s="160">
        <f>SUM(AO47:AO49)</f>
      </c>
      <c r="AP50" s="160">
        <f>SUM(AP47:AP49)</f>
      </c>
    </row>
    <row r="51">
      <c r="A51" s="181"/>
      <c r="B51" s="182" t="s">
        <v>120</v>
      </c>
      <c r="C51" s="183" t="s">
        <v>121</v>
      </c>
      <c r="D51" s="184">
        <v>1230.614</v>
      </c>
      <c r="E51" s="185">
        <v>0</v>
      </c>
      <c r="F51" s="185">
        <v>0</v>
      </c>
      <c r="G51" s="186">
        <v>0</v>
      </c>
      <c r="H51" s="185">
        <v>0</v>
      </c>
      <c r="I51" s="215">
        <v>0</v>
      </c>
      <c r="J51" s="187">
        <f t="shared" ref="J51:J53" si="136">F51+H51</f>
      </c>
      <c r="K51" s="188">
        <f t="shared" ref="K51:K53" si="154">G51+I51</f>
      </c>
      <c r="L51" s="188">
        <f t="shared" si="175"/>
      </c>
      <c r="M51" s="188">
        <f t="shared" si="125"/>
      </c>
      <c r="N51" s="188">
        <f t="shared" si="182"/>
      </c>
      <c r="O51" s="190">
        <f t="shared" si="187"/>
      </c>
      <c r="P51" s="190">
        <f t="shared" si="3"/>
      </c>
      <c r="Q51" s="191">
        <f t="shared" si="23"/>
      </c>
      <c r="R51" s="189">
        <f t="shared" si="51"/>
      </c>
      <c r="S51" s="189">
        <f t="shared" si="66"/>
      </c>
      <c r="T51" s="192">
        <f t="shared" si="80"/>
      </c>
      <c r="U51" s="193">
        <f t="shared" si="94"/>
      </c>
      <c r="V51" s="120">
        <f t="shared" si="103"/>
      </c>
      <c r="W51" s="120">
        <f t="shared" si="170"/>
      </c>
      <c r="X51" s="121">
        <f t="shared" si="173"/>
      </c>
      <c r="Y51" s="120">
        <f t="shared" si="183"/>
      </c>
      <c r="Z51" s="120">
        <f t="shared" si="0"/>
      </c>
      <c r="AA51" s="119">
        <f t="shared" si="9"/>
      </c>
      <c r="AB51" s="119">
        <f t="shared" si="37"/>
      </c>
      <c r="AC51" s="119">
        <f t="shared" si="60"/>
      </c>
      <c r="AD51" s="122" t="s">
        <v>114</v>
      </c>
      <c r="AE51" s="122" t="s">
        <v>129</v>
      </c>
      <c r="AF51" s="136">
        <v>21909</v>
      </c>
      <c r="AG51" s="136">
        <v>3780</v>
      </c>
      <c r="AH51" s="137">
        <v>42127</v>
      </c>
      <c r="AI51" s="123">
        <v>364</v>
      </c>
      <c r="AJ51" s="123">
        <v>0</v>
      </c>
      <c r="AK51" s="136">
        <v>2526</v>
      </c>
      <c r="AL51" s="124">
        <v>93</v>
      </c>
      <c r="AM51" s="124">
        <v>21</v>
      </c>
      <c r="AN51" s="124">
        <v>8</v>
      </c>
      <c r="AO51" s="124">
        <v>0</v>
      </c>
      <c r="AP51" s="123">
        <f t="shared" ref="AP51:AP53" si="115">COUNT(AO51)</f>
      </c>
    </row>
    <row r="52">
      <c r="A52" s="181"/>
      <c r="B52" s="182" t="s">
        <v>120</v>
      </c>
      <c r="C52" s="183" t="s">
        <v>125</v>
      </c>
      <c r="D52" s="184">
        <v>911.161</v>
      </c>
      <c r="E52" s="185">
        <v>1</v>
      </c>
      <c r="F52" s="185">
        <v>0</v>
      </c>
      <c r="G52" s="186">
        <v>0</v>
      </c>
      <c r="H52" s="185">
        <v>1</v>
      </c>
      <c r="I52" s="188">
        <v>402</v>
      </c>
      <c r="J52" s="187">
        <f t="shared" si="136"/>
      </c>
      <c r="K52" s="216">
        <f t="shared" si="154"/>
      </c>
      <c r="L52" s="188">
        <f t="shared" si="175"/>
      </c>
      <c r="M52" s="188">
        <f t="shared" si="125"/>
      </c>
      <c r="N52" s="188">
        <f t="shared" si="182"/>
      </c>
      <c r="O52" s="190">
        <f t="shared" si="187"/>
      </c>
      <c r="P52" s="190">
        <f t="shared" si="3"/>
      </c>
      <c r="Q52" s="191">
        <f t="shared" si="23"/>
      </c>
      <c r="R52" s="189">
        <f t="shared" si="51"/>
      </c>
      <c r="S52" s="189">
        <f t="shared" si="66"/>
      </c>
      <c r="T52" s="192">
        <f t="shared" si="80"/>
      </c>
      <c r="U52" s="193">
        <f t="shared" si="94"/>
      </c>
      <c r="V52" s="120">
        <f t="shared" si="103"/>
      </c>
      <c r="W52" s="120">
        <f t="shared" si="170"/>
      </c>
      <c r="X52" s="121">
        <f t="shared" si="173"/>
      </c>
      <c r="Y52" s="120">
        <f t="shared" si="183"/>
      </c>
      <c r="Z52" s="120">
        <f t="shared" si="0"/>
      </c>
      <c r="AA52" s="119">
        <f t="shared" si="9"/>
      </c>
      <c r="AB52" s="119">
        <f t="shared" si="37"/>
      </c>
      <c r="AC52" s="119">
        <f t="shared" si="60"/>
      </c>
      <c r="AD52" s="122" t="s">
        <v>114</v>
      </c>
      <c r="AE52" s="122" t="s">
        <v>129</v>
      </c>
      <c r="AF52" s="136">
        <v>18609</v>
      </c>
      <c r="AG52" s="136">
        <v>4103</v>
      </c>
      <c r="AH52" s="137">
        <v>36778</v>
      </c>
      <c r="AI52" s="124">
        <v>220</v>
      </c>
      <c r="AJ52" s="124">
        <v>1</v>
      </c>
      <c r="AK52" s="124">
        <v>2533</v>
      </c>
      <c r="AL52" s="124">
        <v>81</v>
      </c>
      <c r="AM52" s="124">
        <v>32</v>
      </c>
      <c r="AN52" s="124">
        <v>2</v>
      </c>
      <c r="AO52" s="124">
        <v>0</v>
      </c>
      <c r="AP52" s="123">
        <f t="shared" si="115"/>
      </c>
    </row>
    <row r="53">
      <c r="A53" s="181"/>
      <c r="B53" s="182" t="s">
        <v>120</v>
      </c>
      <c r="C53" s="183" t="s">
        <v>126</v>
      </c>
      <c r="D53" s="184">
        <v>469.727</v>
      </c>
      <c r="E53" s="185">
        <v>0</v>
      </c>
      <c r="F53" s="185">
        <v>0</v>
      </c>
      <c r="G53" s="186">
        <v>0</v>
      </c>
      <c r="H53" s="185">
        <v>0</v>
      </c>
      <c r="I53" s="215">
        <v>0</v>
      </c>
      <c r="J53" s="187">
        <f t="shared" si="136"/>
      </c>
      <c r="K53" s="216">
        <f t="shared" si="154"/>
      </c>
      <c r="L53" s="188">
        <f t="shared" si="175"/>
      </c>
      <c r="M53" s="188">
        <f t="shared" si="125"/>
      </c>
      <c r="N53" s="188">
        <f t="shared" si="182"/>
      </c>
      <c r="O53" s="190">
        <f t="shared" si="187"/>
      </c>
      <c r="P53" s="190">
        <f t="shared" si="3"/>
      </c>
      <c r="Q53" s="191">
        <f>D53/AI53</f>
      </c>
      <c r="R53" s="189">
        <f>D53/AJ53</f>
      </c>
      <c r="S53" s="189">
        <f>D53/AK53</f>
      </c>
      <c r="T53" s="192">
        <f>AJ53/AI53</f>
      </c>
      <c r="U53" s="193">
        <f>AK53/AJ53</f>
      </c>
      <c r="V53" s="120">
        <f t="shared" si="103"/>
      </c>
      <c r="W53" s="120">
        <f t="shared" si="170"/>
      </c>
      <c r="X53" s="121">
        <f t="shared" si="173"/>
      </c>
      <c r="Y53" s="120">
        <f t="shared" si="183"/>
      </c>
      <c r="Z53" s="120">
        <f t="shared" si="0"/>
      </c>
      <c r="AA53" s="119">
        <f>AM53/AI53</f>
      </c>
      <c r="AB53" s="119">
        <f>AN53/AI53</f>
      </c>
      <c r="AC53" s="119">
        <f t="shared" si="60"/>
      </c>
      <c r="AD53" s="122" t="s">
        <v>114</v>
      </c>
      <c r="AE53" s="122" t="s">
        <v>129</v>
      </c>
      <c r="AF53" s="123">
        <v>11831</v>
      </c>
      <c r="AG53" s="138">
        <v>3150</v>
      </c>
      <c r="AH53" s="163">
        <v>20973</v>
      </c>
      <c r="AI53" s="140">
        <v>251</v>
      </c>
      <c r="AJ53" s="141">
        <v>0</v>
      </c>
      <c r="AK53" s="141">
        <v>1569</v>
      </c>
      <c r="AL53" s="141">
        <v>48</v>
      </c>
      <c r="AM53" s="141">
        <v>19</v>
      </c>
      <c r="AN53" s="141">
        <v>2</v>
      </c>
      <c r="AO53" s="124">
        <v>0</v>
      </c>
      <c r="AP53" s="123">
        <f t="shared" si="115"/>
      </c>
    </row>
    <row r="54">
      <c r="A54" s="181"/>
      <c r="B54" s="194" t="s">
        <v>116</v>
      </c>
      <c r="C54" s="194"/>
      <c r="D54" s="195">
        <f>SUM(D51:D53)</f>
      </c>
      <c r="E54" s="196">
        <f>SUM(E51:E53)</f>
      </c>
      <c r="F54" s="196">
        <f>SUM(F51:F53)</f>
      </c>
      <c r="G54" s="195">
        <f>SUM(G51:G53)</f>
      </c>
      <c r="H54" s="196">
        <f>SUM(H51:H53)</f>
      </c>
      <c r="I54" s="195">
        <f>SUM(I51:I53)</f>
      </c>
      <c r="J54" s="197">
        <f>SUM(J51:J53)</f>
      </c>
      <c r="K54" s="195">
        <f>SUM(K51:K53)</f>
      </c>
      <c r="L54" s="195">
        <f t="shared" si="175"/>
      </c>
      <c r="M54" s="195">
        <f t="shared" si="125"/>
      </c>
      <c r="N54" s="195">
        <f t="shared" si="182"/>
      </c>
      <c r="O54" s="199">
        <f t="shared" si="187"/>
      </c>
      <c r="P54" s="199">
        <f t="shared" si="3"/>
      </c>
      <c r="Q54" s="200">
        <f t="shared" ref="Q54:Q61" si="24">D54/AH54</f>
      </c>
      <c r="R54" s="198">
        <f t="shared" ref="R54:R61" si="52">D54/AI54</f>
      </c>
      <c r="S54" s="198">
        <f t="shared" ref="S54:S61" si="67">D54/AJ54</f>
      </c>
      <c r="T54" s="201">
        <f t="shared" ref="T54:T61" si="81">AI54/AH54</f>
      </c>
      <c r="U54" s="202">
        <f t="shared" ref="U54:U61" si="95">AJ54/AI54</f>
      </c>
      <c r="V54" s="131">
        <f t="shared" si="103"/>
      </c>
      <c r="W54" s="131">
        <f t="shared" si="170"/>
      </c>
      <c r="X54" s="132">
        <f t="shared" si="173"/>
      </c>
      <c r="Y54" s="131">
        <f t="shared" si="183"/>
      </c>
      <c r="Z54" s="133">
        <f t="shared" si="0"/>
      </c>
      <c r="AA54" s="130">
        <f t="shared" ref="AA54:AA61" si="10">AL54/AH54</f>
      </c>
      <c r="AB54" s="130">
        <f t="shared" ref="AB54:AB61" si="38">AM54/AH54</f>
      </c>
      <c r="AC54" s="130">
        <f t="shared" si="60"/>
      </c>
      <c r="AD54" s="130"/>
      <c r="AE54" s="134"/>
      <c r="AF54" s="160">
        <f>SUM(AF51:AF53)</f>
      </c>
      <c r="AG54" s="160">
        <f>SUM(AG51:AG53)</f>
      </c>
      <c r="AH54" s="164">
        <f>SUM(AH51:AH53)</f>
      </c>
      <c r="AI54" s="160">
        <f>SUM(AI51:AI53)</f>
      </c>
      <c r="AJ54" s="160">
        <f>SUM(AJ51:AJ53)</f>
      </c>
      <c r="AK54" s="160">
        <f>SUM(AK51:AK53)</f>
      </c>
      <c r="AL54" s="160">
        <f>SUM(AL51:AL53)</f>
      </c>
      <c r="AM54" s="160">
        <f>SUM(AM51:AM53)</f>
      </c>
      <c r="AN54" s="160">
        <f>SUM(AN51:AN53)</f>
      </c>
      <c r="AO54" s="160">
        <f>SUM(AO51:AO53)</f>
      </c>
      <c r="AP54" s="160">
        <f>SUM(AP51:AP53)</f>
      </c>
    </row>
    <row r="55">
      <c r="A55" s="181"/>
      <c r="B55" s="203" t="s">
        <v>122</v>
      </c>
      <c r="C55" s="203"/>
      <c r="D55" s="204">
        <f>D54+D50</f>
      </c>
      <c r="E55" s="205">
        <f>E54+E50</f>
      </c>
      <c r="F55" s="205">
        <f>F54+F50</f>
      </c>
      <c r="G55" s="204">
        <f>G54+G50</f>
      </c>
      <c r="H55" s="205">
        <f>H54+H50</f>
      </c>
      <c r="I55" s="204">
        <f>I54+I50</f>
      </c>
      <c r="J55" s="206">
        <f>J54+J50</f>
      </c>
      <c r="K55" s="204">
        <f>K54+K50</f>
      </c>
      <c r="L55" s="204">
        <f t="shared" si="175"/>
      </c>
      <c r="M55" s="204">
        <f t="shared" si="125"/>
      </c>
      <c r="N55" s="204">
        <f t="shared" si="182"/>
      </c>
      <c r="O55" s="208">
        <f t="shared" si="187"/>
      </c>
      <c r="P55" s="208">
        <f t="shared" si="3"/>
      </c>
      <c r="Q55" s="209">
        <f t="shared" si="24"/>
      </c>
      <c r="R55" s="209">
        <f t="shared" si="52"/>
      </c>
      <c r="S55" s="210">
        <f t="shared" si="67"/>
      </c>
      <c r="T55" s="211">
        <f t="shared" si="81"/>
      </c>
      <c r="U55" s="212">
        <f t="shared" si="95"/>
      </c>
      <c r="V55" s="151">
        <f t="shared" si="103"/>
      </c>
      <c r="W55" s="151">
        <f t="shared" si="170"/>
      </c>
      <c r="X55" s="152">
        <f t="shared" si="173"/>
      </c>
      <c r="Y55" s="151">
        <f t="shared" si="183"/>
      </c>
      <c r="Z55" s="153">
        <f t="shared" si="0"/>
      </c>
      <c r="AA55" s="154">
        <f t="shared" si="10"/>
      </c>
      <c r="AB55" s="154">
        <f t="shared" si="38"/>
      </c>
      <c r="AC55" s="154">
        <f t="shared" si="60"/>
      </c>
      <c r="AD55" s="154"/>
      <c r="AE55" s="155"/>
      <c r="AF55" s="167">
        <f>AF54+AF50</f>
      </c>
      <c r="AG55" s="167">
        <f>AG54+AG50</f>
      </c>
      <c r="AH55" s="167">
        <f>AH54+AH50</f>
      </c>
      <c r="AI55" s="167">
        <f>AI54+AI50</f>
      </c>
      <c r="AJ55" s="167">
        <f>AJ54+AJ50</f>
      </c>
      <c r="AK55" s="167">
        <f>AK54+AK50</f>
      </c>
      <c r="AL55" s="167">
        <f>AL54+AL50</f>
      </c>
      <c r="AM55" s="167">
        <f>AM54+AM50</f>
      </c>
      <c r="AN55" s="167">
        <f>AN54+AN50</f>
      </c>
      <c r="AO55" s="167">
        <f>AO54+AO50</f>
      </c>
      <c r="AP55" s="167">
        <f>AP54+AP50</f>
      </c>
    </row>
    <row r="56">
      <c r="A56" s="181">
        <v>46288</v>
      </c>
      <c r="B56" s="213" t="s">
        <v>127</v>
      </c>
      <c r="C56" s="183" t="s">
        <v>112</v>
      </c>
      <c r="D56" s="184">
        <v>324.254</v>
      </c>
      <c r="E56" s="185">
        <v>2</v>
      </c>
      <c r="F56" s="185">
        <v>1</v>
      </c>
      <c r="G56" s="187">
        <v>748.8</v>
      </c>
      <c r="H56" s="185">
        <v>1</v>
      </c>
      <c r="I56" s="215">
        <v>652.8</v>
      </c>
      <c r="J56" s="187">
        <f t="shared" ref="J56:J59" si="137">F56+H56</f>
      </c>
      <c r="K56" s="188">
        <f t="shared" ref="K56:K59" si="155">G56+I56</f>
      </c>
      <c r="L56" s="189">
        <f t="shared" si="175"/>
      </c>
      <c r="M56" s="189">
        <f t="shared" si="125"/>
      </c>
      <c r="N56" s="189">
        <f t="shared" si="182"/>
      </c>
      <c r="O56" s="190">
        <f t="shared" si="187"/>
      </c>
      <c r="P56" s="190">
        <f t="shared" si="3"/>
      </c>
      <c r="Q56" s="191">
        <f t="shared" si="24"/>
      </c>
      <c r="R56" s="189">
        <f t="shared" si="52"/>
      </c>
      <c r="S56" s="189">
        <f t="shared" si="67"/>
      </c>
      <c r="T56" s="192">
        <f t="shared" si="81"/>
      </c>
      <c r="U56" s="193">
        <f t="shared" si="95"/>
      </c>
      <c r="V56" s="120">
        <f t="shared" si="103"/>
      </c>
      <c r="W56" s="120">
        <f t="shared" si="170"/>
      </c>
      <c r="X56" s="121">
        <f t="shared" si="173"/>
      </c>
      <c r="Y56" s="120">
        <f t="shared" si="183"/>
      </c>
      <c r="Z56" s="120">
        <f t="shared" si="0"/>
      </c>
      <c r="AA56" s="119">
        <f t="shared" si="10"/>
      </c>
      <c r="AB56" s="119">
        <f t="shared" si="38"/>
      </c>
      <c r="AC56" s="119">
        <f t="shared" si="60"/>
      </c>
      <c r="AD56" s="122" t="s">
        <v>114</v>
      </c>
      <c r="AE56" s="122" t="s">
        <v>129</v>
      </c>
      <c r="AF56" s="123">
        <v>6631</v>
      </c>
      <c r="AG56" s="123">
        <v>1563</v>
      </c>
      <c r="AH56" s="123">
        <v>6012</v>
      </c>
      <c r="AI56" s="123">
        <v>180</v>
      </c>
      <c r="AJ56" s="124">
        <v>2</v>
      </c>
      <c r="AK56" s="123">
        <v>541</v>
      </c>
      <c r="AL56" s="123">
        <v>38</v>
      </c>
      <c r="AM56" s="123">
        <v>24</v>
      </c>
      <c r="AN56" s="123">
        <v>1</v>
      </c>
      <c r="AO56" s="124">
        <v>0</v>
      </c>
      <c r="AP56" s="123">
        <f t="shared" ref="AP56:AP59" si="116">COUNT(AO56)</f>
      </c>
    </row>
    <row r="57">
      <c r="A57" s="181"/>
      <c r="B57" s="213" t="s">
        <v>127</v>
      </c>
      <c r="C57" s="183" t="s">
        <v>118</v>
      </c>
      <c r="D57" s="184">
        <v>551.9</v>
      </c>
      <c r="E57" s="185">
        <v>0</v>
      </c>
      <c r="F57" s="185">
        <v>0</v>
      </c>
      <c r="G57" s="187">
        <v>0</v>
      </c>
      <c r="H57" s="185">
        <v>0</v>
      </c>
      <c r="I57" s="215">
        <v>0</v>
      </c>
      <c r="J57" s="187">
        <f t="shared" si="137"/>
      </c>
      <c r="K57" s="188">
        <f t="shared" si="155"/>
      </c>
      <c r="L57" s="189">
        <f t="shared" si="175"/>
      </c>
      <c r="M57" s="189">
        <f t="shared" si="125"/>
      </c>
      <c r="N57" s="189">
        <f t="shared" si="182"/>
      </c>
      <c r="O57" s="190">
        <f t="shared" si="187"/>
      </c>
      <c r="P57" s="190">
        <f t="shared" si="3"/>
      </c>
      <c r="Q57" s="191">
        <f t="shared" si="24"/>
      </c>
      <c r="R57" s="189">
        <f t="shared" si="52"/>
      </c>
      <c r="S57" s="189">
        <f t="shared" si="67"/>
      </c>
      <c r="T57" s="192">
        <f t="shared" si="81"/>
      </c>
      <c r="U57" s="193">
        <f t="shared" si="95"/>
      </c>
      <c r="V57" s="120">
        <f t="shared" si="103"/>
      </c>
      <c r="W57" s="120">
        <f t="shared" si="170"/>
      </c>
      <c r="X57" s="121">
        <f t="shared" si="173"/>
      </c>
      <c r="Y57" s="120">
        <f t="shared" si="183"/>
      </c>
      <c r="Z57" s="120">
        <f t="shared" si="0"/>
      </c>
      <c r="AA57" s="119">
        <f t="shared" si="10"/>
      </c>
      <c r="AB57" s="119">
        <f t="shared" si="38"/>
      </c>
      <c r="AC57" s="119">
        <f t="shared" si="60"/>
      </c>
      <c r="AD57" s="122" t="s">
        <v>114</v>
      </c>
      <c r="AE57" s="122" t="s">
        <v>129</v>
      </c>
      <c r="AF57" s="123">
        <v>16535</v>
      </c>
      <c r="AG57" s="123">
        <v>4023</v>
      </c>
      <c r="AH57" s="123">
        <v>15393</v>
      </c>
      <c r="AI57" s="123">
        <v>335</v>
      </c>
      <c r="AJ57" s="124">
        <v>0</v>
      </c>
      <c r="AK57" s="123">
        <v>1298</v>
      </c>
      <c r="AL57" s="123">
        <v>121</v>
      </c>
      <c r="AM57" s="123">
        <v>33</v>
      </c>
      <c r="AN57" s="123">
        <v>0</v>
      </c>
      <c r="AO57" s="124">
        <v>0</v>
      </c>
      <c r="AP57" s="123">
        <f t="shared" si="116"/>
      </c>
    </row>
    <row customHeight="true" ht="16.071428571428573" r="58">
      <c r="A58" s="181"/>
      <c r="B58" s="213" t="s">
        <v>127</v>
      </c>
      <c r="C58" s="183" t="s">
        <v>119</v>
      </c>
      <c r="D58" s="184">
        <v>436.94</v>
      </c>
      <c r="E58" s="185">
        <v>0</v>
      </c>
      <c r="F58" s="185">
        <v>0</v>
      </c>
      <c r="G58" s="187">
        <v>0</v>
      </c>
      <c r="H58" s="185">
        <v>0</v>
      </c>
      <c r="I58" s="215">
        <v>0</v>
      </c>
      <c r="J58" s="187">
        <f t="shared" si="137"/>
      </c>
      <c r="K58" s="188">
        <f t="shared" si="155"/>
      </c>
      <c r="L58" s="189">
        <f t="shared" si="175"/>
      </c>
      <c r="M58" s="189">
        <f t="shared" si="125"/>
      </c>
      <c r="N58" s="189">
        <f t="shared" si="182"/>
      </c>
      <c r="O58" s="190">
        <f t="shared" si="187"/>
      </c>
      <c r="P58" s="190">
        <f t="shared" si="3"/>
      </c>
      <c r="Q58" s="191">
        <f t="shared" si="24"/>
      </c>
      <c r="R58" s="189">
        <f t="shared" si="52"/>
      </c>
      <c r="S58" s="189">
        <f t="shared" si="67"/>
      </c>
      <c r="T58" s="192">
        <f t="shared" si="81"/>
      </c>
      <c r="U58" s="193">
        <f t="shared" si="95"/>
      </c>
      <c r="V58" s="120">
        <f t="shared" si="103"/>
      </c>
      <c r="W58" s="120">
        <f t="shared" si="170"/>
      </c>
      <c r="X58" s="121">
        <f t="shared" si="173"/>
      </c>
      <c r="Y58" s="120">
        <f t="shared" si="183"/>
      </c>
      <c r="Z58" s="120">
        <f t="shared" si="0"/>
      </c>
      <c r="AA58" s="119">
        <f t="shared" si="10"/>
      </c>
      <c r="AB58" s="119">
        <f t="shared" si="38"/>
      </c>
      <c r="AC58" s="119">
        <f t="shared" si="60"/>
      </c>
      <c r="AD58" s="122" t="s">
        <v>114</v>
      </c>
      <c r="AE58" s="122" t="s">
        <v>129</v>
      </c>
      <c r="AF58" s="123">
        <v>8168</v>
      </c>
      <c r="AG58" s="123">
        <v>2161</v>
      </c>
      <c r="AH58" s="123">
        <v>8297</v>
      </c>
      <c r="AI58" s="123">
        <v>190</v>
      </c>
      <c r="AJ58" s="124">
        <v>0</v>
      </c>
      <c r="AK58" s="123">
        <v>532</v>
      </c>
      <c r="AL58" s="123">
        <v>69</v>
      </c>
      <c r="AM58" s="123">
        <v>18</v>
      </c>
      <c r="AN58" s="123">
        <v>4</v>
      </c>
      <c r="AO58" s="123">
        <v>0</v>
      </c>
      <c r="AP58" s="123">
        <f t="shared" si="116"/>
      </c>
    </row>
    <row r="59">
      <c r="A59" s="181"/>
      <c r="B59" s="213" t="s">
        <v>127</v>
      </c>
      <c r="C59" s="183" t="s">
        <v>121</v>
      </c>
      <c r="D59" s="184">
        <v>447.024</v>
      </c>
      <c r="E59" s="185">
        <v>0</v>
      </c>
      <c r="F59" s="185">
        <v>0</v>
      </c>
      <c r="G59" s="187">
        <v>0</v>
      </c>
      <c r="H59" s="185">
        <v>0</v>
      </c>
      <c r="I59" s="215">
        <v>0</v>
      </c>
      <c r="J59" s="187">
        <f t="shared" si="137"/>
      </c>
      <c r="K59" s="188">
        <f t="shared" si="155"/>
      </c>
      <c r="L59" s="189">
        <f t="shared" si="175"/>
      </c>
      <c r="M59" s="189">
        <f t="shared" si="125"/>
      </c>
      <c r="N59" s="189">
        <f t="shared" si="182"/>
      </c>
      <c r="O59" s="190">
        <f t="shared" si="187"/>
      </c>
      <c r="P59" s="190">
        <f t="shared" si="3"/>
      </c>
      <c r="Q59" s="191">
        <f t="shared" si="24"/>
      </c>
      <c r="R59" s="189">
        <f t="shared" si="52"/>
      </c>
      <c r="S59" s="189">
        <f t="shared" si="67"/>
      </c>
      <c r="T59" s="192">
        <f t="shared" si="81"/>
      </c>
      <c r="U59" s="193">
        <f t="shared" si="95"/>
      </c>
      <c r="V59" s="120">
        <f t="shared" si="103"/>
      </c>
      <c r="W59" s="120">
        <f t="shared" si="170"/>
      </c>
      <c r="X59" s="121">
        <f t="shared" si="173"/>
      </c>
      <c r="Y59" s="120">
        <f t="shared" si="183"/>
      </c>
      <c r="Z59" s="120">
        <f t="shared" si="0"/>
      </c>
      <c r="AA59" s="119">
        <f t="shared" si="10"/>
      </c>
      <c r="AB59" s="119">
        <f t="shared" si="38"/>
      </c>
      <c r="AC59" s="119">
        <f t="shared" si="60"/>
      </c>
      <c r="AD59" s="122" t="s">
        <v>114</v>
      </c>
      <c r="AE59" s="122" t="s">
        <v>129</v>
      </c>
      <c r="AF59" s="123">
        <v>9898</v>
      </c>
      <c r="AG59" s="123">
        <v>2935</v>
      </c>
      <c r="AH59" s="123">
        <v>11966</v>
      </c>
      <c r="AI59" s="123">
        <v>159</v>
      </c>
      <c r="AJ59" s="124">
        <v>0</v>
      </c>
      <c r="AK59" s="123">
        <v>811</v>
      </c>
      <c r="AL59" s="123">
        <v>58</v>
      </c>
      <c r="AM59" s="123">
        <v>33</v>
      </c>
      <c r="AN59" s="123">
        <v>2</v>
      </c>
      <c r="AO59" s="123">
        <v>0</v>
      </c>
      <c r="AP59" s="123">
        <f t="shared" si="116"/>
      </c>
    </row>
    <row r="60">
      <c r="A60" s="181"/>
      <c r="B60" s="194" t="s">
        <v>116</v>
      </c>
      <c r="C60" s="194"/>
      <c r="D60" s="195">
        <f>SUM(D56:D59)</f>
      </c>
      <c r="E60" s="196">
        <f>SUM(E56:E59)</f>
      </c>
      <c r="F60" s="196">
        <f>SUM(F56:F59)</f>
      </c>
      <c r="G60" s="195">
        <f>SUM(G56:G59)</f>
      </c>
      <c r="H60" s="196">
        <f>SUM(H56:H59)</f>
      </c>
      <c r="I60" s="195">
        <f>SUM(I56:I59)</f>
      </c>
      <c r="J60" s="197">
        <f>SUM(J56:J59)</f>
      </c>
      <c r="K60" s="195">
        <f>SUM(K56:K59)</f>
      </c>
      <c r="L60" s="195">
        <f t="shared" si="175"/>
      </c>
      <c r="M60" s="195">
        <f t="shared" si="125"/>
      </c>
      <c r="N60" s="195">
        <f t="shared" si="182"/>
      </c>
      <c r="O60" s="199">
        <f t="shared" si="187"/>
      </c>
      <c r="P60" s="199">
        <f t="shared" si="3"/>
      </c>
      <c r="Q60" s="200">
        <f t="shared" si="24"/>
      </c>
      <c r="R60" s="198">
        <f t="shared" si="52"/>
      </c>
      <c r="S60" s="198">
        <f t="shared" si="67"/>
      </c>
      <c r="T60" s="201">
        <f t="shared" si="81"/>
      </c>
      <c r="U60" s="202">
        <f t="shared" si="95"/>
      </c>
      <c r="V60" s="131">
        <f t="shared" si="103"/>
      </c>
      <c r="W60" s="131">
        <f t="shared" si="170"/>
      </c>
      <c r="X60" s="132">
        <f t="shared" si="173"/>
      </c>
      <c r="Y60" s="131">
        <f t="shared" si="183"/>
      </c>
      <c r="Z60" s="133">
        <f t="shared" si="0"/>
      </c>
      <c r="AA60" s="130">
        <f t="shared" si="10"/>
      </c>
      <c r="AB60" s="130">
        <f t="shared" si="38"/>
      </c>
      <c r="AC60" s="130">
        <f t="shared" si="60"/>
      </c>
      <c r="AD60" s="130"/>
      <c r="AE60" s="134"/>
      <c r="AF60" s="160">
        <f>SUM(AF56:AF59)</f>
      </c>
      <c r="AG60" s="160">
        <f>SUM(AG56:AG59)</f>
      </c>
      <c r="AH60" s="160">
        <f>SUM(AH56:AH59)</f>
      </c>
      <c r="AI60" s="160">
        <f>SUM(AI56:AI59)</f>
      </c>
      <c r="AJ60" s="160">
        <f>SUM(AJ56:AJ59)</f>
      </c>
      <c r="AK60" s="160">
        <f>SUM(AK56:AK59)</f>
      </c>
      <c r="AL60" s="160">
        <f>SUM(AL56:AL59)</f>
      </c>
      <c r="AM60" s="160">
        <f>SUM(AM56:AM59)</f>
      </c>
      <c r="AN60" s="160">
        <f>SUM(AN56:AN59)</f>
      </c>
      <c r="AO60" s="160">
        <f>SUM(AO56:AO59)</f>
      </c>
      <c r="AP60" s="160">
        <f>SUM(AP56:AP59)</f>
      </c>
    </row>
    <row r="61">
      <c r="A61" s="181"/>
      <c r="B61" s="182" t="s">
        <v>124</v>
      </c>
      <c r="C61" s="183" t="s">
        <v>125</v>
      </c>
      <c r="D61" s="184">
        <v>531.15</v>
      </c>
      <c r="E61" s="185">
        <v>1</v>
      </c>
      <c r="F61" s="185">
        <v>0</v>
      </c>
      <c r="G61" s="186">
        <v>0</v>
      </c>
      <c r="H61" s="185">
        <v>0</v>
      </c>
      <c r="I61" s="215">
        <v>0</v>
      </c>
      <c r="J61" s="187">
        <f t="shared" ref="J61:J62" si="138">F61+H61</f>
      </c>
      <c r="K61" s="188">
        <f t="shared" ref="K61:K62" si="156">G61+I61</f>
      </c>
      <c r="L61" s="188">
        <f t="shared" si="175"/>
      </c>
      <c r="M61" s="188">
        <f t="shared" si="125"/>
      </c>
      <c r="N61" s="188">
        <f t="shared" si="182"/>
      </c>
      <c r="O61" s="190">
        <f t="shared" si="187"/>
      </c>
      <c r="P61" s="190">
        <f t="shared" si="3"/>
      </c>
      <c r="Q61" s="191">
        <f t="shared" si="24"/>
      </c>
      <c r="R61" s="189">
        <f t="shared" si="52"/>
      </c>
      <c r="S61" s="189">
        <f t="shared" si="67"/>
      </c>
      <c r="T61" s="192">
        <f t="shared" si="81"/>
      </c>
      <c r="U61" s="193">
        <f t="shared" si="95"/>
      </c>
      <c r="V61" s="120">
        <f t="shared" si="103"/>
      </c>
      <c r="W61" s="120">
        <f t="shared" si="170"/>
      </c>
      <c r="X61" s="121">
        <f t="shared" si="173"/>
      </c>
      <c r="Y61" s="120">
        <f t="shared" si="183"/>
      </c>
      <c r="Z61" s="120">
        <f t="shared" si="0"/>
      </c>
      <c r="AA61" s="119">
        <f t="shared" si="10"/>
      </c>
      <c r="AB61" s="119">
        <f t="shared" si="38"/>
      </c>
      <c r="AC61" s="119">
        <f t="shared" si="60"/>
      </c>
      <c r="AD61" s="122" t="s">
        <v>114</v>
      </c>
      <c r="AE61" s="122" t="s">
        <v>129</v>
      </c>
      <c r="AF61" s="136">
        <v>10879</v>
      </c>
      <c r="AG61" s="136">
        <v>2520</v>
      </c>
      <c r="AH61" s="137">
        <v>17573</v>
      </c>
      <c r="AI61" s="123">
        <v>157</v>
      </c>
      <c r="AJ61" s="123">
        <v>0</v>
      </c>
      <c r="AK61" s="136">
        <v>954</v>
      </c>
      <c r="AL61" s="124">
        <v>54</v>
      </c>
      <c r="AM61" s="124">
        <v>18</v>
      </c>
      <c r="AN61" s="124">
        <v>4</v>
      </c>
      <c r="AO61" s="123">
        <v>0</v>
      </c>
      <c r="AP61" s="123">
        <f t="shared" ref="AP61:AP62" si="117">COUNT(AO61)</f>
      </c>
    </row>
    <row r="62">
      <c r="A62" s="181"/>
      <c r="B62" s="182" t="s">
        <v>124</v>
      </c>
      <c r="C62" s="183" t="s">
        <v>126</v>
      </c>
      <c r="D62" s="184">
        <v>179.542</v>
      </c>
      <c r="E62" s="185">
        <v>0</v>
      </c>
      <c r="F62" s="185">
        <v>0</v>
      </c>
      <c r="G62" s="186">
        <v>0</v>
      </c>
      <c r="H62" s="185">
        <v>0</v>
      </c>
      <c r="I62" s="215">
        <v>0</v>
      </c>
      <c r="J62" s="187">
        <f t="shared" si="138"/>
      </c>
      <c r="K62" s="188">
        <f t="shared" si="156"/>
      </c>
      <c r="L62" s="188">
        <f t="shared" si="175"/>
      </c>
      <c r="M62" s="188">
        <f t="shared" si="125"/>
      </c>
      <c r="N62" s="188">
        <f t="shared" si="182"/>
      </c>
      <c r="O62" s="190">
        <f t="shared" si="187"/>
      </c>
      <c r="P62" s="190">
        <f t="shared" si="3"/>
      </c>
      <c r="Q62" s="191">
        <f>D62/AI62</f>
      </c>
      <c r="R62" s="189">
        <f>D62/AJ62</f>
      </c>
      <c r="S62" s="189">
        <f>D62/AK62</f>
      </c>
      <c r="T62" s="192">
        <f>AJ62/AI62</f>
      </c>
      <c r="U62" s="193">
        <f>AK62/AJ62</f>
      </c>
      <c r="V62" s="120">
        <f t="shared" si="103"/>
      </c>
      <c r="W62" s="120">
        <f t="shared" si="170"/>
      </c>
      <c r="X62" s="121">
        <f t="shared" si="173"/>
      </c>
      <c r="Y62" s="120">
        <f t="shared" si="183"/>
      </c>
      <c r="Z62" s="120">
        <f t="shared" si="0"/>
      </c>
      <c r="AA62" s="119">
        <f>AM62/AI62</f>
      </c>
      <c r="AB62" s="119">
        <f>AN62/AI62</f>
      </c>
      <c r="AC62" s="119">
        <f t="shared" si="60"/>
      </c>
      <c r="AD62" s="122" t="s">
        <v>114</v>
      </c>
      <c r="AE62" s="122" t="s">
        <v>129</v>
      </c>
      <c r="AF62" s="123">
        <v>6127</v>
      </c>
      <c r="AG62" s="138">
        <v>1625</v>
      </c>
      <c r="AH62" s="163">
        <v>7493</v>
      </c>
      <c r="AI62" s="140">
        <v>78</v>
      </c>
      <c r="AJ62" s="141">
        <v>0</v>
      </c>
      <c r="AK62" s="141">
        <v>492</v>
      </c>
      <c r="AL62" s="141">
        <v>28</v>
      </c>
      <c r="AM62" s="141">
        <v>13</v>
      </c>
      <c r="AN62" s="141">
        <v>0</v>
      </c>
      <c r="AO62" s="123">
        <v>0</v>
      </c>
      <c r="AP62" s="123">
        <f t="shared" si="117"/>
      </c>
    </row>
    <row r="63">
      <c r="A63" s="181"/>
      <c r="B63" s="194" t="s">
        <v>116</v>
      </c>
      <c r="C63" s="194"/>
      <c r="D63" s="195">
        <f>SUM(D61:D62)</f>
      </c>
      <c r="E63" s="196">
        <f>SUM(E61:E62)</f>
      </c>
      <c r="F63" s="196">
        <f>SUM(F61:F62)</f>
      </c>
      <c r="G63" s="195">
        <f>SUM(G61:G62)</f>
      </c>
      <c r="H63" s="196">
        <f>SUM(H61:H62)</f>
      </c>
      <c r="I63" s="195">
        <f>SUM(I61:I62)</f>
      </c>
      <c r="J63" s="197">
        <f>SUM(J61:J62)</f>
      </c>
      <c r="K63" s="195">
        <f>SUM(K61:K62)</f>
      </c>
      <c r="L63" s="195">
        <f t="shared" si="175"/>
      </c>
      <c r="M63" s="195">
        <f t="shared" si="125"/>
      </c>
      <c r="N63" s="195">
        <f t="shared" si="182"/>
      </c>
      <c r="O63" s="199">
        <f t="shared" si="187"/>
      </c>
      <c r="P63" s="199">
        <f t="shared" si="3"/>
      </c>
      <c r="Q63" s="200">
        <f t="shared" ref="Q63:Q70" si="25">D63/AH63</f>
      </c>
      <c r="R63" s="198">
        <f t="shared" ref="R63:R70" si="53">D63/AI63</f>
      </c>
      <c r="S63" s="198">
        <f t="shared" ref="S63:S70" si="68">D63/AJ63</f>
      </c>
      <c r="T63" s="201">
        <f t="shared" ref="T63:T70" si="82">AI63/AH63</f>
      </c>
      <c r="U63" s="202">
        <f t="shared" ref="U63:U70" si="96">AJ63/AI63</f>
      </c>
      <c r="V63" s="131">
        <f t="shared" si="103"/>
      </c>
      <c r="W63" s="131">
        <f t="shared" si="170"/>
      </c>
      <c r="X63" s="132">
        <f t="shared" si="173"/>
      </c>
      <c r="Y63" s="131">
        <f t="shared" si="183"/>
      </c>
      <c r="Z63" s="133">
        <f t="shared" si="0"/>
      </c>
      <c r="AA63" s="130">
        <f t="shared" ref="AA63:AA70" si="11">AL63/AH63</f>
      </c>
      <c r="AB63" s="130">
        <f t="shared" ref="AB63:AB70" si="39">AM63/AH63</f>
      </c>
      <c r="AC63" s="130">
        <f t="shared" si="60"/>
      </c>
      <c r="AD63" s="130"/>
      <c r="AE63" s="134"/>
      <c r="AF63" s="160">
        <f>SUM(AF61:AF62)</f>
      </c>
      <c r="AG63" s="160">
        <f>SUM(AG61:AG62)</f>
      </c>
      <c r="AH63" s="164">
        <f>SUM(AH61:AH62)</f>
      </c>
      <c r="AI63" s="160">
        <f>SUM(AI61:AI62)</f>
      </c>
      <c r="AJ63" s="160">
        <f>SUM(AJ61:AJ62)</f>
      </c>
      <c r="AK63" s="160">
        <f>SUM(AK61:AK62)</f>
      </c>
      <c r="AL63" s="160">
        <f>SUM(AL61:AL62)</f>
      </c>
      <c r="AM63" s="160">
        <f>SUM(AM61:AM62)</f>
      </c>
      <c r="AN63" s="160">
        <f>SUM(AN61:AN62)</f>
      </c>
      <c r="AO63" s="160">
        <f>SUM(AO61:AO62)</f>
      </c>
      <c r="AP63" s="160">
        <f>SUM(AP61:AP62)</f>
      </c>
    </row>
    <row r="64">
      <c r="A64" s="181"/>
      <c r="B64" s="203" t="s">
        <v>122</v>
      </c>
      <c r="C64" s="203"/>
      <c r="D64" s="204">
        <f>D63+D60</f>
      </c>
      <c r="E64" s="205">
        <f>E63+E60</f>
      </c>
      <c r="F64" s="205">
        <f>F63+F60</f>
      </c>
      <c r="G64" s="204">
        <f>G63+G60</f>
      </c>
      <c r="H64" s="205">
        <f>H63+H60</f>
      </c>
      <c r="I64" s="204">
        <f>I63+I60</f>
      </c>
      <c r="J64" s="206">
        <f>J63+J60</f>
      </c>
      <c r="K64" s="204">
        <f>K63+K60</f>
      </c>
      <c r="L64" s="204">
        <f t="shared" si="175"/>
      </c>
      <c r="M64" s="204">
        <f t="shared" si="125"/>
      </c>
      <c r="N64" s="204">
        <f t="shared" si="182"/>
      </c>
      <c r="O64" s="208">
        <f t="shared" si="187"/>
      </c>
      <c r="P64" s="208">
        <f t="shared" si="3"/>
      </c>
      <c r="Q64" s="209">
        <f t="shared" si="25"/>
      </c>
      <c r="R64" s="209">
        <f t="shared" si="53"/>
      </c>
      <c r="S64" s="210">
        <f t="shared" si="68"/>
      </c>
      <c r="T64" s="211">
        <f t="shared" si="82"/>
      </c>
      <c r="U64" s="212">
        <f t="shared" si="96"/>
      </c>
      <c r="V64" s="151">
        <f t="shared" si="103"/>
      </c>
      <c r="W64" s="151">
        <f t="shared" si="170"/>
      </c>
      <c r="X64" s="152">
        <f t="shared" si="173"/>
      </c>
      <c r="Y64" s="151">
        <f t="shared" si="183"/>
      </c>
      <c r="Z64" s="153">
        <f t="shared" si="0"/>
      </c>
      <c r="AA64" s="154">
        <f t="shared" si="11"/>
      </c>
      <c r="AB64" s="154">
        <f t="shared" si="39"/>
      </c>
      <c r="AC64" s="154">
        <f t="shared" si="60"/>
      </c>
      <c r="AD64" s="154"/>
      <c r="AE64" s="155"/>
      <c r="AF64" s="167">
        <f>AF63+AF60</f>
      </c>
      <c r="AG64" s="167">
        <f>AG63+AG60</f>
      </c>
      <c r="AH64" s="167">
        <f>AH63+AH60</f>
      </c>
      <c r="AI64" s="167">
        <f>AI63+AI60</f>
      </c>
      <c r="AJ64" s="167">
        <f>AJ63+AJ60</f>
      </c>
      <c r="AK64" s="167">
        <f>AK63+AK60</f>
      </c>
      <c r="AL64" s="167">
        <f>AL63+AL60</f>
      </c>
      <c r="AM64" s="167">
        <f>AM63+AM60</f>
      </c>
      <c r="AN64" s="167">
        <f>AN63+AN60</f>
      </c>
      <c r="AO64" s="167">
        <f>AO63+AO60</f>
      </c>
      <c r="AP64" s="167">
        <f>AP63+AP60</f>
      </c>
    </row>
    <row r="65">
      <c r="A65" s="181">
        <v>46289</v>
      </c>
      <c r="B65" s="182" t="s">
        <v>124</v>
      </c>
      <c r="C65" s="183" t="s">
        <v>112</v>
      </c>
      <c r="D65" s="184">
        <v>550.25</v>
      </c>
      <c r="E65" s="185">
        <v>1</v>
      </c>
      <c r="F65" s="185">
        <v>0</v>
      </c>
      <c r="G65" s="187">
        <v>0</v>
      </c>
      <c r="H65" s="185">
        <v>1</v>
      </c>
      <c r="I65" s="215">
        <v>1298</v>
      </c>
      <c r="J65" s="187">
        <f t="shared" ref="J65:J68" si="139">F65+H65</f>
      </c>
      <c r="K65" s="188">
        <f t="shared" ref="K65:K68" si="157">G65+I65</f>
      </c>
      <c r="L65" s="189">
        <f t="shared" si="175"/>
      </c>
      <c r="M65" s="189">
        <f t="shared" si="125"/>
      </c>
      <c r="N65" s="189">
        <f t="shared" si="182"/>
      </c>
      <c r="O65" s="190">
        <f t="shared" si="187"/>
      </c>
      <c r="P65" s="190">
        <f t="shared" si="3"/>
      </c>
      <c r="Q65" s="191">
        <f t="shared" si="25"/>
      </c>
      <c r="R65" s="189">
        <f t="shared" si="53"/>
      </c>
      <c r="S65" s="189">
        <f t="shared" si="68"/>
      </c>
      <c r="T65" s="192">
        <f t="shared" si="82"/>
      </c>
      <c r="U65" s="193">
        <f t="shared" si="96"/>
      </c>
      <c r="V65" s="120">
        <f t="shared" si="103"/>
      </c>
      <c r="W65" s="120">
        <f t="shared" si="170"/>
      </c>
      <c r="X65" s="121">
        <f t="shared" si="173"/>
      </c>
      <c r="Y65" s="120">
        <f t="shared" si="183"/>
      </c>
      <c r="Z65" s="120">
        <f t="shared" si="0"/>
      </c>
      <c r="AA65" s="119">
        <f t="shared" si="11"/>
      </c>
      <c r="AB65" s="119">
        <f t="shared" si="39"/>
      </c>
      <c r="AC65" s="119">
        <f t="shared" si="60"/>
      </c>
      <c r="AD65" s="122" t="s">
        <v>114</v>
      </c>
      <c r="AE65" s="122" t="s">
        <v>129</v>
      </c>
      <c r="AF65" s="123">
        <v>10657</v>
      </c>
      <c r="AG65" s="123">
        <v>4805</v>
      </c>
      <c r="AH65" s="123">
        <v>15841</v>
      </c>
      <c r="AI65" s="123">
        <v>240</v>
      </c>
      <c r="AJ65" s="124">
        <v>2</v>
      </c>
      <c r="AK65" s="123">
        <v>1807</v>
      </c>
      <c r="AL65" s="123">
        <v>77</v>
      </c>
      <c r="AM65" s="123">
        <v>27</v>
      </c>
      <c r="AN65" s="123">
        <v>1</v>
      </c>
      <c r="AO65" s="124">
        <v>0</v>
      </c>
      <c r="AP65" s="123">
        <f t="shared" ref="AP65:AP68" si="118">COUNT(AO65)</f>
      </c>
    </row>
    <row r="66">
      <c r="A66" s="181"/>
      <c r="B66" s="182" t="s">
        <v>124</v>
      </c>
      <c r="C66" s="183" t="s">
        <v>118</v>
      </c>
      <c r="D66" s="184">
        <v>660.151</v>
      </c>
      <c r="E66" s="185">
        <v>1</v>
      </c>
      <c r="F66" s="185">
        <v>0</v>
      </c>
      <c r="G66" s="187">
        <v>0</v>
      </c>
      <c r="H66" s="185">
        <v>1</v>
      </c>
      <c r="I66" s="215">
        <v>1414.8000000000002</v>
      </c>
      <c r="J66" s="187">
        <f t="shared" si="139"/>
      </c>
      <c r="K66" s="188">
        <f t="shared" si="157"/>
      </c>
      <c r="L66" s="189">
        <f t="shared" si="175"/>
      </c>
      <c r="M66" s="189">
        <f t="shared" si="125"/>
      </c>
      <c r="N66" s="189">
        <f t="shared" si="182"/>
      </c>
      <c r="O66" s="190">
        <f t="shared" si="187"/>
      </c>
      <c r="P66" s="190">
        <f t="shared" si="3"/>
      </c>
      <c r="Q66" s="191">
        <f t="shared" si="25"/>
      </c>
      <c r="R66" s="189">
        <f t="shared" si="53"/>
      </c>
      <c r="S66" s="189">
        <f t="shared" si="68"/>
      </c>
      <c r="T66" s="192">
        <f t="shared" si="82"/>
      </c>
      <c r="U66" s="193">
        <f t="shared" si="96"/>
      </c>
      <c r="V66" s="120">
        <f t="shared" si="103"/>
      </c>
      <c r="W66" s="120">
        <f t="shared" si="170"/>
      </c>
      <c r="X66" s="121">
        <f t="shared" si="173"/>
      </c>
      <c r="Y66" s="120">
        <f t="shared" si="183"/>
      </c>
      <c r="Z66" s="120">
        <f t="shared" si="0"/>
      </c>
      <c r="AA66" s="119">
        <f t="shared" si="11"/>
      </c>
      <c r="AB66" s="119">
        <f t="shared" si="39"/>
      </c>
      <c r="AC66" s="119">
        <f t="shared" si="60"/>
      </c>
      <c r="AD66" s="122" t="s">
        <v>114</v>
      </c>
      <c r="AE66" s="122" t="s">
        <v>129</v>
      </c>
      <c r="AF66" s="123">
        <v>14610</v>
      </c>
      <c r="AG66" s="123">
        <v>6087</v>
      </c>
      <c r="AH66" s="123">
        <v>21944</v>
      </c>
      <c r="AI66" s="123">
        <v>255</v>
      </c>
      <c r="AJ66" s="124">
        <v>2</v>
      </c>
      <c r="AK66" s="123">
        <v>2238</v>
      </c>
      <c r="AL66" s="123">
        <v>71</v>
      </c>
      <c r="AM66" s="123">
        <v>27</v>
      </c>
      <c r="AN66" s="123">
        <v>3</v>
      </c>
      <c r="AO66" s="124">
        <v>0</v>
      </c>
      <c r="AP66" s="123">
        <f t="shared" si="118"/>
      </c>
    </row>
    <row r="67">
      <c r="A67" s="181"/>
      <c r="B67" s="182" t="s">
        <v>124</v>
      </c>
      <c r="C67" s="183" t="s">
        <v>119</v>
      </c>
      <c r="D67" s="184">
        <v>1089.22</v>
      </c>
      <c r="E67" s="185">
        <v>1</v>
      </c>
      <c r="F67" s="185">
        <v>1</v>
      </c>
      <c r="G67" s="187">
        <v>1692</v>
      </c>
      <c r="H67" s="185">
        <v>0</v>
      </c>
      <c r="I67" s="215">
        <v>0</v>
      </c>
      <c r="J67" s="187">
        <f t="shared" si="139"/>
      </c>
      <c r="K67" s="188">
        <f t="shared" si="157"/>
      </c>
      <c r="L67" s="189">
        <f t="shared" si="175"/>
      </c>
      <c r="M67" s="189">
        <f t="shared" si="125"/>
      </c>
      <c r="N67" s="189">
        <f t="shared" si="182"/>
      </c>
      <c r="O67" s="190">
        <f t="shared" si="187"/>
      </c>
      <c r="P67" s="190">
        <f t="shared" si="3"/>
      </c>
      <c r="Q67" s="191">
        <f t="shared" si="25"/>
      </c>
      <c r="R67" s="189">
        <f t="shared" si="53"/>
      </c>
      <c r="S67" s="189">
        <f t="shared" si="68"/>
      </c>
      <c r="T67" s="192">
        <f t="shared" si="82"/>
      </c>
      <c r="U67" s="193">
        <f t="shared" si="96"/>
      </c>
      <c r="V67" s="120">
        <f t="shared" si="103"/>
      </c>
      <c r="W67" s="120">
        <f t="shared" si="170"/>
      </c>
      <c r="X67" s="121">
        <f t="shared" si="173"/>
      </c>
      <c r="Y67" s="120">
        <f t="shared" si="183"/>
      </c>
      <c r="Z67" s="120">
        <f t="shared" si="0"/>
      </c>
      <c r="AA67" s="119">
        <f t="shared" si="11"/>
      </c>
      <c r="AB67" s="119">
        <f t="shared" si="39"/>
      </c>
      <c r="AC67" s="119">
        <f t="shared" si="60"/>
      </c>
      <c r="AD67" s="122" t="s">
        <v>114</v>
      </c>
      <c r="AE67" s="122" t="s">
        <v>129</v>
      </c>
      <c r="AF67" s="123">
        <v>27099</v>
      </c>
      <c r="AG67" s="123">
        <v>10963</v>
      </c>
      <c r="AH67" s="123">
        <v>41453</v>
      </c>
      <c r="AI67" s="123">
        <v>424</v>
      </c>
      <c r="AJ67" s="124">
        <v>0</v>
      </c>
      <c r="AK67" s="123">
        <v>4030</v>
      </c>
      <c r="AL67" s="123">
        <v>192</v>
      </c>
      <c r="AM67" s="123">
        <v>77</v>
      </c>
      <c r="AN67" s="123">
        <v>4</v>
      </c>
      <c r="AO67" s="124">
        <v>0</v>
      </c>
      <c r="AP67" s="123">
        <f t="shared" si="118"/>
      </c>
    </row>
    <row r="68">
      <c r="A68" s="181"/>
      <c r="B68" s="182" t="s">
        <v>124</v>
      </c>
      <c r="C68" s="183" t="s">
        <v>121</v>
      </c>
      <c r="D68" s="184">
        <v>915.397</v>
      </c>
      <c r="E68" s="185">
        <v>2</v>
      </c>
      <c r="F68" s="185">
        <v>1</v>
      </c>
      <c r="G68" s="187">
        <v>1190.3999999999996</v>
      </c>
      <c r="H68" s="185">
        <v>0</v>
      </c>
      <c r="I68" s="215">
        <v>0</v>
      </c>
      <c r="J68" s="187">
        <f t="shared" si="139"/>
      </c>
      <c r="K68" s="188">
        <f t="shared" si="157"/>
      </c>
      <c r="L68" s="189">
        <f t="shared" si="175"/>
      </c>
      <c r="M68" s="189">
        <f t="shared" si="125"/>
      </c>
      <c r="N68" s="189">
        <f t="shared" si="182"/>
      </c>
      <c r="O68" s="190">
        <f t="shared" si="187"/>
      </c>
      <c r="P68" s="190">
        <f t="shared" si="3"/>
      </c>
      <c r="Q68" s="191">
        <f t="shared" si="25"/>
      </c>
      <c r="R68" s="189">
        <f t="shared" si="53"/>
      </c>
      <c r="S68" s="189">
        <f t="shared" si="68"/>
      </c>
      <c r="T68" s="192">
        <f t="shared" si="82"/>
      </c>
      <c r="U68" s="193">
        <f t="shared" si="96"/>
      </c>
      <c r="V68" s="120">
        <f t="shared" si="103"/>
      </c>
      <c r="W68" s="120">
        <f t="shared" si="170"/>
      </c>
      <c r="X68" s="121">
        <f t="shared" si="173"/>
      </c>
      <c r="Y68" s="120">
        <f t="shared" si="183"/>
      </c>
      <c r="Z68" s="120">
        <f t="shared" si="0"/>
      </c>
      <c r="AA68" s="119">
        <f t="shared" si="11"/>
      </c>
      <c r="AB68" s="119">
        <f t="shared" si="39"/>
      </c>
      <c r="AC68" s="119">
        <f t="shared" si="60"/>
      </c>
      <c r="AD68" s="122" t="s">
        <v>114</v>
      </c>
      <c r="AE68" s="122" t="s">
        <v>129</v>
      </c>
      <c r="AF68" s="123">
        <v>24973</v>
      </c>
      <c r="AG68" s="123">
        <v>9737</v>
      </c>
      <c r="AH68" s="123">
        <v>33772</v>
      </c>
      <c r="AI68" s="123">
        <v>349</v>
      </c>
      <c r="AJ68" s="124">
        <v>2</v>
      </c>
      <c r="AK68" s="123">
        <v>3389</v>
      </c>
      <c r="AL68" s="123">
        <v>144</v>
      </c>
      <c r="AM68" s="123">
        <v>53</v>
      </c>
      <c r="AN68" s="123">
        <v>7</v>
      </c>
      <c r="AO68" s="124">
        <v>0</v>
      </c>
      <c r="AP68" s="123">
        <f t="shared" si="118"/>
      </c>
    </row>
    <row r="69">
      <c r="A69" s="181"/>
      <c r="B69" s="194" t="s">
        <v>116</v>
      </c>
      <c r="C69" s="194"/>
      <c r="D69" s="195">
        <f>SUM(D65:D68)</f>
      </c>
      <c r="E69" s="196">
        <f>SUM(E65:E68)</f>
      </c>
      <c r="F69" s="196">
        <f>SUM(F65:F68)</f>
      </c>
      <c r="G69" s="195">
        <f>SUM(G65:G68)</f>
      </c>
      <c r="H69" s="196">
        <f>SUM(H65:H68)</f>
      </c>
      <c r="I69" s="195">
        <f>SUM(I65:I68)</f>
      </c>
      <c r="J69" s="197">
        <f>SUM(J65:J68)</f>
      </c>
      <c r="K69" s="195">
        <f>SUM(K65:K68)</f>
      </c>
      <c r="L69" s="195">
        <f t="shared" si="175"/>
      </c>
      <c r="M69" s="195">
        <f t="shared" si="125"/>
      </c>
      <c r="N69" s="195">
        <f t="shared" si="182"/>
      </c>
      <c r="O69" s="199">
        <f t="shared" si="187"/>
      </c>
      <c r="P69" s="199">
        <f t="shared" si="3"/>
      </c>
      <c r="Q69" s="200">
        <f t="shared" si="25"/>
      </c>
      <c r="R69" s="198">
        <f t="shared" si="53"/>
      </c>
      <c r="S69" s="198">
        <f t="shared" si="68"/>
      </c>
      <c r="T69" s="201">
        <f t="shared" si="82"/>
      </c>
      <c r="U69" s="202">
        <f t="shared" si="96"/>
      </c>
      <c r="V69" s="131">
        <f t="shared" si="103"/>
      </c>
      <c r="W69" s="131">
        <f t="shared" si="170"/>
      </c>
      <c r="X69" s="132">
        <f t="shared" si="173"/>
      </c>
      <c r="Y69" s="131">
        <f t="shared" si="183"/>
      </c>
      <c r="Z69" s="133">
        <f t="shared" si="0"/>
      </c>
      <c r="AA69" s="130">
        <f t="shared" si="11"/>
      </c>
      <c r="AB69" s="130">
        <f t="shared" si="39"/>
      </c>
      <c r="AC69" s="130">
        <f t="shared" si="60"/>
      </c>
      <c r="AD69" s="130"/>
      <c r="AE69" s="134"/>
      <c r="AF69" s="160">
        <f>SUM(AF65:AF68)</f>
      </c>
      <c r="AG69" s="160">
        <f>SUM(AG65:AG68)</f>
      </c>
      <c r="AH69" s="160">
        <f>SUM(AH65:AH68)</f>
      </c>
      <c r="AI69" s="160">
        <f>SUM(AI65:AI68)</f>
      </c>
      <c r="AJ69" s="160">
        <f>SUM(AJ65:AJ68)</f>
      </c>
      <c r="AK69" s="160">
        <f>SUM(AK65:AK68)</f>
      </c>
      <c r="AL69" s="160">
        <f>SUM(AL65:AL68)</f>
      </c>
      <c r="AM69" s="160">
        <f>SUM(AM65:AM68)</f>
      </c>
      <c r="AN69" s="160">
        <f>SUM(AN65:AN68)</f>
      </c>
      <c r="AO69" s="160">
        <f>SUM(AO65:AO68)</f>
      </c>
      <c r="AP69" s="160">
        <f>SUM(AP65:AP68)</f>
      </c>
    </row>
    <row r="70">
      <c r="A70" s="181"/>
      <c r="B70" s="217" t="s">
        <v>111</v>
      </c>
      <c r="C70" s="183" t="s">
        <v>125</v>
      </c>
      <c r="D70" s="184">
        <v>893.377</v>
      </c>
      <c r="E70" s="185">
        <v>2</v>
      </c>
      <c r="F70" s="185">
        <v>0</v>
      </c>
      <c r="G70" s="186">
        <v>0</v>
      </c>
      <c r="H70" s="185">
        <v>0</v>
      </c>
      <c r="I70" s="215">
        <v>0</v>
      </c>
      <c r="J70" s="187">
        <f t="shared" ref="J70:J71" si="140">F70+H70</f>
      </c>
      <c r="K70" s="188">
        <f t="shared" ref="K70:K71" si="158">G70+I70</f>
      </c>
      <c r="L70" s="188">
        <f t="shared" si="175"/>
      </c>
      <c r="M70" s="188">
        <f t="shared" si="125"/>
      </c>
      <c r="N70" s="188">
        <f t="shared" si="182"/>
      </c>
      <c r="O70" s="190">
        <f t="shared" si="187"/>
      </c>
      <c r="P70" s="190">
        <f t="shared" si="3"/>
      </c>
      <c r="Q70" s="191">
        <f t="shared" si="25"/>
      </c>
      <c r="R70" s="189">
        <f t="shared" si="53"/>
      </c>
      <c r="S70" s="189">
        <f t="shared" si="68"/>
      </c>
      <c r="T70" s="192">
        <f t="shared" si="82"/>
      </c>
      <c r="U70" s="193">
        <f t="shared" si="96"/>
      </c>
      <c r="V70" s="120">
        <f t="shared" si="103"/>
      </c>
      <c r="W70" s="120">
        <f t="shared" si="170"/>
      </c>
      <c r="X70" s="121">
        <f t="shared" si="173"/>
      </c>
      <c r="Y70" s="120">
        <f t="shared" si="183"/>
      </c>
      <c r="Z70" s="120">
        <f t="shared" si="0"/>
      </c>
      <c r="AA70" s="119">
        <f t="shared" si="11"/>
      </c>
      <c r="AB70" s="119">
        <f t="shared" si="39"/>
      </c>
      <c r="AC70" s="119">
        <f t="shared" si="60"/>
      </c>
      <c r="AD70" s="122" t="s">
        <v>114</v>
      </c>
      <c r="AE70" s="122" t="s">
        <v>129</v>
      </c>
      <c r="AF70" s="136">
        <v>19633</v>
      </c>
      <c r="AG70" s="136">
        <v>6731</v>
      </c>
      <c r="AH70" s="137">
        <v>27998</v>
      </c>
      <c r="AI70" s="123">
        <v>301</v>
      </c>
      <c r="AJ70" s="124">
        <v>1</v>
      </c>
      <c r="AK70" s="136">
        <v>2489</v>
      </c>
      <c r="AL70" s="124">
        <v>123</v>
      </c>
      <c r="AM70" s="124">
        <v>42</v>
      </c>
      <c r="AN70" s="124">
        <v>1</v>
      </c>
      <c r="AO70" s="124">
        <v>0</v>
      </c>
      <c r="AP70" s="123">
        <f t="shared" ref="AP70:AP71" si="119">COUNT(AO70)</f>
      </c>
    </row>
    <row r="71">
      <c r="A71" s="181"/>
      <c r="B71" s="217" t="s">
        <v>111</v>
      </c>
      <c r="C71" s="183" t="s">
        <v>126</v>
      </c>
      <c r="D71" s="184">
        <v>524.724</v>
      </c>
      <c r="E71" s="185">
        <v>1</v>
      </c>
      <c r="F71" s="185">
        <v>0</v>
      </c>
      <c r="G71" s="186">
        <v>0</v>
      </c>
      <c r="H71" s="185">
        <v>1</v>
      </c>
      <c r="I71" s="215">
        <v>652.8000000000002</v>
      </c>
      <c r="J71" s="187">
        <f t="shared" si="140"/>
      </c>
      <c r="K71" s="188">
        <f t="shared" si="158"/>
      </c>
      <c r="L71" s="188">
        <f t="shared" si="175"/>
      </c>
      <c r="M71" s="188">
        <f t="shared" si="125"/>
      </c>
      <c r="N71" s="188">
        <f t="shared" si="182"/>
      </c>
      <c r="O71" s="190">
        <f t="shared" si="187"/>
      </c>
      <c r="P71" s="190">
        <f t="shared" si="3"/>
      </c>
      <c r="Q71" s="191">
        <f>D71/AI71</f>
      </c>
      <c r="R71" s="189">
        <f>D71/AJ71</f>
      </c>
      <c r="S71" s="189">
        <f>D71/AK71</f>
      </c>
      <c r="T71" s="192">
        <f>AJ71/AI71</f>
      </c>
      <c r="U71" s="193">
        <f>AK71/AJ71</f>
      </c>
      <c r="V71" s="120">
        <f t="shared" si="103"/>
      </c>
      <c r="W71" s="120">
        <f t="shared" si="170"/>
      </c>
      <c r="X71" s="121">
        <f t="shared" si="173"/>
      </c>
      <c r="Y71" s="120">
        <f t="shared" si="183"/>
      </c>
      <c r="Z71" s="120">
        <f t="shared" si="0"/>
      </c>
      <c r="AA71" s="119">
        <f>AM71/AI71</f>
      </c>
      <c r="AB71" s="119">
        <f>AN71/AI71</f>
      </c>
      <c r="AC71" s="119">
        <f t="shared" si="60"/>
      </c>
      <c r="AD71" s="122" t="s">
        <v>114</v>
      </c>
      <c r="AE71" s="122" t="s">
        <v>129</v>
      </c>
      <c r="AF71" s="123">
        <v>14682</v>
      </c>
      <c r="AG71" s="138">
        <v>4699</v>
      </c>
      <c r="AH71" s="163">
        <v>17430</v>
      </c>
      <c r="AI71" s="140">
        <v>215</v>
      </c>
      <c r="AJ71" s="141">
        <v>1</v>
      </c>
      <c r="AK71" s="141">
        <v>1623</v>
      </c>
      <c r="AL71" s="141">
        <v>66</v>
      </c>
      <c r="AM71" s="141">
        <v>43</v>
      </c>
      <c r="AN71" s="141">
        <v>2</v>
      </c>
      <c r="AO71" s="124">
        <v>0</v>
      </c>
      <c r="AP71" s="123">
        <f t="shared" si="119"/>
      </c>
    </row>
    <row r="72">
      <c r="A72" s="181"/>
      <c r="B72" s="194" t="s">
        <v>116</v>
      </c>
      <c r="C72" s="194"/>
      <c r="D72" s="195">
        <f>SUM(D70:D71)</f>
      </c>
      <c r="E72" s="196">
        <f>SUM(E70:E71)</f>
      </c>
      <c r="F72" s="196">
        <f>SUM(F70:F71)</f>
      </c>
      <c r="G72" s="195">
        <f>SUM(G70:G71)</f>
      </c>
      <c r="H72" s="196">
        <f>SUM(H70:H71)</f>
      </c>
      <c r="I72" s="195">
        <f>SUM(I70:I71)</f>
      </c>
      <c r="J72" s="197">
        <f>SUM(J70:J71)</f>
      </c>
      <c r="K72" s="195">
        <f>SUM(K70:K71)</f>
      </c>
      <c r="L72" s="195">
        <f t="shared" si="175"/>
      </c>
      <c r="M72" s="195">
        <f t="shared" si="125"/>
      </c>
      <c r="N72" s="195">
        <f t="shared" si="182"/>
      </c>
      <c r="O72" s="199">
        <f t="shared" si="187"/>
      </c>
      <c r="P72" s="199">
        <f t="shared" si="3"/>
      </c>
      <c r="Q72" s="200">
        <f t="shared" ref="Q72:Q79" si="26">D72/AH72</f>
      </c>
      <c r="R72" s="198">
        <f t="shared" ref="R72:R79" si="54">D72/AI72</f>
      </c>
      <c r="S72" s="198">
        <f t="shared" ref="S72:S79" si="69">D72/AJ72</f>
      </c>
      <c r="T72" s="201">
        <f t="shared" ref="T72:T79" si="83">AI72/AH72</f>
      </c>
      <c r="U72" s="202">
        <f t="shared" ref="U72:U79" si="97">AJ72/AI72</f>
      </c>
      <c r="V72" s="131">
        <f t="shared" si="103"/>
      </c>
      <c r="W72" s="131">
        <f t="shared" si="170"/>
      </c>
      <c r="X72" s="132">
        <f t="shared" si="173"/>
      </c>
      <c r="Y72" s="131">
        <f t="shared" si="183"/>
      </c>
      <c r="Z72" s="133">
        <f t="shared" si="0"/>
      </c>
      <c r="AA72" s="130">
        <f t="shared" ref="AA72:AA79" si="12">AL72/AH72</f>
      </c>
      <c r="AB72" s="130">
        <f t="shared" ref="AB72:AB79" si="40">AM72/AH72</f>
      </c>
      <c r="AC72" s="130">
        <f t="shared" si="60"/>
      </c>
      <c r="AD72" s="130"/>
      <c r="AE72" s="134"/>
      <c r="AF72" s="160">
        <f>SUM(AF70:AF71)</f>
      </c>
      <c r="AG72" s="160">
        <f>SUM(AG70:AG71)</f>
      </c>
      <c r="AH72" s="164">
        <f>SUM(AH70:AH71)</f>
      </c>
      <c r="AI72" s="160">
        <f>SUM(AI70:AI71)</f>
      </c>
      <c r="AJ72" s="160">
        <f>SUM(AJ70:AJ71)</f>
      </c>
      <c r="AK72" s="160">
        <f>SUM(AK70:AK71)</f>
      </c>
      <c r="AL72" s="160">
        <f>SUM(AL70:AL71)</f>
      </c>
      <c r="AM72" s="160">
        <f>SUM(AM70:AM71)</f>
      </c>
      <c r="AN72" s="160">
        <f>SUM(AN70:AN71)</f>
      </c>
      <c r="AO72" s="160">
        <f>SUM(AO70:AO71)</f>
      </c>
      <c r="AP72" s="160">
        <f>SUM(AP70:AP71)</f>
      </c>
    </row>
    <row r="73">
      <c r="A73" s="181"/>
      <c r="B73" s="203" t="s">
        <v>122</v>
      </c>
      <c r="C73" s="203"/>
      <c r="D73" s="204">
        <f>D72+D69</f>
      </c>
      <c r="E73" s="205">
        <f>E72+E69</f>
      </c>
      <c r="F73" s="205">
        <f>F72+F69</f>
      </c>
      <c r="G73" s="204">
        <f>G72+G69</f>
      </c>
      <c r="H73" s="205">
        <f>H72+H69</f>
      </c>
      <c r="I73" s="204">
        <f>I72+I69</f>
      </c>
      <c r="J73" s="206">
        <f>J72+J69</f>
      </c>
      <c r="K73" s="204">
        <f>K72+K69</f>
      </c>
      <c r="L73" s="204">
        <f t="shared" si="175"/>
      </c>
      <c r="M73" s="204">
        <f t="shared" si="125"/>
      </c>
      <c r="N73" s="204">
        <f t="shared" si="182"/>
      </c>
      <c r="O73" s="208">
        <f t="shared" si="187"/>
      </c>
      <c r="P73" s="208">
        <f t="shared" si="3"/>
      </c>
      <c r="Q73" s="209">
        <f t="shared" si="26"/>
      </c>
      <c r="R73" s="209">
        <f t="shared" si="54"/>
      </c>
      <c r="S73" s="210">
        <f t="shared" si="69"/>
      </c>
      <c r="T73" s="211">
        <f t="shared" si="83"/>
      </c>
      <c r="U73" s="212">
        <f t="shared" si="97"/>
      </c>
      <c r="V73" s="151">
        <f t="shared" si="103"/>
      </c>
      <c r="W73" s="151">
        <f t="shared" si="170"/>
      </c>
      <c r="X73" s="152">
        <f t="shared" si="173"/>
      </c>
      <c r="Y73" s="151">
        <f t="shared" si="183"/>
      </c>
      <c r="Z73" s="153">
        <f t="shared" si="0"/>
      </c>
      <c r="AA73" s="154">
        <f t="shared" si="12"/>
      </c>
      <c r="AB73" s="154">
        <f t="shared" si="40"/>
      </c>
      <c r="AC73" s="154">
        <f t="shared" si="60"/>
      </c>
      <c r="AD73" s="154"/>
      <c r="AE73" s="155"/>
      <c r="AF73" s="167">
        <f>AF72+AF69</f>
      </c>
      <c r="AG73" s="167">
        <f>AG72+AG69</f>
      </c>
      <c r="AH73" s="167">
        <f>AH72+AH69</f>
      </c>
      <c r="AI73" s="167">
        <f>AI72+AI69</f>
      </c>
      <c r="AJ73" s="167">
        <f>AJ72+AJ69</f>
      </c>
      <c r="AK73" s="167">
        <f>AK72+AK69</f>
      </c>
      <c r="AL73" s="167">
        <f>AL72+AL69</f>
      </c>
      <c r="AM73" s="167">
        <f>AM72+AM69</f>
      </c>
      <c r="AN73" s="167">
        <f>AN72+AN69</f>
      </c>
      <c r="AO73" s="167">
        <f>AO72+AO69</f>
      </c>
      <c r="AP73" s="167">
        <f>AP72+AP69</f>
      </c>
    </row>
    <row r="74">
      <c r="A74" s="181">
        <v>46290</v>
      </c>
      <c r="B74" s="217" t="s">
        <v>111</v>
      </c>
      <c r="C74" s="183" t="s">
        <v>112</v>
      </c>
      <c r="D74" s="184">
        <v>721.452</v>
      </c>
      <c r="E74" s="185">
        <v>3</v>
      </c>
      <c r="F74" s="185">
        <v>1</v>
      </c>
      <c r="G74" s="187">
        <v>704.4000000000001</v>
      </c>
      <c r="H74" s="185">
        <v>0</v>
      </c>
      <c r="I74" s="215">
        <v>0</v>
      </c>
      <c r="J74" s="187">
        <f t="shared" ref="J74:J77" si="141">F74+H74</f>
      </c>
      <c r="K74" s="188">
        <f t="shared" ref="K74:K77" si="159">G74+I74</f>
      </c>
      <c r="L74" s="189">
        <f t="shared" si="175"/>
      </c>
      <c r="M74" s="189">
        <f t="shared" si="125"/>
      </c>
      <c r="N74" s="189">
        <f t="shared" si="182"/>
      </c>
      <c r="O74" s="190">
        <f t="shared" si="187"/>
      </c>
      <c r="P74" s="190">
        <f t="shared" si="3"/>
      </c>
      <c r="Q74" s="191">
        <f t="shared" si="26"/>
      </c>
      <c r="R74" s="189">
        <f t="shared" si="54"/>
      </c>
      <c r="S74" s="189">
        <f t="shared" si="69"/>
      </c>
      <c r="T74" s="192">
        <f t="shared" si="83"/>
      </c>
      <c r="U74" s="193">
        <f t="shared" si="97"/>
      </c>
      <c r="V74" s="120">
        <f t="shared" si="103"/>
      </c>
      <c r="W74" s="120">
        <f t="shared" si="170"/>
      </c>
      <c r="X74" s="121">
        <f t="shared" si="173"/>
      </c>
      <c r="Y74" s="120">
        <f t="shared" si="183"/>
      </c>
      <c r="Z74" s="120">
        <f t="shared" si="0"/>
      </c>
      <c r="AA74" s="119">
        <f t="shared" si="12"/>
      </c>
      <c r="AB74" s="119">
        <f t="shared" si="40"/>
      </c>
      <c r="AC74" s="119">
        <f t="shared" si="60"/>
      </c>
      <c r="AD74" s="122" t="s">
        <v>114</v>
      </c>
      <c r="AE74" s="122" t="s">
        <v>129</v>
      </c>
      <c r="AF74" s="123">
        <v>17277</v>
      </c>
      <c r="AG74" s="123">
        <v>6792</v>
      </c>
      <c r="AH74" s="123">
        <v>24020</v>
      </c>
      <c r="AI74" s="123">
        <v>240</v>
      </c>
      <c r="AJ74" s="124">
        <v>2</v>
      </c>
      <c r="AK74" s="123">
        <v>2573</v>
      </c>
      <c r="AL74" s="123">
        <v>128</v>
      </c>
      <c r="AM74" s="123">
        <v>34</v>
      </c>
      <c r="AN74" s="123">
        <v>0</v>
      </c>
      <c r="AO74" s="123">
        <v>0</v>
      </c>
      <c r="AP74" s="123">
        <f t="shared" ref="AP74:AP77" si="120">COUNT(AO74)</f>
      </c>
    </row>
    <row r="75">
      <c r="A75" s="181"/>
      <c r="B75" s="217" t="s">
        <v>111</v>
      </c>
      <c r="C75" s="183" t="s">
        <v>118</v>
      </c>
      <c r="D75" s="184">
        <v>821.269</v>
      </c>
      <c r="E75" s="185">
        <v>0</v>
      </c>
      <c r="F75" s="185">
        <v>0</v>
      </c>
      <c r="G75" s="187">
        <v>0</v>
      </c>
      <c r="H75" s="185">
        <v>0</v>
      </c>
      <c r="I75" s="215">
        <v>0</v>
      </c>
      <c r="J75" s="187">
        <f t="shared" si="141"/>
      </c>
      <c r="K75" s="188">
        <f t="shared" si="159"/>
      </c>
      <c r="L75" s="189">
        <f t="shared" si="175"/>
      </c>
      <c r="M75" s="189">
        <f t="shared" si="125"/>
      </c>
      <c r="N75" s="189">
        <f t="shared" si="182"/>
      </c>
      <c r="O75" s="190">
        <f t="shared" si="187"/>
      </c>
      <c r="P75" s="190">
        <f t="shared" si="3"/>
      </c>
      <c r="Q75" s="191">
        <f t="shared" si="26"/>
      </c>
      <c r="R75" s="189">
        <f t="shared" si="54"/>
      </c>
      <c r="S75" s="189">
        <f t="shared" si="69"/>
      </c>
      <c r="T75" s="192">
        <f t="shared" si="83"/>
      </c>
      <c r="U75" s="193">
        <f t="shared" si="97"/>
      </c>
      <c r="V75" s="120">
        <f t="shared" si="103"/>
      </c>
      <c r="W75" s="120">
        <f t="shared" si="170"/>
      </c>
      <c r="X75" s="121">
        <f t="shared" si="173"/>
      </c>
      <c r="Y75" s="120">
        <f t="shared" si="183"/>
      </c>
      <c r="Z75" s="120">
        <f t="shared" si="0"/>
      </c>
      <c r="AA75" s="119">
        <f t="shared" si="12"/>
      </c>
      <c r="AB75" s="119">
        <f t="shared" si="40"/>
      </c>
      <c r="AC75" s="119">
        <f t="shared" si="60"/>
      </c>
      <c r="AD75" s="122" t="s">
        <v>114</v>
      </c>
      <c r="AE75" s="122" t="s">
        <v>129</v>
      </c>
      <c r="AF75" s="123">
        <v>25078</v>
      </c>
      <c r="AG75" s="123">
        <v>9357</v>
      </c>
      <c r="AH75" s="123">
        <v>32178</v>
      </c>
      <c r="AI75" s="123">
        <v>316</v>
      </c>
      <c r="AJ75" s="124">
        <v>0</v>
      </c>
      <c r="AK75" s="123">
        <v>3301</v>
      </c>
      <c r="AL75" s="123">
        <v>130</v>
      </c>
      <c r="AM75" s="123">
        <v>50</v>
      </c>
      <c r="AN75" s="123">
        <v>4</v>
      </c>
      <c r="AO75" s="123">
        <v>0</v>
      </c>
      <c r="AP75" s="123">
        <f t="shared" si="120"/>
      </c>
    </row>
    <row r="76">
      <c r="A76" s="181"/>
      <c r="B76" s="217" t="s">
        <v>111</v>
      </c>
      <c r="C76" s="183" t="s">
        <v>119</v>
      </c>
      <c r="D76" s="184">
        <v>778.055</v>
      </c>
      <c r="E76" s="185">
        <v>1</v>
      </c>
      <c r="F76" s="185">
        <v>0</v>
      </c>
      <c r="G76" s="187">
        <v>0</v>
      </c>
      <c r="H76" s="185">
        <v>0</v>
      </c>
      <c r="I76" s="215">
        <v>0</v>
      </c>
      <c r="J76" s="187">
        <f t="shared" si="141"/>
      </c>
      <c r="K76" s="188">
        <f t="shared" si="159"/>
      </c>
      <c r="L76" s="189">
        <f t="shared" si="175"/>
      </c>
      <c r="M76" s="189">
        <f t="shared" si="125"/>
      </c>
      <c r="N76" s="189">
        <f t="shared" si="182"/>
      </c>
      <c r="O76" s="190">
        <f t="shared" si="187"/>
      </c>
      <c r="P76" s="190">
        <f t="shared" si="3"/>
      </c>
      <c r="Q76" s="191">
        <f t="shared" si="26"/>
      </c>
      <c r="R76" s="189">
        <f t="shared" si="54"/>
      </c>
      <c r="S76" s="189">
        <f t="shared" si="69"/>
      </c>
      <c r="T76" s="192">
        <f t="shared" si="83"/>
      </c>
      <c r="U76" s="193">
        <f t="shared" si="97"/>
      </c>
      <c r="V76" s="120">
        <f t="shared" si="103"/>
      </c>
      <c r="W76" s="120">
        <f t="shared" si="170"/>
      </c>
      <c r="X76" s="121">
        <f t="shared" si="173"/>
      </c>
      <c r="Y76" s="120">
        <f t="shared" si="183"/>
      </c>
      <c r="Z76" s="120">
        <f t="shared" si="0"/>
      </c>
      <c r="AA76" s="119">
        <f t="shared" si="12"/>
      </c>
      <c r="AB76" s="119">
        <f t="shared" si="40"/>
      </c>
      <c r="AC76" s="119">
        <f t="shared" si="60"/>
      </c>
      <c r="AD76" s="122" t="s">
        <v>114</v>
      </c>
      <c r="AE76" s="122" t="s">
        <v>129</v>
      </c>
      <c r="AF76" s="123">
        <v>31345</v>
      </c>
      <c r="AG76" s="123">
        <v>10097</v>
      </c>
      <c r="AH76" s="123">
        <v>30271</v>
      </c>
      <c r="AI76" s="123">
        <v>362</v>
      </c>
      <c r="AJ76" s="124">
        <v>0</v>
      </c>
      <c r="AK76" s="123">
        <v>2929</v>
      </c>
      <c r="AL76" s="123">
        <v>161</v>
      </c>
      <c r="AM76" s="123">
        <v>62</v>
      </c>
      <c r="AN76" s="123">
        <v>6</v>
      </c>
      <c r="AO76" s="123">
        <v>0</v>
      </c>
      <c r="AP76" s="123">
        <f t="shared" si="120"/>
      </c>
    </row>
    <row r="77">
      <c r="A77" s="181"/>
      <c r="B77" s="217" t="s">
        <v>111</v>
      </c>
      <c r="C77" s="183" t="s">
        <v>121</v>
      </c>
      <c r="D77" s="184">
        <v>597.696</v>
      </c>
      <c r="E77" s="185">
        <v>1</v>
      </c>
      <c r="F77" s="185">
        <v>0</v>
      </c>
      <c r="G77" s="187">
        <v>0</v>
      </c>
      <c r="H77" s="185">
        <v>0</v>
      </c>
      <c r="I77" s="215">
        <v>0</v>
      </c>
      <c r="J77" s="187">
        <f t="shared" si="141"/>
      </c>
      <c r="K77" s="188">
        <f t="shared" si="159"/>
      </c>
      <c r="L77" s="189">
        <f t="shared" si="175"/>
      </c>
      <c r="M77" s="189">
        <f t="shared" si="125"/>
      </c>
      <c r="N77" s="189">
        <f t="shared" si="182"/>
      </c>
      <c r="O77" s="190">
        <f t="shared" si="187"/>
      </c>
      <c r="P77" s="190">
        <f t="shared" si="3"/>
      </c>
      <c r="Q77" s="191">
        <f t="shared" si="26"/>
      </c>
      <c r="R77" s="189">
        <f t="shared" si="54"/>
      </c>
      <c r="S77" s="189">
        <f t="shared" si="69"/>
      </c>
      <c r="T77" s="192">
        <f t="shared" si="83"/>
      </c>
      <c r="U77" s="193">
        <f t="shared" si="97"/>
      </c>
      <c r="V77" s="120">
        <f t="shared" si="103"/>
      </c>
      <c r="W77" s="120">
        <f t="shared" si="170"/>
      </c>
      <c r="X77" s="121">
        <f t="shared" si="173"/>
      </c>
      <c r="Y77" s="120">
        <f t="shared" si="183"/>
      </c>
      <c r="Z77" s="120">
        <f t="shared" si="0"/>
      </c>
      <c r="AA77" s="119">
        <f t="shared" si="12"/>
      </c>
      <c r="AB77" s="119">
        <f t="shared" si="40"/>
      </c>
      <c r="AC77" s="119">
        <f t="shared" si="60"/>
      </c>
      <c r="AD77" s="122" t="s">
        <v>114</v>
      </c>
      <c r="AE77" s="122" t="s">
        <v>129</v>
      </c>
      <c r="AF77" s="123">
        <v>25260</v>
      </c>
      <c r="AG77" s="123">
        <v>8250</v>
      </c>
      <c r="AH77" s="123">
        <v>25491</v>
      </c>
      <c r="AI77" s="123">
        <v>263</v>
      </c>
      <c r="AJ77" s="124">
        <v>1</v>
      </c>
      <c r="AK77" s="123">
        <v>2389</v>
      </c>
      <c r="AL77" s="123">
        <v>112</v>
      </c>
      <c r="AM77" s="123">
        <v>50</v>
      </c>
      <c r="AN77" s="123">
        <v>1</v>
      </c>
      <c r="AO77" s="123">
        <v>0</v>
      </c>
      <c r="AP77" s="123">
        <f t="shared" si="120"/>
      </c>
    </row>
    <row r="78">
      <c r="A78" s="181"/>
      <c r="B78" s="194" t="s">
        <v>116</v>
      </c>
      <c r="C78" s="194"/>
      <c r="D78" s="195">
        <f>SUM(D74:D77)</f>
      </c>
      <c r="E78" s="196">
        <f>SUM(E74:E77)</f>
      </c>
      <c r="F78" s="196">
        <f>SUM(F74:F77)</f>
      </c>
      <c r="G78" s="195">
        <f>SUM(G74:G77)</f>
      </c>
      <c r="H78" s="196">
        <f>SUM(H74:H77)</f>
      </c>
      <c r="I78" s="195">
        <f>SUM(I74:I77)</f>
      </c>
      <c r="J78" s="197">
        <f>SUM(J74:J77)</f>
      </c>
      <c r="K78" s="195">
        <f>SUM(K74:K77)</f>
      </c>
      <c r="L78" s="195">
        <f t="shared" si="175"/>
      </c>
      <c r="M78" s="195">
        <f t="shared" si="125"/>
      </c>
      <c r="N78" s="195">
        <f t="shared" si="182"/>
      </c>
      <c r="O78" s="199">
        <f t="shared" si="187"/>
      </c>
      <c r="P78" s="199">
        <f t="shared" si="3"/>
      </c>
      <c r="Q78" s="200">
        <f t="shared" si="26"/>
      </c>
      <c r="R78" s="198">
        <f t="shared" si="54"/>
      </c>
      <c r="S78" s="198">
        <f t="shared" si="69"/>
      </c>
      <c r="T78" s="201">
        <f t="shared" si="83"/>
      </c>
      <c r="U78" s="202">
        <f t="shared" si="97"/>
      </c>
      <c r="V78" s="131">
        <f t="shared" si="103"/>
      </c>
      <c r="W78" s="131">
        <f t="shared" si="170"/>
      </c>
      <c r="X78" s="132">
        <f t="shared" si="173"/>
      </c>
      <c r="Y78" s="131">
        <f t="shared" si="183"/>
      </c>
      <c r="Z78" s="133">
        <f t="shared" si="0"/>
      </c>
      <c r="AA78" s="130">
        <f t="shared" si="12"/>
      </c>
      <c r="AB78" s="130">
        <f t="shared" si="40"/>
      </c>
      <c r="AC78" s="130">
        <f t="shared" si="60"/>
      </c>
      <c r="AD78" s="130"/>
      <c r="AE78" s="134"/>
      <c r="AF78" s="160">
        <f>SUM(AF74:AF77)</f>
      </c>
      <c r="AG78" s="160">
        <f>SUM(AG74:AG77)</f>
      </c>
      <c r="AH78" s="160">
        <f>SUM(AH74:AH77)</f>
      </c>
      <c r="AI78" s="160">
        <f>SUM(AI74:AI77)</f>
      </c>
      <c r="AJ78" s="160">
        <f>SUM(AJ74:AJ77)</f>
      </c>
      <c r="AK78" s="160">
        <f>SUM(AK74:AK77)</f>
      </c>
      <c r="AL78" s="160">
        <f>SUM(AL74:AL77)</f>
      </c>
      <c r="AM78" s="160">
        <f>SUM(AM74:AM77)</f>
      </c>
      <c r="AN78" s="160">
        <f>SUM(AN74:AN77)</f>
      </c>
      <c r="AO78" s="160">
        <f>SUM(AO74:AO77)</f>
      </c>
      <c r="AP78" s="160">
        <f>SUM(AP74:AP77)</f>
      </c>
    </row>
    <row r="79">
      <c r="A79" s="181"/>
      <c r="B79" s="217" t="s">
        <v>120</v>
      </c>
      <c r="C79" s="183" t="s">
        <v>125</v>
      </c>
      <c r="D79" s="184">
        <v>377.893</v>
      </c>
      <c r="E79" s="185">
        <v>2</v>
      </c>
      <c r="F79" s="185">
        <v>1</v>
      </c>
      <c r="G79" s="186">
        <v>704.4000000000001</v>
      </c>
      <c r="H79" s="185">
        <v>1</v>
      </c>
      <c r="I79" s="215">
        <v>1414.8000000000002</v>
      </c>
      <c r="J79" s="187">
        <f t="shared" ref="J79:J80" si="142">F79+H79</f>
      </c>
      <c r="K79" s="188">
        <f t="shared" ref="K79:K80" si="160">G79+I79</f>
      </c>
      <c r="L79" s="188">
        <f t="shared" si="175"/>
      </c>
      <c r="M79" s="188">
        <f t="shared" si="125"/>
      </c>
      <c r="N79" s="188">
        <f t="shared" si="182"/>
      </c>
      <c r="O79" s="190">
        <f t="shared" si="187"/>
      </c>
      <c r="P79" s="190">
        <f t="shared" si="3"/>
      </c>
      <c r="Q79" s="191">
        <f t="shared" si="26"/>
      </c>
      <c r="R79" s="189">
        <f t="shared" si="54"/>
      </c>
      <c r="S79" s="189">
        <f t="shared" si="69"/>
      </c>
      <c r="T79" s="192">
        <f t="shared" si="83"/>
      </c>
      <c r="U79" s="193">
        <f t="shared" si="97"/>
      </c>
      <c r="V79" s="120">
        <f t="shared" si="103"/>
      </c>
      <c r="W79" s="120">
        <f t="shared" si="170"/>
      </c>
      <c r="X79" s="121">
        <f t="shared" si="173"/>
      </c>
      <c r="Y79" s="120">
        <f t="shared" si="183"/>
      </c>
      <c r="Z79" s="120">
        <f t="shared" si="0"/>
      </c>
      <c r="AA79" s="119">
        <f t="shared" si="12"/>
      </c>
      <c r="AB79" s="119">
        <f t="shared" si="40"/>
      </c>
      <c r="AC79" s="119">
        <f t="shared" si="60"/>
      </c>
      <c r="AD79" s="122" t="s">
        <v>114</v>
      </c>
      <c r="AE79" s="122" t="s">
        <v>129</v>
      </c>
      <c r="AF79" s="136">
        <v>12809</v>
      </c>
      <c r="AG79" s="136">
        <v>3529</v>
      </c>
      <c r="AH79" s="137">
        <v>15265</v>
      </c>
      <c r="AI79" s="123">
        <v>147</v>
      </c>
      <c r="AJ79" s="123">
        <v>2</v>
      </c>
      <c r="AK79" s="136">
        <v>1056</v>
      </c>
      <c r="AL79" s="124">
        <v>53</v>
      </c>
      <c r="AM79" s="124">
        <v>24</v>
      </c>
      <c r="AN79" s="124">
        <v>2</v>
      </c>
      <c r="AO79" s="123">
        <v>0</v>
      </c>
      <c r="AP79" s="123">
        <f t="shared" ref="AP79:AP80" si="121">COUNT(AO79)</f>
      </c>
    </row>
    <row r="80">
      <c r="A80" s="181"/>
      <c r="B80" s="217" t="s">
        <v>120</v>
      </c>
      <c r="C80" s="183" t="s">
        <v>126</v>
      </c>
      <c r="D80" s="184">
        <v>724.122</v>
      </c>
      <c r="E80" s="185">
        <v>0</v>
      </c>
      <c r="F80" s="185">
        <v>0</v>
      </c>
      <c r="G80" s="186">
        <v>0</v>
      </c>
      <c r="H80" s="185">
        <v>0</v>
      </c>
      <c r="I80" s="215">
        <v>0</v>
      </c>
      <c r="J80" s="187">
        <f t="shared" si="142"/>
      </c>
      <c r="K80" s="188">
        <f t="shared" si="160"/>
      </c>
      <c r="L80" s="188">
        <f t="shared" si="175"/>
      </c>
      <c r="M80" s="188">
        <f t="shared" si="125"/>
      </c>
      <c r="N80" s="188">
        <f t="shared" si="182"/>
      </c>
      <c r="O80" s="190">
        <f t="shared" si="187"/>
      </c>
      <c r="P80" s="190">
        <f t="shared" si="3"/>
      </c>
      <c r="Q80" s="191">
        <f>D80/AI80</f>
      </c>
      <c r="R80" s="189">
        <f>D80/AJ80</f>
      </c>
      <c r="S80" s="189">
        <f>D80/AK80</f>
      </c>
      <c r="T80" s="192">
        <f>AJ80/AI80</f>
      </c>
      <c r="U80" s="193">
        <f>AK80/AJ80</f>
      </c>
      <c r="V80" s="120">
        <f t="shared" si="103"/>
      </c>
      <c r="W80" s="120">
        <f t="shared" si="170"/>
      </c>
      <c r="X80" s="121">
        <f t="shared" si="173"/>
      </c>
      <c r="Y80" s="120">
        <f t="shared" si="183"/>
      </c>
      <c r="Z80" s="120">
        <f t="shared" si="0"/>
      </c>
      <c r="AA80" s="119">
        <f>AM80/AI80</f>
      </c>
      <c r="AB80" s="119">
        <f>AN80/AI80</f>
      </c>
      <c r="AC80" s="119">
        <f t="shared" si="60"/>
      </c>
      <c r="AD80" s="122" t="s">
        <v>114</v>
      </c>
      <c r="AE80" s="122" t="s">
        <v>129</v>
      </c>
      <c r="AF80" s="123">
        <v>21652</v>
      </c>
      <c r="AG80" s="138">
        <v>5061</v>
      </c>
      <c r="AH80" s="163">
        <v>36053</v>
      </c>
      <c r="AI80" s="140">
        <v>218</v>
      </c>
      <c r="AJ80" s="141">
        <v>0</v>
      </c>
      <c r="AK80" s="141">
        <v>2281</v>
      </c>
      <c r="AL80" s="141">
        <v>65</v>
      </c>
      <c r="AM80" s="141">
        <v>23</v>
      </c>
      <c r="AN80" s="141">
        <v>1</v>
      </c>
      <c r="AO80" s="123">
        <v>0</v>
      </c>
      <c r="AP80" s="123">
        <f t="shared" si="121"/>
      </c>
    </row>
    <row r="81">
      <c r="A81" s="181"/>
      <c r="B81" s="194" t="s">
        <v>116</v>
      </c>
      <c r="C81" s="194"/>
      <c r="D81" s="195">
        <f>SUM(D79:D80)</f>
      </c>
      <c r="E81" s="196">
        <f>SUM(E79:E80)</f>
      </c>
      <c r="F81" s="196">
        <f>SUM(F79:F80)</f>
      </c>
      <c r="G81" s="195">
        <f>SUM(G79:G80)</f>
      </c>
      <c r="H81" s="196">
        <f>SUM(H79:H80)</f>
      </c>
      <c r="I81" s="195">
        <f>SUM(I79:I80)</f>
      </c>
      <c r="J81" s="197">
        <f>SUM(J79:J80)</f>
      </c>
      <c r="K81" s="195">
        <f>SUM(K79:K80)</f>
      </c>
      <c r="L81" s="195">
        <f t="shared" si="175"/>
      </c>
      <c r="M81" s="195">
        <f t="shared" si="125"/>
      </c>
      <c r="N81" s="195">
        <f t="shared" si="182"/>
      </c>
      <c r="O81" s="199">
        <f t="shared" si="187"/>
      </c>
      <c r="P81" s="199">
        <f t="shared" si="3"/>
      </c>
      <c r="Q81" s="200">
        <f t="shared" ref="Q81:Q88" si="27">D81/AH81</f>
      </c>
      <c r="R81" s="198">
        <f t="shared" ref="R81:R88" si="55">D81/AI81</f>
      </c>
      <c r="S81" s="198">
        <f t="shared" ref="S81:S88" si="70">D81/AJ81</f>
      </c>
      <c r="T81" s="201">
        <f t="shared" ref="T81:T88" si="84">AI81/AH81</f>
      </c>
      <c r="U81" s="202">
        <f t="shared" ref="U81:U88" si="98">AJ81/AI81</f>
      </c>
      <c r="V81" s="131">
        <f t="shared" si="103"/>
      </c>
      <c r="W81" s="131">
        <f t="shared" si="170"/>
      </c>
      <c r="X81" s="132">
        <f t="shared" si="173"/>
      </c>
      <c r="Y81" s="131">
        <f t="shared" si="183"/>
      </c>
      <c r="Z81" s="133">
        <f t="shared" si="0"/>
      </c>
      <c r="AA81" s="130">
        <f t="shared" ref="AA81:AA88" si="13">AL81/AH81</f>
      </c>
      <c r="AB81" s="130">
        <f t="shared" ref="AB81:AB88" si="41">AM81/AH81</f>
      </c>
      <c r="AC81" s="130">
        <f t="shared" si="60"/>
      </c>
      <c r="AD81" s="130"/>
      <c r="AE81" s="134"/>
      <c r="AF81" s="160">
        <f>SUM(AF79:AF80)</f>
      </c>
      <c r="AG81" s="160">
        <f>SUM(AG79:AG80)</f>
      </c>
      <c r="AH81" s="164">
        <f>SUM(AH79:AH80)</f>
      </c>
      <c r="AI81" s="160">
        <f>SUM(AI79:AI80)</f>
      </c>
      <c r="AJ81" s="160">
        <f>SUM(AJ79:AJ80)</f>
      </c>
      <c r="AK81" s="160">
        <f>SUM(AK79:AK80)</f>
      </c>
      <c r="AL81" s="160">
        <f>SUM(AL79:AL80)</f>
      </c>
      <c r="AM81" s="160">
        <f>SUM(AM79:AM80)</f>
      </c>
      <c r="AN81" s="160">
        <f>SUM(AN79:AN80)</f>
      </c>
      <c r="AO81" s="160">
        <f>SUM(AO79:AO80)</f>
      </c>
      <c r="AP81" s="160">
        <f>SUM(AP79:AP80)</f>
      </c>
    </row>
    <row r="82">
      <c r="A82" s="181"/>
      <c r="B82" s="203" t="s">
        <v>122</v>
      </c>
      <c r="C82" s="203"/>
      <c r="D82" s="204">
        <f>D81+D78</f>
      </c>
      <c r="E82" s="205">
        <f>E81+E78</f>
      </c>
      <c r="F82" s="205">
        <f>F81+F78</f>
      </c>
      <c r="G82" s="204">
        <f>G81+G78</f>
      </c>
      <c r="H82" s="205">
        <f>H81+H78</f>
      </c>
      <c r="I82" s="204">
        <f>I81+I78</f>
      </c>
      <c r="J82" s="206">
        <f>J81+J78</f>
      </c>
      <c r="K82" s="204">
        <f>K81+K78</f>
      </c>
      <c r="L82" s="204">
        <f t="shared" si="175"/>
      </c>
      <c r="M82" s="204">
        <f t="shared" si="125"/>
      </c>
      <c r="N82" s="204">
        <f t="shared" si="182"/>
      </c>
      <c r="O82" s="208">
        <f t="shared" si="187"/>
      </c>
      <c r="P82" s="208">
        <f t="shared" si="3"/>
      </c>
      <c r="Q82" s="209">
        <f t="shared" si="27"/>
      </c>
      <c r="R82" s="209">
        <f t="shared" si="55"/>
      </c>
      <c r="S82" s="210">
        <f t="shared" si="70"/>
      </c>
      <c r="T82" s="211">
        <f t="shared" si="84"/>
      </c>
      <c r="U82" s="212">
        <f t="shared" si="98"/>
      </c>
      <c r="V82" s="151">
        <f t="shared" si="103"/>
      </c>
      <c r="W82" s="151">
        <f t="shared" si="170"/>
      </c>
      <c r="X82" s="152">
        <f t="shared" si="173"/>
      </c>
      <c r="Y82" s="151">
        <f t="shared" si="183"/>
      </c>
      <c r="Z82" s="153">
        <f t="shared" si="0"/>
      </c>
      <c r="AA82" s="154">
        <f t="shared" si="13"/>
      </c>
      <c r="AB82" s="154">
        <f t="shared" si="41"/>
      </c>
      <c r="AC82" s="154">
        <f t="shared" si="60"/>
      </c>
      <c r="AD82" s="154"/>
      <c r="AE82" s="155"/>
      <c r="AF82" s="167">
        <f>AF81+AF78</f>
      </c>
      <c r="AG82" s="167">
        <f>AG81+AG78</f>
      </c>
      <c r="AH82" s="167">
        <f>AH81+AH78</f>
      </c>
      <c r="AI82" s="167">
        <f>AI81+AI78</f>
      </c>
      <c r="AJ82" s="167">
        <f>AJ81+AJ78</f>
      </c>
      <c r="AK82" s="167">
        <f>AK81+AK78</f>
      </c>
      <c r="AL82" s="167">
        <f>AL81+AL78</f>
      </c>
      <c r="AM82" s="167">
        <f>AM81+AM78</f>
      </c>
      <c r="AN82" s="167">
        <f>AN81+AN78</f>
      </c>
      <c r="AO82" s="167">
        <f>AO81+AO78</f>
      </c>
      <c r="AP82" s="167">
        <f>AP81+AP78</f>
      </c>
    </row>
    <row r="83">
      <c r="A83" s="181">
        <v>46291</v>
      </c>
      <c r="B83" s="217" t="s">
        <v>127</v>
      </c>
      <c r="C83" s="183" t="s">
        <v>112</v>
      </c>
      <c r="D83" s="184">
        <v>1414.338</v>
      </c>
      <c r="E83" s="185">
        <v>0</v>
      </c>
      <c r="F83" s="185">
        <v>0</v>
      </c>
      <c r="G83" s="187">
        <v>0</v>
      </c>
      <c r="H83" s="185">
        <v>0</v>
      </c>
      <c r="I83" s="215">
        <v>0</v>
      </c>
      <c r="J83" s="187">
        <f t="shared" ref="J83:J85" si="143">F83+H83</f>
      </c>
      <c r="K83" s="188">
        <f t="shared" ref="K83:K85" si="161">G83+I83</f>
      </c>
      <c r="L83" s="189">
        <f t="shared" si="175"/>
      </c>
      <c r="M83" s="189">
        <f t="shared" si="125"/>
      </c>
      <c r="N83" s="189">
        <f t="shared" si="182"/>
      </c>
      <c r="O83" s="190">
        <f t="shared" si="187"/>
      </c>
      <c r="P83" s="190">
        <f t="shared" si="3"/>
      </c>
      <c r="Q83" s="191">
        <f t="shared" si="27"/>
      </c>
      <c r="R83" s="189">
        <f t="shared" si="55"/>
      </c>
      <c r="S83" s="189">
        <f t="shared" si="70"/>
      </c>
      <c r="T83" s="192">
        <f t="shared" si="84"/>
      </c>
      <c r="U83" s="193">
        <f t="shared" si="98"/>
      </c>
      <c r="V83" s="120">
        <f t="shared" si="103"/>
      </c>
      <c r="W83" s="120">
        <f t="shared" si="170"/>
      </c>
      <c r="X83" s="121">
        <f t="shared" si="173"/>
      </c>
      <c r="Y83" s="120">
        <f t="shared" si="183"/>
      </c>
      <c r="Z83" s="120">
        <f t="shared" si="0"/>
      </c>
      <c r="AA83" s="119">
        <f t="shared" si="13"/>
      </c>
      <c r="AB83" s="119">
        <f t="shared" si="41"/>
      </c>
      <c r="AC83" s="119">
        <f t="shared" si="60"/>
      </c>
      <c r="AD83" s="122" t="s">
        <v>114</v>
      </c>
      <c r="AE83" s="122" t="s">
        <v>129</v>
      </c>
      <c r="AF83" s="123">
        <v>35706</v>
      </c>
      <c r="AG83" s="123">
        <v>9560</v>
      </c>
      <c r="AH83" s="123">
        <v>64703</v>
      </c>
      <c r="AI83" s="123">
        <v>398</v>
      </c>
      <c r="AJ83" s="124">
        <v>0</v>
      </c>
      <c r="AK83" s="123">
        <v>4794</v>
      </c>
      <c r="AL83" s="123">
        <v>93</v>
      </c>
      <c r="AM83" s="123">
        <v>41</v>
      </c>
      <c r="AN83" s="123">
        <v>5</v>
      </c>
      <c r="AO83" s="123">
        <v>0</v>
      </c>
      <c r="AP83" s="123">
        <f t="shared" ref="AP83:AP85" si="122">COUNT(AO83)</f>
      </c>
    </row>
    <row r="84">
      <c r="A84" s="181"/>
      <c r="B84" s="217" t="s">
        <v>127</v>
      </c>
      <c r="C84" s="183" t="s">
        <v>118</v>
      </c>
      <c r="D84" s="184">
        <v>632.733</v>
      </c>
      <c r="E84" s="185">
        <v>3</v>
      </c>
      <c r="F84" s="185">
        <v>1</v>
      </c>
      <c r="G84" s="187">
        <v>349.20000000000005</v>
      </c>
      <c r="H84" s="185">
        <v>2</v>
      </c>
      <c r="I84" s="215">
        <v>4864.799999999999</v>
      </c>
      <c r="J84" s="187">
        <f t="shared" si="143"/>
      </c>
      <c r="K84" s="188">
        <f t="shared" si="161"/>
      </c>
      <c r="L84" s="189">
        <f t="shared" si="175"/>
      </c>
      <c r="M84" s="189">
        <f t="shared" si="125"/>
      </c>
      <c r="N84" s="189">
        <f t="shared" si="182"/>
      </c>
      <c r="O84" s="190">
        <f t="shared" si="187"/>
      </c>
      <c r="P84" s="190">
        <f t="shared" si="3"/>
      </c>
      <c r="Q84" s="191">
        <f t="shared" si="27"/>
      </c>
      <c r="R84" s="189">
        <f t="shared" si="55"/>
      </c>
      <c r="S84" s="189">
        <f t="shared" si="70"/>
      </c>
      <c r="T84" s="192">
        <f t="shared" si="84"/>
      </c>
      <c r="U84" s="193">
        <f t="shared" si="98"/>
      </c>
      <c r="V84" s="120">
        <f t="shared" si="103"/>
      </c>
      <c r="W84" s="120">
        <f t="shared" si="170"/>
      </c>
      <c r="X84" s="121">
        <f t="shared" si="173"/>
      </c>
      <c r="Y84" s="120">
        <f t="shared" si="183"/>
      </c>
      <c r="Z84" s="120">
        <f t="shared" si="0"/>
      </c>
      <c r="AA84" s="119">
        <f t="shared" si="13"/>
      </c>
      <c r="AB84" s="119">
        <f t="shared" si="41"/>
      </c>
      <c r="AC84" s="119">
        <f t="shared" si="60"/>
      </c>
      <c r="AD84" s="122" t="s">
        <v>114</v>
      </c>
      <c r="AE84" s="122" t="s">
        <v>129</v>
      </c>
      <c r="AF84" s="123">
        <v>20582</v>
      </c>
      <c r="AG84" s="123">
        <v>6526</v>
      </c>
      <c r="AH84" s="123">
        <v>28902</v>
      </c>
      <c r="AI84" s="123">
        <v>240</v>
      </c>
      <c r="AJ84" s="124">
        <v>2</v>
      </c>
      <c r="AK84" s="123">
        <v>1883</v>
      </c>
      <c r="AL84" s="123">
        <v>86</v>
      </c>
      <c r="AM84" s="123">
        <v>29</v>
      </c>
      <c r="AN84" s="123">
        <v>2</v>
      </c>
      <c r="AO84" s="123">
        <v>0</v>
      </c>
      <c r="AP84" s="123">
        <f t="shared" si="122"/>
      </c>
    </row>
    <row r="85">
      <c r="A85" s="181"/>
      <c r="B85" s="217" t="s">
        <v>127</v>
      </c>
      <c r="C85" s="183" t="s">
        <v>119</v>
      </c>
      <c r="D85" s="184">
        <v>1234.474</v>
      </c>
      <c r="E85" s="185">
        <v>5</v>
      </c>
      <c r="F85" s="185">
        <v>1</v>
      </c>
      <c r="G85" s="187">
        <v>2439</v>
      </c>
      <c r="H85" s="185">
        <v>1</v>
      </c>
      <c r="I85" s="215">
        <v>1088.4000000000005</v>
      </c>
      <c r="J85" s="187">
        <f t="shared" si="143"/>
      </c>
      <c r="K85" s="188">
        <f t="shared" si="161"/>
      </c>
      <c r="L85" s="189">
        <f t="shared" si="175"/>
      </c>
      <c r="M85" s="189">
        <f t="shared" si="125"/>
      </c>
      <c r="N85" s="189">
        <f t="shared" si="182"/>
      </c>
      <c r="O85" s="190">
        <f t="shared" si="187"/>
      </c>
      <c r="P85" s="190">
        <f t="shared" si="3"/>
      </c>
      <c r="Q85" s="191">
        <f t="shared" si="27"/>
      </c>
      <c r="R85" s="189">
        <f t="shared" si="55"/>
      </c>
      <c r="S85" s="189">
        <f t="shared" si="70"/>
      </c>
      <c r="T85" s="192">
        <f t="shared" si="84"/>
      </c>
      <c r="U85" s="193">
        <f t="shared" si="98"/>
      </c>
      <c r="V85" s="120">
        <f t="shared" si="103"/>
      </c>
      <c r="W85" s="120">
        <f t="shared" si="170"/>
      </c>
      <c r="X85" s="121">
        <f t="shared" si="173"/>
      </c>
      <c r="Y85" s="120">
        <f t="shared" si="183"/>
      </c>
      <c r="Z85" s="120">
        <f t="shared" si="0"/>
      </c>
      <c r="AA85" s="119">
        <f t="shared" si="13"/>
      </c>
      <c r="AB85" s="119">
        <f t="shared" si="41"/>
      </c>
      <c r="AC85" s="119">
        <f t="shared" si="60"/>
      </c>
      <c r="AD85" s="122" t="s">
        <v>114</v>
      </c>
      <c r="AE85" s="122" t="s">
        <v>129</v>
      </c>
      <c r="AF85" s="123">
        <v>39184</v>
      </c>
      <c r="AG85" s="123">
        <v>10253</v>
      </c>
      <c r="AH85" s="123">
        <v>57321</v>
      </c>
      <c r="AI85" s="123">
        <v>490</v>
      </c>
      <c r="AJ85" s="124">
        <v>3</v>
      </c>
      <c r="AK85" s="123">
        <v>3635</v>
      </c>
      <c r="AL85" s="123">
        <v>168</v>
      </c>
      <c r="AM85" s="123">
        <v>78</v>
      </c>
      <c r="AN85" s="123">
        <v>2</v>
      </c>
      <c r="AO85" s="123">
        <v>0</v>
      </c>
      <c r="AP85" s="123">
        <f t="shared" si="122"/>
      </c>
    </row>
    <row r="86">
      <c r="A86" s="181"/>
      <c r="B86" s="194" t="s">
        <v>116</v>
      </c>
      <c r="C86" s="194"/>
      <c r="D86" s="195">
        <f>SUM(D83:D85)</f>
      </c>
      <c r="E86" s="196">
        <f>SUM(E83:E85)</f>
      </c>
      <c r="F86" s="196">
        <f>SUM(F83:F85)</f>
      </c>
      <c r="G86" s="195">
        <f>SUM(G83:G85)</f>
      </c>
      <c r="H86" s="196">
        <f>SUM(H83:H85)</f>
      </c>
      <c r="I86" s="195">
        <f>SUM(I83:I85)</f>
      </c>
      <c r="J86" s="197">
        <f>SUM(J83:J85)</f>
      </c>
      <c r="K86" s="195">
        <f>SUM(K83:K85)</f>
      </c>
      <c r="L86" s="195">
        <f t="shared" si="175"/>
      </c>
      <c r="M86" s="195">
        <f t="shared" si="125"/>
      </c>
      <c r="N86" s="195">
        <f t="shared" si="182"/>
      </c>
      <c r="O86" s="199">
        <f t="shared" si="187"/>
      </c>
      <c r="P86" s="199">
        <f t="shared" si="3"/>
      </c>
      <c r="Q86" s="200">
        <f t="shared" si="27"/>
      </c>
      <c r="R86" s="198">
        <f t="shared" si="55"/>
      </c>
      <c r="S86" s="198">
        <f t="shared" si="70"/>
      </c>
      <c r="T86" s="201">
        <f t="shared" si="84"/>
      </c>
      <c r="U86" s="202">
        <f t="shared" si="98"/>
      </c>
      <c r="V86" s="131">
        <f t="shared" si="103"/>
      </c>
      <c r="W86" s="131">
        <f t="shared" si="170"/>
      </c>
      <c r="X86" s="132">
        <f t="shared" si="173"/>
      </c>
      <c r="Y86" s="131">
        <f t="shared" si="183"/>
      </c>
      <c r="Z86" s="133">
        <f t="shared" si="0"/>
      </c>
      <c r="AA86" s="130">
        <f t="shared" si="13"/>
      </c>
      <c r="AB86" s="130">
        <f t="shared" si="41"/>
      </c>
      <c r="AC86" s="130">
        <f t="shared" si="60"/>
      </c>
      <c r="AD86" s="130"/>
      <c r="AE86" s="134"/>
      <c r="AF86" s="160">
        <f>SUM(AF83:AF85)</f>
      </c>
      <c r="AG86" s="160">
        <f>SUM(AG83:AG85)</f>
      </c>
      <c r="AH86" s="160">
        <f>SUM(AH83:AH85)</f>
      </c>
      <c r="AI86" s="160">
        <f>SUM(AI83:AI85)</f>
      </c>
      <c r="AJ86" s="160">
        <f>SUM(AJ83:AJ85)</f>
      </c>
      <c r="AK86" s="160">
        <f>SUM(AK83:AK85)</f>
      </c>
      <c r="AL86" s="160">
        <f>SUM(AL83:AL85)</f>
      </c>
      <c r="AM86" s="160">
        <f>SUM(AM83:AM85)</f>
      </c>
      <c r="AN86" s="160">
        <f>SUM(AN83:AN85)</f>
      </c>
      <c r="AO86" s="160">
        <f>SUM(AO83:AO85)</f>
      </c>
      <c r="AP86" s="160">
        <f>SUM(AP83:AP85)</f>
      </c>
    </row>
    <row r="87">
      <c r="A87" s="181"/>
      <c r="B87" s="217" t="s">
        <v>120</v>
      </c>
      <c r="C87" s="183" t="s">
        <v>121</v>
      </c>
      <c r="D87" s="184">
        <v>1843.439</v>
      </c>
      <c r="E87" s="185">
        <v>6</v>
      </c>
      <c r="F87" s="185">
        <v>1</v>
      </c>
      <c r="G87" s="186">
        <v>1609.1999999999998</v>
      </c>
      <c r="H87" s="185">
        <v>3</v>
      </c>
      <c r="I87" s="215">
        <v>6534.000000000001</v>
      </c>
      <c r="J87" s="187">
        <f t="shared" ref="J87:J89" si="144">F87+H87</f>
      </c>
      <c r="K87" s="188">
        <f t="shared" ref="K87:K89" si="162">G87+I87</f>
      </c>
      <c r="L87" s="188">
        <f t="shared" si="175"/>
      </c>
      <c r="M87" s="188">
        <f t="shared" si="125"/>
      </c>
      <c r="N87" s="188">
        <f t="shared" si="182"/>
      </c>
      <c r="O87" s="190">
        <f t="shared" si="187"/>
      </c>
      <c r="P87" s="190">
        <f t="shared" si="3"/>
      </c>
      <c r="Q87" s="191">
        <f t="shared" si="27"/>
      </c>
      <c r="R87" s="189">
        <f t="shared" si="55"/>
      </c>
      <c r="S87" s="189">
        <f t="shared" si="70"/>
      </c>
      <c r="T87" s="192">
        <f t="shared" si="84"/>
      </c>
      <c r="U87" s="193">
        <f t="shared" si="98"/>
      </c>
      <c r="V87" s="120">
        <f t="shared" si="103"/>
      </c>
      <c r="W87" s="120">
        <f t="shared" si="170"/>
      </c>
      <c r="X87" s="121">
        <f t="shared" si="173"/>
      </c>
      <c r="Y87" s="120">
        <f t="shared" si="183"/>
      </c>
      <c r="Z87" s="120">
        <f t="shared" si="0"/>
      </c>
      <c r="AA87" s="119">
        <f t="shared" si="13"/>
      </c>
      <c r="AB87" s="119">
        <f t="shared" si="41"/>
      </c>
      <c r="AC87" s="119">
        <f t="shared" si="60"/>
      </c>
      <c r="AD87" s="122" t="s">
        <v>114</v>
      </c>
      <c r="AE87" s="122" t="s">
        <v>129</v>
      </c>
      <c r="AF87" s="136">
        <v>46589</v>
      </c>
      <c r="AG87" s="136">
        <v>11108</v>
      </c>
      <c r="AH87" s="137">
        <v>78351</v>
      </c>
      <c r="AI87" s="123">
        <v>567</v>
      </c>
      <c r="AJ87" s="124">
        <v>5</v>
      </c>
      <c r="AK87" s="136">
        <v>4814</v>
      </c>
      <c r="AL87" s="124">
        <v>198</v>
      </c>
      <c r="AM87" s="124">
        <v>48</v>
      </c>
      <c r="AN87" s="124">
        <v>5</v>
      </c>
      <c r="AO87" s="123">
        <v>0</v>
      </c>
      <c r="AP87" s="123">
        <f t="shared" ref="AP87:AP89" si="123">COUNT(AO87)</f>
      </c>
    </row>
    <row customHeight="true" ht="16.071428571428573" r="88">
      <c r="A88" s="181"/>
      <c r="B88" s="217" t="s">
        <v>120</v>
      </c>
      <c r="C88" s="183" t="s">
        <v>125</v>
      </c>
      <c r="D88" s="184">
        <v>3399.291</v>
      </c>
      <c r="E88" s="185">
        <v>3</v>
      </c>
      <c r="F88" s="185">
        <v>0</v>
      </c>
      <c r="G88" s="186">
        <v>0</v>
      </c>
      <c r="H88" s="185">
        <v>2</v>
      </c>
      <c r="I88" s="215">
        <v>3675.5999999999985</v>
      </c>
      <c r="J88" s="187">
        <f t="shared" si="144"/>
      </c>
      <c r="K88" s="188">
        <f t="shared" si="162"/>
      </c>
      <c r="L88" s="188">
        <f t="shared" si="175"/>
      </c>
      <c r="M88" s="188">
        <f t="shared" si="125"/>
      </c>
      <c r="N88" s="188">
        <f t="shared" si="182"/>
      </c>
      <c r="O88" s="190">
        <f t="shared" si="187"/>
      </c>
      <c r="P88" s="190">
        <f t="shared" si="3"/>
      </c>
      <c r="Q88" s="191">
        <f t="shared" si="27"/>
      </c>
      <c r="R88" s="189">
        <f t="shared" si="55"/>
      </c>
      <c r="S88" s="189">
        <f t="shared" si="70"/>
      </c>
      <c r="T88" s="192">
        <f t="shared" si="84"/>
      </c>
      <c r="U88" s="193">
        <f t="shared" si="98"/>
      </c>
      <c r="V88" s="120">
        <f t="shared" si="103"/>
      </c>
      <c r="W88" s="120">
        <f t="shared" si="170"/>
      </c>
      <c r="X88" s="121">
        <f t="shared" si="173"/>
      </c>
      <c r="Y88" s="120">
        <f t="shared" si="183"/>
      </c>
      <c r="Z88" s="120">
        <f t="shared" si="0"/>
      </c>
      <c r="AA88" s="119">
        <f t="shared" si="13"/>
      </c>
      <c r="AB88" s="119">
        <f t="shared" si="41"/>
      </c>
      <c r="AC88" s="119">
        <f t="shared" si="60"/>
      </c>
      <c r="AD88" s="122" t="s">
        <v>114</v>
      </c>
      <c r="AE88" s="122" t="s">
        <v>129</v>
      </c>
      <c r="AF88" s="123">
        <v>79140</v>
      </c>
      <c r="AG88" s="138">
        <v>11442</v>
      </c>
      <c r="AH88" s="163">
        <v>140899</v>
      </c>
      <c r="AI88" s="140">
        <v>639</v>
      </c>
      <c r="AJ88" s="141">
        <v>4</v>
      </c>
      <c r="AK88" s="141">
        <v>7386</v>
      </c>
      <c r="AL88" s="141">
        <v>198</v>
      </c>
      <c r="AM88" s="141">
        <v>100</v>
      </c>
      <c r="AN88" s="141">
        <v>4</v>
      </c>
      <c r="AO88" s="123">
        <v>0</v>
      </c>
      <c r="AP88" s="123">
        <f t="shared" si="123"/>
      </c>
    </row>
    <row r="89">
      <c r="A89" s="181"/>
      <c r="B89" s="217" t="s">
        <v>120</v>
      </c>
      <c r="C89" s="183" t="s">
        <v>126</v>
      </c>
      <c r="D89" s="184">
        <v>2195.313</v>
      </c>
      <c r="E89" s="185">
        <v>1</v>
      </c>
      <c r="F89" s="185">
        <v>0</v>
      </c>
      <c r="G89" s="186">
        <v>0</v>
      </c>
      <c r="H89" s="185">
        <v>0</v>
      </c>
      <c r="I89" s="215">
        <v>0</v>
      </c>
      <c r="J89" s="187">
        <f t="shared" si="144"/>
      </c>
      <c r="K89" s="188">
        <f t="shared" si="162"/>
      </c>
      <c r="L89" s="188">
        <f t="shared" si="175"/>
      </c>
      <c r="M89" s="188">
        <f t="shared" si="125"/>
      </c>
      <c r="N89" s="188">
        <f t="shared" si="182"/>
      </c>
      <c r="O89" s="190">
        <f t="shared" si="187"/>
      </c>
      <c r="P89" s="190">
        <f t="shared" si="3"/>
      </c>
      <c r="Q89" s="191">
        <f>D89/AI89</f>
      </c>
      <c r="R89" s="189">
        <f>D89/AJ89</f>
      </c>
      <c r="S89" s="189">
        <f>D89/AK89</f>
      </c>
      <c r="T89" s="192">
        <f>AJ89/AI89</f>
      </c>
      <c r="U89" s="193">
        <f>AK89/AJ89</f>
      </c>
      <c r="V89" s="120">
        <f t="shared" si="103"/>
      </c>
      <c r="W89" s="120">
        <f t="shared" si="170"/>
      </c>
      <c r="X89" s="121">
        <f t="shared" si="173"/>
      </c>
      <c r="Y89" s="120">
        <f t="shared" si="183"/>
      </c>
      <c r="Z89" s="120">
        <f t="shared" si="0"/>
      </c>
      <c r="AA89" s="119">
        <f>AM89/AI89</f>
      </c>
      <c r="AB89" s="119">
        <f>AN89/AI89</f>
      </c>
      <c r="AC89" s="119">
        <f t="shared" si="60"/>
      </c>
      <c r="AD89" s="122" t="s">
        <v>114</v>
      </c>
      <c r="AE89" s="122" t="s">
        <v>129</v>
      </c>
      <c r="AF89" s="123">
        <v>60685</v>
      </c>
      <c r="AG89" s="138">
        <v>9056</v>
      </c>
      <c r="AH89" s="163">
        <v>107026</v>
      </c>
      <c r="AI89" s="140">
        <v>598</v>
      </c>
      <c r="AJ89" s="141">
        <v>0</v>
      </c>
      <c r="AK89" s="141">
        <v>6257</v>
      </c>
      <c r="AL89" s="141">
        <v>228</v>
      </c>
      <c r="AM89" s="141">
        <v>71</v>
      </c>
      <c r="AN89" s="141">
        <v>3</v>
      </c>
      <c r="AO89" s="123">
        <v>0</v>
      </c>
      <c r="AP89" s="123">
        <f t="shared" si="123"/>
      </c>
    </row>
    <row r="90">
      <c r="A90" s="181"/>
      <c r="B90" s="194" t="s">
        <v>116</v>
      </c>
      <c r="C90" s="194"/>
      <c r="D90" s="195">
        <f>SUM(D87:D89)</f>
      </c>
      <c r="E90" s="196">
        <f>SUM(E87:E89)</f>
      </c>
      <c r="F90" s="196">
        <f>SUM(F87:F89)</f>
      </c>
      <c r="G90" s="195">
        <f>SUM(G87:G89)</f>
      </c>
      <c r="H90" s="196">
        <f>SUM(H87:H89)</f>
      </c>
      <c r="I90" s="195">
        <f>SUM(I87:I89)</f>
      </c>
      <c r="J90" s="197">
        <f>SUM(J87:J89)</f>
      </c>
      <c r="K90" s="195">
        <f>SUM(K87:K89)</f>
      </c>
      <c r="L90" s="195">
        <f t="shared" si="175"/>
      </c>
      <c r="M90" s="195">
        <f t="shared" si="125"/>
      </c>
      <c r="N90" s="195">
        <f t="shared" si="182"/>
      </c>
      <c r="O90" s="199">
        <f t="shared" si="187"/>
      </c>
      <c r="P90" s="199">
        <f t="shared" si="3"/>
      </c>
      <c r="Q90" s="200">
        <f t="shared" ref="Q90:Q105" si="28">D90/AH90</f>
      </c>
      <c r="R90" s="198">
        <f t="shared" ref="R90:R105" si="56">D90/AI90</f>
      </c>
      <c r="S90" s="198">
        <f t="shared" ref="S90:S105" si="71">D90/AJ90</f>
      </c>
      <c r="T90" s="201">
        <f t="shared" ref="T90:T105" si="85">AI90/AH90</f>
      </c>
      <c r="U90" s="202">
        <f t="shared" ref="U90:U105" si="99">AJ90/AI90</f>
      </c>
      <c r="V90" s="131">
        <f t="shared" si="103"/>
      </c>
      <c r="W90" s="131">
        <f t="shared" si="170"/>
      </c>
      <c r="X90" s="132">
        <f t="shared" si="173"/>
      </c>
      <c r="Y90" s="131">
        <f t="shared" si="183"/>
      </c>
      <c r="Z90" s="133">
        <f t="shared" si="0"/>
      </c>
      <c r="AA90" s="130">
        <f t="shared" ref="AA90:AA105" si="14">AL90/AH90</f>
      </c>
      <c r="AB90" s="130">
        <f t="shared" ref="AB90:AB105" si="42">AM90/AH90</f>
      </c>
      <c r="AC90" s="130">
        <f t="shared" si="60"/>
      </c>
      <c r="AD90" s="130"/>
      <c r="AE90" s="134"/>
      <c r="AF90" s="160">
        <f>SUM(AF87:AF89)</f>
      </c>
      <c r="AG90" s="160">
        <f>SUM(AG87:AG89)</f>
      </c>
      <c r="AH90" s="164">
        <f>SUM(AH87:AH89)</f>
      </c>
      <c r="AI90" s="160">
        <f>SUM(AI87:AI89)</f>
      </c>
      <c r="AJ90" s="160">
        <f>SUM(AJ87:AJ89)</f>
      </c>
      <c r="AK90" s="160">
        <f>SUM(AK87:AK89)</f>
      </c>
      <c r="AL90" s="160">
        <f>SUM(AL87:AL89)</f>
      </c>
      <c r="AM90" s="160">
        <f>SUM(AM87:AM89)</f>
      </c>
      <c r="AN90" s="160">
        <f>SUM(AN87:AN89)</f>
      </c>
      <c r="AO90" s="160">
        <f>SUM(AO87:AO89)</f>
      </c>
      <c r="AP90" s="160">
        <f>SUM(AP87:AP89)</f>
      </c>
    </row>
    <row r="91">
      <c r="A91" s="181"/>
      <c r="B91" s="203" t="s">
        <v>122</v>
      </c>
      <c r="C91" s="203"/>
      <c r="D91" s="204">
        <f>D90+D86</f>
      </c>
      <c r="E91" s="205">
        <f>E90+E86</f>
      </c>
      <c r="F91" s="205">
        <f>F90+F86</f>
      </c>
      <c r="G91" s="204">
        <f>G90+G86</f>
      </c>
      <c r="H91" s="205">
        <f>H90+H86</f>
      </c>
      <c r="I91" s="204">
        <f>I90+I86</f>
      </c>
      <c r="J91" s="206">
        <f>J90+J86</f>
      </c>
      <c r="K91" s="204">
        <f>K90+K86</f>
      </c>
      <c r="L91" s="204">
        <f t="shared" si="175"/>
      </c>
      <c r="M91" s="204">
        <f t="shared" si="125"/>
      </c>
      <c r="N91" s="204">
        <f t="shared" si="182"/>
      </c>
      <c r="O91" s="208">
        <f t="shared" si="187"/>
      </c>
      <c r="P91" s="208">
        <f t="shared" si="3"/>
      </c>
      <c r="Q91" s="209">
        <f t="shared" si="28"/>
      </c>
      <c r="R91" s="209">
        <f t="shared" si="56"/>
      </c>
      <c r="S91" s="210">
        <f t="shared" si="71"/>
      </c>
      <c r="T91" s="211">
        <f t="shared" si="85"/>
      </c>
      <c r="U91" s="212">
        <f t="shared" si="99"/>
      </c>
      <c r="V91" s="151">
        <f t="shared" si="103"/>
      </c>
      <c r="W91" s="151">
        <f t="shared" si="170"/>
      </c>
      <c r="X91" s="152">
        <f t="shared" si="173"/>
      </c>
      <c r="Y91" s="151">
        <f t="shared" si="183"/>
      </c>
      <c r="Z91" s="153">
        <f t="shared" si="0"/>
      </c>
      <c r="AA91" s="154">
        <f t="shared" si="14"/>
      </c>
      <c r="AB91" s="154">
        <f t="shared" si="42"/>
      </c>
      <c r="AC91" s="154">
        <f t="shared" si="60"/>
      </c>
      <c r="AD91" s="154"/>
      <c r="AE91" s="155"/>
      <c r="AF91" s="167">
        <f>AF90+AF86</f>
      </c>
      <c r="AG91" s="167">
        <f>AG90+AG86</f>
      </c>
      <c r="AH91" s="167">
        <f>AH90+AH86</f>
      </c>
      <c r="AI91" s="167">
        <f>AI90+AI86</f>
      </c>
      <c r="AJ91" s="167">
        <f>AJ90+AJ86</f>
      </c>
      <c r="AK91" s="167">
        <f>AK90+AK86</f>
      </c>
      <c r="AL91" s="167">
        <f>AL90+AL86</f>
      </c>
      <c r="AM91" s="167">
        <f>AM90+AM86</f>
      </c>
      <c r="AN91" s="167">
        <f>AN90+AN86</f>
      </c>
      <c r="AO91" s="167">
        <f>AO90+AO86</f>
      </c>
      <c r="AP91" s="167">
        <f>AP90+AP86</f>
      </c>
    </row>
    <row r="92">
      <c r="A92" s="181">
        <v>46292</v>
      </c>
      <c r="B92" s="217" t="s">
        <v>111</v>
      </c>
      <c r="C92" s="183" t="s">
        <v>112</v>
      </c>
      <c r="D92" s="184">
        <v>1023.503</v>
      </c>
      <c r="E92" s="185">
        <v>0</v>
      </c>
      <c r="F92" s="185">
        <v>0</v>
      </c>
      <c r="G92" s="186">
        <v>0</v>
      </c>
      <c r="H92" s="185">
        <v>0</v>
      </c>
      <c r="I92" s="215">
        <v>0</v>
      </c>
      <c r="J92" s="187">
        <f t="shared" ref="J92:J95" si="145">F92+H92</f>
      </c>
      <c r="K92" s="188">
        <f t="shared" ref="K92:K95" si="163">G92+I92</f>
      </c>
      <c r="L92" s="189">
        <f t="shared" si="175"/>
      </c>
      <c r="M92" s="189">
        <f t="shared" si="125"/>
      </c>
      <c r="N92" s="189">
        <f t="shared" si="182"/>
      </c>
      <c r="O92" s="190">
        <f t="shared" si="187"/>
      </c>
      <c r="P92" s="190">
        <f t="shared" si="3"/>
      </c>
      <c r="Q92" s="191">
        <f t="shared" si="28"/>
      </c>
      <c r="R92" s="189">
        <f t="shared" si="56"/>
      </c>
      <c r="S92" s="189">
        <f t="shared" si="71"/>
      </c>
      <c r="T92" s="192">
        <f t="shared" si="85"/>
      </c>
      <c r="U92" s="193">
        <f t="shared" si="99"/>
      </c>
      <c r="V92" s="120">
        <f t="shared" si="103"/>
      </c>
      <c r="W92" s="120">
        <f t="shared" si="170"/>
      </c>
      <c r="X92" s="121">
        <f t="shared" si="173"/>
      </c>
      <c r="Y92" s="120">
        <f t="shared" si="183"/>
      </c>
      <c r="Z92" s="120">
        <f t="shared" si="0"/>
      </c>
      <c r="AA92" s="119">
        <f t="shared" si="14"/>
      </c>
      <c r="AB92" s="119">
        <f t="shared" si="42"/>
      </c>
      <c r="AC92" s="119">
        <f t="shared" si="60"/>
      </c>
      <c r="AD92" s="122" t="s">
        <v>114</v>
      </c>
      <c r="AE92" s="122" t="s">
        <v>129</v>
      </c>
      <c r="AF92" s="123">
        <v>18688</v>
      </c>
      <c r="AG92" s="123">
        <v>3804</v>
      </c>
      <c r="AH92" s="123">
        <v>37412</v>
      </c>
      <c r="AI92" s="123">
        <v>250</v>
      </c>
      <c r="AJ92" s="124">
        <v>0</v>
      </c>
      <c r="AK92" s="123">
        <v>2195</v>
      </c>
      <c r="AL92" s="123">
        <v>89</v>
      </c>
      <c r="AM92" s="123">
        <v>31</v>
      </c>
      <c r="AN92" s="123">
        <v>1</v>
      </c>
      <c r="AO92" s="124">
        <v>0</v>
      </c>
      <c r="AP92" s="123">
        <f t="shared" ref="AP92:AP95" si="124">COUNT(AO92)</f>
      </c>
    </row>
    <row r="93">
      <c r="A93" s="181"/>
      <c r="B93" s="217" t="s">
        <v>111</v>
      </c>
      <c r="C93" s="183" t="s">
        <v>118</v>
      </c>
      <c r="D93" s="184">
        <v>1073.125</v>
      </c>
      <c r="E93" s="185">
        <v>1</v>
      </c>
      <c r="F93" s="185">
        <v>1</v>
      </c>
      <c r="G93" s="187">
        <v>1525.1999999999998</v>
      </c>
      <c r="H93" s="185">
        <v>0</v>
      </c>
      <c r="I93" s="215">
        <v>0</v>
      </c>
      <c r="J93" s="187">
        <f t="shared" si="145"/>
      </c>
      <c r="K93" s="188">
        <f t="shared" si="163"/>
      </c>
      <c r="L93" s="189">
        <f t="shared" si="175"/>
      </c>
      <c r="M93" s="189">
        <f t="shared" si="125"/>
      </c>
      <c r="N93" s="189">
        <f t="shared" si="182"/>
      </c>
      <c r="O93" s="190">
        <f t="shared" si="187"/>
      </c>
      <c r="P93" s="190">
        <f t="shared" si="3"/>
      </c>
      <c r="Q93" s="191">
        <f t="shared" si="28"/>
      </c>
      <c r="R93" s="189">
        <f t="shared" si="56"/>
      </c>
      <c r="S93" s="189">
        <f t="shared" si="71"/>
      </c>
      <c r="T93" s="192">
        <f t="shared" si="85"/>
      </c>
      <c r="U93" s="193">
        <f t="shared" si="99"/>
      </c>
      <c r="V93" s="120">
        <f t="shared" si="103"/>
      </c>
      <c r="W93" s="120">
        <f t="shared" si="170"/>
      </c>
      <c r="X93" s="121">
        <f t="shared" si="173"/>
      </c>
      <c r="Y93" s="120">
        <f t="shared" si="183"/>
      </c>
      <c r="Z93" s="120">
        <f t="shared" si="0"/>
      </c>
      <c r="AA93" s="119">
        <f t="shared" si="14"/>
      </c>
      <c r="AB93" s="119">
        <f t="shared" si="42"/>
      </c>
      <c r="AC93" s="119">
        <f t="shared" si="60"/>
      </c>
      <c r="AD93" s="122" t="s">
        <v>114</v>
      </c>
      <c r="AE93" s="122" t="s">
        <v>129</v>
      </c>
      <c r="AF93" s="123">
        <v>20082</v>
      </c>
      <c r="AG93" s="123">
        <v>4324</v>
      </c>
      <c r="AH93" s="123">
        <v>37978</v>
      </c>
      <c r="AI93" s="123">
        <v>291</v>
      </c>
      <c r="AJ93" s="124">
        <v>1</v>
      </c>
      <c r="AK93" s="123">
        <v>2280</v>
      </c>
      <c r="AL93" s="123">
        <v>109</v>
      </c>
      <c r="AM93" s="123">
        <v>29</v>
      </c>
      <c r="AN93" s="123">
        <v>3</v>
      </c>
      <c r="AO93" s="124">
        <v>0</v>
      </c>
      <c r="AP93" s="123">
        <f t="shared" si="124"/>
      </c>
    </row>
    <row r="94">
      <c r="A94" s="181"/>
      <c r="B94" s="217" t="s">
        <v>111</v>
      </c>
      <c r="C94" s="183" t="s">
        <v>119</v>
      </c>
      <c r="D94" s="184">
        <v>1806.232</v>
      </c>
      <c r="E94" s="185">
        <v>1</v>
      </c>
      <c r="F94" s="185">
        <v>0</v>
      </c>
      <c r="G94" s="187">
        <v>0</v>
      </c>
      <c r="H94" s="185">
        <v>0</v>
      </c>
      <c r="I94" s="215">
        <v>0</v>
      </c>
      <c r="J94" s="187">
        <f t="shared" si="145"/>
      </c>
      <c r="K94" s="188">
        <f t="shared" si="163"/>
      </c>
      <c r="L94" s="189">
        <f t="shared" si="175"/>
      </c>
      <c r="M94" s="189">
        <f t="shared" si="125"/>
      </c>
      <c r="N94" s="189">
        <f t="shared" si="182"/>
      </c>
      <c r="O94" s="190">
        <f t="shared" si="187"/>
      </c>
      <c r="P94" s="190">
        <f t="shared" si="3"/>
      </c>
      <c r="Q94" s="191">
        <f t="shared" si="28"/>
      </c>
      <c r="R94" s="189">
        <f t="shared" si="56"/>
      </c>
      <c r="S94" s="189">
        <f t="shared" si="71"/>
      </c>
      <c r="T94" s="192">
        <f t="shared" si="85"/>
      </c>
      <c r="U94" s="193">
        <f t="shared" si="99"/>
      </c>
      <c r="V94" s="120">
        <f t="shared" si="103"/>
      </c>
      <c r="W94" s="120">
        <f t="shared" si="170"/>
      </c>
      <c r="X94" s="121">
        <f t="shared" si="173"/>
      </c>
      <c r="Y94" s="120">
        <f t="shared" si="183"/>
      </c>
      <c r="Z94" s="120">
        <f t="shared" si="0"/>
      </c>
      <c r="AA94" s="119">
        <f t="shared" si="14"/>
      </c>
      <c r="AB94" s="119">
        <f t="shared" si="42"/>
      </c>
      <c r="AC94" s="119">
        <f t="shared" si="60"/>
      </c>
      <c r="AD94" s="122" t="s">
        <v>114</v>
      </c>
      <c r="AE94" s="122" t="s">
        <v>129</v>
      </c>
      <c r="AF94" s="123">
        <v>25342</v>
      </c>
      <c r="AG94" s="123">
        <v>5217</v>
      </c>
      <c r="AH94" s="123">
        <v>54280</v>
      </c>
      <c r="AI94" s="123">
        <v>305</v>
      </c>
      <c r="AJ94" s="124">
        <v>0</v>
      </c>
      <c r="AK94" s="123">
        <v>2839</v>
      </c>
      <c r="AL94" s="123">
        <v>113</v>
      </c>
      <c r="AM94" s="123">
        <v>33</v>
      </c>
      <c r="AN94" s="123">
        <v>5</v>
      </c>
      <c r="AO94" s="124">
        <v>0</v>
      </c>
      <c r="AP94" s="123">
        <f t="shared" si="124"/>
      </c>
    </row>
    <row r="95">
      <c r="A95" s="181"/>
      <c r="B95" s="217" t="s">
        <v>111</v>
      </c>
      <c r="C95" s="183" t="s">
        <v>121</v>
      </c>
      <c r="D95" s="184">
        <v>1655.84</v>
      </c>
      <c r="E95" s="185">
        <v>1</v>
      </c>
      <c r="F95" s="185">
        <v>0</v>
      </c>
      <c r="G95" s="187">
        <v>0</v>
      </c>
      <c r="H95" s="185">
        <v>0</v>
      </c>
      <c r="I95" s="215">
        <v>0</v>
      </c>
      <c r="J95" s="187">
        <f t="shared" si="145"/>
      </c>
      <c r="K95" s="188">
        <f t="shared" si="163"/>
      </c>
      <c r="L95" s="189">
        <f t="shared" si="175"/>
      </c>
      <c r="M95" s="189">
        <f t="shared" si="125"/>
      </c>
      <c r="N95" s="189">
        <f t="shared" si="182"/>
      </c>
      <c r="O95" s="190">
        <f t="shared" si="187"/>
      </c>
      <c r="P95" s="190">
        <f t="shared" si="3"/>
      </c>
      <c r="Q95" s="191">
        <f t="shared" si="28"/>
      </c>
      <c r="R95" s="189">
        <f t="shared" si="56"/>
      </c>
      <c r="S95" s="189">
        <f t="shared" si="71"/>
      </c>
      <c r="T95" s="192">
        <f t="shared" si="85"/>
      </c>
      <c r="U95" s="193">
        <f t="shared" si="99"/>
      </c>
      <c r="V95" s="120">
        <f t="shared" si="103"/>
      </c>
      <c r="W95" s="120">
        <f t="shared" si="170"/>
      </c>
      <c r="X95" s="121">
        <f t="shared" si="173"/>
      </c>
      <c r="Y95" s="120">
        <f t="shared" si="183"/>
      </c>
      <c r="Z95" s="120">
        <f t="shared" si="0"/>
      </c>
      <c r="AA95" s="119">
        <f t="shared" si="14"/>
      </c>
      <c r="AB95" s="119">
        <f t="shared" si="42"/>
      </c>
      <c r="AC95" s="119">
        <f t="shared" si="60"/>
      </c>
      <c r="AD95" s="122" t="s">
        <v>114</v>
      </c>
      <c r="AE95" s="122" t="s">
        <v>129</v>
      </c>
      <c r="AF95" s="123">
        <v>32919</v>
      </c>
      <c r="AG95" s="123">
        <v>7345</v>
      </c>
      <c r="AH95" s="123">
        <v>77086</v>
      </c>
      <c r="AI95" s="123">
        <v>324</v>
      </c>
      <c r="AJ95" s="124">
        <v>0</v>
      </c>
      <c r="AK95" s="123">
        <v>3984</v>
      </c>
      <c r="AL95" s="123">
        <v>93</v>
      </c>
      <c r="AM95" s="123">
        <v>28</v>
      </c>
      <c r="AN95" s="123">
        <v>5</v>
      </c>
      <c r="AO95" s="124">
        <v>0</v>
      </c>
      <c r="AP95" s="123">
        <f t="shared" si="124"/>
      </c>
    </row>
    <row r="96">
      <c r="A96" s="181"/>
      <c r="B96" s="194" t="s">
        <v>116</v>
      </c>
      <c r="C96" s="194"/>
      <c r="D96" s="195">
        <f>SUM(D92:D95)</f>
      </c>
      <c r="E96" s="196">
        <f>SUM(E92:E95)</f>
      </c>
      <c r="F96" s="196">
        <f>SUM(F92:F95)</f>
      </c>
      <c r="G96" s="195">
        <f>SUM(G92:G95)</f>
      </c>
      <c r="H96" s="196">
        <f>SUM(H92:H95)</f>
      </c>
      <c r="I96" s="195">
        <f>SUM(I92:I95)</f>
      </c>
      <c r="J96" s="197">
        <f>SUM(J92:J95)</f>
      </c>
      <c r="K96" s="195">
        <f>SUM(K92:K95)</f>
      </c>
      <c r="L96" s="195">
        <f t="shared" si="175"/>
      </c>
      <c r="M96" s="195">
        <f t="shared" si="125"/>
      </c>
      <c r="N96" s="195">
        <f t="shared" si="182"/>
      </c>
      <c r="O96" s="199">
        <f t="shared" si="187"/>
      </c>
      <c r="P96" s="199">
        <f t="shared" si="3"/>
      </c>
      <c r="Q96" s="200">
        <f t="shared" si="28"/>
      </c>
      <c r="R96" s="198">
        <f t="shared" si="56"/>
      </c>
      <c r="S96" s="198">
        <f t="shared" si="71"/>
      </c>
      <c r="T96" s="201">
        <f t="shared" si="85"/>
      </c>
      <c r="U96" s="202">
        <f t="shared" si="99"/>
      </c>
      <c r="V96" s="131">
        <f t="shared" si="103"/>
      </c>
      <c r="W96" s="131">
        <f t="shared" si="170"/>
      </c>
      <c r="X96" s="132">
        <f t="shared" si="173"/>
      </c>
      <c r="Y96" s="131">
        <f t="shared" si="183"/>
      </c>
      <c r="Z96" s="133">
        <f t="shared" si="0"/>
      </c>
      <c r="AA96" s="130">
        <f t="shared" si="14"/>
      </c>
      <c r="AB96" s="130">
        <f t="shared" si="42"/>
      </c>
      <c r="AC96" s="130">
        <f t="shared" si="60"/>
      </c>
      <c r="AD96" s="130"/>
      <c r="AE96" s="134"/>
      <c r="AF96" s="160">
        <f>SUM(AF92:AF95)</f>
      </c>
      <c r="AG96" s="160">
        <f>SUM(AG92:AG95)</f>
      </c>
      <c r="AH96" s="160">
        <f>SUM(AH92:AH95)</f>
      </c>
      <c r="AI96" s="160">
        <f>SUM(AI92:AI95)</f>
      </c>
      <c r="AJ96" s="160">
        <f>SUM(AJ92:AJ95)</f>
      </c>
      <c r="AK96" s="160">
        <f>SUM(AK92:AK95)</f>
      </c>
      <c r="AL96" s="160">
        <f>SUM(AL92:AL95)</f>
      </c>
      <c r="AM96" s="160">
        <f>SUM(AM92:AM95)</f>
      </c>
      <c r="AN96" s="160">
        <f>SUM(AN92:AN95)</f>
      </c>
      <c r="AO96" s="160">
        <f>SUM(AO92:AO95)</f>
      </c>
      <c r="AP96" s="160">
        <f>SUM(AP92:AP95)</f>
      </c>
    </row>
    <row r="97">
      <c r="A97" s="181"/>
      <c r="B97" s="217" t="s">
        <v>120</v>
      </c>
      <c r="C97" s="183" t="s">
        <v>125</v>
      </c>
      <c r="D97" s="184">
        <v>378.727</v>
      </c>
      <c r="E97" s="185">
        <v>0</v>
      </c>
      <c r="F97" s="185">
        <v>0</v>
      </c>
      <c r="G97" s="186">
        <v>0</v>
      </c>
      <c r="H97" s="185">
        <v>0</v>
      </c>
      <c r="I97" s="215">
        <v>0</v>
      </c>
      <c r="J97" s="187">
        <f>F97+H97</f>
      </c>
      <c r="K97" s="188">
        <f>G97+I97</f>
      </c>
      <c r="L97" s="188">
        <f t="shared" si="175"/>
      </c>
      <c r="M97" s="188">
        <f t="shared" si="125"/>
      </c>
      <c r="N97" s="188">
        <f t="shared" si="182"/>
      </c>
      <c r="O97" s="190">
        <f t="shared" si="187"/>
      </c>
      <c r="P97" s="190">
        <f t="shared" si="3"/>
      </c>
      <c r="Q97" s="191">
        <f t="shared" si="28"/>
      </c>
      <c r="R97" s="189">
        <f t="shared" si="56"/>
      </c>
      <c r="S97" s="189">
        <f t="shared" si="71"/>
      </c>
      <c r="T97" s="192">
        <f t="shared" si="85"/>
      </c>
      <c r="U97" s="193">
        <f t="shared" si="99"/>
      </c>
      <c r="V97" s="120">
        <f t="shared" si="103"/>
      </c>
      <c r="W97" s="120">
        <f t="shared" si="170"/>
      </c>
      <c r="X97" s="121">
        <f t="shared" si="173"/>
      </c>
      <c r="Y97" s="120">
        <f t="shared" si="183"/>
      </c>
      <c r="Z97" s="120">
        <f t="shared" si="0"/>
      </c>
      <c r="AA97" s="119">
        <f t="shared" si="14"/>
      </c>
      <c r="AB97" s="119">
        <f t="shared" si="42"/>
      </c>
      <c r="AC97" s="119">
        <f t="shared" si="60"/>
      </c>
      <c r="AD97" s="122" t="s">
        <v>114</v>
      </c>
      <c r="AE97" s="122" t="s">
        <v>129</v>
      </c>
      <c r="AF97" s="136">
        <v>9507</v>
      </c>
      <c r="AG97" s="136">
        <v>2475</v>
      </c>
      <c r="AH97" s="137">
        <v>12363</v>
      </c>
      <c r="AI97" s="123">
        <v>146</v>
      </c>
      <c r="AJ97" s="123">
        <v>0</v>
      </c>
      <c r="AK97" s="136">
        <v>737</v>
      </c>
      <c r="AL97" s="124">
        <v>40</v>
      </c>
      <c r="AM97" s="124">
        <v>22</v>
      </c>
      <c r="AN97" s="124">
        <v>2</v>
      </c>
      <c r="AO97" s="124">
        <v>0</v>
      </c>
      <c r="AP97" s="123">
        <f>COUNT(AO97)</f>
      </c>
    </row>
    <row r="98">
      <c r="A98" s="181"/>
      <c r="B98" s="194" t="s">
        <v>116</v>
      </c>
      <c r="C98" s="194"/>
      <c r="D98" s="195">
        <f>SUM(D97)</f>
      </c>
      <c r="E98" s="196">
        <f>SUM(E97)</f>
      </c>
      <c r="F98" s="196">
        <f>SUM(F97)</f>
      </c>
      <c r="G98" s="195">
        <f>SUM(G97)</f>
      </c>
      <c r="H98" s="196">
        <f>SUM(H97)</f>
      </c>
      <c r="I98" s="195">
        <f>SUM(I97)</f>
      </c>
      <c r="J98" s="197">
        <f>SUM(J97)</f>
      </c>
      <c r="K98" s="195">
        <f>SUM(K97)</f>
      </c>
      <c r="L98" s="195">
        <f t="shared" si="175"/>
      </c>
      <c r="M98" s="195">
        <f t="shared" si="125"/>
      </c>
      <c r="N98" s="195">
        <f t="shared" si="182"/>
      </c>
      <c r="O98" s="199">
        <f t="shared" si="187"/>
      </c>
      <c r="P98" s="199">
        <f t="shared" si="3"/>
      </c>
      <c r="Q98" s="200">
        <f t="shared" si="28"/>
      </c>
      <c r="R98" s="198">
        <f t="shared" si="56"/>
      </c>
      <c r="S98" s="198">
        <f t="shared" si="71"/>
      </c>
      <c r="T98" s="201">
        <f t="shared" si="85"/>
      </c>
      <c r="U98" s="202">
        <f t="shared" si="99"/>
      </c>
      <c r="V98" s="131">
        <f t="shared" si="103"/>
      </c>
      <c r="W98" s="131">
        <f t="shared" si="170"/>
      </c>
      <c r="X98" s="132">
        <f t="shared" si="173"/>
      </c>
      <c r="Y98" s="131">
        <f t="shared" si="183"/>
      </c>
      <c r="Z98" s="133">
        <f t="shared" si="0"/>
      </c>
      <c r="AA98" s="130">
        <f t="shared" si="14"/>
      </c>
      <c r="AB98" s="130">
        <f t="shared" si="42"/>
      </c>
      <c r="AC98" s="130">
        <f t="shared" si="60"/>
      </c>
      <c r="AD98" s="130"/>
      <c r="AE98" s="134"/>
      <c r="AF98" s="160">
        <f>SUM(AF97)</f>
      </c>
      <c r="AG98" s="160">
        <f>SUM(AG97)</f>
      </c>
      <c r="AH98" s="164">
        <f>SUM(AH97)</f>
      </c>
      <c r="AI98" s="160">
        <f>SUM(AI97)</f>
      </c>
      <c r="AJ98" s="160">
        <f>SUM(AJ97)</f>
      </c>
      <c r="AK98" s="160">
        <f>SUM(AK97)</f>
      </c>
      <c r="AL98" s="160">
        <f>SUM(AL97)</f>
      </c>
      <c r="AM98" s="160">
        <f>SUM(AM97)</f>
      </c>
      <c r="AN98" s="160">
        <f>SUM(AN97)</f>
      </c>
      <c r="AO98" s="160">
        <f>SUM(AO97)</f>
      </c>
      <c r="AP98" s="160">
        <f>SUM(AP97)</f>
      </c>
    </row>
    <row r="99">
      <c r="A99" s="181"/>
      <c r="B99" s="203" t="s">
        <v>122</v>
      </c>
      <c r="C99" s="203"/>
      <c r="D99" s="204">
        <f>D98+D96</f>
      </c>
      <c r="E99" s="205">
        <f>E98+E96</f>
      </c>
      <c r="F99" s="205">
        <f>F98+F96</f>
      </c>
      <c r="G99" s="204">
        <f>G98+G96</f>
      </c>
      <c r="H99" s="205">
        <f>H98+H96</f>
      </c>
      <c r="I99" s="204">
        <f>I98+I96</f>
      </c>
      <c r="J99" s="206">
        <f>J98+J96</f>
      </c>
      <c r="K99" s="204">
        <f>K98+K96</f>
      </c>
      <c r="L99" s="204">
        <f t="shared" si="175"/>
      </c>
      <c r="M99" s="204">
        <f t="shared" si="125"/>
      </c>
      <c r="N99" s="204">
        <f t="shared" si="182"/>
      </c>
      <c r="O99" s="208">
        <f t="shared" si="187"/>
      </c>
      <c r="P99" s="208">
        <f t="shared" si="3"/>
      </c>
      <c r="Q99" s="209">
        <f t="shared" si="28"/>
      </c>
      <c r="R99" s="209">
        <f t="shared" si="56"/>
      </c>
      <c r="S99" s="210">
        <f t="shared" si="71"/>
      </c>
      <c r="T99" s="211">
        <f t="shared" si="85"/>
      </c>
      <c r="U99" s="212">
        <f t="shared" si="99"/>
      </c>
      <c r="V99" s="151">
        <f t="shared" si="103"/>
      </c>
      <c r="W99" s="151">
        <f t="shared" si="170"/>
      </c>
      <c r="X99" s="152">
        <f t="shared" si="173"/>
      </c>
      <c r="Y99" s="151">
        <f t="shared" si="183"/>
      </c>
      <c r="Z99" s="153">
        <f t="shared" si="0"/>
      </c>
      <c r="AA99" s="154">
        <f t="shared" si="14"/>
      </c>
      <c r="AB99" s="154">
        <f t="shared" si="42"/>
      </c>
      <c r="AC99" s="154">
        <f t="shared" si="60"/>
      </c>
      <c r="AD99" s="154"/>
      <c r="AE99" s="155"/>
      <c r="AF99" s="167">
        <f>AF98+AF96</f>
      </c>
      <c r="AG99" s="167">
        <f>AG98+AG96</f>
      </c>
      <c r="AH99" s="167">
        <f>AH98+AH96</f>
      </c>
      <c r="AI99" s="167">
        <f>AI98+AI96</f>
      </c>
      <c r="AJ99" s="167">
        <f>AJ98+AJ96</f>
      </c>
      <c r="AK99" s="167">
        <f>AK98+AK96</f>
      </c>
      <c r="AL99" s="167">
        <f>AL98+AL96</f>
      </c>
      <c r="AM99" s="167">
        <f>AM98+AM96</f>
      </c>
      <c r="AN99" s="167">
        <f>AN98+AN96</f>
      </c>
      <c r="AO99" s="167">
        <f>AO98+AO96</f>
      </c>
      <c r="AP99" s="167">
        <f>AP98+AP96</f>
      </c>
    </row>
    <row r="100">
      <c r="A100" s="181">
        <v>46293</v>
      </c>
      <c r="B100" s="217" t="s">
        <v>127</v>
      </c>
      <c r="C100" s="183" t="s">
        <v>112</v>
      </c>
      <c r="D100" s="184">
        <v>371.823</v>
      </c>
      <c r="E100" s="185">
        <v>0</v>
      </c>
      <c r="F100" s="185">
        <v>0</v>
      </c>
      <c r="G100" s="187">
        <v>0</v>
      </c>
      <c r="H100" s="185">
        <v>0</v>
      </c>
      <c r="I100" s="215">
        <v>0</v>
      </c>
      <c r="J100" s="187">
        <f t="shared" ref="J100:J102" si="146">F100+H100</f>
      </c>
      <c r="K100" s="188">
        <f t="shared" ref="K100:K102" si="164">G100+I100</f>
      </c>
      <c r="L100" s="189">
        <f t="shared" si="175"/>
      </c>
      <c r="M100" s="189">
        <f t="shared" si="125"/>
      </c>
      <c r="N100" s="189">
        <f t="shared" si="182"/>
      </c>
      <c r="O100" s="190">
        <f t="shared" si="187"/>
      </c>
      <c r="P100" s="190">
        <f t="shared" si="3"/>
      </c>
      <c r="Q100" s="191">
        <f t="shared" si="28"/>
      </c>
      <c r="R100" s="189">
        <f t="shared" si="56"/>
      </c>
      <c r="S100" s="189">
        <f t="shared" si="71"/>
      </c>
      <c r="T100" s="192">
        <f t="shared" si="85"/>
      </c>
      <c r="U100" s="193">
        <f t="shared" si="99"/>
      </c>
      <c r="V100" s="120">
        <f t="shared" si="103"/>
      </c>
      <c r="W100" s="120">
        <f t="shared" si="170"/>
      </c>
      <c r="X100" s="121">
        <f t="shared" si="173"/>
      </c>
      <c r="Y100" s="120">
        <f t="shared" si="183"/>
      </c>
      <c r="Z100" s="120">
        <f t="shared" si="0"/>
      </c>
      <c r="AA100" s="119">
        <f t="shared" si="14"/>
      </c>
      <c r="AB100" s="119">
        <f t="shared" si="42"/>
      </c>
      <c r="AC100" s="119">
        <f t="shared" si="60"/>
      </c>
      <c r="AD100" s="122" t="s">
        <v>114</v>
      </c>
      <c r="AE100" s="122" t="s">
        <v>129</v>
      </c>
      <c r="AF100" s="123">
        <v>8077</v>
      </c>
      <c r="AG100" s="123">
        <v>2789</v>
      </c>
      <c r="AH100" s="123">
        <v>9637</v>
      </c>
      <c r="AI100" s="123">
        <v>109</v>
      </c>
      <c r="AJ100" s="124">
        <v>0</v>
      </c>
      <c r="AK100" s="123">
        <v>782</v>
      </c>
      <c r="AL100" s="123">
        <v>30</v>
      </c>
      <c r="AM100" s="123">
        <v>11</v>
      </c>
      <c r="AN100" s="123">
        <v>1</v>
      </c>
      <c r="AO100" s="123">
        <v>0</v>
      </c>
      <c r="AP100" s="123">
        <f t="shared" ref="AP100:AP102" si="176">COUNT(AK100)</f>
      </c>
    </row>
    <row r="101">
      <c r="A101" s="181"/>
      <c r="B101" s="217" t="s">
        <v>127</v>
      </c>
      <c r="C101" s="183" t="s">
        <v>118</v>
      </c>
      <c r="D101" s="184">
        <v>285.332</v>
      </c>
      <c r="E101" s="185">
        <v>1</v>
      </c>
      <c r="F101" s="185">
        <v>0</v>
      </c>
      <c r="G101" s="187">
        <v>0</v>
      </c>
      <c r="H101" s="185">
        <v>0</v>
      </c>
      <c r="I101" s="215">
        <v>0</v>
      </c>
      <c r="J101" s="187">
        <f t="shared" si="146"/>
      </c>
      <c r="K101" s="188">
        <f t="shared" si="164"/>
      </c>
      <c r="L101" s="189">
        <f t="shared" si="175"/>
      </c>
      <c r="M101" s="189">
        <f t="shared" si="125"/>
      </c>
      <c r="N101" s="189">
        <f t="shared" si="182"/>
      </c>
      <c r="O101" s="190">
        <f t="shared" si="187"/>
      </c>
      <c r="P101" s="190">
        <f t="shared" si="3"/>
      </c>
      <c r="Q101" s="191">
        <f t="shared" si="28"/>
      </c>
      <c r="R101" s="189">
        <f t="shared" si="56"/>
      </c>
      <c r="S101" s="189">
        <f t="shared" si="71"/>
      </c>
      <c r="T101" s="192">
        <f t="shared" si="85"/>
      </c>
      <c r="U101" s="193">
        <f t="shared" si="99"/>
      </c>
      <c r="V101" s="120">
        <f t="shared" si="103"/>
      </c>
      <c r="W101" s="120">
        <f t="shared" si="170"/>
      </c>
      <c r="X101" s="121">
        <f t="shared" si="173"/>
      </c>
      <c r="Y101" s="120">
        <f t="shared" si="183"/>
      </c>
      <c r="Z101" s="120">
        <f t="shared" si="0"/>
      </c>
      <c r="AA101" s="119">
        <f t="shared" si="14"/>
      </c>
      <c r="AB101" s="119">
        <f t="shared" si="42"/>
      </c>
      <c r="AC101" s="119">
        <f t="shared" si="60"/>
      </c>
      <c r="AD101" s="122" t="s">
        <v>114</v>
      </c>
      <c r="AE101" s="122" t="s">
        <v>129</v>
      </c>
      <c r="AF101" s="123">
        <v>8119</v>
      </c>
      <c r="AG101" s="123">
        <v>2534</v>
      </c>
      <c r="AH101" s="123">
        <v>10007</v>
      </c>
      <c r="AI101" s="123">
        <v>138</v>
      </c>
      <c r="AJ101" s="124">
        <v>0</v>
      </c>
      <c r="AK101" s="123">
        <v>688</v>
      </c>
      <c r="AL101" s="123">
        <v>31</v>
      </c>
      <c r="AM101" s="123">
        <v>6</v>
      </c>
      <c r="AN101" s="123">
        <v>0</v>
      </c>
      <c r="AO101" s="123">
        <v>0</v>
      </c>
      <c r="AP101" s="123">
        <f t="shared" si="176"/>
      </c>
    </row>
    <row customHeight="true" ht="16.071428571428573" r="102">
      <c r="A102" s="181"/>
      <c r="B102" s="217" t="s">
        <v>127</v>
      </c>
      <c r="C102" s="183" t="s">
        <v>119</v>
      </c>
      <c r="D102" s="184">
        <v>170.86</v>
      </c>
      <c r="E102" s="185">
        <v>0</v>
      </c>
      <c r="F102" s="185">
        <v>0</v>
      </c>
      <c r="G102" s="187">
        <v>0</v>
      </c>
      <c r="H102" s="185">
        <v>0</v>
      </c>
      <c r="I102" s="215">
        <v>0</v>
      </c>
      <c r="J102" s="187">
        <f t="shared" si="146"/>
      </c>
      <c r="K102" s="188">
        <f t="shared" si="164"/>
      </c>
      <c r="L102" s="189">
        <f t="shared" si="175"/>
      </c>
      <c r="M102" s="189">
        <f t="shared" si="125"/>
      </c>
      <c r="N102" s="189">
        <f t="shared" si="182"/>
      </c>
      <c r="O102" s="190">
        <f t="shared" si="187"/>
      </c>
      <c r="P102" s="190">
        <f t="shared" si="3"/>
      </c>
      <c r="Q102" s="191">
        <f t="shared" si="28"/>
      </c>
      <c r="R102" s="189">
        <f t="shared" si="56"/>
      </c>
      <c r="S102" s="189">
        <f t="shared" si="71"/>
      </c>
      <c r="T102" s="192">
        <f t="shared" si="85"/>
      </c>
      <c r="U102" s="193">
        <f t="shared" si="99"/>
      </c>
      <c r="V102" s="120">
        <f t="shared" si="103"/>
      </c>
      <c r="W102" s="120">
        <f t="shared" si="170"/>
      </c>
      <c r="X102" s="121">
        <f t="shared" si="173"/>
      </c>
      <c r="Y102" s="120">
        <f t="shared" si="183"/>
      </c>
      <c r="Z102" s="120">
        <f t="shared" si="0"/>
      </c>
      <c r="AA102" s="119">
        <f t="shared" si="14"/>
      </c>
      <c r="AB102" s="119">
        <f t="shared" si="42"/>
      </c>
      <c r="AC102" s="119">
        <f t="shared" si="60"/>
      </c>
      <c r="AD102" s="122" t="s">
        <v>114</v>
      </c>
      <c r="AE102" s="122" t="s">
        <v>129</v>
      </c>
      <c r="AF102" s="123">
        <v>5552</v>
      </c>
      <c r="AG102" s="123">
        <v>1618</v>
      </c>
      <c r="AH102" s="123">
        <v>6199</v>
      </c>
      <c r="AI102" s="123">
        <v>80</v>
      </c>
      <c r="AJ102" s="124">
        <v>0</v>
      </c>
      <c r="AK102" s="123">
        <v>391</v>
      </c>
      <c r="AL102" s="123">
        <v>20</v>
      </c>
      <c r="AM102" s="123">
        <v>8</v>
      </c>
      <c r="AN102" s="123">
        <v>0</v>
      </c>
      <c r="AO102" s="123">
        <v>0</v>
      </c>
      <c r="AP102" s="123">
        <f t="shared" si="176"/>
      </c>
    </row>
    <row r="103">
      <c r="A103" s="181"/>
      <c r="B103" s="194" t="s">
        <v>116</v>
      </c>
      <c r="C103" s="194"/>
      <c r="D103" s="195">
        <f>SUM(D100:D102)</f>
      </c>
      <c r="E103" s="196">
        <f>SUM(E100:E102)</f>
      </c>
      <c r="F103" s="196">
        <f>SUM(F100:F102)</f>
      </c>
      <c r="G103" s="195">
        <f>SUM(G100:G102)</f>
      </c>
      <c r="H103" s="196">
        <f>SUM(H100:H102)</f>
      </c>
      <c r="I103" s="195">
        <f>SUM(I100:I102)</f>
      </c>
      <c r="J103" s="197">
        <f>SUM(J100:J102)</f>
      </c>
      <c r="K103" s="195">
        <f>SUM(K100:K102)</f>
      </c>
      <c r="L103" s="195">
        <f t="shared" si="175"/>
      </c>
      <c r="M103" s="195">
        <f t="shared" si="125"/>
      </c>
      <c r="N103" s="195">
        <f t="shared" si="182"/>
      </c>
      <c r="O103" s="199">
        <f t="shared" si="187"/>
      </c>
      <c r="P103" s="199">
        <f t="shared" si="3"/>
      </c>
      <c r="Q103" s="200">
        <f t="shared" si="28"/>
      </c>
      <c r="R103" s="198">
        <f t="shared" si="56"/>
      </c>
      <c r="S103" s="198">
        <f t="shared" si="71"/>
      </c>
      <c r="T103" s="201">
        <f t="shared" si="85"/>
      </c>
      <c r="U103" s="202">
        <f t="shared" si="99"/>
      </c>
      <c r="V103" s="131">
        <f t="shared" si="103"/>
      </c>
      <c r="W103" s="131">
        <f t="shared" si="170"/>
      </c>
      <c r="X103" s="132">
        <f t="shared" si="173"/>
      </c>
      <c r="Y103" s="131">
        <f t="shared" si="183"/>
      </c>
      <c r="Z103" s="133">
        <f t="shared" si="0"/>
      </c>
      <c r="AA103" s="130">
        <f t="shared" si="14"/>
      </c>
      <c r="AB103" s="130">
        <f t="shared" si="42"/>
      </c>
      <c r="AC103" s="130">
        <f t="shared" si="60"/>
      </c>
      <c r="AD103" s="130"/>
      <c r="AE103" s="134"/>
      <c r="AF103" s="160">
        <f>SUM(AF100:AF102)</f>
      </c>
      <c r="AG103" s="160">
        <f>SUM(AG100:AG102)</f>
      </c>
      <c r="AH103" s="160">
        <f>SUM(AH100:AH102)</f>
      </c>
      <c r="AI103" s="160">
        <f>SUM(AI100:AI102)</f>
      </c>
      <c r="AJ103" s="160">
        <f>SUM(AJ100:AJ102)</f>
      </c>
      <c r="AK103" s="160">
        <f>SUM(AK100:AK102)</f>
      </c>
      <c r="AL103" s="160">
        <f>SUM(AL100:AL102)</f>
      </c>
      <c r="AM103" s="160">
        <f>SUM(AM100:AM102)</f>
      </c>
      <c r="AN103" s="160">
        <f>SUM(AN100:AN102)</f>
      </c>
      <c r="AO103" s="160">
        <f>SUM(AO100:AO102)</f>
      </c>
      <c r="AP103" s="160">
        <f>SUM(AP100:AP102)</f>
      </c>
    </row>
    <row r="104">
      <c r="A104" s="181"/>
      <c r="B104" s="217" t="s">
        <v>120</v>
      </c>
      <c r="C104" s="183" t="s">
        <v>121</v>
      </c>
      <c r="D104" s="184">
        <v>165.709</v>
      </c>
      <c r="E104" s="185">
        <v>1</v>
      </c>
      <c r="F104" s="185">
        <v>0</v>
      </c>
      <c r="G104" s="186">
        <v>0</v>
      </c>
      <c r="H104" s="185">
        <v>1</v>
      </c>
      <c r="I104" s="215">
        <v>1088.4</v>
      </c>
      <c r="J104" s="187">
        <f t="shared" ref="J104:J106" si="147">F104+H104</f>
      </c>
      <c r="K104" s="188">
        <f t="shared" ref="K104:K106" si="165">G104+I104</f>
      </c>
      <c r="L104" s="188">
        <f t="shared" si="175"/>
      </c>
      <c r="M104" s="188">
        <f t="shared" si="125"/>
      </c>
      <c r="N104" s="188">
        <f t="shared" si="182"/>
      </c>
      <c r="O104" s="190">
        <f t="shared" si="187"/>
      </c>
      <c r="P104" s="190">
        <f t="shared" si="3"/>
      </c>
      <c r="Q104" s="191">
        <f t="shared" si="28"/>
      </c>
      <c r="R104" s="189">
        <f t="shared" si="56"/>
      </c>
      <c r="S104" s="189">
        <f t="shared" si="71"/>
      </c>
      <c r="T104" s="192">
        <f t="shared" si="85"/>
      </c>
      <c r="U104" s="193">
        <f t="shared" si="99"/>
      </c>
      <c r="V104" s="120">
        <f t="shared" si="103"/>
      </c>
      <c r="W104" s="120">
        <f t="shared" si="170"/>
      </c>
      <c r="X104" s="121">
        <f t="shared" si="173"/>
      </c>
      <c r="Y104" s="120">
        <f t="shared" si="183"/>
      </c>
      <c r="Z104" s="120">
        <f t="shared" si="0"/>
      </c>
      <c r="AA104" s="119">
        <f t="shared" si="14"/>
      </c>
      <c r="AB104" s="119">
        <f t="shared" si="42"/>
      </c>
      <c r="AC104" s="119">
        <f t="shared" si="60"/>
      </c>
      <c r="AD104" s="122" t="s">
        <v>114</v>
      </c>
      <c r="AE104" s="122" t="s">
        <v>129</v>
      </c>
      <c r="AF104" s="136">
        <v>5973</v>
      </c>
      <c r="AG104" s="136">
        <v>2262</v>
      </c>
      <c r="AH104" s="137">
        <v>6253</v>
      </c>
      <c r="AI104" s="123">
        <v>56</v>
      </c>
      <c r="AJ104" s="124">
        <v>1</v>
      </c>
      <c r="AK104" s="136">
        <v>468</v>
      </c>
      <c r="AL104" s="124">
        <v>22</v>
      </c>
      <c r="AM104" s="124">
        <v>9</v>
      </c>
      <c r="AN104" s="124">
        <v>0</v>
      </c>
      <c r="AO104" s="123">
        <v>0</v>
      </c>
      <c r="AP104" s="123">
        <f t="shared" ref="AP104:AP106" si="177">COUNT(AK104)</f>
      </c>
    </row>
    <row r="105">
      <c r="A105" s="181"/>
      <c r="B105" s="217" t="s">
        <v>120</v>
      </c>
      <c r="C105" s="183" t="s">
        <v>125</v>
      </c>
      <c r="D105" s="184">
        <v>895.535</v>
      </c>
      <c r="E105" s="185">
        <v>0</v>
      </c>
      <c r="F105" s="185">
        <v>0</v>
      </c>
      <c r="G105" s="186">
        <v>0</v>
      </c>
      <c r="H105" s="185">
        <v>0</v>
      </c>
      <c r="I105" s="215">
        <v>0</v>
      </c>
      <c r="J105" s="187">
        <f t="shared" si="147"/>
      </c>
      <c r="K105" s="188">
        <f t="shared" si="165"/>
      </c>
      <c r="L105" s="188">
        <f t="shared" si="175"/>
      </c>
      <c r="M105" s="188">
        <f t="shared" si="125"/>
      </c>
      <c r="N105" s="188">
        <f t="shared" si="182"/>
      </c>
      <c r="O105" s="190">
        <f t="shared" si="187"/>
      </c>
      <c r="P105" s="190">
        <f t="shared" si="3"/>
      </c>
      <c r="Q105" s="191">
        <f t="shared" si="28"/>
      </c>
      <c r="R105" s="189">
        <f t="shared" si="56"/>
      </c>
      <c r="S105" s="189">
        <f t="shared" si="71"/>
      </c>
      <c r="T105" s="192">
        <f t="shared" si="85"/>
      </c>
      <c r="U105" s="193">
        <f t="shared" si="99"/>
      </c>
      <c r="V105" s="120">
        <f t="shared" si="103"/>
      </c>
      <c r="W105" s="120">
        <f t="shared" si="170"/>
      </c>
      <c r="X105" s="121">
        <f t="shared" si="173"/>
      </c>
      <c r="Y105" s="120">
        <f t="shared" si="183"/>
      </c>
      <c r="Z105" s="120">
        <f t="shared" si="0"/>
      </c>
      <c r="AA105" s="119">
        <f t="shared" si="14"/>
      </c>
      <c r="AB105" s="119">
        <f t="shared" si="42"/>
      </c>
      <c r="AC105" s="119">
        <f t="shared" si="60"/>
      </c>
      <c r="AD105" s="122" t="s">
        <v>114</v>
      </c>
      <c r="AE105" s="122" t="s">
        <v>129</v>
      </c>
      <c r="AF105" s="123">
        <v>31368</v>
      </c>
      <c r="AG105" s="138">
        <v>7024</v>
      </c>
      <c r="AH105" s="163">
        <v>72133</v>
      </c>
      <c r="AI105" s="140">
        <v>273</v>
      </c>
      <c r="AJ105" s="141">
        <v>0</v>
      </c>
      <c r="AK105" s="141">
        <v>4071</v>
      </c>
      <c r="AL105" s="141">
        <v>73</v>
      </c>
      <c r="AM105" s="141">
        <v>41</v>
      </c>
      <c r="AN105" s="141">
        <v>1</v>
      </c>
      <c r="AO105" s="123">
        <v>0</v>
      </c>
      <c r="AP105" s="123">
        <f t="shared" si="177"/>
      </c>
    </row>
    <row r="106">
      <c r="A106" s="181"/>
      <c r="B106" s="217" t="s">
        <v>120</v>
      </c>
      <c r="C106" s="183" t="s">
        <v>126</v>
      </c>
      <c r="D106" s="184">
        <v>4072.885</v>
      </c>
      <c r="E106" s="185">
        <v>2</v>
      </c>
      <c r="F106" s="185">
        <v>0</v>
      </c>
      <c r="G106" s="186">
        <v>0</v>
      </c>
      <c r="H106" s="185">
        <v>2</v>
      </c>
      <c r="I106" s="215">
        <v>4573.200000000001</v>
      </c>
      <c r="J106" s="187">
        <f t="shared" si="147"/>
      </c>
      <c r="K106" s="188">
        <f t="shared" si="165"/>
      </c>
      <c r="L106" s="188">
        <f t="shared" si="175"/>
      </c>
      <c r="M106" s="188">
        <f t="shared" si="125"/>
      </c>
      <c r="N106" s="188">
        <f t="shared" si="182"/>
      </c>
      <c r="O106" s="190">
        <f t="shared" si="187"/>
      </c>
      <c r="P106" s="190">
        <f t="shared" si="3"/>
      </c>
      <c r="Q106" s="191">
        <f>D106/AI106</f>
      </c>
      <c r="R106" s="189">
        <f>D106/AJ106</f>
      </c>
      <c r="S106" s="189">
        <f>D106/AK106</f>
      </c>
      <c r="T106" s="192">
        <f>AJ106/AI106</f>
      </c>
      <c r="U106" s="193">
        <f>AK106/AJ106</f>
      </c>
      <c r="V106" s="120">
        <f t="shared" si="103"/>
      </c>
      <c r="W106" s="120">
        <f t="shared" si="170"/>
      </c>
      <c r="X106" s="121">
        <f t="shared" si="173"/>
      </c>
      <c r="Y106" s="120">
        <f t="shared" si="183"/>
      </c>
      <c r="Z106" s="120">
        <f t="shared" si="0"/>
      </c>
      <c r="AA106" s="119">
        <f>AM106/AI106</f>
      </c>
      <c r="AB106" s="119">
        <f>AN106/AI106</f>
      </c>
      <c r="AC106" s="119">
        <f t="shared" si="60"/>
      </c>
      <c r="AD106" s="122" t="s">
        <v>114</v>
      </c>
      <c r="AE106" s="122" t="s">
        <v>129</v>
      </c>
      <c r="AF106" s="123">
        <v>154574</v>
      </c>
      <c r="AG106" s="138">
        <v>18097</v>
      </c>
      <c r="AH106" s="163">
        <v>338342</v>
      </c>
      <c r="AI106" s="140">
        <v>1074</v>
      </c>
      <c r="AJ106" s="141">
        <v>2</v>
      </c>
      <c r="AK106" s="141">
        <v>19209</v>
      </c>
      <c r="AL106" s="141">
        <v>183</v>
      </c>
      <c r="AM106" s="141">
        <v>115</v>
      </c>
      <c r="AN106" s="141">
        <v>17</v>
      </c>
      <c r="AO106" s="123">
        <v>0</v>
      </c>
      <c r="AP106" s="123">
        <f t="shared" si="177"/>
      </c>
    </row>
    <row r="107">
      <c r="A107" s="181"/>
      <c r="B107" s="194" t="s">
        <v>116</v>
      </c>
      <c r="C107" s="194"/>
      <c r="D107" s="195">
        <f>SUM(D104:D106)</f>
      </c>
      <c r="E107" s="196">
        <f>SUM(E104:E106)</f>
      </c>
      <c r="F107" s="196">
        <f>SUM(F104:F106)</f>
      </c>
      <c r="G107" s="195">
        <f>SUM(G104:G106)</f>
      </c>
      <c r="H107" s="196">
        <f>SUM(H104:H106)</f>
      </c>
      <c r="I107" s="195">
        <f>SUM(I104:I106)</f>
      </c>
      <c r="J107" s="197">
        <f>SUM(J104:J106)</f>
      </c>
      <c r="K107" s="195">
        <f>SUM(K104:K106)</f>
      </c>
      <c r="L107" s="195">
        <f t="shared" si="175"/>
      </c>
      <c r="M107" s="195">
        <f t="shared" si="125"/>
      </c>
      <c r="N107" s="195">
        <f t="shared" si="182"/>
      </c>
      <c r="O107" s="199">
        <f t="shared" si="187"/>
      </c>
      <c r="P107" s="199">
        <f t="shared" si="3"/>
      </c>
      <c r="Q107" s="200">
        <f t="shared" ref="Q107:Q114" si="29">D107/AH107</f>
      </c>
      <c r="R107" s="198">
        <f t="shared" ref="R107:R114" si="57">D107/AI107</f>
      </c>
      <c r="S107" s="198">
        <f t="shared" ref="S107:S114" si="72">D107/AJ107</f>
      </c>
      <c r="T107" s="201">
        <f t="shared" ref="T107:T114" si="86">AI107/AH107</f>
      </c>
      <c r="U107" s="202">
        <f t="shared" ref="U107:U114" si="100">AJ107/AI107</f>
      </c>
      <c r="V107" s="131">
        <f t="shared" si="103"/>
      </c>
      <c r="W107" s="131">
        <f t="shared" si="170"/>
      </c>
      <c r="X107" s="132">
        <f t="shared" si="173"/>
      </c>
      <c r="Y107" s="131">
        <f t="shared" si="183"/>
      </c>
      <c r="Z107" s="133">
        <f t="shared" si="0"/>
      </c>
      <c r="AA107" s="130">
        <f t="shared" ref="AA107:AA114" si="15">AL107/AH107</f>
      </c>
      <c r="AB107" s="130">
        <f t="shared" ref="AB107:AB114" si="43">AM107/AH107</f>
      </c>
      <c r="AC107" s="130">
        <f t="shared" si="60"/>
      </c>
      <c r="AD107" s="130"/>
      <c r="AE107" s="134"/>
      <c r="AF107" s="160">
        <f>SUM(AF104:AF106)</f>
      </c>
      <c r="AG107" s="160">
        <f>SUM(AG104:AG106)</f>
      </c>
      <c r="AH107" s="164">
        <f>SUM(AH104:AH106)</f>
      </c>
      <c r="AI107" s="160">
        <f>SUM(AI104:AI106)</f>
      </c>
      <c r="AJ107" s="160">
        <f>SUM(AJ104:AJ106)</f>
      </c>
      <c r="AK107" s="160">
        <f>SUM(AK104:AK106)</f>
      </c>
      <c r="AL107" s="160">
        <f>SUM(AL104:AL106)</f>
      </c>
      <c r="AM107" s="160">
        <f>SUM(AM104:AM106)</f>
      </c>
      <c r="AN107" s="160">
        <f>SUM(AN104:AN106)</f>
      </c>
      <c r="AO107" s="160">
        <f>SUM(AO104:AO106)</f>
      </c>
      <c r="AP107" s="160">
        <f>SUM(AP104:AP106)</f>
      </c>
    </row>
    <row r="108">
      <c r="A108" s="181"/>
      <c r="B108" s="203" t="s">
        <v>122</v>
      </c>
      <c r="C108" s="203"/>
      <c r="D108" s="204">
        <f>D107+D103</f>
      </c>
      <c r="E108" s="205">
        <f>E107+E103</f>
      </c>
      <c r="F108" s="205">
        <f>F107+F103</f>
      </c>
      <c r="G108" s="204">
        <f>G107+G103</f>
      </c>
      <c r="H108" s="205">
        <f>H107+H103</f>
      </c>
      <c r="I108" s="204">
        <f>I107+I103</f>
      </c>
      <c r="J108" s="206">
        <f>J107+J103</f>
      </c>
      <c r="K108" s="204">
        <f>K107+K103</f>
      </c>
      <c r="L108" s="204">
        <f t="shared" si="175"/>
      </c>
      <c r="M108" s="204">
        <f t="shared" si="125"/>
      </c>
      <c r="N108" s="204">
        <f t="shared" si="182"/>
      </c>
      <c r="O108" s="208">
        <f t="shared" si="187"/>
      </c>
      <c r="P108" s="208">
        <f t="shared" si="3"/>
      </c>
      <c r="Q108" s="209">
        <f t="shared" si="29"/>
      </c>
      <c r="R108" s="209">
        <f t="shared" si="57"/>
      </c>
      <c r="S108" s="210">
        <f t="shared" si="72"/>
      </c>
      <c r="T108" s="211">
        <f t="shared" si="86"/>
      </c>
      <c r="U108" s="212">
        <f t="shared" si="100"/>
      </c>
      <c r="V108" s="151">
        <f t="shared" si="103"/>
      </c>
      <c r="W108" s="151">
        <f t="shared" si="170"/>
      </c>
      <c r="X108" s="152">
        <f t="shared" si="173"/>
      </c>
      <c r="Y108" s="151">
        <f t="shared" si="183"/>
      </c>
      <c r="Z108" s="153">
        <f t="shared" si="0"/>
      </c>
      <c r="AA108" s="154">
        <f t="shared" si="15"/>
      </c>
      <c r="AB108" s="154">
        <f t="shared" si="43"/>
      </c>
      <c r="AC108" s="154">
        <f t="shared" si="60"/>
      </c>
      <c r="AD108" s="154"/>
      <c r="AE108" s="155"/>
      <c r="AF108" s="167">
        <f>AF107+AF103</f>
      </c>
      <c r="AG108" s="167">
        <f>AG107+AG103</f>
      </c>
      <c r="AH108" s="167">
        <f>AH107+AH103</f>
      </c>
      <c r="AI108" s="167">
        <f>AI107+AI103</f>
      </c>
      <c r="AJ108" s="167">
        <f>AJ107+AJ103</f>
      </c>
      <c r="AK108" s="167">
        <f>AK107+AK103</f>
      </c>
      <c r="AL108" s="167">
        <f>AL107+AL103</f>
      </c>
      <c r="AM108" s="167">
        <f>AM107+AM103</f>
      </c>
      <c r="AN108" s="167">
        <f>AN107+AN103</f>
      </c>
      <c r="AO108" s="167">
        <f>AO107+AO103</f>
      </c>
      <c r="AP108" s="167">
        <f>AP107+AP103</f>
      </c>
    </row>
    <row r="109">
      <c r="A109" s="181">
        <v>46294</v>
      </c>
      <c r="B109" s="217" t="s">
        <v>111</v>
      </c>
      <c r="C109" s="183" t="s">
        <v>112</v>
      </c>
      <c r="D109" s="184">
        <v>264.664</v>
      </c>
      <c r="E109" s="185">
        <v>1</v>
      </c>
      <c r="F109" s="185">
        <v>0</v>
      </c>
      <c r="G109" s="187">
        <v>0</v>
      </c>
      <c r="H109" s="185">
        <v>0</v>
      </c>
      <c r="I109" s="215">
        <v>0</v>
      </c>
      <c r="J109" s="187">
        <f t="shared" ref="J109:J111" si="148">F109+H109</f>
      </c>
      <c r="K109" s="188">
        <f t="shared" ref="K109:K111" si="166">G109+I109</f>
      </c>
      <c r="L109" s="189">
        <f t="shared" si="175"/>
      </c>
      <c r="M109" s="189">
        <f t="shared" si="125"/>
      </c>
      <c r="N109" s="189">
        <f t="shared" si="182"/>
      </c>
      <c r="O109" s="190">
        <f t="shared" si="187"/>
      </c>
      <c r="P109" s="190">
        <f t="shared" si="3"/>
      </c>
      <c r="Q109" s="191">
        <f t="shared" si="29"/>
      </c>
      <c r="R109" s="189">
        <f t="shared" si="57"/>
      </c>
      <c r="S109" s="189">
        <f t="shared" si="72"/>
      </c>
      <c r="T109" s="192">
        <f t="shared" si="86"/>
      </c>
      <c r="U109" s="193">
        <f t="shared" si="100"/>
      </c>
      <c r="V109" s="120">
        <f t="shared" si="103"/>
      </c>
      <c r="W109" s="120">
        <f t="shared" si="170"/>
      </c>
      <c r="X109" s="121">
        <f t="shared" si="173"/>
      </c>
      <c r="Y109" s="120">
        <f t="shared" si="183"/>
      </c>
      <c r="Z109" s="120">
        <f t="shared" si="0"/>
      </c>
      <c r="AA109" s="119">
        <f t="shared" si="15"/>
      </c>
      <c r="AB109" s="119">
        <f t="shared" si="43"/>
      </c>
      <c r="AC109" s="119">
        <f t="shared" si="60"/>
      </c>
      <c r="AD109" s="122" t="s">
        <v>114</v>
      </c>
      <c r="AE109" s="122" t="s">
        <v>129</v>
      </c>
      <c r="AF109" s="123">
        <v>8686</v>
      </c>
      <c r="AG109" s="123">
        <v>2199</v>
      </c>
      <c r="AH109" s="123">
        <v>7926</v>
      </c>
      <c r="AI109" s="123">
        <v>162</v>
      </c>
      <c r="AJ109" s="124">
        <v>0</v>
      </c>
      <c r="AK109" s="123">
        <v>667</v>
      </c>
      <c r="AL109" s="123">
        <v>50</v>
      </c>
      <c r="AM109" s="123">
        <v>20</v>
      </c>
      <c r="AN109" s="123">
        <v>3</v>
      </c>
      <c r="AO109" s="123">
        <v>0</v>
      </c>
      <c r="AP109" s="123">
        <f t="shared" ref="AP109:AP111" si="178">COUNT(AK109)</f>
      </c>
    </row>
    <row r="110">
      <c r="A110" s="181"/>
      <c r="B110" s="217" t="s">
        <v>111</v>
      </c>
      <c r="C110" s="183" t="s">
        <v>118</v>
      </c>
      <c r="D110" s="184">
        <v>226.71</v>
      </c>
      <c r="E110" s="185">
        <v>0</v>
      </c>
      <c r="F110" s="185">
        <v>0</v>
      </c>
      <c r="G110" s="187">
        <v>0</v>
      </c>
      <c r="H110" s="185">
        <v>0</v>
      </c>
      <c r="I110" s="215">
        <v>0</v>
      </c>
      <c r="J110" s="187">
        <f t="shared" si="148"/>
      </c>
      <c r="K110" s="188">
        <f t="shared" si="166"/>
      </c>
      <c r="L110" s="189">
        <f t="shared" si="175"/>
      </c>
      <c r="M110" s="189">
        <f t="shared" si="125"/>
      </c>
      <c r="N110" s="189">
        <f t="shared" si="182"/>
      </c>
      <c r="O110" s="190">
        <f t="shared" si="187"/>
      </c>
      <c r="P110" s="190">
        <f t="shared" si="3"/>
      </c>
      <c r="Q110" s="191">
        <f t="shared" si="29"/>
      </c>
      <c r="R110" s="189">
        <f t="shared" si="57"/>
      </c>
      <c r="S110" s="189">
        <f t="shared" si="72"/>
      </c>
      <c r="T110" s="192">
        <f t="shared" si="86"/>
      </c>
      <c r="U110" s="193">
        <f t="shared" si="100"/>
      </c>
      <c r="V110" s="120">
        <f t="shared" si="103"/>
      </c>
      <c r="W110" s="120">
        <f t="shared" si="170"/>
      </c>
      <c r="X110" s="121">
        <f t="shared" si="173"/>
      </c>
      <c r="Y110" s="120">
        <f t="shared" si="183"/>
      </c>
      <c r="Z110" s="120">
        <f t="shared" si="0"/>
      </c>
      <c r="AA110" s="119">
        <f t="shared" si="15"/>
      </c>
      <c r="AB110" s="119">
        <f t="shared" si="43"/>
      </c>
      <c r="AC110" s="119">
        <f t="shared" si="60"/>
      </c>
      <c r="AD110" s="122" t="s">
        <v>114</v>
      </c>
      <c r="AE110" s="122" t="s">
        <v>129</v>
      </c>
      <c r="AF110" s="123">
        <v>7319</v>
      </c>
      <c r="AG110" s="123">
        <v>2299</v>
      </c>
      <c r="AH110" s="123">
        <v>5980</v>
      </c>
      <c r="AI110" s="123">
        <v>95</v>
      </c>
      <c r="AJ110" s="124">
        <v>0</v>
      </c>
      <c r="AK110" s="123">
        <v>553</v>
      </c>
      <c r="AL110" s="123">
        <v>33</v>
      </c>
      <c r="AM110" s="123">
        <v>5</v>
      </c>
      <c r="AN110" s="123">
        <v>0</v>
      </c>
      <c r="AO110" s="123">
        <v>0</v>
      </c>
      <c r="AP110" s="123">
        <f t="shared" si="178"/>
      </c>
    </row>
    <row r="111">
      <c r="A111" s="181"/>
      <c r="B111" s="217" t="s">
        <v>111</v>
      </c>
      <c r="C111" s="183" t="s">
        <v>119</v>
      </c>
      <c r="D111" s="184">
        <v>438.359</v>
      </c>
      <c r="E111" s="185">
        <v>2</v>
      </c>
      <c r="F111" s="185">
        <v>1</v>
      </c>
      <c r="G111" s="187">
        <v>704.4000000000001</v>
      </c>
      <c r="H111" s="185">
        <v>0</v>
      </c>
      <c r="I111" s="215">
        <v>0</v>
      </c>
      <c r="J111" s="187">
        <f t="shared" si="148"/>
      </c>
      <c r="K111" s="188">
        <f t="shared" si="166"/>
      </c>
      <c r="L111" s="189">
        <f t="shared" si="175"/>
      </c>
      <c r="M111" s="189">
        <f t="shared" si="125"/>
      </c>
      <c r="N111" s="189">
        <f t="shared" si="182"/>
      </c>
      <c r="O111" s="190">
        <f t="shared" si="187"/>
      </c>
      <c r="P111" s="190">
        <f t="shared" si="3"/>
      </c>
      <c r="Q111" s="191">
        <f t="shared" si="29"/>
      </c>
      <c r="R111" s="189">
        <f t="shared" si="57"/>
      </c>
      <c r="S111" s="189">
        <f t="shared" si="72"/>
      </c>
      <c r="T111" s="192">
        <f t="shared" si="86"/>
      </c>
      <c r="U111" s="193">
        <f t="shared" si="100"/>
      </c>
      <c r="V111" s="120">
        <f t="shared" si="103"/>
      </c>
      <c r="W111" s="120">
        <f t="shared" si="170"/>
      </c>
      <c r="X111" s="121">
        <f t="shared" si="173"/>
      </c>
      <c r="Y111" s="120">
        <f t="shared" si="183"/>
      </c>
      <c r="Z111" s="120">
        <f t="shared" si="0"/>
      </c>
      <c r="AA111" s="119">
        <f t="shared" si="15"/>
      </c>
      <c r="AB111" s="119">
        <f t="shared" si="43"/>
      </c>
      <c r="AC111" s="119">
        <f t="shared" si="60"/>
      </c>
      <c r="AD111" s="122" t="s">
        <v>114</v>
      </c>
      <c r="AE111" s="122" t="s">
        <v>129</v>
      </c>
      <c r="AF111" s="123">
        <v>12040</v>
      </c>
      <c r="AG111" s="123">
        <v>3282</v>
      </c>
      <c r="AH111" s="123">
        <v>18102</v>
      </c>
      <c r="AI111" s="123">
        <v>134</v>
      </c>
      <c r="AJ111" s="124">
        <v>1</v>
      </c>
      <c r="AK111" s="123">
        <v>1157</v>
      </c>
      <c r="AL111" s="123">
        <v>90</v>
      </c>
      <c r="AM111" s="123">
        <v>15</v>
      </c>
      <c r="AN111" s="123">
        <v>1</v>
      </c>
      <c r="AO111" s="123">
        <v>0</v>
      </c>
      <c r="AP111" s="123">
        <f t="shared" si="178"/>
      </c>
    </row>
    <row r="112">
      <c r="A112" s="181"/>
      <c r="B112" s="194" t="s">
        <v>116</v>
      </c>
      <c r="C112" s="194"/>
      <c r="D112" s="195">
        <f>SUM(D109:D111)</f>
      </c>
      <c r="E112" s="196">
        <f>SUM(E109:E111)</f>
      </c>
      <c r="F112" s="196">
        <f>SUM(F109:F111)</f>
      </c>
      <c r="G112" s="195">
        <f>SUM(G109:G111)</f>
      </c>
      <c r="H112" s="196">
        <f>SUM(H109:H111)</f>
      </c>
      <c r="I112" s="195">
        <f>SUM(I109:I111)</f>
      </c>
      <c r="J112" s="197">
        <f>SUM(J109:J111)</f>
      </c>
      <c r="K112" s="195">
        <f>SUM(K109:K111)</f>
      </c>
      <c r="L112" s="195">
        <f t="shared" si="175"/>
      </c>
      <c r="M112" s="195">
        <f t="shared" si="125"/>
      </c>
      <c r="N112" s="195">
        <f t="shared" si="182"/>
      </c>
      <c r="O112" s="199">
        <f t="shared" si="187"/>
      </c>
      <c r="P112" s="199">
        <f t="shared" si="3"/>
      </c>
      <c r="Q112" s="200">
        <f t="shared" si="29"/>
      </c>
      <c r="R112" s="198">
        <f t="shared" si="57"/>
      </c>
      <c r="S112" s="198">
        <f t="shared" si="72"/>
      </c>
      <c r="T112" s="201">
        <f t="shared" si="86"/>
      </c>
      <c r="U112" s="202">
        <f t="shared" si="100"/>
      </c>
      <c r="V112" s="131">
        <f t="shared" si="103"/>
      </c>
      <c r="W112" s="131">
        <f t="shared" si="170"/>
      </c>
      <c r="X112" s="132">
        <f t="shared" si="173"/>
      </c>
      <c r="Y112" s="131">
        <f t="shared" si="183"/>
      </c>
      <c r="Z112" s="133">
        <f t="shared" si="0"/>
      </c>
      <c r="AA112" s="130">
        <f t="shared" si="15"/>
      </c>
      <c r="AB112" s="130">
        <f t="shared" si="43"/>
      </c>
      <c r="AC112" s="130">
        <f t="shared" si="60"/>
      </c>
      <c r="AD112" s="130"/>
      <c r="AE112" s="134"/>
      <c r="AF112" s="160">
        <f>SUM(AF109:AF111)</f>
      </c>
      <c r="AG112" s="160">
        <f>SUM(AG109:AG111)</f>
      </c>
      <c r="AH112" s="160">
        <f>SUM(AH109:AH111)</f>
      </c>
      <c r="AI112" s="160">
        <f>SUM(AI109:AI111)</f>
      </c>
      <c r="AJ112" s="160">
        <f>SUM(AJ109:AJ111)</f>
      </c>
      <c r="AK112" s="160">
        <f>SUM(AK109:AK111)</f>
      </c>
      <c r="AL112" s="160">
        <f>SUM(AL109:AL111)</f>
      </c>
      <c r="AM112" s="160">
        <f>SUM(AM109:AM111)</f>
      </c>
      <c r="AN112" s="160">
        <f>SUM(AN109:AN111)</f>
      </c>
      <c r="AO112" s="160">
        <f>SUM(AO109:AO111)</f>
      </c>
      <c r="AP112" s="160">
        <f>SUM(AP109:AP111)</f>
      </c>
    </row>
    <row r="113">
      <c r="A113" s="181"/>
      <c r="B113" s="217" t="s">
        <v>120</v>
      </c>
      <c r="C113" s="183" t="s">
        <v>121</v>
      </c>
      <c r="D113" s="184">
        <v>769.207</v>
      </c>
      <c r="E113" s="185">
        <v>1</v>
      </c>
      <c r="F113" s="185">
        <v>1</v>
      </c>
      <c r="G113" s="186">
        <v>748.8</v>
      </c>
      <c r="H113" s="185">
        <v>0</v>
      </c>
      <c r="I113" s="215">
        <v>0</v>
      </c>
      <c r="J113" s="187">
        <f t="shared" ref="J113:J115" si="149">F113+H113</f>
      </c>
      <c r="K113" s="188">
        <f t="shared" ref="K113:K115" si="167">G113+I113</f>
      </c>
      <c r="L113" s="188">
        <f t="shared" si="175"/>
      </c>
      <c r="M113" s="188">
        <f t="shared" si="125"/>
      </c>
      <c r="N113" s="188">
        <f t="shared" si="182"/>
      </c>
      <c r="O113" s="190">
        <f t="shared" si="187"/>
      </c>
      <c r="P113" s="190">
        <f t="shared" si="3"/>
      </c>
      <c r="Q113" s="191">
        <f t="shared" si="29"/>
      </c>
      <c r="R113" s="189">
        <f t="shared" si="57"/>
      </c>
      <c r="S113" s="189">
        <f t="shared" si="72"/>
      </c>
      <c r="T113" s="192">
        <f t="shared" si="86"/>
      </c>
      <c r="U113" s="193">
        <f t="shared" si="100"/>
      </c>
      <c r="V113" s="120">
        <f t="shared" si="103"/>
      </c>
      <c r="W113" s="120">
        <f t="shared" si="170"/>
      </c>
      <c r="X113" s="121">
        <f t="shared" si="173"/>
      </c>
      <c r="Y113" s="120">
        <f t="shared" si="183"/>
      </c>
      <c r="Z113" s="120">
        <f t="shared" si="0"/>
      </c>
      <c r="AA113" s="119">
        <f t="shared" si="15"/>
      </c>
      <c r="AB113" s="119">
        <f t="shared" si="43"/>
      </c>
      <c r="AC113" s="119">
        <f t="shared" si="60"/>
      </c>
      <c r="AD113" s="122" t="s">
        <v>114</v>
      </c>
      <c r="AE113" s="122" t="s">
        <v>129</v>
      </c>
      <c r="AF113" s="136">
        <v>19281</v>
      </c>
      <c r="AG113" s="136">
        <v>4510</v>
      </c>
      <c r="AH113" s="137">
        <v>34224</v>
      </c>
      <c r="AI113" s="123">
        <v>172</v>
      </c>
      <c r="AJ113" s="124">
        <v>1</v>
      </c>
      <c r="AK113" s="136">
        <v>1906</v>
      </c>
      <c r="AL113" s="124">
        <v>86</v>
      </c>
      <c r="AM113" s="124">
        <v>25</v>
      </c>
      <c r="AN113" s="124">
        <v>2</v>
      </c>
      <c r="AO113" s="123">
        <v>0</v>
      </c>
      <c r="AP113" s="123">
        <f t="shared" ref="AP113:AP115" si="179">COUNT(AK113)</f>
      </c>
    </row>
    <row r="114">
      <c r="A114" s="181"/>
      <c r="B114" s="217" t="s">
        <v>120</v>
      </c>
      <c r="C114" s="183" t="s">
        <v>125</v>
      </c>
      <c r="D114" s="184">
        <v>1056.49</v>
      </c>
      <c r="E114" s="185">
        <v>1</v>
      </c>
      <c r="F114" s="185">
        <v>0</v>
      </c>
      <c r="G114" s="186">
        <v>0</v>
      </c>
      <c r="H114" s="185">
        <v>0</v>
      </c>
      <c r="I114" s="215">
        <v>0</v>
      </c>
      <c r="J114" s="187">
        <f t="shared" si="149"/>
      </c>
      <c r="K114" s="188">
        <f t="shared" si="167"/>
      </c>
      <c r="L114" s="188">
        <f t="shared" si="175"/>
      </c>
      <c r="M114" s="188">
        <f t="shared" si="125"/>
      </c>
      <c r="N114" s="188">
        <f t="shared" si="182"/>
      </c>
      <c r="O114" s="190">
        <f t="shared" si="187"/>
      </c>
      <c r="P114" s="190">
        <f t="shared" si="3"/>
      </c>
      <c r="Q114" s="191">
        <f t="shared" si="29"/>
      </c>
      <c r="R114" s="189">
        <f t="shared" si="57"/>
      </c>
      <c r="S114" s="189">
        <f t="shared" si="72"/>
      </c>
      <c r="T114" s="192">
        <f t="shared" si="86"/>
      </c>
      <c r="U114" s="193">
        <f t="shared" si="100"/>
      </c>
      <c r="V114" s="120">
        <f t="shared" si="103"/>
      </c>
      <c r="W114" s="120">
        <f t="shared" si="170"/>
      </c>
      <c r="X114" s="121">
        <f t="shared" si="173"/>
      </c>
      <c r="Y114" s="120">
        <f t="shared" si="183"/>
      </c>
      <c r="Z114" s="120">
        <f t="shared" si="0"/>
      </c>
      <c r="AA114" s="119">
        <f t="shared" si="15"/>
      </c>
      <c r="AB114" s="119">
        <f t="shared" si="43"/>
      </c>
      <c r="AC114" s="119">
        <f t="shared" si="60"/>
      </c>
      <c r="AD114" s="122" t="s">
        <v>114</v>
      </c>
      <c r="AE114" s="122" t="s">
        <v>129</v>
      </c>
      <c r="AF114" s="123">
        <v>22565</v>
      </c>
      <c r="AG114" s="138">
        <v>5004</v>
      </c>
      <c r="AH114" s="163">
        <v>40906</v>
      </c>
      <c r="AI114" s="140">
        <v>276</v>
      </c>
      <c r="AJ114" s="141">
        <v>2</v>
      </c>
      <c r="AK114" s="141">
        <v>2643</v>
      </c>
      <c r="AL114" s="141">
        <v>114</v>
      </c>
      <c r="AM114" s="141">
        <v>38</v>
      </c>
      <c r="AN114" s="141">
        <v>8</v>
      </c>
      <c r="AO114" s="123">
        <v>0</v>
      </c>
      <c r="AP114" s="123">
        <f t="shared" si="179"/>
      </c>
    </row>
    <row r="115">
      <c r="A115" s="181"/>
      <c r="B115" s="217" t="s">
        <v>120</v>
      </c>
      <c r="C115" s="183" t="s">
        <v>126</v>
      </c>
      <c r="D115" s="184">
        <v>423.316</v>
      </c>
      <c r="E115" s="185">
        <v>0</v>
      </c>
      <c r="F115" s="185">
        <v>0</v>
      </c>
      <c r="G115" s="186">
        <v>0</v>
      </c>
      <c r="H115" s="185">
        <v>0</v>
      </c>
      <c r="I115" s="215">
        <v>0</v>
      </c>
      <c r="J115" s="187">
        <f t="shared" si="149"/>
      </c>
      <c r="K115" s="188">
        <f t="shared" si="167"/>
      </c>
      <c r="L115" s="188">
        <f t="shared" si="175"/>
      </c>
      <c r="M115" s="188">
        <f t="shared" si="125"/>
      </c>
      <c r="N115" s="188">
        <f t="shared" si="182"/>
      </c>
      <c r="O115" s="190">
        <f t="shared" si="187"/>
      </c>
      <c r="P115" s="190">
        <f t="shared" si="3"/>
      </c>
      <c r="Q115" s="191">
        <f>D115/AI115</f>
      </c>
      <c r="R115" s="189">
        <f>D115/AJ115</f>
      </c>
      <c r="S115" s="189">
        <f>D115/AK115</f>
      </c>
      <c r="T115" s="192">
        <f>AJ115/AI115</f>
      </c>
      <c r="U115" s="193">
        <f>AK115/AJ115</f>
      </c>
      <c r="V115" s="120">
        <f t="shared" si="103"/>
      </c>
      <c r="W115" s="120">
        <f t="shared" si="170"/>
      </c>
      <c r="X115" s="121">
        <f t="shared" si="173"/>
      </c>
      <c r="Y115" s="120">
        <f t="shared" si="183"/>
      </c>
      <c r="Z115" s="120">
        <f t="shared" si="0"/>
      </c>
      <c r="AA115" s="119">
        <f>AM115/AI115</f>
      </c>
      <c r="AB115" s="119">
        <f>AN115/AI115</f>
      </c>
      <c r="AC115" s="119">
        <f t="shared" si="60"/>
      </c>
      <c r="AD115" s="122" t="s">
        <v>114</v>
      </c>
      <c r="AE115" s="122" t="s">
        <v>129</v>
      </c>
      <c r="AF115" s="123">
        <v>13750</v>
      </c>
      <c r="AG115" s="138">
        <v>2518</v>
      </c>
      <c r="AH115" s="163">
        <v>18362</v>
      </c>
      <c r="AI115" s="140">
        <v>126</v>
      </c>
      <c r="AJ115" s="141">
        <v>0</v>
      </c>
      <c r="AK115" s="141">
        <v>1150</v>
      </c>
      <c r="AL115" s="141">
        <v>47</v>
      </c>
      <c r="AM115" s="141">
        <v>14</v>
      </c>
      <c r="AN115" s="141">
        <v>2</v>
      </c>
      <c r="AO115" s="123">
        <v>0</v>
      </c>
      <c r="AP115" s="123">
        <f t="shared" si="179"/>
      </c>
    </row>
    <row r="116">
      <c r="A116" s="181"/>
      <c r="B116" s="194" t="s">
        <v>116</v>
      </c>
      <c r="C116" s="194"/>
      <c r="D116" s="195">
        <f>SUM(D113:D115)</f>
      </c>
      <c r="E116" s="196">
        <f>SUM(E113:E115)</f>
      </c>
      <c r="F116" s="196">
        <f>SUM(F113:F115)</f>
      </c>
      <c r="G116" s="195">
        <f>SUM(G113:G115)</f>
      </c>
      <c r="H116" s="196">
        <f>SUM(H113:H115)</f>
      </c>
      <c r="I116" s="195">
        <f>SUM(I113:I115)</f>
      </c>
      <c r="J116" s="197">
        <f>SUM(J113:J115)</f>
      </c>
      <c r="K116" s="195">
        <f>SUM(K113:K115)</f>
      </c>
      <c r="L116" s="195">
        <f t="shared" si="175"/>
      </c>
      <c r="M116" s="195">
        <f t="shared" si="125"/>
      </c>
      <c r="N116" s="195">
        <f t="shared" si="182"/>
      </c>
      <c r="O116" s="199">
        <f t="shared" si="187"/>
      </c>
      <c r="P116" s="199">
        <f t="shared" si="3"/>
      </c>
      <c r="Q116" s="200">
        <f t="shared" ref="Q116:Q123" si="30">D116/AH116</f>
      </c>
      <c r="R116" s="198">
        <f t="shared" ref="R116:R123" si="58">D116/AI116</f>
      </c>
      <c r="S116" s="198">
        <f t="shared" ref="S116:S123" si="73">D116/AJ116</f>
      </c>
      <c r="T116" s="201">
        <f t="shared" ref="T116:T123" si="87">AI116/AH116</f>
      </c>
      <c r="U116" s="202">
        <f t="shared" ref="U116:U123" si="101">AJ116/AI116</f>
      </c>
      <c r="V116" s="131">
        <f t="shared" si="103"/>
      </c>
      <c r="W116" s="131">
        <f t="shared" si="170"/>
      </c>
      <c r="X116" s="132">
        <f t="shared" si="173"/>
      </c>
      <c r="Y116" s="131">
        <f t="shared" si="183"/>
      </c>
      <c r="Z116" s="130">
        <f t="shared" ref="Z116:Z117" si="185">AK116/AH116</f>
      </c>
      <c r="AA116" s="130">
        <f t="shared" ref="AA116:AA123" si="16">AL116/AH116</f>
      </c>
      <c r="AB116" s="130">
        <f t="shared" ref="AB116:AB123" si="44">AM116/AH116</f>
      </c>
      <c r="AC116" s="130">
        <f t="shared" si="60"/>
      </c>
      <c r="AD116" s="130"/>
      <c r="AE116" s="134"/>
      <c r="AF116" s="160">
        <f>SUM(AF113:AF115)</f>
      </c>
      <c r="AG116" s="160">
        <f>SUM(AG113:AG115)</f>
      </c>
      <c r="AH116" s="164">
        <f>SUM(AH113:AH115)</f>
      </c>
      <c r="AI116" s="160">
        <f>SUM(AI113:AI115)</f>
      </c>
      <c r="AJ116" s="160">
        <f>SUM(AJ113:AJ115)</f>
      </c>
      <c r="AK116" s="160">
        <f>SUM(AK113:AK115)</f>
      </c>
      <c r="AL116" s="160">
        <f>SUM(AL113:AL115)</f>
      </c>
      <c r="AM116" s="160">
        <f>SUM(AM113:AM115)</f>
      </c>
      <c r="AN116" s="160">
        <f>SUM(AN113:AN115)</f>
      </c>
      <c r="AO116" s="160">
        <f>SUM(AO113:AO115)</f>
      </c>
      <c r="AP116" s="160">
        <f>SUM(AP113:AP115)</f>
      </c>
    </row>
    <row r="117">
      <c r="A117" s="181"/>
      <c r="B117" s="203" t="s">
        <v>122</v>
      </c>
      <c r="C117" s="203"/>
      <c r="D117" s="204">
        <f>D116+D112</f>
      </c>
      <c r="E117" s="205">
        <f>E116+E112</f>
      </c>
      <c r="F117" s="205">
        <f>F116+F112</f>
      </c>
      <c r="G117" s="204">
        <f>G116+G112</f>
      </c>
      <c r="H117" s="205">
        <f>H116+H112</f>
      </c>
      <c r="I117" s="204">
        <f>I116+I112</f>
      </c>
      <c r="J117" s="206">
        <f>J116+J112</f>
      </c>
      <c r="K117" s="204">
        <f>K116+K112</f>
      </c>
      <c r="L117" s="204">
        <f t="shared" si="175"/>
      </c>
      <c r="M117" s="204">
        <f t="shared" si="125"/>
      </c>
      <c r="N117" s="204">
        <f t="shared" si="182"/>
      </c>
      <c r="O117" s="208">
        <f t="shared" si="187"/>
      </c>
      <c r="P117" s="208">
        <f t="shared" si="3"/>
      </c>
      <c r="Q117" s="209">
        <f t="shared" si="30"/>
      </c>
      <c r="R117" s="209">
        <f t="shared" si="58"/>
      </c>
      <c r="S117" s="210">
        <f t="shared" si="73"/>
      </c>
      <c r="T117" s="211">
        <f t="shared" si="87"/>
      </c>
      <c r="U117" s="212">
        <f t="shared" si="101"/>
      </c>
      <c r="V117" s="151">
        <f t="shared" si="103"/>
      </c>
      <c r="W117" s="151">
        <f t="shared" si="170"/>
      </c>
      <c r="X117" s="152">
        <f t="shared" si="173"/>
      </c>
      <c r="Y117" s="151">
        <f t="shared" si="183"/>
      </c>
      <c r="Z117" s="154">
        <f t="shared" si="185"/>
      </c>
      <c r="AA117" s="154">
        <f t="shared" si="16"/>
      </c>
      <c r="AB117" s="154">
        <f t="shared" si="44"/>
      </c>
      <c r="AC117" s="154">
        <f t="shared" si="60"/>
      </c>
      <c r="AD117" s="154"/>
      <c r="AE117" s="155"/>
      <c r="AF117" s="167">
        <f>AF116+AF112</f>
      </c>
      <c r="AG117" s="167">
        <f>AG116+AG112</f>
      </c>
      <c r="AH117" s="167">
        <f>AH116+AH112</f>
      </c>
      <c r="AI117" s="167">
        <f>AI116+AI112</f>
      </c>
      <c r="AJ117" s="167">
        <f>AJ116+AJ112</f>
      </c>
      <c r="AK117" s="167">
        <f>AK116+AK112</f>
      </c>
      <c r="AL117" s="167">
        <f>AL116+AL112</f>
      </c>
      <c r="AM117" s="167">
        <f>AM116+AM112</f>
      </c>
      <c r="AN117" s="167">
        <f>AN116+AN112</f>
      </c>
      <c r="AO117" s="167">
        <f>AO116+AO112</f>
      </c>
      <c r="AP117" s="167">
        <f>AP116+AP112</f>
      </c>
    </row>
    <row r="118">
      <c r="A118" s="181">
        <v>46295</v>
      </c>
      <c r="B118" s="217" t="s">
        <v>117</v>
      </c>
      <c r="C118" s="183" t="s">
        <v>112</v>
      </c>
      <c r="D118" s="218">
        <v>507.228</v>
      </c>
      <c r="E118" s="185">
        <v>0</v>
      </c>
      <c r="F118" s="185">
        <v>0</v>
      </c>
      <c r="G118" s="186">
        <v>0</v>
      </c>
      <c r="H118" s="185">
        <v>0</v>
      </c>
      <c r="I118" s="215">
        <v>0</v>
      </c>
      <c r="J118" s="187">
        <f t="shared" ref="J118:J120" si="150">F118+H118</f>
      </c>
      <c r="K118" s="188">
        <f t="shared" ref="K118:K120" si="168">G118+I118</f>
      </c>
      <c r="L118" s="189">
        <f t="shared" si="175"/>
      </c>
      <c r="M118" s="189">
        <f t="shared" si="125"/>
      </c>
      <c r="N118" s="189">
        <f t="shared" si="182"/>
      </c>
      <c r="O118" s="190">
        <f t="shared" si="187"/>
      </c>
      <c r="P118" s="190">
        <f t="shared" si="3"/>
      </c>
      <c r="Q118" s="191">
        <f t="shared" si="30"/>
      </c>
      <c r="R118" s="189">
        <f t="shared" si="58"/>
      </c>
      <c r="S118" s="189">
        <f t="shared" si="73"/>
      </c>
      <c r="T118" s="192">
        <f t="shared" si="87"/>
      </c>
      <c r="U118" s="193">
        <f t="shared" si="101"/>
      </c>
      <c r="V118" s="120">
        <f t="shared" si="103"/>
      </c>
      <c r="W118" s="120">
        <f t="shared" si="170"/>
      </c>
      <c r="X118" s="121">
        <f t="shared" si="173"/>
      </c>
      <c r="Y118" s="120">
        <f t="shared" si="183"/>
      </c>
      <c r="Z118" s="120">
        <f t="shared" ref="Z118:Z120" si="1">AL118/AI118</f>
      </c>
      <c r="AA118" s="119">
        <f t="shared" si="16"/>
      </c>
      <c r="AB118" s="119">
        <f t="shared" si="44"/>
      </c>
      <c r="AC118" s="119">
        <f t="shared" si="60"/>
      </c>
      <c r="AD118" s="122" t="s">
        <v>114</v>
      </c>
      <c r="AE118" s="122" t="s">
        <v>130</v>
      </c>
      <c r="AF118" s="123">
        <v>10416</v>
      </c>
      <c r="AG118" s="123">
        <v>2289</v>
      </c>
      <c r="AH118" s="123">
        <v>14543</v>
      </c>
      <c r="AI118" s="123">
        <v>144</v>
      </c>
      <c r="AJ118" s="124">
        <v>0</v>
      </c>
      <c r="AK118" s="123">
        <v>1191</v>
      </c>
      <c r="AL118" s="123">
        <v>45</v>
      </c>
      <c r="AM118" s="123">
        <v>18</v>
      </c>
      <c r="AN118" s="123">
        <v>1</v>
      </c>
      <c r="AO118" s="124">
        <v>0</v>
      </c>
      <c r="AP118" s="123">
        <f t="shared" ref="AP118:AP120" si="180">COUNT(AK118)</f>
      </c>
    </row>
    <row r="119">
      <c r="A119" s="181"/>
      <c r="B119" s="217" t="s">
        <v>117</v>
      </c>
      <c r="C119" s="183" t="s">
        <v>118</v>
      </c>
      <c r="D119" s="218">
        <v>425.356</v>
      </c>
      <c r="E119" s="185">
        <v>1</v>
      </c>
      <c r="F119" s="185">
        <v>0</v>
      </c>
      <c r="G119" s="186">
        <v>0</v>
      </c>
      <c r="H119" s="185">
        <v>0</v>
      </c>
      <c r="I119" s="215">
        <v>0</v>
      </c>
      <c r="J119" s="187">
        <f t="shared" si="150"/>
      </c>
      <c r="K119" s="188">
        <f t="shared" si="168"/>
      </c>
      <c r="L119" s="189">
        <f t="shared" si="175"/>
      </c>
      <c r="M119" s="189">
        <f t="shared" si="125"/>
      </c>
      <c r="N119" s="189">
        <f t="shared" si="182"/>
      </c>
      <c r="O119" s="190">
        <f t="shared" si="187"/>
      </c>
      <c r="P119" s="190">
        <f t="shared" si="3"/>
      </c>
      <c r="Q119" s="191">
        <f t="shared" si="30"/>
      </c>
      <c r="R119" s="189">
        <f t="shared" si="58"/>
      </c>
      <c r="S119" s="189">
        <f t="shared" si="73"/>
      </c>
      <c r="T119" s="192">
        <f t="shared" si="87"/>
      </c>
      <c r="U119" s="193">
        <f t="shared" si="101"/>
      </c>
      <c r="V119" s="120">
        <f t="shared" si="103"/>
      </c>
      <c r="W119" s="120">
        <f t="shared" si="170"/>
      </c>
      <c r="X119" s="121">
        <f t="shared" si="173"/>
      </c>
      <c r="Y119" s="120">
        <f t="shared" si="183"/>
      </c>
      <c r="Z119" s="120">
        <f t="shared" si="1"/>
      </c>
      <c r="AA119" s="119">
        <f t="shared" si="16"/>
      </c>
      <c r="AB119" s="119">
        <f t="shared" si="44"/>
      </c>
      <c r="AC119" s="119">
        <f t="shared" si="60"/>
      </c>
      <c r="AD119" s="122" t="s">
        <v>114</v>
      </c>
      <c r="AE119" s="122" t="s">
        <v>130</v>
      </c>
      <c r="AF119" s="123">
        <v>10388</v>
      </c>
      <c r="AG119" s="123">
        <v>2734</v>
      </c>
      <c r="AH119" s="123">
        <v>13224</v>
      </c>
      <c r="AI119" s="123">
        <v>120</v>
      </c>
      <c r="AJ119" s="124">
        <v>0</v>
      </c>
      <c r="AK119" s="123">
        <v>945</v>
      </c>
      <c r="AL119" s="123">
        <v>25</v>
      </c>
      <c r="AM119" s="123">
        <v>18</v>
      </c>
      <c r="AN119" s="123">
        <v>2</v>
      </c>
      <c r="AO119" s="124">
        <v>0</v>
      </c>
      <c r="AP119" s="123">
        <f t="shared" si="180"/>
      </c>
    </row>
    <row r="120">
      <c r="A120" s="181"/>
      <c r="B120" s="217" t="s">
        <v>117</v>
      </c>
      <c r="C120" s="183" t="s">
        <v>119</v>
      </c>
      <c r="D120" s="218">
        <v>420.857</v>
      </c>
      <c r="E120" s="185">
        <v>2</v>
      </c>
      <c r="F120" s="185">
        <v>0</v>
      </c>
      <c r="G120" s="186">
        <v>0</v>
      </c>
      <c r="H120" s="185">
        <v>0</v>
      </c>
      <c r="I120" s="215">
        <v>0</v>
      </c>
      <c r="J120" s="187">
        <f t="shared" si="150"/>
      </c>
      <c r="K120" s="188">
        <f t="shared" si="168"/>
      </c>
      <c r="L120" s="189">
        <f t="shared" si="175"/>
      </c>
      <c r="M120" s="189">
        <f t="shared" si="125"/>
      </c>
      <c r="N120" s="189">
        <f t="shared" si="182"/>
      </c>
      <c r="O120" s="190">
        <f t="shared" si="187"/>
      </c>
      <c r="P120" s="190">
        <f t="shared" si="3"/>
      </c>
      <c r="Q120" s="191">
        <f t="shared" si="30"/>
      </c>
      <c r="R120" s="189">
        <f t="shared" si="58"/>
      </c>
      <c r="S120" s="189">
        <f t="shared" si="73"/>
      </c>
      <c r="T120" s="192">
        <f t="shared" si="87"/>
      </c>
      <c r="U120" s="193">
        <f t="shared" si="101"/>
      </c>
      <c r="V120" s="120">
        <f t="shared" si="103"/>
      </c>
      <c r="W120" s="120">
        <f t="shared" si="170"/>
      </c>
      <c r="X120" s="121">
        <f t="shared" si="173"/>
      </c>
      <c r="Y120" s="120">
        <f t="shared" si="183"/>
      </c>
      <c r="Z120" s="120">
        <f t="shared" si="1"/>
      </c>
      <c r="AA120" s="119">
        <f t="shared" si="16"/>
      </c>
      <c r="AB120" s="119">
        <f t="shared" si="44"/>
      </c>
      <c r="AC120" s="119">
        <f t="shared" si="60"/>
      </c>
      <c r="AD120" s="122" t="s">
        <v>114</v>
      </c>
      <c r="AE120" s="122" t="s">
        <v>130</v>
      </c>
      <c r="AF120" s="123">
        <v>10041</v>
      </c>
      <c r="AG120" s="123">
        <v>2828</v>
      </c>
      <c r="AH120" s="123">
        <v>13010</v>
      </c>
      <c r="AI120" s="123">
        <v>146</v>
      </c>
      <c r="AJ120" s="124">
        <v>0</v>
      </c>
      <c r="AK120" s="123">
        <v>1013</v>
      </c>
      <c r="AL120" s="123">
        <v>69</v>
      </c>
      <c r="AM120" s="123">
        <v>9</v>
      </c>
      <c r="AN120" s="123">
        <v>0</v>
      </c>
      <c r="AO120" s="124">
        <v>0</v>
      </c>
      <c r="AP120" s="123">
        <f t="shared" si="180"/>
      </c>
    </row>
    <row r="121">
      <c r="A121" s="181"/>
      <c r="B121" s="194" t="s">
        <v>116</v>
      </c>
      <c r="C121" s="194"/>
      <c r="D121" s="195">
        <f>SUM(D118:D120)</f>
      </c>
      <c r="E121" s="196">
        <f>SUM(E118:E120)</f>
      </c>
      <c r="F121" s="196">
        <f>SUM(F118:F120)</f>
      </c>
      <c r="G121" s="195">
        <f>SUM(G118:G120)</f>
      </c>
      <c r="H121" s="196">
        <f>SUM(H118:H120)</f>
      </c>
      <c r="I121" s="195">
        <f>SUM(I118:I120)</f>
      </c>
      <c r="J121" s="197">
        <f>SUM(J118:J120)</f>
      </c>
      <c r="K121" s="195">
        <f>SUM(K118:K120)</f>
      </c>
      <c r="L121" s="195">
        <f t="shared" si="175"/>
      </c>
      <c r="M121" s="195">
        <f t="shared" si="125"/>
      </c>
      <c r="N121" s="195">
        <f t="shared" si="182"/>
      </c>
      <c r="O121" s="199">
        <f t="shared" si="187"/>
      </c>
      <c r="P121" s="199">
        <f t="shared" si="3"/>
      </c>
      <c r="Q121" s="200">
        <f t="shared" si="30"/>
      </c>
      <c r="R121" s="198">
        <f t="shared" si="58"/>
      </c>
      <c r="S121" s="198">
        <f t="shared" si="73"/>
      </c>
      <c r="T121" s="201">
        <f t="shared" si="87"/>
      </c>
      <c r="U121" s="202">
        <f t="shared" si="101"/>
      </c>
      <c r="V121" s="130">
        <f>AF121:AE121/AE121:AD121</f>
      </c>
      <c r="W121" s="130">
        <f>AJ121/AF121:AE121</f>
      </c>
      <c r="X121" s="127">
        <f>D121/AE121:AD121*1000</f>
      </c>
      <c r="Y121" s="128">
        <f>D121/AF121:AE121</f>
      </c>
      <c r="Z121" s="130">
        <f>AK121/AH121</f>
      </c>
      <c r="AA121" s="130">
        <f t="shared" si="16"/>
      </c>
      <c r="AB121" s="130">
        <f t="shared" si="44"/>
      </c>
      <c r="AC121" s="130">
        <f t="shared" si="60"/>
      </c>
      <c r="AD121" s="130"/>
      <c r="AE121" s="134"/>
      <c r="AF121" s="160">
        <f>SUM(AF118:AF120)</f>
      </c>
      <c r="AG121" s="160">
        <f>SUM(AG118:AG120)</f>
      </c>
      <c r="AH121" s="160">
        <f>SUM(AH118:AH120)</f>
      </c>
      <c r="AI121" s="160">
        <f>SUM(AI118:AI120)</f>
      </c>
      <c r="AJ121" s="160">
        <f>SUM(AJ118:AJ120)</f>
      </c>
      <c r="AK121" s="160">
        <f>SUM(AK118:AK120)</f>
      </c>
      <c r="AL121" s="160">
        <f>SUM(AL118:AL120)</f>
      </c>
      <c r="AM121" s="160">
        <f>SUM(AM118:AM120)</f>
      </c>
      <c r="AN121" s="160">
        <f>SUM(AN118:AN120)</f>
      </c>
      <c r="AO121" s="160">
        <f>SUM(AO118:AO120)</f>
      </c>
      <c r="AP121" s="160">
        <f>SUM(AP118:AP120)</f>
      </c>
    </row>
    <row r="122">
      <c r="A122" s="181"/>
      <c r="B122" s="217" t="s">
        <v>120</v>
      </c>
      <c r="C122" s="183" t="s">
        <v>121</v>
      </c>
      <c r="D122" s="218">
        <v>364.316</v>
      </c>
      <c r="E122" s="185">
        <v>1</v>
      </c>
      <c r="F122" s="185">
        <v>0</v>
      </c>
      <c r="G122" s="186">
        <v>0</v>
      </c>
      <c r="H122" s="185">
        <v>0</v>
      </c>
      <c r="I122" s="215">
        <v>0</v>
      </c>
      <c r="J122" s="187">
        <f t="shared" ref="J122:J124" si="151">F122+H122</f>
      </c>
      <c r="K122" s="188">
        <f t="shared" ref="K122:K124" si="169">G122+I122</f>
      </c>
      <c r="L122" s="188">
        <f t="shared" si="175"/>
      </c>
      <c r="M122" s="188">
        <f t="shared" si="125"/>
      </c>
      <c r="N122" s="188">
        <f t="shared" si="182"/>
      </c>
      <c r="O122" s="190">
        <f t="shared" si="187"/>
      </c>
      <c r="P122" s="190">
        <f t="shared" si="3"/>
      </c>
      <c r="Q122" s="191">
        <f t="shared" si="30"/>
      </c>
      <c r="R122" s="189">
        <f t="shared" si="58"/>
      </c>
      <c r="S122" s="189">
        <f t="shared" si="73"/>
      </c>
      <c r="T122" s="192">
        <f t="shared" si="87"/>
      </c>
      <c r="U122" s="193">
        <f t="shared" si="101"/>
      </c>
      <c r="V122" s="120">
        <f t="shared" ref="V122:V126" si="104">AG122/AF122</f>
      </c>
      <c r="W122" s="120">
        <f t="shared" ref="W122:W126" si="171">AJ122/AG122</f>
      </c>
      <c r="X122" s="121">
        <f t="shared" ref="X122:X126" si="174">D122/AF122*1000</f>
      </c>
      <c r="Y122" s="120">
        <f t="shared" ref="Y122:Y126" si="184">D122/AG122</f>
      </c>
      <c r="Z122" s="120">
        <f t="shared" ref="Z122:Z124" si="2">AL122/AI122</f>
      </c>
      <c r="AA122" s="119">
        <f t="shared" si="16"/>
      </c>
      <c r="AB122" s="119">
        <f t="shared" si="44"/>
      </c>
      <c r="AC122" s="119">
        <f t="shared" si="60"/>
      </c>
      <c r="AD122" s="122" t="s">
        <v>114</v>
      </c>
      <c r="AE122" s="122" t="s">
        <v>130</v>
      </c>
      <c r="AF122" s="136">
        <v>8574</v>
      </c>
      <c r="AG122" s="136">
        <v>2272</v>
      </c>
      <c r="AH122" s="137">
        <v>12691</v>
      </c>
      <c r="AI122" s="123">
        <v>130</v>
      </c>
      <c r="AJ122" s="124">
        <v>0</v>
      </c>
      <c r="AK122" s="136">
        <v>899</v>
      </c>
      <c r="AL122" s="124">
        <v>39</v>
      </c>
      <c r="AM122" s="124">
        <v>8</v>
      </c>
      <c r="AN122" s="124">
        <v>1</v>
      </c>
      <c r="AO122" s="124">
        <v>0</v>
      </c>
      <c r="AP122" s="123">
        <f t="shared" ref="AP122:AP124" si="181">COUNT(AK122)</f>
      </c>
    </row>
    <row r="123">
      <c r="A123" s="181"/>
      <c r="B123" s="217" t="s">
        <v>120</v>
      </c>
      <c r="C123" s="183" t="s">
        <v>125</v>
      </c>
      <c r="D123" s="218">
        <v>214.258</v>
      </c>
      <c r="E123" s="185">
        <v>0</v>
      </c>
      <c r="F123" s="185">
        <v>0</v>
      </c>
      <c r="G123" s="186">
        <v>0</v>
      </c>
      <c r="H123" s="185">
        <v>0</v>
      </c>
      <c r="I123" s="215">
        <v>0</v>
      </c>
      <c r="J123" s="187">
        <f t="shared" si="151"/>
      </c>
      <c r="K123" s="188">
        <f t="shared" si="169"/>
      </c>
      <c r="L123" s="188">
        <f t="shared" si="175"/>
      </c>
      <c r="M123" s="188">
        <f t="shared" si="125"/>
      </c>
      <c r="N123" s="188">
        <f t="shared" si="182"/>
      </c>
      <c r="O123" s="190">
        <f t="shared" si="187"/>
      </c>
      <c r="P123" s="190">
        <f t="shared" si="3"/>
      </c>
      <c r="Q123" s="191">
        <f t="shared" si="30"/>
      </c>
      <c r="R123" s="189">
        <f t="shared" si="58"/>
      </c>
      <c r="S123" s="189">
        <f t="shared" si="73"/>
      </c>
      <c r="T123" s="192">
        <f t="shared" si="87"/>
      </c>
      <c r="U123" s="193">
        <f t="shared" si="101"/>
      </c>
      <c r="V123" s="120">
        <f t="shared" si="104"/>
      </c>
      <c r="W123" s="120">
        <f t="shared" si="171"/>
      </c>
      <c r="X123" s="121">
        <f t="shared" si="174"/>
      </c>
      <c r="Y123" s="120">
        <f t="shared" si="184"/>
      </c>
      <c r="Z123" s="120">
        <f t="shared" si="2"/>
      </c>
      <c r="AA123" s="119">
        <f t="shared" si="16"/>
      </c>
      <c r="AB123" s="119">
        <f t="shared" si="44"/>
      </c>
      <c r="AC123" s="119">
        <f t="shared" si="60"/>
      </c>
      <c r="AD123" s="122" t="s">
        <v>114</v>
      </c>
      <c r="AE123" s="122" t="s">
        <v>130</v>
      </c>
      <c r="AF123" s="123">
        <v>6519</v>
      </c>
      <c r="AG123" s="138">
        <v>1632</v>
      </c>
      <c r="AH123" s="163">
        <v>7435</v>
      </c>
      <c r="AI123" s="140">
        <v>125</v>
      </c>
      <c r="AJ123" s="141">
        <v>0</v>
      </c>
      <c r="AK123" s="141">
        <v>514</v>
      </c>
      <c r="AL123" s="141">
        <v>16</v>
      </c>
      <c r="AM123" s="141">
        <v>16</v>
      </c>
      <c r="AN123" s="141">
        <v>1</v>
      </c>
      <c r="AO123" s="124">
        <v>0</v>
      </c>
      <c r="AP123" s="123">
        <f t="shared" si="181"/>
      </c>
    </row>
    <row r="124">
      <c r="A124" s="181"/>
      <c r="B124" s="217" t="s">
        <v>120</v>
      </c>
      <c r="C124" s="183" t="s">
        <v>126</v>
      </c>
      <c r="D124" s="218">
        <v>157.618</v>
      </c>
      <c r="E124" s="185">
        <v>0</v>
      </c>
      <c r="F124" s="185">
        <v>0</v>
      </c>
      <c r="G124" s="186">
        <v>0</v>
      </c>
      <c r="H124" s="185">
        <v>0</v>
      </c>
      <c r="I124" s="215">
        <v>0</v>
      </c>
      <c r="J124" s="187">
        <f t="shared" si="151"/>
      </c>
      <c r="K124" s="188">
        <f t="shared" si="169"/>
      </c>
      <c r="L124" s="188">
        <f t="shared" si="175"/>
      </c>
      <c r="M124" s="188">
        <f t="shared" si="125"/>
      </c>
      <c r="N124" s="188">
        <f t="shared" si="182"/>
      </c>
      <c r="O124" s="190">
        <f t="shared" si="187"/>
      </c>
      <c r="P124" s="190">
        <f t="shared" si="3"/>
      </c>
      <c r="Q124" s="191">
        <f>D124/AI124</f>
      </c>
      <c r="R124" s="189">
        <f>D124/AJ124</f>
      </c>
      <c r="S124" s="189">
        <f>D124/AK124</f>
      </c>
      <c r="T124" s="192">
        <f>AJ124/AI124</f>
      </c>
      <c r="U124" s="193">
        <f>AK124/AJ124</f>
      </c>
      <c r="V124" s="120">
        <f t="shared" si="104"/>
      </c>
      <c r="W124" s="120">
        <f t="shared" si="171"/>
      </c>
      <c r="X124" s="121">
        <f t="shared" si="174"/>
      </c>
      <c r="Y124" s="120">
        <f t="shared" si="184"/>
      </c>
      <c r="Z124" s="119">
        <f t="shared" si="2"/>
      </c>
      <c r="AA124" s="119">
        <f>AM124/AI124</f>
      </c>
      <c r="AB124" s="119">
        <f>AN124/AI124</f>
      </c>
      <c r="AC124" s="119">
        <f t="shared" si="60"/>
      </c>
      <c r="AD124" s="122" t="s">
        <v>114</v>
      </c>
      <c r="AE124" s="122" t="s">
        <v>130</v>
      </c>
      <c r="AF124" s="123">
        <v>4918</v>
      </c>
      <c r="AG124" s="138">
        <v>880</v>
      </c>
      <c r="AH124" s="163">
        <v>4884</v>
      </c>
      <c r="AI124" s="140">
        <v>55</v>
      </c>
      <c r="AJ124" s="141">
        <v>0</v>
      </c>
      <c r="AK124" s="141">
        <v>331</v>
      </c>
      <c r="AL124" s="141">
        <v>17</v>
      </c>
      <c r="AM124" s="141">
        <v>6</v>
      </c>
      <c r="AN124" s="141">
        <v>0</v>
      </c>
      <c r="AO124" s="124">
        <v>0</v>
      </c>
      <c r="AP124" s="123">
        <f t="shared" si="181"/>
      </c>
    </row>
    <row r="125">
      <c r="A125" s="181"/>
      <c r="B125" s="194" t="s">
        <v>116</v>
      </c>
      <c r="C125" s="194"/>
      <c r="D125" s="195">
        <f>SUM(D122:D124)</f>
      </c>
      <c r="E125" s="196">
        <f>SUM(E122:E124)</f>
      </c>
      <c r="F125" s="196">
        <f>SUM(F122:F124)</f>
      </c>
      <c r="G125" s="195">
        <f>SUM(G122:G124)</f>
      </c>
      <c r="H125" s="196">
        <f>SUM(H122:H124)</f>
      </c>
      <c r="I125" s="195">
        <f>SUM(I122:I124)</f>
      </c>
      <c r="J125" s="197">
        <f>SUM(J122:J124)</f>
      </c>
      <c r="K125" s="195">
        <f>SUM(K122:K124)</f>
      </c>
      <c r="L125" s="195">
        <f t="shared" si="175"/>
      </c>
      <c r="M125" s="195">
        <f t="shared" si="125"/>
      </c>
      <c r="N125" s="195">
        <f t="shared" si="182"/>
      </c>
      <c r="O125" s="199">
        <f t="shared" si="187"/>
      </c>
      <c r="P125" s="199">
        <f t="shared" si="3"/>
      </c>
      <c r="Q125" s="200">
        <f t="shared" ref="Q125:Q126" si="31">D125/AH125</f>
      </c>
      <c r="R125" s="198">
        <f t="shared" ref="R125:R126" si="59">D125/AI125</f>
      </c>
      <c r="S125" s="198">
        <f t="shared" ref="S125:S126" si="74">D125/AJ125</f>
      </c>
      <c r="T125" s="201">
        <f t="shared" ref="T125:T126" si="88">AI125/AH125</f>
      </c>
      <c r="U125" s="202">
        <f t="shared" ref="U125:U126" si="102">AJ125/AI125</f>
      </c>
      <c r="V125" s="131">
        <f t="shared" si="104"/>
      </c>
      <c r="W125" s="131">
        <f t="shared" si="171"/>
      </c>
      <c r="X125" s="132">
        <f t="shared" si="174"/>
      </c>
      <c r="Y125" s="131">
        <f t="shared" si="184"/>
      </c>
      <c r="Z125" s="130">
        <f t="shared" ref="Z125:Z126" si="186">AK125/AH125</f>
      </c>
      <c r="AA125" s="130">
        <f t="shared" ref="AA125:AA126" si="17">AL125/AH125</f>
      </c>
      <c r="AB125" s="130">
        <f t="shared" ref="AB125:AB126" si="45">AM125/AH125</f>
      </c>
      <c r="AC125" s="130">
        <f t="shared" si="60"/>
      </c>
      <c r="AD125" s="130"/>
      <c r="AE125" s="134"/>
      <c r="AF125" s="160">
        <f>SUM(AF122:AF124)</f>
      </c>
      <c r="AG125" s="160">
        <f>SUM(AG122:AG124)</f>
      </c>
      <c r="AH125" s="164">
        <f>SUM(AH122:AH124)</f>
      </c>
      <c r="AI125" s="160">
        <f>SUM(AI122:AI124)</f>
      </c>
      <c r="AJ125" s="160">
        <f>SUM(AJ122:AJ124)</f>
      </c>
      <c r="AK125" s="160">
        <f>SUM(AK122:AK124)</f>
      </c>
      <c r="AL125" s="160">
        <f>SUM(AL122:AL124)</f>
      </c>
      <c r="AM125" s="160">
        <f>SUM(AM122:AM124)</f>
      </c>
      <c r="AN125" s="160">
        <f>SUM(AN122:AN124)</f>
      </c>
      <c r="AO125" s="160">
        <f>SUM(AO122:AO124)</f>
      </c>
      <c r="AP125" s="160">
        <f>SUM(AP122:AP124)</f>
      </c>
    </row>
    <row r="126">
      <c r="A126" s="181"/>
      <c r="B126" s="203" t="s">
        <v>122</v>
      </c>
      <c r="C126" s="203"/>
      <c r="D126" s="204">
        <f>D125+D121</f>
      </c>
      <c r="E126" s="205">
        <f>E125+E121</f>
      </c>
      <c r="F126" s="205">
        <f>F125+F121</f>
      </c>
      <c r="G126" s="204">
        <f>G125+G121</f>
      </c>
      <c r="H126" s="205">
        <f>H125+H121</f>
      </c>
      <c r="I126" s="204">
        <f>I125+I121</f>
      </c>
      <c r="J126" s="206">
        <f>J125+J121</f>
      </c>
      <c r="K126" s="204">
        <f>K125+K121</f>
      </c>
      <c r="L126" s="204">
        <f t="shared" si="175"/>
      </c>
      <c r="M126" s="204">
        <f t="shared" si="125"/>
      </c>
      <c r="N126" s="204">
        <f t="shared" si="182"/>
      </c>
      <c r="O126" s="208">
        <f t="shared" si="187"/>
      </c>
      <c r="P126" s="208">
        <f t="shared" si="3"/>
      </c>
      <c r="Q126" s="209">
        <f t="shared" si="31"/>
      </c>
      <c r="R126" s="209">
        <f t="shared" si="59"/>
      </c>
      <c r="S126" s="210">
        <f t="shared" si="74"/>
      </c>
      <c r="T126" s="211">
        <f t="shared" si="88"/>
      </c>
      <c r="U126" s="212">
        <f t="shared" si="102"/>
      </c>
      <c r="V126" s="151">
        <f t="shared" si="104"/>
      </c>
      <c r="W126" s="151">
        <f t="shared" si="171"/>
      </c>
      <c r="X126" s="152">
        <f t="shared" si="174"/>
      </c>
      <c r="Y126" s="151">
        <f t="shared" si="184"/>
      </c>
      <c r="Z126" s="154">
        <f t="shared" si="186"/>
      </c>
      <c r="AA126" s="154">
        <f t="shared" si="17"/>
      </c>
      <c r="AB126" s="154">
        <f t="shared" si="45"/>
      </c>
      <c r="AC126" s="154">
        <f t="shared" si="60"/>
      </c>
      <c r="AD126" s="154"/>
      <c r="AE126" s="155"/>
      <c r="AF126" s="167">
        <f>AF125+AF121</f>
      </c>
      <c r="AG126" s="167">
        <f>AG125+AG121</f>
      </c>
      <c r="AH126" s="167">
        <f>AH125+AH121</f>
      </c>
      <c r="AI126" s="167">
        <f>AI125+AI121</f>
      </c>
      <c r="AJ126" s="167">
        <f>AJ125+AJ121</f>
      </c>
      <c r="AK126" s="167">
        <f>AK125+AK121</f>
      </c>
      <c r="AL126" s="167">
        <f>AL125+AL121</f>
      </c>
      <c r="AM126" s="167">
        <f>AM125+AM121</f>
      </c>
      <c r="AN126" s="167">
        <f>AN125+AN121</f>
      </c>
      <c r="AO126" s="167">
        <f>AO125+AO121</f>
      </c>
      <c r="AP126" s="167">
        <f>AP125+AP121</f>
      </c>
    </row>
    <row r="127">
      <c r="B127" s="219"/>
      <c r="C127" s="219"/>
      <c r="E127" s="219">
        <f>E128-E126</f>
      </c>
      <c r="F127" s="219">
        <f>F128-F126</f>
      </c>
      <c r="G127" s="219">
        <f>G128-G126</f>
      </c>
      <c r="H127" s="219">
        <f>H128-H126</f>
      </c>
      <c r="I127" s="220">
        <f>I128-I126</f>
      </c>
      <c r="J127" s="219"/>
      <c r="K127" s="219"/>
      <c r="L127" s="219"/>
      <c r="M127" s="219"/>
      <c r="N127" s="219"/>
      <c r="O127" s="219"/>
      <c r="P127" s="219"/>
      <c r="Q127" s="219"/>
      <c r="R127" s="219"/>
      <c r="S127" s="219"/>
      <c r="T127" s="219"/>
    </row>
    <row r="128">
      <c r="E128" s="221"/>
      <c r="H128" s="221"/>
      <c r="I128" s="220"/>
    </row>
    <row r="129">
      <c r="I129" s="220"/>
    </row>
    <row r="130">
      <c r="I130" s="220"/>
    </row>
    <row r="131">
      <c r="I131" s="220"/>
    </row>
    <row r="132">
      <c r="I132" s="220"/>
    </row>
    <row r="133">
      <c r="I133" s="220"/>
    </row>
    <row r="134">
      <c r="I134" s="220"/>
    </row>
    <row r="135">
      <c r="I135" s="220"/>
    </row>
    <row r="136">
      <c r="I136" s="220"/>
    </row>
    <row r="137">
      <c r="I137" s="220"/>
    </row>
    <row r="138">
      <c r="I138" s="220"/>
    </row>
    <row r="139">
      <c r="I139" s="220"/>
    </row>
    <row r="140">
      <c r="I140" s="220"/>
    </row>
    <row r="141">
      <c r="I141" s="220"/>
    </row>
    <row r="142">
      <c r="I142" s="220"/>
    </row>
    <row r="143">
      <c r="I143" s="220"/>
    </row>
    <row r="144">
      <c r="I144" s="220"/>
    </row>
    <row r="145">
      <c r="I145" s="220"/>
    </row>
    <row r="146">
      <c r="I146" s="220"/>
    </row>
    <row r="147">
      <c r="I147" s="220"/>
    </row>
    <row r="148">
      <c r="I148" s="220"/>
    </row>
    <row r="149">
      <c r="I149" s="220"/>
    </row>
    <row r="150">
      <c r="I150" s="220"/>
    </row>
    <row r="151">
      <c r="I151" s="220"/>
    </row>
    <row r="152">
      <c r="I152" s="220"/>
    </row>
    <row r="153">
      <c r="I153" s="220"/>
    </row>
    <row r="154">
      <c r="I154" s="220"/>
    </row>
    <row r="155">
      <c r="I155" s="220"/>
    </row>
    <row r="156">
      <c r="I156" s="220"/>
    </row>
    <row r="157">
      <c r="I157" s="220"/>
    </row>
    <row r="158">
      <c r="I158" s="220"/>
    </row>
    <row r="159">
      <c r="I159" s="220"/>
    </row>
    <row r="160">
      <c r="I160" s="220"/>
    </row>
    <row r="161">
      <c r="I161" s="220"/>
    </row>
    <row r="162">
      <c r="I162" s="220"/>
    </row>
    <row r="163">
      <c r="I163" s="220"/>
    </row>
    <row r="164">
      <c r="I164" s="220"/>
    </row>
    <row r="165">
      <c r="I165" s="220"/>
    </row>
    <row r="166">
      <c r="I166" s="220"/>
    </row>
    <row r="167">
      <c r="I167" s="220"/>
    </row>
    <row r="168">
      <c r="I168" s="220"/>
    </row>
    <row r="169">
      <c r="I169" s="220"/>
    </row>
    <row r="170">
      <c r="I170" s="220"/>
    </row>
    <row r="171">
      <c r="I171" s="220"/>
    </row>
    <row r="172">
      <c r="I172" s="220"/>
    </row>
    <row r="173">
      <c r="I173" s="220"/>
    </row>
    <row r="174">
      <c r="I174" s="220"/>
    </row>
    <row r="175">
      <c r="I175" s="220"/>
    </row>
    <row r="176">
      <c r="I176" s="220"/>
    </row>
    <row r="177">
      <c r="I177" s="220"/>
    </row>
    <row r="178">
      <c r="I178" s="220"/>
    </row>
    <row r="179">
      <c r="I179" s="220"/>
    </row>
    <row r="180">
      <c r="I180" s="220"/>
    </row>
    <row r="181">
      <c r="I181" s="220"/>
    </row>
    <row r="182">
      <c r="I182" s="220"/>
    </row>
    <row r="183">
      <c r="I183" s="220"/>
    </row>
    <row r="184">
      <c r="I184" s="220"/>
    </row>
    <row r="185">
      <c r="I185" s="220"/>
    </row>
    <row r="186">
      <c r="I186" s="220"/>
    </row>
    <row r="187">
      <c r="I187" s="220"/>
    </row>
    <row r="188">
      <c r="I188" s="220"/>
    </row>
    <row r="189">
      <c r="I189" s="220"/>
    </row>
    <row r="190">
      <c r="I190" s="220"/>
    </row>
    <row r="191">
      <c r="I191" s="220"/>
    </row>
    <row r="192">
      <c r="I192" s="220"/>
    </row>
    <row r="193">
      <c r="I193" s="220"/>
    </row>
    <row r="194">
      <c r="I194" s="220"/>
    </row>
    <row r="195">
      <c r="I195" s="220"/>
    </row>
    <row r="196">
      <c r="I196" s="220"/>
    </row>
    <row r="197">
      <c r="I197" s="220"/>
    </row>
    <row r="198">
      <c r="I198" s="220"/>
    </row>
    <row r="199">
      <c r="I199" s="220"/>
    </row>
    <row r="200">
      <c r="I200" s="220"/>
    </row>
    <row r="201">
      <c r="I201" s="220"/>
    </row>
    <row r="202">
      <c r="I202" s="220"/>
    </row>
    <row r="203">
      <c r="I203" s="220"/>
    </row>
    <row r="204">
      <c r="I204" s="220"/>
    </row>
    <row r="205">
      <c r="I205" s="220"/>
    </row>
    <row r="206">
      <c r="I206" s="220"/>
    </row>
  </sheetData>
  <autoFilter ref="A1:AP206"/>
  <mergeCells>
    <mergeCell ref="B126:C126"/>
    <mergeCell ref="B125:C125"/>
    <mergeCell ref="B121:C121"/>
    <mergeCell ref="A118:A126"/>
    <mergeCell ref="B117:C117"/>
    <mergeCell ref="B116:C116"/>
    <mergeCell ref="B112:C112"/>
    <mergeCell ref="A109:A117"/>
    <mergeCell ref="B108:C108"/>
    <mergeCell ref="B107:C107"/>
    <mergeCell ref="B103:C103"/>
    <mergeCell ref="A100:A108"/>
    <mergeCell ref="A83:A91"/>
    <mergeCell ref="B90:C90"/>
    <mergeCell ref="B91:C91"/>
    <mergeCell ref="B86:C86"/>
    <mergeCell ref="B82:C82"/>
    <mergeCell ref="B81:C81"/>
    <mergeCell ref="B78:C78"/>
    <mergeCell ref="A74:A82"/>
    <mergeCell ref="B73:C73"/>
    <mergeCell ref="B72:C72"/>
    <mergeCell ref="B69:C69"/>
    <mergeCell ref="A65:A73"/>
    <mergeCell ref="A56:A64"/>
    <mergeCell ref="B63:C63"/>
    <mergeCell ref="B64:C64"/>
    <mergeCell ref="B60:C60"/>
    <mergeCell ref="B55:C55"/>
    <mergeCell ref="B54:C54"/>
    <mergeCell ref="B50:C50"/>
    <mergeCell ref="A47:A55"/>
    <mergeCell ref="A29:A37"/>
    <mergeCell ref="B36:C36"/>
    <mergeCell ref="B37:C37"/>
    <mergeCell ref="B32:C32"/>
    <mergeCell ref="A20:A28"/>
    <mergeCell ref="B24:C24"/>
    <mergeCell ref="B27:C27"/>
    <mergeCell ref="B28:C28"/>
    <mergeCell ref="A11:A19"/>
    <mergeCell ref="B9:C9"/>
    <mergeCell ref="B10:C10"/>
    <mergeCell ref="A3:A10"/>
    <mergeCell ref="D1:P1"/>
    <mergeCell ref="Q1:Y1"/>
    <mergeCell ref="Z1:AC1"/>
    <mergeCell ref="AD1:AE1"/>
    <mergeCell ref="B7:C7"/>
    <mergeCell ref="A1:C1"/>
    <mergeCell ref="B4:C4"/>
    <mergeCell ref="B14:C14"/>
    <mergeCell ref="B18:C18"/>
    <mergeCell ref="B19:C19"/>
    <mergeCell ref="A38:A46"/>
    <mergeCell ref="B41:C41"/>
    <mergeCell ref="B45:C45"/>
    <mergeCell ref="B46:C46"/>
    <mergeCell ref="A92:A99"/>
    <mergeCell ref="B96:C96"/>
    <mergeCell ref="B98:C98"/>
    <mergeCell ref="B99:C9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