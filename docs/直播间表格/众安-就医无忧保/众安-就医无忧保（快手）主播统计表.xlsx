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</sheets>
  <calcPr calcMode="auto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<sst xmlns="http://schemas.openxmlformats.org/spreadsheetml/2006/main" count="59" uniqueCount="59">
  <si>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</si>
  <si>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</si>
  <si>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</si>
  <si>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</si>
  <si>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</si>
  <si>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</si>
  <si>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</si>
  <si>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</si>
  <si>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</si>
  <si>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</si>
  <si>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</si>
  <si>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</si>
  <si>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</si>
  <si>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</si>
  <si>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聂凡</t>
  </si>
  <si>
    <t xml:space="preserve">18:00-21:00</t>
  </si>
  <si>
    <t xml:space="preserve">张滋怡</t>
  </si>
  <si>
    <t xml:space="preserve">卢美玲</t>
  </si>
  <si>
    <t xml:space="preserve">21:00-24:00</t>
  </si>
  <si>
    <t xml:space="preserve">董柯言</t>
  </si>
  <si>
    <t xml:space="preserve">尹小雨</t>
  </si>
  <si>
    <t xml:space="preserve">王佳惠</t>
  </si>
  <si>
    <t xml:space="preserve">张怡棣</t>
  </si>
  <si>
    <t xml:space="preserve">菅心茹</t>
  </si>
  <si>
    <t xml:space="preserve">孙紫欣</t>
  </si>
  <si>
    <t xml:space="preserve">武慧聪</t>
  </si>
  <si>
    <t xml:space="preserve">18:00-22:00</t>
  </si>
  <si>
    <t xml:space="preserve">22:00-24:00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</si>
  <si>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</si>
  <si>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</si>
  <si>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</si>
  <si>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</si>
  <si>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</si>
  <si>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</si>
  <si>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</si>
  <si>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</si>
  <si>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</si>
  <si>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</si>
  <si>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</si>
  <si>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</si>
  <si>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</si>
  <si>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聂凡</t>
  </si>
  <si>
    <t xml:space="preserve">18:00-19:00</t>
  </si>
  <si>
    <t xml:space="preserve">王学伟</t>
  </si>
  <si>
    <t xml:space="preserve">卢美玲</t>
  </si>
  <si>
    <t xml:space="preserve">19:00-21:00</t>
  </si>
  <si>
    <t xml:space="preserve">尹小雨</t>
  </si>
  <si>
    <t xml:space="preserve">21:00-22:00</t>
  </si>
  <si>
    <t xml:space="preserve">孙紫欣</t>
  </si>
  <si>
    <t xml:space="preserve">18:00-21:00</t>
  </si>
  <si>
    <t xml:space="preserve">菅心茹</t>
  </si>
  <si>
    <t xml:space="preserve">21:00-24:00</t>
  </si>
  <si>
    <t xml:space="preserve">王佳惠</t>
  </si>
  <si>
    <t xml:space="preserve">18:00-22:00</t>
  </si>
  <si>
    <t xml:space="preserve">22:00-24:00</t>
  </si>
  <si>
    <t xml:space="preserve">高琎梅</t>
  </si>
  <si>
    <t xml:space="preserve">董柯言</t>
  </si>
  <si>
    <t xml:space="preserve">22:00-23:00</t>
  </si>
  <si>
    <t xml:space="preserve">张滋怡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</si>
</sst>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0_);(0.00)"/>
    <numFmt numFmtId="165" formatCode="0.00_);[Red](0.00)"/>
    <numFmt numFmtId="166" formatCode="yyyy&quot;.&quot;m&quot;.&quot;d"/>
    <numFmt numFmtId="167" formatCode="0.00_);(0.00)"/>
    <numFmt numFmtId="168" formatCode="0.00_);[Red](0.00)"/>
    <numFmt numFmtId="169" formatCode="yyyy&quot;.&quot;m&quot;.&quot;d"/>
  </numFmts>
  <fonts count="7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DE3C36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true" applyProtection="false" borderId="1" fillId="2" fontId="2" numFmtId="164" xfId="0">
      <alignment horizontal="center" vertical="center"/>
    </xf>
    <xf applyAlignment="true" applyBorder="false" applyFill="true" applyFont="true" applyNumberFormat="true" applyProtection="false" borderId="1" fillId="2" fontId="2" numFmtId="16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1" fillId="0" fontId="4" numFmtId="166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true" applyFont="true" applyNumberFormat="false" applyProtection="false" borderId="1" fillId="3" fontId="5" numFmtId="0" xfId="0">
      <alignment horizontal="center" vertical="center"/>
    </xf>
    <xf applyAlignment="true" applyBorder="false" applyFill="true" applyFont="true" applyNumberFormat="false" applyProtection="false" borderId="1" fillId="3" fontId="6" numFmtId="0" xfId="0">
      <alignment horizontal="center" vertical="center"/>
    </xf>
    <xf applyAlignment="true" applyBorder="false" applyFill="true" applyFont="true" applyNumberFormat="true" applyProtection="false" borderId="1" fillId="4" fontId="4" numFmtId="166" xfId="0">
      <alignment horizontal="center" vertical="center"/>
    </xf>
    <xf applyAlignment="true" applyBorder="false" applyFill="true" applyFont="true" applyNumberFormat="false" applyProtection="false" borderId="1" fillId="4" fontId="6" numFmtId="0" xfId="0">
      <alignment horizontal="center" vertical="center"/>
    </xf>
    <xf applyAlignment="true" applyBorder="false" applyFill="true" applyFont="true" applyNumberFormat="true" applyProtection="false" borderId="1" fillId="4" fontId="6" numFmtId="164" xfId="0">
      <alignment horizontal="center" vertical="center"/>
    </xf>
    <xf applyAlignment="true" applyBorder="false" applyFill="true" applyFont="true" applyNumberFormat="true" applyProtection="false" borderId="1" fillId="4" fontId="6" numFmtId="165" xfId="0">
      <alignment horizontal="center" vertical="center"/>
    </xf>
    <xf applyAlignment="true" applyBorder="false" applyFill="false" applyFont="true" applyNumberFormat="true" applyProtection="false" borderId="2" fillId="0" fontId="4" numFmtId="166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false" applyFont="true" applyNumberFormat="true" applyProtection="false" borderId="2" fillId="0" fontId="4" numFmtId="164" xfId="0">
      <alignment horizontal="center" vertical="center"/>
    </xf>
    <xf applyAlignment="true" applyBorder="false" applyFill="false" applyFont="true" applyNumberFormat="true" applyProtection="false" borderId="2" fillId="0" fontId="4" numFmtId="165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true" applyFont="true" applyNumberFormat="false" applyProtection="false" borderId="2" fillId="3" fontId="5" numFmtId="0" xfId="0">
      <alignment horizontal="center" vertical="center"/>
    </xf>
    <xf applyAlignment="true" applyBorder="false" applyFill="true" applyFont="true" applyNumberFormat="false" applyProtection="false" borderId="2" fillId="3" fontId="6" numFmtId="0" xfId="0">
      <alignment horizontal="center" vertical="center"/>
    </xf>
    <xf applyAlignment="true" applyBorder="false" applyFill="true" applyFont="true" applyNumberFormat="true" applyProtection="false" borderId="2" fillId="4" fontId="4" numFmtId="166" xfId="0">
      <alignment horizontal="center" vertical="center"/>
    </xf>
    <xf applyAlignment="true" applyBorder="false" applyFill="true" applyFont="true" applyNumberFormat="false" applyProtection="false" borderId="2" fillId="4" fontId="6" numFmtId="0" xfId="0">
      <alignment horizontal="center" vertical="center"/>
    </xf>
    <xf applyAlignment="true" applyBorder="false" applyFill="true" applyFont="true" applyNumberFormat="true" applyProtection="false" borderId="2" fillId="4" fontId="6" numFmtId="164" xfId="0">
      <alignment horizontal="center" vertical="center"/>
    </xf>
    <xf applyAlignment="true" applyBorder="false" applyFill="true" applyFont="true" applyNumberFormat="true" applyProtection="false" borderId="2" fillId="4" fontId="6" numFmtId="165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true" applyFont="true" applyNumberFormat="false" applyProtection="false" borderId="3" fillId="5" fontId="1" numFmtId="0" xfId="0">
      <alignment horizontal="center" vertical="center"/>
    </xf>
    <xf applyAlignment="true" applyBorder="false" applyFill="true" applyFont="true" applyNumberFormat="false" applyProtection="false" borderId="3" fillId="5" fontId="2" numFmtId="0" xfId="0">
      <alignment horizontal="center" vertical="center"/>
    </xf>
    <xf applyAlignment="true" applyBorder="false" applyFill="true" applyFont="true" applyNumberFormat="true" applyProtection="false" borderId="3" fillId="5" fontId="2" numFmtId="167" xfId="0">
      <alignment horizontal="center" vertical="center"/>
    </xf>
    <xf applyAlignment="true" applyBorder="false" applyFill="true" applyFont="true" applyNumberFormat="true" applyProtection="false" borderId="3" fillId="5" fontId="2" numFmtId="168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3" fillId="0" fontId="4" numFmtId="169" xfId="0">
      <alignment horizontal="center" vertical="center"/>
    </xf>
    <xf applyAlignment="true" applyBorder="false" applyFill="false" applyFont="true" applyNumberFormat="false" applyProtection="false" borderId="3" fillId="0" fontId="4" numFmtId="0" xfId="0">
      <alignment horizontal="center" vertical="center"/>
    </xf>
    <xf applyAlignment="true" applyBorder="false" applyFill="false" applyFont="true" applyNumberFormat="false" applyProtection="false" borderId="3" fillId="0" fontId="4" numFmtId="0" xfId="0">
      <alignment horizontal="center" vertical="center" wrapText="true"/>
    </xf>
    <xf applyAlignment="true" applyBorder="false" applyFill="false" applyFont="true" applyNumberFormat="false" applyProtection="false" borderId="3" fillId="0" fontId="4" numFmtId="0" xfId="0">
      <alignment horizontal="center" vertical="center"/>
    </xf>
    <xf applyAlignment="true" applyBorder="false" applyFill="false" applyFont="true" applyNumberFormat="true" applyProtection="false" borderId="3" fillId="0" fontId="4" numFmtId="167" xfId="0">
      <alignment horizontal="center" vertical="center"/>
    </xf>
    <xf applyAlignment="true" applyBorder="false" applyFill="false" applyFont="true" applyNumberFormat="true" applyProtection="false" borderId="3" fillId="0" fontId="4" numFmtId="168" xfId="0">
      <alignment horizontal="center" vertical="center"/>
    </xf>
    <xf applyAlignment="true" applyBorder="false" applyFill="true" applyFont="true" applyNumberFormat="false" applyProtection="false" borderId="3" fillId="6" fontId="5" numFmtId="0" xfId="0">
      <alignment horizontal="center" vertical="center"/>
    </xf>
    <xf applyAlignment="true" applyBorder="false" applyFill="true" applyFont="true" applyNumberFormat="false" applyProtection="false" borderId="3" fillId="6" fontId="6" numFmtId="0" xfId="0">
      <alignment horizontal="center" vertical="center"/>
    </xf>
    <xf applyAlignment="true" applyBorder="false" applyFill="false" applyFont="true" applyNumberFormat="false" applyProtection="false" borderId="3" fillId="0" fontId="4" numFmtId="0" xfId="0">
      <alignment vertical="center"/>
    </xf>
    <xf applyAlignment="true" applyBorder="false" applyFill="true" applyFont="true" applyNumberFormat="true" applyProtection="false" borderId="3" fillId="7" fontId="4" numFmtId="169" xfId="0">
      <alignment horizontal="center" vertical="center"/>
    </xf>
    <xf applyAlignment="true" applyBorder="false" applyFill="true" applyFont="true" applyNumberFormat="false" applyProtection="false" borderId="3" fillId="7" fontId="6" numFmtId="0" xfId="0">
      <alignment horizontal="center" vertical="center"/>
    </xf>
    <xf applyAlignment="true" applyBorder="false" applyFill="true" applyFont="true" applyNumberFormat="true" applyProtection="false" borderId="3" fillId="7" fontId="6" numFmtId="167" xfId="0">
      <alignment horizontal="center" vertical="center"/>
    </xf>
    <xf applyAlignment="true" applyBorder="false" applyFill="true" applyFont="true" applyNumberFormat="true" applyProtection="false" borderId="3" fillId="7" fontId="6" numFmtId="168" xfId="0">
      <alignment horizontal="center" vertical="center"/>
    </xf>
    <xf applyAlignment="true" applyBorder="false" applyFill="false" applyFont="true" applyNumberFormat="true" applyProtection="false" borderId="3" fillId="0" fontId="4" numFmtId="169" xfId="0">
      <alignment horizontal="center" vertical="center"/>
    </xf>
    <xf applyAlignment="true" applyBorder="false" applyFill="true" applyFont="true" applyNumberFormat="true" applyProtection="false" borderId="3" fillId="7" fontId="4" numFmtId="169" xfId="0">
      <alignment horizontal="center" vertical="center"/>
    </xf>
    <xf applyAlignment="true" applyBorder="false" applyFill="true" applyFont="true" applyNumberFormat="false" applyProtection="false" borderId="3" fillId="6" fontId="5" numFmtId="0" xfId="0">
      <alignment horizontal="center" vertical="center"/>
    </xf>
    <xf applyAlignment="true" applyBorder="false" applyFill="false" applyFont="true" applyNumberFormat="true" applyProtection="false" borderId="3" fillId="0" fontId="4" numFmtId="167" xfId="0">
      <alignment horizontal="center" vertical="center"/>
    </xf>
    <xf applyAlignment="true" applyBorder="false" applyFill="false" applyFont="true" applyNumberFormat="true" applyProtection="false" borderId="0" fillId="0" fontId="3" numFmtId="167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44" sheet="2026.9"/>
  </cacheSource>
  <cacheFields count="13">
    <cacheField name="日期" numFmtId="0">
      <sharedItems containsSemiMixedTypes="false" containsNonDate="false" containsDate="true" containsString="false" minDate="2026-09-17T00:00:00.000Z" maxDate="2026-09-30T00:00:00.000Z" count="0"/>
    </cacheField>
    <cacheField name="主播" numFmtId="0">
      <sharedItems containsBlank="true" count="7">
        <s v="聂凡"/>
        <s v="卢美玲"/>
        <s v="尹小雨"/>
        <m/>
        <s v="孙紫欣"/>
        <s v="菅心茹"/>
        <s v="王佳惠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1" maxValue="6" count="6">
        <n v="1"/>
        <n v="2"/>
        <n v="4"/>
        <n v="3"/>
        <n v="6"/>
        <n v="5"/>
      </sharedItems>
    </cacheField>
    <cacheField name="保单数量" numFmtId="0">
      <sharedItems containsSemiMixedTypes="false" containsString="false" containsNumber="true" containsInteger="true" minValue="0" maxValue="11" count="0"/>
    </cacheField>
    <cacheField name="家庭单数量" numFmtId="0">
      <sharedItems containsSemiMixedTypes="false" containsString="false" containsNumber="true" containsInteger="true" minValue="0" maxValue="2" count="0"/>
    </cacheField>
    <cacheField name="年化保费" numFmtId="0">
      <sharedItems containsSemiMixedTypes="false" containsString="false" containsNumber="true" minValue="0" maxValue="20560.199999999997" count="31">
        <n v="1414.8000000000002"/>
        <n v="0"/>
        <n v="2829.6000000000004"/>
        <n v="5592"/>
        <n v="645.5999999999999"/>
        <n v="6237.6"/>
        <n v="6038.400000000001"/>
        <n v="2262"/>
        <n v="8300.400000000001"/>
        <n v="4491.6"/>
        <n v="5310"/>
        <n v="9801.6"/>
        <n v="379.20000000000005"/>
        <n v="1794.0000000000002"/>
        <n v="2713.2000000000007"/>
        <n v="402"/>
        <n v="3115.2000000000007"/>
        <n v="1401.6"/>
        <n v="5595.2"/>
        <n v="652.8000000000002"/>
        <n v="6248"/>
        <n v="704.4000000000001"/>
        <n v="2119.2000000000003"/>
        <n v="2823.6000000000004"/>
        <n v="8741.4"/>
        <n v="11818.8"/>
        <n v="20560.199999999997"/>
        <n v="1525.1999999999998"/>
        <n v="5661.6"/>
        <n v="748.8"/>
        <n v="1453.2"/>
      </sharedItems>
    </cacheField>
    <cacheField name="投流消耗" numFmtId="0">
      <sharedItems containsSemiMixedTypes="false" containsString="false" containsNumber="true" minValue="140.111" maxValue="10719.588" count="43">
        <n v="254.29"/>
        <n v="3177.785"/>
        <n v="140.111"/>
        <n v="3572.1859999999997"/>
        <n v="1324.076"/>
        <n v="1691.578"/>
        <n v="3015.654"/>
        <n v="4270.317000000001"/>
        <n v="710.8320000000001"/>
        <n v="4981.149000000001"/>
        <n v="1309.51"/>
        <n v="551.837"/>
        <n v="1861.347"/>
        <n v="542.6759999999999"/>
        <n v="941.979"/>
        <n v="1484.655"/>
        <n v="4297.338"/>
        <n v="2611.502"/>
        <n v="6908.84"/>
        <n v="1760.118"/>
        <n v="710.69"/>
        <n v="2470.808"/>
        <n v="3215.018"/>
        <n v="1418.101"/>
        <n v="4633.119000000001"/>
        <n v="2918.4719999999998"/>
        <n v="1102.0149999999999"/>
        <n v="4020.4869999999996"/>
        <n v="3281.545"/>
        <n v="7438.043000000001"/>
        <n v="10719.588"/>
        <n v="5558.7"/>
        <n v="378.727"/>
        <n v="5937.427"/>
        <n v="828.015"/>
        <n v="5134.129"/>
        <n v="5962.144"/>
        <n v="929.733"/>
        <n v="2249.013"/>
        <n v="3178.746"/>
        <n v="1353.44"/>
        <n v="736.19"/>
        <n v="2089.63"/>
      </sharedItems>
    </cacheField>
    <cacheField name="ROI" numFmtId="0">
      <sharedItems containsSemiMixedTypes="false" containsString="false" containsNumber="true" minValue="0" maxValue="9.622406616446524" count="0"/>
    </cacheField>
    <cacheField name="单均" numFmtId="0">
      <sharedItems containsMixedTypes="true" containsNumber="true" minValue="126.40000000000002" maxValue="2655" count="0"/>
    </cacheField>
    <cacheField name="保单成本" numFmtId="0">
      <sharedItems containsMixedTypes="true" containsNumber="true" minValue="180.89199999999997" maxValue="5937.427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0" maxValue="0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47:$F$54" firstHeaderRow="1" firstDataRow="1" firstDataCol="1"/>
  <pivotFields count="13">
    <pivotField compact="false" outline="false" showAll="false"/>
    <pivotField axis="axisRow" compact="false" outline="false" showAll="false">
      <items count="8">
        <item x="0"/>
        <item x="1"/>
        <item x="2"/>
        <item h="true"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7">
        <item x="0"/>
        <item x="1"/>
        <item x="2"/>
        <item x="3"/>
        <item x="4"/>
        <item x="5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true" compact="false" outline="false" showAll="false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6" subtotal="sum"/>
    <dataField name="求和项:投流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4" t="s">
        <v>9</v>
      </c>
      <c r="J1" s="4" t="s">
        <v>10</v>
      </c>
      <c r="K1" s="4" t="s">
        <v>11</v>
      </c>
      <c r="L1" s="2" t="s">
        <v>12</v>
      </c>
      <c r="M1" s="2" t="s">
        <v>13</v>
      </c>
      <c r="N1" s="2"/>
      <c r="O1" s="5"/>
    </row>
    <row r="2">
      <c r="A2" s="6">
        <v>46296</v>
      </c>
      <c r="B2" s="7" t="s">
        <v>14</v>
      </c>
      <c r="C2" s="8" t="s">
        <v>15</v>
      </c>
      <c r="D2" s="7">
        <v>3</v>
      </c>
      <c r="E2" s="7">
        <v>0</v>
      </c>
      <c r="F2" s="7">
        <v>0</v>
      </c>
      <c r="G2" s="7">
        <v>0</v>
      </c>
      <c r="H2" s="9">
        <v>1685.15</v>
      </c>
      <c r="I2" s="10">
        <f t="shared" ref="I2:I34" si="0">G2/H2</f>
      </c>
      <c r="J2" s="10">
        <f t="shared" ref="J2:J34" si="2">G2/E2</f>
      </c>
      <c r="K2" s="10">
        <f t="shared" ref="K2:K34" si="4">H2/E2</f>
      </c>
      <c r="L2" s="7" t="s">
        <v>16</v>
      </c>
      <c r="M2" s="11"/>
      <c r="N2" s="11"/>
      <c r="O2" s="5"/>
    </row>
    <row r="3">
      <c r="A3" s="6">
        <v>46296</v>
      </c>
      <c r="B3" s="7" t="s">
        <v>17</v>
      </c>
      <c r="C3" s="8" t="s">
        <v>18</v>
      </c>
      <c r="D3" s="7">
        <v>3</v>
      </c>
      <c r="E3" s="7">
        <v>1</v>
      </c>
      <c r="F3" s="7">
        <v>0</v>
      </c>
      <c r="G3" s="7">
        <v>748.8</v>
      </c>
      <c r="H3" s="9">
        <v>2695</v>
      </c>
      <c r="I3" s="10">
        <f t="shared" si="0"/>
      </c>
      <c r="J3" s="10">
        <f t="shared" si="2"/>
      </c>
      <c r="K3" s="10">
        <f t="shared" si="4"/>
      </c>
      <c r="L3" s="12"/>
      <c r="M3" s="12"/>
      <c r="N3" s="13"/>
      <c r="O3" s="5"/>
    </row>
    <row r="4">
      <c r="A4" s="14">
        <v>46296</v>
      </c>
      <c r="B4" s="15"/>
      <c r="C4" s="15"/>
      <c r="D4" s="15">
        <f>SUM(D2:D3)</f>
      </c>
      <c r="E4" s="15">
        <f>SUM(E2:E3)</f>
      </c>
      <c r="F4" s="15">
        <f>SUM(F2:F3)</f>
      </c>
      <c r="G4" s="15">
        <f>SUM(G2:G3)</f>
      </c>
      <c r="H4" s="16">
        <f>SUM(H2:H3)</f>
      </c>
      <c r="I4" s="17">
        <f t="shared" si="0"/>
      </c>
      <c r="J4" s="17">
        <f t="shared" si="2"/>
      </c>
      <c r="K4" s="17">
        <f t="shared" si="4"/>
      </c>
      <c r="L4" s="15"/>
      <c r="M4" s="15">
        <f>SUM(M2:M3)</f>
      </c>
      <c r="N4" s="15"/>
      <c r="O4" s="5"/>
    </row>
    <row r="5">
      <c r="A5" s="18">
        <v>46297</v>
      </c>
      <c r="B5" s="19" t="s">
        <v>17</v>
      </c>
      <c r="C5" s="20" t="s">
        <v>15</v>
      </c>
      <c r="D5" s="19">
        <v>3</v>
      </c>
      <c r="E5" s="19">
        <v>3</v>
      </c>
      <c r="F5" s="19">
        <v>0</v>
      </c>
      <c r="G5" s="19">
        <v>3631.2000000000003</v>
      </c>
      <c r="H5" s="21">
        <v>3387.001</v>
      </c>
      <c r="I5" s="22">
        <f t="shared" si="0"/>
      </c>
      <c r="J5" s="22">
        <f t="shared" si="2"/>
      </c>
      <c r="K5" s="22">
        <f t="shared" si="4"/>
      </c>
      <c r="L5" s="19" t="s">
        <v>16</v>
      </c>
      <c r="M5" s="19"/>
      <c r="N5" s="19"/>
      <c r="O5" s="23"/>
      <c r="P5" s="23"/>
      <c r="Q5" s="23"/>
      <c r="R5" s="23"/>
      <c r="S5" s="23"/>
      <c r="T5" s="23"/>
    </row>
    <row r="6">
      <c r="A6" s="18">
        <v>46297</v>
      </c>
      <c r="B6" s="24" t="s">
        <v>14</v>
      </c>
      <c r="C6" s="20" t="s">
        <v>18</v>
      </c>
      <c r="D6" s="19">
        <v>3</v>
      </c>
      <c r="E6" s="19">
        <v>5</v>
      </c>
      <c r="F6" s="19">
        <v>1</v>
      </c>
      <c r="G6" s="19">
        <v>5902.8</v>
      </c>
      <c r="H6" s="21">
        <v>3334.776</v>
      </c>
      <c r="I6" s="22">
        <f t="shared" si="0"/>
      </c>
      <c r="J6" s="22">
        <f t="shared" si="2"/>
      </c>
      <c r="K6" s="22">
        <f t="shared" si="4"/>
      </c>
      <c r="L6" s="25"/>
      <c r="M6" s="25"/>
      <c r="N6" s="26"/>
      <c r="O6" s="23"/>
      <c r="P6" s="23"/>
      <c r="Q6" s="23"/>
      <c r="R6" s="23"/>
      <c r="S6" s="23"/>
      <c r="T6" s="23"/>
    </row>
    <row r="7">
      <c r="A7" s="27">
        <v>46297</v>
      </c>
      <c r="B7" s="28"/>
      <c r="C7" s="28"/>
      <c r="D7" s="28">
        <f>SUM(D5:D6)</f>
      </c>
      <c r="E7" s="28">
        <f>SUM(E5:E6)</f>
      </c>
      <c r="F7" s="28">
        <f>SUM(F5:F6)</f>
      </c>
      <c r="G7" s="28">
        <f>SUM(G5:G6)</f>
      </c>
      <c r="H7" s="29">
        <f>SUM(H5:H6)</f>
      </c>
      <c r="I7" s="30">
        <f t="shared" si="0"/>
      </c>
      <c r="J7" s="30">
        <f t="shared" si="2"/>
      </c>
      <c r="K7" s="30">
        <f t="shared" si="4"/>
      </c>
      <c r="L7" s="28"/>
      <c r="M7" s="28">
        <f>SUM(M5:M6)</f>
      </c>
      <c r="N7" s="28"/>
      <c r="O7" s="23"/>
      <c r="P7" s="23"/>
      <c r="Q7" s="23"/>
      <c r="R7" s="23"/>
      <c r="S7" s="23"/>
      <c r="T7" s="23"/>
    </row>
    <row r="8">
      <c r="A8" s="18">
        <v>46298</v>
      </c>
      <c r="B8" s="19" t="s">
        <v>17</v>
      </c>
      <c r="C8" s="20" t="s">
        <v>15</v>
      </c>
      <c r="D8" s="19">
        <v>3</v>
      </c>
      <c r="E8" s="24">
        <v>1</v>
      </c>
      <c r="F8" s="24">
        <v>0</v>
      </c>
      <c r="G8" s="19">
        <v>1414.8000000000002</v>
      </c>
      <c r="H8" s="21">
        <v>2290.0879999999997</v>
      </c>
      <c r="I8" s="22">
        <f t="shared" si="0"/>
      </c>
      <c r="J8" s="22">
        <f t="shared" si="2"/>
      </c>
      <c r="K8" s="22">
        <f t="shared" si="4"/>
      </c>
      <c r="L8" s="24" t="s">
        <v>19</v>
      </c>
      <c r="M8" s="19"/>
      <c r="N8" s="19"/>
      <c r="O8" s="23"/>
      <c r="P8" s="23"/>
      <c r="Q8" s="23"/>
      <c r="R8" s="23"/>
      <c r="S8" s="23"/>
      <c r="T8" s="23"/>
    </row>
    <row r="9">
      <c r="A9" s="18">
        <v>46298</v>
      </c>
      <c r="B9" s="24" t="s">
        <v>20</v>
      </c>
      <c r="C9" s="20" t="s">
        <v>18</v>
      </c>
      <c r="D9" s="19">
        <v>3</v>
      </c>
      <c r="E9" s="24">
        <v>8</v>
      </c>
      <c r="F9" s="24">
        <v>1</v>
      </c>
      <c r="G9" s="19">
        <v>11787.599999999999</v>
      </c>
      <c r="H9" s="21">
        <v>3203.9850000000006</v>
      </c>
      <c r="I9" s="22">
        <f t="shared" si="0"/>
      </c>
      <c r="J9" s="22">
        <f t="shared" si="2"/>
      </c>
      <c r="K9" s="22">
        <f t="shared" si="4"/>
      </c>
      <c r="L9" s="25"/>
      <c r="M9" s="25"/>
      <c r="N9" s="26"/>
      <c r="O9" s="23"/>
      <c r="P9" s="23"/>
      <c r="Q9" s="23"/>
      <c r="R9" s="23"/>
      <c r="S9" s="23"/>
      <c r="T9" s="23"/>
    </row>
    <row r="10">
      <c r="A10" s="27">
        <v>46298</v>
      </c>
      <c r="B10" s="28"/>
      <c r="C10" s="28"/>
      <c r="D10" s="28">
        <f>SUM(D8:D9)</f>
      </c>
      <c r="E10" s="28">
        <f>SUM(E8:E9)</f>
      </c>
      <c r="F10" s="28">
        <f>SUM(F8:F9)</f>
      </c>
      <c r="G10" s="28">
        <f>SUM(G8:G9)</f>
      </c>
      <c r="H10" s="29">
        <f>SUM(H8:H9)</f>
      </c>
      <c r="I10" s="30">
        <f t="shared" si="0"/>
      </c>
      <c r="J10" s="30">
        <f t="shared" si="2"/>
      </c>
      <c r="K10" s="30">
        <f t="shared" si="4"/>
      </c>
      <c r="L10" s="28"/>
      <c r="M10" s="28">
        <f>SUM(M8:M9)</f>
      </c>
      <c r="N10" s="28"/>
      <c r="O10" s="23"/>
      <c r="P10" s="23"/>
      <c r="Q10" s="23"/>
      <c r="R10" s="23"/>
      <c r="S10" s="23"/>
      <c r="T10" s="23"/>
    </row>
    <row r="11">
      <c r="A11" s="18">
        <v>46299</v>
      </c>
      <c r="B11" s="24" t="s">
        <v>21</v>
      </c>
      <c r="C11" s="20" t="s">
        <v>15</v>
      </c>
      <c r="D11" s="19">
        <v>3</v>
      </c>
      <c r="E11" s="24">
        <v>3</v>
      </c>
      <c r="F11" s="24">
        <v>1</v>
      </c>
      <c r="G11" s="19">
        <v>1935.6</v>
      </c>
      <c r="H11" s="21">
        <v>4206.034</v>
      </c>
      <c r="I11" s="22">
        <f t="shared" si="0"/>
      </c>
      <c r="J11" s="22">
        <f t="shared" si="2"/>
      </c>
      <c r="K11" s="22">
        <f t="shared" si="4"/>
      </c>
      <c r="L11" s="24" t="s">
        <v>19</v>
      </c>
      <c r="M11" s="19"/>
      <c r="N11" s="19"/>
      <c r="O11" s="23"/>
      <c r="P11" s="23"/>
      <c r="Q11" s="23"/>
      <c r="R11" s="23"/>
      <c r="S11" s="23"/>
      <c r="T11" s="23"/>
    </row>
    <row r="12">
      <c r="A12" s="18">
        <v>46299</v>
      </c>
      <c r="B12" s="24" t="s">
        <v>20</v>
      </c>
      <c r="C12" s="20" t="s">
        <v>18</v>
      </c>
      <c r="D12" s="19">
        <v>3</v>
      </c>
      <c r="E12" s="24">
        <v>6</v>
      </c>
      <c r="F12" s="24">
        <v>0</v>
      </c>
      <c r="G12" s="19">
        <v>9199.2</v>
      </c>
      <c r="H12" s="21">
        <v>2911.701</v>
      </c>
      <c r="I12" s="22">
        <f t="shared" si="0"/>
      </c>
      <c r="J12" s="22">
        <f t="shared" si="2"/>
      </c>
      <c r="K12" s="22">
        <f t="shared" si="4"/>
      </c>
      <c r="L12" s="25"/>
      <c r="M12" s="25"/>
      <c r="N12" s="26"/>
      <c r="O12" s="23"/>
      <c r="P12" s="23"/>
      <c r="Q12" s="23"/>
      <c r="R12" s="23"/>
      <c r="S12" s="23"/>
      <c r="T12" s="23"/>
    </row>
    <row r="13">
      <c r="A13" s="27">
        <v>46299</v>
      </c>
      <c r="B13" s="28"/>
      <c r="C13" s="28"/>
      <c r="D13" s="28">
        <f>SUM(D11:D12)</f>
      </c>
      <c r="E13" s="28">
        <f>SUM(E11:E12)</f>
      </c>
      <c r="F13" s="28">
        <f>SUM(F11:F12)</f>
      </c>
      <c r="G13" s="28">
        <f>SUM(G11:G12)</f>
      </c>
      <c r="H13" s="29">
        <f>SUM(H11:H12)</f>
      </c>
      <c r="I13" s="30">
        <f t="shared" si="0"/>
      </c>
      <c r="J13" s="30">
        <f t="shared" si="2"/>
      </c>
      <c r="K13" s="30">
        <f t="shared" si="4"/>
      </c>
      <c r="L13" s="28"/>
      <c r="M13" s="28">
        <f>SUM(M11:M12)</f>
      </c>
      <c r="N13" s="28"/>
      <c r="O13" s="23"/>
      <c r="P13" s="23"/>
      <c r="Q13" s="23"/>
      <c r="R13" s="23"/>
      <c r="S13" s="23"/>
      <c r="T13" s="23"/>
    </row>
    <row r="14">
      <c r="A14" s="18">
        <v>46300</v>
      </c>
      <c r="B14" s="24" t="s">
        <v>20</v>
      </c>
      <c r="C14" s="20" t="s">
        <v>15</v>
      </c>
      <c r="D14" s="24">
        <v>3</v>
      </c>
      <c r="E14" s="24">
        <v>2</v>
      </c>
      <c r="F14" s="24">
        <v>0</v>
      </c>
      <c r="G14" s="19">
        <v>1202.4</v>
      </c>
      <c r="H14" s="21">
        <v>3213.441</v>
      </c>
      <c r="I14" s="22">
        <f t="shared" si="0"/>
      </c>
      <c r="J14" s="22">
        <f t="shared" si="2"/>
      </c>
      <c r="K14" s="22">
        <f t="shared" si="4"/>
      </c>
      <c r="L14" s="24" t="s">
        <v>22</v>
      </c>
      <c r="M14" s="19"/>
      <c r="N14" s="19"/>
    </row>
    <row r="15">
      <c r="A15" s="18">
        <v>46300</v>
      </c>
      <c r="B15" s="24" t="s">
        <v>23</v>
      </c>
      <c r="C15" s="20" t="s">
        <v>18</v>
      </c>
      <c r="D15" s="24">
        <v>3</v>
      </c>
      <c r="E15" s="24">
        <v>3</v>
      </c>
      <c r="F15" s="24">
        <v>0</v>
      </c>
      <c r="G15" s="19">
        <v>5492.4</v>
      </c>
      <c r="H15" s="21">
        <v>4326.398999999999</v>
      </c>
      <c r="I15" s="22">
        <f t="shared" si="0"/>
      </c>
      <c r="J15" s="22">
        <f t="shared" si="2"/>
      </c>
      <c r="K15" s="22">
        <f t="shared" si="4"/>
      </c>
      <c r="L15" s="25"/>
      <c r="M15" s="25"/>
      <c r="N15" s="26"/>
    </row>
    <row r="16">
      <c r="A16" s="27">
        <v>46300</v>
      </c>
      <c r="B16" s="28"/>
      <c r="C16" s="28"/>
      <c r="D16" s="28">
        <f>SUM(D14:D15)</f>
      </c>
      <c r="E16" s="28">
        <f>SUM(E14:E15)</f>
      </c>
      <c r="F16" s="28">
        <f>SUM(F14:F15)</f>
      </c>
      <c r="G16" s="28">
        <f>SUM(G14:G15)</f>
      </c>
      <c r="H16" s="29">
        <f>SUM(H14:H15)</f>
      </c>
      <c r="I16" s="30">
        <f t="shared" si="0"/>
      </c>
      <c r="J16" s="30">
        <f t="shared" si="2"/>
      </c>
      <c r="K16" s="30">
        <f t="shared" si="4"/>
      </c>
      <c r="L16" s="28"/>
      <c r="M16" s="28">
        <f>SUM(M14:M15)</f>
      </c>
      <c r="N16" s="28"/>
    </row>
    <row r="17">
      <c r="A17" s="18">
        <v>46301</v>
      </c>
      <c r="B17" s="24" t="s">
        <v>24</v>
      </c>
      <c r="C17" s="20" t="s">
        <v>15</v>
      </c>
      <c r="D17" s="24">
        <v>3</v>
      </c>
      <c r="E17" s="24">
        <v>5</v>
      </c>
      <c r="F17" s="24">
        <v>0</v>
      </c>
      <c r="G17" s="19">
        <v>6663.800000000001</v>
      </c>
      <c r="H17" s="21">
        <v>3976.201</v>
      </c>
      <c r="I17" s="22">
        <f t="shared" si="0"/>
      </c>
      <c r="J17" s="22">
        <f t="shared" si="2"/>
      </c>
      <c r="K17" s="22">
        <f t="shared" si="4"/>
      </c>
      <c r="L17" s="24" t="s">
        <v>19</v>
      </c>
      <c r="M17" s="19"/>
      <c r="N17" s="19"/>
    </row>
    <row r="18">
      <c r="A18" s="18">
        <v>46301</v>
      </c>
      <c r="B18" s="24" t="s">
        <v>23</v>
      </c>
      <c r="C18" s="20" t="s">
        <v>18</v>
      </c>
      <c r="D18" s="24">
        <v>3</v>
      </c>
      <c r="E18" s="24">
        <v>3</v>
      </c>
      <c r="F18" s="24">
        <v>0</v>
      </c>
      <c r="G18" s="19">
        <v>1404.8000000000002</v>
      </c>
      <c r="H18" s="21">
        <v>3465.614</v>
      </c>
      <c r="I18" s="22">
        <f t="shared" si="0"/>
      </c>
      <c r="J18" s="22">
        <f t="shared" si="2"/>
      </c>
      <c r="K18" s="22">
        <f t="shared" si="4"/>
      </c>
      <c r="L18" s="25"/>
      <c r="M18" s="25"/>
      <c r="N18" s="26"/>
    </row>
    <row r="19">
      <c r="A19" s="27">
        <v>46301</v>
      </c>
      <c r="B19" s="28"/>
      <c r="C19" s="28"/>
      <c r="D19" s="28">
        <f>SUM(D17:D18)</f>
      </c>
      <c r="E19" s="28">
        <f>SUM(E17:E18)</f>
      </c>
      <c r="F19" s="28">
        <f>SUM(F17:F18)</f>
      </c>
      <c r="G19" s="28">
        <f>SUM(G17:G18)</f>
      </c>
      <c r="H19" s="29">
        <f>SUM(H17:H18)</f>
      </c>
      <c r="I19" s="30">
        <f t="shared" si="0"/>
      </c>
      <c r="J19" s="30">
        <f t="shared" si="2"/>
      </c>
      <c r="K19" s="30">
        <f t="shared" si="4"/>
      </c>
      <c r="L19" s="28"/>
      <c r="M19" s="28">
        <f>SUM(M17:M18)</f>
      </c>
      <c r="N19" s="28"/>
    </row>
    <row r="20">
      <c r="A20" s="18">
        <v>46302</v>
      </c>
      <c r="B20" s="24" t="s">
        <v>14</v>
      </c>
      <c r="C20" s="20" t="s">
        <v>15</v>
      </c>
      <c r="D20" s="24">
        <v>3</v>
      </c>
      <c r="E20" s="24">
        <v>2</v>
      </c>
      <c r="F20" s="24">
        <v>0</v>
      </c>
      <c r="G20" s="19">
        <v>1900.8000000000002</v>
      </c>
      <c r="H20" s="21">
        <v>3081.5860000000002</v>
      </c>
      <c r="I20" s="22">
        <f t="shared" si="0"/>
      </c>
      <c r="J20" s="22">
        <f t="shared" si="2"/>
      </c>
      <c r="K20" s="22">
        <f t="shared" si="4"/>
      </c>
      <c r="L20" s="24" t="s">
        <v>19</v>
      </c>
      <c r="M20" s="19"/>
      <c r="N20" s="19"/>
    </row>
    <row r="21">
      <c r="A21" s="18">
        <v>46302</v>
      </c>
      <c r="B21" s="24" t="s">
        <v>23</v>
      </c>
      <c r="C21" s="20" t="s">
        <v>18</v>
      </c>
      <c r="D21" s="24">
        <v>3</v>
      </c>
      <c r="E21" s="24">
        <v>5</v>
      </c>
      <c r="F21" s="24">
        <v>1</v>
      </c>
      <c r="G21" s="19">
        <v>3362.4</v>
      </c>
      <c r="H21" s="21">
        <v>4798.984</v>
      </c>
      <c r="I21" s="22">
        <f t="shared" si="0"/>
      </c>
      <c r="J21" s="22">
        <f t="shared" si="2"/>
      </c>
      <c r="K21" s="22">
        <f t="shared" si="4"/>
      </c>
      <c r="L21" s="25"/>
      <c r="M21" s="25"/>
      <c r="N21" s="26"/>
    </row>
    <row r="22">
      <c r="A22" s="27">
        <v>46302</v>
      </c>
      <c r="B22" s="28"/>
      <c r="C22" s="28"/>
      <c r="D22" s="28">
        <f>SUM(D20:D21)</f>
      </c>
      <c r="E22" s="28">
        <f>SUM(E20:E21)</f>
      </c>
      <c r="F22" s="28">
        <f>SUM(F20:F21)</f>
      </c>
      <c r="G22" s="28">
        <f>SUM(G20:G21)</f>
      </c>
      <c r="H22" s="29">
        <f>SUM(H20:H21)</f>
      </c>
      <c r="I22" s="30">
        <f t="shared" si="0"/>
      </c>
      <c r="J22" s="30">
        <f t="shared" si="2"/>
      </c>
      <c r="K22" s="30">
        <f t="shared" si="4"/>
      </c>
      <c r="L22" s="28"/>
      <c r="M22" s="28">
        <f>SUM(M20:M21)</f>
      </c>
      <c r="N22" s="28"/>
    </row>
    <row r="23">
      <c r="A23" s="18">
        <v>46303</v>
      </c>
      <c r="B23" s="24" t="s">
        <v>23</v>
      </c>
      <c r="C23" s="20" t="s">
        <v>15</v>
      </c>
      <c r="D23" s="24">
        <v>3</v>
      </c>
      <c r="E23" s="24">
        <v>7</v>
      </c>
      <c r="F23" s="24">
        <v>0</v>
      </c>
      <c r="G23" s="19">
        <v>14077.2</v>
      </c>
      <c r="H23" s="21">
        <v>6225.02</v>
      </c>
      <c r="I23" s="22">
        <f t="shared" si="0"/>
      </c>
      <c r="J23" s="22">
        <f t="shared" si="2"/>
      </c>
      <c r="K23" s="22">
        <f t="shared" si="4"/>
      </c>
      <c r="L23" s="24" t="s">
        <v>19</v>
      </c>
      <c r="M23" s="19"/>
      <c r="N23" s="19"/>
    </row>
    <row r="24">
      <c r="A24" s="18">
        <v>46303</v>
      </c>
      <c r="B24" s="24" t="s">
        <v>17</v>
      </c>
      <c r="C24" s="20" t="s">
        <v>18</v>
      </c>
      <c r="D24" s="24">
        <v>3</v>
      </c>
      <c r="E24" s="24">
        <v>1</v>
      </c>
      <c r="F24" s="24">
        <v>0</v>
      </c>
      <c r="G24" s="19">
        <v>739.2000000000007</v>
      </c>
      <c r="H24" s="21">
        <v>2292.3050000000003</v>
      </c>
      <c r="I24" s="22">
        <f t="shared" si="0"/>
      </c>
      <c r="J24" s="22">
        <f t="shared" si="2"/>
      </c>
      <c r="K24" s="22">
        <f t="shared" si="4"/>
      </c>
      <c r="L24" s="25"/>
      <c r="M24" s="25"/>
      <c r="N24" s="26"/>
    </row>
    <row r="25">
      <c r="A25" s="27">
        <v>46303</v>
      </c>
      <c r="B25" s="28"/>
      <c r="C25" s="28"/>
      <c r="D25" s="28">
        <f>SUM(D23:D24)</f>
      </c>
      <c r="E25" s="28">
        <f>SUM(E23:E24)</f>
      </c>
      <c r="F25" s="28">
        <f>SUM(F23:F24)</f>
      </c>
      <c r="G25" s="28">
        <f>SUM(G23:G24)</f>
      </c>
      <c r="H25" s="29">
        <f>SUM(H23:H24)</f>
      </c>
      <c r="I25" s="30">
        <f t="shared" si="0"/>
      </c>
      <c r="J25" s="30">
        <f t="shared" si="2"/>
      </c>
      <c r="K25" s="30">
        <f t="shared" si="4"/>
      </c>
      <c r="L25" s="28"/>
      <c r="M25" s="28">
        <f>SUM(M23:M24)</f>
      </c>
      <c r="N25" s="28"/>
    </row>
    <row r="26">
      <c r="A26" s="18">
        <v>46304</v>
      </c>
      <c r="B26" s="24" t="s">
        <v>25</v>
      </c>
      <c r="C26" s="31" t="s">
        <v>26</v>
      </c>
      <c r="D26" s="24">
        <v>4</v>
      </c>
      <c r="E26" s="24">
        <v>4</v>
      </c>
      <c r="F26" s="24">
        <v>1</v>
      </c>
      <c r="G26" s="19">
        <v>5307.599999999999</v>
      </c>
      <c r="H26" s="21">
        <v>4715.691</v>
      </c>
      <c r="I26" s="22">
        <f t="shared" si="0"/>
      </c>
      <c r="J26" s="22">
        <f t="shared" si="2"/>
      </c>
      <c r="K26" s="22">
        <f t="shared" si="4"/>
      </c>
      <c r="L26" s="24" t="s">
        <v>22</v>
      </c>
      <c r="M26" s="19"/>
      <c r="N26" s="19"/>
    </row>
    <row r="27">
      <c r="A27" s="18">
        <v>46304</v>
      </c>
      <c r="B27" s="24" t="s">
        <v>23</v>
      </c>
      <c r="C27" s="31" t="s">
        <v>27</v>
      </c>
      <c r="D27" s="24">
        <v>2</v>
      </c>
      <c r="E27" s="24">
        <v>3</v>
      </c>
      <c r="F27" s="24">
        <v>1</v>
      </c>
      <c r="G27" s="19">
        <v>6398.4000000000015</v>
      </c>
      <c r="H27" s="21">
        <v>4280.204</v>
      </c>
      <c r="I27" s="22">
        <f t="shared" si="0"/>
      </c>
      <c r="J27" s="22">
        <f t="shared" si="2"/>
      </c>
      <c r="K27" s="22">
        <f t="shared" si="4"/>
      </c>
      <c r="L27" s="25"/>
      <c r="M27" s="25"/>
      <c r="N27" s="26"/>
    </row>
    <row r="28">
      <c r="A28" s="27">
        <v>46304</v>
      </c>
      <c r="B28" s="28"/>
      <c r="C28" s="28"/>
      <c r="D28" s="28">
        <f>SUM(D26:D27)</f>
      </c>
      <c r="E28" s="28">
        <f>SUM(E26:E27)</f>
      </c>
      <c r="F28" s="28">
        <f>SUM(F26:F27)</f>
      </c>
      <c r="G28" s="28">
        <f>SUM(G26:G27)</f>
      </c>
      <c r="H28" s="29">
        <f>SUM(H26:H27)</f>
      </c>
      <c r="I28" s="30">
        <f t="shared" si="0"/>
      </c>
      <c r="J28" s="30">
        <f t="shared" si="2"/>
      </c>
      <c r="K28" s="30">
        <f t="shared" si="4"/>
      </c>
      <c r="L28" s="28"/>
      <c r="M28" s="28">
        <f>SUM(M26:M27)</f>
      </c>
      <c r="N28" s="28"/>
    </row>
    <row r="29">
      <c r="A29" s="18">
        <v>46305</v>
      </c>
      <c r="B29" s="24" t="s">
        <v>25</v>
      </c>
      <c r="C29" s="31" t="s">
        <v>26</v>
      </c>
      <c r="D29" s="24">
        <v>4</v>
      </c>
      <c r="E29" s="24">
        <v>7</v>
      </c>
      <c r="F29" s="24">
        <v>2</v>
      </c>
      <c r="G29" s="19">
        <v>9884.400000000001</v>
      </c>
      <c r="H29" s="21">
        <v>5240.449</v>
      </c>
      <c r="I29" s="22">
        <f t="shared" si="0"/>
      </c>
      <c r="J29" s="22">
        <f t="shared" si="2"/>
      </c>
      <c r="K29" s="22">
        <f t="shared" si="4"/>
      </c>
      <c r="L29" s="24" t="s">
        <v>22</v>
      </c>
      <c r="M29" s="19"/>
      <c r="N29" s="19"/>
    </row>
    <row r="30">
      <c r="A30" s="18">
        <v>46305</v>
      </c>
      <c r="B30" s="24" t="s">
        <v>23</v>
      </c>
      <c r="C30" s="31" t="s">
        <v>27</v>
      </c>
      <c r="D30" s="24">
        <v>2</v>
      </c>
      <c r="E30" s="24">
        <v>3</v>
      </c>
      <c r="F30" s="24">
        <v>0</v>
      </c>
      <c r="G30" s="19">
        <v>3728.399999999999</v>
      </c>
      <c r="H30" s="21">
        <v>3695.572</v>
      </c>
      <c r="I30" s="22">
        <f t="shared" si="0"/>
      </c>
      <c r="J30" s="22">
        <f t="shared" si="2"/>
      </c>
      <c r="K30" s="22">
        <f t="shared" si="4"/>
      </c>
      <c r="L30" s="25"/>
      <c r="M30" s="25"/>
      <c r="N30" s="26"/>
    </row>
    <row r="31">
      <c r="A31" s="27">
        <v>46305</v>
      </c>
      <c r="B31" s="28"/>
      <c r="C31" s="28"/>
      <c r="D31" s="28">
        <f>SUM(D29:D30)</f>
      </c>
      <c r="E31" s="28">
        <f>SUM(E29:E30)</f>
      </c>
      <c r="F31" s="28">
        <f>SUM(F29:F30)</f>
      </c>
      <c r="G31" s="28">
        <f>SUM(G29:G30)</f>
      </c>
      <c r="H31" s="29">
        <f>SUM(H29:H30)</f>
      </c>
      <c r="I31" s="30">
        <f t="shared" si="0"/>
      </c>
      <c r="J31" s="30">
        <f t="shared" si="2"/>
      </c>
      <c r="K31" s="30">
        <f t="shared" si="4"/>
      </c>
      <c r="L31" s="28"/>
      <c r="M31" s="28">
        <f>SUM(M29:M30)</f>
      </c>
      <c r="N31" s="28"/>
    </row>
    <row r="32">
      <c r="A32" s="18">
        <v>46306</v>
      </c>
      <c r="B32" s="24" t="s">
        <v>23</v>
      </c>
      <c r="C32" s="31" t="s">
        <v>26</v>
      </c>
      <c r="D32" s="24">
        <v>4</v>
      </c>
      <c r="E32" s="24">
        <v>2</v>
      </c>
      <c r="F32" s="24">
        <v>0</v>
      </c>
      <c r="G32" s="19">
        <v>1912.8000000000002</v>
      </c>
      <c r="H32" s="21">
        <v>1999.5769999999998</v>
      </c>
      <c r="I32" s="22">
        <f t="shared" si="0"/>
      </c>
      <c r="J32" s="22">
        <f t="shared" si="2"/>
      </c>
      <c r="K32" s="22">
        <f t="shared" si="4"/>
      </c>
      <c r="L32" s="24" t="s">
        <v>22</v>
      </c>
      <c r="M32" s="19"/>
      <c r="N32" s="19"/>
    </row>
    <row r="33">
      <c r="A33" s="18">
        <v>46306</v>
      </c>
      <c r="B33" s="24" t="s">
        <v>20</v>
      </c>
      <c r="C33" s="31" t="s">
        <v>27</v>
      </c>
      <c r="D33" s="24">
        <v>2</v>
      </c>
      <c r="E33" s="24">
        <v>1</v>
      </c>
      <c r="F33" s="24">
        <v>0</v>
      </c>
      <c r="G33" s="19">
        <v>748.8</v>
      </c>
      <c r="H33" s="21">
        <v>983.446</v>
      </c>
      <c r="I33" s="22">
        <f t="shared" si="0"/>
      </c>
      <c r="J33" s="22">
        <f t="shared" si="2"/>
      </c>
      <c r="K33" s="22">
        <f t="shared" si="4"/>
      </c>
      <c r="L33" s="25"/>
      <c r="M33" s="25"/>
      <c r="N33" s="26"/>
    </row>
    <row r="34">
      <c r="A34" s="27">
        <v>46306</v>
      </c>
      <c r="B34" s="28"/>
      <c r="C34" s="28"/>
      <c r="D34" s="28">
        <f>SUM(D32:D33)</f>
      </c>
      <c r="E34" s="28">
        <f>SUM(E32:E33)</f>
      </c>
      <c r="F34" s="28">
        <f>SUM(F32:F33)</f>
      </c>
      <c r="G34" s="28">
        <f>SUM(G32:G33)</f>
      </c>
      <c r="H34" s="29">
        <f>SUM(H32:H33)</f>
      </c>
      <c r="I34" s="30">
        <f t="shared" si="0"/>
      </c>
      <c r="J34" s="30">
        <f t="shared" si="2"/>
      </c>
      <c r="K34" s="30">
        <f t="shared" si="4"/>
      </c>
      <c r="L34" s="28"/>
      <c r="M34" s="28">
        <f>SUM(M32:M33)</f>
      </c>
      <c r="N34" s="28"/>
    </row>
    <row hidden="true" r="35"/>
    <row hidden="true" r="36"/>
    <row hidden="true" r="37"/>
    <row hidden="true" r="38"/>
    <row hidden="true" r="39"/>
    <row hidden="true" r="40"/>
    <row hidden="true" r="41"/>
    <row hidden="true" r="42"/>
    <row hidden="true" r="43"/>
    <row hidden="true" r="44"/>
    <row hidden="true" r="45"/>
    <row hidden="true" r="46"/>
    <row hidden="true" r="47"/>
    <row hidden="true" r="48"/>
    <row hidden="true" r="49"/>
    <row hidden="true" r="50"/>
    <row hidden="true" r="51"/>
    <row hidden="true" r="52"/>
    <row hidden="true" r="53"/>
    <row hidden="true" r="54"/>
    <row hidden="true" r="55"/>
    <row hidden="true" r="56"/>
    <row hidden="true" r="57"/>
    <row hidden="true" r="58"/>
    <row hidden="true" r="59"/>
    <row hidden="true" r="60"/>
    <row hidden="true" r="61"/>
    <row hidden="true" r="62"/>
    <row hidden="true" r="63"/>
    <row hidden="true" r="64"/>
    <row hidden="true" r="65"/>
    <row hidden="true" r="66"/>
    <row hidden="true" r="67"/>
    <row hidden="true" r="68"/>
    <row hidden="true" r="69"/>
    <row hidden="true" r="70"/>
    <row hidden="true" r="71"/>
    <row hidden="true" r="72"/>
    <row hidden="true" r="73"/>
    <row hidden="true" r="74"/>
    <row hidden="true" r="75"/>
    <row hidden="true" r="76"/>
    <row hidden="true" r="77"/>
    <row hidden="true" r="78"/>
    <row hidden="true" r="79"/>
    <row hidden="true" r="80"/>
    <row hidden="true" r="81"/>
    <row hidden="true" r="82"/>
    <row hidden="true" r="83"/>
    <row hidden="true" r="84"/>
    <row hidden="true" r="85"/>
    <row hidden="true" r="86"/>
    <row hidden="true" r="87"/>
    <row hidden="true" r="88"/>
    <row hidden="true" r="89"/>
    <row hidden="true" r="90"/>
    <row hidden="true" r="91"/>
    <row hidden="true" r="92"/>
    <row hidden="true" r="93"/>
    <row hidden="true" r="94"/>
    <row hidden="true" r="95"/>
    <row hidden="true" r="96"/>
    <row hidden="true" r="97"/>
    <row hidden="true" r="98"/>
    <row hidden="true" r="99"/>
    <row hidden="true" r="100"/>
    <row hidden="true" r="101"/>
    <row hidden="true" r="102"/>
    <row hidden="true" r="103"/>
    <row hidden="true" r="104"/>
    <row hidden="true" r="105"/>
    <row hidden="true" r="106"/>
    <row hidden="true" r="107"/>
    <row hidden="true" r="108"/>
    <row hidden="true" r="109"/>
    <row hidden="true" r="110"/>
    <row hidden="true" r="111"/>
    <row hidden="true" r="112"/>
    <row hidden="true" r="113"/>
    <row hidden="true" r="114"/>
    <row hidden="true" r="115"/>
    <row hidden="true" r="116"/>
    <row hidden="true" r="117"/>
    <row hidden="true" r="118"/>
    <row hidden="true" r="119"/>
    <row hidden="true" r="120"/>
    <row hidden="true" r="121"/>
    <row hidden="true" r="122"/>
    <row hidden="true" r="123"/>
    <row hidden="true" r="124"/>
    <row hidden="true" r="125"/>
    <row hidden="true" r="126"/>
    <row hidden="true" r="127"/>
    <row hidden="true" r="128"/>
    <row hidden="true" r="129"/>
    <row hidden="true" r="130"/>
    <row hidden="true" r="131"/>
    <row hidden="true" r="132"/>
    <row hidden="true" r="133"/>
    <row hidden="true" r="134"/>
    <row hidden="true" r="135"/>
    <row hidden="true" r="136"/>
    <row hidden="true" r="137"/>
    <row hidden="true" r="138"/>
    <row hidden="true" r="139"/>
    <row hidden="true" r="140"/>
    <row hidden="true" r="141"/>
    <row hidden="true" r="142"/>
    <row hidden="true" r="143"/>
    <row hidden="true" r="144"/>
    <row hidden="true" r="145"/>
    <row hidden="true" r="146"/>
    <row hidden="true" r="147"/>
    <row hidden="true" r="148"/>
    <row hidden="true" r="149"/>
    <row hidden="true" r="150"/>
    <row hidden="true" r="151"/>
    <row hidden="true" r="152"/>
    <row hidden="true" r="153"/>
    <row hidden="true" r="154"/>
    <row hidden="true" r="155"/>
    <row hidden="true" r="156"/>
    <row hidden="true" r="157"/>
    <row hidden="true" r="158"/>
    <row hidden="true" r="159"/>
    <row hidden="true" r="160"/>
    <row hidden="true" r="161"/>
    <row hidden="true" r="162"/>
    <row hidden="true" r="163"/>
    <row hidden="true" r="164"/>
    <row hidden="true" r="165"/>
    <row hidden="true" r="166"/>
    <row hidden="true" r="167"/>
    <row hidden="true" r="168"/>
    <row hidden="true" r="169"/>
    <row hidden="true" r="170"/>
    <row hidden="true" r="171"/>
    <row hidden="true" r="172"/>
    <row hidden="true" r="173"/>
    <row hidden="true" r="174"/>
    <row hidden="true" r="175"/>
    <row hidden="true" r="176"/>
    <row hidden="true" r="177"/>
    <row hidden="true" r="178"/>
    <row hidden="true" r="179"/>
    <row hidden="true" r="180"/>
    <row hidden="true" r="181"/>
    <row hidden="true" r="182"/>
    <row hidden="true" r="183"/>
    <row hidden="true" r="184"/>
    <row hidden="true" r="185"/>
    <row hidden="true" r="186"/>
    <row hidden="true" r="187"/>
    <row hidden="true" r="188"/>
    <row hidden="true" r="189"/>
    <row hidden="true" r="190"/>
    <row hidden="true" r="191"/>
    <row hidden="true" r="192"/>
    <row hidden="true" r="193"/>
    <row hidden="true" r="194"/>
    <row hidden="true" r="195"/>
    <row hidden="true" r="196"/>
    <row hidden="true" r="197"/>
    <row hidden="true" r="198"/>
    <row hidden="true" r="199"/>
    <row r="200">
      <c r="A200" s="18">
        <v>46307</v>
      </c>
      <c r="B200" s="24" t="s">
        <v>23</v>
      </c>
      <c r="C200" s="31" t="s">
        <v>15</v>
      </c>
      <c r="D200" s="24">
        <v>3</v>
      </c>
      <c r="E200" s="24">
        <v>0</v>
      </c>
      <c r="F200" s="24">
        <v>0</v>
      </c>
      <c r="G200" s="24">
        <v>0</v>
      </c>
      <c r="H200" s="21">
        <v>1250.517</v>
      </c>
      <c r="I200" s="22">
        <f t="shared" ref="I200:I211" si="1">G200/H200</f>
      </c>
      <c r="J200" s="22">
        <f t="shared" ref="J200:J211" si="3">G200/E200</f>
      </c>
      <c r="K200" s="22">
        <f t="shared" ref="K200:K211" si="5">H200/E200</f>
      </c>
      <c r="L200" s="24" t="s">
        <v>22</v>
      </c>
      <c r="M200" s="19"/>
      <c r="N200" s="19"/>
    </row>
    <row r="201">
      <c r="A201" s="18">
        <v>46307</v>
      </c>
      <c r="B201" s="24" t="s">
        <v>20</v>
      </c>
      <c r="C201" s="31" t="s">
        <v>18</v>
      </c>
      <c r="D201" s="24">
        <v>3</v>
      </c>
      <c r="E201" s="24">
        <v>1</v>
      </c>
      <c r="F201" s="24">
        <v>0</v>
      </c>
      <c r="G201" s="19">
        <v>2994</v>
      </c>
      <c r="H201" s="21">
        <v>2062.81</v>
      </c>
      <c r="I201" s="22">
        <f t="shared" si="1"/>
      </c>
      <c r="J201" s="22">
        <f t="shared" si="3"/>
      </c>
      <c r="K201" s="22">
        <f t="shared" si="5"/>
      </c>
      <c r="L201" s="25"/>
      <c r="M201" s="25"/>
      <c r="N201" s="26"/>
    </row>
    <row r="202">
      <c r="A202" s="27">
        <v>46307</v>
      </c>
      <c r="B202" s="28"/>
      <c r="C202" s="28"/>
      <c r="D202" s="28">
        <f>SUM(D200:D201)</f>
      </c>
      <c r="E202" s="28">
        <f>SUM(E200:E201)</f>
      </c>
      <c r="F202" s="28">
        <f>SUM(F200:F201)</f>
      </c>
      <c r="G202" s="28">
        <f>SUM(G200:G201)</f>
      </c>
      <c r="H202" s="29">
        <f>SUM(H200:H201)</f>
      </c>
      <c r="I202" s="30">
        <f t="shared" si="1"/>
      </c>
      <c r="J202" s="30">
        <f t="shared" si="3"/>
      </c>
      <c r="K202" s="30">
        <f t="shared" si="5"/>
      </c>
      <c r="L202" s="28"/>
      <c r="M202" s="28">
        <f>SUM(M200:M201)</f>
      </c>
      <c r="N202" s="28"/>
    </row>
    <row r="203">
      <c r="A203" s="18">
        <v>46308</v>
      </c>
      <c r="B203" s="24" t="s">
        <v>17</v>
      </c>
      <c r="C203" s="31" t="s">
        <v>15</v>
      </c>
      <c r="D203" s="24">
        <v>3</v>
      </c>
      <c r="E203" s="24">
        <v>0</v>
      </c>
      <c r="F203" s="24">
        <v>0</v>
      </c>
      <c r="G203" s="24">
        <v>0</v>
      </c>
      <c r="H203" s="21">
        <v>3585.5330000000004</v>
      </c>
      <c r="I203" s="22">
        <f t="shared" si="1"/>
      </c>
      <c r="J203" s="22">
        <f t="shared" si="3"/>
      </c>
      <c r="K203" s="22">
        <f t="shared" si="5"/>
      </c>
      <c r="L203" s="24" t="s">
        <v>22</v>
      </c>
      <c r="M203" s="19"/>
      <c r="N203" s="19"/>
    </row>
    <row r="204">
      <c r="A204" s="18">
        <v>46308</v>
      </c>
      <c r="B204" s="24" t="s">
        <v>20</v>
      </c>
      <c r="C204" s="31" t="s">
        <v>18</v>
      </c>
      <c r="D204" s="24">
        <v>3</v>
      </c>
      <c r="E204" s="24">
        <v>2</v>
      </c>
      <c r="F204" s="24">
        <v>0</v>
      </c>
      <c r="G204" s="19">
        <v>2229.6000000000004</v>
      </c>
      <c r="H204" s="21">
        <v>4217.362</v>
      </c>
      <c r="I204" s="22">
        <f t="shared" si="1"/>
      </c>
      <c r="J204" s="22">
        <f t="shared" si="3"/>
      </c>
      <c r="K204" s="22">
        <f t="shared" si="5"/>
      </c>
      <c r="L204" s="25"/>
      <c r="M204" s="25"/>
      <c r="N204" s="26"/>
    </row>
    <row r="205">
      <c r="A205" s="27">
        <v>46308</v>
      </c>
      <c r="B205" s="28"/>
      <c r="C205" s="28"/>
      <c r="D205" s="28">
        <f>SUM(D203:D204)</f>
      </c>
      <c r="E205" s="28">
        <f>SUM(E203:E204)</f>
      </c>
      <c r="F205" s="28">
        <f>SUM(F203:F204)</f>
      </c>
      <c r="G205" s="28">
        <f>SUM(G203:G204)</f>
      </c>
      <c r="H205" s="29">
        <f>SUM(H203:H204)</f>
      </c>
      <c r="I205" s="30">
        <f t="shared" si="1"/>
      </c>
      <c r="J205" s="30">
        <f t="shared" si="3"/>
      </c>
      <c r="K205" s="30">
        <f t="shared" si="5"/>
      </c>
      <c r="L205" s="28"/>
      <c r="M205" s="28">
        <f>SUM(M203:M204)</f>
      </c>
      <c r="N205" s="28"/>
    </row>
    <row r="206">
      <c r="A206" s="18">
        <v>46309</v>
      </c>
      <c r="B206" s="24" t="s">
        <v>21</v>
      </c>
      <c r="C206" s="31" t="s">
        <v>15</v>
      </c>
      <c r="D206" s="24">
        <v>3</v>
      </c>
      <c r="E206" s="24">
        <v>3</v>
      </c>
      <c r="F206" s="24">
        <v>0</v>
      </c>
      <c r="G206" s="24">
        <v>3328.6000000000004</v>
      </c>
      <c r="H206" s="21">
        <v>5052.244000000001</v>
      </c>
      <c r="I206" s="22">
        <f t="shared" si="1"/>
      </c>
      <c r="J206" s="22">
        <f t="shared" si="3"/>
      </c>
      <c r="K206" s="22">
        <f t="shared" si="5"/>
      </c>
      <c r="L206" s="24" t="s">
        <v>22</v>
      </c>
      <c r="M206" s="19"/>
      <c r="N206" s="19"/>
    </row>
    <row r="207">
      <c r="A207" s="18">
        <v>46309</v>
      </c>
      <c r="B207" s="24" t="s">
        <v>20</v>
      </c>
      <c r="C207" s="31" t="s">
        <v>18</v>
      </c>
      <c r="D207" s="24">
        <v>3</v>
      </c>
      <c r="E207" s="24">
        <v>3</v>
      </c>
      <c r="F207" s="24">
        <v>1</v>
      </c>
      <c r="G207" s="19">
        <v>2457.6</v>
      </c>
      <c r="H207" s="21">
        <v>5957.86</v>
      </c>
      <c r="I207" s="22">
        <f t="shared" si="1"/>
      </c>
      <c r="J207" s="22">
        <f t="shared" si="3"/>
      </c>
      <c r="K207" s="22">
        <f t="shared" si="5"/>
      </c>
      <c r="L207" s="25"/>
      <c r="M207" s="25"/>
      <c r="N207" s="26"/>
    </row>
    <row r="208">
      <c r="A208" s="27">
        <v>46309</v>
      </c>
      <c r="B208" s="28"/>
      <c r="C208" s="28"/>
      <c r="D208" s="28">
        <f>SUM(D206:D207)</f>
      </c>
      <c r="E208" s="28">
        <f>SUM(E206:E207)</f>
      </c>
      <c r="F208" s="28">
        <f>SUM(F206:F207)</f>
      </c>
      <c r="G208" s="28">
        <f>SUM(G206:G207)</f>
      </c>
      <c r="H208" s="29">
        <f>SUM(H206:H207)</f>
      </c>
      <c r="I208" s="30">
        <f t="shared" si="1"/>
      </c>
      <c r="J208" s="30">
        <f t="shared" si="3"/>
      </c>
      <c r="K208" s="30">
        <f t="shared" si="5"/>
      </c>
      <c r="L208" s="28"/>
      <c r="M208" s="28">
        <f>SUM(M206:M207)</f>
      </c>
      <c r="N208" s="28"/>
    </row>
    <row r="209">
      <c r="A209" s="18">
        <v>46310</v>
      </c>
      <c r="B209" s="24" t="s">
        <v>17</v>
      </c>
      <c r="C209" s="31" t="s">
        <v>15</v>
      </c>
      <c r="D209" s="24">
        <v>3</v>
      </c>
      <c r="E209" s="24">
        <v>0</v>
      </c>
      <c r="F209" s="24">
        <v>0</v>
      </c>
      <c r="G209" s="24">
        <v>0</v>
      </c>
      <c r="H209" s="21">
        <v>1603.855</v>
      </c>
      <c r="I209" s="22">
        <f t="shared" si="1"/>
      </c>
      <c r="J209" s="22">
        <f t="shared" si="3"/>
      </c>
      <c r="K209" s="22">
        <f t="shared" si="5"/>
      </c>
      <c r="L209" s="24" t="s">
        <v>22</v>
      </c>
      <c r="M209" s="19"/>
      <c r="N209" s="19"/>
    </row>
    <row r="210">
      <c r="A210" s="18">
        <v>46310</v>
      </c>
      <c r="B210" s="24" t="s">
        <v>20</v>
      </c>
      <c r="C210" s="31" t="s">
        <v>18</v>
      </c>
      <c r="D210" s="24">
        <v>3</v>
      </c>
      <c r="E210" s="24">
        <v>3</v>
      </c>
      <c r="F210" s="24">
        <v>1</v>
      </c>
      <c r="G210" s="19">
        <v>1794.8</v>
      </c>
      <c r="H210" s="21">
        <v>2447.293</v>
      </c>
      <c r="I210" s="22">
        <f t="shared" si="1"/>
      </c>
      <c r="J210" s="22">
        <f t="shared" si="3"/>
      </c>
      <c r="K210" s="22">
        <f t="shared" si="5"/>
      </c>
      <c r="L210" s="25"/>
      <c r="M210" s="25"/>
      <c r="N210" s="26"/>
    </row>
    <row r="211">
      <c r="A211" s="27">
        <v>46310</v>
      </c>
      <c r="B211" s="28"/>
      <c r="C211" s="28"/>
      <c r="D211" s="28">
        <f>SUM(D209:D210)</f>
      </c>
      <c r="E211" s="28">
        <f>SUM(E209:E210)</f>
      </c>
      <c r="F211" s="28">
        <f>SUM(F209:F210)</f>
      </c>
      <c r="G211" s="28">
        <f>SUM(G209:G210)</f>
      </c>
      <c r="H211" s="29">
        <f>SUM(H209:H210)</f>
      </c>
      <c r="I211" s="30">
        <f t="shared" si="1"/>
      </c>
      <c r="J211" s="30">
        <f t="shared" si="3"/>
      </c>
      <c r="K211" s="30">
        <f t="shared" si="5"/>
      </c>
      <c r="L211" s="28"/>
      <c r="M211" s="28">
        <f>SUM(M209:M210)</f>
      </c>
      <c r="N211" s="28"/>
    </row>
  </sheetData>
  <autoFilter ref="A1:T211">
    <filterColumn colId="0">
      <filters>
        <dateGroupItem dateTimeGrouping="year" year="2026"/>
      </filters>
    </filterColumn>
  </autoFilter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2" min="2" style="0" width="11.211267605633802"/>
    <col collapsed="false" customWidth="true" hidden="false" max="4" min="4" style="0" width="11.211267605633802"/>
  </cols>
  <sheetData>
    <row r="1">
      <c r="A1" s="32" t="s">
        <v>28</v>
      </c>
      <c r="B1" s="33" t="s">
        <v>29</v>
      </c>
      <c r="C1" s="33" t="s">
        <v>30</v>
      </c>
      <c r="D1" s="33" t="s">
        <v>31</v>
      </c>
      <c r="E1" s="33" t="s">
        <v>32</v>
      </c>
      <c r="F1" s="33" t="s">
        <v>33</v>
      </c>
      <c r="G1" s="33" t="s">
        <v>34</v>
      </c>
      <c r="H1" s="34" t="s">
        <v>35</v>
      </c>
      <c r="I1" s="35" t="s">
        <v>36</v>
      </c>
      <c r="J1" s="35" t="s">
        <v>37</v>
      </c>
      <c r="K1" s="35" t="s">
        <v>38</v>
      </c>
      <c r="L1" s="33" t="s">
        <v>39</v>
      </c>
      <c r="M1" s="33" t="s">
        <v>40</v>
      </c>
      <c r="N1" s="33"/>
      <c r="O1" s="36"/>
    </row>
    <row hidden="true" r="2">
      <c r="A2" s="37">
        <v>46282</v>
      </c>
      <c r="B2" s="38" t="s">
        <v>41</v>
      </c>
      <c r="C2" s="39" t="s">
        <v>42</v>
      </c>
      <c r="D2" s="38">
        <v>1</v>
      </c>
      <c r="E2" s="38">
        <v>1</v>
      </c>
      <c r="F2" s="38">
        <v>0</v>
      </c>
      <c r="G2" s="40">
        <v>1414.8000000000002</v>
      </c>
      <c r="H2" s="41">
        <v>254.29</v>
      </c>
      <c r="I2" s="42">
        <f t="shared" ref="I2:I44" si="0">G2/H2</f>
      </c>
      <c r="J2" s="42">
        <f t="shared" ref="J2:J44" si="1">G2/E2</f>
      </c>
      <c r="K2" s="42">
        <f t="shared" ref="K2:K44" si="2">H2/E2</f>
      </c>
      <c r="L2" s="38" t="s">
        <v>43</v>
      </c>
      <c r="M2" s="40"/>
      <c r="N2" s="40"/>
      <c r="O2" s="36"/>
    </row>
    <row hidden="true" r="3">
      <c r="A3" s="37">
        <v>46282</v>
      </c>
      <c r="B3" s="38" t="s">
        <v>44</v>
      </c>
      <c r="C3" s="39" t="s">
        <v>45</v>
      </c>
      <c r="D3" s="38">
        <v>2</v>
      </c>
      <c r="E3" s="38">
        <v>1</v>
      </c>
      <c r="F3" s="38">
        <v>0</v>
      </c>
      <c r="G3" s="40">
        <v>1414.8000000000002</v>
      </c>
      <c r="H3" s="41">
        <v>3177.785</v>
      </c>
      <c r="I3" s="42">
        <f t="shared" si="0"/>
      </c>
      <c r="J3" s="42">
        <f t="shared" si="1"/>
      </c>
      <c r="K3" s="42">
        <f t="shared" si="2"/>
      </c>
      <c r="L3" s="43"/>
      <c r="M3" s="43"/>
      <c r="N3" s="44"/>
      <c r="O3" s="36"/>
    </row>
    <row hidden="true" r="4">
      <c r="A4" s="37">
        <v>46282</v>
      </c>
      <c r="B4" s="38" t="s">
        <v>46</v>
      </c>
      <c r="C4" s="39" t="s">
        <v>47</v>
      </c>
      <c r="D4" s="38">
        <v>1</v>
      </c>
      <c r="E4" s="38">
        <v>0</v>
      </c>
      <c r="F4" s="38">
        <v>0</v>
      </c>
      <c r="G4" s="38">
        <v>0</v>
      </c>
      <c r="H4" s="41">
        <v>140.111</v>
      </c>
      <c r="I4" s="42">
        <f t="shared" si="0"/>
      </c>
      <c r="J4" s="42">
        <f t="shared" si="1"/>
      </c>
      <c r="K4" s="42">
        <f t="shared" si="2"/>
      </c>
      <c r="L4" s="45"/>
      <c r="M4" s="45"/>
      <c r="N4" s="44"/>
      <c r="O4" s="36"/>
    </row>
    <row hidden="true" r="5">
      <c r="A5" s="46">
        <v>46282</v>
      </c>
      <c r="B5" s="47"/>
      <c r="C5" s="47"/>
      <c r="D5" s="47">
        <f>SUM(D2:D4)</f>
      </c>
      <c r="E5" s="47">
        <f>SUM(E2:E4)</f>
      </c>
      <c r="F5" s="47">
        <f>SUM(F2:F4)</f>
      </c>
      <c r="G5" s="47">
        <f>SUM(G2:G4)</f>
      </c>
      <c r="H5" s="48">
        <f>SUM(H2:H4)</f>
      </c>
      <c r="I5" s="49">
        <f t="shared" si="0"/>
      </c>
      <c r="J5" s="49">
        <f t="shared" si="1"/>
      </c>
      <c r="K5" s="49">
        <f t="shared" si="2"/>
      </c>
      <c r="L5" s="47"/>
      <c r="M5" s="47">
        <f>SUM(M2:M4)</f>
      </c>
      <c r="N5" s="47"/>
      <c r="O5" s="36"/>
    </row>
    <row hidden="true" r="6">
      <c r="A6" s="50">
        <v>46283</v>
      </c>
      <c r="B6" s="38" t="s">
        <v>48</v>
      </c>
      <c r="C6" s="39" t="s">
        <v>49</v>
      </c>
      <c r="D6" s="38">
        <v>3</v>
      </c>
      <c r="E6" s="38">
        <v>3</v>
      </c>
      <c r="F6" s="38">
        <v>1</v>
      </c>
      <c r="G6" s="40">
        <v>5592</v>
      </c>
      <c r="H6" s="41">
        <v>1324.076</v>
      </c>
      <c r="I6" s="42">
        <f t="shared" si="0"/>
      </c>
      <c r="J6" s="42">
        <f t="shared" si="1"/>
      </c>
      <c r="K6" s="42">
        <f t="shared" si="2"/>
      </c>
      <c r="L6" s="38" t="s">
        <v>43</v>
      </c>
      <c r="M6" s="43"/>
      <c r="N6" s="44"/>
      <c r="O6" s="36"/>
    </row>
    <row hidden="true" r="7">
      <c r="A7" s="50">
        <v>46283</v>
      </c>
      <c r="B7" s="38" t="s">
        <v>50</v>
      </c>
      <c r="C7" s="39" t="s">
        <v>51</v>
      </c>
      <c r="D7" s="38">
        <v>3</v>
      </c>
      <c r="E7" s="38">
        <v>1</v>
      </c>
      <c r="F7" s="38">
        <v>0</v>
      </c>
      <c r="G7" s="38">
        <v>645.5999999999999</v>
      </c>
      <c r="H7" s="41">
        <v>1691.578</v>
      </c>
      <c r="I7" s="42">
        <f t="shared" si="0"/>
      </c>
      <c r="J7" s="42">
        <f t="shared" si="1"/>
      </c>
      <c r="K7" s="42">
        <f t="shared" si="2"/>
      </c>
      <c r="L7" s="45"/>
      <c r="M7" s="45"/>
      <c r="N7" s="44"/>
      <c r="O7" s="36"/>
    </row>
    <row hidden="true" r="8">
      <c r="A8" s="51">
        <v>46283</v>
      </c>
      <c r="B8" s="47"/>
      <c r="C8" s="47"/>
      <c r="D8" s="47">
        <f>SUM(D6:D7)</f>
      </c>
      <c r="E8" s="47">
        <f>SUM(E6:E7)</f>
      </c>
      <c r="F8" s="47">
        <f>SUM(F6:F7)</f>
      </c>
      <c r="G8" s="47">
        <f>SUM(G6:G7)</f>
      </c>
      <c r="H8" s="48">
        <f>SUM(H6:H7)</f>
      </c>
      <c r="I8" s="49">
        <f t="shared" si="0"/>
      </c>
      <c r="J8" s="49">
        <f t="shared" si="1"/>
      </c>
      <c r="K8" s="49">
        <f t="shared" si="2"/>
      </c>
      <c r="L8" s="47"/>
      <c r="M8" s="47">
        <f>SUM(M6:M7)</f>
      </c>
      <c r="N8" s="47"/>
      <c r="O8" s="36"/>
    </row>
    <row hidden="true" r="9">
      <c r="A9" s="50">
        <v>46284</v>
      </c>
      <c r="B9" s="38" t="s">
        <v>52</v>
      </c>
      <c r="C9" s="39" t="s">
        <v>53</v>
      </c>
      <c r="D9" s="38">
        <v>4</v>
      </c>
      <c r="E9" s="38">
        <v>5</v>
      </c>
      <c r="F9" s="38">
        <v>0</v>
      </c>
      <c r="G9" s="40">
        <v>6038.400000000001</v>
      </c>
      <c r="H9" s="41">
        <v>4270.317000000001</v>
      </c>
      <c r="I9" s="42">
        <f t="shared" si="0"/>
      </c>
      <c r="J9" s="42">
        <f t="shared" si="1"/>
      </c>
      <c r="K9" s="42">
        <f t="shared" si="2"/>
      </c>
      <c r="L9" s="38" t="s">
        <v>43</v>
      </c>
      <c r="M9" s="43"/>
      <c r="N9" s="44"/>
      <c r="O9" s="36"/>
    </row>
    <row hidden="true" r="10">
      <c r="A10" s="50">
        <v>46284</v>
      </c>
      <c r="B10" s="38" t="s">
        <v>50</v>
      </c>
      <c r="C10" s="39" t="s">
        <v>54</v>
      </c>
      <c r="D10" s="38">
        <v>2</v>
      </c>
      <c r="E10" s="38">
        <v>2</v>
      </c>
      <c r="F10" s="38">
        <v>0</v>
      </c>
      <c r="G10" s="38">
        <v>2262</v>
      </c>
      <c r="H10" s="41">
        <v>710.8320000000001</v>
      </c>
      <c r="I10" s="42">
        <f t="shared" si="0"/>
      </c>
      <c r="J10" s="42">
        <f t="shared" si="1"/>
      </c>
      <c r="K10" s="42">
        <f t="shared" si="2"/>
      </c>
      <c r="L10" s="45"/>
      <c r="M10" s="45"/>
      <c r="N10" s="44"/>
      <c r="O10" s="36"/>
    </row>
    <row hidden="true" r="11">
      <c r="A11" s="51">
        <v>46284</v>
      </c>
      <c r="B11" s="47"/>
      <c r="C11" s="47"/>
      <c r="D11" s="47">
        <f>SUM(D9:D10)</f>
      </c>
      <c r="E11" s="47">
        <f>SUM(E9:E10)</f>
      </c>
      <c r="F11" s="47">
        <f>SUM(F9:F10)</f>
      </c>
      <c r="G11" s="47">
        <f>SUM(G9:G10)</f>
      </c>
      <c r="H11" s="48">
        <f>SUM(H9:H10)</f>
      </c>
      <c r="I11" s="49">
        <f t="shared" si="0"/>
      </c>
      <c r="J11" s="49">
        <f t="shared" si="1"/>
      </c>
      <c r="K11" s="49">
        <f t="shared" si="2"/>
      </c>
      <c r="L11" s="47"/>
      <c r="M11" s="47">
        <f>SUM(M9:M10)</f>
      </c>
      <c r="N11" s="47"/>
      <c r="O11" s="36"/>
    </row>
    <row hidden="true" r="12">
      <c r="A12" s="50">
        <v>46285</v>
      </c>
      <c r="B12" s="38" t="s">
        <v>41</v>
      </c>
      <c r="C12" s="39" t="s">
        <v>49</v>
      </c>
      <c r="D12" s="38">
        <v>3</v>
      </c>
      <c r="E12" s="38">
        <v>3</v>
      </c>
      <c r="F12" s="38">
        <v>1</v>
      </c>
      <c r="G12" s="40">
        <v>4491.6</v>
      </c>
      <c r="H12" s="41">
        <v>1309.51</v>
      </c>
      <c r="I12" s="42">
        <f t="shared" si="0"/>
      </c>
      <c r="J12" s="42">
        <f t="shared" si="1"/>
      </c>
      <c r="K12" s="42">
        <f t="shared" si="2"/>
      </c>
      <c r="L12" s="52" t="s">
        <v>55</v>
      </c>
      <c r="M12" s="43"/>
      <c r="N12" s="44"/>
      <c r="O12" s="36"/>
    </row>
    <row hidden="true" r="13">
      <c r="A13" s="50">
        <v>46285</v>
      </c>
      <c r="B13" s="38" t="s">
        <v>46</v>
      </c>
      <c r="C13" s="39" t="s">
        <v>51</v>
      </c>
      <c r="D13" s="38">
        <v>3</v>
      </c>
      <c r="E13" s="38">
        <v>2</v>
      </c>
      <c r="F13" s="38">
        <v>1</v>
      </c>
      <c r="G13" s="38">
        <v>5310</v>
      </c>
      <c r="H13" s="41">
        <v>551.837</v>
      </c>
      <c r="I13" s="42">
        <f t="shared" si="0"/>
      </c>
      <c r="J13" s="42">
        <f t="shared" si="1"/>
      </c>
      <c r="K13" s="42">
        <f t="shared" si="2"/>
      </c>
      <c r="L13" s="45"/>
      <c r="M13" s="45"/>
      <c r="N13" s="44"/>
      <c r="O13" s="36"/>
    </row>
    <row hidden="true" r="14">
      <c r="A14" s="51">
        <v>46285</v>
      </c>
      <c r="B14" s="47"/>
      <c r="C14" s="47"/>
      <c r="D14" s="47">
        <f>SUM(D12:D13)</f>
      </c>
      <c r="E14" s="47">
        <f>SUM(E12:E13)</f>
      </c>
      <c r="F14" s="47">
        <f>SUM(F12:F13)</f>
      </c>
      <c r="G14" s="47">
        <f>SUM(G12:G13)</f>
      </c>
      <c r="H14" s="48">
        <f>SUM(H12:H13)</f>
      </c>
      <c r="I14" s="49">
        <f t="shared" si="0"/>
      </c>
      <c r="J14" s="49">
        <f t="shared" si="1"/>
      </c>
      <c r="K14" s="49">
        <f t="shared" si="2"/>
      </c>
      <c r="L14" s="47"/>
      <c r="M14" s="47">
        <f>SUM(M12:M13)</f>
      </c>
      <c r="N14" s="47"/>
      <c r="O14" s="36"/>
    </row>
    <row hidden="true" r="15">
      <c r="A15" s="50">
        <v>46286</v>
      </c>
      <c r="B15" s="38" t="s">
        <v>41</v>
      </c>
      <c r="C15" s="39" t="s">
        <v>49</v>
      </c>
      <c r="D15" s="38">
        <v>3</v>
      </c>
      <c r="E15" s="38">
        <v>3</v>
      </c>
      <c r="F15" s="38">
        <v>0</v>
      </c>
      <c r="G15" s="40">
        <v>379.20000000000005</v>
      </c>
      <c r="H15" s="41">
        <v>542.6759999999999</v>
      </c>
      <c r="I15" s="42">
        <f t="shared" si="0"/>
      </c>
      <c r="J15" s="42">
        <f t="shared" si="1"/>
      </c>
      <c r="K15" s="42">
        <f t="shared" si="2"/>
      </c>
      <c r="L15" s="52" t="s">
        <v>56</v>
      </c>
      <c r="M15" s="43"/>
      <c r="N15" s="44"/>
      <c r="O15" s="36"/>
    </row>
    <row hidden="true" r="16">
      <c r="A16" s="50">
        <v>46286</v>
      </c>
      <c r="B16" s="38" t="s">
        <v>46</v>
      </c>
      <c r="C16" s="39" t="s">
        <v>51</v>
      </c>
      <c r="D16" s="38">
        <v>3</v>
      </c>
      <c r="E16" s="38">
        <v>2</v>
      </c>
      <c r="F16" s="38">
        <v>0</v>
      </c>
      <c r="G16" s="38">
        <v>1414.8000000000002</v>
      </c>
      <c r="H16" s="41">
        <v>941.979</v>
      </c>
      <c r="I16" s="42">
        <f t="shared" si="0"/>
      </c>
      <c r="J16" s="42">
        <f t="shared" si="1"/>
      </c>
      <c r="K16" s="42">
        <f t="shared" si="2"/>
      </c>
      <c r="L16" s="45"/>
      <c r="M16" s="45"/>
      <c r="N16" s="44"/>
      <c r="O16" s="36"/>
    </row>
    <row hidden="true" r="17">
      <c r="A17" s="51">
        <v>46286</v>
      </c>
      <c r="B17" s="47"/>
      <c r="C17" s="47"/>
      <c r="D17" s="47">
        <f>SUM(D15:D16)</f>
      </c>
      <c r="E17" s="47">
        <f>SUM(E15:E16)</f>
      </c>
      <c r="F17" s="47">
        <f>SUM(F15:F16)</f>
      </c>
      <c r="G17" s="47">
        <f>SUM(G15:G16)</f>
      </c>
      <c r="H17" s="48">
        <f>SUM(H15:H16)</f>
      </c>
      <c r="I17" s="49">
        <f t="shared" si="0"/>
      </c>
      <c r="J17" s="49">
        <f t="shared" si="1"/>
      </c>
      <c r="K17" s="49">
        <f t="shared" si="2"/>
      </c>
      <c r="L17" s="47"/>
      <c r="M17" s="47">
        <f>SUM(M15:M16)</f>
      </c>
      <c r="N17" s="47"/>
      <c r="O17" s="36"/>
    </row>
    <row hidden="true" r="18">
      <c r="A18" s="50">
        <v>46287</v>
      </c>
      <c r="B18" s="38" t="s">
        <v>41</v>
      </c>
      <c r="C18" s="39" t="s">
        <v>49</v>
      </c>
      <c r="D18" s="38">
        <v>3</v>
      </c>
      <c r="E18" s="38">
        <v>3</v>
      </c>
      <c r="F18" s="38">
        <v>0</v>
      </c>
      <c r="G18" s="40">
        <v>2713.2000000000007</v>
      </c>
      <c r="H18" s="41">
        <v>4297.338</v>
      </c>
      <c r="I18" s="42">
        <f t="shared" si="0"/>
      </c>
      <c r="J18" s="42">
        <f t="shared" si="1"/>
      </c>
      <c r="K18" s="42">
        <f t="shared" si="2"/>
      </c>
      <c r="L18" s="52" t="s">
        <v>56</v>
      </c>
      <c r="M18" s="43"/>
      <c r="N18" s="44"/>
      <c r="O18" s="36"/>
    </row>
    <row hidden="true" r="19">
      <c r="A19" s="50">
        <v>46287</v>
      </c>
      <c r="B19" s="38" t="s">
        <v>46</v>
      </c>
      <c r="C19" s="39" t="s">
        <v>51</v>
      </c>
      <c r="D19" s="38">
        <v>3</v>
      </c>
      <c r="E19" s="38">
        <v>1</v>
      </c>
      <c r="F19" s="38">
        <v>0</v>
      </c>
      <c r="G19" s="38">
        <v>402</v>
      </c>
      <c r="H19" s="41">
        <v>2611.502</v>
      </c>
      <c r="I19" s="42">
        <f t="shared" si="0"/>
      </c>
      <c r="J19" s="42">
        <f t="shared" si="1"/>
      </c>
      <c r="K19" s="42">
        <f t="shared" si="2"/>
      </c>
      <c r="L19" s="45"/>
      <c r="M19" s="45"/>
      <c r="N19" s="44"/>
      <c r="O19" s="36"/>
    </row>
    <row hidden="true" r="20">
      <c r="A20" s="51">
        <v>46287</v>
      </c>
      <c r="B20" s="47"/>
      <c r="C20" s="47"/>
      <c r="D20" s="47">
        <f>SUM(D18:D19)</f>
      </c>
      <c r="E20" s="47">
        <f>SUM(E18:E19)</f>
      </c>
      <c r="F20" s="47">
        <f>SUM(F18:F19)</f>
      </c>
      <c r="G20" s="47">
        <f>SUM(G18:G19)</f>
      </c>
      <c r="H20" s="48">
        <f>SUM(H18:H19)</f>
      </c>
      <c r="I20" s="49">
        <f t="shared" si="0"/>
      </c>
      <c r="J20" s="49">
        <f t="shared" si="1"/>
      </c>
      <c r="K20" s="49">
        <f t="shared" si="2"/>
      </c>
      <c r="L20" s="47"/>
      <c r="M20" s="47">
        <f>SUM(M18:M19)</f>
      </c>
      <c r="N20" s="47"/>
      <c r="O20" s="36"/>
    </row>
    <row hidden="true" r="21">
      <c r="A21" s="50">
        <v>46288</v>
      </c>
      <c r="B21" s="38" t="s">
        <v>52</v>
      </c>
      <c r="C21" s="39" t="s">
        <v>53</v>
      </c>
      <c r="D21" s="38">
        <v>4</v>
      </c>
      <c r="E21" s="38">
        <v>2</v>
      </c>
      <c r="F21" s="38">
        <v>0</v>
      </c>
      <c r="G21" s="40">
        <v>1401.6</v>
      </c>
      <c r="H21" s="41">
        <v>1760.118</v>
      </c>
      <c r="I21" s="42">
        <f t="shared" si="0"/>
      </c>
      <c r="J21" s="42">
        <f t="shared" si="1"/>
      </c>
      <c r="K21" s="42">
        <f t="shared" si="2"/>
      </c>
      <c r="L21" s="52" t="s">
        <v>56</v>
      </c>
      <c r="M21" s="43"/>
      <c r="N21" s="44"/>
      <c r="O21" s="36"/>
    </row>
    <row hidden="true" r="22">
      <c r="A22" s="50">
        <v>46288</v>
      </c>
      <c r="B22" s="38" t="s">
        <v>50</v>
      </c>
      <c r="C22" s="39" t="s">
        <v>54</v>
      </c>
      <c r="D22" s="38">
        <v>2</v>
      </c>
      <c r="E22" s="38">
        <v>0</v>
      </c>
      <c r="F22" s="38">
        <v>0</v>
      </c>
      <c r="G22" s="38">
        <v>0</v>
      </c>
      <c r="H22" s="53">
        <v>710.69</v>
      </c>
      <c r="I22" s="42">
        <f t="shared" si="0"/>
      </c>
      <c r="J22" s="42">
        <f t="shared" si="1"/>
      </c>
      <c r="K22" s="42">
        <f t="shared" si="2"/>
      </c>
      <c r="L22" s="45"/>
      <c r="M22" s="45"/>
      <c r="N22" s="44"/>
      <c r="O22" s="36"/>
    </row>
    <row hidden="true" r="23">
      <c r="A23" s="51">
        <v>46288</v>
      </c>
      <c r="B23" s="47"/>
      <c r="C23" s="47"/>
      <c r="D23" s="47">
        <f>SUM(D21:D22)</f>
      </c>
      <c r="E23" s="47">
        <f>SUM(E21:E22)</f>
      </c>
      <c r="F23" s="47">
        <f>SUM(F21:F22)</f>
      </c>
      <c r="G23" s="47">
        <f>SUM(G21:G22)</f>
      </c>
      <c r="H23" s="48">
        <f>SUM(H21:H22)</f>
      </c>
      <c r="I23" s="49">
        <f t="shared" si="0"/>
      </c>
      <c r="J23" s="49">
        <f t="shared" si="1"/>
      </c>
      <c r="K23" s="49">
        <f t="shared" si="2"/>
      </c>
      <c r="L23" s="47"/>
      <c r="M23" s="47">
        <f>SUM(M21:M22)</f>
      </c>
      <c r="N23" s="47"/>
      <c r="O23" s="36"/>
    </row>
    <row hidden="true" r="24">
      <c r="A24" s="50">
        <v>46289</v>
      </c>
      <c r="B24" s="38" t="s">
        <v>50</v>
      </c>
      <c r="C24" s="39" t="s">
        <v>53</v>
      </c>
      <c r="D24" s="38">
        <v>4</v>
      </c>
      <c r="E24" s="38">
        <v>4</v>
      </c>
      <c r="F24" s="38">
        <v>0</v>
      </c>
      <c r="G24" s="40">
        <v>5595.2</v>
      </c>
      <c r="H24" s="41">
        <v>3215.018</v>
      </c>
      <c r="I24" s="42">
        <f t="shared" si="0"/>
      </c>
      <c r="J24" s="42">
        <f t="shared" si="1"/>
      </c>
      <c r="K24" s="42">
        <f t="shared" si="2"/>
      </c>
      <c r="L24" s="52" t="s">
        <v>56</v>
      </c>
      <c r="M24" s="43"/>
      <c r="N24" s="44"/>
      <c r="O24" s="36"/>
    </row>
    <row hidden="true" r="25">
      <c r="A25" s="50">
        <v>46289</v>
      </c>
      <c r="B25" s="38" t="s">
        <v>41</v>
      </c>
      <c r="C25" s="39" t="s">
        <v>54</v>
      </c>
      <c r="D25" s="38">
        <v>2</v>
      </c>
      <c r="E25" s="38">
        <v>1</v>
      </c>
      <c r="F25" s="38">
        <v>0</v>
      </c>
      <c r="G25" s="38">
        <v>652.8000000000002</v>
      </c>
      <c r="H25" s="41">
        <v>1418.101</v>
      </c>
      <c r="I25" s="42">
        <f t="shared" si="0"/>
      </c>
      <c r="J25" s="42">
        <f t="shared" si="1"/>
      </c>
      <c r="K25" s="42">
        <f t="shared" si="2"/>
      </c>
      <c r="L25" s="45"/>
      <c r="M25" s="45"/>
      <c r="N25" s="44"/>
      <c r="O25" s="36"/>
    </row>
    <row hidden="true" r="26">
      <c r="A26" s="51">
        <v>46289</v>
      </c>
      <c r="B26" s="47"/>
      <c r="C26" s="47"/>
      <c r="D26" s="47">
        <f>SUM(D24:D25)</f>
      </c>
      <c r="E26" s="47">
        <f>SUM(E24:E25)</f>
      </c>
      <c r="F26" s="47">
        <f>SUM(F24:F25)</f>
      </c>
      <c r="G26" s="47">
        <f>SUM(G24:G25)</f>
      </c>
      <c r="H26" s="48">
        <f>SUM(H24:H25)</f>
      </c>
      <c r="I26" s="49">
        <f t="shared" si="0"/>
      </c>
      <c r="J26" s="49">
        <f t="shared" si="1"/>
      </c>
      <c r="K26" s="49">
        <f t="shared" si="2"/>
      </c>
      <c r="L26" s="47"/>
      <c r="M26" s="47">
        <f>SUM(M24:M25)</f>
      </c>
      <c r="N26" s="47"/>
      <c r="O26" s="36"/>
    </row>
    <row hidden="true" r="27">
      <c r="A27" s="50">
        <v>46290</v>
      </c>
      <c r="B27" s="38" t="s">
        <v>41</v>
      </c>
      <c r="C27" s="39" t="s">
        <v>53</v>
      </c>
      <c r="D27" s="38">
        <v>4</v>
      </c>
      <c r="E27" s="38">
        <v>1</v>
      </c>
      <c r="F27" s="38">
        <v>0</v>
      </c>
      <c r="G27" s="40">
        <v>704.4000000000001</v>
      </c>
      <c r="H27" s="41">
        <v>2918.4719999999998</v>
      </c>
      <c r="I27" s="42">
        <f t="shared" si="0"/>
      </c>
      <c r="J27" s="42">
        <f t="shared" si="1"/>
      </c>
      <c r="K27" s="42">
        <f t="shared" si="2"/>
      </c>
      <c r="L27" s="52" t="s">
        <v>56</v>
      </c>
      <c r="M27" s="43"/>
      <c r="N27" s="44"/>
      <c r="O27" s="36"/>
    </row>
    <row hidden="true" r="28">
      <c r="A28" s="50">
        <v>46290</v>
      </c>
      <c r="B28" s="38" t="s">
        <v>46</v>
      </c>
      <c r="C28" s="39" t="s">
        <v>54</v>
      </c>
      <c r="D28" s="38">
        <v>2</v>
      </c>
      <c r="E28" s="38">
        <v>2</v>
      </c>
      <c r="F28" s="38">
        <v>0</v>
      </c>
      <c r="G28" s="38">
        <v>2119.2000000000003</v>
      </c>
      <c r="H28" s="41">
        <v>1102.0149999999999</v>
      </c>
      <c r="I28" s="42">
        <f t="shared" si="0"/>
      </c>
      <c r="J28" s="42">
        <f t="shared" si="1"/>
      </c>
      <c r="K28" s="42">
        <f t="shared" si="2"/>
      </c>
      <c r="L28" s="45"/>
      <c r="M28" s="45"/>
      <c r="N28" s="44"/>
      <c r="O28" s="36"/>
    </row>
    <row hidden="true" r="29">
      <c r="A29" s="51">
        <v>46290</v>
      </c>
      <c r="B29" s="47"/>
      <c r="C29" s="47"/>
      <c r="D29" s="47">
        <f>SUM(D27:D28)</f>
      </c>
      <c r="E29" s="47">
        <f>SUM(E27:E28)</f>
      </c>
      <c r="F29" s="47">
        <f>SUM(F27:F28)</f>
      </c>
      <c r="G29" s="47">
        <f>SUM(G27:G28)</f>
      </c>
      <c r="H29" s="48">
        <f>SUM(H27:H28)</f>
      </c>
      <c r="I29" s="49">
        <f t="shared" si="0"/>
      </c>
      <c r="J29" s="49">
        <f t="shared" si="1"/>
      </c>
      <c r="K29" s="49">
        <f t="shared" si="2"/>
      </c>
      <c r="L29" s="47"/>
      <c r="M29" s="47">
        <f>SUM(M27:M28)</f>
      </c>
      <c r="N29" s="47"/>
      <c r="O29" s="36"/>
    </row>
    <row hidden="true" r="30">
      <c r="A30" s="50">
        <v>46291</v>
      </c>
      <c r="B30" s="38" t="s">
        <v>52</v>
      </c>
      <c r="C30" s="39" t="s">
        <v>49</v>
      </c>
      <c r="D30" s="38">
        <v>3</v>
      </c>
      <c r="E30" s="38">
        <v>5</v>
      </c>
      <c r="F30" s="38">
        <v>0</v>
      </c>
      <c r="G30" s="40">
        <v>8741.4</v>
      </c>
      <c r="H30" s="41">
        <v>3281.545</v>
      </c>
      <c r="I30" s="42">
        <f t="shared" si="0"/>
      </c>
      <c r="J30" s="42">
        <f t="shared" si="1"/>
      </c>
      <c r="K30" s="42">
        <f t="shared" si="2"/>
      </c>
      <c r="L30" s="52" t="s">
        <v>56</v>
      </c>
      <c r="M30" s="43"/>
      <c r="N30" s="44"/>
      <c r="O30" s="36"/>
    </row>
    <row hidden="true" r="31">
      <c r="A31" s="50">
        <v>46291</v>
      </c>
      <c r="B31" s="38" t="s">
        <v>46</v>
      </c>
      <c r="C31" s="39" t="s">
        <v>51</v>
      </c>
      <c r="D31" s="38">
        <v>3</v>
      </c>
      <c r="E31" s="38">
        <v>6</v>
      </c>
      <c r="F31" s="38">
        <v>0</v>
      </c>
      <c r="G31" s="38">
        <v>11818.8</v>
      </c>
      <c r="H31" s="41">
        <v>7438.043000000001</v>
      </c>
      <c r="I31" s="42">
        <f t="shared" si="0"/>
      </c>
      <c r="J31" s="42">
        <f t="shared" si="1"/>
      </c>
      <c r="K31" s="42">
        <f t="shared" si="2"/>
      </c>
      <c r="L31" s="45"/>
      <c r="M31" s="45"/>
      <c r="N31" s="44"/>
      <c r="O31" s="36"/>
    </row>
    <row hidden="true" r="32">
      <c r="A32" s="51">
        <v>46291</v>
      </c>
      <c r="B32" s="47"/>
      <c r="C32" s="47"/>
      <c r="D32" s="47">
        <f>SUM(D30:D31)</f>
      </c>
      <c r="E32" s="47">
        <f>SUM(E30:E31)</f>
      </c>
      <c r="F32" s="47">
        <f>SUM(F30:F31)</f>
      </c>
      <c r="G32" s="47">
        <f>SUM(G30:G31)</f>
      </c>
      <c r="H32" s="48">
        <f>SUM(H30:H31)</f>
      </c>
      <c r="I32" s="49">
        <f t="shared" si="0"/>
      </c>
      <c r="J32" s="49">
        <f t="shared" si="1"/>
      </c>
      <c r="K32" s="49">
        <f t="shared" si="2"/>
      </c>
      <c r="L32" s="47"/>
      <c r="M32" s="47">
        <f>SUM(M30:M31)</f>
      </c>
      <c r="N32" s="47"/>
      <c r="O32" s="36"/>
    </row>
    <row hidden="true" r="33">
      <c r="A33" s="50">
        <v>46292</v>
      </c>
      <c r="B33" s="38" t="s">
        <v>41</v>
      </c>
      <c r="C33" s="39" t="s">
        <v>53</v>
      </c>
      <c r="D33" s="38">
        <v>4</v>
      </c>
      <c r="E33" s="38">
        <v>1</v>
      </c>
      <c r="F33" s="38">
        <v>0</v>
      </c>
      <c r="G33" s="40">
        <v>1525.1999999999998</v>
      </c>
      <c r="H33" s="41">
        <v>5558.7</v>
      </c>
      <c r="I33" s="42">
        <f t="shared" si="0"/>
      </c>
      <c r="J33" s="42">
        <f t="shared" si="1"/>
      </c>
      <c r="K33" s="42">
        <f t="shared" si="2"/>
      </c>
      <c r="L33" s="52" t="s">
        <v>56</v>
      </c>
      <c r="M33" s="43"/>
      <c r="N33" s="44"/>
      <c r="O33" s="36"/>
    </row>
    <row hidden="true" r="34">
      <c r="A34" s="50">
        <v>46292</v>
      </c>
      <c r="B34" s="38" t="s">
        <v>46</v>
      </c>
      <c r="C34" s="39" t="s">
        <v>57</v>
      </c>
      <c r="D34" s="38">
        <v>1</v>
      </c>
      <c r="E34" s="38">
        <v>0</v>
      </c>
      <c r="F34" s="38">
        <v>0</v>
      </c>
      <c r="G34" s="38">
        <v>0</v>
      </c>
      <c r="H34" s="41">
        <v>378.727</v>
      </c>
      <c r="I34" s="42">
        <f t="shared" si="0"/>
      </c>
      <c r="J34" s="42">
        <f t="shared" si="1"/>
      </c>
      <c r="K34" s="42">
        <f t="shared" si="2"/>
      </c>
      <c r="L34" s="45"/>
      <c r="M34" s="45"/>
      <c r="N34" s="44"/>
      <c r="O34" s="36"/>
    </row>
    <row hidden="true" r="35">
      <c r="A35" s="51">
        <v>46292</v>
      </c>
      <c r="B35" s="47"/>
      <c r="C35" s="47"/>
      <c r="D35" s="47">
        <f>SUM(D33:D34)</f>
      </c>
      <c r="E35" s="47">
        <f>SUM(E33:E34)</f>
      </c>
      <c r="F35" s="47">
        <f>SUM(F33:F34)</f>
      </c>
      <c r="G35" s="47">
        <f>SUM(G33:G34)</f>
      </c>
      <c r="H35" s="48">
        <f>SUM(H33:H34)</f>
      </c>
      <c r="I35" s="49">
        <f t="shared" si="0"/>
      </c>
      <c r="J35" s="49">
        <f t="shared" si="1"/>
      </c>
      <c r="K35" s="49">
        <f t="shared" si="2"/>
      </c>
      <c r="L35" s="47"/>
      <c r="M35" s="47">
        <f>SUM(M33:M34)</f>
      </c>
      <c r="N35" s="47"/>
      <c r="O35" s="36"/>
    </row>
    <row r="36">
      <c r="A36" s="50">
        <v>46293</v>
      </c>
      <c r="B36" s="38" t="s">
        <v>52</v>
      </c>
      <c r="C36" s="39" t="s">
        <v>49</v>
      </c>
      <c r="D36" s="38">
        <v>3</v>
      </c>
      <c r="E36" s="38">
        <v>0</v>
      </c>
      <c r="F36" s="38">
        <v>0</v>
      </c>
      <c r="G36" s="38">
        <v>0</v>
      </c>
      <c r="H36" s="41">
        <v>828.015</v>
      </c>
      <c r="I36" s="42">
        <f t="shared" si="0"/>
      </c>
      <c r="J36" s="42">
        <f t="shared" si="1"/>
      </c>
      <c r="K36" s="42">
        <f t="shared" si="2"/>
      </c>
      <c r="L36" s="52" t="s">
        <v>56</v>
      </c>
      <c r="M36" s="43"/>
      <c r="N36" s="44"/>
      <c r="O36" s="36"/>
    </row>
    <row r="37">
      <c r="A37" s="50">
        <v>46293</v>
      </c>
      <c r="B37" s="38" t="s">
        <v>46</v>
      </c>
      <c r="C37" s="39" t="s">
        <v>51</v>
      </c>
      <c r="D37" s="38">
        <v>3</v>
      </c>
      <c r="E37" s="38">
        <v>3</v>
      </c>
      <c r="F37" s="38">
        <v>0</v>
      </c>
      <c r="G37" s="38">
        <v>5661.6</v>
      </c>
      <c r="H37" s="41">
        <v>5134.129</v>
      </c>
      <c r="I37" s="42">
        <f t="shared" si="0"/>
      </c>
      <c r="J37" s="42">
        <f t="shared" si="1"/>
      </c>
      <c r="K37" s="42">
        <f t="shared" si="2"/>
      </c>
      <c r="L37" s="45"/>
      <c r="M37" s="45"/>
      <c r="N37" s="44"/>
      <c r="O37" s="36"/>
    </row>
    <row r="38">
      <c r="A38" s="51">
        <v>46293</v>
      </c>
      <c r="B38" s="47"/>
      <c r="C38" s="47"/>
      <c r="D38" s="47">
        <f>SUM(D36:D37)</f>
      </c>
      <c r="E38" s="47">
        <f>SUM(E36:E37)</f>
      </c>
      <c r="F38" s="47">
        <f>SUM(F36:F37)</f>
      </c>
      <c r="G38" s="47">
        <f>SUM(G36:G37)</f>
      </c>
      <c r="H38" s="48">
        <f>SUM(H36:H37)</f>
      </c>
      <c r="I38" s="49">
        <f t="shared" si="0"/>
      </c>
      <c r="J38" s="49">
        <f t="shared" si="1"/>
      </c>
      <c r="K38" s="49">
        <f t="shared" si="2"/>
      </c>
      <c r="L38" s="47"/>
      <c r="M38" s="47">
        <f>SUM(M36:M37)</f>
      </c>
      <c r="N38" s="47"/>
      <c r="O38" s="36"/>
    </row>
    <row r="39">
      <c r="A39" s="50">
        <v>46294</v>
      </c>
      <c r="B39" s="38" t="s">
        <v>41</v>
      </c>
      <c r="C39" s="39" t="s">
        <v>49</v>
      </c>
      <c r="D39" s="38">
        <v>3</v>
      </c>
      <c r="E39" s="38">
        <v>1</v>
      </c>
      <c r="F39" s="38">
        <v>0</v>
      </c>
      <c r="G39" s="38">
        <v>704.4000000000001</v>
      </c>
      <c r="H39" s="41">
        <v>929.733</v>
      </c>
      <c r="I39" s="42">
        <f t="shared" si="0"/>
      </c>
      <c r="J39" s="42">
        <f t="shared" si="1"/>
      </c>
      <c r="K39" s="42">
        <f t="shared" si="2"/>
      </c>
      <c r="L39" s="52" t="s">
        <v>56</v>
      </c>
      <c r="M39" s="43"/>
      <c r="N39" s="44"/>
      <c r="O39" s="36"/>
    </row>
    <row r="40">
      <c r="A40" s="50">
        <v>46294</v>
      </c>
      <c r="B40" s="38" t="s">
        <v>46</v>
      </c>
      <c r="C40" s="39" t="s">
        <v>51</v>
      </c>
      <c r="D40" s="38">
        <v>3</v>
      </c>
      <c r="E40" s="38">
        <v>1</v>
      </c>
      <c r="F40" s="38">
        <v>0</v>
      </c>
      <c r="G40" s="38">
        <v>748.8</v>
      </c>
      <c r="H40" s="41">
        <v>2249.013</v>
      </c>
      <c r="I40" s="42">
        <f t="shared" si="0"/>
      </c>
      <c r="J40" s="42">
        <f t="shared" si="1"/>
      </c>
      <c r="K40" s="42">
        <f t="shared" si="2"/>
      </c>
      <c r="L40" s="45"/>
      <c r="M40" s="45"/>
      <c r="N40" s="44"/>
      <c r="O40" s="36"/>
    </row>
    <row r="41">
      <c r="A41" s="51">
        <v>46294</v>
      </c>
      <c r="B41" s="47"/>
      <c r="C41" s="47"/>
      <c r="D41" s="47">
        <f>SUM(D39:D40)</f>
      </c>
      <c r="E41" s="47">
        <f>SUM(E39:E40)</f>
      </c>
      <c r="F41" s="47">
        <f>SUM(F39:F40)</f>
      </c>
      <c r="G41" s="47">
        <f>SUM(G39:G40)</f>
      </c>
      <c r="H41" s="48">
        <f>SUM(H39:H40)</f>
      </c>
      <c r="I41" s="49">
        <f t="shared" si="0"/>
      </c>
      <c r="J41" s="49">
        <f t="shared" si="1"/>
      </c>
      <c r="K41" s="49">
        <f t="shared" si="2"/>
      </c>
      <c r="L41" s="47"/>
      <c r="M41" s="47">
        <f>SUM(M39:M40)</f>
      </c>
      <c r="N41" s="47"/>
      <c r="O41" s="36"/>
    </row>
    <row r="42">
      <c r="A42" s="50">
        <v>46295</v>
      </c>
      <c r="B42" s="38" t="s">
        <v>44</v>
      </c>
      <c r="C42" s="39" t="s">
        <v>49</v>
      </c>
      <c r="D42" s="38">
        <v>3</v>
      </c>
      <c r="E42" s="38">
        <v>0</v>
      </c>
      <c r="F42" s="38">
        <v>0</v>
      </c>
      <c r="G42" s="38">
        <v>0</v>
      </c>
      <c r="H42" s="53">
        <v>1353.44</v>
      </c>
      <c r="I42" s="42">
        <f t="shared" si="0"/>
      </c>
      <c r="J42" s="42">
        <f t="shared" si="1"/>
      </c>
      <c r="K42" s="42">
        <f t="shared" si="2"/>
      </c>
      <c r="L42" s="52" t="s">
        <v>58</v>
      </c>
      <c r="M42" s="43"/>
      <c r="N42" s="44"/>
      <c r="O42" s="36"/>
    </row>
    <row r="43">
      <c r="A43" s="50">
        <v>46295</v>
      </c>
      <c r="B43" s="38" t="s">
        <v>46</v>
      </c>
      <c r="C43" s="39" t="s">
        <v>51</v>
      </c>
      <c r="D43" s="38">
        <v>3</v>
      </c>
      <c r="E43" s="38">
        <v>0</v>
      </c>
      <c r="F43" s="38">
        <v>0</v>
      </c>
      <c r="G43" s="38">
        <v>0</v>
      </c>
      <c r="H43" s="53">
        <v>736.19</v>
      </c>
      <c r="I43" s="42">
        <f t="shared" si="0"/>
      </c>
      <c r="J43" s="42">
        <f t="shared" si="1"/>
      </c>
      <c r="K43" s="42">
        <f t="shared" si="2"/>
      </c>
      <c r="L43" s="45"/>
      <c r="M43" s="45"/>
      <c r="N43" s="44"/>
      <c r="O43" s="36"/>
    </row>
    <row r="44">
      <c r="A44" s="51">
        <v>46295</v>
      </c>
      <c r="B44" s="47"/>
      <c r="C44" s="47"/>
      <c r="D44" s="47">
        <f>SUM(D42:D43)</f>
      </c>
      <c r="E44" s="47">
        <f>SUM(E42:E43)</f>
      </c>
      <c r="F44" s="47">
        <f>SUM(F42:F43)</f>
      </c>
      <c r="G44" s="47">
        <f>SUM(G42:G43)</f>
      </c>
      <c r="H44" s="48">
        <f>SUM(H42:H43)</f>
      </c>
      <c r="I44" s="49">
        <f t="shared" si="0"/>
      </c>
      <c r="J44" s="49">
        <f t="shared" si="1"/>
      </c>
      <c r="K44" s="49">
        <f t="shared" si="2"/>
      </c>
      <c r="L44" s="47"/>
      <c r="M44" s="47">
        <f>SUM(M42:M43)</f>
      </c>
      <c r="N44" s="47"/>
      <c r="O44" s="36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H61" s="54"/>
    </row>
    <row r="62">
      <c r="H62" s="54"/>
    </row>
    <row r="63">
      <c r="H63" s="54"/>
    </row>
    <row r="64">
      <c r="H64" s="54"/>
    </row>
    <row r="65">
      <c r="H65" s="54"/>
    </row>
    <row r="66">
      <c r="H66" s="54"/>
    </row>
    <row r="67">
      <c r="H67" s="54"/>
    </row>
    <row r="68">
      <c r="H68" s="54"/>
    </row>
    <row r="69">
      <c r="H69" s="54"/>
    </row>
    <row r="70">
      <c r="H70" s="54"/>
    </row>
    <row r="71">
      <c r="H71" s="54"/>
    </row>
    <row r="72">
      <c r="H72" s="54"/>
    </row>
    <row r="73">
      <c r="H73" s="54"/>
    </row>
    <row r="74">
      <c r="H74" s="54"/>
    </row>
    <row r="75">
      <c r="H75" s="54"/>
    </row>
    <row r="76">
      <c r="H76" s="54"/>
    </row>
    <row r="77">
      <c r="H77" s="54"/>
    </row>
    <row r="78">
      <c r="H78" s="54"/>
    </row>
    <row r="79">
      <c r="H79" s="54"/>
    </row>
    <row r="80">
      <c r="H80" s="54"/>
    </row>
    <row r="81">
      <c r="H81" s="54"/>
    </row>
    <row r="82">
      <c r="H82" s="54"/>
    </row>
    <row r="83">
      <c r="H83" s="54"/>
    </row>
    <row r="84">
      <c r="H84" s="54"/>
    </row>
    <row r="85">
      <c r="H85" s="54"/>
    </row>
    <row r="86">
      <c r="H86" s="54"/>
    </row>
    <row r="87">
      <c r="H87" s="54"/>
    </row>
    <row r="88">
      <c r="H88" s="54"/>
    </row>
    <row r="89">
      <c r="H89" s="54"/>
    </row>
    <row r="90">
      <c r="H90" s="54"/>
    </row>
    <row r="91">
      <c r="H91" s="54"/>
    </row>
    <row r="92">
      <c r="H92" s="54"/>
    </row>
    <row r="93">
      <c r="H93" s="54"/>
    </row>
    <row r="94">
      <c r="H94" s="54"/>
    </row>
    <row r="95">
      <c r="H95" s="54"/>
    </row>
    <row r="96">
      <c r="H96" s="54"/>
    </row>
    <row r="97">
      <c r="H97" s="54"/>
    </row>
    <row r="98">
      <c r="H98" s="54"/>
    </row>
    <row r="99">
      <c r="H99" s="54"/>
    </row>
    <row r="100">
      <c r="H100" s="54"/>
    </row>
    <row r="101">
      <c r="H101" s="54"/>
    </row>
    <row r="102">
      <c r="H102" s="54"/>
    </row>
    <row r="103">
      <c r="H103" s="54"/>
    </row>
    <row r="104">
      <c r="H104" s="54"/>
    </row>
    <row r="105">
      <c r="H105" s="54"/>
    </row>
    <row r="106">
      <c r="H106" s="54"/>
    </row>
    <row r="107">
      <c r="H107" s="54"/>
    </row>
    <row r="108">
      <c r="H108" s="54"/>
    </row>
    <row r="109">
      <c r="H109" s="54"/>
    </row>
    <row r="110">
      <c r="H110" s="54"/>
    </row>
    <row r="111">
      <c r="H111" s="54"/>
    </row>
    <row r="112">
      <c r="H112" s="54"/>
    </row>
    <row r="113">
      <c r="H113" s="54"/>
    </row>
    <row r="114">
      <c r="H114" s="54"/>
    </row>
    <row r="115">
      <c r="H115" s="54"/>
    </row>
    <row r="116">
      <c r="H116" s="54"/>
    </row>
    <row r="117">
      <c r="H117" s="54"/>
    </row>
    <row r="118">
      <c r="H118" s="54"/>
    </row>
    <row r="119">
      <c r="H119" s="54"/>
    </row>
    <row r="120">
      <c r="H120" s="54"/>
    </row>
    <row r="121">
      <c r="H121" s="54"/>
    </row>
    <row r="122">
      <c r="H122" s="54"/>
    </row>
    <row r="123">
      <c r="H123" s="54"/>
    </row>
    <row r="124">
      <c r="H124" s="54"/>
    </row>
    <row r="125">
      <c r="H125" s="54"/>
    </row>
    <row r="126">
      <c r="H126" s="54"/>
    </row>
    <row r="127">
      <c r="H127" s="54"/>
    </row>
    <row r="128">
      <c r="H128" s="54"/>
    </row>
    <row r="129">
      <c r="H129" s="54"/>
    </row>
    <row r="130">
      <c r="H130" s="54"/>
    </row>
    <row r="131">
      <c r="H131" s="54"/>
    </row>
    <row r="132">
      <c r="H132" s="54"/>
    </row>
    <row r="133">
      <c r="H133" s="54"/>
    </row>
    <row r="134">
      <c r="H134" s="54"/>
    </row>
    <row r="135">
      <c r="H135" s="54"/>
    </row>
    <row r="136">
      <c r="H136" s="54"/>
    </row>
    <row r="137">
      <c r="H137" s="54"/>
    </row>
    <row r="138">
      <c r="H138" s="54"/>
    </row>
    <row r="139">
      <c r="H139" s="54"/>
    </row>
    <row r="140">
      <c r="H140" s="54"/>
    </row>
    <row r="141">
      <c r="H141" s="54"/>
    </row>
    <row r="142">
      <c r="H142" s="54"/>
    </row>
    <row r="143">
      <c r="H143" s="54"/>
    </row>
    <row r="144">
      <c r="H144" s="54"/>
    </row>
    <row r="145">
      <c r="H145" s="54"/>
    </row>
    <row r="146">
      <c r="H146" s="54"/>
    </row>
    <row r="147">
      <c r="H147" s="54"/>
    </row>
    <row r="148">
      <c r="H148" s="54"/>
    </row>
    <row r="149">
      <c r="H149" s="54"/>
    </row>
    <row r="150">
      <c r="H150" s="54"/>
    </row>
    <row r="151">
      <c r="H151" s="54"/>
    </row>
    <row r="152">
      <c r="H152" s="54"/>
    </row>
    <row r="153">
      <c r="H153" s="54"/>
    </row>
    <row r="154">
      <c r="H154" s="54"/>
    </row>
    <row r="155">
      <c r="H155" s="54"/>
    </row>
    <row r="156">
      <c r="H156" s="54"/>
    </row>
    <row r="157">
      <c r="H157" s="54"/>
    </row>
    <row r="158">
      <c r="H158" s="54"/>
    </row>
    <row r="159">
      <c r="H159" s="54"/>
    </row>
    <row r="160">
      <c r="H160" s="54"/>
    </row>
    <row r="161">
      <c r="H161" s="54"/>
    </row>
    <row r="162">
      <c r="H162" s="54"/>
    </row>
    <row r="163">
      <c r="H163" s="54"/>
    </row>
    <row r="164">
      <c r="H164" s="54"/>
    </row>
    <row r="165">
      <c r="H165" s="54"/>
    </row>
    <row r="166">
      <c r="H166" s="54"/>
    </row>
    <row r="167">
      <c r="H167" s="54"/>
    </row>
    <row r="168">
      <c r="H168" s="54"/>
    </row>
    <row r="169">
      <c r="H169" s="54"/>
    </row>
    <row r="170">
      <c r="H170" s="54"/>
    </row>
    <row r="171">
      <c r="H171" s="54"/>
    </row>
    <row r="172">
      <c r="H172" s="54"/>
    </row>
    <row r="173">
      <c r="H173" s="54"/>
    </row>
    <row r="174">
      <c r="H174" s="54"/>
    </row>
    <row r="175">
      <c r="H175" s="54"/>
    </row>
    <row r="176">
      <c r="H176" s="54"/>
    </row>
    <row r="177">
      <c r="H177" s="54"/>
    </row>
    <row r="178">
      <c r="H178" s="54"/>
    </row>
    <row r="179">
      <c r="H179" s="54"/>
    </row>
    <row r="180">
      <c r="H180" s="54"/>
    </row>
    <row r="181">
      <c r="H181" s="54"/>
    </row>
    <row r="182">
      <c r="H182" s="54"/>
    </row>
    <row r="183">
      <c r="H183" s="54"/>
    </row>
    <row r="184">
      <c r="H184" s="54"/>
    </row>
    <row r="185">
      <c r="H185" s="54"/>
    </row>
    <row r="186">
      <c r="H186" s="54"/>
    </row>
    <row r="187">
      <c r="H187" s="54"/>
    </row>
    <row r="188">
      <c r="H188" s="54"/>
    </row>
    <row r="189">
      <c r="H189" s="54"/>
    </row>
    <row r="190">
      <c r="H190" s="54"/>
    </row>
    <row r="191">
      <c r="H191" s="54"/>
    </row>
    <row r="192">
      <c r="H192" s="54"/>
    </row>
    <row r="193">
      <c r="H193" s="54"/>
    </row>
    <row r="194">
      <c r="H194" s="54"/>
    </row>
    <row r="195">
      <c r="H195" s="54"/>
    </row>
    <row r="196">
      <c r="H196" s="54"/>
    </row>
    <row r="197">
      <c r="H197" s="54"/>
    </row>
  </sheetData>
  <autoFilter ref="A1:N44">
    <filterColumn colId="0">
      <filters>
        <dateGroupItem dateTimeGrouping="day" day="28" month="9" year="2026"/>
        <dateGroupItem dateTimeGrouping="day" day="29" month="9" year="2026"/>
        <dateGroupItem dateTimeGrouping="day" day="30" month="9" year="2026"/>
      </filters>
    </filterColumn>
  </autoFil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