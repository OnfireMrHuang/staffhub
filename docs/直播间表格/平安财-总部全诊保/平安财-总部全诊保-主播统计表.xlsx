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Tables/pivotTable2.xml" ContentType="application/vnd.openxmlformats-officedocument.spreadsheetml.pivotTable+xml"/>
  <Override PartName="/xl/pivotCache/pivotCacheDefinition2.xml" ContentType="application/vnd.openxmlformats-officedocument.spreadsheetml.pivotCacheDefinition+xml"/>
  <Override PartName="/xl/worksheets/sheet5.xml" ContentType="application/vnd.openxmlformats-officedocument.spreadsheetml.worksheet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  <sheet name="整体进度表" sheetId="3" r:id="rId7"/>
    <sheet name="2026.9" sheetId="4" r:id="rId8"/>
    <sheet name="2026.8" sheetId="5" r:id="rId10"/>
    <sheet name="Sheet4" sheetId="6" r:id="rId12"/>
    <sheet name="Sheet6" sheetId="7" r:id="rId13"/>
  </sheets>
  <calcPr calcMode="auto"/>
  <pivotCaches>
    <pivotCache cacheId="1" r:id="rId6"/>
    <pivotCache cacheId="2" r:id="rId9"/>
    <pivotCache cacheId="3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<sst xmlns="http://schemas.openxmlformats.org/spreadsheetml/2006/main" count="230" uniqueCount="230">
  <si>
    <t xml:space="preserve">  </t>
  </si>
  <si>
    <t xml:space="preserve">时间</t>
  </si>
  <si>
    <t xml:space="preserve">主播</t>
  </si>
  <si>
    <t xml:space="preserve">主播时段</t>
  </si>
  <si>
    <t xml:space="preserve">主播时长</t>
  </si>
  <si>
    <t xml:space="preserve">订单</t>
  </si>
  <si>
    <t xml:space="preserve">保单</t>
  </si>
  <si>
    <t xml:space="preserve">保险支付数</t>
  </si>
  <si>
    <t xml:space="preserve">年化保费</t>
  </si>
  <si>
    <t xml:space="preserve">消耗</t>
  </si>
  <si>
    <t xml:space="preserve">roi</t>
  </si>
  <si>
    <t xml:space="preserve">单均</t>
  </si>
  <si>
    <t xml:space="preserve">保单成本</t>
  </si>
  <si>
    <t xml:space="preserve">场控</t>
  </si>
  <si>
    <t xml:space="preserve">场控时长</t>
  </si>
  <si>
    <t xml:space="preserve">投手</t>
  </si>
  <si>
    <t xml:space="preserve">投手时长</t>
  </si>
  <si>
    <t xml:space="preserve">王冰心</t>
  </si>
  <si>
    <t xml:space="preserve">09:00-13:00</t>
  </si>
  <si>
    <t xml:space="preserve">张惠霞</t>
  </si>
  <si>
    <t xml:space="preserve">13:00-17:00</t>
  </si>
  <si>
    <t xml:space="preserve">王浩博双</t>
  </si>
  <si>
    <t xml:space="preserve">江勇</t>
  </si>
  <si>
    <t xml:space="preserve">段弼瑞</t>
  </si>
  <si>
    <t xml:space="preserve">17:00-21:00</t>
  </si>
  <si>
    <t xml:space="preserve">李子健</t>
  </si>
  <si>
    <t xml:space="preserve">陈家豪</t>
  </si>
  <si>
    <t xml:space="preserve">邢佳熙</t>
  </si>
  <si>
    <t xml:space="preserve">21:00-01:00</t>
  </si>
  <si>
    <t xml:space="preserve">日总</t>
  </si>
  <si>
    <t xml:space="preserve">孔丹阳</t>
  </si>
  <si>
    <t xml:space="preserve">李叶叶</t>
  </si>
  <si>
    <t xml:space="preserve">21:00-24:00</t>
  </si>
  <si>
    <t xml:space="preserve">曹颖慧</t>
  </si>
  <si>
    <t xml:space="preserve">张见森双</t>
  </si>
  <si>
    <t xml:space="preserve">曹颖慧双</t>
  </si>
  <si>
    <t xml:space="preserve">高琎梅</t>
  </si>
  <si>
    <t xml:space="preserve">高琎梅双</t>
  </si>
  <si>
    <t xml:space="preserve">董柯言</t>
  </si>
  <si>
    <t xml:space="preserve">闫小姗</t>
  </si>
  <si>
    <t xml:space="preserve">17:00-20:00</t>
  </si>
  <si>
    <t xml:space="preserve">李子健双</t>
  </si>
  <si>
    <t xml:space="preserve">20:00-23:00</t>
  </si>
  <si>
    <t xml:space="preserve">21:00-23:00</t>
  </si>
  <si>
    <t xml:space="preserve">郝泽晗</t>
  </si>
  <si>
    <t xml:space="preserve">郝泽晗双</t>
  </si>
  <si>
    <t xml:space="preserve">时间</t>
  </si>
  <si>
    <t xml:space="preserve">主播</t>
  </si>
  <si>
    <t xml:space="preserve">主播时段</t>
  </si>
  <si>
    <t xml:space="preserve">主播时长</t>
  </si>
  <si>
    <t xml:space="preserve">保单</t>
  </si>
  <si>
    <t xml:space="preserve">年化保费</t>
  </si>
  <si>
    <t xml:space="preserve">消耗</t>
  </si>
  <si>
    <t xml:space="preserve">投放ROI</t>
  </si>
  <si>
    <t xml:space="preserve">业务ROI</t>
  </si>
  <si>
    <t xml:space="preserve">本周数据</t>
  </si>
  <si>
    <t xml:space="preserve">时长</t>
  </si>
  <si>
    <t xml:space="preserve">保费</t>
  </si>
  <si>
    <t xml:space="preserve">ROI</t>
  </si>
  <si>
    <t xml:space="preserve">本月数据</t>
  </si>
  <si>
    <t xml:space="preserve">本年数据</t>
  </si>
  <si>
    <t xml:space="preserve">日总</t>
  </si>
  <si>
    <t xml:space="preserve">8.17-8.23</t>
  </si>
  <si>
    <t xml:space="preserve">8.1-8.31</t>
  </si>
  <si>
    <t xml:space="preserve">2026年</t>
  </si>
  <si>
    <t xml:space="preserve">8.24-8.30</t>
  </si>
  <si>
    <t xml:space="preserve">9.1-9.30</t>
  </si>
  <si>
    <t xml:space="preserve">8.31-9.6</t>
  </si>
  <si>
    <t xml:space="preserve">10.1-10.31</t>
  </si>
  <si>
    <t xml:space="preserve">9.7-9.13</t>
  </si>
  <si>
    <t xml:space="preserve">9.14-9.20</t>
  </si>
  <si>
    <t xml:space="preserve">9.21-9.27</t>
  </si>
  <si>
    <t xml:space="preserve">9.28-10.4</t>
  </si>
  <si>
    <t xml:space="preserve">10.5-10.11</t>
  </si>
  <si>
    <t xml:space="preserve">10.12-10.18</t>
  </si>
  <si>
    <t xml:space="preserve">时耗</t>
  </si>
  <si>
    <t xml:space="preserve">按照自然日00-24来填写</t>
  </si>
  <si>
    <t xml:space="preserve">时间</t>
  </si>
  <si>
    <t xml:space="preserve">主播</t>
  </si>
  <si>
    <t xml:space="preserve">主播时段</t>
  </si>
  <si>
    <t xml:space="preserve">主播时长</t>
  </si>
  <si>
    <t xml:space="preserve">订单</t>
  </si>
  <si>
    <t xml:space="preserve">保单</t>
  </si>
  <si>
    <t xml:space="preserve">保险支付数</t>
  </si>
  <si>
    <t xml:space="preserve">年化保费</t>
  </si>
  <si>
    <t xml:space="preserve">消耗</t>
  </si>
  <si>
    <t xml:space="preserve">roi</t>
  </si>
  <si>
    <t xml:space="preserve">单均</t>
  </si>
  <si>
    <t xml:space="preserve">保单成本</t>
  </si>
  <si>
    <t xml:space="preserve">场控</t>
  </si>
  <si>
    <t xml:space="preserve">场控时长</t>
  </si>
  <si>
    <t xml:space="preserve">投手</t>
  </si>
  <si>
    <t xml:space="preserve">投手时长</t>
  </si>
  <si>
    <t xml:space="preserve">王冰心</t>
  </si>
  <si>
    <t xml:space="preserve">17:00-20:00</t>
  </si>
  <si>
    <t xml:space="preserve">李子健双</t>
  </si>
  <si>
    <t xml:space="preserve">江勇</t>
  </si>
  <si>
    <t xml:space="preserve">张惠霞</t>
  </si>
  <si>
    <t xml:space="preserve">20:00-22:00</t>
  </si>
  <si>
    <t xml:space="preserve">日总</t>
  </si>
  <si>
    <t xml:space="preserve">曹颖慧双</t>
  </si>
  <si>
    <t xml:space="preserve">20:00-23:00</t>
  </si>
  <si>
    <t xml:space="preserve">孔丹阳</t>
  </si>
  <si>
    <t xml:space="preserve">张滋怡双</t>
  </si>
  <si>
    <t xml:space="preserve">20:00-24:00</t>
  </si>
  <si>
    <t xml:space="preserve">17:00-21:00</t>
  </si>
  <si>
    <t xml:space="preserve">21:00-01:00</t>
  </si>
  <si>
    <t xml:space="preserve">张晓雨双</t>
  </si>
  <si>
    <t xml:space="preserve">21:00-1:00</t>
  </si>
  <si>
    <t xml:space="preserve">张晓雨</t>
  </si>
  <si>
    <t xml:space="preserve">董柯言双</t>
  </si>
  <si>
    <t xml:space="preserve">李子健</t>
  </si>
  <si>
    <t xml:space="preserve">13:00-17:00</t>
  </si>
  <si>
    <t xml:space="preserve">董柯言</t>
  </si>
  <si>
    <t xml:space="preserve">邢佳熙</t>
  </si>
  <si>
    <t xml:space="preserve">段弼瑞</t>
  </si>
  <si>
    <t xml:space="preserve">李叶叶双</t>
  </si>
  <si>
    <t xml:space="preserve">09:00-13:00</t>
  </si>
  <si>
    <t xml:space="preserve">陈家豪</t>
  </si>
  <si>
    <t xml:space="preserve">张见森双</t>
  </si>
  <si>
    <t xml:space="preserve">李哲</t>
  </si>
  <si>
    <t xml:space="preserve">李哲双</t>
  </si>
  <si>
    <t xml:space="preserve">11:00-16:00</t>
  </si>
  <si>
    <t xml:space="preserve">王浩博双</t>
  </si>
  <si>
    <t xml:space="preserve">16:00-21:00</t>
  </si>
  <si>
    <t xml:space="preserve">求和项:场控时长</t>
  </si>
  <si>
    <t xml:space="preserve">总计</t>
  </si>
  <si>
    <t xml:space="preserve">时间</t>
  </si>
  <si>
    <t xml:space="preserve">主播</t>
  </si>
  <si>
    <t xml:space="preserve">主播时段</t>
  </si>
  <si>
    <t xml:space="preserve">主播时长</t>
  </si>
  <si>
    <t xml:space="preserve">订单</t>
  </si>
  <si>
    <t xml:space="preserve">保单</t>
  </si>
  <si>
    <t xml:space="preserve">保险支付数</t>
  </si>
  <si>
    <t xml:space="preserve">年化保费</t>
  </si>
  <si>
    <t xml:space="preserve">消耗</t>
  </si>
  <si>
    <t xml:space="preserve">roi</t>
  </si>
  <si>
    <t xml:space="preserve">单均</t>
  </si>
  <si>
    <t xml:space="preserve">保单成本</t>
  </si>
  <si>
    <t xml:space="preserve">场控</t>
  </si>
  <si>
    <t xml:space="preserve">场控时长</t>
  </si>
  <si>
    <t xml:space="preserve">投手</t>
  </si>
  <si>
    <t xml:space="preserve">投手时长</t>
  </si>
  <si>
    <t xml:space="preserve">备注</t>
  </si>
  <si>
    <t xml:space="preserve">王冰心</t>
  </si>
  <si>
    <t xml:space="preserve">17:00-21:00</t>
  </si>
  <si>
    <t xml:space="preserve">董柯言</t>
  </si>
  <si>
    <t xml:space="preserve">江勇</t>
  </si>
  <si>
    <t xml:space="preserve">日总</t>
  </si>
  <si>
    <t xml:space="preserve">17:00-20:00</t>
  </si>
  <si>
    <t xml:space="preserve">孔丹阳</t>
  </si>
  <si>
    <t xml:space="preserve">20:00-23:00</t>
  </si>
  <si>
    <t xml:space="preserve">王浩博双</t>
  </si>
  <si>
    <t xml:space="preserve">王浩博</t>
  </si>
  <si>
    <t xml:space="preserve">李叶叶双</t>
  </si>
  <si>
    <t xml:space="preserve">李子健</t>
  </si>
  <si>
    <t xml:space="preserve">06:00-09:00</t>
  </si>
  <si>
    <t xml:space="preserve">朱明双</t>
  </si>
  <si>
    <t xml:space="preserve">09:00-12:00</t>
  </si>
  <si>
    <t xml:space="preserve">卢佳轩双</t>
  </si>
  <si>
    <t xml:space="preserve">董柯言双</t>
  </si>
  <si>
    <t xml:space="preserve">07:00-10:00</t>
  </si>
  <si>
    <t xml:space="preserve">李哲早</t>
  </si>
  <si>
    <t xml:space="preserve">（主播迟到一小时）</t>
  </si>
  <si>
    <t xml:space="preserve">10:00-13:00</t>
  </si>
  <si>
    <t xml:space="preserve">09:00-11:00</t>
  </si>
  <si>
    <t xml:space="preserve">20:00-22:00</t>
  </si>
  <si>
    <t xml:space="preserve">朱明</t>
  </si>
  <si>
    <t xml:space="preserve">段弼瑞</t>
  </si>
  <si>
    <t xml:space="preserve">张见森双</t>
  </si>
  <si>
    <t xml:space="preserve">张惠霞</t>
  </si>
  <si>
    <t xml:space="preserve">李子健双</t>
  </si>
  <si>
    <t xml:space="preserve">17:00-22:00</t>
  </si>
  <si>
    <t xml:space="preserve">时间</t>
  </si>
  <si>
    <t xml:space="preserve">主播</t>
  </si>
  <si>
    <t xml:space="preserve">主播时段</t>
  </si>
  <si>
    <t xml:space="preserve">主播时长</t>
  </si>
  <si>
    <t xml:space="preserve">订单</t>
  </si>
  <si>
    <t xml:space="preserve">保单</t>
  </si>
  <si>
    <t xml:space="preserve">保险支付数</t>
  </si>
  <si>
    <t xml:space="preserve">年化保费</t>
  </si>
  <si>
    <t xml:space="preserve">消耗</t>
  </si>
  <si>
    <t xml:space="preserve">roi</t>
  </si>
  <si>
    <t xml:space="preserve">单均</t>
  </si>
  <si>
    <t xml:space="preserve">保单成本</t>
  </si>
  <si>
    <t xml:space="preserve">场控</t>
  </si>
  <si>
    <t xml:space="preserve">场控时长</t>
  </si>
  <si>
    <t xml:space="preserve">投手</t>
  </si>
  <si>
    <t xml:space="preserve">投手时长</t>
  </si>
  <si>
    <t xml:space="preserve">王冰心</t>
  </si>
  <si>
    <t xml:space="preserve">09:00-13:00</t>
  </si>
  <si>
    <t xml:space="preserve">段弼瑞</t>
  </si>
  <si>
    <t xml:space="preserve">13:00-17:00</t>
  </si>
  <si>
    <t xml:space="preserve">王浩博双</t>
  </si>
  <si>
    <t xml:space="preserve">江勇</t>
  </si>
  <si>
    <t xml:space="preserve">邢佳熙</t>
  </si>
  <si>
    <t xml:space="preserve">17:00-21:00</t>
  </si>
  <si>
    <t xml:space="preserve">李叶叶</t>
  </si>
  <si>
    <t xml:space="preserve">陈家豪</t>
  </si>
  <si>
    <t xml:space="preserve">孔丹阳</t>
  </si>
  <si>
    <t xml:space="preserve">21:00-24:00</t>
  </si>
  <si>
    <t xml:space="preserve">日总</t>
  </si>
  <si>
    <t xml:space="preserve">李子健</t>
  </si>
  <si>
    <t xml:space="preserve">曹颖慧</t>
  </si>
  <si>
    <t xml:space="preserve">21:00-01:00</t>
  </si>
  <si>
    <t xml:space="preserve">张惠霞</t>
  </si>
  <si>
    <t xml:space="preserve">张见森双</t>
  </si>
  <si>
    <t xml:space="preserve">曹颖慧双</t>
  </si>
  <si>
    <t xml:space="preserve">高琎梅</t>
  </si>
  <si>
    <t xml:space="preserve">高琎梅双</t>
  </si>
  <si>
    <t xml:space="preserve">董柯言</t>
  </si>
  <si>
    <t xml:space="preserve">时间</t>
  </si>
  <si>
    <t xml:space="preserve">主播</t>
  </si>
  <si>
    <t xml:space="preserve">主播时段</t>
  </si>
  <si>
    <t xml:space="preserve">主播时长</t>
  </si>
  <si>
    <t xml:space="preserve">保单</t>
  </si>
  <si>
    <t xml:space="preserve">年化保费</t>
  </si>
  <si>
    <t xml:space="preserve">消耗</t>
  </si>
  <si>
    <t xml:space="preserve">张惠霞</t>
  </si>
  <si>
    <t xml:space="preserve">09:00-13:00</t>
  </si>
  <si>
    <t xml:space="preserve">王冰心</t>
  </si>
  <si>
    <t xml:space="preserve">13:00-17:00</t>
  </si>
  <si>
    <t xml:space="preserve">孔丹阳</t>
  </si>
  <si>
    <t xml:space="preserve">17:00-21:00</t>
  </si>
  <si>
    <t xml:space="preserve">邢佳熙</t>
  </si>
  <si>
    <t xml:space="preserve">21:00-01:00</t>
  </si>
  <si>
    <t xml:space="preserve">日总</t>
  </si>
  <si>
    <t xml:space="preserve">段弼瑞</t>
  </si>
  <si>
    <t xml:space="preserve">11:00-16:00</t>
  </si>
  <si>
    <t xml:space="preserve">16:00-21:00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</si>
</sst>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2">
    <numFmt numFmtId="164" formatCode="#,##0.00"/>
    <numFmt numFmtId="165" formatCode="0.00_);[Red]\(0.00\)"/>
    <numFmt numFmtId="166" formatCode="0.0"/>
    <numFmt numFmtId="167" formatCode="yyyy/m/d"/>
    <numFmt numFmtId="168" formatCode="General"/>
    <numFmt numFmtId="169" formatCode="@"/>
    <numFmt numFmtId="170" formatCode="0"/>
    <numFmt numFmtId="171" formatCode="#,##0.00"/>
    <numFmt numFmtId="172" formatCode="0.00_);(0.00)"/>
    <numFmt numFmtId="173" formatCode="yyyy/MM/dd"/>
    <numFmt numFmtId="174" formatCode="0.00%"/>
    <numFmt numFmtId="175" formatCode="yyyy/m/d"/>
    <numFmt numFmtId="176" formatCode="#,##0.00"/>
    <numFmt numFmtId="177" formatCode="0.00_);[Red]\(0.00\)"/>
    <numFmt numFmtId="178" formatCode="0.0"/>
    <numFmt numFmtId="179" formatCode="yyyy/m/d"/>
    <numFmt numFmtId="180" formatCode="General"/>
    <numFmt numFmtId="181" formatCode="@"/>
    <numFmt numFmtId="182" formatCode="0"/>
    <numFmt numFmtId="183" formatCode="0.00"/>
    <numFmt numFmtId="184" formatCode="0.00_);(0.00)"/>
    <numFmt numFmtId="185" formatCode="#,##0.00"/>
    <numFmt numFmtId="186" formatCode="0.00_);[Red]\(0.00\)"/>
    <numFmt numFmtId="187" formatCode="0.0"/>
    <numFmt numFmtId="188" formatCode="yyyy/m/d"/>
    <numFmt numFmtId="189" formatCode="General"/>
    <numFmt numFmtId="190" formatCode="@"/>
    <numFmt numFmtId="191" formatCode="0"/>
    <numFmt numFmtId="192" formatCode="0.00"/>
    <numFmt numFmtId="193" formatCode="0.00_);(0.00)"/>
    <numFmt numFmtId="194" formatCode="0.00%"/>
    <numFmt numFmtId="195" formatCode="#,##0.00"/>
    <numFmt numFmtId="196" formatCode="0.00_);[Red]\(0.00\)"/>
    <numFmt numFmtId="197" formatCode="0.0"/>
    <numFmt numFmtId="198" formatCode="yyyy/m/d"/>
    <numFmt numFmtId="199" formatCode="General"/>
    <numFmt numFmtId="200" formatCode="@"/>
    <numFmt numFmtId="201" formatCode="0"/>
    <numFmt numFmtId="202" formatCode="#,##0.00"/>
    <numFmt numFmtId="203" formatCode="yyyy/m/d"/>
    <numFmt numFmtId="204" formatCode="@"/>
    <numFmt numFmtId="205" formatCode="0"/>
  </numFmts>
  <fonts count="6">
    <font>
      <sz val="12"/>
      <color theme="1"/>
      <name val="Calibri"/>
      <family val="2"/>
      <scheme val="minor"/>
    </font>
    <font>
      <sz val="10"/>
      <color rgb="FF1F2329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30"/>
      <color rgb="FFF54A45"/>
      <name val="Calibri"/>
      <family val="2"/>
      <scheme val="minor"/>
    </font>
  </fonts>
  <fills count="3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FC60A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D83931"/>
        <bgColor/>
      </patternFill>
    </fill>
    <fill>
      <patternFill patternType="solid">
        <fgColor rgb="FF34C724"/>
        <bgColor/>
      </patternFill>
    </fill>
    <fill>
      <patternFill patternType="solid">
        <fgColor rgb="FF3370FF"/>
        <bgColor/>
      </patternFill>
    </fill>
    <fill>
      <patternFill patternType="solid">
        <fgColor rgb="FFF54A45"/>
        <bgColor/>
      </patternFill>
    </fill>
    <fill>
      <patternFill patternType="solid">
        <fgColor rgb="FF64E8D6"/>
        <bgColor/>
      </patternFill>
    </fill>
    <fill>
      <patternFill patternType="solid">
        <fgColor rgb="FFFFBA6B"/>
        <bgColor/>
      </patternFill>
    </fill>
    <fill>
      <patternFill patternType="solid">
        <fgColor rgb="FF8EE085"/>
        <bgColor/>
      </patternFill>
    </fill>
    <fill>
      <patternFill patternType="solid">
        <fgColor rgb="FFFFF258"/>
        <bgColor/>
      </patternFill>
    </fill>
    <fill>
      <patternFill patternType="solid">
        <fgColor rgb="FFF76964"/>
        <bgColor/>
      </patternFill>
    </fill>
    <fill>
      <patternFill patternType="solid">
        <fgColor rgb="FFFF8800"/>
        <bgColor/>
      </patternFill>
    </fill>
    <fill>
      <patternFill patternType="solid">
        <fgColor rgb="FF14C0FF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FC60A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FC60A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FC60A"/>
        <bgColor/>
      </patternFill>
    </fill>
    <fill>
      <patternFill patternType="solid">
        <fgColor rgb="FFFDDDEF"/>
        <bgColor/>
      </patternFill>
    </fill>
    <fill>
      <patternFill patternType="solid">
        <fgColor rgb="FFF57AC0"/>
        <bgColor/>
      </patternFill>
    </fill>
    <fill>
      <patternFill patternType="solid">
        <fgColor rgb="FFFFC60A"/>
        <bgColor/>
      </patternFill>
    </fill>
  </fills>
  <borders count="11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1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true" applyFont="true" applyNumberFormat="true" applyProtection="false" borderId="1" fillId="3" fontId="1" numFmtId="164" xfId="0">
      <alignment horizontal="center" vertical="center"/>
    </xf>
    <xf applyAlignment="true" applyBorder="false" applyFill="true" applyFont="true" applyNumberFormat="true" applyProtection="false" borderId="1" fillId="2" fontId="1" numFmtId="165" xfId="0">
      <alignment horizontal="center" vertical="center"/>
    </xf>
    <xf applyAlignment="true" applyBorder="false" applyFill="true" applyFont="true" applyNumberFormat="true" applyProtection="false" borderId="1" fillId="2" fontId="1" numFmtId="166" xfId="0">
      <alignment horizontal="center" vertical="center"/>
    </xf>
    <xf applyAlignment="true" applyBorder="false" applyFill="true" applyFont="true" applyNumberFormat="true" applyProtection="false" borderId="1" fillId="2" fontId="1" numFmtId="166" xfId="0">
      <alignment horizontal="center" vertical="center"/>
    </xf>
    <xf applyAlignment="true" applyBorder="false" applyFill="true" applyFont="true" applyNumberFormat="true" applyProtection="false" borderId="2" fillId="2" fontId="2" numFmtId="167" xfId="0">
      <alignment horizontal="center" vertical="center"/>
    </xf>
    <xf applyAlignment="true" applyBorder="false" applyFill="true" applyFont="true" applyNumberFormat="false" applyProtection="false" borderId="2" fillId="2" fontId="2" numFmtId="0" xfId="0">
      <alignment horizontal="center" vertical="center"/>
    </xf>
    <xf applyAlignment="true" applyBorder="false" applyFill="true" applyFont="true" applyNumberFormat="false" applyProtection="false" borderId="2" fillId="2" fontId="2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true" applyProtection="false" borderId="2" fillId="0" fontId="2" numFmtId="164" xfId="0">
      <alignment horizontal="center" vertical="center"/>
    </xf>
    <xf applyAlignment="true" applyBorder="false" applyFill="true" applyFont="true" applyNumberFormat="true" applyProtection="false" borderId="2" fillId="2" fontId="3" numFmtId="165" xfId="0">
      <alignment horizontal="center" vertical="center"/>
    </xf>
    <xf applyAlignment="true" applyBorder="false" applyFill="false" applyFont="true" applyNumberFormat="true" applyProtection="false" borderId="2" fillId="0" fontId="2" numFmtId="168" xfId="0">
      <alignment horizontal="center" vertical="center"/>
    </xf>
    <xf applyAlignment="true" applyBorder="false" applyFill="true" applyFont="true" applyNumberFormat="false" applyProtection="false" borderId="1" fillId="2" fontId="2" numFmtId="0" xfId="0">
      <alignment horizontal="center" vertical="center"/>
    </xf>
    <xf applyAlignment="true" applyBorder="false" applyFill="false" applyFont="true" applyNumberFormat="true" applyProtection="false" borderId="2" fillId="0" fontId="2" numFmtId="164" xfId="0">
      <alignment horizontal="center" vertical="center"/>
    </xf>
    <xf applyAlignment="true" applyBorder="false" applyFill="false" applyFont="true" applyNumberFormat="true" applyProtection="false" borderId="2" fillId="0" fontId="1" numFmtId="164" xfId="0">
      <alignment horizontal="center" vertical="center"/>
    </xf>
    <xf applyAlignment="true" applyBorder="false" applyFill="false" applyFont="true" applyNumberFormat="true" applyProtection="false" borderId="2" fillId="0" fontId="2" numFmtId="168" xfId="0">
      <alignment horizontal="center" vertical="center"/>
    </xf>
    <xf applyAlignment="true" applyBorder="false" applyFill="true" applyFont="true" applyNumberFormat="true" applyProtection="false" borderId="2" fillId="4" fontId="2" numFmtId="167" xfId="0">
      <alignment horizontal="center" vertical="center"/>
    </xf>
    <xf applyAlignment="true" applyBorder="false" applyFill="true" applyFont="true" applyNumberFormat="false" applyProtection="false" borderId="2" fillId="4" fontId="2" numFmtId="0" xfId="0">
      <alignment horizontal="center" vertical="center"/>
    </xf>
    <xf applyAlignment="true" applyBorder="false" applyFill="true" applyFont="true" applyNumberFormat="true" applyProtection="false" borderId="2" fillId="4" fontId="2" numFmtId="169" xfId="0">
      <alignment horizontal="center" vertical="center"/>
    </xf>
    <xf applyAlignment="true" applyBorder="false" applyFill="true" applyFont="true" applyNumberFormat="true" applyProtection="false" borderId="2" fillId="4" fontId="2" numFmtId="170" xfId="0">
      <alignment horizontal="center" vertical="center"/>
    </xf>
    <xf applyAlignment="true" applyBorder="false" applyFill="true" applyFont="true" applyNumberFormat="true" applyProtection="false" borderId="2" fillId="4" fontId="2" numFmtId="164" xfId="0">
      <alignment horizontal="center" vertical="center"/>
    </xf>
    <xf applyAlignment="true" applyBorder="false" applyFill="true" applyFont="true" applyNumberFormat="true" applyProtection="false" borderId="2" fillId="4" fontId="3" numFmtId="165" xfId="0">
      <alignment horizontal="center" vertical="center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64" xfId="0">
      <alignment horizontal="center" vertical="center"/>
    </xf>
    <xf applyAlignment="true" applyBorder="false" applyFill="true" applyFont="true" applyNumberFormat="false" applyProtection="false" borderId="3" fillId="5" fontId="1" numFmtId="0" xfId="0">
      <alignment horizontal="center" vertical="center"/>
    </xf>
    <xf applyAlignment="true" applyBorder="false" applyFill="true" applyFont="true" applyNumberFormat="false" applyProtection="false" borderId="3" fillId="6" fontId="1" numFmtId="0" xfId="0">
      <alignment horizontal="center" vertical="center"/>
    </xf>
    <xf applyAlignment="true" applyBorder="false" applyFill="true" applyFont="true" applyNumberFormat="true" applyProtection="false" borderId="3" fillId="6" fontId="1" numFmtId="171" xfId="0">
      <alignment horizontal="center" vertical="center"/>
    </xf>
    <xf applyAlignment="true" applyBorder="false" applyFill="true" applyFont="true" applyNumberFormat="true" applyProtection="false" borderId="3" fillId="5" fontId="1" numFmtId="172" xfId="0">
      <alignment horizontal="center" vertical="center"/>
    </xf>
    <xf applyAlignment="true" applyBorder="false" applyFill="true" applyFont="true" applyNumberFormat="false" applyProtection="false" borderId="0" fillId="7" fontId="4" numFmtId="0" xfId="0">
      <alignment horizontal="center" vertical="center"/>
    </xf>
    <xf applyAlignment="true" applyBorder="false" applyFill="true" applyFont="true" applyNumberFormat="false" applyProtection="false" borderId="0" fillId="8" fontId="4" numFmtId="0" xfId="0">
      <alignment horizontal="center" vertical="center"/>
    </xf>
    <xf applyAlignment="true" applyBorder="false" applyFill="true" applyFont="true" applyNumberFormat="false" applyProtection="false" borderId="0" fillId="9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73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true" applyFont="true" applyNumberFormat="false" applyProtection="false" borderId="0" fillId="1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72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71" xfId="0">
      <alignment horizontal="center" vertical="center"/>
    </xf>
    <xf applyAlignment="true" applyBorder="false" applyFill="true" applyFont="true" applyNumberFormat="false" applyProtection="false" borderId="0" fillId="10" fontId="4" numFmtId="0" xfId="0">
      <alignment horizontal="center" vertical="center"/>
    </xf>
    <xf applyAlignment="true" applyBorder="false" applyFill="true" applyFont="true" applyNumberFormat="true" applyProtection="false" borderId="0" fillId="11" fontId="4" numFmtId="173" xfId="0">
      <alignment horizontal="center" vertical="center"/>
    </xf>
    <xf applyAlignment="true" applyBorder="false" applyFill="true" applyFont="true" applyNumberFormat="false" applyProtection="false" borderId="0" fillId="11" fontId="4" numFmtId="0" xfId="0">
      <alignment horizontal="center" vertical="center"/>
    </xf>
    <xf applyAlignment="true" applyBorder="false" applyFill="true" applyFont="true" applyNumberFormat="false" applyProtection="false" borderId="0" fillId="12" fontId="4" numFmtId="0" xfId="0">
      <alignment horizontal="center" vertical="center"/>
    </xf>
    <xf applyAlignment="true" applyBorder="false" applyFill="true" applyFont="true" applyNumberFormat="true" applyProtection="false" borderId="0" fillId="11" fontId="4" numFmtId="172" xfId="0">
      <alignment horizontal="center" vertical="center"/>
    </xf>
    <xf applyAlignment="true" applyBorder="false" applyFill="true" applyFont="true" applyNumberFormat="true" applyProtection="false" borderId="0" fillId="13" fontId="4" numFmtId="173" xfId="0">
      <alignment horizontal="center" vertical="center"/>
    </xf>
    <xf applyAlignment="true" applyBorder="false" applyFill="true" applyFont="true" applyNumberFormat="false" applyProtection="false" borderId="0" fillId="13" fontId="4" numFmtId="0" xfId="0">
      <alignment horizontal="center" vertical="center"/>
    </xf>
    <xf applyAlignment="true" applyBorder="false" applyFill="true" applyFont="true" applyNumberFormat="true" applyProtection="false" borderId="0" fillId="13" fontId="4" numFmtId="172" xfId="0">
      <alignment horizontal="center" vertical="center"/>
    </xf>
    <xf applyAlignment="true" applyBorder="false" applyFill="false" applyFont="true" applyNumberFormat="true" applyProtection="false" borderId="0" fillId="0" fontId="4" numFmtId="174" xfId="0">
      <alignment vertical="center"/>
    </xf>
    <xf applyAlignment="true" applyBorder="false" applyFill="true" applyFont="true" applyNumberFormat="false" applyProtection="false" borderId="0" fillId="12" fontId="4" numFmtId="0" xfId="0">
      <alignment horizontal="center" vertical="center"/>
    </xf>
    <xf applyAlignment="true" applyBorder="false" applyFill="true" applyFont="true" applyNumberFormat="true" applyProtection="false" borderId="0" fillId="13" fontId="4" numFmtId="173" xfId="0">
      <alignment horizontal="center" vertical="center"/>
    </xf>
    <xf applyAlignment="true" applyBorder="false" applyFill="true" applyFont="true" applyNumberFormat="false" applyProtection="false" borderId="0" fillId="13" fontId="4" numFmtId="0" xfId="0">
      <alignment horizontal="center" vertical="center"/>
    </xf>
    <xf applyAlignment="true" applyBorder="false" applyFill="true" applyFont="true" applyNumberFormat="true" applyProtection="false" borderId="0" fillId="14" fontId="4" numFmtId="173" xfId="0">
      <alignment horizontal="center" vertical="center"/>
    </xf>
    <xf applyAlignment="true" applyBorder="false" applyFill="true" applyFont="true" applyNumberFormat="false" applyProtection="false" borderId="0" fillId="14" fontId="4" numFmtId="0" xfId="0">
      <alignment horizontal="center" vertical="center"/>
    </xf>
    <xf applyAlignment="true" applyBorder="false" applyFill="true" applyFont="true" applyNumberFormat="false" applyProtection="false" borderId="0" fillId="14" fontId="4" numFmtId="0" xfId="0">
      <alignment horizontal="center" vertical="center"/>
    </xf>
    <xf applyAlignment="true" applyBorder="false" applyFill="true" applyFont="true" applyNumberFormat="true" applyProtection="false" borderId="0" fillId="14" fontId="4" numFmtId="172" xfId="0">
      <alignment horizontal="center" vertical="center"/>
    </xf>
    <xf applyAlignment="true" applyBorder="false" applyFill="true" applyFont="true" applyNumberFormat="true" applyProtection="false" borderId="0" fillId="14" fontId="4" numFmtId="173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true" applyProtection="false" borderId="0" fillId="15" fontId="4" numFmtId="173" xfId="0">
      <alignment horizontal="center" vertical="center"/>
    </xf>
    <xf applyAlignment="true" applyBorder="false" applyFill="true" applyFont="true" applyNumberFormat="false" applyProtection="false" borderId="0" fillId="15" fontId="4" numFmtId="0" xfId="0">
      <alignment horizontal="center" vertical="center"/>
    </xf>
    <xf applyAlignment="true" applyBorder="false" applyFill="true" applyFont="true" applyNumberFormat="true" applyProtection="false" borderId="0" fillId="15" fontId="4" numFmtId="172" xfId="0">
      <alignment horizontal="center" vertical="center"/>
    </xf>
    <xf applyAlignment="true" applyBorder="false" applyFill="true" applyFont="true" applyNumberFormat="false" applyProtection="false" borderId="0" fillId="15" fontId="4" numFmtId="0" xfId="0">
      <alignment horizontal="center" vertical="center"/>
    </xf>
    <xf applyAlignment="true" applyBorder="false" applyFill="true" applyFont="true" applyNumberFormat="true" applyProtection="false" borderId="0" fillId="15" fontId="4" numFmtId="172" xfId="0">
      <alignment horizontal="center" vertical="center"/>
    </xf>
    <xf applyAlignment="true" applyBorder="false" applyFill="false" applyFont="true" applyNumberFormat="true" applyProtection="false" borderId="0" fillId="0" fontId="4" numFmtId="171" xfId="0">
      <alignment vertical="center"/>
    </xf>
    <xf applyAlignment="true" applyBorder="false" applyFill="true" applyFont="true" applyNumberFormat="true" applyProtection="false" borderId="0" fillId="16" fontId="4" numFmtId="173" xfId="0">
      <alignment horizontal="center" vertical="center"/>
    </xf>
    <xf applyAlignment="true" applyBorder="false" applyFill="true" applyFont="true" applyNumberFormat="false" applyProtection="false" borderId="0" fillId="16" fontId="4" numFmtId="0" xfId="0">
      <alignment horizontal="center" vertical="center"/>
    </xf>
    <xf applyAlignment="true" applyBorder="false" applyFill="true" applyFont="true" applyNumberFormat="false" applyProtection="false" borderId="0" fillId="16" fontId="4" numFmtId="0" xfId="0">
      <alignment horizontal="center" vertical="center"/>
    </xf>
    <xf applyAlignment="true" applyBorder="false" applyFill="true" applyFont="true" applyNumberFormat="true" applyProtection="false" borderId="0" fillId="16" fontId="4" numFmtId="172" xfId="0">
      <alignment horizontal="center" vertical="center"/>
    </xf>
    <xf applyAlignment="true" applyBorder="false" applyFill="true" applyFont="true" applyNumberFormat="true" applyProtection="false" borderId="0" fillId="8" fontId="4" numFmtId="173" xfId="0">
      <alignment horizontal="center" vertical="center"/>
    </xf>
    <xf applyAlignment="true" applyBorder="false" applyFill="true" applyFont="true" applyNumberFormat="false" applyProtection="false" borderId="0" fillId="8" fontId="4" numFmtId="0" xfId="0">
      <alignment horizontal="center" vertical="center"/>
    </xf>
    <xf applyAlignment="true" applyBorder="false" applyFill="true" applyFont="true" applyNumberFormat="true" applyProtection="false" borderId="0" fillId="8" fontId="4" numFmtId="172" xfId="0">
      <alignment horizontal="center" vertical="center"/>
    </xf>
    <xf applyAlignment="true" applyBorder="false" applyFill="true" applyFont="true" applyNumberFormat="true" applyProtection="false" borderId="0" fillId="14" fontId="4" numFmtId="171" xfId="0">
      <alignment horizontal="center" vertical="center"/>
    </xf>
    <xf applyAlignment="true" applyBorder="false" applyFill="true" applyFont="true" applyNumberFormat="true" applyProtection="false" borderId="0" fillId="10" fontId="4" numFmtId="173" xfId="0">
      <alignment horizontal="center" vertical="center"/>
    </xf>
    <xf applyAlignment="true" applyBorder="false" applyFill="true" applyFont="true" applyNumberFormat="true" applyProtection="false" borderId="0" fillId="10" fontId="4" numFmtId="172" xfId="0">
      <alignment horizontal="center" vertical="center"/>
    </xf>
    <xf applyAlignment="true" applyBorder="false" applyFill="true" applyFont="true" applyNumberFormat="true" applyProtection="false" borderId="0" fillId="10" fontId="4" numFmtId="175" xfId="0">
      <alignment horizontal="center" vertical="center"/>
    </xf>
    <xf applyAlignment="true" applyBorder="false" applyFill="true" applyFont="true" applyNumberFormat="true" applyProtection="false" borderId="0" fillId="17" fontId="4" numFmtId="175" xfId="0">
      <alignment horizontal="center" vertical="center"/>
    </xf>
    <xf applyAlignment="true" applyBorder="false" applyFill="true" applyFont="true" applyNumberFormat="false" applyProtection="false" borderId="0" fillId="17" fontId="4" numFmtId="0" xfId="0">
      <alignment horizontal="center" vertical="center"/>
    </xf>
    <xf applyAlignment="true" applyBorder="false" applyFill="true" applyFont="true" applyNumberFormat="false" applyProtection="false" borderId="0" fillId="17" fontId="4" numFmtId="0" xfId="0">
      <alignment horizontal="center" vertical="center"/>
    </xf>
    <xf applyAlignment="true" applyBorder="false" applyFill="true" applyFont="true" applyNumberFormat="true" applyProtection="false" borderId="0" fillId="17" fontId="4" numFmtId="172" xfId="0">
      <alignment horizontal="center" vertical="center"/>
    </xf>
    <xf applyAlignment="true" applyBorder="false" applyFill="true" applyFont="true" applyNumberFormat="true" applyProtection="false" borderId="0" fillId="11" fontId="4" numFmtId="175" xfId="0">
      <alignment horizontal="center" vertical="center"/>
    </xf>
    <xf applyAlignment="true" applyBorder="false" applyFill="true" applyFont="true" applyNumberFormat="false" applyProtection="false" borderId="0" fillId="11" fontId="4" numFmtId="0" xfId="0">
      <alignment horizontal="center" vertical="center"/>
    </xf>
    <xf applyAlignment="true" applyBorder="false" applyFill="true" applyFont="true" applyNumberFormat="true" applyProtection="false" borderId="0" fillId="11" fontId="4" numFmtId="171" xfId="0">
      <alignment horizontal="center" vertical="center"/>
    </xf>
    <xf applyAlignment="true" applyBorder="false" applyFill="true" applyFont="true" applyNumberFormat="false" applyProtection="false" borderId="0" fillId="11" fontId="4" numFmtId="0" xfId="0">
      <alignment horizontal="center" vertical="center"/>
    </xf>
    <xf applyAlignment="true" applyBorder="false" applyFill="true" applyFont="true" applyNumberFormat="false" applyProtection="false" borderId="0" fillId="11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71" xfId="0">
      <alignment vertical="center"/>
    </xf>
    <xf applyAlignment="true" applyBorder="false" applyFill="true" applyFont="true" applyNumberFormat="true" applyProtection="false" borderId="0" fillId="14" fontId="4" numFmtId="175" xfId="0">
      <alignment horizontal="center" vertical="center"/>
    </xf>
    <xf applyAlignment="true" applyBorder="false" applyFill="true" applyFont="true" applyNumberFormat="false" applyProtection="false" borderId="0" fillId="14" fontId="4" numFmtId="0" xfId="0">
      <alignment horizontal="center" vertical="center"/>
    </xf>
    <xf applyAlignment="true" applyBorder="false" applyFill="true" applyFont="true" applyNumberFormat="true" applyProtection="false" borderId="0" fillId="14" fontId="4" numFmtId="172" xfId="0">
      <alignment horizontal="center" vertical="center"/>
    </xf>
    <xf applyAlignment="true" applyBorder="false" applyFill="true" applyFont="true" applyNumberFormat="false" applyProtection="false" borderId="0" fillId="14" fontId="4" numFmtId="0" xfId="0">
      <alignment vertical="center"/>
    </xf>
    <xf applyAlignment="true" applyBorder="false" applyFill="false" applyFont="true" applyNumberFormat="true" applyProtection="false" borderId="0" fillId="0" fontId="4" numFmtId="175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false" applyFont="true" applyNumberFormat="false" applyProtection="false" borderId="0" fillId="0" fontId="5" numFmtId="0" xfId="0">
      <alignment horizontal="center" vertical="center"/>
    </xf>
    <xf applyAlignment="true" applyBorder="false" applyFill="true" applyFont="true" applyNumberFormat="false" applyProtection="false" borderId="4" fillId="18" fontId="1" numFmtId="0" xfId="0">
      <alignment horizontal="center" vertical="center"/>
    </xf>
    <xf applyAlignment="true" applyBorder="false" applyFill="true" applyFont="true" applyNumberFormat="false" applyProtection="false" borderId="4" fillId="19" fontId="1" numFmtId="0" xfId="0">
      <alignment horizontal="center" vertical="center"/>
    </xf>
    <xf applyAlignment="true" applyBorder="false" applyFill="true" applyFont="true" applyNumberFormat="false" applyProtection="false" borderId="4" fillId="19" fontId="1" numFmtId="0" xfId="0">
      <alignment horizontal="center" vertical="center"/>
    </xf>
    <xf applyAlignment="true" applyBorder="false" applyFill="true" applyFont="true" applyNumberFormat="true" applyProtection="false" borderId="4" fillId="19" fontId="1" numFmtId="176" xfId="0">
      <alignment horizontal="center" vertical="center"/>
    </xf>
    <xf applyAlignment="true" applyBorder="false" applyFill="true" applyFont="true" applyNumberFormat="true" applyProtection="false" borderId="4" fillId="18" fontId="1" numFmtId="177" xfId="0">
      <alignment horizontal="center" vertical="center"/>
    </xf>
    <xf applyAlignment="true" applyBorder="false" applyFill="true" applyFont="true" applyNumberFormat="true" applyProtection="false" borderId="4" fillId="18" fontId="1" numFmtId="178" xfId="0">
      <alignment horizontal="center" vertical="center"/>
    </xf>
    <xf applyAlignment="true" applyBorder="false" applyFill="true" applyFont="true" applyNumberFormat="true" applyProtection="false" borderId="4" fillId="18" fontId="1" numFmtId="178" xfId="0">
      <alignment horizontal="center" vertical="center"/>
    </xf>
    <xf applyAlignment="true" applyBorder="false" applyFill="true" applyFont="true" applyNumberFormat="true" applyProtection="false" borderId="4" fillId="18" fontId="2" numFmtId="179" xfId="0">
      <alignment horizontal="center" vertical="center"/>
    </xf>
    <xf applyAlignment="true" applyBorder="false" applyFill="true" applyFont="true" applyNumberFormat="false" applyProtection="false" borderId="4" fillId="18" fontId="2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false" applyProtection="false" borderId="4" fillId="0" fontId="2" numFmtId="0" xfId="0">
      <alignment horizontal="center" vertical="center"/>
    </xf>
    <xf applyAlignment="true" applyBorder="false" applyFill="false" applyFont="true" applyNumberFormat="true" applyProtection="false" borderId="4" fillId="0" fontId="2" numFmtId="176" xfId="0">
      <alignment horizontal="center" vertical="center"/>
    </xf>
    <xf applyAlignment="true" applyBorder="false" applyFill="true" applyFont="true" applyNumberFormat="true" applyProtection="false" borderId="4" fillId="18" fontId="3" numFmtId="177" xfId="0">
      <alignment horizontal="center" vertical="center"/>
    </xf>
    <xf applyAlignment="true" applyBorder="false" applyFill="false" applyFont="true" applyNumberFormat="true" applyProtection="false" borderId="4" fillId="0" fontId="2" numFmtId="180" xfId="0">
      <alignment horizontal="center" vertical="center"/>
    </xf>
    <xf applyAlignment="true" applyBorder="false" applyFill="true" applyFont="true" applyNumberFormat="true" applyProtection="false" borderId="4" fillId="20" fontId="2" numFmtId="179" xfId="0">
      <alignment horizontal="center" vertical="center"/>
    </xf>
    <xf applyAlignment="true" applyBorder="false" applyFill="true" applyFont="true" applyNumberFormat="false" applyProtection="false" borderId="4" fillId="20" fontId="2" numFmtId="0" xfId="0">
      <alignment horizontal="center" vertical="center"/>
    </xf>
    <xf applyAlignment="true" applyBorder="false" applyFill="true" applyFont="true" applyNumberFormat="true" applyProtection="false" borderId="4" fillId="20" fontId="2" numFmtId="181" xfId="0">
      <alignment horizontal="center" vertical="center"/>
    </xf>
    <xf applyAlignment="true" applyBorder="false" applyFill="true" applyFont="true" applyNumberFormat="true" applyProtection="false" borderId="4" fillId="20" fontId="2" numFmtId="182" xfId="0">
      <alignment horizontal="center" vertical="center"/>
    </xf>
    <xf applyAlignment="true" applyBorder="false" applyFill="true" applyFont="true" applyNumberFormat="true" applyProtection="false" borderId="4" fillId="20" fontId="2" numFmtId="183" xfId="0">
      <alignment horizontal="center" vertical="center"/>
    </xf>
    <xf applyAlignment="true" applyBorder="false" applyFill="true" applyFont="true" applyNumberFormat="true" applyProtection="false" borderId="4" fillId="20" fontId="3" numFmtId="177" xfId="0">
      <alignment horizontal="center" vertical="center"/>
    </xf>
    <xf applyAlignment="true" applyBorder="false" applyFill="false" applyFont="true" applyNumberFormat="true" applyProtection="false" borderId="4" fillId="0" fontId="1" numFmtId="176" xfId="0">
      <alignment horizontal="center" vertical="center"/>
    </xf>
    <xf applyAlignment="true" applyBorder="false" applyFill="true" applyFont="true" applyNumberFormat="true" applyProtection="false" borderId="5" fillId="18" fontId="2" numFmtId="179" xfId="0">
      <alignment horizontal="center" vertical="center"/>
    </xf>
    <xf applyAlignment="true" applyBorder="false" applyFill="true" applyFont="true" applyNumberFormat="false" applyProtection="false" borderId="5" fillId="18" fontId="2" numFmtId="0" xfId="0">
      <alignment horizontal="center" vertical="center"/>
    </xf>
    <xf applyAlignment="true" applyBorder="false" applyFill="true" applyFont="true" applyNumberFormat="false" applyProtection="false" borderId="5" fillId="18" fontId="2" numFmtId="0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true" applyProtection="false" borderId="5" fillId="0" fontId="2" numFmtId="176" xfId="0">
      <alignment horizontal="center" vertical="center"/>
    </xf>
    <xf applyAlignment="true" applyBorder="false" applyFill="true" applyFont="true" applyNumberFormat="true" applyProtection="false" borderId="5" fillId="18" fontId="3" numFmtId="177" xfId="0">
      <alignment horizontal="center" vertical="center"/>
    </xf>
    <xf applyAlignment="true" applyBorder="false" applyFill="false" applyFont="true" applyNumberFormat="true" applyProtection="false" borderId="5" fillId="0" fontId="2" numFmtId="18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5" fillId="0" fontId="2" numFmtId="176" xfId="0">
      <alignment horizontal="center" vertical="center"/>
    </xf>
    <xf applyAlignment="true" applyBorder="false" applyFill="false" applyFont="true" applyNumberFormat="true" applyProtection="false" borderId="5" fillId="0" fontId="1" numFmtId="176" xfId="0">
      <alignment horizontal="center" vertical="center"/>
    </xf>
    <xf applyAlignment="true" applyBorder="false" applyFill="false" applyFont="true" applyNumberFormat="true" applyProtection="false" borderId="5" fillId="0" fontId="2" numFmtId="180" xfId="0">
      <alignment horizontal="center" vertical="center"/>
    </xf>
    <xf applyAlignment="true" applyBorder="false" applyFill="true" applyFont="true" applyNumberFormat="true" applyProtection="false" borderId="5" fillId="20" fontId="2" numFmtId="179" xfId="0">
      <alignment horizontal="center" vertical="center"/>
    </xf>
    <xf applyAlignment="true" applyBorder="false" applyFill="true" applyFont="true" applyNumberFormat="false" applyProtection="false" borderId="5" fillId="20" fontId="2" numFmtId="0" xfId="0">
      <alignment horizontal="center" vertical="center"/>
    </xf>
    <xf applyAlignment="true" applyBorder="false" applyFill="true" applyFont="true" applyNumberFormat="true" applyProtection="false" borderId="5" fillId="20" fontId="2" numFmtId="181" xfId="0">
      <alignment horizontal="center" vertical="center"/>
    </xf>
    <xf applyAlignment="true" applyBorder="false" applyFill="true" applyFont="true" applyNumberFormat="true" applyProtection="false" borderId="5" fillId="20" fontId="2" numFmtId="182" xfId="0">
      <alignment horizontal="center" vertical="center"/>
    </xf>
    <xf applyAlignment="true" applyBorder="false" applyFill="true" applyFont="true" applyNumberFormat="true" applyProtection="false" borderId="5" fillId="20" fontId="2" numFmtId="176" xfId="0">
      <alignment horizontal="center" vertical="center"/>
    </xf>
    <xf applyAlignment="true" applyBorder="false" applyFill="true" applyFont="true" applyNumberFormat="true" applyProtection="false" borderId="5" fillId="20" fontId="3" numFmtId="177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left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76" xfId="0">
      <alignment horizontal="center" vertical="center"/>
    </xf>
    <xf applyAlignment="true" applyBorder="false" applyFill="false" applyFont="true" applyNumberFormat="true" applyProtection="false" borderId="0" fillId="0" fontId="4" numFmtId="184" xfId="0">
      <alignment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false" applyFont="true" applyNumberFormat="true" applyProtection="false" borderId="0" fillId="0" fontId="4" numFmtId="184" xfId="0">
      <alignment horizontal="center" vertical="center"/>
    </xf>
    <xf applyAlignment="true" applyBorder="false" applyFill="false" applyFont="true" applyNumberFormat="true" applyProtection="false" borderId="0" fillId="0" fontId="4" numFmtId="176" xfId="0">
      <alignment horizontal="center" vertical="center"/>
    </xf>
    <xf applyAlignment="true" applyBorder="false" applyFill="false" applyFont="true" applyNumberFormat="true" applyProtection="false" borderId="0" fillId="0" fontId="4" numFmtId="176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184" xfId="0">
      <alignment horizontal="center" vertical="center"/>
    </xf>
    <xf applyAlignment="true" applyBorder="false" applyFill="false" applyFont="true" applyNumberFormat="true" applyProtection="false" borderId="0" fillId="0" fontId="4" numFmtId="176" xfId="0">
      <alignment vertical="center"/>
    </xf>
    <xf applyAlignment="true" applyBorder="false" applyFill="true" applyFont="true" applyNumberFormat="false" applyProtection="false" borderId="6" fillId="21" fontId="1" numFmtId="0" xfId="0">
      <alignment horizontal="center" vertical="center"/>
    </xf>
    <xf applyAlignment="true" applyBorder="false" applyFill="true" applyFont="true" applyNumberFormat="false" applyProtection="false" borderId="6" fillId="22" fontId="1" numFmtId="0" xfId="0">
      <alignment horizontal="center" vertical="center"/>
    </xf>
    <xf applyAlignment="true" applyBorder="false" applyFill="true" applyFont="true" applyNumberFormat="false" applyProtection="false" borderId="6" fillId="22" fontId="1" numFmtId="0" xfId="0">
      <alignment horizontal="center" vertical="center"/>
    </xf>
    <xf applyAlignment="true" applyBorder="false" applyFill="true" applyFont="true" applyNumberFormat="true" applyProtection="false" borderId="6" fillId="22" fontId="1" numFmtId="185" xfId="0">
      <alignment horizontal="center" vertical="center"/>
    </xf>
    <xf applyAlignment="true" applyBorder="false" applyFill="true" applyFont="true" applyNumberFormat="true" applyProtection="false" borderId="6" fillId="21" fontId="1" numFmtId="186" xfId="0">
      <alignment horizontal="center" vertical="center"/>
    </xf>
    <xf applyAlignment="true" applyBorder="false" applyFill="true" applyFont="true" applyNumberFormat="true" applyProtection="false" borderId="6" fillId="21" fontId="1" numFmtId="187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horizontal="center" vertical="center"/>
    </xf>
    <xf applyAlignment="true" applyBorder="false" applyFill="true" applyFont="true" applyNumberFormat="true" applyProtection="false" borderId="6" fillId="21" fontId="2" numFmtId="188" xfId="0">
      <alignment horizontal="center" vertical="center"/>
    </xf>
    <xf applyAlignment="true" applyBorder="false" applyFill="true" applyFont="true" applyNumberFormat="false" applyProtection="false" borderId="6" fillId="21" fontId="2" numFmtId="0" xfId="0">
      <alignment horizontal="center" vertical="center"/>
    </xf>
    <xf applyAlignment="true" applyBorder="false" applyFill="false" applyFont="true" applyNumberFormat="false" applyProtection="false" borderId="6" fillId="0" fontId="2" numFmtId="0" xfId="0">
      <alignment horizontal="center" vertical="center"/>
    </xf>
    <xf applyAlignment="true" applyBorder="false" applyFill="false" applyFont="true" applyNumberFormat="true" applyProtection="false" borderId="6" fillId="0" fontId="2" numFmtId="185" xfId="0">
      <alignment horizontal="center" vertical="center"/>
    </xf>
    <xf applyAlignment="true" applyBorder="false" applyFill="true" applyFont="true" applyNumberFormat="true" applyProtection="false" borderId="6" fillId="21" fontId="3" numFmtId="186" xfId="0">
      <alignment horizontal="center" vertical="center"/>
    </xf>
    <xf applyAlignment="true" applyBorder="false" applyFill="false" applyFont="true" applyNumberFormat="true" applyProtection="false" borderId="6" fillId="0" fontId="2" numFmtId="189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true" applyFont="true" applyNumberFormat="true" applyProtection="false" borderId="6" fillId="23" fontId="2" numFmtId="188" xfId="0">
      <alignment horizontal="center" vertical="center"/>
    </xf>
    <xf applyAlignment="true" applyBorder="false" applyFill="true" applyFont="true" applyNumberFormat="false" applyProtection="false" borderId="6" fillId="23" fontId="2" numFmtId="0" xfId="0">
      <alignment horizontal="center" vertical="center"/>
    </xf>
    <xf applyAlignment="true" applyBorder="false" applyFill="true" applyFont="true" applyNumberFormat="true" applyProtection="false" borderId="6" fillId="23" fontId="2" numFmtId="190" xfId="0">
      <alignment horizontal="center" vertical="center"/>
    </xf>
    <xf applyAlignment="true" applyBorder="false" applyFill="true" applyFont="true" applyNumberFormat="true" applyProtection="false" borderId="6" fillId="23" fontId="2" numFmtId="191" xfId="0">
      <alignment horizontal="center" vertical="center"/>
    </xf>
    <xf applyAlignment="true" applyBorder="false" applyFill="true" applyFont="true" applyNumberFormat="true" applyProtection="false" borderId="6" fillId="23" fontId="2" numFmtId="185" xfId="0">
      <alignment horizontal="center" vertical="center"/>
    </xf>
    <xf applyAlignment="true" applyBorder="false" applyFill="true" applyFont="true" applyNumberFormat="true" applyProtection="false" borderId="6" fillId="23" fontId="3" numFmtId="186" xfId="0">
      <alignment horizontal="center" vertical="center"/>
    </xf>
    <xf applyAlignment="true" applyBorder="false" applyFill="true" applyFont="true" applyNumberFormat="true" applyProtection="false" borderId="6" fillId="23" fontId="2" numFmtId="189" xfId="0">
      <alignment horizontal="center" vertical="center"/>
    </xf>
    <xf applyAlignment="true" applyBorder="false" applyFill="true" applyFont="true" applyNumberFormat="true" applyProtection="false" borderId="6" fillId="21" fontId="2" numFmtId="188" xfId="0">
      <alignment horizontal="center" vertical="center"/>
    </xf>
    <xf applyAlignment="true" applyBorder="false" applyFill="false" applyFont="true" applyNumberFormat="false" applyProtection="false" borderId="6" fillId="0" fontId="2" numFmtId="0" xfId="0">
      <alignment horizontal="center" vertical="center"/>
    </xf>
    <xf applyAlignment="true" applyBorder="false" applyFill="false" applyFont="true" applyNumberFormat="true" applyProtection="false" borderId="6" fillId="0" fontId="2" numFmtId="185" xfId="0">
      <alignment horizontal="center" vertical="center"/>
    </xf>
    <xf applyAlignment="true" applyBorder="false" applyFill="true" applyFont="true" applyNumberFormat="true" applyProtection="false" borderId="6" fillId="23" fontId="2" numFmtId="192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4" numFmtId="0" xfId="0">
      <alignment vertical="center"/>
    </xf>
    <xf applyAlignment="true" applyBorder="false" applyFill="false" applyFont="true" applyNumberFormat="true" applyProtection="false" borderId="0" fillId="0" fontId="4" numFmtId="185" xfId="0">
      <alignment vertical="center"/>
    </xf>
    <xf applyAlignment="true" applyBorder="false" applyFill="false" applyFont="true" applyNumberFormat="true" applyProtection="false" borderId="0" fillId="0" fontId="4" numFmtId="193" xfId="0">
      <alignment vertical="center"/>
    </xf>
    <xf applyAlignment="true" applyBorder="false" applyFill="false" applyFont="true" applyNumberFormat="true" applyProtection="false" borderId="0" fillId="0" fontId="4" numFmtId="194" xfId="0">
      <alignment vertical="center"/>
    </xf>
    <xf applyAlignment="true" applyBorder="false" applyFill="true" applyFont="true" applyNumberFormat="false" applyProtection="false" borderId="7" fillId="24" fontId="1" numFmtId="0" xfId="0">
      <alignment horizontal="center" vertical="center"/>
    </xf>
    <xf applyAlignment="true" applyBorder="false" applyFill="true" applyFont="true" applyNumberFormat="false" applyProtection="false" borderId="7" fillId="25" fontId="1" numFmtId="0" xfId="0">
      <alignment horizontal="center" vertical="center"/>
    </xf>
    <xf applyAlignment="true" applyBorder="false" applyFill="true" applyFont="true" applyNumberFormat="false" applyProtection="false" borderId="7" fillId="25" fontId="1" numFmtId="0" xfId="0">
      <alignment horizontal="center" vertical="center"/>
    </xf>
    <xf applyAlignment="true" applyBorder="false" applyFill="true" applyFont="true" applyNumberFormat="true" applyProtection="false" borderId="7" fillId="25" fontId="1" numFmtId="195" xfId="0">
      <alignment horizontal="center" vertical="center"/>
    </xf>
    <xf applyAlignment="true" applyBorder="false" applyFill="true" applyFont="true" applyNumberFormat="true" applyProtection="false" borderId="7" fillId="24" fontId="1" numFmtId="196" xfId="0">
      <alignment horizontal="center" vertical="center"/>
    </xf>
    <xf applyAlignment="true" applyBorder="false" applyFill="true" applyFont="true" applyNumberFormat="true" applyProtection="false" borderId="7" fillId="24" fontId="1" numFmtId="197" xfId="0">
      <alignment horizontal="center" vertical="center"/>
    </xf>
    <xf applyAlignment="true" applyBorder="false" applyFill="true" applyFont="true" applyNumberFormat="true" applyProtection="false" borderId="7" fillId="24" fontId="1" numFmtId="197" xfId="0">
      <alignment horizontal="center" vertical="center"/>
    </xf>
    <xf applyAlignment="true" applyBorder="false" applyFill="true" applyFont="true" applyNumberFormat="true" applyProtection="false" borderId="8" fillId="24" fontId="2" numFmtId="198" xfId="0">
      <alignment horizontal="center" vertical="center"/>
    </xf>
    <xf applyAlignment="true" applyBorder="false" applyFill="true" applyFont="true" applyNumberFormat="false" applyProtection="false" borderId="8" fillId="24" fontId="2" numFmtId="0" xfId="0">
      <alignment horizontal="center" vertical="center"/>
    </xf>
    <xf applyAlignment="true" applyBorder="false" applyFill="true" applyFont="true" applyNumberFormat="false" applyProtection="false" borderId="8" fillId="24" fontId="2" numFmtId="0" xfId="0">
      <alignment horizontal="center" vertical="center"/>
    </xf>
    <xf applyAlignment="true" applyBorder="false" applyFill="false" applyFont="true" applyNumberFormat="false" applyProtection="false" borderId="8" fillId="0" fontId="2" numFmtId="0" xfId="0">
      <alignment horizontal="center" vertical="center"/>
    </xf>
    <xf applyAlignment="true" applyBorder="false" applyFill="false" applyFont="true" applyNumberFormat="false" applyProtection="false" borderId="8" fillId="0" fontId="2" numFmtId="0" xfId="0">
      <alignment horizontal="center" vertical="center"/>
    </xf>
    <xf applyAlignment="true" applyBorder="false" applyFill="false" applyFont="true" applyNumberFormat="true" applyProtection="false" borderId="8" fillId="0" fontId="2" numFmtId="195" xfId="0">
      <alignment horizontal="center" vertical="center"/>
    </xf>
    <xf applyAlignment="true" applyBorder="false" applyFill="true" applyFont="true" applyNumberFormat="true" applyProtection="false" borderId="8" fillId="24" fontId="3" numFmtId="196" xfId="0">
      <alignment horizontal="center" vertical="center"/>
    </xf>
    <xf applyAlignment="true" applyBorder="false" applyFill="false" applyFont="true" applyNumberFormat="true" applyProtection="false" borderId="8" fillId="0" fontId="2" numFmtId="199" xfId="0">
      <alignment horizontal="center" vertical="center"/>
    </xf>
    <xf applyAlignment="true" applyBorder="false" applyFill="true" applyFont="true" applyNumberFormat="false" applyProtection="false" borderId="7" fillId="24" fontId="2" numFmtId="0" xfId="0">
      <alignment horizontal="center" vertical="center"/>
    </xf>
    <xf applyAlignment="true" applyBorder="false" applyFill="false" applyFont="true" applyNumberFormat="true" applyProtection="false" borderId="8" fillId="0" fontId="2" numFmtId="195" xfId="0">
      <alignment horizontal="center" vertical="center"/>
    </xf>
    <xf applyAlignment="true" applyBorder="false" applyFill="false" applyFont="true" applyNumberFormat="true" applyProtection="false" borderId="8" fillId="0" fontId="1" numFmtId="195" xfId="0">
      <alignment horizontal="center" vertical="center"/>
    </xf>
    <xf applyAlignment="true" applyBorder="false" applyFill="true" applyFont="true" applyNumberFormat="true" applyProtection="false" borderId="8" fillId="26" fontId="2" numFmtId="198" xfId="0">
      <alignment horizontal="center" vertical="center"/>
    </xf>
    <xf applyAlignment="true" applyBorder="false" applyFill="true" applyFont="true" applyNumberFormat="false" applyProtection="false" borderId="8" fillId="26" fontId="2" numFmtId="0" xfId="0">
      <alignment horizontal="center" vertical="center"/>
    </xf>
    <xf applyAlignment="true" applyBorder="false" applyFill="true" applyFont="true" applyNumberFormat="true" applyProtection="false" borderId="8" fillId="26" fontId="2" numFmtId="200" xfId="0">
      <alignment horizontal="center" vertical="center"/>
    </xf>
    <xf applyAlignment="true" applyBorder="false" applyFill="true" applyFont="true" applyNumberFormat="true" applyProtection="false" borderId="8" fillId="26" fontId="2" numFmtId="201" xfId="0">
      <alignment horizontal="center" vertical="center"/>
    </xf>
    <xf applyAlignment="true" applyBorder="false" applyFill="true" applyFont="true" applyNumberFormat="true" applyProtection="false" borderId="8" fillId="26" fontId="2" numFmtId="195" xfId="0">
      <alignment horizontal="center" vertical="center"/>
    </xf>
    <xf applyAlignment="true" applyBorder="false" applyFill="true" applyFont="true" applyNumberFormat="true" applyProtection="false" borderId="8" fillId="26" fontId="3" numFmtId="196" xfId="0">
      <alignment horizontal="center" vertical="center"/>
    </xf>
    <xf applyAlignment="true" applyBorder="false" applyFill="true" applyFont="true" applyNumberFormat="false" applyProtection="false" borderId="9" fillId="27" fontId="1" numFmtId="0" xfId="0">
      <alignment horizontal="center" vertical="center"/>
    </xf>
    <xf applyAlignment="true" applyBorder="false" applyFill="true" applyFont="true" applyNumberFormat="false" applyProtection="false" borderId="9" fillId="28" fontId="1" numFmtId="0" xfId="0">
      <alignment horizontal="center" vertical="center"/>
    </xf>
    <xf applyAlignment="true" applyBorder="false" applyFill="true" applyFont="true" applyNumberFormat="true" applyProtection="false" borderId="9" fillId="28" fontId="1" numFmtId="202" xfId="0">
      <alignment horizontal="center" vertical="center"/>
    </xf>
    <xf applyAlignment="true" applyBorder="false" applyFill="true" applyFont="true" applyNumberFormat="true" applyProtection="false" borderId="10" fillId="27" fontId="2" numFmtId="203" xfId="0">
      <alignment horizontal="center" vertical="center"/>
    </xf>
    <xf applyAlignment="true" applyBorder="false" applyFill="true" applyFont="true" applyNumberFormat="false" applyProtection="false" borderId="9" fillId="27" fontId="2" numFmtId="0" xfId="0">
      <alignment horizontal="center" vertical="center"/>
    </xf>
    <xf applyAlignment="true" applyBorder="false" applyFill="true" applyFont="true" applyNumberFormat="false" applyProtection="false" borderId="10" fillId="27" fontId="2" numFmtId="0" xfId="0">
      <alignment horizontal="center" vertical="center"/>
    </xf>
    <xf applyAlignment="true" applyBorder="false" applyFill="true" applyFont="true" applyNumberFormat="false" applyProtection="false" borderId="10" fillId="27" fontId="2" numFmtId="0" xfId="0">
      <alignment horizontal="center" vertical="center"/>
    </xf>
    <xf applyAlignment="true" applyBorder="false" applyFill="false" applyFont="true" applyNumberFormat="false" applyProtection="false" borderId="10" fillId="0" fontId="2" numFmtId="0" xfId="0">
      <alignment horizontal="center" vertical="center"/>
    </xf>
    <xf applyAlignment="true" applyBorder="false" applyFill="false" applyFont="true" applyNumberFormat="false" applyProtection="false" borderId="10" fillId="0" fontId="2" numFmtId="0" xfId="0">
      <alignment horizontal="center" vertical="center"/>
    </xf>
    <xf applyAlignment="true" applyBorder="false" applyFill="false" applyFont="true" applyNumberFormat="true" applyProtection="false" borderId="10" fillId="0" fontId="2" numFmtId="202" xfId="0">
      <alignment horizontal="center" vertical="center"/>
    </xf>
    <xf applyAlignment="true" applyBorder="false" applyFill="false" applyFont="true" applyNumberFormat="true" applyProtection="false" borderId="10" fillId="0" fontId="2" numFmtId="202" xfId="0">
      <alignment horizontal="center" vertical="center"/>
    </xf>
    <xf applyAlignment="true" applyBorder="false" applyFill="false" applyFont="true" applyNumberFormat="true" applyProtection="false" borderId="10" fillId="0" fontId="1" numFmtId="202" xfId="0">
      <alignment horizontal="center" vertical="center"/>
    </xf>
    <xf applyAlignment="true" applyBorder="false" applyFill="true" applyFont="true" applyNumberFormat="true" applyProtection="false" borderId="10" fillId="29" fontId="2" numFmtId="203" xfId="0">
      <alignment horizontal="center" vertical="center"/>
    </xf>
    <xf applyAlignment="true" applyBorder="false" applyFill="true" applyFont="true" applyNumberFormat="false" applyProtection="false" borderId="10" fillId="29" fontId="2" numFmtId="0" xfId="0">
      <alignment horizontal="center" vertical="center"/>
    </xf>
    <xf applyAlignment="true" applyBorder="false" applyFill="true" applyFont="true" applyNumberFormat="true" applyProtection="false" borderId="10" fillId="29" fontId="2" numFmtId="204" xfId="0">
      <alignment horizontal="center" vertical="center"/>
    </xf>
    <xf applyAlignment="true" applyBorder="false" applyFill="true" applyFont="true" applyNumberFormat="true" applyProtection="false" borderId="10" fillId="29" fontId="2" numFmtId="205" xfId="0">
      <alignment horizontal="center" vertical="center"/>
    </xf>
    <xf applyAlignment="true" applyBorder="false" applyFill="true" applyFont="true" applyNumberFormat="true" applyProtection="false" borderId="10" fillId="29" fontId="2" numFmtId="202" xfId="0">
      <alignment horizontal="center" vertical="center"/>
    </xf>
    <xf applyAlignment="true" applyBorder="false" applyFill="false" applyFont="true" applyNumberFormat="false" applyProtection="false" borderId="0" fillId="0" fontId="4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/xl/pivotCache/pivotCacheDefinition1.xml" Type="http://schemas.openxmlformats.org/officeDocument/2006/relationships/pivotCacheDefinition"></Relationship><Relationship Id="rId7" Target="worksheets/sheet3.xml" Type="http://schemas.openxmlformats.org/officeDocument/2006/relationships/worksheet"></Relationship><Relationship Id="rId8" Target="worksheets/sheet4.xml" Type="http://schemas.openxmlformats.org/officeDocument/2006/relationships/worksheet"></Relationship><Relationship Id="rId9" Target="/xl/pivotCache/pivotCacheDefinition2.xml" Type="http://schemas.openxmlformats.org/officeDocument/2006/relationships/pivotCacheDefinition"></Relationship><Relationship Id="rId10" Target="worksheets/sheet5.xml" Type="http://schemas.openxmlformats.org/officeDocument/2006/relationships/worksheet"></Relationship><Relationship Id="rId11" Target="/xl/pivotCache/pivotCacheDefinition3.xml" Type="http://schemas.openxmlformats.org/officeDocument/2006/relationships/pivotCacheDefinition"></Relationship><Relationship Id="rId12" Target="worksheets/sheet6.xml" Type="http://schemas.openxmlformats.org/officeDocument/2006/relationships/worksheet"></Relationship><Relationship Id="rId13" Target="worksheets/sheet7.xml" Type="http://schemas.openxmlformats.org/officeDocument/2006/relationships/worksheet"></Relationship></Relationships>
</file>

<file path=xl/pivotCache/pivotCacheDefinition1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L$82" sheet="2026.10"/>
  </cacheSource>
  <cacheFields count="12">
    <cacheField name="时间" numFmtId="0">
      <sharedItems containsSemiMixedTypes="false" containsNonDate="false" containsDate="true" containsString="false" minDate="2026-10-01T00:00:00.000Z" maxDate="2026-10-17T00:00:00.000Z" count="0"/>
    </cacheField>
    <cacheField name="主播" numFmtId="0">
      <sharedItems count="6">
        <s v="王冰心"/>
        <s v="张惠霞"/>
        <s v="段弼瑞"/>
        <s v="邢佳熙"/>
        <s v="日总"/>
        <s v="孔丹阳"/>
      </sharedItems>
    </cacheField>
    <cacheField name="主播时段" numFmtId="0">
      <sharedItems containsBlank="true" count="0"/>
    </cacheField>
    <cacheField name="主播时长" numFmtId="0">
      <sharedItems containsSemiMixedTypes="false" containsString="false" containsNumber="true" containsInteger="true" minValue="2" maxValue="16" count="7">
        <n v="4"/>
        <n v="16"/>
        <n v="3"/>
        <n v="15"/>
        <n v="12"/>
        <n v="14"/>
        <n v="2"/>
      </sharedItems>
    </cacheField>
    <cacheField name="订单" numFmtId="0">
      <sharedItems containsSemiMixedTypes="false" containsString="false" containsNumber="true" containsInteger="true" minValue="3" maxValue="85" count="0"/>
    </cacheField>
    <cacheField name="保单" numFmtId="0">
      <sharedItems containsSemiMixedTypes="false" containsString="false" containsNumber="true" containsInteger="true" minValue="2" maxValue="66" count="34">
        <n v="19"/>
        <n v="10"/>
        <n v="12"/>
        <n v="22"/>
        <n v="63"/>
        <n v="14"/>
        <n v="8"/>
        <n v="11"/>
        <n v="43"/>
        <n v="18"/>
        <n v="7"/>
        <n v="20"/>
        <n v="59"/>
        <n v="13"/>
        <n v="17"/>
        <n v="25"/>
        <n v="66"/>
        <n v="4"/>
        <n v="9"/>
        <n v="46"/>
        <n v="42"/>
        <n v="5"/>
        <n v="6"/>
        <n v="52"/>
        <n v="16"/>
        <n v="38"/>
        <n v="27"/>
        <n v="2"/>
        <n v="36"/>
        <n v="21"/>
        <n v="44"/>
        <n v="3"/>
        <n v="32"/>
        <n v="35"/>
      </sharedItems>
    </cacheField>
    <cacheField name="保险支付数" numFmtId="0">
      <sharedItems containsSemiMixedTypes="false" containsString="false" containsNumber="true" containsInteger="true" minValue="2" maxValue="50" count="0"/>
    </cacheField>
    <cacheField name="年化保费" numFmtId="0">
      <sharedItems containsSemiMixedTypes="false" containsString="false" containsNumber="true" minValue="2875.84" maxValue="176192.42999999996" count="81">
        <n v="52982.520000000004"/>
        <n v="26157.57"/>
        <n v="28600.97"/>
        <n v="58120.45"/>
        <n v="165861.51"/>
        <n v="40347.59"/>
        <n v="16722.300000000003"/>
        <n v="24768.859999999997"/>
        <n v="27216.74"/>
        <n v="109055.49"/>
        <n v="42717.73"/>
        <n v="29764.95"/>
        <n v="16614.820000000003"/>
        <n v="70337.81"/>
        <n v="159435.31"/>
        <n v="31140.460000000003"/>
        <n v="28336.59"/>
        <n v="38800.68"/>
        <n v="44086.75"/>
        <n v="142364.48"/>
        <n v="59593.46"/>
        <n v="43249.189999999995"/>
        <n v="34897.95"/>
        <n v="38451.82999999998"/>
        <n v="176192.42999999996"/>
        <n v="10645.02"/>
        <n v="13906.280000000002"/>
        <n v="26390.500000000004"/>
        <n v="45967.87"/>
        <n v="96909.67000000001"/>
        <n v="42537.73"/>
        <n v="30647.65"/>
        <n v="23915.46"/>
        <n v="17655.83000000001"/>
        <n v="114756.67000000001"/>
        <n v="14703.33"/>
        <n v="7245.4400000000005"/>
        <n v="17124.129999999997"/>
        <n v="39072.899999999994"/>
        <n v="47548.92000000001"/>
        <n v="48439.25"/>
        <n v="23907.51"/>
        <n v="49808.53000000001"/>
        <n v="169704.21000000002"/>
        <n v="32995.24"/>
        <n v="37504.11"/>
        <n v="17435.269999999993"/>
        <n v="87934.62"/>
        <n v="17668.66"/>
        <n v="11616.77"/>
        <n v="25831.61"/>
        <n v="55117.04"/>
        <n v="13081.789999999999"/>
        <n v="12904.71"/>
        <n v="6075.41"/>
        <n v="32061.91"/>
        <n v="18987.370000000003"/>
        <n v="4642.56"/>
        <n v="22202.93"/>
        <n v="18008.53"/>
        <n v="63841.39"/>
        <n v="43847.270000000004"/>
        <n v="17304.66"/>
        <n v="12537.010000000002"/>
        <n v="19906.029999999995"/>
        <n v="93594.97"/>
        <n v="16243.269999999999"/>
        <n v="17222.66"/>
        <n v="17177.140000000003"/>
        <n v="2875.84"/>
        <n v="53518.91"/>
        <n v="27612.009999999995"/>
        <n v="15393.32"/>
        <n v="11568.39"/>
        <n v="5190.41"/>
        <n v="59764.12999999999"/>
        <n v="28416.440000000002"/>
        <n v="11535.940000000002"/>
        <n v="17016.78"/>
        <n v="28467.040000000005"/>
        <n v="85436.20000000001"/>
      </sharedItems>
    </cacheField>
    <cacheField name="消耗" numFmtId="0">
      <sharedItems containsSemiMixedTypes="false" containsString="false" containsNumber="true" minValue="4924.400000000001" maxValue="61698.979999999996" count="81">
        <n v="12896.38"/>
        <n v="11757.87"/>
        <n v="12420.24"/>
        <n v="16866.29"/>
        <n v="53940.78"/>
        <n v="12805.69"/>
        <n v="14412.52"/>
        <n v="14117.940000000002"/>
        <n v="11475.68"/>
        <n v="52811.83"/>
        <n v="13785.91"/>
        <n v="14611.98"/>
        <n v="13714.400000000001"/>
        <n v="15231.92"/>
        <n v="57344.21"/>
        <n v="15156.470000000001"/>
        <n v="11917.6"/>
        <n v="13328.47"/>
        <n v="21296.44"/>
        <n v="61698.979999999996"/>
        <n v="19895.41"/>
        <n v="14222.93"/>
        <n v="11976.07"/>
        <n v="9132.02"/>
        <n v="55226.42999999999"/>
        <n v="11821.39"/>
        <n v="11336.76"/>
        <n v="12602.95"/>
        <n v="10667.69"/>
        <n v="46428.79000000001"/>
        <n v="12402.11"/>
        <n v="11931.869999999999"/>
        <n v="11569.57"/>
        <n v="10635.51"/>
        <n v="46539.060000000005"/>
        <n v="11835.83"/>
        <n v="11059.57"/>
        <n v="11714.31"/>
        <n v="34609.71"/>
        <n v="14482.09"/>
        <n v="15619.88"/>
        <n v="11368.94"/>
        <n v="11146.76"/>
        <n v="52617.670000000006"/>
        <n v="13847.720000000001"/>
        <n v="13525.749999999998"/>
        <n v="12703.58"/>
        <n v="40077.05"/>
        <n v="11643.14"/>
        <n v="13573.92"/>
        <n v="6773.94"/>
        <n v="31990.999999999996"/>
        <n v="12474.779999999999"/>
        <n v="7243.6900000000005"/>
        <n v="4924.400000000001"/>
        <n v="24642.870000000003"/>
        <n v="10484.55"/>
        <n v="8137.13"/>
        <n v="11062.71"/>
        <n v="8529.28"/>
        <n v="38213.67"/>
        <n v="14876.689999999999"/>
        <n v="14349.82"/>
        <n v="12111.19"/>
        <n v="7764.73"/>
        <n v="49102.42999999999"/>
        <n v="10207.65"/>
        <n v="9484.27"/>
        <n v="5536.29"/>
        <n v="5554.37"/>
        <n v="30782.579999999998"/>
        <n v="10093.990000000002"/>
        <n v="8860.96"/>
        <n v="5292.3"/>
        <n v="7429.76"/>
        <n v="31677.010000000002"/>
        <n v="9814.36"/>
        <n v="8582.119999999999"/>
        <n v="7754.98"/>
        <n v="14220.25"/>
        <n v="40371.71"/>
      </sharedItems>
    </cacheField>
    <cacheField name="roi" numFmtId="0">
      <sharedItems containsSemiMixedTypes="false" containsString="false" containsNumber="true" minValue="0.5177616903447196" maxValue="4.61779014070452" count="0"/>
    </cacheField>
    <cacheField name="单均" numFmtId="0">
      <sharedItems containsSemiMixedTypes="false" containsString="false" containsNumber="true" minValue="958.6133333333333" maxValue="4403.568181818182" count="0"/>
    </cacheField>
    <cacheField name="保单成本" numFmtId="0">
      <sharedItems containsSemiMixedTypes="false" containsString="false" containsNumber="true" minValue="561.4573684210527" maxValue="4068.565" count="0"/>
    </cacheField>
  </cacheFields>
</pivotCacheDefinition>
</file>

<file path=xl/pivotCache/pivotCacheDefinition2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P$105" sheet="2026.9"/>
  </cacheSource>
  <cacheFields count="16">
    <cacheField name="时间" numFmtId="0">
      <sharedItems containsSemiMixedTypes="false" containsNonDate="false" containsDate="true" containsString="false" minDate="2026-09-01T00:00:00.000Z" maxDate="2026-09-30T00:00:00.000Z" count="0"/>
    </cacheField>
    <cacheField name="主播" numFmtId="0">
      <sharedItems count="6">
        <s v="王冰心"/>
        <s v="张惠霞"/>
        <s v="日总"/>
        <s v="孔丹阳"/>
        <s v="邢佳熙"/>
        <s v="段弼瑞"/>
      </sharedItems>
    </cacheField>
    <cacheField name="主播时段" numFmtId="0">
      <sharedItems containsBlank="true" count="0"/>
    </cacheField>
    <cacheField name="主播时长" numFmtId="0">
      <sharedItems containsSemiMixedTypes="false" containsString="false" containsNumber="true" containsInteger="true" minValue="2" maxValue="16" count="10">
        <n v="3"/>
        <n v="2"/>
        <n v="5"/>
        <n v="6"/>
        <n v="4"/>
        <n v="7"/>
        <n v="8"/>
        <n v="12"/>
        <n v="16"/>
        <n v="14"/>
      </sharedItems>
    </cacheField>
    <cacheField name="订单" numFmtId="0">
      <sharedItems containsSemiMixedTypes="false" containsString="false" containsNumber="true" containsInteger="true" minValue="0" maxValue="117" count="0"/>
    </cacheField>
    <cacheField name="保单" numFmtId="0">
      <sharedItems containsSemiMixedTypes="false" containsString="false" containsNumber="true" containsInteger="true" minValue="0" maxValue="87" count="0"/>
    </cacheField>
    <cacheField name="保险支付数" numFmtId="0">
      <sharedItems containsSemiMixedTypes="false" containsString="false" containsNumber="true" containsInteger="true" minValue="0" maxValue="71" count="0"/>
    </cacheField>
    <cacheField name="年化保费" numFmtId="0">
      <sharedItems containsSemiMixedTypes="false" containsString="false" containsNumber="true" minValue="0" maxValue="207420.2" count="99">
        <n v="1430.7"/>
        <n v="0"/>
        <n v="12875.03"/>
        <n v="2740.89"/>
        <n v="7413.8"/>
        <n v="13782.739999999998"/>
        <n v="21196.539999999997"/>
        <n v="4503.33"/>
        <n v="17778.39"/>
        <n v="22281.72"/>
        <n v="4344.450000000001"/>
        <n v="24355.35"/>
        <n v="28699.8"/>
        <n v="56616.81"/>
        <n v="13677.75"/>
        <n v="70294.56"/>
        <n v="12824.890000000001"/>
        <n v="51897.979999999996"/>
        <n v="64722.869999999995"/>
        <n v="40286.340000000004"/>
        <n v="84511.64"/>
        <n v="124797.98000000001"/>
        <n v="61242.020000000004"/>
        <n v="55648.810000000005"/>
        <n v="116890.83000000002"/>
        <n v="30270.479999999996"/>
        <n v="62892.11"/>
        <n v="93162.59"/>
        <n v="25809.839999999997"/>
        <n v="63677.979999999996"/>
        <n v="89487.81999999999"/>
        <n v="40844.5"/>
        <n v="31275.529999999995"/>
        <n v="72120.03"/>
        <n v="50703.7"/>
        <n v="57929.95999999999"/>
        <n v="108633.65999999999"/>
        <n v="44428.009999999995"/>
        <n v="19332.25"/>
        <n v="63760.259999999995"/>
        <n v="44738.19"/>
        <n v="32561.55"/>
        <n v="77299.74"/>
        <n v="45881.05"/>
        <n v="29388.51"/>
        <n v="75269.56"/>
        <n v="43033.399999999994"/>
        <n v="54449.479999999996"/>
        <n v="53851.89"/>
        <n v="151334.77"/>
        <n v="23726.96"/>
        <n v="43544.28999999999"/>
        <n v="21287.660000000003"/>
        <n v="88558.91"/>
        <n v="51791.72"/>
        <n v="31998.42"/>
        <n v="60190.55"/>
        <n v="143980.69"/>
        <n v="36302.72"/>
        <n v="38727.920000000006"/>
        <n v="19309.84"/>
        <n v="94340.48000000001"/>
        <n v="17339.61"/>
        <n v="43874.96"/>
        <n v="29408.33"/>
        <n v="90622.9"/>
        <n v="27189.47"/>
        <n v="24598.28"/>
        <n v="22822.170000000002"/>
        <n v="74609.92"/>
        <n v="34391.97"/>
        <n v="22554.3"/>
        <n v="39404.48"/>
        <n v="58761.03"/>
        <n v="155111.78"/>
        <n v="40885.1"/>
        <n v="22286.620000000003"/>
        <n v="46526.899999999994"/>
        <n v="70819.4"/>
        <n v="180518.02"/>
        <n v="30802.909999999996"/>
        <n v="30048.370000000003"/>
        <n v="88595.78000000001"/>
        <n v="49550.189999999995"/>
        <n v="198997.25"/>
        <n v="36663"/>
        <n v="30546.61"/>
        <n v="33917.799999999996"/>
        <n v="21811.37"/>
        <n v="122938.78"/>
        <n v="82584.77"/>
        <n v="52382.44"/>
        <n v="31873.1"/>
        <n v="40579.89"/>
        <n v="207420.2"/>
        <n v="71814.17"/>
        <n v="51557.86"/>
        <n v="20459.12"/>
        <n v="143831.15"/>
      </sharedItems>
    </cacheField>
    <cacheField name="消耗" numFmtId="0">
      <sharedItems containsSemiMixedTypes="false" containsString="false" containsNumber="true" minValue="1228.88" maxValue="92958.53" count="104">
        <n v="3771.09"/>
        <n v="1228.88"/>
        <n v="4999.97"/>
        <n v="2101.62"/>
        <n v="2999.6400000000003"/>
        <n v="5101.26"/>
        <n v="2565.0299999999997"/>
        <n v="3413.15"/>
        <n v="5978.18"/>
        <n v="3630.71"/>
        <n v="11231.14"/>
        <n v="14861.849999999999"/>
        <n v="7194.83"/>
        <n v="8775.619999999999"/>
        <n v="15970.449999999999"/>
        <n v="7241.220000000001"/>
        <n v="8527.33"/>
        <n v="15768.550000000001"/>
        <n v="19542.27"/>
        <n v="6669.92"/>
        <n v="26212.190000000002"/>
        <n v="10933.419999999998"/>
        <n v="22145.11"/>
        <n v="33078.53"/>
        <n v="15114.71"/>
        <n v="42341.45"/>
        <n v="57456.159999999996"/>
        <n v="26823.079999999998"/>
        <n v="31572.88"/>
        <n v="58395.96"/>
        <n v="21255.24"/>
        <n v="22350.870000000003"/>
        <n v="43606.11"/>
        <n v="20438.29"/>
        <n v="23173.44"/>
        <n v="43611.729999999996"/>
        <n v="27719.72"/>
        <n v="23526.309999999998"/>
        <n v="51246.03"/>
        <n v="32384.47"/>
        <n v="21608.68"/>
        <n v="53993.15"/>
        <n v="26681.85"/>
        <n v="17245.74"/>
        <n v="43927.59"/>
        <n v="22536.059999999998"/>
        <n v="22744.819999999996"/>
        <n v="45280.87999999999"/>
        <n v="21059.62"/>
        <n v="23780.68"/>
        <n v="44840.3"/>
        <n v="20040.59"/>
        <n v="23228.32"/>
        <n v="21475.12"/>
        <n v="64744.03"/>
        <n v="19881.43"/>
        <n v="15570.97"/>
        <n v="15145.380000000001"/>
        <n v="50597.78"/>
        <n v="21641.68"/>
        <n v="17895.05"/>
        <n v="24913.7"/>
        <n v="64450.42999999999"/>
        <n v="22625.53"/>
        <n v="19774.32"/>
        <n v="17627.14"/>
        <n v="60026.99"/>
        <n v="17425.04"/>
        <n v="16939.64"/>
        <n v="14538.28"/>
        <n v="48902.96"/>
        <n v="13703.17"/>
        <n v="11184.72"/>
        <n v="14249.289999999999"/>
        <n v="39137.18"/>
        <n v="14696.41"/>
        <n v="11031.23"/>
        <n v="16049.22"/>
        <n v="21538.65"/>
        <n v="63315.51"/>
        <n v="19274.37"/>
        <n v="12464.16"/>
        <n v="16018.8"/>
        <n v="23461.12"/>
        <n v="71218.45"/>
        <n v="15482.490000000002"/>
        <n v="16930.2"/>
        <n v="26477.57"/>
        <n v="34068.27"/>
        <n v="92958.53"/>
        <n v="13484.84"/>
        <n v="14982.47"/>
        <n v="17483.79"/>
        <n v="13335.14"/>
        <n v="59286.24"/>
        <n v="21207.050000000003"/>
        <n v="32319.53"/>
        <n v="17290.91"/>
        <n v="19340.66"/>
        <n v="90158.15000000001"/>
        <n v="23815.77"/>
        <n v="21001.92"/>
        <n v="17634.05"/>
        <n v="62451.740000000005"/>
      </sharedItems>
    </cacheField>
    <cacheField name="roi" numFmtId="0">
      <sharedItems containsSemiMixedTypes="false" containsString="false" containsNumber="true" minValue="0" maxValue="4.292191729674228" count="0"/>
    </cacheField>
    <cacheField name="单均" numFmtId="0">
      <sharedItems containsMixedTypes="true" containsNumber="true" minValue="1430.7" maxValue="4492.293571428571" count="0"/>
    </cacheField>
    <cacheField name="保单成本" numFmtId="0">
      <sharedItems containsMixedTypes="true" containsNumber="true" minValue="499.94000000000005" maxValue="5978.18" count="0"/>
    </cacheField>
    <cacheField name="场控" numFmtId="0">
      <sharedItems containsBlank="true" count="0"/>
    </cacheField>
    <cacheField name="场控时长" numFmtId="0">
      <sharedItems containsString="false" containsBlank="true" containsNumber="true" containsInteger="true" minValue="1" maxValue="16" count="0"/>
    </cacheField>
    <cacheField name="投手" numFmtId="0">
      <sharedItems containsBlank="true" count="0"/>
    </cacheField>
    <cacheField name="投手时长" numFmtId="0">
      <sharedItems containsString="false" containsBlank="true" containsNumber="true" containsInteger="true" minValue="5" maxValue="16" count="0"/>
    </cacheField>
  </cacheFields>
</pivotCacheDefinition>
</file>

<file path=xl/pivotCache/pivotCacheDefinition3.xml><?xml version="1.0" encoding="utf-8"?>
<pivotCacheDefinition xmlns="http://schemas.openxmlformats.org/spreadsheetml/2006/main" saveData="false" refreshOnLoad="true" backgroundQuery="false" createdVersion="3" refreshedVersion="3" minRefreshableVersion="3">
  <cacheSource type="worksheet">
    <worksheetSource ref="$A$1:$Q$75" sheet="2026.8"/>
  </cacheSource>
  <cacheFields count="17">
    <cacheField name="时间" numFmtId="0">
      <sharedItems containsSemiMixedTypes="false" containsNonDate="false" containsDate="true" containsString="false" minDate="2026-08-07T00:00:00.000Z" maxDate="2026-08-31T00:00:00.000Z" count="0"/>
    </cacheField>
    <cacheField name="主播" numFmtId="0">
      <sharedItems containsBlank="true" count="6">
        <s v="王冰心"/>
        <s v="日总"/>
        <s v="孔丹阳"/>
        <m/>
        <s v="段弼瑞"/>
        <s v="张惠霞"/>
      </sharedItems>
    </cacheField>
    <cacheField name="主播时段" numFmtId="0">
      <sharedItems containsBlank="true" count="0"/>
    </cacheField>
    <cacheField name="主播时长" numFmtId="0">
      <sharedItems containsString="false" containsBlank="true" containsNumber="true" containsInteger="true" minValue="2" maxValue="6" count="6">
        <n v="4"/>
        <n v="3"/>
        <n v="6"/>
        <m/>
        <n v="2"/>
        <n v="5"/>
      </sharedItems>
    </cacheField>
    <cacheField name="订单" numFmtId="0">
      <sharedItems containsString="false" containsBlank="true" containsNumber="true" containsInteger="true" minValue="0" maxValue="27" count="0"/>
    </cacheField>
    <cacheField name="保单" numFmtId="0">
      <sharedItems containsString="false" containsBlank="true" containsNumber="true" containsInteger="true" minValue="0" maxValue="15" count="0"/>
    </cacheField>
    <cacheField name="保险支付数" numFmtId="0">
      <sharedItems containsString="false" containsBlank="true" containsNumber="true" containsInteger="true" minValue="0" maxValue="12" count="0"/>
    </cacheField>
    <cacheField name="年化保费" numFmtId="0">
      <sharedItems containsString="false" containsBlank="true" containsNumber="true" minValue="0" maxValue="36244.240000000005" count="56">
        <n v="0"/>
        <n v="1654"/>
        <n v="10450.95"/>
        <n v="12104.95"/>
        <n v="15482.79"/>
        <n v="20761.450000000004"/>
        <n v="36244.240000000005"/>
        <n v="6864.9"/>
        <n v="9487.8"/>
        <n v="16352.699999999999"/>
        <n v="14666.43"/>
        <n v="17841.24"/>
        <n v="32507.670000000002"/>
        <n v="4455.64"/>
        <n v="16086.16"/>
        <n v="20541.8"/>
        <n v="6944.46"/>
        <n v="12508.630000000001"/>
        <n v="19453.09"/>
        <n v="7695.53"/>
        <n v="7409.5"/>
        <n v="15105.029999999999"/>
        <n v="2536.79"/>
        <n v="6210.94"/>
        <n v="8747.73"/>
        <n v="3738.25"/>
        <n v="10869.619999999999"/>
        <m/>
        <n v="14607.869999999999"/>
        <n v="1775.55"/>
        <n v="1167.08"/>
        <n v="17516.29"/>
        <n v="2851.91"/>
        <n v="2849.1800000000003"/>
        <n v="5701.09"/>
        <n v="2861.4"/>
        <n v="8252.66"/>
        <n v="12866.990000000002"/>
        <n v="21119.65"/>
        <n v="22726.18"/>
        <n v="3048.079999999998"/>
        <n v="25774.26"/>
        <n v="6546.75"/>
        <n v="8200.75"/>
        <n v="5000.85"/>
        <n v="12450.7"/>
        <n v="17451.550000000003"/>
        <n v="7576.18"/>
        <n v="9620.04"/>
        <n v="7589.27"/>
        <n v="17209.31"/>
        <n v="3450.4"/>
        <n v="10461.16"/>
        <n v="13911.56"/>
        <n v="1869"/>
        <n v="4738.03"/>
      </sharedItems>
    </cacheField>
    <cacheField name="消耗" numFmtId="0">
      <sharedItems containsString="false" containsBlank="true" containsNumber="true" minValue="724.96" maxValue="21740.74" count="72">
        <n v="3186.89"/>
        <n v="3854.9"/>
        <n v="10599.720000000001"/>
        <n v="14454.62"/>
        <n v="8937.14"/>
        <n v="6019.13"/>
        <n v="14956.27"/>
        <n v="7319.25"/>
        <n v="9645.01"/>
        <n v="16964.260000000002"/>
        <n v="9131.95"/>
        <n v="12608.79"/>
        <n v="21740.74"/>
        <n v="3288.2700000000004"/>
        <n v="4986.17"/>
        <n v="8274.44"/>
        <n v="4410.49"/>
        <n v="9505.6"/>
        <n v="13916.09"/>
        <n v="7387.28"/>
        <n v="9830.72"/>
        <n v="17218"/>
        <n v="3433.3"/>
        <n v="4214.34"/>
        <n v="7647.64"/>
        <n v="7105.120000000001"/>
        <n v="4955.19"/>
        <m/>
        <n v="12060.310000000001"/>
        <n v="5181.01"/>
        <n v="2931.9"/>
        <n v="8112.91"/>
        <n v="5268.24"/>
        <n v="1802.1999999999998"/>
        <n v="7070.44"/>
        <n v="1300.31"/>
        <n v="724.96"/>
        <n v="2025.27"/>
        <n v="3616.3500000000004"/>
        <n v="3203.88"/>
        <n v="6820.2300000000005"/>
        <n v="3313.73"/>
        <n v="1915.44"/>
        <n v="5229.17"/>
        <n v="5498.3099999999995"/>
        <n v="4419.16"/>
        <n v="9917.47"/>
        <n v="3364.27"/>
        <n v="6547.5"/>
        <n v="9911.77"/>
        <n v="8890.72"/>
        <n v="7571.41"/>
        <n v="16462.129999999997"/>
        <n v="6112.92"/>
        <n v="10140.29"/>
        <n v="16253.210000000001"/>
        <n v="7576.81"/>
        <n v="6617.27"/>
        <n v="14194.080000000002"/>
        <n v="5428.33"/>
        <n v="5626.24"/>
        <n v="11054.57"/>
        <n v="4055.34"/>
        <n v="4925.87"/>
        <n v="8981.21"/>
        <n v="4174.38"/>
        <n v="2580.11"/>
        <n v="6754.49"/>
        <n v="4361.89"/>
        <n v="3442.81"/>
        <n v="7804.700000000001"/>
        <n v="5135.72"/>
      </sharedItems>
    </cacheField>
    <cacheField name="roi" numFmtId="0">
      <sharedItems containsString="false" containsBlank="true" containsNumber="true" minValue="0" maxValue="4.843637922214387" count="0"/>
    </cacheField>
    <cacheField name="单均" numFmtId="0">
      <sharedItems containsBlank="true" containsMixedTypes="true" containsNumber="true" minValue="1167.08" maxValue="20761.450000000004" count="0"/>
    </cacheField>
    <cacheField name="保单成本" numFmtId="0">
      <sharedItems containsBlank="true" containsMixedTypes="true" containsNumber="true" minValue="957.72" maxValue="10140.29" count="0"/>
    </cacheField>
    <cacheField name="场控" numFmtId="0">
      <sharedItems containsBlank="true" count="0"/>
    </cacheField>
    <cacheField name="场控时长" numFmtId="0">
      <sharedItems containsString="false" containsBlank="true" containsNumber="true" containsInteger="true" minValue="1" maxValue="6" count="0"/>
    </cacheField>
    <cacheField name="投手" numFmtId="0">
      <sharedItems containsBlank="true" count="0"/>
    </cacheField>
    <cacheField name="投手时长" numFmtId="0">
      <sharedItems containsString="false" containsBlank="true" containsNumber="true" containsInteger="true" minValue="4" maxValue="6" count="0"/>
    </cacheField>
    <cacheField name="备注" numFmtId="0">
      <sharedItems containsBlank="true" count="0"/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arget="../pivotCache/pivotCacheDefinition1.xml" Type="http://schemas.openxmlformats.org/officeDocument/2006/relationships/pivotCacheDefinition"></Relationship></Relationships>
</file>

<file path=xl/pivotTables/_rels/pivotTable2.xml.rels><?xml version="1.0" encoding="UTF-8" standalone="yes"?>
<Relationships xmlns="http://schemas.openxmlformats.org/package/2006/relationships"><Relationship Id="rId1" Target="../pivotCache/pivotCacheDefinition2.xml" Type="http://schemas.openxmlformats.org/officeDocument/2006/relationships/pivotCacheDefinition"></Relationship></Relationships>
</file>

<file path=xl/pivotTables/_rels/pivotTable3.xml.rels><?xml version="1.0" encoding="UTF-8" standalone="yes"?>
<Relationships xmlns="http://schemas.openxmlformats.org/package/2006/relationships"><Relationship Id="rId1" Target="../pivotCache/pivotCacheDefinition3.xml" Type="http://schemas.openxmlformats.org/officeDocument/2006/relationships/pivotCacheDefinition"></Relationship></Relationships>
</file>

<file path=xl/pivotTables/pivotTable1.xml><?xml version="1.0" encoding="utf-8"?>
<pivotTableDefinition xmlns="http://schemas.openxmlformats.org/spreadsheetml/2006/main" name="Pivot Table1" cacheId="1" dataCaption="值" updatedVersion="3" minRefreshableVersion="3" useAutoFormatting="true" createdVersion="3" compact="false" compactData="false">
  <location ref="$A$100:$E$106" firstHeaderRow="1" firstDataRow="1" firstDataCol="1"/>
  <pivotFields count="12">
    <pivotField compact="false" outline="false" showAll="false"/>
    <pivotField axis="axisRow" compact="false" outline="false" showAll="false">
      <items count="7">
        <item x="0"/>
        <item x="1"/>
        <item x="2"/>
        <item x="3"/>
        <item h="true" x="4"/>
        <item x="5"/>
        <item t="default"/>
      </items>
    </pivotField>
    <pivotField compact="false" outline="false" showAll="false"/>
    <pivotField dataField="true" compact="false" outline="false" showAll="false">
      <items count="8">
        <item x="0"/>
        <item x="1"/>
        <item x="2"/>
        <item x="3"/>
        <item x="4"/>
        <item x="5"/>
        <item x="6"/>
        <item t="default"/>
      </items>
    </pivotField>
    <pivotField compact="false" outline="false" showAll="false"/>
    <pivotField dataField="true" compact="false" outline="false" showAll="false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compact="false" outline="false" showAll="false"/>
    <pivotField dataField="true" compact="false" outline="false" showAll="false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dataField="true" compact="false" outline="false" showAll="false">
      <items count="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4">
    <dataField name="求和项:主播时长" fld="3" subtotal="sum"/>
    <dataField name="求和项:保单" fld="5" subtotal="sum"/>
    <dataField name="求和项:年化保费" fld="7" subtotal="sum"/>
    <dataField name="求和项:消耗" fld="8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 Table2" cacheId="2" dataCaption="值" updatedVersion="3" minRefreshableVersion="3" useAutoFormatting="true" createdVersion="3" compact="false" compactData="false">
  <location ref="$B$110:$E$116" firstHeaderRow="1" firstDataRow="1" firstDataCol="1"/>
  <pivotFields count="16">
    <pivotField compact="false" outline="false" showAll="false"/>
    <pivotField axis="axisRow" compact="false" outline="false" showAll="false">
      <items count="7">
        <item x="0"/>
        <item x="1"/>
        <item h="true" x="2"/>
        <item x="3"/>
        <item x="4"/>
        <item x="5"/>
        <item t="default"/>
      </items>
    </pivotField>
    <pivotField compact="false" outline="false" showAll="false"/>
    <pivotField dataField="true" compact="false" outline="false" showAll="false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dataField="true" compact="false" outline="false" showAll="false">
      <items count="10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主播时长" fld="3" subtotal="sum"/>
    <dataField name="求和项:年化保费" fld="7" subtotal="sum"/>
    <dataField name="求和项:消耗" fld="8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 Table3" cacheId="3" dataCaption="值" updatedVersion="3" minRefreshableVersion="3" useAutoFormatting="true" createdVersion="3" compact="false" compactData="false">
  <location ref="$C$79:$F$84" firstHeaderRow="1" firstDataRow="1" firstDataCol="1"/>
  <pivotFields count="17">
    <pivotField compact="false" outline="false" showAll="false"/>
    <pivotField axis="axisRow" compact="false" outline="false" showAll="false">
      <items count="7">
        <item x="0"/>
        <item h="true" x="1"/>
        <item x="2"/>
        <item h="true" x="3"/>
        <item x="4"/>
        <item x="5"/>
        <item t="default"/>
      </items>
    </pivotField>
    <pivotField compact="false" outline="false" showAll="false"/>
    <pivotField dataField="true" compact="false" outline="false" showAll="false">
      <items count="7">
        <item x="0"/>
        <item x="1"/>
        <item x="2"/>
        <item x="3"/>
        <item x="4"/>
        <item x="5"/>
        <item t="default"/>
      </items>
    </pivotField>
    <pivotField compact="false" outline="false" showAll="false"/>
    <pivotField compact="false" outline="false" showAll="false"/>
    <pivotField compact="false" outline="false" showAll="false"/>
    <pivotField dataField="true" compact="false" outline="false" showAll="false">
      <items count="5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t="default"/>
      </items>
    </pivotField>
    <pivotField dataField="true" compact="false" outline="false" showAll="false">
      <items count="7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t="default"/>
      </items>
    </pivotField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  <pivotField compact="false" outline="false" showAll="false"/>
  </pivotFields>
  <rowFields count="1">
    <field x="1"/>
  </rowFields>
  <colFields count="1">
    <field x="-2"/>
  </colFields>
  <dataFields count="3">
    <dataField name="求和项:主播时长" fld="3" subtotal="sum"/>
    <dataField name="求和项:年化保费" fld="7" subtotal="sum"/>
    <dataField name="求和项:消耗" fld="8" subtotal="sum"/>
  </dataFields>
  <pivotTableStyleInfo name="PivotStyleLight16" showRowHeaders="true" showColHeaders="true" showLastColumn="true"/>
  <extLst>
    <ext xmlns:x14="http://schemas.microsoft.com/office/spreadsheetml/2009/9/main" uri="{962EF5D1-5CA2-4c93-8EF4-DBF5C05439D2}">
      <x14:pivotTableDefinition xmlns:xm="http://schemas.microsoft.com/office/excel/2006/main" hideValuesRow="true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pivotTables/pivotTable1.xml" Type="http://schemas.openxmlformats.org/officeDocument/2006/relationships/pivotTable"></Relationship></Relationships>
</file>

<file path=xl/worksheets/_rels/sheet4.xml.rels><?xml version="1.0" encoding="UTF-8" standalone="yes"?>
<Relationships xmlns="http://schemas.openxmlformats.org/package/2006/relationships"><Relationship Id="rId1" Target="../pivotTables/pivotTable2.xml" Type="http://schemas.openxmlformats.org/officeDocument/2006/relationships/pivotTable"></Relationship></Relationships>
</file>

<file path=xl/worksheets/_rels/sheet5.xml.rels><?xml version="1.0" encoding="UTF-8" standalone="yes"?>
<Relationships xmlns="http://schemas.openxmlformats.org/package/2006/relationships"><Relationship Id="rId1" Target="../pivotTables/pivotTable3.xml" Type="http://schemas.openxmlformats.org/officeDocument/2006/relationships/pivotTabl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pane state="frozen" topLeftCell="A2" ySplit="1"/>
    </sheetView>
  </sheetViews>
  <sheetFormatPr defaultRowHeight="16"/>
  <cols>
    <col collapsed="false" customWidth="true" hidden="false" max="2" min="2" style="0" width="11.211267605633802"/>
    <col collapsed="false" customWidth="true" hidden="false" max="6" min="6" style="0" width="12.64480633802817"/>
    <col collapsed="false" customWidth="true" hidden="false" max="10" min="10" style="0" width="12.64480633802817"/>
    <col collapsed="false" customWidth="true" hidden="false" max="14" min="14" style="0" width="12.64480633802817"/>
    <col collapsed="false" customWidth="true" hidden="false" max="18" min="18" style="0" width="11.211267605633802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9" min="9" style="0" width="12.64480633802817"/>
    <col collapsed="false" customWidth="true" hidden="false" max="13" min="13" style="0" width="12.64480633802817"/>
    <col collapsed="false" customWidth="true" hidden="false" max="17" min="17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2.64480633802817"/>
    <col collapsed="false" customWidth="true" hidden="false" max="16" min="16" style="0" width="12.64480633802817"/>
    <col collapsed="false" customWidth="true" hidden="false" max="20" min="20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2.64480633802817"/>
    <col collapsed="false" customWidth="true" hidden="false" max="15" min="15" style="0" width="12.64480633802817"/>
    <col collapsed="false" customWidth="true" hidden="false" max="19" min="19" style="0" width="11.211267605633802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2" t="s">
        <v>5</v>
      </c>
      <c r="F1" s="2" t="s">
        <v>6</v>
      </c>
      <c r="G1" s="3" t="s">
        <v>7</v>
      </c>
      <c r="H1" s="2" t="s">
        <v>8</v>
      </c>
      <c r="I1" s="4" t="s">
        <v>9</v>
      </c>
      <c r="J1" s="5" t="s">
        <v>10</v>
      </c>
      <c r="K1" s="5" t="s">
        <v>11</v>
      </c>
      <c r="L1" s="5" t="s">
        <v>12</v>
      </c>
      <c r="M1" s="1" t="s">
        <v>13</v>
      </c>
      <c r="N1" s="6" t="s">
        <v>14</v>
      </c>
      <c r="O1" s="1" t="s">
        <v>15</v>
      </c>
      <c r="P1" s="7" t="s">
        <v>16</v>
      </c>
    </row>
    <row r="2">
      <c r="A2" s="8">
        <v>46296</v>
      </c>
      <c r="B2" s="9" t="s">
        <v>17</v>
      </c>
      <c r="C2" s="10" t="s">
        <v>18</v>
      </c>
      <c r="D2" s="9">
        <v>4</v>
      </c>
      <c r="E2" s="11">
        <v>26</v>
      </c>
      <c r="F2" s="11">
        <v>19</v>
      </c>
      <c r="G2" s="11">
        <v>15</v>
      </c>
      <c r="H2" s="12">
        <v>52982.520000000004</v>
      </c>
      <c r="I2" s="13">
        <v>12896.38</v>
      </c>
      <c r="J2" s="14">
        <f t="shared" ref="J2:J92" si="1">H2/I2</f>
      </c>
      <c r="K2" s="14">
        <f t="shared" ref="K2:K92" si="2">H2/F2</f>
      </c>
      <c r="L2" s="14">
        <f t="shared" ref="L2:L92" si="3">I2/F2</f>
      </c>
      <c r="M2" s="12"/>
      <c r="N2" s="15"/>
      <c r="O2" s="12"/>
      <c r="P2" s="11"/>
    </row>
    <row r="3">
      <c r="A3" s="8">
        <v>46296</v>
      </c>
      <c r="B3" s="16" t="s">
        <v>19</v>
      </c>
      <c r="C3" s="10" t="s">
        <v>20</v>
      </c>
      <c r="D3" s="9">
        <v>4</v>
      </c>
      <c r="E3" s="11">
        <v>12</v>
      </c>
      <c r="F3" s="11">
        <v>10</v>
      </c>
      <c r="G3" s="11">
        <v>6</v>
      </c>
      <c r="H3" s="11">
        <v>26157.57</v>
      </c>
      <c r="I3" s="17">
        <v>11757.87</v>
      </c>
      <c r="J3" s="14">
        <f t="shared" si="1"/>
      </c>
      <c r="K3" s="14">
        <f t="shared" si="2"/>
      </c>
      <c r="L3" s="14">
        <f t="shared" si="3"/>
      </c>
      <c r="M3" s="11" t="s">
        <v>21</v>
      </c>
      <c r="N3" s="15">
        <v>7</v>
      </c>
      <c r="O3" s="11" t="s">
        <v>22</v>
      </c>
      <c r="P3" s="11">
        <v>7</v>
      </c>
    </row>
    <row r="4">
      <c r="A4" s="8">
        <v>46296</v>
      </c>
      <c r="B4" s="16" t="s">
        <v>23</v>
      </c>
      <c r="C4" s="10" t="s">
        <v>24</v>
      </c>
      <c r="D4" s="9">
        <v>4</v>
      </c>
      <c r="E4" s="11">
        <v>13</v>
      </c>
      <c r="F4" s="11">
        <v>12</v>
      </c>
      <c r="G4" s="11">
        <v>8</v>
      </c>
      <c r="H4" s="11">
        <v>28600.97</v>
      </c>
      <c r="I4" s="18">
        <v>12420.24</v>
      </c>
      <c r="J4" s="14">
        <f t="shared" si="1"/>
      </c>
      <c r="K4" s="14">
        <f t="shared" si="2"/>
      </c>
      <c r="L4" s="14">
        <f t="shared" si="3"/>
      </c>
      <c r="M4" s="11" t="s">
        <v>25</v>
      </c>
      <c r="N4" s="15">
        <v>9</v>
      </c>
      <c r="O4" s="11" t="s">
        <v>26</v>
      </c>
      <c r="P4" s="11">
        <v>9</v>
      </c>
    </row>
    <row r="5">
      <c r="A5" s="8">
        <v>46296</v>
      </c>
      <c r="B5" s="16" t="s">
        <v>27</v>
      </c>
      <c r="C5" s="10" t="s">
        <v>28</v>
      </c>
      <c r="D5" s="10">
        <v>4</v>
      </c>
      <c r="E5" s="11">
        <v>24</v>
      </c>
      <c r="F5" s="11">
        <v>22</v>
      </c>
      <c r="G5" s="11">
        <v>16</v>
      </c>
      <c r="H5" s="11">
        <v>58120.45</v>
      </c>
      <c r="I5" s="18">
        <v>16866.29</v>
      </c>
      <c r="J5" s="14">
        <f t="shared" si="1"/>
      </c>
      <c r="K5" s="14">
        <f t="shared" si="2"/>
      </c>
      <c r="L5" s="14">
        <f t="shared" si="3"/>
      </c>
      <c r="M5" s="12"/>
      <c r="N5" s="19"/>
      <c r="O5" s="12"/>
      <c r="P5" s="12"/>
    </row>
    <row r="6">
      <c r="A6" s="20">
        <v>46296</v>
      </c>
      <c r="B6" s="21" t="s">
        <v>29</v>
      </c>
      <c r="C6" s="22"/>
      <c r="D6" s="23">
        <f>SUM(D2:D5)</f>
      </c>
      <c r="E6" s="23">
        <f>SUM(E2:E5)</f>
      </c>
      <c r="F6" s="23">
        <f>SUM(F2:F5)</f>
      </c>
      <c r="G6" s="23">
        <f>SUM(G2:G5)</f>
      </c>
      <c r="H6" s="24">
        <f>SUM(H2:H5)</f>
      </c>
      <c r="I6" s="24">
        <f>SUM(I2:I5)</f>
      </c>
      <c r="J6" s="25">
        <f t="shared" si="1"/>
      </c>
      <c r="K6" s="25">
        <f t="shared" si="2"/>
      </c>
      <c r="L6" s="25">
        <f t="shared" si="3"/>
      </c>
      <c r="M6" s="21"/>
      <c r="N6" s="23">
        <f>SUM(N2:N5)</f>
      </c>
      <c r="O6" s="23"/>
      <c r="P6" s="23">
        <f>SUM(P2:P5)</f>
      </c>
    </row>
    <row r="7">
      <c r="A7" s="8">
        <v>46297</v>
      </c>
      <c r="B7" s="9" t="s">
        <v>17</v>
      </c>
      <c r="C7" s="10" t="s">
        <v>18</v>
      </c>
      <c r="D7" s="9">
        <v>4</v>
      </c>
      <c r="E7" s="11">
        <v>17</v>
      </c>
      <c r="F7" s="11">
        <v>14</v>
      </c>
      <c r="G7" s="11">
        <v>10</v>
      </c>
      <c r="H7" s="12">
        <v>40347.59</v>
      </c>
      <c r="I7" s="13">
        <v>12805.69</v>
      </c>
      <c r="J7" s="14">
        <f t="shared" si="1"/>
      </c>
      <c r="K7" s="14">
        <f t="shared" si="2"/>
      </c>
      <c r="L7" s="14">
        <f t="shared" si="3"/>
      </c>
      <c r="M7" s="12"/>
      <c r="N7" s="15"/>
      <c r="O7" s="12"/>
      <c r="P7" s="11"/>
    </row>
    <row r="8">
      <c r="A8" s="8">
        <v>46297</v>
      </c>
      <c r="B8" s="16" t="s">
        <v>19</v>
      </c>
      <c r="C8" s="10" t="s">
        <v>20</v>
      </c>
      <c r="D8" s="9">
        <v>4</v>
      </c>
      <c r="E8" s="11">
        <v>13</v>
      </c>
      <c r="F8" s="11">
        <v>8</v>
      </c>
      <c r="G8" s="11">
        <v>8</v>
      </c>
      <c r="H8" s="11">
        <v>16722.300000000003</v>
      </c>
      <c r="I8" s="17">
        <v>14412.52</v>
      </c>
      <c r="J8" s="14">
        <f t="shared" si="1"/>
      </c>
      <c r="K8" s="14">
        <f t="shared" si="2"/>
      </c>
      <c r="L8" s="14">
        <f t="shared" si="3"/>
      </c>
      <c r="M8" s="11" t="s">
        <v>21</v>
      </c>
      <c r="N8" s="15">
        <v>7</v>
      </c>
      <c r="O8" s="11" t="s">
        <v>22</v>
      </c>
      <c r="P8" s="11">
        <v>7</v>
      </c>
    </row>
    <row r="9">
      <c r="A9" s="8">
        <v>46297</v>
      </c>
      <c r="B9" s="16" t="s">
        <v>30</v>
      </c>
      <c r="C9" s="10" t="s">
        <v>24</v>
      </c>
      <c r="D9" s="9">
        <v>4</v>
      </c>
      <c r="E9" s="11">
        <v>14</v>
      </c>
      <c r="F9" s="11">
        <v>11</v>
      </c>
      <c r="G9" s="11">
        <v>7</v>
      </c>
      <c r="H9" s="11">
        <v>24768.859999999997</v>
      </c>
      <c r="I9" s="18">
        <v>14117.940000000002</v>
      </c>
      <c r="J9" s="14">
        <f t="shared" si="1"/>
      </c>
      <c r="K9" s="14">
        <f t="shared" si="2"/>
      </c>
      <c r="L9" s="14">
        <f t="shared" si="3"/>
      </c>
      <c r="M9" s="11" t="s">
        <v>25</v>
      </c>
      <c r="N9" s="15">
        <v>9</v>
      </c>
      <c r="O9" s="11" t="s">
        <v>26</v>
      </c>
      <c r="P9" s="11">
        <v>9</v>
      </c>
    </row>
    <row r="10">
      <c r="A10" s="8">
        <v>46297</v>
      </c>
      <c r="B10" s="16" t="s">
        <v>27</v>
      </c>
      <c r="C10" s="10" t="s">
        <v>28</v>
      </c>
      <c r="D10" s="10">
        <v>4</v>
      </c>
      <c r="E10" s="11">
        <v>18</v>
      </c>
      <c r="F10" s="11">
        <v>10</v>
      </c>
      <c r="G10" s="11">
        <v>10</v>
      </c>
      <c r="H10" s="11">
        <v>27216.74</v>
      </c>
      <c r="I10" s="18">
        <v>11475.68</v>
      </c>
      <c r="J10" s="14">
        <f t="shared" si="1"/>
      </c>
      <c r="K10" s="14">
        <f t="shared" si="2"/>
      </c>
      <c r="L10" s="14">
        <f t="shared" si="3"/>
      </c>
      <c r="M10" s="11"/>
      <c r="N10" s="15"/>
      <c r="O10" s="12"/>
      <c r="P10" s="12"/>
    </row>
    <row r="11">
      <c r="A11" s="20">
        <v>46297</v>
      </c>
      <c r="B11" s="21" t="s">
        <v>29</v>
      </c>
      <c r="C11" s="22"/>
      <c r="D11" s="23">
        <f>SUM(D7:D10)</f>
      </c>
      <c r="E11" s="23">
        <f>SUM(E7:E10)</f>
      </c>
      <c r="F11" s="23">
        <f>SUM(F7:F10)</f>
      </c>
      <c r="G11" s="23">
        <f>SUM(G7:G10)</f>
      </c>
      <c r="H11" s="24">
        <f>SUM(H7:H10)</f>
      </c>
      <c r="I11" s="24">
        <f>SUM(I7:I10)</f>
      </c>
      <c r="J11" s="25">
        <f t="shared" si="1"/>
      </c>
      <c r="K11" s="25">
        <f t="shared" si="2"/>
      </c>
      <c r="L11" s="25">
        <f t="shared" si="3"/>
      </c>
      <c r="M11" s="21"/>
      <c r="N11" s="23">
        <f>SUM(N7:N10)</f>
      </c>
      <c r="O11" s="23"/>
      <c r="P11" s="23">
        <f>SUM(P7:P10)</f>
      </c>
    </row>
    <row r="12">
      <c r="A12" s="8">
        <v>46298</v>
      </c>
      <c r="B12" s="9" t="s">
        <v>17</v>
      </c>
      <c r="C12" s="10" t="s">
        <v>18</v>
      </c>
      <c r="D12" s="9">
        <v>4</v>
      </c>
      <c r="E12" s="11">
        <v>19</v>
      </c>
      <c r="F12" s="11">
        <v>18</v>
      </c>
      <c r="G12" s="11">
        <v>16</v>
      </c>
      <c r="H12" s="12">
        <v>42717.73</v>
      </c>
      <c r="I12" s="13">
        <v>13785.91</v>
      </c>
      <c r="J12" s="14">
        <f t="shared" si="1"/>
      </c>
      <c r="K12" s="14">
        <f t="shared" si="2"/>
      </c>
      <c r="L12" s="14">
        <f t="shared" si="3"/>
      </c>
      <c r="M12" s="12"/>
      <c r="N12" s="15"/>
      <c r="O12" s="12"/>
      <c r="P12" s="11"/>
    </row>
    <row r="13">
      <c r="A13" s="8">
        <v>46298</v>
      </c>
      <c r="B13" s="16" t="s">
        <v>19</v>
      </c>
      <c r="C13" s="10" t="s">
        <v>20</v>
      </c>
      <c r="D13" s="9">
        <v>4</v>
      </c>
      <c r="E13" s="11">
        <v>18</v>
      </c>
      <c r="F13" s="11">
        <v>14</v>
      </c>
      <c r="G13" s="11">
        <v>13</v>
      </c>
      <c r="H13" s="11">
        <v>29764.95</v>
      </c>
      <c r="I13" s="17">
        <v>14611.98</v>
      </c>
      <c r="J13" s="14">
        <f t="shared" si="1"/>
      </c>
      <c r="K13" s="14">
        <f t="shared" si="2"/>
      </c>
      <c r="L13" s="14">
        <f t="shared" si="3"/>
      </c>
      <c r="M13" s="11" t="s">
        <v>21</v>
      </c>
      <c r="N13" s="15">
        <v>7</v>
      </c>
      <c r="O13" s="11" t="s">
        <v>22</v>
      </c>
      <c r="P13" s="11">
        <v>7</v>
      </c>
    </row>
    <row r="14">
      <c r="A14" s="8">
        <v>46298</v>
      </c>
      <c r="B14" s="16" t="s">
        <v>30</v>
      </c>
      <c r="C14" s="10" t="s">
        <v>24</v>
      </c>
      <c r="D14" s="9">
        <v>4</v>
      </c>
      <c r="E14" s="11">
        <v>7</v>
      </c>
      <c r="F14" s="11">
        <v>7</v>
      </c>
      <c r="G14" s="11">
        <v>6</v>
      </c>
      <c r="H14" s="11">
        <v>16614.820000000003</v>
      </c>
      <c r="I14" s="18">
        <v>13714.400000000001</v>
      </c>
      <c r="J14" s="14">
        <f t="shared" si="1"/>
      </c>
      <c r="K14" s="14">
        <f t="shared" si="2"/>
      </c>
      <c r="L14" s="14">
        <f t="shared" si="3"/>
      </c>
      <c r="M14" s="11" t="s">
        <v>25</v>
      </c>
      <c r="N14" s="15">
        <v>9</v>
      </c>
      <c r="O14" s="11" t="s">
        <v>26</v>
      </c>
      <c r="P14" s="11">
        <v>9</v>
      </c>
    </row>
    <row r="15">
      <c r="A15" s="8">
        <v>46298</v>
      </c>
      <c r="B15" s="16" t="s">
        <v>27</v>
      </c>
      <c r="C15" s="10" t="s">
        <v>28</v>
      </c>
      <c r="D15" s="10">
        <v>4</v>
      </c>
      <c r="E15" s="11">
        <v>25</v>
      </c>
      <c r="F15" s="11">
        <v>20</v>
      </c>
      <c r="G15" s="11">
        <v>15</v>
      </c>
      <c r="H15" s="11">
        <v>70337.81</v>
      </c>
      <c r="I15" s="18">
        <v>15231.92</v>
      </c>
      <c r="J15" s="14">
        <f t="shared" si="1"/>
      </c>
      <c r="K15" s="14">
        <f t="shared" si="2"/>
      </c>
      <c r="L15" s="14">
        <f t="shared" si="3"/>
      </c>
      <c r="M15" s="11"/>
      <c r="N15" s="15"/>
      <c r="O15" s="12"/>
      <c r="P15" s="12"/>
    </row>
    <row r="16">
      <c r="A16" s="20">
        <v>46298</v>
      </c>
      <c r="B16" s="21" t="s">
        <v>29</v>
      </c>
      <c r="C16" s="22"/>
      <c r="D16" s="23">
        <f>SUM(D12:D15)</f>
      </c>
      <c r="E16" s="23">
        <f>SUM(E12:E15)</f>
      </c>
      <c r="F16" s="23">
        <f>SUM(F12:F15)</f>
      </c>
      <c r="G16" s="23">
        <f>SUM(G12:G15)</f>
      </c>
      <c r="H16" s="24">
        <f>SUM(H12:H15)</f>
      </c>
      <c r="I16" s="24">
        <f>SUM(I12:I15)</f>
      </c>
      <c r="J16" s="25">
        <f t="shared" si="1"/>
      </c>
      <c r="K16" s="25">
        <f t="shared" si="2"/>
      </c>
      <c r="L16" s="25">
        <f t="shared" si="3"/>
      </c>
      <c r="M16" s="21"/>
      <c r="N16" s="23">
        <f>SUM(N12:N15)</f>
      </c>
      <c r="O16" s="23"/>
      <c r="P16" s="23">
        <f>SUM(P12:P15)</f>
      </c>
    </row>
    <row r="17">
      <c r="A17" s="8">
        <v>46299</v>
      </c>
      <c r="B17" s="10" t="s">
        <v>19</v>
      </c>
      <c r="C17" s="10" t="s">
        <v>18</v>
      </c>
      <c r="D17" s="9">
        <v>4</v>
      </c>
      <c r="E17" s="11">
        <v>17</v>
      </c>
      <c r="F17" s="11">
        <v>13</v>
      </c>
      <c r="G17" s="11">
        <v>8</v>
      </c>
      <c r="H17" s="12">
        <v>31140.460000000003</v>
      </c>
      <c r="I17" s="13">
        <v>15156.470000000001</v>
      </c>
      <c r="J17" s="14">
        <f t="shared" si="1"/>
      </c>
      <c r="K17" s="14">
        <f t="shared" si="2"/>
      </c>
      <c r="L17" s="14">
        <f t="shared" si="3"/>
      </c>
      <c r="M17" s="12"/>
      <c r="N17" s="15"/>
      <c r="O17" s="12"/>
      <c r="P17" s="11"/>
    </row>
    <row r="18">
      <c r="A18" s="8">
        <v>46299</v>
      </c>
      <c r="B18" s="16" t="s">
        <v>23</v>
      </c>
      <c r="C18" s="10" t="s">
        <v>20</v>
      </c>
      <c r="D18" s="9">
        <v>4</v>
      </c>
      <c r="E18" s="11">
        <v>15</v>
      </c>
      <c r="F18" s="11">
        <v>13</v>
      </c>
      <c r="G18" s="11">
        <v>13</v>
      </c>
      <c r="H18" s="11">
        <v>28336.59</v>
      </c>
      <c r="I18" s="17">
        <v>11917.6</v>
      </c>
      <c r="J18" s="14">
        <f t="shared" si="1"/>
      </c>
      <c r="K18" s="14">
        <f t="shared" si="2"/>
      </c>
      <c r="L18" s="14">
        <f t="shared" si="3"/>
      </c>
      <c r="M18" s="11" t="s">
        <v>21</v>
      </c>
      <c r="N18" s="15">
        <v>7</v>
      </c>
      <c r="O18" s="11" t="s">
        <v>22</v>
      </c>
      <c r="P18" s="11">
        <v>7</v>
      </c>
    </row>
    <row r="19">
      <c r="A19" s="8">
        <v>46299</v>
      </c>
      <c r="B19" s="16" t="s">
        <v>30</v>
      </c>
      <c r="C19" s="10" t="s">
        <v>24</v>
      </c>
      <c r="D19" s="9">
        <v>4</v>
      </c>
      <c r="E19" s="11">
        <v>22</v>
      </c>
      <c r="F19" s="11">
        <v>17</v>
      </c>
      <c r="G19" s="11">
        <v>12</v>
      </c>
      <c r="H19" s="11">
        <v>38800.68</v>
      </c>
      <c r="I19" s="18">
        <v>13328.47</v>
      </c>
      <c r="J19" s="14">
        <f t="shared" si="1"/>
      </c>
      <c r="K19" s="14">
        <f t="shared" si="2"/>
      </c>
      <c r="L19" s="14">
        <f t="shared" si="3"/>
      </c>
      <c r="M19" s="11" t="s">
        <v>25</v>
      </c>
      <c r="N19" s="15">
        <v>9</v>
      </c>
      <c r="O19" s="11" t="s">
        <v>26</v>
      </c>
      <c r="P19" s="11">
        <v>9</v>
      </c>
    </row>
    <row r="20">
      <c r="A20" s="8">
        <v>46299</v>
      </c>
      <c r="B20" s="16" t="s">
        <v>27</v>
      </c>
      <c r="C20" s="10" t="s">
        <v>28</v>
      </c>
      <c r="D20" s="10">
        <v>4</v>
      </c>
      <c r="E20" s="11">
        <v>27</v>
      </c>
      <c r="F20" s="11">
        <v>20</v>
      </c>
      <c r="G20" s="11">
        <v>14</v>
      </c>
      <c r="H20" s="11">
        <v>44086.75</v>
      </c>
      <c r="I20" s="18">
        <v>21296.44</v>
      </c>
      <c r="J20" s="14">
        <f t="shared" si="1"/>
      </c>
      <c r="K20" s="14">
        <f t="shared" si="2"/>
      </c>
      <c r="L20" s="14">
        <f t="shared" si="3"/>
      </c>
      <c r="M20" s="11"/>
      <c r="N20" s="15"/>
      <c r="O20" s="12"/>
      <c r="P20" s="12"/>
    </row>
    <row r="21">
      <c r="A21" s="20">
        <v>46299</v>
      </c>
      <c r="B21" s="21" t="s">
        <v>29</v>
      </c>
      <c r="C21" s="22"/>
      <c r="D21" s="23">
        <f>SUM(D17:D20)</f>
      </c>
      <c r="E21" s="23">
        <f>SUM(E17:E20)</f>
      </c>
      <c r="F21" s="23">
        <f>SUM(F17:F20)</f>
      </c>
      <c r="G21" s="23">
        <f>SUM(G17:G20)</f>
      </c>
      <c r="H21" s="24">
        <f>SUM(H17:H20)</f>
      </c>
      <c r="I21" s="24">
        <f>SUM(I17:I20)</f>
      </c>
      <c r="J21" s="25">
        <f t="shared" si="1"/>
      </c>
      <c r="K21" s="25">
        <f t="shared" si="2"/>
      </c>
      <c r="L21" s="25">
        <f t="shared" si="3"/>
      </c>
      <c r="M21" s="21"/>
      <c r="N21" s="23">
        <f>SUM(N17:N20)</f>
      </c>
      <c r="O21" s="23"/>
      <c r="P21" s="23">
        <f>SUM(P17:P20)</f>
      </c>
    </row>
    <row r="22">
      <c r="A22" s="8">
        <v>46300</v>
      </c>
      <c r="B22" s="10" t="s">
        <v>17</v>
      </c>
      <c r="C22" s="10" t="s">
        <v>18</v>
      </c>
      <c r="D22" s="9">
        <v>4</v>
      </c>
      <c r="E22" s="11">
        <v>30</v>
      </c>
      <c r="F22" s="11">
        <v>25</v>
      </c>
      <c r="G22" s="11">
        <v>22</v>
      </c>
      <c r="H22" s="12">
        <v>59593.46</v>
      </c>
      <c r="I22" s="13">
        <v>19895.41</v>
      </c>
      <c r="J22" s="14">
        <f t="shared" si="1"/>
      </c>
      <c r="K22" s="14">
        <f t="shared" si="2"/>
      </c>
      <c r="L22" s="14">
        <f t="shared" si="3"/>
      </c>
      <c r="M22" s="12"/>
      <c r="N22" s="15"/>
      <c r="O22" s="12"/>
      <c r="P22" s="11"/>
    </row>
    <row r="23">
      <c r="A23" s="8">
        <v>46300</v>
      </c>
      <c r="B23" s="16" t="s">
        <v>23</v>
      </c>
      <c r="C23" s="10" t="s">
        <v>20</v>
      </c>
      <c r="D23" s="9">
        <v>4</v>
      </c>
      <c r="E23" s="11">
        <v>22</v>
      </c>
      <c r="F23" s="11">
        <v>17</v>
      </c>
      <c r="G23" s="11">
        <v>11</v>
      </c>
      <c r="H23" s="11">
        <v>43249.189999999995</v>
      </c>
      <c r="I23" s="17">
        <v>14222.93</v>
      </c>
      <c r="J23" s="14">
        <f t="shared" si="1"/>
      </c>
      <c r="K23" s="14">
        <f t="shared" si="2"/>
      </c>
      <c r="L23" s="14">
        <f t="shared" si="3"/>
      </c>
      <c r="M23" s="11" t="s">
        <v>21</v>
      </c>
      <c r="N23" s="15">
        <v>7</v>
      </c>
      <c r="O23" s="11" t="s">
        <v>22</v>
      </c>
      <c r="P23" s="11">
        <v>7</v>
      </c>
    </row>
    <row r="24">
      <c r="A24" s="8">
        <v>46300</v>
      </c>
      <c r="B24" s="16" t="s">
        <v>27</v>
      </c>
      <c r="C24" s="10" t="s">
        <v>24</v>
      </c>
      <c r="D24" s="9">
        <v>4</v>
      </c>
      <c r="E24" s="11">
        <v>19</v>
      </c>
      <c r="F24" s="11">
        <v>13</v>
      </c>
      <c r="G24" s="11">
        <v>9</v>
      </c>
      <c r="H24" s="11">
        <v>34897.95</v>
      </c>
      <c r="I24" s="18">
        <v>11976.07</v>
      </c>
      <c r="J24" s="14">
        <f t="shared" si="1"/>
      </c>
      <c r="K24" s="14">
        <f t="shared" si="2"/>
      </c>
      <c r="L24" s="14">
        <f t="shared" si="3"/>
      </c>
      <c r="M24" s="11" t="s">
        <v>31</v>
      </c>
      <c r="N24" s="15">
        <v>8</v>
      </c>
      <c r="O24" s="11" t="s">
        <v>26</v>
      </c>
      <c r="P24" s="11">
        <v>8</v>
      </c>
    </row>
    <row r="25">
      <c r="A25" s="8">
        <v>46300</v>
      </c>
      <c r="B25" s="16" t="s">
        <v>30</v>
      </c>
      <c r="C25" s="10" t="s">
        <v>32</v>
      </c>
      <c r="D25" s="10">
        <v>3</v>
      </c>
      <c r="E25" s="11">
        <v>14</v>
      </c>
      <c r="F25" s="11">
        <v>11</v>
      </c>
      <c r="G25" s="11">
        <v>8</v>
      </c>
      <c r="H25" s="11">
        <v>38451.82999999998</v>
      </c>
      <c r="I25" s="18">
        <v>9132.02</v>
      </c>
      <c r="J25" s="14">
        <f t="shared" si="1"/>
      </c>
      <c r="K25" s="14">
        <f t="shared" si="2"/>
      </c>
      <c r="L25" s="14">
        <f t="shared" si="3"/>
      </c>
      <c r="M25" s="11"/>
      <c r="N25" s="15"/>
      <c r="O25" s="12"/>
      <c r="P25" s="12"/>
    </row>
    <row r="26">
      <c r="A26" s="20">
        <v>46300</v>
      </c>
      <c r="B26" s="21" t="s">
        <v>29</v>
      </c>
      <c r="C26" s="22"/>
      <c r="D26" s="23">
        <f>SUM(D22:D25)</f>
      </c>
      <c r="E26" s="23">
        <f>SUM(E22:E25)</f>
      </c>
      <c r="F26" s="23">
        <f>SUM(F22:F25)</f>
      </c>
      <c r="G26" s="23">
        <f>SUM(G22:G25)</f>
      </c>
      <c r="H26" s="24">
        <f>SUM(H22:H25)</f>
      </c>
      <c r="I26" s="24">
        <f>SUM(I22:I25)</f>
      </c>
      <c r="J26" s="25">
        <f t="shared" si="1"/>
      </c>
      <c r="K26" s="25">
        <f t="shared" si="2"/>
      </c>
      <c r="L26" s="25">
        <f t="shared" si="3"/>
      </c>
      <c r="M26" s="21"/>
      <c r="N26" s="23">
        <f>SUM(N22:N25)</f>
      </c>
      <c r="O26" s="23"/>
      <c r="P26" s="23">
        <f>SUM(P22:P25)</f>
      </c>
    </row>
    <row r="27">
      <c r="A27" s="8">
        <v>46301</v>
      </c>
      <c r="B27" s="10" t="s">
        <v>17</v>
      </c>
      <c r="C27" s="10" t="s">
        <v>18</v>
      </c>
      <c r="D27" s="9">
        <v>4</v>
      </c>
      <c r="E27" s="11">
        <v>6</v>
      </c>
      <c r="F27" s="11">
        <v>4</v>
      </c>
      <c r="G27" s="11">
        <v>3</v>
      </c>
      <c r="H27" s="11">
        <v>10645.02</v>
      </c>
      <c r="I27" s="17">
        <v>11821.39</v>
      </c>
      <c r="J27" s="14">
        <f t="shared" si="1"/>
      </c>
      <c r="K27" s="14">
        <f t="shared" si="2"/>
      </c>
      <c r="L27" s="14">
        <f t="shared" si="3"/>
      </c>
      <c r="M27" s="12"/>
      <c r="N27" s="15"/>
      <c r="O27" s="12"/>
      <c r="P27" s="11"/>
    </row>
    <row r="28">
      <c r="A28" s="8">
        <v>46301</v>
      </c>
      <c r="B28" s="16" t="s">
        <v>23</v>
      </c>
      <c r="C28" s="10" t="s">
        <v>20</v>
      </c>
      <c r="D28" s="9">
        <v>4</v>
      </c>
      <c r="E28" s="11">
        <v>10</v>
      </c>
      <c r="F28" s="11">
        <v>9</v>
      </c>
      <c r="G28" s="11">
        <v>7</v>
      </c>
      <c r="H28" s="11">
        <v>13906.280000000002</v>
      </c>
      <c r="I28" s="17">
        <v>11336.76</v>
      </c>
      <c r="J28" s="14">
        <f t="shared" si="1"/>
      </c>
      <c r="K28" s="14">
        <f t="shared" si="2"/>
      </c>
      <c r="L28" s="14">
        <f t="shared" si="3"/>
      </c>
      <c r="M28" s="11" t="s">
        <v>25</v>
      </c>
      <c r="N28" s="15">
        <v>7</v>
      </c>
      <c r="O28" s="11" t="s">
        <v>22</v>
      </c>
      <c r="P28" s="11">
        <v>7</v>
      </c>
    </row>
    <row r="29">
      <c r="A29" s="8">
        <v>46301</v>
      </c>
      <c r="B29" s="16" t="s">
        <v>27</v>
      </c>
      <c r="C29" s="10" t="s">
        <v>24</v>
      </c>
      <c r="D29" s="9">
        <v>4</v>
      </c>
      <c r="E29" s="11">
        <v>18</v>
      </c>
      <c r="F29" s="11">
        <v>14</v>
      </c>
      <c r="G29" s="11">
        <v>12</v>
      </c>
      <c r="H29" s="11">
        <v>26390.500000000004</v>
      </c>
      <c r="I29" s="18">
        <v>12602.95</v>
      </c>
      <c r="J29" s="14">
        <f t="shared" si="1"/>
      </c>
      <c r="K29" s="14">
        <f t="shared" si="2"/>
      </c>
      <c r="L29" s="14">
        <f t="shared" si="3"/>
      </c>
      <c r="M29" s="11" t="s">
        <v>33</v>
      </c>
      <c r="N29" s="15">
        <v>9</v>
      </c>
      <c r="O29" s="11" t="s">
        <v>26</v>
      </c>
      <c r="P29" s="11">
        <v>9</v>
      </c>
    </row>
    <row r="30">
      <c r="A30" s="8">
        <v>46301</v>
      </c>
      <c r="B30" s="16" t="s">
        <v>30</v>
      </c>
      <c r="C30" s="10" t="s">
        <v>28</v>
      </c>
      <c r="D30" s="10">
        <v>4</v>
      </c>
      <c r="E30" s="11">
        <v>22</v>
      </c>
      <c r="F30" s="11">
        <v>19</v>
      </c>
      <c r="G30" s="11">
        <v>12</v>
      </c>
      <c r="H30" s="11">
        <v>45967.87</v>
      </c>
      <c r="I30" s="18">
        <v>10667.69</v>
      </c>
      <c r="J30" s="14">
        <f t="shared" si="1"/>
      </c>
      <c r="K30" s="14">
        <f t="shared" si="2"/>
      </c>
      <c r="L30" s="14">
        <f t="shared" si="3"/>
      </c>
      <c r="M30" s="11"/>
      <c r="N30" s="15"/>
      <c r="O30" s="12"/>
      <c r="P30" s="12"/>
    </row>
    <row r="31">
      <c r="A31" s="20">
        <v>46301</v>
      </c>
      <c r="B31" s="21" t="s">
        <v>29</v>
      </c>
      <c r="C31" s="22"/>
      <c r="D31" s="23">
        <f>SUM(D27:D30)</f>
      </c>
      <c r="E31" s="23">
        <f>SUM(E27:E30)</f>
      </c>
      <c r="F31" s="23">
        <f>SUM(F27:F30)</f>
      </c>
      <c r="G31" s="23">
        <f>SUM(G27:G30)</f>
      </c>
      <c r="H31" s="24">
        <f>SUM(H27:H30)</f>
      </c>
      <c r="I31" s="24">
        <f>SUM(I27:I30)</f>
      </c>
      <c r="J31" s="25">
        <f t="shared" si="1"/>
      </c>
      <c r="K31" s="25">
        <f t="shared" si="2"/>
      </c>
      <c r="L31" s="25">
        <f t="shared" si="3"/>
      </c>
      <c r="M31" s="21"/>
      <c r="N31" s="23">
        <f>SUM(N27:N30)</f>
      </c>
      <c r="O31" s="23"/>
      <c r="P31" s="23">
        <f>SUM(P27:P30)</f>
      </c>
    </row>
    <row r="32">
      <c r="A32" s="8">
        <v>46302</v>
      </c>
      <c r="B32" s="10" t="s">
        <v>19</v>
      </c>
      <c r="C32" s="10" t="s">
        <v>18</v>
      </c>
      <c r="D32" s="10">
        <v>4</v>
      </c>
      <c r="E32" s="11">
        <v>18</v>
      </c>
      <c r="F32" s="11">
        <v>11</v>
      </c>
      <c r="G32" s="11">
        <v>9</v>
      </c>
      <c r="H32" s="11">
        <v>42537.73</v>
      </c>
      <c r="I32" s="17">
        <v>12402.11</v>
      </c>
      <c r="J32" s="14">
        <f t="shared" si="1"/>
      </c>
      <c r="K32" s="14">
        <f t="shared" si="2"/>
      </c>
      <c r="L32" s="14">
        <f t="shared" si="3"/>
      </c>
      <c r="M32" s="12"/>
      <c r="N32" s="15"/>
      <c r="O32" s="12"/>
      <c r="P32" s="11"/>
    </row>
    <row r="33">
      <c r="A33" s="8">
        <v>46302</v>
      </c>
      <c r="B33" s="16" t="s">
        <v>17</v>
      </c>
      <c r="C33" s="10" t="s">
        <v>20</v>
      </c>
      <c r="D33" s="10">
        <v>4</v>
      </c>
      <c r="E33" s="11">
        <v>16</v>
      </c>
      <c r="F33" s="11">
        <v>13</v>
      </c>
      <c r="G33" s="11">
        <v>11</v>
      </c>
      <c r="H33" s="11">
        <v>30647.65</v>
      </c>
      <c r="I33" s="17">
        <v>11931.869999999999</v>
      </c>
      <c r="J33" s="14">
        <f t="shared" si="1"/>
      </c>
      <c r="K33" s="14">
        <f t="shared" si="2"/>
      </c>
      <c r="L33" s="14">
        <f t="shared" si="3"/>
      </c>
      <c r="M33" s="11" t="s">
        <v>25</v>
      </c>
      <c r="N33" s="15">
        <v>7</v>
      </c>
      <c r="O33" s="11" t="s">
        <v>22</v>
      </c>
      <c r="P33" s="11">
        <v>7</v>
      </c>
    </row>
    <row r="34">
      <c r="A34" s="8">
        <v>46302</v>
      </c>
      <c r="B34" s="16" t="s">
        <v>23</v>
      </c>
      <c r="C34" s="10" t="s">
        <v>24</v>
      </c>
      <c r="D34" s="10">
        <v>4</v>
      </c>
      <c r="E34" s="11">
        <v>12</v>
      </c>
      <c r="F34" s="11">
        <v>10</v>
      </c>
      <c r="G34" s="11">
        <v>9</v>
      </c>
      <c r="H34" s="11">
        <v>23915.46</v>
      </c>
      <c r="I34" s="18">
        <v>11569.57</v>
      </c>
      <c r="J34" s="14">
        <f t="shared" si="1"/>
      </c>
      <c r="K34" s="14">
        <f t="shared" si="2"/>
      </c>
      <c r="L34" s="14">
        <f t="shared" si="3"/>
      </c>
      <c r="M34" s="11" t="s">
        <v>33</v>
      </c>
      <c r="N34" s="15">
        <v>9</v>
      </c>
      <c r="O34" s="11" t="s">
        <v>26</v>
      </c>
      <c r="P34" s="11">
        <v>9</v>
      </c>
    </row>
    <row r="35">
      <c r="A35" s="8">
        <v>46302</v>
      </c>
      <c r="B35" s="16" t="s">
        <v>30</v>
      </c>
      <c r="C35" s="10" t="s">
        <v>28</v>
      </c>
      <c r="D35" s="10">
        <v>4</v>
      </c>
      <c r="E35" s="11">
        <v>8</v>
      </c>
      <c r="F35" s="11">
        <v>8</v>
      </c>
      <c r="G35" s="11">
        <v>6</v>
      </c>
      <c r="H35" s="11">
        <v>17655.83000000001</v>
      </c>
      <c r="I35" s="18">
        <v>10635.51</v>
      </c>
      <c r="J35" s="14">
        <f t="shared" si="1"/>
      </c>
      <c r="K35" s="14">
        <f t="shared" si="2"/>
      </c>
      <c r="L35" s="14">
        <f t="shared" si="3"/>
      </c>
      <c r="M35" s="11"/>
      <c r="N35" s="15"/>
      <c r="O35" s="12"/>
      <c r="P35" s="12"/>
    </row>
    <row customHeight="true" ht="16.071428571428573" r="36">
      <c r="A36" s="20">
        <v>46302</v>
      </c>
      <c r="B36" s="21" t="s">
        <v>29</v>
      </c>
      <c r="C36" s="22"/>
      <c r="D36" s="23">
        <f>SUM(D32:D35)</f>
      </c>
      <c r="E36" s="23">
        <f>SUM(E32:E35)</f>
      </c>
      <c r="F36" s="23">
        <f>SUM(F32:F35)</f>
      </c>
      <c r="G36" s="23">
        <f>SUM(G32:G35)</f>
      </c>
      <c r="H36" s="24">
        <f>SUM(H32:H35)</f>
      </c>
      <c r="I36" s="24">
        <f>SUM(I32:I35)</f>
      </c>
      <c r="J36" s="25">
        <f t="shared" si="1"/>
      </c>
      <c r="K36" s="25">
        <f t="shared" si="2"/>
      </c>
      <c r="L36" s="25">
        <f t="shared" si="3"/>
      </c>
      <c r="M36" s="21"/>
      <c r="N36" s="23">
        <f>SUM(N32:N35)</f>
      </c>
      <c r="O36" s="23"/>
      <c r="P36" s="23">
        <f>SUM(P32:P35)</f>
      </c>
    </row>
    <row customHeight="true" ht="16.071428571428573" r="37">
      <c r="A37" s="8">
        <v>46303</v>
      </c>
      <c r="B37" s="16" t="s">
        <v>17</v>
      </c>
      <c r="C37" s="10" t="s">
        <v>18</v>
      </c>
      <c r="D37" s="10">
        <v>4</v>
      </c>
      <c r="E37" s="11">
        <v>13</v>
      </c>
      <c r="F37" s="11">
        <v>9</v>
      </c>
      <c r="G37" s="11">
        <v>7</v>
      </c>
      <c r="H37" s="11">
        <v>14703.33</v>
      </c>
      <c r="I37" s="17">
        <v>11835.83</v>
      </c>
      <c r="J37" s="14">
        <f t="shared" si="1"/>
      </c>
      <c r="K37" s="14">
        <f t="shared" si="2"/>
      </c>
      <c r="L37" s="14">
        <f t="shared" si="3"/>
      </c>
      <c r="M37" s="12" t="s">
        <v>34</v>
      </c>
      <c r="N37" s="15">
        <v>7</v>
      </c>
      <c r="O37" s="12"/>
      <c r="P37" s="11"/>
    </row>
    <row customHeight="true" ht="16.071428571428573" r="38">
      <c r="A38" s="8">
        <v>46303</v>
      </c>
      <c r="B38" s="16" t="s">
        <v>23</v>
      </c>
      <c r="C38" s="10" t="s">
        <v>20</v>
      </c>
      <c r="D38" s="10">
        <v>4</v>
      </c>
      <c r="E38" s="11">
        <v>11</v>
      </c>
      <c r="F38" s="11">
        <v>5</v>
      </c>
      <c r="G38" s="11">
        <v>5</v>
      </c>
      <c r="H38" s="11">
        <v>7245.4400000000005</v>
      </c>
      <c r="I38" s="17">
        <v>11059.57</v>
      </c>
      <c r="J38" s="14">
        <f t="shared" si="1"/>
      </c>
      <c r="K38" s="14">
        <f t="shared" si="2"/>
      </c>
      <c r="L38" s="14">
        <f t="shared" si="3"/>
      </c>
      <c r="M38" s="11"/>
      <c r="N38" s="15"/>
      <c r="O38" s="11" t="s">
        <v>22</v>
      </c>
      <c r="P38" s="11">
        <v>7</v>
      </c>
    </row>
    <row customHeight="true" ht="16.071428571428573" r="39">
      <c r="A39" s="8">
        <v>46303</v>
      </c>
      <c r="B39" s="10" t="s">
        <v>19</v>
      </c>
      <c r="C39" s="10" t="s">
        <v>24</v>
      </c>
      <c r="D39" s="10">
        <v>4</v>
      </c>
      <c r="E39" s="11">
        <v>15</v>
      </c>
      <c r="F39" s="11">
        <v>8</v>
      </c>
      <c r="G39" s="11">
        <v>5</v>
      </c>
      <c r="H39" s="11">
        <v>17124.129999999997</v>
      </c>
      <c r="I39" s="18">
        <v>11714.31</v>
      </c>
      <c r="J39" s="14">
        <f t="shared" si="1"/>
      </c>
      <c r="K39" s="14">
        <f t="shared" si="2"/>
      </c>
      <c r="L39" s="14">
        <f t="shared" si="3"/>
      </c>
      <c r="M39" s="11" t="s">
        <v>35</v>
      </c>
      <c r="N39" s="15">
        <v>5</v>
      </c>
      <c r="O39" s="11" t="s">
        <v>26</v>
      </c>
      <c r="P39" s="11">
        <v>5</v>
      </c>
    </row>
    <row customHeight="true" ht="16.071428571428573" r="40">
      <c r="A40" s="20">
        <v>46303</v>
      </c>
      <c r="B40" s="21" t="s">
        <v>29</v>
      </c>
      <c r="C40" s="22"/>
      <c r="D40" s="23">
        <f>SUM(D37:D39)</f>
      </c>
      <c r="E40" s="23">
        <f>SUM(E37:E39)</f>
      </c>
      <c r="F40" s="23">
        <f>SUM(F37:F39)</f>
      </c>
      <c r="G40" s="23">
        <f>SUM(G37:G39)</f>
      </c>
      <c r="H40" s="24">
        <f>SUM(H37:H39)</f>
      </c>
      <c r="I40" s="24">
        <f>SUM(I37:I39)</f>
      </c>
      <c r="J40" s="25">
        <f t="shared" si="1"/>
      </c>
      <c r="K40" s="25">
        <f t="shared" si="2"/>
      </c>
      <c r="L40" s="25">
        <f t="shared" si="3"/>
      </c>
      <c r="M40" s="21"/>
      <c r="N40" s="23">
        <f>SUM(N37:N39)</f>
      </c>
      <c r="O40" s="23"/>
      <c r="P40" s="23">
        <f>SUM(P37:P39)</f>
      </c>
    </row>
    <row customHeight="true" ht="16.071428571428573" r="41">
      <c r="A41" s="8">
        <v>46304</v>
      </c>
      <c r="B41" s="16" t="s">
        <v>23</v>
      </c>
      <c r="C41" s="10" t="s">
        <v>18</v>
      </c>
      <c r="D41" s="10">
        <v>4</v>
      </c>
      <c r="E41" s="11">
        <v>25</v>
      </c>
      <c r="F41" s="11">
        <v>18</v>
      </c>
      <c r="G41" s="11">
        <v>14</v>
      </c>
      <c r="H41" s="11">
        <v>47548.92000000001</v>
      </c>
      <c r="I41" s="17">
        <v>14482.09</v>
      </c>
      <c r="J41" s="14">
        <f t="shared" si="1"/>
      </c>
      <c r="K41" s="14">
        <f t="shared" si="2"/>
      </c>
      <c r="L41" s="14">
        <f t="shared" si="3"/>
      </c>
      <c r="M41" s="12" t="s">
        <v>34</v>
      </c>
      <c r="N41" s="15">
        <v>7</v>
      </c>
      <c r="O41" s="12"/>
      <c r="P41" s="11"/>
    </row>
    <row customHeight="true" ht="16.071428571428573" r="42">
      <c r="A42" s="8">
        <v>46304</v>
      </c>
      <c r="B42" s="10" t="s">
        <v>19</v>
      </c>
      <c r="C42" s="10" t="s">
        <v>20</v>
      </c>
      <c r="D42" s="10">
        <v>4</v>
      </c>
      <c r="E42" s="11">
        <v>17</v>
      </c>
      <c r="F42" s="11">
        <v>11</v>
      </c>
      <c r="G42" s="11">
        <v>10</v>
      </c>
      <c r="H42" s="11">
        <v>48439.25</v>
      </c>
      <c r="I42" s="17">
        <v>15619.88</v>
      </c>
      <c r="J42" s="14">
        <f t="shared" si="1"/>
      </c>
      <c r="K42" s="14">
        <f t="shared" si="2"/>
      </c>
      <c r="L42" s="14">
        <f t="shared" si="3"/>
      </c>
      <c r="M42" s="11"/>
      <c r="N42" s="15"/>
      <c r="O42" s="11" t="s">
        <v>22</v>
      </c>
      <c r="P42" s="11">
        <v>7</v>
      </c>
    </row>
    <row customHeight="true" ht="16.071428571428573" r="43">
      <c r="A43" s="8">
        <v>46304</v>
      </c>
      <c r="B43" s="16" t="s">
        <v>30</v>
      </c>
      <c r="C43" s="10" t="s">
        <v>24</v>
      </c>
      <c r="D43" s="10">
        <v>4</v>
      </c>
      <c r="E43" s="11">
        <v>15</v>
      </c>
      <c r="F43" s="11">
        <v>6</v>
      </c>
      <c r="G43" s="11">
        <v>4</v>
      </c>
      <c r="H43" s="11">
        <v>23907.51</v>
      </c>
      <c r="I43" s="18">
        <v>11368.94</v>
      </c>
      <c r="J43" s="14">
        <f t="shared" si="1"/>
      </c>
      <c r="K43" s="14">
        <f t="shared" si="2"/>
      </c>
      <c r="L43" s="14">
        <f t="shared" si="3"/>
      </c>
      <c r="M43" s="11" t="s">
        <v>33</v>
      </c>
      <c r="N43" s="15">
        <v>9</v>
      </c>
      <c r="O43" s="11" t="s">
        <v>26</v>
      </c>
      <c r="P43" s="11">
        <v>9</v>
      </c>
    </row>
    <row customHeight="true" ht="16.071428571428573" r="44">
      <c r="A44" s="8">
        <v>46304</v>
      </c>
      <c r="B44" s="16" t="s">
        <v>27</v>
      </c>
      <c r="C44" s="10" t="s">
        <v>28</v>
      </c>
      <c r="D44" s="10">
        <v>4</v>
      </c>
      <c r="E44" s="11">
        <v>22</v>
      </c>
      <c r="F44" s="11">
        <v>17</v>
      </c>
      <c r="G44" s="11">
        <v>16</v>
      </c>
      <c r="H44" s="11">
        <v>49808.53000000001</v>
      </c>
      <c r="I44" s="18">
        <v>11146.76</v>
      </c>
      <c r="J44" s="14">
        <f t="shared" si="1"/>
      </c>
      <c r="K44" s="14">
        <f t="shared" si="2"/>
      </c>
      <c r="L44" s="14">
        <f t="shared" si="3"/>
      </c>
      <c r="M44" s="11"/>
      <c r="N44" s="15"/>
      <c r="O44" s="12"/>
      <c r="P44" s="12"/>
    </row>
    <row r="45">
      <c r="A45" s="20">
        <v>46304</v>
      </c>
      <c r="B45" s="21" t="s">
        <v>29</v>
      </c>
      <c r="C45" s="22"/>
      <c r="D45" s="23">
        <f>SUM(D41:D44)</f>
      </c>
      <c r="E45" s="23">
        <f>SUM(E41:E44)</f>
      </c>
      <c r="F45" s="23">
        <f>SUM(F41:F44)</f>
      </c>
      <c r="G45" s="23">
        <f>SUM(G41:G44)</f>
      </c>
      <c r="H45" s="24">
        <f>SUM(H41:H44)</f>
      </c>
      <c r="I45" s="24">
        <f>SUM(I41:I44)</f>
      </c>
      <c r="J45" s="25">
        <f t="shared" si="1"/>
      </c>
      <c r="K45" s="25">
        <f t="shared" si="2"/>
      </c>
      <c r="L45" s="25">
        <f t="shared" si="3"/>
      </c>
      <c r="M45" s="21"/>
      <c r="N45" s="23">
        <f>SUM(N41:N44)</f>
      </c>
      <c r="O45" s="23"/>
      <c r="P45" s="23">
        <f>SUM(P41:P44)</f>
      </c>
    </row>
    <row r="46">
      <c r="A46" s="8">
        <v>46305</v>
      </c>
      <c r="B46" s="16" t="s">
        <v>17</v>
      </c>
      <c r="C46" s="10" t="s">
        <v>18</v>
      </c>
      <c r="D46" s="10">
        <v>4</v>
      </c>
      <c r="E46" s="11">
        <v>17</v>
      </c>
      <c r="F46" s="11">
        <v>14</v>
      </c>
      <c r="G46" s="11">
        <v>8</v>
      </c>
      <c r="H46" s="11">
        <v>32995.24</v>
      </c>
      <c r="I46" s="17">
        <v>13847.720000000001</v>
      </c>
      <c r="J46" s="14">
        <f t="shared" si="1"/>
      </c>
      <c r="K46" s="14">
        <f t="shared" si="2"/>
      </c>
      <c r="L46" s="14">
        <f t="shared" si="3"/>
      </c>
      <c r="M46" s="11" t="s">
        <v>36</v>
      </c>
      <c r="N46" s="15">
        <v>2</v>
      </c>
      <c r="O46" s="12"/>
      <c r="P46" s="11"/>
    </row>
    <row r="47">
      <c r="A47" s="8">
        <v>46305</v>
      </c>
      <c r="B47" s="10" t="s">
        <v>23</v>
      </c>
      <c r="C47" s="10" t="s">
        <v>20</v>
      </c>
      <c r="D47" s="10">
        <v>4</v>
      </c>
      <c r="E47" s="11">
        <v>20</v>
      </c>
      <c r="F47" s="11">
        <v>16</v>
      </c>
      <c r="G47" s="11">
        <v>12</v>
      </c>
      <c r="H47" s="11">
        <v>37504.11</v>
      </c>
      <c r="I47" s="17">
        <v>13525.749999999998</v>
      </c>
      <c r="J47" s="14">
        <f t="shared" si="1"/>
      </c>
      <c r="K47" s="14">
        <f t="shared" si="2"/>
      </c>
      <c r="L47" s="14">
        <f t="shared" si="3"/>
      </c>
      <c r="M47" s="11" t="s">
        <v>37</v>
      </c>
      <c r="N47" s="15">
        <v>5</v>
      </c>
      <c r="O47" s="11" t="s">
        <v>22</v>
      </c>
      <c r="P47" s="11">
        <v>7</v>
      </c>
    </row>
    <row r="48">
      <c r="A48" s="8">
        <v>46305</v>
      </c>
      <c r="B48" s="16" t="s">
        <v>19</v>
      </c>
      <c r="C48" s="10" t="s">
        <v>24</v>
      </c>
      <c r="D48" s="10">
        <v>4</v>
      </c>
      <c r="E48" s="11">
        <v>12</v>
      </c>
      <c r="F48" s="11">
        <v>8</v>
      </c>
      <c r="G48" s="11">
        <v>4</v>
      </c>
      <c r="H48" s="11">
        <v>17435.269999999993</v>
      </c>
      <c r="I48" s="18">
        <v>12703.58</v>
      </c>
      <c r="J48" s="14">
        <f t="shared" si="1"/>
      </c>
      <c r="K48" s="14">
        <f t="shared" si="2"/>
      </c>
      <c r="L48" s="14">
        <f t="shared" si="3"/>
      </c>
      <c r="M48" s="11" t="s">
        <v>33</v>
      </c>
      <c r="N48" s="15">
        <v>5</v>
      </c>
      <c r="O48" s="12" t="s">
        <v>26</v>
      </c>
      <c r="P48" s="11">
        <v>5</v>
      </c>
    </row>
    <row r="49">
      <c r="A49" s="20">
        <v>46305</v>
      </c>
      <c r="B49" s="21" t="s">
        <v>29</v>
      </c>
      <c r="C49" s="22"/>
      <c r="D49" s="23">
        <f>SUM(D46:D48)</f>
      </c>
      <c r="E49" s="23">
        <f>SUM(E46:E48)</f>
      </c>
      <c r="F49" s="23">
        <f>SUM(F46:F48)</f>
      </c>
      <c r="G49" s="23">
        <f>SUM(G46:G48)</f>
      </c>
      <c r="H49" s="24">
        <f>SUM(H46:H48)</f>
      </c>
      <c r="I49" s="24">
        <f>SUM(I46:I48)</f>
      </c>
      <c r="J49" s="25">
        <f t="shared" si="1"/>
      </c>
      <c r="K49" s="25">
        <f t="shared" si="2"/>
      </c>
      <c r="L49" s="25">
        <f t="shared" si="3"/>
      </c>
      <c r="M49" s="21"/>
      <c r="N49" s="23">
        <f>SUM(N46:N48)</f>
      </c>
      <c r="O49" s="23"/>
      <c r="P49" s="23">
        <f>SUM(P46:P48)</f>
      </c>
    </row>
    <row r="50">
      <c r="A50" s="8">
        <v>46306</v>
      </c>
      <c r="B50" s="16" t="s">
        <v>23</v>
      </c>
      <c r="C50" s="10" t="s">
        <v>18</v>
      </c>
      <c r="D50" s="10">
        <v>4</v>
      </c>
      <c r="E50" s="11">
        <v>13</v>
      </c>
      <c r="F50" s="11">
        <v>9</v>
      </c>
      <c r="G50" s="11">
        <v>9</v>
      </c>
      <c r="H50" s="11">
        <v>17668.66</v>
      </c>
      <c r="I50" s="17">
        <v>11643.14</v>
      </c>
      <c r="J50" s="14">
        <f t="shared" si="1"/>
      </c>
      <c r="K50" s="14">
        <f t="shared" si="2"/>
      </c>
      <c r="L50" s="14">
        <f t="shared" si="3"/>
      </c>
      <c r="M50" s="11" t="s">
        <v>38</v>
      </c>
      <c r="N50" s="15">
        <v>7</v>
      </c>
      <c r="O50" s="12" t="s">
        <v>22</v>
      </c>
      <c r="P50" s="12">
        <v>7</v>
      </c>
    </row>
    <row r="51">
      <c r="A51" s="8">
        <v>46306</v>
      </c>
      <c r="B51" s="10" t="s">
        <v>17</v>
      </c>
      <c r="C51" s="10" t="s">
        <v>20</v>
      </c>
      <c r="D51" s="10">
        <v>4</v>
      </c>
      <c r="E51" s="11">
        <v>10</v>
      </c>
      <c r="F51" s="11">
        <v>7</v>
      </c>
      <c r="G51" s="11">
        <v>3</v>
      </c>
      <c r="H51" s="11">
        <v>11616.77</v>
      </c>
      <c r="I51" s="17">
        <v>13573.92</v>
      </c>
      <c r="J51" s="14">
        <f t="shared" si="1"/>
      </c>
      <c r="K51" s="14">
        <f t="shared" si="2"/>
      </c>
      <c r="L51" s="14">
        <f t="shared" si="3"/>
      </c>
      <c r="M51" s="11"/>
      <c r="N51" s="15"/>
      <c r="O51" s="11"/>
      <c r="P51" s="11"/>
    </row>
    <row r="52">
      <c r="A52" s="8">
        <v>46306</v>
      </c>
      <c r="B52" s="16" t="s">
        <v>30</v>
      </c>
      <c r="C52" s="10" t="s">
        <v>24</v>
      </c>
      <c r="D52" s="10">
        <v>4</v>
      </c>
      <c r="E52" s="11">
        <v>15</v>
      </c>
      <c r="F52" s="11">
        <v>11</v>
      </c>
      <c r="G52" s="11">
        <v>7</v>
      </c>
      <c r="H52" s="11">
        <v>25831.61</v>
      </c>
      <c r="I52" s="18">
        <v>6773.94</v>
      </c>
      <c r="J52" s="14">
        <f t="shared" si="1"/>
      </c>
      <c r="K52" s="14">
        <f t="shared" si="2"/>
      </c>
      <c r="L52" s="14">
        <f t="shared" si="3"/>
      </c>
      <c r="M52" s="11" t="s">
        <v>33</v>
      </c>
      <c r="N52" s="15">
        <v>5</v>
      </c>
      <c r="O52" s="12" t="s">
        <v>26</v>
      </c>
      <c r="P52" s="11">
        <v>5</v>
      </c>
    </row>
    <row r="53">
      <c r="A53" s="20">
        <v>46306</v>
      </c>
      <c r="B53" s="21" t="s">
        <v>29</v>
      </c>
      <c r="C53" s="22"/>
      <c r="D53" s="23">
        <f>SUM(D50:D52)</f>
      </c>
      <c r="E53" s="23">
        <f>SUM(E50:E52)</f>
      </c>
      <c r="F53" s="23">
        <f>SUM(F50:F52)</f>
      </c>
      <c r="G53" s="23">
        <f>SUM(G50:G52)</f>
      </c>
      <c r="H53" s="24">
        <f>SUM(H50:H52)</f>
      </c>
      <c r="I53" s="24">
        <f>SUM(I50:I52)</f>
      </c>
      <c r="J53" s="25">
        <f t="shared" si="1"/>
      </c>
      <c r="K53" s="25">
        <f t="shared" si="2"/>
      </c>
      <c r="L53" s="25">
        <f t="shared" si="3"/>
      </c>
      <c r="M53" s="21"/>
      <c r="N53" s="23">
        <f>SUM(N50:N52)</f>
      </c>
      <c r="O53" s="23"/>
      <c r="P53" s="23">
        <f>SUM(P50:P52)</f>
      </c>
    </row>
    <row r="54">
      <c r="A54" s="8">
        <v>46307</v>
      </c>
      <c r="B54" s="16" t="s">
        <v>23</v>
      </c>
      <c r="C54" s="10" t="s">
        <v>18</v>
      </c>
      <c r="D54" s="10">
        <v>4</v>
      </c>
      <c r="E54" s="11">
        <v>11</v>
      </c>
      <c r="F54" s="11">
        <v>7</v>
      </c>
      <c r="G54" s="11">
        <v>6</v>
      </c>
      <c r="H54" s="11">
        <v>13081.789999999999</v>
      </c>
      <c r="I54" s="17">
        <v>12474.779999999999</v>
      </c>
      <c r="J54" s="14">
        <f t="shared" si="1"/>
      </c>
      <c r="K54" s="14">
        <f t="shared" si="2"/>
      </c>
      <c r="L54" s="14">
        <f t="shared" si="3"/>
      </c>
      <c r="M54" s="12" t="s">
        <v>34</v>
      </c>
      <c r="N54" s="15">
        <v>7</v>
      </c>
      <c r="O54" s="12"/>
      <c r="P54" s="11"/>
    </row>
    <row r="55">
      <c r="A55" s="8">
        <v>46307</v>
      </c>
      <c r="B55" s="16" t="s">
        <v>27</v>
      </c>
      <c r="C55" s="10" t="s">
        <v>20</v>
      </c>
      <c r="D55" s="10">
        <v>4</v>
      </c>
      <c r="E55" s="11">
        <v>10</v>
      </c>
      <c r="F55" s="11">
        <v>7</v>
      </c>
      <c r="G55" s="11">
        <v>4</v>
      </c>
      <c r="H55" s="11">
        <v>12904.71</v>
      </c>
      <c r="I55" s="17">
        <v>7243.6900000000005</v>
      </c>
      <c r="J55" s="14">
        <f t="shared" si="1"/>
      </c>
      <c r="K55" s="14">
        <f t="shared" si="2"/>
      </c>
      <c r="L55" s="14">
        <f t="shared" si="3"/>
      </c>
      <c r="M55" s="11"/>
      <c r="N55" s="15"/>
      <c r="O55" s="11" t="s">
        <v>22</v>
      </c>
      <c r="P55" s="11">
        <v>7</v>
      </c>
    </row>
    <row r="56">
      <c r="A56" s="8">
        <v>46307</v>
      </c>
      <c r="B56" s="16" t="s">
        <v>30</v>
      </c>
      <c r="C56" s="10" t="s">
        <v>24</v>
      </c>
      <c r="D56" s="10">
        <v>4</v>
      </c>
      <c r="E56" s="11">
        <v>7</v>
      </c>
      <c r="F56" s="11">
        <v>2</v>
      </c>
      <c r="G56" s="11">
        <v>2</v>
      </c>
      <c r="H56" s="11">
        <v>6075.41</v>
      </c>
      <c r="I56" s="18">
        <v>4924.400000000001</v>
      </c>
      <c r="J56" s="14">
        <f t="shared" si="1"/>
      </c>
      <c r="K56" s="14">
        <f t="shared" si="2"/>
      </c>
      <c r="L56" s="14">
        <f t="shared" si="3"/>
      </c>
      <c r="M56" s="11" t="s">
        <v>39</v>
      </c>
      <c r="N56" s="15">
        <v>5</v>
      </c>
      <c r="O56" s="11" t="s">
        <v>26</v>
      </c>
      <c r="P56" s="11">
        <v>5</v>
      </c>
    </row>
    <row r="57">
      <c r="A57" s="20">
        <v>46307</v>
      </c>
      <c r="B57" s="21" t="s">
        <v>29</v>
      </c>
      <c r="C57" s="22"/>
      <c r="D57" s="23">
        <f>SUM(D54:D56)</f>
      </c>
      <c r="E57" s="23">
        <f>SUM(E54:E56)</f>
      </c>
      <c r="F57" s="23">
        <f>SUM(F54:F56)</f>
      </c>
      <c r="G57" s="23">
        <f>SUM(G54:G56)</f>
      </c>
      <c r="H57" s="24">
        <f>SUM(H54:H56)</f>
      </c>
      <c r="I57" s="24">
        <f>SUM(I54:I56)</f>
      </c>
      <c r="J57" s="25">
        <f t="shared" si="1"/>
      </c>
      <c r="K57" s="25">
        <f t="shared" si="2"/>
      </c>
      <c r="L57" s="25">
        <f t="shared" si="3"/>
      </c>
      <c r="M57" s="21"/>
      <c r="N57" s="23">
        <f>SUM(N54:N56)</f>
      </c>
      <c r="O57" s="23"/>
      <c r="P57" s="23">
        <f>SUM(P54:P56)</f>
      </c>
    </row>
    <row r="58">
      <c r="A58" s="8">
        <v>46308</v>
      </c>
      <c r="B58" s="16" t="s">
        <v>17</v>
      </c>
      <c r="C58" s="10" t="s">
        <v>18</v>
      </c>
      <c r="D58" s="10">
        <v>4</v>
      </c>
      <c r="E58" s="11">
        <v>17</v>
      </c>
      <c r="F58" s="11">
        <v>13</v>
      </c>
      <c r="G58" s="11">
        <v>9</v>
      </c>
      <c r="H58" s="11">
        <v>18987.370000000003</v>
      </c>
      <c r="I58" s="17">
        <v>10484.55</v>
      </c>
      <c r="J58" s="14">
        <f t="shared" si="1"/>
      </c>
      <c r="K58" s="14">
        <f t="shared" si="2"/>
      </c>
      <c r="L58" s="14">
        <f t="shared" si="3"/>
      </c>
      <c r="M58" s="12" t="s">
        <v>34</v>
      </c>
      <c r="N58" s="15">
        <v>7</v>
      </c>
      <c r="O58" s="12"/>
      <c r="P58" s="11"/>
    </row>
    <row r="59">
      <c r="A59" s="8">
        <v>46308</v>
      </c>
      <c r="B59" s="16" t="s">
        <v>23</v>
      </c>
      <c r="C59" s="10" t="s">
        <v>20</v>
      </c>
      <c r="D59" s="10">
        <v>4</v>
      </c>
      <c r="E59" s="11">
        <v>3</v>
      </c>
      <c r="F59" s="11">
        <v>2</v>
      </c>
      <c r="G59" s="11">
        <v>2</v>
      </c>
      <c r="H59" s="11">
        <v>4642.56</v>
      </c>
      <c r="I59" s="17">
        <v>8137.13</v>
      </c>
      <c r="J59" s="14">
        <f t="shared" si="1"/>
      </c>
      <c r="K59" s="14">
        <f t="shared" si="2"/>
      </c>
      <c r="L59" s="14">
        <f t="shared" si="3"/>
      </c>
      <c r="M59" s="11"/>
      <c r="N59" s="15"/>
      <c r="O59" s="11" t="s">
        <v>22</v>
      </c>
      <c r="P59" s="11">
        <v>7</v>
      </c>
    </row>
    <row r="60">
      <c r="A60" s="8">
        <v>46308</v>
      </c>
      <c r="B60" s="16" t="s">
        <v>30</v>
      </c>
      <c r="C60" s="10" t="s">
        <v>40</v>
      </c>
      <c r="D60" s="10">
        <v>3</v>
      </c>
      <c r="E60" s="11">
        <v>14</v>
      </c>
      <c r="F60" s="11">
        <v>11</v>
      </c>
      <c r="G60" s="11">
        <v>9</v>
      </c>
      <c r="H60" s="11">
        <v>22202.93</v>
      </c>
      <c r="I60" s="18">
        <v>11062.71</v>
      </c>
      <c r="J60" s="14">
        <f t="shared" si="1"/>
      </c>
      <c r="K60" s="14">
        <f t="shared" si="2"/>
      </c>
      <c r="L60" s="14">
        <f t="shared" si="3"/>
      </c>
      <c r="M60" s="11" t="s">
        <v>41</v>
      </c>
      <c r="N60" s="15">
        <v>2</v>
      </c>
      <c r="O60" s="11"/>
      <c r="P60" s="11"/>
    </row>
    <row customHeight="true" ht="16.071428571428573" r="61">
      <c r="A61" s="8">
        <v>46308</v>
      </c>
      <c r="B61" s="16" t="s">
        <v>27</v>
      </c>
      <c r="C61" s="10" t="s">
        <v>42</v>
      </c>
      <c r="D61" s="10">
        <v>3</v>
      </c>
      <c r="E61" s="11">
        <v>14</v>
      </c>
      <c r="F61" s="11">
        <v>10</v>
      </c>
      <c r="G61" s="11">
        <v>3</v>
      </c>
      <c r="H61" s="11">
        <v>18008.53</v>
      </c>
      <c r="I61" s="18">
        <v>8529.28</v>
      </c>
      <c r="J61" s="14">
        <f t="shared" si="1"/>
      </c>
      <c r="K61" s="14">
        <f t="shared" si="2"/>
      </c>
      <c r="L61" s="14">
        <f t="shared" si="3"/>
      </c>
      <c r="M61" s="11" t="s">
        <v>25</v>
      </c>
      <c r="N61" s="15">
        <v>5</v>
      </c>
      <c r="O61" s="11" t="s">
        <v>26</v>
      </c>
      <c r="P61" s="11">
        <v>7</v>
      </c>
    </row>
    <row r="62">
      <c r="A62" s="20">
        <v>46308</v>
      </c>
      <c r="B62" s="21" t="s">
        <v>29</v>
      </c>
      <c r="C62" s="22"/>
      <c r="D62" s="23">
        <f>SUM(D58:D61)</f>
      </c>
      <c r="E62" s="23">
        <f>SUM(E58:E61)</f>
      </c>
      <c r="F62" s="23">
        <f>SUM(F58:F61)</f>
      </c>
      <c r="G62" s="23">
        <f>SUM(G58:G61)</f>
      </c>
      <c r="H62" s="24">
        <f>SUM(H58:H61)</f>
      </c>
      <c r="I62" s="24">
        <f>SUM(I58:I61)</f>
      </c>
      <c r="J62" s="25">
        <f t="shared" si="1"/>
      </c>
      <c r="K62" s="25">
        <f t="shared" si="2"/>
      </c>
      <c r="L62" s="25">
        <f t="shared" si="3"/>
      </c>
      <c r="M62" s="21"/>
      <c r="N62" s="23">
        <f>SUM(N58:N61)</f>
      </c>
      <c r="O62" s="23"/>
      <c r="P62" s="23">
        <f>SUM(P58:P61)</f>
      </c>
    </row>
    <row r="63">
      <c r="A63" s="8">
        <v>46309</v>
      </c>
      <c r="B63" s="16" t="s">
        <v>23</v>
      </c>
      <c r="C63" s="10" t="s">
        <v>18</v>
      </c>
      <c r="D63" s="10">
        <v>4</v>
      </c>
      <c r="E63" s="11">
        <v>28</v>
      </c>
      <c r="F63" s="11">
        <v>21</v>
      </c>
      <c r="G63" s="11">
        <v>18</v>
      </c>
      <c r="H63" s="11">
        <v>43847.270000000004</v>
      </c>
      <c r="I63" s="17">
        <v>14876.689999999999</v>
      </c>
      <c r="J63" s="14">
        <f t="shared" si="1"/>
      </c>
      <c r="K63" s="14">
        <f t="shared" si="2"/>
      </c>
      <c r="L63" s="14">
        <f t="shared" si="3"/>
      </c>
      <c r="M63" s="12" t="s">
        <v>34</v>
      </c>
      <c r="N63" s="15">
        <v>7</v>
      </c>
      <c r="O63" s="12"/>
      <c r="P63" s="11"/>
    </row>
    <row r="64">
      <c r="A64" s="8">
        <v>46309</v>
      </c>
      <c r="B64" s="16" t="s">
        <v>17</v>
      </c>
      <c r="C64" s="10" t="s">
        <v>20</v>
      </c>
      <c r="D64" s="10">
        <v>4</v>
      </c>
      <c r="E64" s="11">
        <v>16</v>
      </c>
      <c r="F64" s="11">
        <v>10</v>
      </c>
      <c r="G64" s="11">
        <v>9</v>
      </c>
      <c r="H64" s="11">
        <v>17304.66</v>
      </c>
      <c r="I64" s="17">
        <v>14349.82</v>
      </c>
      <c r="J64" s="14">
        <f t="shared" si="1"/>
      </c>
      <c r="K64" s="14">
        <f t="shared" si="2"/>
      </c>
      <c r="L64" s="14">
        <f t="shared" si="3"/>
      </c>
      <c r="M64" s="11"/>
      <c r="N64" s="15"/>
      <c r="O64" s="11" t="s">
        <v>22</v>
      </c>
      <c r="P64" s="11">
        <v>7</v>
      </c>
    </row>
    <row r="65">
      <c r="A65" s="8">
        <v>46309</v>
      </c>
      <c r="B65" s="16" t="s">
        <v>19</v>
      </c>
      <c r="C65" s="10" t="s">
        <v>24</v>
      </c>
      <c r="D65" s="10">
        <v>4</v>
      </c>
      <c r="E65" s="11">
        <v>7</v>
      </c>
      <c r="F65" s="11">
        <v>6</v>
      </c>
      <c r="G65" s="11">
        <v>6</v>
      </c>
      <c r="H65" s="11">
        <v>12537.010000000002</v>
      </c>
      <c r="I65" s="18">
        <v>12111.19</v>
      </c>
      <c r="J65" s="14">
        <f t="shared" si="1"/>
      </c>
      <c r="K65" s="14">
        <f t="shared" si="2"/>
      </c>
      <c r="L65" s="14">
        <f t="shared" si="3"/>
      </c>
      <c r="M65" s="11"/>
      <c r="N65" s="15"/>
      <c r="O65" s="11"/>
      <c r="P65" s="11"/>
    </row>
    <row r="66">
      <c r="A66" s="8">
        <v>46309</v>
      </c>
      <c r="B66" s="16" t="s">
        <v>27</v>
      </c>
      <c r="C66" s="10" t="s">
        <v>43</v>
      </c>
      <c r="D66" s="10">
        <v>2</v>
      </c>
      <c r="E66" s="11">
        <v>10</v>
      </c>
      <c r="F66" s="11">
        <v>7</v>
      </c>
      <c r="G66" s="11">
        <v>5</v>
      </c>
      <c r="H66" s="11">
        <v>19906.029999999995</v>
      </c>
      <c r="I66" s="18">
        <v>7764.73</v>
      </c>
      <c r="J66" s="14">
        <f t="shared" si="1"/>
      </c>
      <c r="K66" s="14">
        <f t="shared" si="2"/>
      </c>
      <c r="L66" s="14">
        <f t="shared" si="3"/>
      </c>
      <c r="M66" s="11" t="s">
        <v>25</v>
      </c>
      <c r="N66" s="15">
        <v>7</v>
      </c>
      <c r="O66" s="11" t="s">
        <v>26</v>
      </c>
      <c r="P66" s="11">
        <v>7</v>
      </c>
    </row>
    <row r="67">
      <c r="A67" s="20">
        <v>46309</v>
      </c>
      <c r="B67" s="21" t="s">
        <v>29</v>
      </c>
      <c r="C67" s="22"/>
      <c r="D67" s="23">
        <f>SUM(D63:D66)</f>
      </c>
      <c r="E67" s="23">
        <f>SUM(E63:E66)</f>
      </c>
      <c r="F67" s="23">
        <f>SUM(F63:F66)</f>
      </c>
      <c r="G67" s="23">
        <f>SUM(G63:G66)</f>
      </c>
      <c r="H67" s="24">
        <f>SUM(H63:H66)</f>
      </c>
      <c r="I67" s="24">
        <f>SUM(I63:I66)</f>
      </c>
      <c r="J67" s="25">
        <f t="shared" si="1"/>
      </c>
      <c r="K67" s="25">
        <f t="shared" si="2"/>
      </c>
      <c r="L67" s="25">
        <f t="shared" si="3"/>
      </c>
      <c r="M67" s="21"/>
      <c r="N67" s="23">
        <f>SUM(N63:N66)</f>
      </c>
      <c r="O67" s="23"/>
      <c r="P67" s="23">
        <f>SUM(P63:P66)</f>
      </c>
    </row>
    <row r="68">
      <c r="A68" s="8">
        <v>46310</v>
      </c>
      <c r="B68" s="16" t="s">
        <v>17</v>
      </c>
      <c r="C68" s="10" t="s">
        <v>18</v>
      </c>
      <c r="D68" s="10">
        <v>4</v>
      </c>
      <c r="E68" s="11">
        <v>9</v>
      </c>
      <c r="F68" s="11">
        <v>7</v>
      </c>
      <c r="G68" s="11">
        <v>7</v>
      </c>
      <c r="H68" s="11">
        <v>16243.269999999999</v>
      </c>
      <c r="I68" s="17">
        <v>10207.65</v>
      </c>
      <c r="J68" s="14">
        <f t="shared" si="1"/>
      </c>
      <c r="K68" s="14">
        <f t="shared" si="2"/>
      </c>
      <c r="L68" s="14">
        <f t="shared" si="3"/>
      </c>
      <c r="M68" s="12" t="s">
        <v>34</v>
      </c>
      <c r="N68" s="15">
        <v>7</v>
      </c>
      <c r="O68" s="12"/>
      <c r="P68" s="11"/>
    </row>
    <row r="69">
      <c r="A69" s="8">
        <v>46310</v>
      </c>
      <c r="B69" s="16" t="s">
        <v>19</v>
      </c>
      <c r="C69" s="10" t="s">
        <v>20</v>
      </c>
      <c r="D69" s="10">
        <v>4</v>
      </c>
      <c r="E69" s="11">
        <v>10</v>
      </c>
      <c r="F69" s="11">
        <v>4</v>
      </c>
      <c r="G69" s="11">
        <v>4</v>
      </c>
      <c r="H69" s="11">
        <v>17222.66</v>
      </c>
      <c r="I69" s="17">
        <v>9484.27</v>
      </c>
      <c r="J69" s="14">
        <f t="shared" si="1"/>
      </c>
      <c r="K69" s="14">
        <f t="shared" si="2"/>
      </c>
      <c r="L69" s="14">
        <f t="shared" si="3"/>
      </c>
      <c r="M69" s="11"/>
      <c r="N69" s="15"/>
      <c r="O69" s="11" t="s">
        <v>22</v>
      </c>
      <c r="P69" s="11">
        <v>7</v>
      </c>
    </row>
    <row r="70">
      <c r="A70" s="8">
        <v>46310</v>
      </c>
      <c r="B70" s="16" t="s">
        <v>27</v>
      </c>
      <c r="C70" s="10" t="s">
        <v>40</v>
      </c>
      <c r="D70" s="10">
        <v>3</v>
      </c>
      <c r="E70" s="11">
        <v>11</v>
      </c>
      <c r="F70" s="11">
        <v>6</v>
      </c>
      <c r="G70" s="11">
        <v>4</v>
      </c>
      <c r="H70" s="11">
        <v>17177.140000000003</v>
      </c>
      <c r="I70" s="18">
        <v>5536.29</v>
      </c>
      <c r="J70" s="14">
        <f t="shared" si="1"/>
      </c>
      <c r="K70" s="14">
        <f t="shared" si="2"/>
      </c>
      <c r="L70" s="14">
        <f t="shared" si="3"/>
      </c>
      <c r="M70" s="11"/>
      <c r="N70" s="15"/>
      <c r="O70" s="11"/>
      <c r="P70" s="11"/>
    </row>
    <row r="71">
      <c r="A71" s="8">
        <v>46310</v>
      </c>
      <c r="B71" s="16" t="s">
        <v>30</v>
      </c>
      <c r="C71" s="10" t="s">
        <v>42</v>
      </c>
      <c r="D71" s="10">
        <v>3</v>
      </c>
      <c r="E71" s="11">
        <v>4</v>
      </c>
      <c r="F71" s="11">
        <v>3</v>
      </c>
      <c r="G71" s="11">
        <v>2</v>
      </c>
      <c r="H71" s="11">
        <v>2875.84</v>
      </c>
      <c r="I71" s="18">
        <v>5554.37</v>
      </c>
      <c r="J71" s="14">
        <f t="shared" si="1"/>
      </c>
      <c r="K71" s="14">
        <f t="shared" si="2"/>
      </c>
      <c r="L71" s="14">
        <f t="shared" si="3"/>
      </c>
      <c r="M71" s="11" t="s">
        <v>25</v>
      </c>
      <c r="N71" s="15">
        <v>7</v>
      </c>
      <c r="O71" s="11" t="s">
        <v>26</v>
      </c>
      <c r="P71" s="11">
        <v>7</v>
      </c>
    </row>
    <row r="72">
      <c r="A72" s="20">
        <v>46310</v>
      </c>
      <c r="B72" s="21" t="s">
        <v>29</v>
      </c>
      <c r="C72" s="22"/>
      <c r="D72" s="23">
        <f>SUM(D68:D71)</f>
      </c>
      <c r="E72" s="23">
        <f>SUM(E68:E71)</f>
      </c>
      <c r="F72" s="23">
        <f>SUM(F68:F71)</f>
      </c>
      <c r="G72" s="23">
        <f>SUM(G68:G71)</f>
      </c>
      <c r="H72" s="24">
        <f>SUM(H68:H71)</f>
      </c>
      <c r="I72" s="24">
        <f>SUM(I68:I71)</f>
      </c>
      <c r="J72" s="25">
        <f t="shared" si="1"/>
      </c>
      <c r="K72" s="25">
        <f t="shared" si="2"/>
      </c>
      <c r="L72" s="25">
        <f t="shared" si="3"/>
      </c>
      <c r="M72" s="21"/>
      <c r="N72" s="23">
        <f>SUM(N68:N71)</f>
      </c>
      <c r="O72" s="23"/>
      <c r="P72" s="23">
        <f>SUM(P68:P71)</f>
      </c>
    </row>
    <row r="73">
      <c r="A73" s="8">
        <v>46311</v>
      </c>
      <c r="B73" s="16" t="s">
        <v>27</v>
      </c>
      <c r="C73" s="10" t="s">
        <v>18</v>
      </c>
      <c r="D73" s="10">
        <v>4</v>
      </c>
      <c r="E73" s="11">
        <v>17</v>
      </c>
      <c r="F73" s="11">
        <v>14</v>
      </c>
      <c r="G73" s="11">
        <v>9</v>
      </c>
      <c r="H73" s="11">
        <v>27612.009999999995</v>
      </c>
      <c r="I73" s="17">
        <v>10093.990000000002</v>
      </c>
      <c r="J73" s="14">
        <f t="shared" si="1"/>
      </c>
      <c r="K73" s="14">
        <f t="shared" si="2"/>
      </c>
      <c r="L73" s="14">
        <f t="shared" si="3"/>
      </c>
      <c r="M73" s="12" t="s">
        <v>34</v>
      </c>
      <c r="N73" s="15">
        <v>7</v>
      </c>
      <c r="O73" s="12"/>
      <c r="P73" s="11"/>
    </row>
    <row r="74">
      <c r="A74" s="8">
        <v>46311</v>
      </c>
      <c r="B74" s="16" t="s">
        <v>17</v>
      </c>
      <c r="C74" s="10" t="s">
        <v>20</v>
      </c>
      <c r="D74" s="10">
        <v>4</v>
      </c>
      <c r="E74" s="11">
        <v>15</v>
      </c>
      <c r="F74" s="11">
        <v>7</v>
      </c>
      <c r="G74" s="11">
        <v>5</v>
      </c>
      <c r="H74" s="11">
        <v>15393.32</v>
      </c>
      <c r="I74" s="17">
        <v>8860.96</v>
      </c>
      <c r="J74" s="14">
        <f t="shared" si="1"/>
      </c>
      <c r="K74" s="14">
        <f t="shared" si="2"/>
      </c>
      <c r="L74" s="14">
        <f t="shared" si="3"/>
      </c>
      <c r="M74" s="11"/>
      <c r="N74" s="15"/>
      <c r="O74" s="11" t="s">
        <v>22</v>
      </c>
      <c r="P74" s="11">
        <v>7</v>
      </c>
    </row>
    <row r="75">
      <c r="A75" s="8">
        <v>46311</v>
      </c>
      <c r="B75" s="16" t="s">
        <v>23</v>
      </c>
      <c r="C75" s="10" t="s">
        <v>40</v>
      </c>
      <c r="D75" s="10">
        <v>3</v>
      </c>
      <c r="E75" s="11">
        <v>8</v>
      </c>
      <c r="F75" s="11">
        <v>7</v>
      </c>
      <c r="G75" s="11">
        <v>6</v>
      </c>
      <c r="H75" s="11">
        <v>11568.39</v>
      </c>
      <c r="I75" s="18">
        <v>5292.3</v>
      </c>
      <c r="J75" s="14">
        <f t="shared" si="1"/>
      </c>
      <c r="K75" s="14">
        <f t="shared" si="2"/>
      </c>
      <c r="L75" s="14">
        <f t="shared" si="3"/>
      </c>
      <c r="M75" s="11"/>
      <c r="N75" s="15"/>
      <c r="O75" s="11"/>
      <c r="P75" s="11"/>
    </row>
    <row r="76">
      <c r="A76" s="8">
        <v>46311</v>
      </c>
      <c r="B76" s="16" t="s">
        <v>30</v>
      </c>
      <c r="C76" s="10" t="s">
        <v>42</v>
      </c>
      <c r="D76" s="10">
        <v>3</v>
      </c>
      <c r="E76" s="11">
        <v>8</v>
      </c>
      <c r="F76" s="11">
        <v>4</v>
      </c>
      <c r="G76" s="11">
        <v>3</v>
      </c>
      <c r="H76" s="11">
        <v>5190.41</v>
      </c>
      <c r="I76" s="18">
        <v>7429.76</v>
      </c>
      <c r="J76" s="14">
        <f t="shared" si="1"/>
      </c>
      <c r="K76" s="14">
        <f t="shared" si="2"/>
      </c>
      <c r="L76" s="14">
        <f t="shared" si="3"/>
      </c>
      <c r="M76" s="11" t="s">
        <v>41</v>
      </c>
      <c r="N76" s="15">
        <v>7</v>
      </c>
      <c r="O76" s="11" t="s">
        <v>26</v>
      </c>
      <c r="P76" s="11">
        <v>7</v>
      </c>
    </row>
    <row r="77">
      <c r="A77" s="20">
        <v>46311</v>
      </c>
      <c r="B77" s="21" t="s">
        <v>29</v>
      </c>
      <c r="C77" s="22"/>
      <c r="D77" s="23">
        <f>SUM(D73:D76)</f>
      </c>
      <c r="E77" s="23">
        <f>SUM(E73:E76)</f>
      </c>
      <c r="F77" s="23">
        <f>SUM(F73:F76)</f>
      </c>
      <c r="G77" s="23">
        <f>SUM(G73:G76)</f>
      </c>
      <c r="H77" s="24">
        <f>SUM(H73:H76)</f>
      </c>
      <c r="I77" s="24">
        <f>SUM(I73:I76)</f>
      </c>
      <c r="J77" s="25">
        <f t="shared" si="1"/>
      </c>
      <c r="K77" s="25">
        <f t="shared" si="2"/>
      </c>
      <c r="L77" s="25">
        <f t="shared" si="3"/>
      </c>
      <c r="M77" s="21"/>
      <c r="N77" s="23">
        <f>SUM(N73:N76)</f>
      </c>
      <c r="O77" s="23"/>
      <c r="P77" s="23">
        <f>SUM(P73:P76)</f>
      </c>
    </row>
    <row r="78">
      <c r="A78" s="8">
        <v>46312</v>
      </c>
      <c r="B78" s="16" t="s">
        <v>23</v>
      </c>
      <c r="C78" s="10" t="s">
        <v>18</v>
      </c>
      <c r="D78" s="10">
        <v>4</v>
      </c>
      <c r="E78" s="11">
        <v>15</v>
      </c>
      <c r="F78" s="11">
        <v>10</v>
      </c>
      <c r="G78" s="11">
        <v>8</v>
      </c>
      <c r="H78" s="11">
        <v>28416.440000000002</v>
      </c>
      <c r="I78" s="17">
        <v>9814.36</v>
      </c>
      <c r="J78" s="14">
        <f t="shared" si="1"/>
      </c>
      <c r="K78" s="14">
        <f t="shared" si="2"/>
      </c>
      <c r="L78" s="14">
        <f t="shared" si="3"/>
      </c>
      <c r="M78" s="11" t="s">
        <v>44</v>
      </c>
      <c r="N78" s="15">
        <v>7</v>
      </c>
      <c r="O78" s="12"/>
      <c r="P78" s="11"/>
    </row>
    <row r="79">
      <c r="A79" s="8">
        <v>46312</v>
      </c>
      <c r="B79" s="16" t="s">
        <v>17</v>
      </c>
      <c r="C79" s="10" t="s">
        <v>20</v>
      </c>
      <c r="D79" s="10">
        <v>4</v>
      </c>
      <c r="E79" s="11">
        <v>9</v>
      </c>
      <c r="F79" s="11">
        <v>6</v>
      </c>
      <c r="G79" s="11">
        <v>6</v>
      </c>
      <c r="H79" s="11">
        <v>11535.940000000002</v>
      </c>
      <c r="I79" s="17">
        <v>8582.119999999999</v>
      </c>
      <c r="J79" s="14">
        <f t="shared" si="1"/>
      </c>
      <c r="K79" s="14">
        <f t="shared" si="2"/>
      </c>
      <c r="L79" s="14">
        <f t="shared" si="3"/>
      </c>
      <c r="M79" s="11"/>
      <c r="N79" s="15"/>
      <c r="O79" s="11" t="s">
        <v>22</v>
      </c>
      <c r="P79" s="11">
        <v>7</v>
      </c>
    </row>
    <row r="80">
      <c r="A80" s="8">
        <v>46312</v>
      </c>
      <c r="B80" s="16" t="s">
        <v>27</v>
      </c>
      <c r="C80" s="10" t="s">
        <v>40</v>
      </c>
      <c r="D80" s="10">
        <v>3</v>
      </c>
      <c r="E80" s="11">
        <v>10</v>
      </c>
      <c r="F80" s="11">
        <v>9</v>
      </c>
      <c r="G80" s="11">
        <v>6</v>
      </c>
      <c r="H80" s="11">
        <v>17016.78</v>
      </c>
      <c r="I80" s="18">
        <v>7754.98</v>
      </c>
      <c r="J80" s="14">
        <f t="shared" si="1"/>
      </c>
      <c r="K80" s="14">
        <f t="shared" si="2"/>
      </c>
      <c r="L80" s="14">
        <f t="shared" si="3"/>
      </c>
      <c r="M80" s="11" t="s">
        <v>41</v>
      </c>
      <c r="N80" s="15">
        <v>6</v>
      </c>
      <c r="O80" s="11"/>
      <c r="P80" s="11"/>
    </row>
    <row r="81">
      <c r="A81" s="8">
        <v>46312</v>
      </c>
      <c r="B81" s="16" t="s">
        <v>19</v>
      </c>
      <c r="C81" s="10" t="s">
        <v>42</v>
      </c>
      <c r="D81" s="10">
        <v>3</v>
      </c>
      <c r="E81" s="11">
        <v>14</v>
      </c>
      <c r="F81" s="11">
        <v>10</v>
      </c>
      <c r="G81" s="11">
        <v>10</v>
      </c>
      <c r="H81" s="11">
        <v>28467.040000000005</v>
      </c>
      <c r="I81" s="18">
        <v>14220.25</v>
      </c>
      <c r="J81" s="14">
        <f t="shared" si="1"/>
      </c>
      <c r="K81" s="14">
        <f t="shared" si="2"/>
      </c>
      <c r="L81" s="14">
        <f t="shared" si="3"/>
      </c>
      <c r="M81" s="11" t="s">
        <v>25</v>
      </c>
      <c r="N81" s="15">
        <v>1</v>
      </c>
      <c r="O81" s="11" t="s">
        <v>26</v>
      </c>
      <c r="P81" s="11">
        <v>7</v>
      </c>
    </row>
    <row r="82">
      <c r="A82" s="20">
        <v>46312</v>
      </c>
      <c r="B82" s="21" t="s">
        <v>29</v>
      </c>
      <c r="C82" s="22"/>
      <c r="D82" s="23">
        <f>SUM(D78:D81)</f>
      </c>
      <c r="E82" s="23">
        <f>SUM(E78:E81)</f>
      </c>
      <c r="F82" s="23">
        <f>SUM(F78:F81)</f>
      </c>
      <c r="G82" s="23">
        <f>SUM(G78:G81)</f>
      </c>
      <c r="H82" s="24">
        <f>SUM(H78:H81)</f>
      </c>
      <c r="I82" s="24">
        <f>SUM(I78:I81)</f>
      </c>
      <c r="J82" s="25">
        <f t="shared" si="1"/>
      </c>
      <c r="K82" s="25">
        <f t="shared" si="2"/>
      </c>
      <c r="L82" s="25">
        <f t="shared" si="3"/>
      </c>
      <c r="M82" s="21"/>
      <c r="N82" s="23">
        <f>SUM(N78:N81)</f>
      </c>
      <c r="O82" s="23"/>
      <c r="P82" s="23">
        <f>SUM(P78:P81)</f>
      </c>
    </row>
    <row r="83">
      <c r="A83" s="8">
        <v>46313</v>
      </c>
      <c r="B83" s="16" t="s">
        <v>27</v>
      </c>
      <c r="C83" s="10" t="s">
        <v>18</v>
      </c>
      <c r="D83" s="10">
        <v>4</v>
      </c>
      <c r="E83" s="11">
        <v>16</v>
      </c>
      <c r="F83" s="11">
        <v>11</v>
      </c>
      <c r="G83" s="11">
        <v>10</v>
      </c>
      <c r="H83" s="11">
        <v>21696.190000000002</v>
      </c>
      <c r="I83" s="17">
        <v>14769.77</v>
      </c>
      <c r="J83" s="14">
        <f t="shared" si="1"/>
      </c>
      <c r="K83" s="14">
        <f t="shared" si="2"/>
      </c>
      <c r="L83" s="14">
        <f t="shared" si="3"/>
      </c>
      <c r="M83" s="11" t="s">
        <v>44</v>
      </c>
      <c r="N83" s="15">
        <v>7</v>
      </c>
      <c r="O83" s="12"/>
      <c r="P83" s="11"/>
    </row>
    <row r="84">
      <c r="A84" s="8">
        <v>46313</v>
      </c>
      <c r="B84" s="16" t="s">
        <v>19</v>
      </c>
      <c r="C84" s="10" t="s">
        <v>20</v>
      </c>
      <c r="D84" s="10">
        <v>4</v>
      </c>
      <c r="E84" s="11">
        <v>15</v>
      </c>
      <c r="F84" s="11">
        <v>9</v>
      </c>
      <c r="G84" s="11">
        <v>7</v>
      </c>
      <c r="H84" s="11">
        <v>15669.31</v>
      </c>
      <c r="I84" s="17">
        <v>9383.61</v>
      </c>
      <c r="J84" s="14">
        <f t="shared" si="1"/>
      </c>
      <c r="K84" s="14">
        <f t="shared" si="2"/>
      </c>
      <c r="L84" s="14">
        <f t="shared" si="3"/>
      </c>
      <c r="M84" s="11"/>
      <c r="N84" s="15"/>
      <c r="O84" s="11" t="s">
        <v>22</v>
      </c>
      <c r="P84" s="11">
        <v>7</v>
      </c>
    </row>
    <row r="85">
      <c r="A85" s="8">
        <v>46313</v>
      </c>
      <c r="B85" s="16" t="s">
        <v>17</v>
      </c>
      <c r="C85" s="10" t="s">
        <v>40</v>
      </c>
      <c r="D85" s="10">
        <v>3</v>
      </c>
      <c r="E85" s="11">
        <v>9</v>
      </c>
      <c r="F85" s="11">
        <v>8</v>
      </c>
      <c r="G85" s="11">
        <v>5</v>
      </c>
      <c r="H85" s="11">
        <v>15130.55</v>
      </c>
      <c r="I85" s="18">
        <v>6929.7699999999995</v>
      </c>
      <c r="J85" s="14">
        <f t="shared" si="1"/>
      </c>
      <c r="K85" s="14">
        <f t="shared" si="2"/>
      </c>
      <c r="L85" s="14">
        <f t="shared" si="3"/>
      </c>
      <c r="M85" s="11" t="s">
        <v>41</v>
      </c>
      <c r="N85" s="15">
        <v>7</v>
      </c>
      <c r="O85" s="11"/>
      <c r="P85" s="11"/>
    </row>
    <row r="86">
      <c r="A86" s="8">
        <v>46313</v>
      </c>
      <c r="B86" s="16" t="s">
        <v>30</v>
      </c>
      <c r="C86" s="10" t="s">
        <v>42</v>
      </c>
      <c r="D86" s="10">
        <v>3</v>
      </c>
      <c r="E86" s="11">
        <v>19</v>
      </c>
      <c r="F86" s="11">
        <v>12</v>
      </c>
      <c r="G86" s="11">
        <v>11</v>
      </c>
      <c r="H86" s="11">
        <v>22109.27</v>
      </c>
      <c r="I86" s="18">
        <v>10549.78</v>
      </c>
      <c r="J86" s="14">
        <f t="shared" si="1"/>
      </c>
      <c r="K86" s="14">
        <f t="shared" si="2"/>
      </c>
      <c r="L86" s="14">
        <f t="shared" si="3"/>
      </c>
      <c r="M86" s="11"/>
      <c r="N86" s="15"/>
      <c r="O86" s="11" t="s">
        <v>26</v>
      </c>
      <c r="P86" s="11">
        <v>7</v>
      </c>
    </row>
    <row r="87">
      <c r="A87" s="20">
        <v>46313</v>
      </c>
      <c r="B87" s="21" t="s">
        <v>29</v>
      </c>
      <c r="C87" s="22"/>
      <c r="D87" s="23">
        <f>SUM(D83:D86)</f>
      </c>
      <c r="E87" s="23">
        <f>SUM(E83:E86)</f>
      </c>
      <c r="F87" s="23">
        <f>SUM(F83:F86)</f>
      </c>
      <c r="G87" s="23">
        <f>SUM(G83:G86)</f>
      </c>
      <c r="H87" s="24">
        <f>SUM(H83:H86)</f>
      </c>
      <c r="I87" s="24">
        <f>SUM(I83:I86)</f>
      </c>
      <c r="J87" s="25">
        <f t="shared" si="1"/>
      </c>
      <c r="K87" s="25">
        <f t="shared" si="2"/>
      </c>
      <c r="L87" s="25">
        <f t="shared" si="3"/>
      </c>
      <c r="M87" s="21"/>
      <c r="N87" s="23">
        <f>SUM(N83:N86)</f>
      </c>
      <c r="O87" s="23"/>
      <c r="P87" s="23">
        <f>SUM(P83:P86)</f>
      </c>
    </row>
    <row r="88">
      <c r="A88" s="8">
        <v>46314</v>
      </c>
      <c r="B88" s="16" t="s">
        <v>23</v>
      </c>
      <c r="C88" s="10" t="s">
        <v>18</v>
      </c>
      <c r="D88" s="10">
        <v>4</v>
      </c>
      <c r="E88" s="26">
        <v>18</v>
      </c>
      <c r="F88" s="26">
        <v>14</v>
      </c>
      <c r="G88" s="26">
        <v>10</v>
      </c>
      <c r="H88" s="11">
        <v>21707.4</v>
      </c>
      <c r="I88" s="17">
        <v>11476.7</v>
      </c>
      <c r="J88" s="14">
        <f t="shared" si="1"/>
      </c>
      <c r="K88" s="14">
        <f t="shared" si="2"/>
      </c>
      <c r="L88" s="14">
        <f t="shared" si="3"/>
      </c>
      <c r="M88" s="11" t="s">
        <v>45</v>
      </c>
      <c r="N88" s="15">
        <v>7</v>
      </c>
      <c r="O88" s="12"/>
      <c r="P88" s="11"/>
    </row>
    <row r="89">
      <c r="A89" s="8">
        <v>46314</v>
      </c>
      <c r="B89" s="16" t="s">
        <v>27</v>
      </c>
      <c r="C89" s="10" t="s">
        <v>20</v>
      </c>
      <c r="D89" s="10">
        <v>4</v>
      </c>
      <c r="E89" s="11"/>
      <c r="F89" s="11"/>
      <c r="G89" s="11"/>
      <c r="H89" s="11"/>
      <c r="I89" s="17"/>
      <c r="J89" s="14">
        <f t="shared" si="1"/>
      </c>
      <c r="K89" s="14">
        <f t="shared" si="2"/>
      </c>
      <c r="L89" s="14">
        <f t="shared" si="3"/>
      </c>
      <c r="M89" s="11"/>
      <c r="N89" s="15"/>
      <c r="O89" s="11" t="s">
        <v>22</v>
      </c>
      <c r="P89" s="11">
        <v>7</v>
      </c>
    </row>
    <row r="90">
      <c r="A90" s="8">
        <v>46314</v>
      </c>
      <c r="B90" s="16" t="s">
        <v>30</v>
      </c>
      <c r="C90" s="10" t="s">
        <v>40</v>
      </c>
      <c r="D90" s="10">
        <v>3</v>
      </c>
      <c r="E90" s="11"/>
      <c r="F90" s="11"/>
      <c r="G90" s="11"/>
      <c r="H90" s="11"/>
      <c r="I90" s="18"/>
      <c r="J90" s="14">
        <f t="shared" si="1"/>
      </c>
      <c r="K90" s="14">
        <f t="shared" si="2"/>
      </c>
      <c r="L90" s="14">
        <f t="shared" si="3"/>
      </c>
      <c r="M90" s="11" t="s">
        <v>41</v>
      </c>
      <c r="N90" s="15">
        <v>7</v>
      </c>
      <c r="O90" s="11"/>
      <c r="P90" s="11"/>
    </row>
    <row r="91">
      <c r="A91" s="8">
        <v>46314</v>
      </c>
      <c r="B91" s="16" t="s">
        <v>19</v>
      </c>
      <c r="C91" s="10" t="s">
        <v>42</v>
      </c>
      <c r="D91" s="10">
        <v>3</v>
      </c>
      <c r="E91" s="11"/>
      <c r="F91" s="11"/>
      <c r="G91" s="11"/>
      <c r="H91" s="11"/>
      <c r="I91" s="18"/>
      <c r="J91" s="14">
        <f t="shared" si="1"/>
      </c>
      <c r="K91" s="14">
        <f t="shared" si="2"/>
      </c>
      <c r="L91" s="14">
        <f t="shared" si="3"/>
      </c>
      <c r="M91" s="11"/>
      <c r="N91" s="15"/>
      <c r="O91" s="11" t="s">
        <v>26</v>
      </c>
      <c r="P91" s="11">
        <v>7</v>
      </c>
    </row>
    <row r="92">
      <c r="A92" s="20">
        <v>46314</v>
      </c>
      <c r="B92" s="21" t="s">
        <v>29</v>
      </c>
      <c r="C92" s="22"/>
      <c r="D92" s="23">
        <f>SUM(D88:D91)</f>
      </c>
      <c r="E92" s="23">
        <f>SUM(E88:E91)</f>
      </c>
      <c r="F92" s="23">
        <f>SUM(F88:F91)</f>
      </c>
      <c r="G92" s="23">
        <f>SUM(G88:G91)</f>
      </c>
      <c r="H92" s="24">
        <f>SUM(H88:H91)</f>
      </c>
      <c r="I92" s="24">
        <f>SUM(I88:I91)</f>
      </c>
      <c r="J92" s="25">
        <f t="shared" si="1"/>
      </c>
      <c r="K92" s="25">
        <f t="shared" si="2"/>
      </c>
      <c r="L92" s="25">
        <f t="shared" si="3"/>
      </c>
      <c r="M92" s="21"/>
      <c r="N92" s="23">
        <f>SUM(N88:N91)</f>
      </c>
      <c r="O92" s="23"/>
      <c r="P92" s="23">
        <f>SUM(P88:P91)</f>
      </c>
    </row>
    <row r="93"/>
    <row r="94"/>
    <row r="95"/>
    <row r="96"/>
    <row r="97"/>
    <row r="98"/>
    <row r="99"/>
    <row r="100">
      <c r="F100" s="27" t="s">
        <v>10</v>
      </c>
    </row>
    <row r="101">
      <c r="F101" s="28">
        <f t="shared" ref="F101:F106" si="0">D101/E101</f>
      </c>
    </row>
    <row r="102">
      <c r="F102" s="28">
        <f t="shared" si="0"/>
      </c>
    </row>
    <row r="103">
      <c r="F103" s="28">
        <f t="shared" si="0"/>
      </c>
    </row>
    <row r="104">
      <c r="F104" s="28">
        <f t="shared" si="0"/>
      </c>
    </row>
    <row r="105">
      <c r="F105" s="28">
        <f t="shared" si="0"/>
      </c>
    </row>
    <row r="106">
      <c r="F106" s="28">
        <f t="shared" si="0"/>
      </c>
    </row>
  </sheetData>
  <autoFilter ref="A1:T207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11" ySplit="10"/>
    </sheetView>
  </sheetViews>
  <sheetFormatPr defaultRowHeight="16"/>
  <cols>
    <col collapsed="false" customWidth="true" hidden="false" max="23" min="23" style="0" width="11.211267605633802"/>
    <col collapsed="false" customWidth="true" hidden="false" max="25" min="25" style="0" width="11.211267605633802"/>
    <col collapsed="false" customWidth="true" hidden="false" max="27" min="27" style="0" width="11.211267605633802"/>
    <col collapsed="false" customWidth="true" hidden="false" max="29" min="29" style="0" width="11.211267605633802"/>
    <col collapsed="false" customWidth="true" hidden="false" max="31" min="31" style="0" width="11.211267605633802"/>
    <col collapsed="false" customWidth="true" hidden="false" max="9" min="9" style="0" width="11.211267605633802"/>
    <col collapsed="false" customWidth="true" hidden="false" max="26" min="26" style="0" width="11.211267605633802"/>
    <col collapsed="false" customWidth="true" hidden="false" max="28" min="28" style="0" width="11.211267605633802"/>
    <col collapsed="false" customWidth="true" hidden="false" max="30" min="30" style="0" width="11.211267605633802"/>
    <col collapsed="false" customWidth="true" hidden="false" max="32" min="32" style="0" width="11.211267605633802"/>
    <col collapsed="false" customWidth="true" hidden="false" max="24" min="24" style="0" width="11.211267605633802"/>
  </cols>
  <sheetData>
    <row r="1">
      <c r="A1" s="29" t="s">
        <v>46</v>
      </c>
      <c r="B1" s="29" t="s">
        <v>47</v>
      </c>
      <c r="C1" s="29" t="s">
        <v>48</v>
      </c>
      <c r="D1" s="29" t="s">
        <v>49</v>
      </c>
      <c r="E1" s="30" t="s">
        <v>50</v>
      </c>
      <c r="F1" s="30" t="s">
        <v>51</v>
      </c>
      <c r="G1" s="31" t="s">
        <v>52</v>
      </c>
      <c r="H1" s="32" t="s">
        <v>53</v>
      </c>
      <c r="I1" s="32" t="s">
        <v>54</v>
      </c>
      <c r="J1" s="33" t="s">
        <v>55</v>
      </c>
      <c r="K1" s="33" t="s">
        <v>56</v>
      </c>
      <c r="L1" s="33" t="s">
        <v>57</v>
      </c>
      <c r="M1" s="33" t="s">
        <v>52</v>
      </c>
      <c r="N1" s="33" t="s">
        <v>58</v>
      </c>
      <c r="O1" s="33" t="s">
        <v>54</v>
      </c>
      <c r="P1" s="34" t="s">
        <v>59</v>
      </c>
      <c r="Q1" s="34" t="s">
        <v>56</v>
      </c>
      <c r="R1" s="34" t="s">
        <v>57</v>
      </c>
      <c r="S1" s="34" t="s">
        <v>52</v>
      </c>
      <c r="T1" s="34" t="s">
        <v>58</v>
      </c>
      <c r="U1" s="34" t="s">
        <v>54</v>
      </c>
      <c r="V1" s="35" t="s">
        <v>60</v>
      </c>
      <c r="W1" s="35" t="s">
        <v>56</v>
      </c>
      <c r="X1" s="35" t="s">
        <v>57</v>
      </c>
      <c r="Y1" s="35" t="s">
        <v>52</v>
      </c>
      <c r="Z1" s="35" t="s">
        <v>58</v>
      </c>
      <c r="AA1" s="35" t="s">
        <v>54</v>
      </c>
    </row>
    <row r="2">
      <c r="A2" s="36">
        <v>46241</v>
      </c>
      <c r="B2" s="37" t="s">
        <v>61</v>
      </c>
      <c r="C2" s="37"/>
      <c r="D2" s="37">
        <v>4</v>
      </c>
      <c r="E2" s="37">
        <v>0</v>
      </c>
      <c r="F2" s="37">
        <v>0</v>
      </c>
      <c r="G2" s="38">
        <v>3186.89</v>
      </c>
      <c r="H2" s="39">
        <f t="shared" ref="H2:H81" si="3">F2/G2</f>
      </c>
      <c r="I2" s="39">
        <f t="shared" ref="I2:I81" si="6">F2/(G2+(D2*500)+G2*3%)</f>
      </c>
      <c r="J2" s="40" t="s">
        <v>62</v>
      </c>
      <c r="K2" s="40">
        <f>SUM(D12:D18)</f>
      </c>
      <c r="L2" s="40">
        <f>SUM(F12:F18)</f>
      </c>
      <c r="M2" s="40">
        <f>SUM(G12:G18)</f>
      </c>
      <c r="N2" s="41">
        <f t="shared" ref="N2:N10" si="4">L2/M2</f>
      </c>
      <c r="O2" s="41">
        <f t="shared" ref="O2:O10" si="1">L2/(M2+(K2*500)+M2*3%)</f>
      </c>
      <c r="P2" s="40" t="s">
        <v>63</v>
      </c>
      <c r="Q2" s="40">
        <f>SUM(D2:D26)</f>
      </c>
      <c r="R2" s="40">
        <f>SUM(F2:F26)</f>
      </c>
      <c r="S2" s="40">
        <f>SUM(G2:G26)</f>
      </c>
      <c r="T2" s="41">
        <f t="shared" ref="T2:T4" si="5">R2/S2</f>
      </c>
      <c r="U2" s="41">
        <f t="shared" ref="U2:U4" si="2">R2/(S2+(Q2*500)+S2*3%)</f>
      </c>
      <c r="V2" s="40" t="s">
        <v>64</v>
      </c>
      <c r="W2" s="37">
        <f>SUM(Q2:Q12)</f>
      </c>
      <c r="X2" s="37">
        <f>SUM(R2:R12)</f>
      </c>
      <c r="Y2" s="37">
        <f>SUM(S2:S12)</f>
      </c>
      <c r="Z2" s="41">
        <f>X2/Y2</f>
      </c>
      <c r="AA2" s="41">
        <f>X2/(Y2+(W2*500)+Y2*3%)</f>
      </c>
    </row>
    <row r="3">
      <c r="A3" s="36">
        <v>46242</v>
      </c>
      <c r="B3" s="37" t="s">
        <v>61</v>
      </c>
      <c r="C3" s="37"/>
      <c r="D3" s="37">
        <v>6</v>
      </c>
      <c r="E3" s="37">
        <v>7</v>
      </c>
      <c r="F3" s="37">
        <v>12104.95</v>
      </c>
      <c r="G3" s="42">
        <v>14454.62</v>
      </c>
      <c r="H3" s="39">
        <f t="shared" si="3"/>
      </c>
      <c r="I3" s="39">
        <f t="shared" si="6"/>
      </c>
      <c r="J3" s="40" t="s">
        <v>65</v>
      </c>
      <c r="K3" s="40">
        <f>SUM(D19:D25)</f>
      </c>
      <c r="L3" s="40">
        <f>SUM(F19:F25)</f>
      </c>
      <c r="M3" s="40">
        <f>SUM(G19:G25)</f>
      </c>
      <c r="N3" s="41">
        <f t="shared" si="4"/>
      </c>
      <c r="O3" s="41">
        <f t="shared" si="1"/>
      </c>
      <c r="P3" s="40" t="s">
        <v>66</v>
      </c>
      <c r="Q3" s="37">
        <f>SUM(D27:D56)</f>
      </c>
      <c r="R3" s="37">
        <f>SUM(F27:F56)</f>
      </c>
      <c r="S3" s="37">
        <f>SUM(G27:G56)</f>
      </c>
      <c r="T3" s="41">
        <f t="shared" si="5"/>
      </c>
      <c r="U3" s="41">
        <f t="shared" si="2"/>
      </c>
    </row>
    <row r="4">
      <c r="A4" s="36">
        <v>46243</v>
      </c>
      <c r="B4" s="37" t="s">
        <v>61</v>
      </c>
      <c r="C4" s="37"/>
      <c r="D4" s="37">
        <v>6</v>
      </c>
      <c r="E4" s="37">
        <v>7</v>
      </c>
      <c r="F4" s="37">
        <v>36244.240000000005</v>
      </c>
      <c r="G4" s="37">
        <v>14956.27</v>
      </c>
      <c r="H4" s="39">
        <f t="shared" si="3"/>
      </c>
      <c r="I4" s="39">
        <f t="shared" si="6"/>
      </c>
      <c r="J4" s="40" t="s">
        <v>67</v>
      </c>
      <c r="K4" s="37">
        <f>SUM(D26:D32)</f>
      </c>
      <c r="L4" s="40">
        <f>SUM(F26:F32)</f>
      </c>
      <c r="M4" s="40">
        <f>SUM(G26:G32)</f>
      </c>
      <c r="N4" s="41">
        <f t="shared" si="4"/>
      </c>
      <c r="O4" s="41">
        <f t="shared" si="1"/>
      </c>
      <c r="P4" s="40" t="s">
        <v>68</v>
      </c>
      <c r="Q4" s="37">
        <f>SUM(D57:D87)</f>
      </c>
      <c r="R4" s="37">
        <f>SUM(F57:F87)</f>
      </c>
      <c r="S4" s="37">
        <f>SUM(G57:G87)</f>
      </c>
      <c r="T4" s="41">
        <f t="shared" si="5"/>
      </c>
      <c r="U4" s="41">
        <f t="shared" si="2"/>
      </c>
    </row>
    <row r="5">
      <c r="A5" s="43">
        <v>46244</v>
      </c>
      <c r="B5" s="44" t="s">
        <v>61</v>
      </c>
      <c r="C5" s="44"/>
      <c r="D5" s="44">
        <v>6</v>
      </c>
      <c r="E5" s="44">
        <v>8</v>
      </c>
      <c r="F5" s="44">
        <v>16352.699999999999</v>
      </c>
      <c r="G5" s="45">
        <v>16964.26</v>
      </c>
      <c r="H5" s="46">
        <f t="shared" si="3"/>
      </c>
      <c r="I5" s="46">
        <f t="shared" si="6"/>
      </c>
      <c r="J5" s="40" t="s">
        <v>69</v>
      </c>
      <c r="K5" s="37">
        <f>SUM(D33:D39)</f>
      </c>
      <c r="L5" s="37">
        <f>SUM(F33:F39)</f>
      </c>
      <c r="M5" s="37">
        <f>SUM(G33:G39)</f>
      </c>
      <c r="N5" s="41">
        <f t="shared" si="4"/>
      </c>
      <c r="O5" s="41">
        <f t="shared" si="1"/>
      </c>
    </row>
    <row r="6">
      <c r="A6" s="43">
        <v>46245</v>
      </c>
      <c r="B6" s="44" t="s">
        <v>61</v>
      </c>
      <c r="C6" s="44"/>
      <c r="D6" s="44">
        <v>6</v>
      </c>
      <c r="E6" s="44">
        <v>15</v>
      </c>
      <c r="F6" s="44">
        <v>32507.670000000002</v>
      </c>
      <c r="G6" s="44">
        <v>21740.74</v>
      </c>
      <c r="H6" s="46">
        <f t="shared" si="3"/>
      </c>
      <c r="I6" s="46">
        <f t="shared" si="6"/>
      </c>
      <c r="J6" s="40" t="s">
        <v>70</v>
      </c>
      <c r="K6" s="37">
        <f>SUM(D40:D46)</f>
      </c>
      <c r="L6" s="37">
        <f>SUM(F40:F46)</f>
      </c>
      <c r="M6" s="37">
        <f>SUM(G40:G46)</f>
      </c>
      <c r="N6" s="41">
        <f t="shared" si="4"/>
      </c>
      <c r="O6" s="41">
        <f t="shared" si="1"/>
      </c>
    </row>
    <row r="7">
      <c r="A7" s="43">
        <v>46246</v>
      </c>
      <c r="B7" s="44" t="s">
        <v>61</v>
      </c>
      <c r="C7" s="44"/>
      <c r="D7" s="44">
        <v>6</v>
      </c>
      <c r="E7" s="44">
        <v>6</v>
      </c>
      <c r="F7" s="44">
        <v>20541.8</v>
      </c>
      <c r="G7" s="44">
        <v>8274.44</v>
      </c>
      <c r="H7" s="46">
        <f t="shared" si="3"/>
      </c>
      <c r="I7" s="46">
        <f t="shared" si="6"/>
      </c>
      <c r="J7" s="40" t="s">
        <v>71</v>
      </c>
      <c r="K7" s="37">
        <f>SUM(D47:D53)</f>
      </c>
      <c r="L7" s="37">
        <f>SUM(F47:F53)</f>
      </c>
      <c r="M7" s="37">
        <f>SUM(G47:G53)</f>
      </c>
      <c r="N7" s="41">
        <f t="shared" si="4"/>
      </c>
      <c r="O7" s="41">
        <f t="shared" si="1"/>
      </c>
    </row>
    <row r="8">
      <c r="A8" s="43">
        <v>46247</v>
      </c>
      <c r="B8" s="44" t="s">
        <v>61</v>
      </c>
      <c r="C8" s="44"/>
      <c r="D8" s="44">
        <v>6</v>
      </c>
      <c r="E8" s="44">
        <v>6</v>
      </c>
      <c r="F8" s="44">
        <v>19453.09</v>
      </c>
      <c r="G8" s="44">
        <v>13916.09</v>
      </c>
      <c r="H8" s="46">
        <f t="shared" si="3"/>
      </c>
      <c r="I8" s="46">
        <f t="shared" si="6"/>
      </c>
      <c r="J8" s="40" t="s">
        <v>72</v>
      </c>
      <c r="K8" s="37">
        <f>SUM(D54:D60)</f>
      </c>
      <c r="L8" s="37">
        <f>SUM(F54:F60)</f>
      </c>
      <c r="M8" s="37">
        <f>SUM(G54:G60)</f>
      </c>
      <c r="N8" s="41">
        <f t="shared" si="4"/>
      </c>
      <c r="O8" s="41">
        <f t="shared" si="1"/>
      </c>
    </row>
    <row r="9">
      <c r="A9" s="43">
        <v>46248</v>
      </c>
      <c r="B9" s="44" t="s">
        <v>61</v>
      </c>
      <c r="C9" s="44"/>
      <c r="D9" s="44">
        <v>6</v>
      </c>
      <c r="E9" s="44">
        <v>9</v>
      </c>
      <c r="F9" s="44">
        <v>15105.029999999999</v>
      </c>
      <c r="G9" s="44">
        <v>17218</v>
      </c>
      <c r="H9" s="46">
        <f t="shared" si="3"/>
      </c>
      <c r="I9" s="46">
        <f t="shared" si="6"/>
      </c>
      <c r="J9" s="40" t="s">
        <v>73</v>
      </c>
      <c r="K9" s="37">
        <f>SUM(D61:D67)</f>
      </c>
      <c r="L9" s="37">
        <f>SUM(F61:F67)</f>
      </c>
      <c r="M9" s="37">
        <f>SUM(G61:G67)</f>
      </c>
      <c r="N9" s="41">
        <f t="shared" si="4"/>
      </c>
      <c r="O9" s="41">
        <f t="shared" si="1"/>
      </c>
    </row>
    <row r="10">
      <c r="A10" s="43">
        <v>46249</v>
      </c>
      <c r="B10" s="44" t="s">
        <v>61</v>
      </c>
      <c r="C10" s="44"/>
      <c r="D10" s="44">
        <v>6</v>
      </c>
      <c r="E10" s="44">
        <v>4</v>
      </c>
      <c r="F10" s="44">
        <v>8747.73</v>
      </c>
      <c r="G10" s="44">
        <v>7647.64</v>
      </c>
      <c r="H10" s="46">
        <f t="shared" si="3"/>
      </c>
      <c r="I10" s="46">
        <f t="shared" si="6"/>
      </c>
      <c r="J10" s="40" t="s">
        <v>74</v>
      </c>
      <c r="K10" s="37">
        <f>SUM(D68:D74)</f>
      </c>
      <c r="L10" s="37">
        <f>SUM(F68:F74)</f>
      </c>
      <c r="M10" s="37">
        <f>SUM(G68:G74)</f>
      </c>
      <c r="N10" s="41">
        <f t="shared" si="4"/>
      </c>
      <c r="O10" s="41">
        <f t="shared" si="1"/>
      </c>
    </row>
    <row r="11">
      <c r="A11" s="43">
        <v>46250</v>
      </c>
      <c r="B11" s="44" t="s">
        <v>61</v>
      </c>
      <c r="C11" s="44"/>
      <c r="D11" s="44">
        <v>6</v>
      </c>
      <c r="E11" s="44">
        <v>6</v>
      </c>
      <c r="F11" s="44">
        <v>14607.869999999999</v>
      </c>
      <c r="G11" s="44">
        <v>12060.310000000001</v>
      </c>
      <c r="H11" s="46">
        <f t="shared" si="3"/>
      </c>
      <c r="I11" s="46">
        <f t="shared" si="6"/>
      </c>
    </row>
    <row r="12">
      <c r="A12" s="47">
        <v>46251</v>
      </c>
      <c r="B12" s="48" t="s">
        <v>61</v>
      </c>
      <c r="C12" s="48"/>
      <c r="D12" s="48">
        <v>6</v>
      </c>
      <c r="E12" s="48">
        <v>1</v>
      </c>
      <c r="F12" s="48">
        <v>1775.55</v>
      </c>
      <c r="G12" s="48">
        <v>8112.91</v>
      </c>
      <c r="H12" s="49">
        <f t="shared" si="3"/>
      </c>
      <c r="I12" s="49">
        <f t="shared" si="6"/>
      </c>
    </row>
    <row r="13">
      <c r="A13" s="47">
        <v>46252</v>
      </c>
      <c r="B13" s="48" t="s">
        <v>61</v>
      </c>
      <c r="C13" s="48"/>
      <c r="D13" s="48">
        <v>5</v>
      </c>
      <c r="E13" s="48">
        <v>1</v>
      </c>
      <c r="F13" s="48">
        <v>1167.08</v>
      </c>
      <c r="G13" s="48">
        <v>7070.44</v>
      </c>
      <c r="H13" s="49">
        <f t="shared" si="3"/>
      </c>
      <c r="I13" s="49">
        <f t="shared" si="6"/>
      </c>
      <c r="L13" s="50"/>
      <c r="M13" s="50"/>
      <c r="N13" s="50"/>
    </row>
    <row r="14">
      <c r="A14" s="47">
        <v>46253</v>
      </c>
      <c r="B14" s="48" t="s">
        <v>61</v>
      </c>
      <c r="C14" s="48"/>
      <c r="D14" s="48">
        <v>5</v>
      </c>
      <c r="E14" s="48">
        <v>0</v>
      </c>
      <c r="F14" s="48">
        <v>0</v>
      </c>
      <c r="G14" s="51">
        <v>2025.27</v>
      </c>
      <c r="H14" s="49">
        <f t="shared" si="3"/>
      </c>
      <c r="I14" s="49">
        <f t="shared" si="6"/>
      </c>
    </row>
    <row r="15">
      <c r="A15" s="47">
        <v>46254</v>
      </c>
      <c r="B15" s="48" t="s">
        <v>61</v>
      </c>
      <c r="C15" s="48"/>
      <c r="D15" s="48">
        <v>6</v>
      </c>
      <c r="E15" s="48">
        <v>3</v>
      </c>
      <c r="F15" s="48">
        <v>17516.29</v>
      </c>
      <c r="G15" s="48">
        <v>6820.2300000000005</v>
      </c>
      <c r="H15" s="49">
        <f t="shared" si="3"/>
      </c>
      <c r="I15" s="49">
        <f t="shared" si="6"/>
      </c>
    </row>
    <row r="16">
      <c r="A16" s="52">
        <v>46255</v>
      </c>
      <c r="B16" s="48" t="s">
        <v>61</v>
      </c>
      <c r="C16" s="48"/>
      <c r="D16" s="48">
        <v>6</v>
      </c>
      <c r="E16" s="53">
        <v>3</v>
      </c>
      <c r="F16" s="48">
        <v>5701.09</v>
      </c>
      <c r="G16" s="48">
        <v>5229.17</v>
      </c>
      <c r="H16" s="49">
        <f t="shared" si="3"/>
      </c>
      <c r="I16" s="49">
        <f t="shared" si="6"/>
      </c>
    </row>
    <row r="17">
      <c r="A17" s="47">
        <v>46256</v>
      </c>
      <c r="B17" s="48" t="s">
        <v>61</v>
      </c>
      <c r="C17" s="48"/>
      <c r="D17" s="48">
        <v>6</v>
      </c>
      <c r="E17" s="53">
        <v>2</v>
      </c>
      <c r="F17" s="48">
        <v>2861.4</v>
      </c>
      <c r="G17" s="48">
        <v>9917.47</v>
      </c>
      <c r="H17" s="49">
        <f t="shared" si="3"/>
      </c>
      <c r="I17" s="49">
        <f t="shared" si="6"/>
      </c>
    </row>
    <row r="18">
      <c r="A18" s="52">
        <v>46257</v>
      </c>
      <c r="B18" s="48" t="s">
        <v>61</v>
      </c>
      <c r="C18" s="48"/>
      <c r="D18" s="53">
        <v>6</v>
      </c>
      <c r="E18" s="53">
        <v>8</v>
      </c>
      <c r="F18" s="48">
        <v>21119.65</v>
      </c>
      <c r="G18" s="48">
        <v>9911.77</v>
      </c>
      <c r="H18" s="49">
        <f t="shared" si="3"/>
      </c>
      <c r="I18" s="49">
        <f t="shared" si="6"/>
      </c>
    </row>
    <row r="19">
      <c r="A19" s="54">
        <v>46258</v>
      </c>
      <c r="B19" s="55" t="s">
        <v>61</v>
      </c>
      <c r="C19" s="55"/>
      <c r="D19" s="56">
        <v>6</v>
      </c>
      <c r="E19" s="56">
        <v>8</v>
      </c>
      <c r="F19" s="55">
        <v>25774.26</v>
      </c>
      <c r="G19" s="55">
        <v>16462.129999999997</v>
      </c>
      <c r="H19" s="57">
        <f t="shared" si="3"/>
      </c>
      <c r="I19" s="57">
        <f t="shared" si="6"/>
      </c>
    </row>
    <row r="20">
      <c r="A20" s="54">
        <v>46259</v>
      </c>
      <c r="B20" s="55" t="s">
        <v>61</v>
      </c>
      <c r="C20" s="55"/>
      <c r="D20" s="56">
        <v>6</v>
      </c>
      <c r="E20" s="56">
        <v>5</v>
      </c>
      <c r="F20" s="55">
        <v>8200.75</v>
      </c>
      <c r="G20" s="55">
        <v>16253.210000000001</v>
      </c>
      <c r="H20" s="57">
        <f t="shared" si="3"/>
      </c>
      <c r="I20" s="57">
        <f t="shared" si="6"/>
      </c>
    </row>
    <row r="21">
      <c r="A21" s="58">
        <v>46260</v>
      </c>
      <c r="B21" s="55" t="s">
        <v>61</v>
      </c>
      <c r="C21" s="55"/>
      <c r="D21" s="55">
        <v>6</v>
      </c>
      <c r="E21" s="55">
        <v>5</v>
      </c>
      <c r="F21" s="57">
        <v>17451.550000000003</v>
      </c>
      <c r="G21" s="57">
        <v>14194.080000000002</v>
      </c>
      <c r="H21" s="57">
        <f t="shared" si="3"/>
      </c>
      <c r="I21" s="57">
        <f t="shared" si="6"/>
      </c>
      <c r="L21" s="59"/>
    </row>
    <row r="22">
      <c r="A22" s="58">
        <v>46261</v>
      </c>
      <c r="B22" s="55" t="s">
        <v>61</v>
      </c>
      <c r="C22" s="55"/>
      <c r="D22" s="55">
        <v>6</v>
      </c>
      <c r="E22" s="55">
        <v>4</v>
      </c>
      <c r="F22" s="57">
        <v>7576.18</v>
      </c>
      <c r="G22" s="57">
        <v>11054.57</v>
      </c>
      <c r="H22" s="57">
        <f t="shared" si="3"/>
      </c>
      <c r="I22" s="57">
        <f t="shared" si="6"/>
      </c>
      <c r="K22" s="50"/>
      <c r="L22" s="50"/>
    </row>
    <row r="23">
      <c r="A23" s="58">
        <v>46262</v>
      </c>
      <c r="B23" s="55" t="s">
        <v>61</v>
      </c>
      <c r="C23" s="55"/>
      <c r="D23" s="55">
        <v>5</v>
      </c>
      <c r="E23" s="55">
        <v>5</v>
      </c>
      <c r="F23" s="57">
        <v>17209.31</v>
      </c>
      <c r="G23" s="57">
        <v>8981.21</v>
      </c>
      <c r="H23" s="57">
        <f t="shared" si="3"/>
      </c>
      <c r="I23" s="57">
        <f t="shared" si="6"/>
      </c>
    </row>
    <row r="24">
      <c r="A24" s="58">
        <v>46263</v>
      </c>
      <c r="B24" s="55" t="s">
        <v>61</v>
      </c>
      <c r="C24" s="55"/>
      <c r="D24" s="55">
        <v>6</v>
      </c>
      <c r="E24" s="55">
        <v>2</v>
      </c>
      <c r="F24" s="57">
        <v>13911.56</v>
      </c>
      <c r="G24" s="57">
        <v>6754.49</v>
      </c>
      <c r="H24" s="57">
        <f t="shared" si="3"/>
      </c>
      <c r="I24" s="57">
        <f t="shared" si="6"/>
      </c>
    </row>
    <row r="25">
      <c r="A25" s="54">
        <v>46264</v>
      </c>
      <c r="B25" s="55" t="s">
        <v>61</v>
      </c>
      <c r="C25" s="55"/>
      <c r="D25" s="55">
        <v>6</v>
      </c>
      <c r="E25" s="55">
        <v>1</v>
      </c>
      <c r="F25" s="57">
        <v>1869</v>
      </c>
      <c r="G25" s="57">
        <v>7804.700000000001</v>
      </c>
      <c r="H25" s="57">
        <f t="shared" si="3"/>
      </c>
      <c r="I25" s="57">
        <f t="shared" si="6"/>
      </c>
    </row>
    <row r="26">
      <c r="A26" s="60">
        <v>46265</v>
      </c>
      <c r="B26" s="61" t="s">
        <v>61</v>
      </c>
      <c r="C26" s="61"/>
      <c r="D26" s="61">
        <v>5</v>
      </c>
      <c r="E26" s="61">
        <v>2</v>
      </c>
      <c r="F26" s="62">
        <v>4738.03</v>
      </c>
      <c r="G26" s="62">
        <v>5135.72</v>
      </c>
      <c r="H26" s="62">
        <f t="shared" si="3"/>
      </c>
      <c r="I26" s="62">
        <f t="shared" si="6"/>
      </c>
    </row>
    <row r="27">
      <c r="A27" s="60">
        <v>46266</v>
      </c>
      <c r="B27" s="61" t="s">
        <v>61</v>
      </c>
      <c r="C27" s="61"/>
      <c r="D27" s="61">
        <v>5</v>
      </c>
      <c r="E27" s="61">
        <v>1</v>
      </c>
      <c r="F27" s="62">
        <v>1430.7</v>
      </c>
      <c r="G27" s="62">
        <v>4999.97</v>
      </c>
      <c r="H27" s="62">
        <f t="shared" si="3"/>
      </c>
      <c r="I27" s="62">
        <f t="shared" si="6"/>
      </c>
      <c r="J27" s="59" t="s">
        <v>75</v>
      </c>
    </row>
    <row r="28">
      <c r="A28" s="60">
        <v>46267</v>
      </c>
      <c r="B28" s="61" t="s">
        <v>61</v>
      </c>
      <c r="C28" s="61"/>
      <c r="D28" s="63">
        <v>0</v>
      </c>
      <c r="E28" s="63">
        <v>0</v>
      </c>
      <c r="F28" s="64">
        <v>0</v>
      </c>
      <c r="G28" s="64">
        <v>0</v>
      </c>
      <c r="H28" s="62">
        <f t="shared" si="3"/>
      </c>
      <c r="I28" s="62">
        <f t="shared" si="6"/>
      </c>
      <c r="J28" s="65">
        <f t="shared" ref="J28:J74" si="0">G28/D28</f>
      </c>
    </row>
    <row r="29">
      <c r="A29" s="60">
        <v>46268</v>
      </c>
      <c r="B29" s="61" t="s">
        <v>61</v>
      </c>
      <c r="C29" s="61"/>
      <c r="D29" s="63">
        <v>5</v>
      </c>
      <c r="E29" s="63">
        <v>6</v>
      </c>
      <c r="F29" s="62">
        <v>12875.03</v>
      </c>
      <c r="G29" s="62">
        <v>5101.26</v>
      </c>
      <c r="H29" s="62">
        <f t="shared" si="3"/>
      </c>
      <c r="I29" s="62">
        <f t="shared" si="6"/>
      </c>
      <c r="J29" s="65">
        <f t="shared" si="0"/>
      </c>
    </row>
    <row r="30">
      <c r="A30" s="60">
        <v>46269</v>
      </c>
      <c r="B30" s="61" t="s">
        <v>61</v>
      </c>
      <c r="C30" s="61"/>
      <c r="D30" s="63">
        <v>5</v>
      </c>
      <c r="E30" s="61">
        <v>1</v>
      </c>
      <c r="F30" s="61">
        <v>2740.89</v>
      </c>
      <c r="G30" s="61">
        <v>5978.18</v>
      </c>
      <c r="H30" s="62">
        <f t="shared" si="3"/>
      </c>
      <c r="I30" s="62">
        <f t="shared" si="6"/>
      </c>
      <c r="J30" s="65">
        <f t="shared" si="0"/>
      </c>
    </row>
    <row r="31">
      <c r="A31" s="60">
        <v>46270</v>
      </c>
      <c r="B31" s="61" t="s">
        <v>61</v>
      </c>
      <c r="C31" s="61"/>
      <c r="D31" s="63">
        <v>6</v>
      </c>
      <c r="E31" s="63">
        <v>11</v>
      </c>
      <c r="F31" s="61">
        <v>21196.539999999997</v>
      </c>
      <c r="G31" s="61">
        <v>14861.849999999999</v>
      </c>
      <c r="H31" s="62">
        <f t="shared" si="3"/>
      </c>
      <c r="I31" s="62">
        <f t="shared" si="6"/>
      </c>
      <c r="J31" s="65">
        <f t="shared" si="0"/>
      </c>
    </row>
    <row r="32">
      <c r="A32" s="60">
        <v>46271</v>
      </c>
      <c r="B32" s="61" t="s">
        <v>61</v>
      </c>
      <c r="C32" s="61"/>
      <c r="D32" s="63">
        <v>6</v>
      </c>
      <c r="E32" s="61">
        <v>10</v>
      </c>
      <c r="F32" s="61">
        <v>22281.72</v>
      </c>
      <c r="G32" s="61">
        <v>15970.449999999999</v>
      </c>
      <c r="H32" s="62">
        <f t="shared" si="3"/>
      </c>
      <c r="I32" s="62">
        <f t="shared" si="6"/>
      </c>
      <c r="J32" s="65">
        <f t="shared" si="0"/>
      </c>
    </row>
    <row r="33">
      <c r="A33" s="66">
        <v>46272</v>
      </c>
      <c r="B33" s="67" t="s">
        <v>61</v>
      </c>
      <c r="C33" s="67"/>
      <c r="D33" s="68">
        <v>5</v>
      </c>
      <c r="E33" s="67">
        <v>16</v>
      </c>
      <c r="F33" s="67">
        <v>28699.8</v>
      </c>
      <c r="G33" s="67">
        <v>15768.550000000001</v>
      </c>
      <c r="H33" s="69">
        <f t="shared" si="3"/>
      </c>
      <c r="I33" s="69">
        <f t="shared" si="6"/>
      </c>
      <c r="J33" s="65">
        <f t="shared" si="0"/>
      </c>
    </row>
    <row r="34">
      <c r="A34" s="66">
        <v>46273</v>
      </c>
      <c r="B34" s="67" t="s">
        <v>61</v>
      </c>
      <c r="C34" s="67"/>
      <c r="D34" s="68">
        <v>5</v>
      </c>
      <c r="E34" s="68">
        <v>23</v>
      </c>
      <c r="F34" s="68">
        <v>70294.56</v>
      </c>
      <c r="G34" s="68">
        <v>26212.190000000002</v>
      </c>
      <c r="H34" s="69">
        <f t="shared" si="3"/>
      </c>
      <c r="I34" s="69">
        <f t="shared" si="6"/>
      </c>
      <c r="J34" s="65">
        <f t="shared" si="0"/>
      </c>
    </row>
    <row r="35">
      <c r="A35" s="66">
        <v>46274</v>
      </c>
      <c r="B35" s="67" t="s">
        <v>61</v>
      </c>
      <c r="C35" s="67"/>
      <c r="D35" s="68">
        <v>6</v>
      </c>
      <c r="E35" s="68">
        <v>27</v>
      </c>
      <c r="F35" s="68">
        <v>64722.869999999995</v>
      </c>
      <c r="G35" s="68">
        <v>33078.53</v>
      </c>
      <c r="H35" s="69">
        <f t="shared" si="3"/>
      </c>
      <c r="I35" s="69">
        <f t="shared" si="6"/>
      </c>
      <c r="J35" s="65">
        <f t="shared" si="0"/>
      </c>
    </row>
    <row r="36">
      <c r="A36" s="66">
        <v>46275</v>
      </c>
      <c r="B36" s="67" t="s">
        <v>61</v>
      </c>
      <c r="C36" s="67"/>
      <c r="D36" s="68">
        <v>7</v>
      </c>
      <c r="E36" s="68">
        <v>40</v>
      </c>
      <c r="F36" s="68">
        <v>124797.98000000001</v>
      </c>
      <c r="G36" s="68">
        <v>57456.159999999996</v>
      </c>
      <c r="H36" s="69">
        <f t="shared" si="3"/>
      </c>
      <c r="I36" s="69">
        <f t="shared" si="6"/>
      </c>
      <c r="J36" s="65">
        <f t="shared" si="0"/>
      </c>
    </row>
    <row r="37">
      <c r="A37" s="66">
        <v>46276</v>
      </c>
      <c r="B37" s="67" t="s">
        <v>61</v>
      </c>
      <c r="C37" s="67"/>
      <c r="D37" s="68">
        <v>8</v>
      </c>
      <c r="E37" s="68">
        <v>41</v>
      </c>
      <c r="F37" s="68">
        <v>116890.83000000002</v>
      </c>
      <c r="G37" s="68">
        <v>58395.96</v>
      </c>
      <c r="H37" s="69">
        <f t="shared" si="3"/>
      </c>
      <c r="I37" s="69">
        <f t="shared" si="6"/>
      </c>
      <c r="J37" s="65">
        <f t="shared" si="0"/>
      </c>
    </row>
    <row r="38">
      <c r="A38" s="66">
        <v>46277</v>
      </c>
      <c r="B38" s="67" t="s">
        <v>61</v>
      </c>
      <c r="C38" s="67"/>
      <c r="D38" s="68">
        <v>8</v>
      </c>
      <c r="E38" s="68">
        <v>26</v>
      </c>
      <c r="F38" s="68">
        <v>93162.59</v>
      </c>
      <c r="G38" s="68">
        <v>43606.11</v>
      </c>
      <c r="H38" s="69">
        <f t="shared" si="3"/>
      </c>
      <c r="I38" s="69">
        <f t="shared" si="6"/>
      </c>
      <c r="J38" s="65">
        <f t="shared" si="0"/>
      </c>
    </row>
    <row r="39">
      <c r="A39" s="66">
        <v>46278</v>
      </c>
      <c r="B39" s="67" t="s">
        <v>61</v>
      </c>
      <c r="C39" s="67"/>
      <c r="D39" s="68">
        <v>8</v>
      </c>
      <c r="E39" s="68">
        <v>31</v>
      </c>
      <c r="F39" s="68">
        <v>89487.81999999999</v>
      </c>
      <c r="G39" s="68">
        <v>43611.729999999996</v>
      </c>
      <c r="H39" s="69">
        <f t="shared" si="3"/>
      </c>
      <c r="I39" s="69">
        <f t="shared" si="6"/>
      </c>
      <c r="J39" s="65">
        <f t="shared" si="0"/>
      </c>
    </row>
    <row r="40">
      <c r="A40" s="70">
        <v>46279</v>
      </c>
      <c r="B40" s="71" t="s">
        <v>61</v>
      </c>
      <c r="C40" s="71"/>
      <c r="D40" s="34">
        <v>7</v>
      </c>
      <c r="E40" s="34">
        <v>28</v>
      </c>
      <c r="F40" s="34">
        <v>65642.88</v>
      </c>
      <c r="G40" s="34">
        <v>49426.93</v>
      </c>
      <c r="H40" s="72">
        <f t="shared" si="3"/>
      </c>
      <c r="I40" s="72">
        <f t="shared" si="6"/>
      </c>
      <c r="J40" s="65">
        <f t="shared" si="0"/>
      </c>
    </row>
    <row r="41">
      <c r="A41" s="70">
        <v>46280</v>
      </c>
      <c r="B41" s="71" t="s">
        <v>61</v>
      </c>
      <c r="C41" s="71"/>
      <c r="D41" s="34">
        <v>8</v>
      </c>
      <c r="E41" s="34">
        <v>41</v>
      </c>
      <c r="F41" s="34">
        <v>93956.44</v>
      </c>
      <c r="G41" s="34">
        <v>52978.29</v>
      </c>
      <c r="H41" s="72">
        <f t="shared" si="3"/>
      </c>
      <c r="I41" s="72">
        <f t="shared" si="6"/>
      </c>
      <c r="J41" s="65">
        <f t="shared" si="0"/>
      </c>
    </row>
    <row r="42">
      <c r="A42" s="70">
        <v>46281</v>
      </c>
      <c r="B42" s="71" t="s">
        <v>61</v>
      </c>
      <c r="C42" s="71"/>
      <c r="D42" s="34">
        <v>8</v>
      </c>
      <c r="E42" s="34">
        <v>28</v>
      </c>
      <c r="F42" s="34">
        <v>80065.27</v>
      </c>
      <c r="G42" s="34">
        <v>44000.91</v>
      </c>
      <c r="H42" s="72">
        <f t="shared" si="3"/>
      </c>
      <c r="I42" s="72">
        <f t="shared" si="6"/>
      </c>
      <c r="J42" s="65">
        <f t="shared" si="0"/>
      </c>
    </row>
    <row r="43">
      <c r="A43" s="70">
        <v>46282</v>
      </c>
      <c r="B43" s="71" t="s">
        <v>61</v>
      </c>
      <c r="C43" s="71"/>
      <c r="D43" s="34">
        <v>8</v>
      </c>
      <c r="E43" s="34">
        <v>39</v>
      </c>
      <c r="F43" s="34">
        <v>77525.45</v>
      </c>
      <c r="G43" s="34">
        <v>44738.51</v>
      </c>
      <c r="H43" s="72">
        <f t="shared" si="3"/>
      </c>
      <c r="I43" s="72">
        <f t="shared" si="6"/>
      </c>
      <c r="J43" s="65">
        <f t="shared" si="0"/>
      </c>
    </row>
    <row r="44">
      <c r="A44" s="70">
        <v>46283</v>
      </c>
      <c r="B44" s="71" t="s">
        <v>61</v>
      </c>
      <c r="C44" s="71"/>
      <c r="D44" s="34">
        <v>8</v>
      </c>
      <c r="E44" s="34">
        <v>38</v>
      </c>
      <c r="F44" s="34">
        <v>77747.61</v>
      </c>
      <c r="G44" s="34">
        <v>44797.07</v>
      </c>
      <c r="H44" s="72">
        <f t="shared" si="3"/>
      </c>
      <c r="I44" s="72">
        <f t="shared" si="6"/>
      </c>
      <c r="J44" s="65">
        <f t="shared" si="0"/>
      </c>
    </row>
    <row r="45">
      <c r="A45" s="70">
        <v>46284</v>
      </c>
      <c r="B45" s="71" t="s">
        <v>61</v>
      </c>
      <c r="C45" s="71"/>
      <c r="D45" s="34">
        <v>12</v>
      </c>
      <c r="E45" s="34">
        <v>57</v>
      </c>
      <c r="F45" s="34">
        <v>142452.56</v>
      </c>
      <c r="G45" s="34">
        <v>63880.92</v>
      </c>
      <c r="H45" s="72">
        <f t="shared" si="3"/>
      </c>
      <c r="I45" s="72">
        <f t="shared" si="6"/>
      </c>
      <c r="J45" s="65">
        <f t="shared" si="0"/>
      </c>
    </row>
    <row r="46">
      <c r="A46" s="70">
        <v>46285</v>
      </c>
      <c r="B46" s="71" t="s">
        <v>61</v>
      </c>
      <c r="C46" s="71"/>
      <c r="D46" s="34">
        <v>12</v>
      </c>
      <c r="E46" s="34">
        <v>35</v>
      </c>
      <c r="F46" s="71">
        <v>85427.23</v>
      </c>
      <c r="G46" s="71">
        <v>51354.56</v>
      </c>
      <c r="H46" s="72">
        <f t="shared" si="3"/>
      </c>
      <c r="I46" s="72">
        <f t="shared" si="6"/>
      </c>
      <c r="J46" s="65">
        <f t="shared" si="0"/>
      </c>
    </row>
    <row r="47">
      <c r="A47" s="54">
        <v>46286</v>
      </c>
      <c r="B47" s="55" t="s">
        <v>61</v>
      </c>
      <c r="C47" s="55"/>
      <c r="D47" s="56">
        <v>12</v>
      </c>
      <c r="E47" s="56">
        <v>60</v>
      </c>
      <c r="F47" s="55">
        <v>148727.36</v>
      </c>
      <c r="G47" s="55">
        <v>64041.05</v>
      </c>
      <c r="H47" s="57">
        <f t="shared" si="3"/>
      </c>
      <c r="I47" s="57">
        <f t="shared" si="6"/>
      </c>
      <c r="J47" s="65">
        <f t="shared" si="0"/>
      </c>
    </row>
    <row r="48">
      <c r="A48" s="54">
        <v>46287</v>
      </c>
      <c r="B48" s="55" t="s">
        <v>61</v>
      </c>
      <c r="C48" s="55"/>
      <c r="D48" s="56">
        <v>12</v>
      </c>
      <c r="E48" s="56">
        <v>44</v>
      </c>
      <c r="F48" s="55">
        <v>98287.72</v>
      </c>
      <c r="G48" s="55">
        <v>60801.57</v>
      </c>
      <c r="H48" s="57">
        <f t="shared" si="3"/>
      </c>
      <c r="I48" s="57">
        <f t="shared" si="6"/>
      </c>
      <c r="J48" s="65">
        <f t="shared" si="0"/>
      </c>
    </row>
    <row r="49">
      <c r="A49" s="54">
        <v>46288</v>
      </c>
      <c r="B49" s="55" t="s">
        <v>61</v>
      </c>
      <c r="C49" s="55"/>
      <c r="D49" s="56">
        <v>12</v>
      </c>
      <c r="E49" s="56">
        <v>40</v>
      </c>
      <c r="F49" s="55">
        <v>89914.9</v>
      </c>
      <c r="G49" s="55">
        <v>49328.12</v>
      </c>
      <c r="H49" s="57">
        <f t="shared" si="3"/>
      </c>
      <c r="I49" s="57">
        <f t="shared" si="6"/>
      </c>
      <c r="J49" s="65">
        <f t="shared" si="0"/>
      </c>
    </row>
    <row r="50">
      <c r="A50" s="54">
        <v>46289</v>
      </c>
      <c r="B50" s="55" t="s">
        <v>61</v>
      </c>
      <c r="C50" s="55"/>
      <c r="D50" s="56">
        <v>12</v>
      </c>
      <c r="E50" s="56">
        <v>36</v>
      </c>
      <c r="F50" s="56">
        <v>76797.6</v>
      </c>
      <c r="G50" s="55">
        <v>39401.01</v>
      </c>
      <c r="H50" s="57">
        <f t="shared" si="3"/>
      </c>
      <c r="I50" s="57">
        <f t="shared" si="6"/>
      </c>
      <c r="J50" s="65">
        <f t="shared" si="0"/>
      </c>
    </row>
    <row r="51">
      <c r="A51" s="54">
        <v>46290</v>
      </c>
      <c r="B51" s="55" t="s">
        <v>61</v>
      </c>
      <c r="C51" s="55"/>
      <c r="D51" s="56">
        <v>16</v>
      </c>
      <c r="E51" s="56">
        <v>59</v>
      </c>
      <c r="F51" s="55">
        <v>132070.28</v>
      </c>
      <c r="G51" s="55">
        <v>62183.11</v>
      </c>
      <c r="H51" s="57">
        <f t="shared" si="3"/>
      </c>
      <c r="I51" s="57">
        <f t="shared" si="6"/>
      </c>
      <c r="J51" s="65">
        <f t="shared" si="0"/>
      </c>
    </row>
    <row r="52">
      <c r="A52" s="54">
        <v>46291</v>
      </c>
      <c r="B52" s="55" t="s">
        <v>61</v>
      </c>
      <c r="C52" s="55"/>
      <c r="D52" s="56">
        <v>16</v>
      </c>
      <c r="E52" s="56">
        <v>69</v>
      </c>
      <c r="F52" s="55">
        <v>182440.07</v>
      </c>
      <c r="G52" s="55">
        <v>70612.47</v>
      </c>
      <c r="H52" s="57">
        <f t="shared" si="3"/>
      </c>
      <c r="I52" s="57">
        <f t="shared" si="6"/>
      </c>
      <c r="J52" s="65">
        <f t="shared" si="0"/>
      </c>
    </row>
    <row r="53">
      <c r="A53" s="54">
        <v>46292</v>
      </c>
      <c r="B53" s="55" t="s">
        <v>61</v>
      </c>
      <c r="C53" s="55"/>
      <c r="D53" s="56">
        <v>16</v>
      </c>
      <c r="E53" s="56">
        <v>96</v>
      </c>
      <c r="F53" s="73">
        <v>222816.6</v>
      </c>
      <c r="G53" s="73">
        <v>93237.66</v>
      </c>
      <c r="H53" s="57">
        <f t="shared" si="3"/>
      </c>
      <c r="I53" s="57">
        <f t="shared" si="6"/>
      </c>
      <c r="J53" s="65">
        <f t="shared" si="0"/>
      </c>
    </row>
    <row r="54">
      <c r="A54" s="74">
        <v>46293</v>
      </c>
      <c r="B54" s="42" t="s">
        <v>61</v>
      </c>
      <c r="C54" s="42"/>
      <c r="D54" s="38">
        <v>16</v>
      </c>
      <c r="E54" s="38">
        <v>50</v>
      </c>
      <c r="F54" s="42">
        <v>116202.03</v>
      </c>
      <c r="G54" s="42">
        <v>61166.14</v>
      </c>
      <c r="H54" s="75">
        <f t="shared" si="3"/>
      </c>
      <c r="I54" s="75">
        <f t="shared" si="6"/>
      </c>
      <c r="J54" s="65">
        <f t="shared" si="0"/>
      </c>
    </row>
    <row r="55">
      <c r="A55" s="74">
        <v>46294</v>
      </c>
      <c r="B55" s="42" t="s">
        <v>61</v>
      </c>
      <c r="C55" s="42"/>
      <c r="D55" s="38">
        <v>16</v>
      </c>
      <c r="E55" s="38">
        <v>82</v>
      </c>
      <c r="F55" s="42">
        <v>196910.39</v>
      </c>
      <c r="G55" s="42">
        <v>88781.22</v>
      </c>
      <c r="H55" s="75">
        <f t="shared" si="3"/>
      </c>
      <c r="I55" s="75">
        <f t="shared" si="6"/>
      </c>
      <c r="J55" s="65">
        <f t="shared" si="0"/>
      </c>
    </row>
    <row r="56">
      <c r="A56" s="74">
        <v>46295</v>
      </c>
      <c r="B56" s="42" t="s">
        <v>61</v>
      </c>
      <c r="C56" s="42"/>
      <c r="D56" s="38">
        <v>14</v>
      </c>
      <c r="E56" s="38">
        <v>58</v>
      </c>
      <c r="F56" s="42">
        <v>150518.05</v>
      </c>
      <c r="G56" s="42">
        <v>61575.69</v>
      </c>
      <c r="H56" s="75">
        <f t="shared" si="3"/>
      </c>
      <c r="I56" s="75">
        <f t="shared" si="6"/>
      </c>
      <c r="J56" s="65">
        <f t="shared" si="0"/>
      </c>
      <c r="M56" s="59"/>
      <c r="N56" s="59"/>
    </row>
    <row r="57">
      <c r="A57" s="76">
        <v>46296</v>
      </c>
      <c r="B57" s="42" t="s">
        <v>61</v>
      </c>
      <c r="C57" s="42"/>
      <c r="D57" s="38">
        <v>16</v>
      </c>
      <c r="E57" s="38">
        <v>63</v>
      </c>
      <c r="F57" s="42">
        <v>164209.38</v>
      </c>
      <c r="G57" s="38">
        <v>54655.49</v>
      </c>
      <c r="H57" s="75">
        <f t="shared" si="3"/>
      </c>
      <c r="I57" s="75">
        <f t="shared" si="6"/>
      </c>
      <c r="J57" s="65">
        <f t="shared" si="0"/>
      </c>
    </row>
    <row r="58">
      <c r="A58" s="76">
        <v>46297</v>
      </c>
      <c r="B58" s="42" t="s">
        <v>61</v>
      </c>
      <c r="C58" s="42"/>
      <c r="D58" s="38">
        <v>16</v>
      </c>
      <c r="E58" s="38">
        <v>42</v>
      </c>
      <c r="F58" s="42">
        <v>111827.51</v>
      </c>
      <c r="G58" s="42">
        <v>53450.64</v>
      </c>
      <c r="H58" s="75">
        <f t="shared" si="3"/>
      </c>
      <c r="I58" s="75">
        <f t="shared" si="6"/>
      </c>
      <c r="J58" s="65">
        <f t="shared" si="0"/>
      </c>
    </row>
    <row r="59">
      <c r="A59" s="76">
        <v>46298</v>
      </c>
      <c r="B59" s="42" t="s">
        <v>61</v>
      </c>
      <c r="C59" s="42"/>
      <c r="D59" s="38">
        <v>16</v>
      </c>
      <c r="E59" s="38">
        <v>57</v>
      </c>
      <c r="F59" s="42">
        <v>139098.17</v>
      </c>
      <c r="G59" s="42">
        <v>57384.82</v>
      </c>
      <c r="H59" s="75">
        <f t="shared" si="3"/>
      </c>
      <c r="I59" s="75">
        <f t="shared" si="6"/>
      </c>
      <c r="J59" s="65">
        <f t="shared" si="0"/>
      </c>
    </row>
    <row r="60">
      <c r="A60" s="76">
        <v>46299</v>
      </c>
      <c r="B60" s="42" t="s">
        <v>61</v>
      </c>
      <c r="C60" s="42"/>
      <c r="D60" s="38">
        <v>16</v>
      </c>
      <c r="E60" s="38">
        <v>62</v>
      </c>
      <c r="F60" s="42">
        <v>159878.36</v>
      </c>
      <c r="G60" s="42">
        <v>60151.76</v>
      </c>
      <c r="H60" s="75">
        <f t="shared" si="3"/>
      </c>
      <c r="I60" s="75">
        <f t="shared" si="6"/>
      </c>
      <c r="J60" s="65">
        <f t="shared" si="0"/>
      </c>
    </row>
    <row r="61">
      <c r="A61" s="77">
        <v>46300</v>
      </c>
      <c r="B61" s="78" t="s">
        <v>61</v>
      </c>
      <c r="C61" s="78"/>
      <c r="D61" s="79">
        <v>16</v>
      </c>
      <c r="E61" s="79">
        <v>73</v>
      </c>
      <c r="F61" s="78">
        <v>189741.46</v>
      </c>
      <c r="G61" s="79">
        <v>59608.09</v>
      </c>
      <c r="H61" s="80">
        <f t="shared" si="3"/>
      </c>
      <c r="I61" s="80">
        <f t="shared" si="6"/>
      </c>
      <c r="J61" s="65">
        <f t="shared" si="0"/>
      </c>
    </row>
    <row r="62">
      <c r="A62" s="77">
        <v>46301</v>
      </c>
      <c r="B62" s="78" t="s">
        <v>61</v>
      </c>
      <c r="C62" s="78"/>
      <c r="D62" s="79">
        <v>15</v>
      </c>
      <c r="E62" s="79">
        <v>43</v>
      </c>
      <c r="F62" s="78">
        <v>88038.51</v>
      </c>
      <c r="G62" s="78">
        <v>44839.63</v>
      </c>
      <c r="H62" s="80">
        <f t="shared" si="3"/>
      </c>
      <c r="I62" s="80">
        <f t="shared" si="6"/>
      </c>
      <c r="J62" s="65">
        <f t="shared" si="0"/>
      </c>
    </row>
    <row r="63">
      <c r="A63" s="77">
        <v>46302</v>
      </c>
      <c r="B63" s="78" t="s">
        <v>61</v>
      </c>
      <c r="C63" s="78"/>
      <c r="D63" s="79">
        <v>16</v>
      </c>
      <c r="E63" s="79">
        <v>43</v>
      </c>
      <c r="F63" s="78">
        <v>119836.13</v>
      </c>
      <c r="G63" s="78">
        <v>46986.71</v>
      </c>
      <c r="H63" s="80">
        <f t="shared" si="3"/>
      </c>
      <c r="I63" s="80">
        <f t="shared" si="6"/>
      </c>
      <c r="J63" s="65">
        <f t="shared" si="0"/>
      </c>
    </row>
    <row r="64">
      <c r="A64" s="77">
        <v>46303</v>
      </c>
      <c r="B64" s="78" t="s">
        <v>61</v>
      </c>
      <c r="C64" s="78"/>
      <c r="D64" s="79">
        <v>13</v>
      </c>
      <c r="E64" s="79">
        <v>24</v>
      </c>
      <c r="F64" s="78">
        <v>42864.6</v>
      </c>
      <c r="G64" s="78">
        <v>35751.22</v>
      </c>
      <c r="H64" s="80">
        <f t="shared" si="3"/>
      </c>
      <c r="I64" s="80">
        <f t="shared" si="6"/>
      </c>
      <c r="J64" s="65">
        <f t="shared" si="0"/>
      </c>
    </row>
    <row r="65">
      <c r="A65" s="77">
        <v>46304</v>
      </c>
      <c r="B65" s="78" t="s">
        <v>61</v>
      </c>
      <c r="C65" s="78"/>
      <c r="D65" s="79">
        <v>15</v>
      </c>
      <c r="E65" s="79">
        <v>49</v>
      </c>
      <c r="F65" s="78">
        <v>163689.45</v>
      </c>
      <c r="G65" s="78">
        <v>52617.67</v>
      </c>
      <c r="H65" s="80">
        <f t="shared" si="3"/>
      </c>
      <c r="I65" s="80">
        <f t="shared" si="6"/>
      </c>
      <c r="J65" s="65">
        <f t="shared" si="0"/>
      </c>
    </row>
    <row r="66">
      <c r="A66" s="77">
        <v>46305</v>
      </c>
      <c r="B66" s="78" t="s">
        <v>61</v>
      </c>
      <c r="C66" s="78"/>
      <c r="D66" s="79">
        <v>13</v>
      </c>
      <c r="E66" s="79">
        <v>41</v>
      </c>
      <c r="F66" s="78">
        <v>93949.38</v>
      </c>
      <c r="G66" s="78">
        <v>41980.91</v>
      </c>
      <c r="H66" s="80">
        <f t="shared" si="3"/>
      </c>
      <c r="I66" s="80">
        <f t="shared" si="6"/>
      </c>
      <c r="J66" s="65">
        <f t="shared" si="0"/>
      </c>
    </row>
    <row r="67">
      <c r="A67" s="77">
        <v>46306</v>
      </c>
      <c r="B67" s="78" t="s">
        <v>61</v>
      </c>
      <c r="C67" s="78"/>
      <c r="D67" s="79">
        <v>12</v>
      </c>
      <c r="E67" s="79">
        <v>27</v>
      </c>
      <c r="F67" s="78">
        <v>55117.04</v>
      </c>
      <c r="G67" s="78">
        <v>31991</v>
      </c>
      <c r="H67" s="80">
        <f t="shared" si="3"/>
      </c>
      <c r="I67" s="80">
        <f t="shared" si="6"/>
      </c>
      <c r="J67" s="65">
        <f t="shared" si="0"/>
      </c>
    </row>
    <row r="68">
      <c r="A68" s="81">
        <v>46307</v>
      </c>
      <c r="B68" s="44" t="s">
        <v>61</v>
      </c>
      <c r="C68" s="44"/>
      <c r="D68" s="82">
        <v>12</v>
      </c>
      <c r="E68" s="82">
        <v>16</v>
      </c>
      <c r="F68" s="44">
        <v>32061.909999999996</v>
      </c>
      <c r="G68" s="44">
        <v>24642.87</v>
      </c>
      <c r="H68" s="46">
        <f t="shared" si="3"/>
      </c>
      <c r="I68" s="46">
        <f t="shared" si="6"/>
      </c>
      <c r="J68" s="65">
        <f t="shared" si="0"/>
      </c>
    </row>
    <row r="69">
      <c r="A69" s="81">
        <v>46308</v>
      </c>
      <c r="B69" s="44" t="s">
        <v>61</v>
      </c>
      <c r="C69" s="44"/>
      <c r="D69" s="82">
        <v>14</v>
      </c>
      <c r="E69" s="82">
        <v>36</v>
      </c>
      <c r="F69" s="44">
        <v>63841.39</v>
      </c>
      <c r="G69" s="44">
        <v>38213.67</v>
      </c>
      <c r="H69" s="46">
        <f t="shared" si="3"/>
      </c>
      <c r="I69" s="46">
        <f t="shared" si="6"/>
      </c>
      <c r="J69" s="65">
        <f t="shared" si="0"/>
      </c>
    </row>
    <row r="70">
      <c r="A70" s="81">
        <v>46309</v>
      </c>
      <c r="B70" s="44" t="s">
        <v>61</v>
      </c>
      <c r="C70" s="44"/>
      <c r="D70" s="82">
        <v>14</v>
      </c>
      <c r="E70" s="82">
        <v>44</v>
      </c>
      <c r="F70" s="44">
        <v>93594.96</v>
      </c>
      <c r="G70" s="44">
        <v>49102.43</v>
      </c>
      <c r="H70" s="46">
        <f t="shared" si="3"/>
      </c>
      <c r="I70" s="46">
        <f t="shared" si="6"/>
      </c>
      <c r="J70" s="65">
        <f t="shared" si="0"/>
      </c>
    </row>
    <row r="71">
      <c r="A71" s="81">
        <v>46310</v>
      </c>
      <c r="B71" s="44" t="s">
        <v>61</v>
      </c>
      <c r="C71" s="44"/>
      <c r="D71" s="82">
        <v>14</v>
      </c>
      <c r="E71" s="82">
        <v>20</v>
      </c>
      <c r="F71" s="44">
        <v>53518.91</v>
      </c>
      <c r="G71" s="44">
        <v>30782.58</v>
      </c>
      <c r="H71" s="46">
        <f t="shared" si="3"/>
      </c>
      <c r="I71" s="46">
        <f t="shared" si="6"/>
      </c>
      <c r="J71" s="65">
        <f t="shared" si="0"/>
      </c>
    </row>
    <row r="72">
      <c r="A72" s="81">
        <v>46311</v>
      </c>
      <c r="B72" s="44" t="s">
        <v>61</v>
      </c>
      <c r="C72" s="44"/>
      <c r="D72" s="82">
        <v>14</v>
      </c>
      <c r="E72" s="82">
        <v>32</v>
      </c>
      <c r="F72" s="44">
        <v>59764.13</v>
      </c>
      <c r="G72" s="83">
        <v>31677.01</v>
      </c>
      <c r="H72" s="46">
        <f t="shared" si="3"/>
      </c>
      <c r="I72" s="46">
        <f t="shared" si="6"/>
      </c>
      <c r="J72" s="65">
        <f t="shared" si="0"/>
      </c>
    </row>
    <row r="73">
      <c r="A73" s="81">
        <v>46312</v>
      </c>
      <c r="B73" s="44" t="s">
        <v>61</v>
      </c>
      <c r="C73" s="44"/>
      <c r="D73" s="82">
        <v>14</v>
      </c>
      <c r="E73" s="82">
        <v>35</v>
      </c>
      <c r="F73" s="44">
        <v>85436.2</v>
      </c>
      <c r="G73" s="44">
        <v>40371.71</v>
      </c>
      <c r="H73" s="46">
        <f t="shared" si="3"/>
      </c>
      <c r="I73" s="46">
        <f t="shared" si="6"/>
      </c>
      <c r="J73" s="65">
        <f t="shared" si="0"/>
      </c>
    </row>
    <row r="74">
      <c r="A74" s="81">
        <v>46313</v>
      </c>
      <c r="B74" s="44" t="s">
        <v>61</v>
      </c>
      <c r="C74" s="44"/>
      <c r="D74" s="84">
        <v>14</v>
      </c>
      <c r="E74" s="84">
        <v>40</v>
      </c>
      <c r="F74" s="84">
        <v>74605.32</v>
      </c>
      <c r="G74" s="85">
        <v>41632.93</v>
      </c>
      <c r="H74" s="46">
        <f t="shared" si="3"/>
      </c>
      <c r="I74" s="46">
        <f t="shared" si="6"/>
      </c>
      <c r="J74" s="86">
        <f t="shared" si="0"/>
      </c>
    </row>
    <row r="75">
      <c r="A75" s="87">
        <v>46314</v>
      </c>
      <c r="B75" s="88" t="s">
        <v>61</v>
      </c>
      <c r="C75" s="55"/>
      <c r="D75" s="55"/>
      <c r="E75" s="55"/>
      <c r="F75" s="55"/>
      <c r="G75" s="55"/>
      <c r="H75" s="89">
        <f t="shared" si="3"/>
      </c>
      <c r="I75" s="89">
        <f t="shared" si="6"/>
      </c>
    </row>
    <row r="76">
      <c r="A76" s="87">
        <v>46315</v>
      </c>
      <c r="B76" s="88" t="s">
        <v>61</v>
      </c>
      <c r="C76" s="90"/>
      <c r="D76" s="90"/>
      <c r="E76" s="90"/>
      <c r="F76" s="90"/>
      <c r="G76" s="90"/>
      <c r="H76" s="89">
        <f t="shared" si="3"/>
      </c>
      <c r="I76" s="89">
        <f t="shared" si="6"/>
      </c>
    </row>
    <row r="77">
      <c r="A77" s="87">
        <v>46316</v>
      </c>
      <c r="B77" s="88" t="s">
        <v>61</v>
      </c>
      <c r="C77" s="90"/>
      <c r="D77" s="90"/>
      <c r="E77" s="90"/>
      <c r="F77" s="90"/>
      <c r="G77" s="90"/>
      <c r="H77" s="89">
        <f t="shared" si="3"/>
      </c>
      <c r="I77" s="89">
        <f t="shared" si="6"/>
      </c>
    </row>
    <row r="78">
      <c r="A78" s="87">
        <v>46317</v>
      </c>
      <c r="B78" s="88" t="s">
        <v>61</v>
      </c>
      <c r="C78" s="90"/>
      <c r="D78" s="90"/>
      <c r="E78" s="90"/>
      <c r="F78" s="90"/>
      <c r="G78" s="90"/>
      <c r="H78" s="89">
        <f t="shared" si="3"/>
      </c>
      <c r="I78" s="89">
        <f t="shared" si="6"/>
      </c>
    </row>
    <row r="79">
      <c r="A79" s="87">
        <v>46318</v>
      </c>
      <c r="B79" s="88" t="s">
        <v>61</v>
      </c>
      <c r="C79" s="55"/>
      <c r="D79" s="55"/>
      <c r="E79" s="55"/>
      <c r="F79" s="55"/>
      <c r="G79" s="55"/>
      <c r="H79" s="89">
        <f t="shared" si="3"/>
      </c>
      <c r="I79" s="89">
        <f t="shared" si="6"/>
      </c>
    </row>
    <row r="80">
      <c r="A80" s="87">
        <v>46319</v>
      </c>
      <c r="B80" s="88" t="s">
        <v>61</v>
      </c>
      <c r="C80" s="55"/>
      <c r="D80" s="55"/>
      <c r="E80" s="55"/>
      <c r="F80" s="55"/>
      <c r="G80" s="55"/>
      <c r="H80" s="89">
        <f t="shared" si="3"/>
      </c>
      <c r="I80" s="89">
        <f t="shared" si="6"/>
      </c>
    </row>
    <row r="81">
      <c r="A81" s="87">
        <v>46320</v>
      </c>
      <c r="B81" s="88" t="s">
        <v>61</v>
      </c>
      <c r="C81" s="55"/>
      <c r="D81" s="55"/>
      <c r="E81" s="55"/>
      <c r="F81" s="55"/>
      <c r="G81" s="55"/>
      <c r="H81" s="89">
        <f t="shared" si="3"/>
      </c>
      <c r="I81" s="89">
        <f t="shared" si="6"/>
      </c>
    </row>
    <row r="82">
      <c r="A82" s="91">
        <v>46321</v>
      </c>
      <c r="B82" s="37"/>
      <c r="C82" s="37"/>
      <c r="D82" s="37"/>
      <c r="E82" s="37"/>
      <c r="F82" s="37"/>
      <c r="G82" s="37"/>
      <c r="H82" s="39"/>
      <c r="I82" s="39"/>
    </row>
    <row r="83">
      <c r="A83" s="91">
        <v>46322</v>
      </c>
      <c r="B83" s="37"/>
      <c r="C83" s="37"/>
      <c r="D83" s="37"/>
      <c r="E83" s="37"/>
      <c r="F83" s="37"/>
      <c r="G83" s="37"/>
      <c r="H83" s="39"/>
      <c r="I83" s="39"/>
    </row>
    <row r="84">
      <c r="A84" s="91">
        <v>46323</v>
      </c>
      <c r="B84" s="37"/>
      <c r="C84" s="37"/>
      <c r="D84" s="37"/>
      <c r="E84" s="37"/>
      <c r="F84" s="37"/>
      <c r="G84" s="37"/>
      <c r="H84" s="39"/>
      <c r="I84" s="39"/>
    </row>
    <row r="85">
      <c r="A85" s="91">
        <v>46324</v>
      </c>
      <c r="B85" s="37"/>
      <c r="C85" s="37"/>
      <c r="D85" s="37"/>
      <c r="E85" s="37"/>
      <c r="F85" s="37"/>
      <c r="G85" s="37"/>
      <c r="H85" s="39"/>
      <c r="I85" s="39"/>
    </row>
    <row r="86">
      <c r="A86" s="91">
        <v>46325</v>
      </c>
      <c r="B86" s="37"/>
      <c r="C86" s="37"/>
      <c r="D86" s="37"/>
      <c r="E86" s="37"/>
      <c r="F86" s="37"/>
      <c r="G86" s="37"/>
      <c r="H86" s="39"/>
      <c r="I86" s="39"/>
    </row>
    <row r="87">
      <c r="A87" s="91">
        <v>46326</v>
      </c>
      <c r="B87" s="37"/>
      <c r="C87" s="37"/>
      <c r="D87" s="37"/>
      <c r="E87" s="37"/>
      <c r="F87" s="37"/>
      <c r="G87" s="37"/>
      <c r="H87" s="39"/>
      <c r="I87" s="39"/>
    </row>
    <row r="88">
      <c r="A88" s="37"/>
      <c r="B88" s="37"/>
      <c r="C88" s="37"/>
      <c r="D88" s="37"/>
      <c r="E88" s="37"/>
      <c r="F88" s="37"/>
      <c r="G88" s="37"/>
      <c r="H88" s="39"/>
      <c r="I88" s="39"/>
    </row>
    <row r="89">
      <c r="A89" s="37"/>
      <c r="B89" s="37"/>
      <c r="C89" s="37"/>
      <c r="D89" s="37"/>
      <c r="E89" s="37"/>
      <c r="F89" s="37"/>
      <c r="G89" s="37"/>
      <c r="H89" s="39"/>
      <c r="I89" s="39"/>
    </row>
    <row r="90">
      <c r="A90" s="37"/>
      <c r="B90" s="37"/>
      <c r="C90" s="37"/>
      <c r="D90" s="37"/>
      <c r="E90" s="37"/>
      <c r="F90" s="37"/>
      <c r="G90" s="37"/>
      <c r="H90" s="39"/>
      <c r="I90" s="39"/>
    </row>
    <row r="91">
      <c r="A91" s="37"/>
      <c r="B91" s="37"/>
      <c r="C91" s="37"/>
      <c r="D91" s="37"/>
      <c r="E91" s="37"/>
      <c r="F91" s="37"/>
      <c r="G91" s="37"/>
      <c r="H91" s="39"/>
      <c r="I91" s="39"/>
    </row>
    <row r="92">
      <c r="A92" s="37"/>
      <c r="B92" s="37"/>
      <c r="C92" s="92" t="s">
        <v>76</v>
      </c>
      <c r="D92" s="93"/>
      <c r="E92" s="93"/>
      <c r="F92" s="93"/>
      <c r="G92" s="93"/>
      <c r="H92" s="93"/>
      <c r="I92" s="39"/>
    </row>
    <row r="93">
      <c r="A93" s="37"/>
      <c r="B93" s="37"/>
      <c r="C93" s="93"/>
      <c r="D93" s="93"/>
      <c r="E93" s="93"/>
      <c r="F93" s="93"/>
      <c r="G93" s="93"/>
      <c r="H93" s="93"/>
      <c r="I93" s="39"/>
    </row>
    <row r="94">
      <c r="A94" s="37"/>
      <c r="B94" s="37"/>
      <c r="C94" s="93"/>
      <c r="D94" s="93"/>
      <c r="E94" s="93"/>
      <c r="F94" s="93"/>
      <c r="G94" s="93"/>
      <c r="H94" s="93"/>
      <c r="I94" s="39"/>
    </row>
    <row r="95">
      <c r="A95" s="37"/>
      <c r="B95" s="37"/>
      <c r="C95" s="37"/>
      <c r="D95" s="37"/>
      <c r="E95" s="37"/>
      <c r="F95" s="37"/>
      <c r="G95" s="37"/>
      <c r="H95" s="39"/>
      <c r="I95" s="39"/>
    </row>
    <row r="96">
      <c r="A96" s="37"/>
      <c r="B96" s="37"/>
      <c r="C96" s="37"/>
      <c r="D96" s="37"/>
      <c r="E96" s="37"/>
      <c r="F96" s="37"/>
      <c r="G96" s="37"/>
      <c r="H96" s="39"/>
      <c r="I96" s="39"/>
    </row>
    <row r="97">
      <c r="A97" s="37"/>
      <c r="B97" s="37"/>
      <c r="C97" s="37"/>
      <c r="D97" s="37"/>
      <c r="E97" s="37"/>
      <c r="F97" s="37"/>
      <c r="G97" s="37"/>
      <c r="H97" s="39"/>
      <c r="I97" s="39"/>
    </row>
    <row r="98">
      <c r="A98" s="37"/>
      <c r="B98" s="37"/>
      <c r="C98" s="37"/>
      <c r="D98" s="37"/>
      <c r="E98" s="37"/>
      <c r="F98" s="37"/>
      <c r="G98" s="37"/>
      <c r="H98" s="39"/>
      <c r="I98" s="39"/>
    </row>
    <row r="99">
      <c r="A99" s="37"/>
      <c r="B99" s="37"/>
      <c r="C99" s="37"/>
      <c r="D99" s="37"/>
      <c r="E99" s="37"/>
      <c r="F99" s="37"/>
      <c r="G99" s="37"/>
      <c r="H99" s="39"/>
      <c r="I99" s="39"/>
    </row>
    <row r="100">
      <c r="A100" s="37"/>
      <c r="B100" s="37"/>
      <c r="C100" s="37"/>
      <c r="D100" s="37"/>
      <c r="E100" s="37"/>
      <c r="F100" s="37"/>
      <c r="G100" s="37"/>
      <c r="H100" s="39"/>
      <c r="I100" s="39"/>
    </row>
    <row r="101">
      <c r="A101" s="37"/>
      <c r="B101" s="37"/>
      <c r="C101" s="37"/>
      <c r="D101" s="37"/>
      <c r="E101" s="37"/>
      <c r="F101" s="37"/>
      <c r="G101" s="37"/>
      <c r="H101" s="39"/>
      <c r="I101" s="39"/>
    </row>
    <row r="102">
      <c r="A102" s="37"/>
      <c r="B102" s="37"/>
      <c r="C102" s="37"/>
      <c r="D102" s="37"/>
      <c r="E102" s="37"/>
      <c r="F102" s="37"/>
      <c r="G102" s="37"/>
      <c r="H102" s="39"/>
      <c r="I102" s="39"/>
    </row>
    <row r="103">
      <c r="A103" s="37"/>
      <c r="B103" s="37"/>
      <c r="C103" s="37"/>
      <c r="D103" s="37"/>
      <c r="E103" s="37"/>
      <c r="F103" s="37"/>
      <c r="G103" s="37"/>
      <c r="H103" s="39"/>
      <c r="I103" s="39"/>
    </row>
    <row r="104">
      <c r="A104" s="37"/>
      <c r="B104" s="37"/>
      <c r="C104" s="37"/>
      <c r="D104" s="37"/>
      <c r="E104" s="37"/>
      <c r="F104" s="37"/>
      <c r="G104" s="37"/>
      <c r="H104" s="39"/>
      <c r="I104" s="39"/>
    </row>
    <row r="105">
      <c r="A105" s="37"/>
      <c r="B105" s="37"/>
      <c r="C105" s="37"/>
      <c r="D105" s="37"/>
      <c r="E105" s="37"/>
      <c r="F105" s="37"/>
      <c r="G105" s="37"/>
      <c r="H105" s="39"/>
      <c r="I105" s="39"/>
    </row>
    <row r="106">
      <c r="A106" s="37"/>
      <c r="B106" s="37"/>
      <c r="C106" s="37"/>
      <c r="D106" s="37"/>
      <c r="E106" s="37"/>
      <c r="F106" s="37"/>
      <c r="G106" s="37"/>
      <c r="H106" s="39"/>
      <c r="I106" s="39"/>
    </row>
    <row r="107">
      <c r="A107" s="37"/>
      <c r="B107" s="37"/>
      <c r="C107" s="37"/>
      <c r="D107" s="37"/>
      <c r="E107" s="37"/>
      <c r="F107" s="37"/>
      <c r="G107" s="37"/>
      <c r="H107" s="39"/>
      <c r="I107" s="39"/>
    </row>
    <row r="108">
      <c r="A108" s="37"/>
      <c r="B108" s="37"/>
      <c r="C108" s="37"/>
      <c r="D108" s="37"/>
      <c r="E108" s="37"/>
      <c r="F108" s="37"/>
      <c r="G108" s="37"/>
      <c r="H108" s="39"/>
      <c r="I108" s="39"/>
    </row>
    <row r="109">
      <c r="A109" s="37"/>
      <c r="B109" s="37"/>
      <c r="C109" s="37"/>
      <c r="D109" s="37"/>
      <c r="E109" s="37"/>
      <c r="F109" s="37"/>
      <c r="G109" s="37"/>
      <c r="H109" s="39"/>
      <c r="I109" s="39"/>
    </row>
    <row r="110">
      <c r="A110" s="37"/>
      <c r="B110" s="37"/>
      <c r="C110" s="37"/>
      <c r="D110" s="37"/>
      <c r="E110" s="37"/>
      <c r="F110" s="37"/>
      <c r="G110" s="37"/>
      <c r="H110" s="39"/>
      <c r="I110" s="39"/>
    </row>
    <row r="111">
      <c r="A111" s="37"/>
      <c r="B111" s="37"/>
      <c r="C111" s="37"/>
      <c r="D111" s="37"/>
      <c r="E111" s="37"/>
      <c r="F111" s="37"/>
      <c r="G111" s="37"/>
      <c r="H111" s="39"/>
      <c r="I111" s="39"/>
    </row>
    <row r="112">
      <c r="A112" s="37"/>
      <c r="B112" s="37"/>
      <c r="C112" s="37"/>
      <c r="D112" s="37"/>
      <c r="E112" s="37"/>
      <c r="F112" s="37"/>
      <c r="G112" s="37"/>
      <c r="H112" s="39"/>
      <c r="I112" s="39"/>
    </row>
    <row r="113">
      <c r="A113" s="37"/>
      <c r="B113" s="37"/>
      <c r="C113" s="37"/>
      <c r="D113" s="37"/>
      <c r="E113" s="37"/>
      <c r="F113" s="37"/>
      <c r="G113" s="37"/>
      <c r="H113" s="39"/>
      <c r="I113" s="39"/>
    </row>
    <row r="114">
      <c r="A114" s="37"/>
      <c r="B114" s="37"/>
      <c r="C114" s="37"/>
      <c r="D114" s="37"/>
      <c r="E114" s="37"/>
      <c r="F114" s="37"/>
      <c r="G114" s="37"/>
      <c r="H114" s="39"/>
      <c r="I114" s="39"/>
    </row>
    <row r="115">
      <c r="A115" s="37"/>
      <c r="B115" s="37"/>
      <c r="C115" s="37"/>
      <c r="D115" s="37"/>
      <c r="E115" s="37"/>
      <c r="F115" s="37"/>
      <c r="G115" s="37"/>
      <c r="H115" s="39"/>
      <c r="I115" s="39"/>
    </row>
    <row r="116">
      <c r="A116" s="37"/>
      <c r="B116" s="37"/>
      <c r="C116" s="37"/>
      <c r="D116" s="37"/>
      <c r="E116" s="37"/>
      <c r="F116" s="37"/>
      <c r="G116" s="37"/>
      <c r="H116" s="39"/>
      <c r="I116" s="39"/>
    </row>
    <row r="117">
      <c r="A117" s="37"/>
      <c r="B117" s="37"/>
      <c r="C117" s="37"/>
      <c r="D117" s="37"/>
      <c r="E117" s="37"/>
      <c r="F117" s="37"/>
      <c r="G117" s="37"/>
      <c r="H117" s="39"/>
      <c r="I117" s="39"/>
    </row>
    <row r="118">
      <c r="A118" s="37"/>
      <c r="B118" s="37"/>
      <c r="C118" s="37"/>
      <c r="D118" s="37"/>
      <c r="E118" s="37"/>
      <c r="F118" s="37"/>
      <c r="G118" s="37"/>
      <c r="H118" s="39"/>
      <c r="I118" s="39"/>
    </row>
    <row r="119">
      <c r="A119" s="37"/>
      <c r="B119" s="37"/>
      <c r="C119" s="37"/>
      <c r="D119" s="37"/>
      <c r="E119" s="37"/>
      <c r="F119" s="37"/>
      <c r="G119" s="37"/>
      <c r="H119" s="39"/>
      <c r="I119" s="39"/>
    </row>
    <row r="120">
      <c r="A120" s="37"/>
      <c r="B120" s="37"/>
      <c r="C120" s="37"/>
      <c r="D120" s="37"/>
      <c r="E120" s="37"/>
      <c r="F120" s="37"/>
      <c r="G120" s="37"/>
      <c r="H120" s="39"/>
      <c r="I120" s="39"/>
    </row>
    <row r="121">
      <c r="A121" s="37"/>
      <c r="B121" s="37"/>
      <c r="C121" s="37"/>
      <c r="D121" s="37"/>
      <c r="E121" s="37"/>
      <c r="F121" s="37"/>
      <c r="G121" s="37"/>
      <c r="H121" s="39"/>
      <c r="I121" s="39"/>
    </row>
    <row r="122">
      <c r="A122" s="37"/>
      <c r="B122" s="37"/>
      <c r="C122" s="37"/>
      <c r="D122" s="37"/>
      <c r="E122" s="37"/>
      <c r="F122" s="37"/>
      <c r="G122" s="37"/>
      <c r="H122" s="39"/>
      <c r="I122" s="39"/>
    </row>
    <row r="123">
      <c r="A123" s="37"/>
      <c r="B123" s="37"/>
      <c r="C123" s="37"/>
      <c r="D123" s="37"/>
      <c r="E123" s="37"/>
      <c r="F123" s="37"/>
      <c r="G123" s="37"/>
      <c r="H123" s="39"/>
      <c r="I123" s="39"/>
    </row>
    <row r="124">
      <c r="A124" s="37"/>
      <c r="B124" s="37"/>
      <c r="C124" s="37"/>
      <c r="D124" s="37"/>
      <c r="E124" s="37"/>
      <c r="F124" s="37"/>
      <c r="G124" s="37"/>
      <c r="H124" s="39"/>
      <c r="I124" s="39"/>
    </row>
    <row r="125">
      <c r="A125" s="37"/>
      <c r="B125" s="37"/>
      <c r="C125" s="37"/>
      <c r="D125" s="37"/>
      <c r="E125" s="37"/>
      <c r="F125" s="37"/>
      <c r="G125" s="37"/>
      <c r="H125" s="39"/>
      <c r="I125" s="39"/>
    </row>
    <row r="126">
      <c r="A126" s="37"/>
      <c r="B126" s="37"/>
      <c r="C126" s="37"/>
      <c r="D126" s="37"/>
      <c r="E126" s="37"/>
      <c r="F126" s="37"/>
      <c r="G126" s="37"/>
      <c r="H126" s="39"/>
      <c r="I126" s="39"/>
    </row>
    <row r="127">
      <c r="A127" s="37"/>
      <c r="B127" s="37"/>
      <c r="C127" s="37"/>
      <c r="D127" s="37"/>
      <c r="E127" s="37"/>
      <c r="F127" s="37"/>
      <c r="G127" s="37"/>
      <c r="H127" s="39"/>
      <c r="I127" s="39"/>
    </row>
    <row r="128">
      <c r="A128" s="37"/>
      <c r="B128" s="37"/>
      <c r="C128" s="37"/>
      <c r="D128" s="37"/>
      <c r="E128" s="37"/>
      <c r="F128" s="37"/>
      <c r="G128" s="37"/>
      <c r="H128" s="39"/>
      <c r="I128" s="39"/>
    </row>
    <row r="129">
      <c r="A129" s="37"/>
      <c r="B129" s="37"/>
      <c r="C129" s="37"/>
      <c r="D129" s="37"/>
      <c r="E129" s="37"/>
      <c r="F129" s="37"/>
      <c r="G129" s="37"/>
      <c r="H129" s="39"/>
      <c r="I129" s="39"/>
    </row>
    <row r="130">
      <c r="A130" s="37"/>
      <c r="B130" s="37"/>
      <c r="C130" s="37"/>
      <c r="D130" s="37"/>
      <c r="E130" s="37"/>
      <c r="F130" s="37"/>
      <c r="G130" s="37"/>
      <c r="H130" s="39"/>
      <c r="I130" s="39"/>
    </row>
    <row r="131">
      <c r="A131" s="37"/>
      <c r="B131" s="37"/>
      <c r="C131" s="37"/>
      <c r="D131" s="37"/>
      <c r="E131" s="37"/>
      <c r="F131" s="37"/>
      <c r="G131" s="37"/>
      <c r="H131" s="39"/>
      <c r="I131" s="39"/>
    </row>
    <row r="132">
      <c r="A132" s="37"/>
      <c r="B132" s="37"/>
      <c r="C132" s="37"/>
      <c r="D132" s="37"/>
      <c r="E132" s="37"/>
      <c r="F132" s="37"/>
      <c r="G132" s="37"/>
      <c r="H132" s="39"/>
      <c r="I132" s="39"/>
    </row>
    <row r="133">
      <c r="A133" s="37"/>
      <c r="B133" s="37"/>
      <c r="C133" s="37"/>
      <c r="D133" s="37"/>
      <c r="E133" s="37"/>
      <c r="F133" s="37"/>
      <c r="G133" s="37"/>
      <c r="H133" s="39"/>
      <c r="I133" s="39"/>
    </row>
    <row r="134">
      <c r="A134" s="37"/>
      <c r="B134" s="37"/>
      <c r="C134" s="37"/>
      <c r="D134" s="37"/>
      <c r="E134" s="37"/>
      <c r="F134" s="37"/>
      <c r="G134" s="37"/>
      <c r="H134" s="39"/>
      <c r="I134" s="39"/>
    </row>
    <row r="135">
      <c r="A135" s="37"/>
      <c r="B135" s="37"/>
      <c r="C135" s="37"/>
      <c r="D135" s="37"/>
      <c r="E135" s="37"/>
      <c r="F135" s="37"/>
      <c r="G135" s="37"/>
      <c r="H135" s="39"/>
      <c r="I135" s="39"/>
    </row>
    <row r="136">
      <c r="A136" s="37"/>
      <c r="B136" s="37"/>
      <c r="C136" s="37"/>
      <c r="D136" s="37"/>
      <c r="E136" s="37"/>
      <c r="F136" s="37"/>
      <c r="G136" s="37"/>
      <c r="H136" s="39"/>
      <c r="I136" s="39"/>
    </row>
    <row r="137">
      <c r="A137" s="37"/>
      <c r="B137" s="37"/>
      <c r="C137" s="37"/>
      <c r="D137" s="37"/>
      <c r="E137" s="37"/>
      <c r="F137" s="37"/>
      <c r="G137" s="37"/>
      <c r="H137" s="39"/>
      <c r="I137" s="39"/>
    </row>
    <row r="138">
      <c r="A138" s="37"/>
      <c r="B138" s="37"/>
      <c r="C138" s="37"/>
      <c r="D138" s="37"/>
      <c r="E138" s="37"/>
      <c r="F138" s="37"/>
      <c r="G138" s="37"/>
      <c r="H138" s="39"/>
      <c r="I138" s="39"/>
    </row>
    <row r="139">
      <c r="A139" s="37"/>
      <c r="B139" s="37"/>
      <c r="C139" s="37"/>
      <c r="D139" s="37"/>
      <c r="E139" s="37"/>
      <c r="F139" s="37"/>
      <c r="G139" s="37"/>
      <c r="H139" s="39"/>
      <c r="I139" s="39"/>
    </row>
    <row r="140">
      <c r="A140" s="37"/>
      <c r="B140" s="37"/>
      <c r="C140" s="37"/>
      <c r="D140" s="37"/>
      <c r="E140" s="37"/>
      <c r="F140" s="37"/>
      <c r="G140" s="37"/>
      <c r="H140" s="39"/>
      <c r="I140" s="39"/>
    </row>
    <row r="141">
      <c r="A141" s="37"/>
      <c r="B141" s="37"/>
      <c r="C141" s="37"/>
      <c r="D141" s="37"/>
      <c r="E141" s="37"/>
      <c r="F141" s="37"/>
      <c r="G141" s="37"/>
      <c r="H141" s="39"/>
      <c r="I141" s="39"/>
    </row>
    <row r="142">
      <c r="A142" s="37"/>
      <c r="B142" s="37"/>
      <c r="C142" s="37"/>
      <c r="D142" s="37"/>
      <c r="E142" s="37"/>
      <c r="F142" s="37"/>
      <c r="G142" s="37"/>
      <c r="H142" s="39"/>
      <c r="I142" s="39"/>
    </row>
    <row r="143">
      <c r="A143" s="37"/>
      <c r="B143" s="37"/>
      <c r="C143" s="37"/>
      <c r="D143" s="37"/>
      <c r="E143" s="37"/>
      <c r="F143" s="37"/>
      <c r="G143" s="37"/>
      <c r="H143" s="39"/>
      <c r="I143" s="39"/>
    </row>
    <row r="144">
      <c r="A144" s="37"/>
      <c r="B144" s="37"/>
      <c r="C144" s="37"/>
      <c r="D144" s="37"/>
      <c r="E144" s="37"/>
      <c r="F144" s="37"/>
      <c r="G144" s="37"/>
      <c r="H144" s="39"/>
      <c r="I144" s="39"/>
    </row>
    <row r="145">
      <c r="A145" s="37"/>
      <c r="B145" s="37"/>
      <c r="C145" s="37"/>
      <c r="D145" s="37"/>
      <c r="E145" s="37"/>
      <c r="F145" s="37"/>
      <c r="G145" s="37"/>
      <c r="H145" s="39"/>
      <c r="I145" s="39"/>
    </row>
    <row r="146">
      <c r="A146" s="37"/>
      <c r="B146" s="37"/>
      <c r="C146" s="37"/>
      <c r="D146" s="37"/>
      <c r="E146" s="37"/>
      <c r="F146" s="37"/>
      <c r="G146" s="37"/>
      <c r="H146" s="39"/>
      <c r="I146" s="39"/>
    </row>
    <row r="147">
      <c r="A147" s="37"/>
      <c r="B147" s="37"/>
      <c r="C147" s="37"/>
      <c r="D147" s="37"/>
      <c r="E147" s="37"/>
      <c r="F147" s="37"/>
      <c r="G147" s="37"/>
      <c r="H147" s="39"/>
      <c r="I147" s="39"/>
    </row>
    <row r="148">
      <c r="A148" s="37"/>
      <c r="B148" s="37"/>
      <c r="C148" s="37"/>
      <c r="D148" s="37"/>
      <c r="E148" s="37"/>
      <c r="F148" s="37"/>
      <c r="G148" s="37"/>
      <c r="H148" s="39"/>
      <c r="I148" s="39"/>
    </row>
    <row r="149">
      <c r="A149" s="37"/>
      <c r="B149" s="37"/>
      <c r="C149" s="37"/>
      <c r="D149" s="37"/>
      <c r="E149" s="37"/>
      <c r="F149" s="37"/>
      <c r="G149" s="37"/>
      <c r="H149" s="39"/>
      <c r="I149" s="39"/>
    </row>
    <row r="150">
      <c r="A150" s="37"/>
      <c r="B150" s="37"/>
      <c r="C150" s="37"/>
      <c r="D150" s="37"/>
      <c r="E150" s="37"/>
      <c r="F150" s="37"/>
      <c r="G150" s="37"/>
      <c r="H150" s="39"/>
      <c r="I150" s="39"/>
    </row>
    <row r="151">
      <c r="A151" s="37"/>
      <c r="B151" s="37"/>
      <c r="C151" s="37"/>
      <c r="D151" s="37"/>
      <c r="E151" s="37"/>
      <c r="F151" s="37"/>
      <c r="G151" s="37"/>
      <c r="H151" s="39"/>
      <c r="I151" s="39"/>
    </row>
    <row r="152">
      <c r="A152" s="37"/>
      <c r="B152" s="37"/>
      <c r="C152" s="37"/>
      <c r="D152" s="37"/>
      <c r="E152" s="37"/>
      <c r="F152" s="37"/>
      <c r="G152" s="37"/>
      <c r="H152" s="39"/>
      <c r="I152" s="39"/>
    </row>
    <row r="153">
      <c r="A153" s="37"/>
      <c r="B153" s="37"/>
      <c r="C153" s="37"/>
      <c r="D153" s="37"/>
      <c r="E153" s="37"/>
      <c r="F153" s="37"/>
      <c r="G153" s="37"/>
      <c r="H153" s="39"/>
      <c r="I153" s="39"/>
    </row>
    <row r="154">
      <c r="A154" s="37"/>
      <c r="B154" s="37"/>
      <c r="C154" s="37"/>
      <c r="D154" s="37"/>
      <c r="E154" s="37"/>
      <c r="F154" s="37"/>
      <c r="G154" s="37"/>
      <c r="H154" s="39"/>
      <c r="I154" s="39"/>
    </row>
    <row r="155">
      <c r="A155" s="37"/>
      <c r="B155" s="37"/>
      <c r="C155" s="37"/>
      <c r="D155" s="37"/>
      <c r="E155" s="37"/>
      <c r="F155" s="37"/>
      <c r="G155" s="37"/>
      <c r="H155" s="39"/>
      <c r="I155" s="39"/>
    </row>
    <row r="156">
      <c r="A156" s="37"/>
      <c r="B156" s="37"/>
      <c r="C156" s="37"/>
      <c r="D156" s="37"/>
      <c r="E156" s="37"/>
      <c r="F156" s="37"/>
      <c r="G156" s="37"/>
      <c r="H156" s="39"/>
      <c r="I156" s="39"/>
    </row>
    <row r="157">
      <c r="A157" s="37"/>
      <c r="B157" s="37"/>
      <c r="C157" s="37"/>
      <c r="D157" s="37"/>
      <c r="E157" s="37"/>
      <c r="F157" s="37"/>
      <c r="G157" s="37"/>
      <c r="H157" s="39"/>
      <c r="I157" s="39"/>
    </row>
    <row r="158">
      <c r="A158" s="37"/>
      <c r="B158" s="37"/>
      <c r="C158" s="37"/>
      <c r="D158" s="37"/>
      <c r="E158" s="37"/>
      <c r="F158" s="37"/>
      <c r="G158" s="37"/>
      <c r="H158" s="39"/>
      <c r="I158" s="39"/>
    </row>
    <row r="159">
      <c r="A159" s="37"/>
      <c r="B159" s="37"/>
      <c r="C159" s="37"/>
      <c r="D159" s="37"/>
      <c r="E159" s="37"/>
      <c r="F159" s="37"/>
      <c r="G159" s="37"/>
      <c r="H159" s="39"/>
      <c r="I159" s="39"/>
    </row>
    <row r="160">
      <c r="A160" s="37"/>
      <c r="B160" s="37"/>
      <c r="C160" s="37"/>
      <c r="D160" s="37"/>
      <c r="E160" s="37"/>
      <c r="F160" s="37"/>
      <c r="G160" s="37"/>
      <c r="H160" s="39"/>
      <c r="I160" s="39"/>
    </row>
    <row r="161">
      <c r="A161" s="37"/>
      <c r="B161" s="37"/>
      <c r="C161" s="37"/>
      <c r="D161" s="37"/>
      <c r="E161" s="37"/>
      <c r="F161" s="37"/>
      <c r="G161" s="37"/>
      <c r="H161" s="39"/>
      <c r="I161" s="39"/>
    </row>
    <row r="162">
      <c r="A162" s="37"/>
      <c r="B162" s="37"/>
      <c r="C162" s="37"/>
      <c r="D162" s="37"/>
      <c r="E162" s="37"/>
      <c r="F162" s="37"/>
      <c r="G162" s="37"/>
      <c r="H162" s="39"/>
      <c r="I162" s="39"/>
    </row>
    <row r="163">
      <c r="A163" s="37"/>
      <c r="B163" s="37"/>
      <c r="C163" s="37"/>
      <c r="D163" s="37"/>
      <c r="E163" s="37"/>
      <c r="F163" s="37"/>
      <c r="G163" s="37"/>
      <c r="H163" s="39"/>
      <c r="I163" s="39"/>
    </row>
    <row r="164">
      <c r="A164" s="37"/>
      <c r="B164" s="37"/>
      <c r="C164" s="37"/>
      <c r="D164" s="37"/>
      <c r="E164" s="37"/>
      <c r="F164" s="37"/>
      <c r="G164" s="37"/>
      <c r="H164" s="39"/>
      <c r="I164" s="39"/>
    </row>
    <row r="165">
      <c r="A165" s="37"/>
      <c r="B165" s="37"/>
      <c r="C165" s="37"/>
      <c r="D165" s="37"/>
      <c r="E165" s="37"/>
      <c r="F165" s="37"/>
      <c r="G165" s="37"/>
      <c r="H165" s="39"/>
      <c r="I165" s="39"/>
    </row>
    <row r="166">
      <c r="A166" s="37"/>
      <c r="B166" s="37"/>
      <c r="C166" s="37"/>
      <c r="D166" s="37"/>
      <c r="E166" s="37"/>
      <c r="F166" s="37"/>
      <c r="G166" s="37"/>
      <c r="H166" s="39"/>
      <c r="I166" s="39"/>
    </row>
    <row r="167">
      <c r="A167" s="37"/>
      <c r="B167" s="37"/>
      <c r="C167" s="37"/>
      <c r="D167" s="37"/>
      <c r="E167" s="37"/>
      <c r="F167" s="37"/>
      <c r="G167" s="37"/>
      <c r="H167" s="39"/>
      <c r="I167" s="39"/>
    </row>
    <row r="168">
      <c r="A168" s="37"/>
      <c r="B168" s="37"/>
      <c r="C168" s="37"/>
      <c r="D168" s="37"/>
      <c r="E168" s="37"/>
      <c r="F168" s="37"/>
      <c r="G168" s="37"/>
      <c r="H168" s="39"/>
      <c r="I168" s="39"/>
    </row>
    <row r="169">
      <c r="A169" s="37"/>
      <c r="B169" s="37"/>
      <c r="C169" s="37"/>
      <c r="D169" s="37"/>
      <c r="E169" s="37"/>
      <c r="F169" s="37"/>
      <c r="G169" s="37"/>
      <c r="H169" s="39"/>
      <c r="I169" s="39"/>
    </row>
    <row r="170">
      <c r="A170" s="37"/>
      <c r="B170" s="37"/>
      <c r="C170" s="37"/>
      <c r="D170" s="37"/>
      <c r="E170" s="37"/>
      <c r="F170" s="37"/>
      <c r="G170" s="37"/>
      <c r="H170" s="39"/>
      <c r="I170" s="39"/>
    </row>
    <row r="171">
      <c r="A171" s="37"/>
      <c r="B171" s="37"/>
      <c r="C171" s="37"/>
      <c r="D171" s="37"/>
      <c r="E171" s="37"/>
      <c r="F171" s="37"/>
      <c r="G171" s="37"/>
      <c r="H171" s="39"/>
      <c r="I171" s="39"/>
    </row>
    <row r="172">
      <c r="A172" s="37"/>
      <c r="B172" s="37"/>
      <c r="C172" s="37"/>
      <c r="D172" s="37"/>
      <c r="E172" s="37"/>
      <c r="F172" s="37"/>
      <c r="G172" s="37"/>
      <c r="H172" s="39"/>
      <c r="I172" s="39"/>
    </row>
    <row r="173">
      <c r="A173" s="37"/>
      <c r="B173" s="37"/>
      <c r="C173" s="37"/>
      <c r="D173" s="37"/>
      <c r="E173" s="37"/>
      <c r="F173" s="37"/>
      <c r="G173" s="37"/>
      <c r="H173" s="39"/>
      <c r="I173" s="39"/>
    </row>
    <row r="174">
      <c r="A174" s="37"/>
      <c r="B174" s="37"/>
      <c r="C174" s="37"/>
      <c r="D174" s="37"/>
      <c r="E174" s="37"/>
      <c r="F174" s="37"/>
      <c r="G174" s="37"/>
      <c r="H174" s="39"/>
      <c r="I174" s="39"/>
    </row>
    <row r="175">
      <c r="A175" s="37"/>
      <c r="B175" s="37"/>
      <c r="C175" s="37"/>
      <c r="D175" s="37"/>
      <c r="E175" s="37"/>
      <c r="F175" s="37"/>
      <c r="G175" s="37"/>
      <c r="H175" s="39"/>
      <c r="I175" s="39"/>
    </row>
    <row r="176">
      <c r="A176" s="37"/>
      <c r="B176" s="37"/>
      <c r="C176" s="37"/>
      <c r="D176" s="37"/>
      <c r="E176" s="37"/>
      <c r="F176" s="37"/>
      <c r="G176" s="37"/>
      <c r="H176" s="39"/>
      <c r="I176" s="39"/>
    </row>
    <row r="177">
      <c r="A177" s="37"/>
      <c r="B177" s="37"/>
      <c r="C177" s="37"/>
      <c r="D177" s="37"/>
      <c r="E177" s="37"/>
      <c r="F177" s="37"/>
      <c r="G177" s="37"/>
      <c r="H177" s="39"/>
      <c r="I177" s="39"/>
    </row>
    <row r="178">
      <c r="A178" s="37"/>
      <c r="B178" s="37"/>
      <c r="C178" s="37"/>
      <c r="D178" s="37"/>
      <c r="E178" s="37"/>
      <c r="F178" s="37"/>
      <c r="G178" s="37"/>
      <c r="H178" s="39"/>
      <c r="I178" s="39"/>
    </row>
    <row r="179">
      <c r="A179" s="37"/>
      <c r="B179" s="37"/>
      <c r="C179" s="37"/>
      <c r="D179" s="37"/>
      <c r="E179" s="37"/>
      <c r="F179" s="37"/>
      <c r="G179" s="37"/>
      <c r="H179" s="39"/>
      <c r="I179" s="39"/>
    </row>
    <row r="180">
      <c r="A180" s="37"/>
      <c r="B180" s="37"/>
      <c r="C180" s="37"/>
      <c r="D180" s="37"/>
      <c r="E180" s="37"/>
      <c r="F180" s="37"/>
      <c r="G180" s="37"/>
      <c r="H180" s="39"/>
      <c r="I180" s="39"/>
    </row>
    <row r="181">
      <c r="A181" s="37"/>
      <c r="B181" s="37"/>
      <c r="C181" s="37"/>
      <c r="D181" s="37"/>
      <c r="E181" s="37"/>
      <c r="F181" s="37"/>
      <c r="G181" s="37"/>
      <c r="H181" s="39"/>
      <c r="I181" s="39"/>
    </row>
    <row r="182">
      <c r="A182" s="37"/>
      <c r="B182" s="37"/>
      <c r="C182" s="37"/>
      <c r="D182" s="37"/>
      <c r="E182" s="37"/>
      <c r="F182" s="37"/>
      <c r="G182" s="37"/>
      <c r="H182" s="39"/>
      <c r="I182" s="39"/>
    </row>
    <row r="183">
      <c r="A183" s="37"/>
      <c r="B183" s="37"/>
      <c r="C183" s="37"/>
      <c r="D183" s="37"/>
      <c r="E183" s="37"/>
      <c r="F183" s="37"/>
      <c r="G183" s="37"/>
      <c r="H183" s="39"/>
      <c r="I183" s="39"/>
    </row>
    <row r="184">
      <c r="A184" s="37"/>
      <c r="B184" s="37"/>
      <c r="C184" s="37"/>
      <c r="D184" s="37"/>
      <c r="E184" s="37"/>
      <c r="F184" s="37"/>
      <c r="G184" s="37"/>
      <c r="H184" s="39"/>
      <c r="I184" s="39"/>
    </row>
    <row r="185">
      <c r="A185" s="37"/>
      <c r="B185" s="37"/>
      <c r="C185" s="37"/>
      <c r="D185" s="37"/>
      <c r="E185" s="37"/>
      <c r="F185" s="37"/>
      <c r="G185" s="37"/>
      <c r="H185" s="39"/>
      <c r="I185" s="39"/>
    </row>
    <row r="186">
      <c r="A186" s="37"/>
      <c r="B186" s="37"/>
      <c r="C186" s="37"/>
      <c r="D186" s="37"/>
      <c r="E186" s="37"/>
      <c r="F186" s="37"/>
      <c r="G186" s="37"/>
      <c r="H186" s="39"/>
      <c r="I186" s="39"/>
    </row>
    <row r="187">
      <c r="A187" s="37"/>
      <c r="B187" s="37"/>
      <c r="C187" s="37"/>
      <c r="D187" s="37"/>
      <c r="E187" s="37"/>
      <c r="F187" s="37"/>
      <c r="G187" s="37"/>
      <c r="H187" s="39"/>
      <c r="I187" s="39"/>
    </row>
    <row r="188">
      <c r="A188" s="37"/>
      <c r="B188" s="37"/>
      <c r="C188" s="37"/>
      <c r="D188" s="37"/>
      <c r="E188" s="37"/>
      <c r="F188" s="37"/>
      <c r="G188" s="37"/>
      <c r="H188" s="39"/>
      <c r="I188" s="39"/>
    </row>
    <row r="189">
      <c r="A189" s="37"/>
      <c r="B189" s="37"/>
      <c r="C189" s="37"/>
      <c r="D189" s="37"/>
      <c r="E189" s="37"/>
      <c r="F189" s="37"/>
      <c r="G189" s="37"/>
      <c r="H189" s="39"/>
      <c r="I189" s="39"/>
    </row>
    <row r="190">
      <c r="A190" s="37"/>
      <c r="B190" s="37"/>
      <c r="C190" s="37"/>
      <c r="D190" s="37"/>
      <c r="E190" s="37"/>
      <c r="F190" s="37"/>
      <c r="G190" s="37"/>
      <c r="H190" s="39"/>
      <c r="I190" s="39"/>
    </row>
    <row r="191">
      <c r="A191" s="37"/>
      <c r="B191" s="37"/>
      <c r="C191" s="37"/>
      <c r="D191" s="37"/>
      <c r="E191" s="37"/>
      <c r="F191" s="37"/>
      <c r="G191" s="37"/>
      <c r="H191" s="39"/>
      <c r="I191" s="39"/>
    </row>
    <row r="192">
      <c r="A192" s="37"/>
      <c r="B192" s="37"/>
      <c r="C192" s="37"/>
      <c r="D192" s="37"/>
      <c r="E192" s="37"/>
      <c r="F192" s="37"/>
      <c r="G192" s="37"/>
      <c r="H192" s="39"/>
      <c r="I192" s="39"/>
    </row>
    <row r="193">
      <c r="A193" s="37"/>
      <c r="B193" s="37"/>
      <c r="C193" s="37"/>
      <c r="D193" s="37"/>
      <c r="E193" s="37"/>
      <c r="F193" s="37"/>
      <c r="G193" s="37"/>
      <c r="H193" s="39"/>
      <c r="I193" s="39"/>
    </row>
    <row r="194">
      <c r="A194" s="37"/>
      <c r="B194" s="37"/>
      <c r="C194" s="37"/>
      <c r="D194" s="37"/>
      <c r="E194" s="37"/>
      <c r="F194" s="37"/>
      <c r="G194" s="37"/>
      <c r="H194" s="39"/>
      <c r="I194" s="39"/>
    </row>
    <row r="195">
      <c r="A195" s="37"/>
      <c r="B195" s="37"/>
      <c r="C195" s="37"/>
      <c r="D195" s="37"/>
      <c r="E195" s="37"/>
      <c r="F195" s="37"/>
      <c r="G195" s="37"/>
      <c r="H195" s="39"/>
      <c r="I195" s="39"/>
    </row>
    <row r="196">
      <c r="A196" s="37"/>
      <c r="B196" s="37"/>
      <c r="C196" s="37"/>
      <c r="D196" s="37"/>
      <c r="E196" s="37"/>
      <c r="F196" s="37"/>
      <c r="G196" s="37"/>
      <c r="H196" s="39"/>
      <c r="I196" s="39"/>
    </row>
    <row r="197">
      <c r="A197" s="37"/>
      <c r="B197" s="37"/>
      <c r="C197" s="37"/>
      <c r="D197" s="37"/>
      <c r="E197" s="37"/>
      <c r="F197" s="37"/>
      <c r="G197" s="37"/>
      <c r="H197" s="39"/>
      <c r="I197" s="39"/>
    </row>
    <row r="198">
      <c r="A198" s="37"/>
      <c r="B198" s="37"/>
      <c r="C198" s="37"/>
      <c r="D198" s="37"/>
      <c r="E198" s="37"/>
      <c r="F198" s="37"/>
      <c r="G198" s="37"/>
      <c r="H198" s="39"/>
      <c r="I198" s="39"/>
    </row>
    <row r="199">
      <c r="A199" s="37"/>
      <c r="B199" s="37"/>
      <c r="C199" s="37"/>
      <c r="D199" s="37"/>
      <c r="E199" s="37"/>
      <c r="F199" s="37"/>
      <c r="G199" s="37"/>
      <c r="H199" s="39"/>
      <c r="I199" s="39"/>
    </row>
    <row r="200">
      <c r="A200" s="37"/>
      <c r="B200" s="37"/>
      <c r="C200" s="37"/>
      <c r="D200" s="37"/>
      <c r="E200" s="37"/>
      <c r="F200" s="37"/>
      <c r="G200" s="37"/>
      <c r="H200" s="39"/>
      <c r="I200" s="39"/>
    </row>
  </sheetData>
  <autoFilter ref="A1:I87"/>
  <mergeCells>
    <mergeCell ref="C92:H94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4" min="4" style="0" width="11.211267605633802"/>
    <col collapsed="false" customWidth="true" hidden="false" max="5" min="5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" min="1" style="0" width="11.211267605633802"/>
    <col collapsed="false" customWidth="true" hidden="false" max="2" min="2" style="0" width="11.211267605633802"/>
    <col collapsed="false" customWidth="true" hidden="false" max="3" min="3" style="0" width="11.211267605633802"/>
  </cols>
  <sheetData>
    <row r="1">
      <c r="A1" s="94" t="s">
        <v>77</v>
      </c>
      <c r="B1" s="94" t="s">
        <v>78</v>
      </c>
      <c r="C1" s="94" t="s">
        <v>79</v>
      </c>
      <c r="D1" s="94" t="s">
        <v>80</v>
      </c>
      <c r="E1" s="95" t="s">
        <v>81</v>
      </c>
      <c r="F1" s="95" t="s">
        <v>82</v>
      </c>
      <c r="G1" s="96" t="s">
        <v>83</v>
      </c>
      <c r="H1" s="95" t="s">
        <v>84</v>
      </c>
      <c r="I1" s="97" t="s">
        <v>85</v>
      </c>
      <c r="J1" s="98" t="s">
        <v>86</v>
      </c>
      <c r="K1" s="98" t="s">
        <v>87</v>
      </c>
      <c r="L1" s="98" t="s">
        <v>88</v>
      </c>
      <c r="M1" s="94" t="s">
        <v>89</v>
      </c>
      <c r="N1" s="99" t="s">
        <v>90</v>
      </c>
      <c r="O1" s="94" t="s">
        <v>91</v>
      </c>
      <c r="P1" s="100" t="s">
        <v>92</v>
      </c>
    </row>
    <row r="2">
      <c r="A2" s="101">
        <v>46266</v>
      </c>
      <c r="B2" s="102" t="s">
        <v>93</v>
      </c>
      <c r="C2" s="102" t="s">
        <v>94</v>
      </c>
      <c r="D2" s="102">
        <v>3</v>
      </c>
      <c r="E2" s="103">
        <v>1</v>
      </c>
      <c r="F2" s="103">
        <v>1</v>
      </c>
      <c r="G2" s="103">
        <v>1</v>
      </c>
      <c r="H2" s="104">
        <v>1430.7</v>
      </c>
      <c r="I2" s="105">
        <v>3771.09</v>
      </c>
      <c r="J2" s="106">
        <f t="shared" ref="J2:J105" si="2">H2/I2</f>
      </c>
      <c r="K2" s="106">
        <f t="shared" ref="K2:K105" si="0">H2/F2</f>
      </c>
      <c r="L2" s="106">
        <f t="shared" ref="L2:L105" si="3">I2/F2</f>
      </c>
      <c r="M2" s="103" t="s">
        <v>95</v>
      </c>
      <c r="N2" s="107">
        <v>5</v>
      </c>
      <c r="O2" s="103" t="s">
        <v>96</v>
      </c>
      <c r="P2" s="103">
        <f>N2</f>
      </c>
    </row>
    <row r="3">
      <c r="A3" s="101">
        <v>46266</v>
      </c>
      <c r="B3" s="102" t="s">
        <v>97</v>
      </c>
      <c r="C3" s="102" t="s">
        <v>98</v>
      </c>
      <c r="D3" s="102">
        <v>2</v>
      </c>
      <c r="E3" s="103">
        <v>0</v>
      </c>
      <c r="F3" s="103">
        <v>0</v>
      </c>
      <c r="G3" s="103">
        <v>0</v>
      </c>
      <c r="H3" s="104">
        <v>0</v>
      </c>
      <c r="I3" s="105">
        <v>1228.88</v>
      </c>
      <c r="J3" s="106">
        <f t="shared" si="2"/>
      </c>
      <c r="K3" s="106">
        <f t="shared" si="0"/>
      </c>
      <c r="L3" s="106">
        <f t="shared" si="3"/>
      </c>
      <c r="M3" s="103"/>
      <c r="N3" s="107"/>
      <c r="O3" s="103"/>
      <c r="P3" s="103"/>
    </row>
    <row r="4">
      <c r="A4" s="108">
        <v>46266</v>
      </c>
      <c r="B4" s="109" t="s">
        <v>99</v>
      </c>
      <c r="C4" s="110"/>
      <c r="D4" s="111">
        <f>SUM(D2:D3)</f>
      </c>
      <c r="E4" s="111">
        <f>SUM(E2:E3)</f>
      </c>
      <c r="F4" s="111">
        <f>SUM(F2:F3)</f>
      </c>
      <c r="G4" s="111">
        <f>SUM(G2:G3)</f>
      </c>
      <c r="H4" s="112">
        <f>SUM(H2:H3)</f>
      </c>
      <c r="I4" s="112">
        <f>SUM(I2:I3)</f>
      </c>
      <c r="J4" s="113">
        <f t="shared" si="2"/>
      </c>
      <c r="K4" s="113">
        <f t="shared" si="0"/>
      </c>
      <c r="L4" s="113">
        <f t="shared" si="3"/>
      </c>
      <c r="M4" s="109"/>
      <c r="N4" s="111">
        <f>SUM(N2:N3)</f>
      </c>
      <c r="O4" s="109"/>
      <c r="P4" s="109"/>
    </row>
    <row r="5">
      <c r="A5" s="101">
        <v>46268</v>
      </c>
      <c r="B5" s="102" t="s">
        <v>97</v>
      </c>
      <c r="C5" s="102" t="s">
        <v>94</v>
      </c>
      <c r="D5" s="102">
        <v>3</v>
      </c>
      <c r="E5" s="103">
        <v>0</v>
      </c>
      <c r="F5" s="103">
        <v>0</v>
      </c>
      <c r="G5" s="103">
        <v>0</v>
      </c>
      <c r="H5" s="104">
        <v>0</v>
      </c>
      <c r="I5" s="105">
        <v>2101.62</v>
      </c>
      <c r="J5" s="106">
        <f t="shared" si="2"/>
      </c>
      <c r="K5" s="106">
        <f t="shared" si="0"/>
      </c>
      <c r="L5" s="106">
        <f t="shared" si="3"/>
      </c>
      <c r="M5" s="103" t="s">
        <v>100</v>
      </c>
      <c r="N5" s="107">
        <v>5</v>
      </c>
      <c r="O5" s="103" t="s">
        <v>96</v>
      </c>
      <c r="P5" s="103">
        <f>N5</f>
      </c>
    </row>
    <row r="6">
      <c r="A6" s="101">
        <v>46268</v>
      </c>
      <c r="B6" s="102" t="s">
        <v>93</v>
      </c>
      <c r="C6" s="102" t="s">
        <v>98</v>
      </c>
      <c r="D6" s="102">
        <v>2</v>
      </c>
      <c r="E6" s="103">
        <v>9</v>
      </c>
      <c r="F6" s="103">
        <v>6</v>
      </c>
      <c r="G6" s="103">
        <v>2</v>
      </c>
      <c r="H6" s="104">
        <v>12875.03</v>
      </c>
      <c r="I6" s="105">
        <v>2999.6400000000003</v>
      </c>
      <c r="J6" s="106">
        <f t="shared" si="2"/>
      </c>
      <c r="K6" s="106">
        <f t="shared" si="0"/>
      </c>
      <c r="L6" s="106">
        <f t="shared" si="3"/>
      </c>
      <c r="M6" s="103"/>
      <c r="N6" s="107"/>
      <c r="O6" s="103"/>
      <c r="P6" s="103"/>
    </row>
    <row r="7">
      <c r="A7" s="108">
        <v>46268</v>
      </c>
      <c r="B7" s="109" t="s">
        <v>99</v>
      </c>
      <c r="C7" s="110"/>
      <c r="D7" s="111">
        <f>SUM(D5:D6)</f>
      </c>
      <c r="E7" s="111">
        <f>SUM(E5:E6)</f>
      </c>
      <c r="F7" s="111">
        <f>SUM(F5:F6)</f>
      </c>
      <c r="G7" s="111">
        <f>SUM(G5:G6)</f>
      </c>
      <c r="H7" s="112">
        <f>SUM(H5:H6)</f>
      </c>
      <c r="I7" s="112">
        <f>SUM(I5:I6)</f>
      </c>
      <c r="J7" s="113">
        <f t="shared" si="2"/>
      </c>
      <c r="K7" s="113">
        <f t="shared" si="0"/>
      </c>
      <c r="L7" s="113">
        <f t="shared" si="3"/>
      </c>
      <c r="M7" s="109"/>
      <c r="N7" s="111">
        <f>SUM(N5:N6)</f>
      </c>
      <c r="O7" s="109"/>
      <c r="P7" s="109"/>
    </row>
    <row r="8">
      <c r="A8" s="101">
        <v>46269</v>
      </c>
      <c r="B8" s="102" t="s">
        <v>93</v>
      </c>
      <c r="C8" s="102" t="s">
        <v>94</v>
      </c>
      <c r="D8" s="102">
        <v>3</v>
      </c>
      <c r="E8" s="103">
        <v>2</v>
      </c>
      <c r="F8" s="103">
        <v>1</v>
      </c>
      <c r="G8" s="103">
        <v>1</v>
      </c>
      <c r="H8" s="104">
        <v>2740.89</v>
      </c>
      <c r="I8" s="105">
        <v>2565.0299999999997</v>
      </c>
      <c r="J8" s="106">
        <f t="shared" si="2"/>
      </c>
      <c r="K8" s="106">
        <f t="shared" si="0"/>
      </c>
      <c r="L8" s="106">
        <f t="shared" si="3"/>
      </c>
      <c r="M8" s="103" t="s">
        <v>100</v>
      </c>
      <c r="N8" s="107">
        <f>D10</f>
      </c>
      <c r="O8" s="103" t="s">
        <v>96</v>
      </c>
      <c r="P8" s="103">
        <f>N8</f>
      </c>
    </row>
    <row r="9">
      <c r="A9" s="101">
        <v>46269</v>
      </c>
      <c r="B9" s="102" t="s">
        <v>97</v>
      </c>
      <c r="C9" s="102" t="s">
        <v>98</v>
      </c>
      <c r="D9" s="102">
        <v>2</v>
      </c>
      <c r="E9" s="103">
        <v>0</v>
      </c>
      <c r="F9" s="103">
        <v>0</v>
      </c>
      <c r="G9" s="103">
        <v>0</v>
      </c>
      <c r="H9" s="104">
        <v>0</v>
      </c>
      <c r="I9" s="105">
        <v>3413.15</v>
      </c>
      <c r="J9" s="106">
        <f t="shared" si="2"/>
      </c>
      <c r="K9" s="106">
        <f t="shared" si="0"/>
      </c>
      <c r="L9" s="106">
        <f t="shared" si="3"/>
      </c>
      <c r="M9" s="103"/>
      <c r="N9" s="107"/>
      <c r="O9" s="103"/>
      <c r="P9" s="103"/>
    </row>
    <row r="10">
      <c r="A10" s="108">
        <v>46269</v>
      </c>
      <c r="B10" s="109" t="s">
        <v>99</v>
      </c>
      <c r="C10" s="110"/>
      <c r="D10" s="111">
        <f>SUM(D8:D9)</f>
      </c>
      <c r="E10" s="111">
        <f>SUM(E8:E9)</f>
      </c>
      <c r="F10" s="111">
        <f>SUM(F8:F9)</f>
      </c>
      <c r="G10" s="111">
        <f>SUM(G8:G9)</f>
      </c>
      <c r="H10" s="112">
        <f>SUM(H8:H9)</f>
      </c>
      <c r="I10" s="112">
        <f>SUM(I8:I9)</f>
      </c>
      <c r="J10" s="113">
        <f t="shared" si="2"/>
      </c>
      <c r="K10" s="113">
        <f t="shared" si="0"/>
      </c>
      <c r="L10" s="113">
        <f t="shared" si="3"/>
      </c>
      <c r="M10" s="109"/>
      <c r="N10" s="111">
        <f>SUM(N8:N9)</f>
      </c>
      <c r="O10" s="109"/>
      <c r="P10" s="109"/>
    </row>
    <row r="11">
      <c r="A11" s="101">
        <v>46270</v>
      </c>
      <c r="B11" s="102" t="s">
        <v>97</v>
      </c>
      <c r="C11" s="102" t="s">
        <v>94</v>
      </c>
      <c r="D11" s="102">
        <v>3</v>
      </c>
      <c r="E11" s="103">
        <v>4</v>
      </c>
      <c r="F11" s="103">
        <v>4</v>
      </c>
      <c r="G11" s="103">
        <v>4</v>
      </c>
      <c r="H11" s="104">
        <v>7413.8</v>
      </c>
      <c r="I11" s="105">
        <v>3630.71</v>
      </c>
      <c r="J11" s="106">
        <f t="shared" si="2"/>
      </c>
      <c r="K11" s="106">
        <f t="shared" si="0"/>
      </c>
      <c r="L11" s="106">
        <f t="shared" si="3"/>
      </c>
      <c r="M11" s="103" t="s">
        <v>100</v>
      </c>
      <c r="N11" s="107">
        <f>D13</f>
      </c>
      <c r="O11" s="103" t="s">
        <v>96</v>
      </c>
      <c r="P11" s="103">
        <f>N11</f>
      </c>
    </row>
    <row r="12">
      <c r="A12" s="101">
        <v>46270</v>
      </c>
      <c r="B12" s="102" t="s">
        <v>93</v>
      </c>
      <c r="C12" s="102" t="s">
        <v>101</v>
      </c>
      <c r="D12" s="102">
        <v>3</v>
      </c>
      <c r="E12" s="103">
        <v>8</v>
      </c>
      <c r="F12" s="103">
        <v>7</v>
      </c>
      <c r="G12" s="103">
        <v>7</v>
      </c>
      <c r="H12" s="104">
        <v>13782.739999999998</v>
      </c>
      <c r="I12" s="105">
        <v>11231.14</v>
      </c>
      <c r="J12" s="106">
        <f t="shared" si="2"/>
      </c>
      <c r="K12" s="106">
        <f t="shared" si="0"/>
      </c>
      <c r="L12" s="106">
        <f t="shared" si="3"/>
      </c>
      <c r="M12" s="103"/>
      <c r="N12" s="107"/>
      <c r="O12" s="103"/>
      <c r="P12" s="103"/>
    </row>
    <row r="13">
      <c r="A13" s="108">
        <v>46270</v>
      </c>
      <c r="B13" s="109" t="s">
        <v>99</v>
      </c>
      <c r="C13" s="110"/>
      <c r="D13" s="111">
        <f>SUM(D11:D12)</f>
      </c>
      <c r="E13" s="111">
        <f>SUM(E11:E12)</f>
      </c>
      <c r="F13" s="111">
        <f>SUM(F11:F12)</f>
      </c>
      <c r="G13" s="111">
        <f>SUM(G11:G12)</f>
      </c>
      <c r="H13" s="112">
        <f>SUM(H11:H12)</f>
      </c>
      <c r="I13" s="112">
        <f>SUM(I11:I12)</f>
      </c>
      <c r="J13" s="113">
        <f t="shared" si="2"/>
      </c>
      <c r="K13" s="113">
        <f t="shared" si="0"/>
      </c>
      <c r="L13" s="113">
        <f t="shared" si="3"/>
      </c>
      <c r="M13" s="109"/>
      <c r="N13" s="111">
        <f>SUM(N11:N12)</f>
      </c>
      <c r="O13" s="109"/>
      <c r="P13" s="109"/>
    </row>
    <row r="14">
      <c r="A14" s="101">
        <v>46271</v>
      </c>
      <c r="B14" s="102" t="s">
        <v>97</v>
      </c>
      <c r="C14" s="102" t="s">
        <v>94</v>
      </c>
      <c r="D14" s="102">
        <v>3</v>
      </c>
      <c r="E14" s="103">
        <v>3</v>
      </c>
      <c r="F14" s="103">
        <v>2</v>
      </c>
      <c r="G14" s="103">
        <v>2</v>
      </c>
      <c r="H14" s="104">
        <v>4503.33</v>
      </c>
      <c r="I14" s="105">
        <v>7194.83</v>
      </c>
      <c r="J14" s="106">
        <f t="shared" si="2"/>
      </c>
      <c r="K14" s="106">
        <f t="shared" si="0"/>
      </c>
      <c r="L14" s="106">
        <f t="shared" si="3"/>
      </c>
      <c r="M14" s="103" t="s">
        <v>100</v>
      </c>
      <c r="N14" s="107">
        <f>D16</f>
      </c>
      <c r="O14" s="103" t="s">
        <v>96</v>
      </c>
      <c r="P14" s="103">
        <f>N14</f>
      </c>
    </row>
    <row r="15">
      <c r="A15" s="101">
        <v>46271</v>
      </c>
      <c r="B15" s="102" t="s">
        <v>102</v>
      </c>
      <c r="C15" s="102" t="s">
        <v>101</v>
      </c>
      <c r="D15" s="102">
        <v>3</v>
      </c>
      <c r="E15" s="103">
        <v>10</v>
      </c>
      <c r="F15" s="103">
        <v>8</v>
      </c>
      <c r="G15" s="103">
        <v>7</v>
      </c>
      <c r="H15" s="104">
        <v>17778.39</v>
      </c>
      <c r="I15" s="105">
        <v>8775.619999999999</v>
      </c>
      <c r="J15" s="106">
        <f t="shared" si="2"/>
      </c>
      <c r="K15" s="106">
        <f t="shared" si="0"/>
      </c>
      <c r="L15" s="106">
        <f t="shared" si="3"/>
      </c>
      <c r="M15" s="103"/>
      <c r="N15" s="107"/>
      <c r="O15" s="103"/>
      <c r="P15" s="103"/>
    </row>
    <row r="16">
      <c r="A16" s="108">
        <v>46271</v>
      </c>
      <c r="B16" s="109" t="s">
        <v>99</v>
      </c>
      <c r="C16" s="110"/>
      <c r="D16" s="111">
        <f>SUM(D14:D15)</f>
      </c>
      <c r="E16" s="111">
        <f>SUM(E14:E15)</f>
      </c>
      <c r="F16" s="111">
        <f>SUM(F14:F15)</f>
      </c>
      <c r="G16" s="111">
        <f>SUM(G14:G15)</f>
      </c>
      <c r="H16" s="112">
        <f>SUM(H14:H15)</f>
      </c>
      <c r="I16" s="112">
        <f>SUM(I14:I15)</f>
      </c>
      <c r="J16" s="113">
        <f t="shared" si="2"/>
      </c>
      <c r="K16" s="113">
        <f t="shared" si="0"/>
      </c>
      <c r="L16" s="113">
        <f t="shared" si="3"/>
      </c>
      <c r="M16" s="109"/>
      <c r="N16" s="111">
        <f>SUM(N14:N15)</f>
      </c>
      <c r="O16" s="109"/>
      <c r="P16" s="109"/>
    </row>
    <row r="17">
      <c r="A17" s="101">
        <v>46272</v>
      </c>
      <c r="B17" s="102" t="s">
        <v>102</v>
      </c>
      <c r="C17" s="102" t="s">
        <v>94</v>
      </c>
      <c r="D17" s="102">
        <v>3</v>
      </c>
      <c r="E17" s="103">
        <v>4</v>
      </c>
      <c r="F17" s="103">
        <v>3</v>
      </c>
      <c r="G17" s="103">
        <v>2</v>
      </c>
      <c r="H17" s="104">
        <v>4344.450000000001</v>
      </c>
      <c r="I17" s="105">
        <v>7241.220000000001</v>
      </c>
      <c r="J17" s="106">
        <f t="shared" si="2"/>
      </c>
      <c r="K17" s="106">
        <f t="shared" si="0"/>
      </c>
      <c r="L17" s="106">
        <f t="shared" si="3"/>
      </c>
      <c r="M17" s="103" t="s">
        <v>103</v>
      </c>
      <c r="N17" s="107">
        <f>D19</f>
      </c>
      <c r="O17" s="103" t="s">
        <v>96</v>
      </c>
      <c r="P17" s="103">
        <f>N17</f>
      </c>
    </row>
    <row r="18">
      <c r="A18" s="101">
        <v>46272</v>
      </c>
      <c r="B18" s="102" t="s">
        <v>93</v>
      </c>
      <c r="C18" s="102" t="s">
        <v>98</v>
      </c>
      <c r="D18" s="102">
        <v>2</v>
      </c>
      <c r="E18" s="103">
        <v>15</v>
      </c>
      <c r="F18" s="103">
        <v>13</v>
      </c>
      <c r="G18" s="103">
        <v>10</v>
      </c>
      <c r="H18" s="104">
        <v>24355.35</v>
      </c>
      <c r="I18" s="105">
        <v>8527.33</v>
      </c>
      <c r="J18" s="106">
        <f t="shared" si="2"/>
      </c>
      <c r="K18" s="106">
        <f t="shared" si="0"/>
      </c>
      <c r="L18" s="106">
        <f t="shared" si="3"/>
      </c>
      <c r="M18" s="103"/>
      <c r="N18" s="107"/>
      <c r="O18" s="103"/>
      <c r="P18" s="103"/>
    </row>
    <row r="19">
      <c r="A19" s="108">
        <v>46272</v>
      </c>
      <c r="B19" s="109" t="s">
        <v>99</v>
      </c>
      <c r="C19" s="110"/>
      <c r="D19" s="111">
        <f>SUM(D17:D18)</f>
      </c>
      <c r="E19" s="111">
        <f>SUM(E17:E18)</f>
      </c>
      <c r="F19" s="111">
        <f>SUM(F17:F18)</f>
      </c>
      <c r="G19" s="111">
        <f>SUM(G17:G18)</f>
      </c>
      <c r="H19" s="112">
        <f>SUM(H17:H18)</f>
      </c>
      <c r="I19" s="112">
        <f>SUM(I17:I18)</f>
      </c>
      <c r="J19" s="113">
        <f t="shared" si="2"/>
      </c>
      <c r="K19" s="113">
        <f t="shared" si="0"/>
      </c>
      <c r="L19" s="113">
        <f t="shared" si="3"/>
      </c>
      <c r="M19" s="109"/>
      <c r="N19" s="111">
        <f>SUM(N17:N18)</f>
      </c>
      <c r="O19" s="109"/>
      <c r="P19" s="109"/>
    </row>
    <row r="20">
      <c r="A20" s="101">
        <v>46273</v>
      </c>
      <c r="B20" s="102" t="s">
        <v>93</v>
      </c>
      <c r="C20" s="102" t="s">
        <v>94</v>
      </c>
      <c r="D20" s="102">
        <v>3</v>
      </c>
      <c r="E20" s="103">
        <v>20</v>
      </c>
      <c r="F20" s="103">
        <v>18</v>
      </c>
      <c r="G20" s="103">
        <v>10</v>
      </c>
      <c r="H20" s="104">
        <v>56616.81</v>
      </c>
      <c r="I20" s="105">
        <v>19542.27</v>
      </c>
      <c r="J20" s="106">
        <f t="shared" si="2"/>
      </c>
      <c r="K20" s="106">
        <f t="shared" si="0"/>
      </c>
      <c r="L20" s="106">
        <f t="shared" si="3"/>
      </c>
      <c r="M20" s="103" t="s">
        <v>103</v>
      </c>
      <c r="N20" s="107">
        <f>D22</f>
      </c>
      <c r="O20" s="103" t="s">
        <v>96</v>
      </c>
      <c r="P20" s="103">
        <f>N20</f>
      </c>
    </row>
    <row r="21">
      <c r="A21" s="101">
        <v>46273</v>
      </c>
      <c r="B21" s="102" t="s">
        <v>97</v>
      </c>
      <c r="C21" s="102" t="s">
        <v>98</v>
      </c>
      <c r="D21" s="102">
        <v>2</v>
      </c>
      <c r="E21" s="103">
        <v>8</v>
      </c>
      <c r="F21" s="103">
        <v>5</v>
      </c>
      <c r="G21" s="103">
        <v>4</v>
      </c>
      <c r="H21" s="104">
        <v>13677.75</v>
      </c>
      <c r="I21" s="105">
        <v>6669.92</v>
      </c>
      <c r="J21" s="106">
        <f t="shared" si="2"/>
      </c>
      <c r="K21" s="106">
        <f t="shared" si="0"/>
      </c>
      <c r="L21" s="106">
        <f t="shared" si="3"/>
      </c>
      <c r="M21" s="103"/>
      <c r="N21" s="107"/>
      <c r="O21" s="103"/>
      <c r="P21" s="103"/>
    </row>
    <row r="22">
      <c r="A22" s="108">
        <v>46273</v>
      </c>
      <c r="B22" s="109" t="s">
        <v>99</v>
      </c>
      <c r="C22" s="110"/>
      <c r="D22" s="111">
        <f>SUM(D20:D21)</f>
      </c>
      <c r="E22" s="111">
        <f>SUM(E20:E21)</f>
      </c>
      <c r="F22" s="111">
        <f>SUM(F20:F21)</f>
      </c>
      <c r="G22" s="111">
        <f>SUM(G20:G21)</f>
      </c>
      <c r="H22" s="112">
        <f>SUM(H20:H21)</f>
      </c>
      <c r="I22" s="112">
        <f>SUM(I20:I21)</f>
      </c>
      <c r="J22" s="113">
        <f t="shared" si="2"/>
      </c>
      <c r="K22" s="113">
        <f t="shared" si="0"/>
      </c>
      <c r="L22" s="113">
        <f t="shared" si="3"/>
      </c>
      <c r="M22" s="109"/>
      <c r="N22" s="111">
        <f>SUM(N20:N21)</f>
      </c>
      <c r="O22" s="109"/>
      <c r="P22" s="109"/>
    </row>
    <row r="23">
      <c r="A23" s="101">
        <v>46274</v>
      </c>
      <c r="B23" s="102" t="s">
        <v>97</v>
      </c>
      <c r="C23" s="102" t="s">
        <v>94</v>
      </c>
      <c r="D23" s="102">
        <v>3</v>
      </c>
      <c r="E23" s="103">
        <v>10</v>
      </c>
      <c r="F23" s="103">
        <v>7</v>
      </c>
      <c r="G23" s="103">
        <v>7</v>
      </c>
      <c r="H23" s="104">
        <v>12824.890000000001</v>
      </c>
      <c r="I23" s="105">
        <v>10933.419999999998</v>
      </c>
      <c r="J23" s="106">
        <f t="shared" si="2"/>
      </c>
      <c r="K23" s="106">
        <f t="shared" si="0"/>
      </c>
      <c r="L23" s="106">
        <f t="shared" si="3"/>
      </c>
      <c r="M23" s="103" t="s">
        <v>103</v>
      </c>
      <c r="N23" s="107">
        <f>D25</f>
      </c>
      <c r="O23" s="103" t="s">
        <v>96</v>
      </c>
      <c r="P23" s="103">
        <f>N23</f>
      </c>
    </row>
    <row r="24">
      <c r="A24" s="101">
        <v>46274</v>
      </c>
      <c r="B24" s="102" t="s">
        <v>93</v>
      </c>
      <c r="C24" s="102" t="s">
        <v>101</v>
      </c>
      <c r="D24" s="102">
        <v>3</v>
      </c>
      <c r="E24" s="103">
        <v>23</v>
      </c>
      <c r="F24" s="103">
        <v>20</v>
      </c>
      <c r="G24" s="103">
        <v>12</v>
      </c>
      <c r="H24" s="104">
        <v>51897.979999999996</v>
      </c>
      <c r="I24" s="105">
        <v>22145.11</v>
      </c>
      <c r="J24" s="106">
        <f t="shared" si="2"/>
      </c>
      <c r="K24" s="106">
        <f t="shared" si="0"/>
      </c>
      <c r="L24" s="106">
        <f t="shared" si="3"/>
      </c>
      <c r="M24" s="103"/>
      <c r="N24" s="107"/>
      <c r="O24" s="103"/>
      <c r="P24" s="103"/>
    </row>
    <row r="25">
      <c r="A25" s="108">
        <v>46274</v>
      </c>
      <c r="B25" s="109" t="s">
        <v>99</v>
      </c>
      <c r="C25" s="110"/>
      <c r="D25" s="111">
        <f>SUM(D23:D24)</f>
      </c>
      <c r="E25" s="111">
        <f>SUM(E23:E24)</f>
      </c>
      <c r="F25" s="111">
        <f>SUM(F23:F24)</f>
      </c>
      <c r="G25" s="111">
        <f>SUM(G23:G24)</f>
      </c>
      <c r="H25" s="112">
        <f>SUM(H23:H24)</f>
      </c>
      <c r="I25" s="112">
        <f>SUM(I23:I24)</f>
      </c>
      <c r="J25" s="113">
        <f t="shared" si="2"/>
      </c>
      <c r="K25" s="113">
        <f t="shared" si="0"/>
      </c>
      <c r="L25" s="113">
        <f t="shared" si="3"/>
      </c>
      <c r="M25" s="109"/>
      <c r="N25" s="111">
        <f>SUM(N23:N24)</f>
      </c>
      <c r="O25" s="109"/>
      <c r="P25" s="109"/>
    </row>
    <row r="26">
      <c r="A26" s="101">
        <v>46275</v>
      </c>
      <c r="B26" s="102" t="s">
        <v>97</v>
      </c>
      <c r="C26" s="102" t="s">
        <v>94</v>
      </c>
      <c r="D26" s="102">
        <v>3</v>
      </c>
      <c r="E26" s="103">
        <v>11</v>
      </c>
      <c r="F26" s="103">
        <v>10</v>
      </c>
      <c r="G26" s="103">
        <v>10</v>
      </c>
      <c r="H26" s="104">
        <v>40286.340000000004</v>
      </c>
      <c r="I26" s="105">
        <v>15114.71</v>
      </c>
      <c r="J26" s="106">
        <f t="shared" si="2"/>
      </c>
      <c r="K26" s="106">
        <f t="shared" si="0"/>
      </c>
      <c r="L26" s="106">
        <f t="shared" si="3"/>
      </c>
      <c r="M26" s="103" t="s">
        <v>103</v>
      </c>
      <c r="N26" s="107">
        <f>D28</f>
      </c>
      <c r="O26" s="103" t="s">
        <v>96</v>
      </c>
      <c r="P26" s="103">
        <f>N26</f>
      </c>
    </row>
    <row r="27">
      <c r="A27" s="101">
        <v>46275</v>
      </c>
      <c r="B27" s="102" t="s">
        <v>102</v>
      </c>
      <c r="C27" s="102" t="s">
        <v>104</v>
      </c>
      <c r="D27" s="102">
        <v>4</v>
      </c>
      <c r="E27" s="103">
        <v>37</v>
      </c>
      <c r="F27" s="103">
        <v>30</v>
      </c>
      <c r="G27" s="103">
        <v>27</v>
      </c>
      <c r="H27" s="104">
        <v>84511.64</v>
      </c>
      <c r="I27" s="105">
        <v>42341.45</v>
      </c>
      <c r="J27" s="106">
        <f t="shared" si="2"/>
      </c>
      <c r="K27" s="106">
        <f t="shared" si="0"/>
      </c>
      <c r="L27" s="106">
        <f t="shared" si="3"/>
      </c>
      <c r="M27" s="103"/>
      <c r="N27" s="107"/>
      <c r="O27" s="103"/>
      <c r="P27" s="103"/>
    </row>
    <row r="28">
      <c r="A28" s="108">
        <v>46275</v>
      </c>
      <c r="B28" s="109" t="s">
        <v>99</v>
      </c>
      <c r="C28" s="110"/>
      <c r="D28" s="111">
        <f>SUM(D26:D27)</f>
      </c>
      <c r="E28" s="111">
        <f>SUM(E26:E27)</f>
      </c>
      <c r="F28" s="111">
        <f>SUM(F26:F27)</f>
      </c>
      <c r="G28" s="111">
        <f>SUM(G26:G27)</f>
      </c>
      <c r="H28" s="112">
        <f>SUM(H26:H27)</f>
      </c>
      <c r="I28" s="112">
        <f>SUM(I26:I27)</f>
      </c>
      <c r="J28" s="113">
        <f t="shared" si="2"/>
      </c>
      <c r="K28" s="113">
        <f t="shared" si="0"/>
      </c>
      <c r="L28" s="113">
        <f t="shared" si="3"/>
      </c>
      <c r="M28" s="109"/>
      <c r="N28" s="111">
        <f>SUM(N26:N27)</f>
      </c>
      <c r="O28" s="109"/>
      <c r="P28" s="109"/>
    </row>
    <row r="29">
      <c r="A29" s="101">
        <v>46276</v>
      </c>
      <c r="B29" s="102" t="s">
        <v>93</v>
      </c>
      <c r="C29" s="102" t="s">
        <v>105</v>
      </c>
      <c r="D29" s="102">
        <v>4</v>
      </c>
      <c r="E29" s="103">
        <v>29</v>
      </c>
      <c r="F29" s="103">
        <v>23</v>
      </c>
      <c r="G29" s="103">
        <v>19</v>
      </c>
      <c r="H29" s="104">
        <v>61242.020000000004</v>
      </c>
      <c r="I29" s="105">
        <v>26823.079999999998</v>
      </c>
      <c r="J29" s="106">
        <f t="shared" si="2"/>
      </c>
      <c r="K29" s="106">
        <f t="shared" si="0"/>
      </c>
      <c r="L29" s="106">
        <f t="shared" si="3"/>
      </c>
      <c r="M29" s="103" t="s">
        <v>103</v>
      </c>
      <c r="N29" s="107">
        <f>D31</f>
      </c>
      <c r="O29" s="103" t="s">
        <v>96</v>
      </c>
      <c r="P29" s="103">
        <f>N29</f>
      </c>
    </row>
    <row r="30">
      <c r="A30" s="101">
        <v>46276</v>
      </c>
      <c r="B30" s="102" t="s">
        <v>97</v>
      </c>
      <c r="C30" s="102" t="s">
        <v>106</v>
      </c>
      <c r="D30" s="102">
        <v>4</v>
      </c>
      <c r="E30" s="103">
        <v>21</v>
      </c>
      <c r="F30" s="103">
        <v>18</v>
      </c>
      <c r="G30" s="103">
        <v>17</v>
      </c>
      <c r="H30" s="104">
        <v>55648.810000000005</v>
      </c>
      <c r="I30" s="105">
        <v>31572.88</v>
      </c>
      <c r="J30" s="106">
        <f t="shared" si="2"/>
      </c>
      <c r="K30" s="106">
        <f t="shared" si="0"/>
      </c>
      <c r="L30" s="106">
        <f t="shared" si="3"/>
      </c>
      <c r="M30" s="103"/>
      <c r="N30" s="107"/>
      <c r="O30" s="103"/>
      <c r="P30" s="103"/>
    </row>
    <row r="31">
      <c r="A31" s="108">
        <v>46276</v>
      </c>
      <c r="B31" s="109" t="s">
        <v>99</v>
      </c>
      <c r="C31" s="110"/>
      <c r="D31" s="111">
        <f>SUM(D29:D30)</f>
      </c>
      <c r="E31" s="111">
        <f>SUM(E29:E30)</f>
      </c>
      <c r="F31" s="111">
        <f>SUM(F29:F30)</f>
      </c>
      <c r="G31" s="111">
        <f>SUM(G29:G30)</f>
      </c>
      <c r="H31" s="112">
        <f>SUM(H29:H30)</f>
      </c>
      <c r="I31" s="112">
        <f>SUM(I29:I30)</f>
      </c>
      <c r="J31" s="113">
        <f t="shared" si="2"/>
      </c>
      <c r="K31" s="113">
        <f t="shared" si="0"/>
      </c>
      <c r="L31" s="113">
        <f t="shared" si="3"/>
      </c>
      <c r="M31" s="109"/>
      <c r="N31" s="111">
        <f>SUM(N29:N30)</f>
      </c>
      <c r="O31" s="109"/>
      <c r="P31" s="109"/>
    </row>
    <row r="32">
      <c r="A32" s="101">
        <v>46277</v>
      </c>
      <c r="B32" s="102" t="s">
        <v>97</v>
      </c>
      <c r="C32" s="102" t="s">
        <v>105</v>
      </c>
      <c r="D32" s="102">
        <v>4</v>
      </c>
      <c r="E32" s="103">
        <v>17</v>
      </c>
      <c r="F32" s="103">
        <v>12</v>
      </c>
      <c r="G32" s="103">
        <v>9</v>
      </c>
      <c r="H32" s="104">
        <v>30270.479999999996</v>
      </c>
      <c r="I32" s="105">
        <v>21255.24</v>
      </c>
      <c r="J32" s="106">
        <f t="shared" si="2"/>
      </c>
      <c r="K32" s="106">
        <f t="shared" si="0"/>
      </c>
      <c r="L32" s="106">
        <f t="shared" si="3"/>
      </c>
      <c r="M32" s="103" t="s">
        <v>103</v>
      </c>
      <c r="N32" s="107">
        <f>D34</f>
      </c>
      <c r="O32" s="103" t="s">
        <v>96</v>
      </c>
      <c r="P32" s="103">
        <f>N32</f>
      </c>
    </row>
    <row r="33">
      <c r="A33" s="101">
        <v>46277</v>
      </c>
      <c r="B33" s="102" t="s">
        <v>102</v>
      </c>
      <c r="C33" s="102" t="s">
        <v>106</v>
      </c>
      <c r="D33" s="102">
        <v>4</v>
      </c>
      <c r="E33" s="103">
        <v>17</v>
      </c>
      <c r="F33" s="103">
        <v>14</v>
      </c>
      <c r="G33" s="103">
        <v>10</v>
      </c>
      <c r="H33" s="104">
        <v>62892.11</v>
      </c>
      <c r="I33" s="105">
        <v>22350.870000000003</v>
      </c>
      <c r="J33" s="106">
        <f t="shared" si="2"/>
      </c>
      <c r="K33" s="106">
        <f t="shared" si="0"/>
      </c>
      <c r="L33" s="106">
        <f t="shared" si="3"/>
      </c>
      <c r="M33" s="103"/>
      <c r="N33" s="107"/>
      <c r="O33" s="103"/>
      <c r="P33" s="103"/>
    </row>
    <row r="34">
      <c r="A34" s="108">
        <v>46277</v>
      </c>
      <c r="B34" s="109" t="s">
        <v>99</v>
      </c>
      <c r="C34" s="110"/>
      <c r="D34" s="111">
        <f>SUM(D32:D33)</f>
      </c>
      <c r="E34" s="111">
        <f>SUM(E32:E33)</f>
      </c>
      <c r="F34" s="111">
        <f>SUM(F32:F33)</f>
      </c>
      <c r="G34" s="111">
        <f>SUM(G32:G33)</f>
      </c>
      <c r="H34" s="112">
        <f>SUM(H32:H33)</f>
      </c>
      <c r="I34" s="112">
        <f>SUM(I32:I33)</f>
      </c>
      <c r="J34" s="113">
        <f t="shared" si="2"/>
      </c>
      <c r="K34" s="113">
        <f t="shared" si="0"/>
      </c>
      <c r="L34" s="113">
        <f t="shared" si="3"/>
      </c>
      <c r="M34" s="109"/>
      <c r="N34" s="111">
        <f>SUM(N32:N33)</f>
      </c>
      <c r="O34" s="109"/>
      <c r="P34" s="109"/>
    </row>
    <row r="35">
      <c r="A35" s="101">
        <v>46278</v>
      </c>
      <c r="B35" s="102" t="s">
        <v>93</v>
      </c>
      <c r="C35" s="102" t="s">
        <v>105</v>
      </c>
      <c r="D35" s="102">
        <v>4</v>
      </c>
      <c r="E35" s="103">
        <v>15</v>
      </c>
      <c r="F35" s="103">
        <v>11</v>
      </c>
      <c r="G35" s="103">
        <v>10</v>
      </c>
      <c r="H35" s="104">
        <v>25809.839999999997</v>
      </c>
      <c r="I35" s="105">
        <v>20438.29</v>
      </c>
      <c r="J35" s="106">
        <f t="shared" si="2"/>
      </c>
      <c r="K35" s="106">
        <f t="shared" si="0"/>
      </c>
      <c r="L35" s="106">
        <f t="shared" si="3"/>
      </c>
      <c r="M35" s="103" t="s">
        <v>103</v>
      </c>
      <c r="N35" s="107">
        <f>D37</f>
      </c>
      <c r="O35" s="103" t="s">
        <v>96</v>
      </c>
      <c r="P35" s="103">
        <f>N35</f>
      </c>
    </row>
    <row customHeight="true" ht="16.071428571428573" r="36">
      <c r="A36" s="101">
        <v>46278</v>
      </c>
      <c r="B36" s="102" t="s">
        <v>102</v>
      </c>
      <c r="C36" s="102" t="s">
        <v>106</v>
      </c>
      <c r="D36" s="102">
        <v>4</v>
      </c>
      <c r="E36" s="103">
        <v>28</v>
      </c>
      <c r="F36" s="103">
        <v>20</v>
      </c>
      <c r="G36" s="103">
        <v>16</v>
      </c>
      <c r="H36" s="104">
        <v>63677.979999999996</v>
      </c>
      <c r="I36" s="105">
        <v>23173.44</v>
      </c>
      <c r="J36" s="106">
        <f t="shared" si="2"/>
      </c>
      <c r="K36" s="106">
        <f t="shared" si="0"/>
      </c>
      <c r="L36" s="106">
        <f t="shared" si="3"/>
      </c>
      <c r="M36" s="103"/>
      <c r="N36" s="107"/>
      <c r="O36" s="103"/>
      <c r="P36" s="103"/>
    </row>
    <row customHeight="true" ht="16.071428571428573" r="37">
      <c r="A37" s="108">
        <v>46278</v>
      </c>
      <c r="B37" s="109" t="s">
        <v>99</v>
      </c>
      <c r="C37" s="110"/>
      <c r="D37" s="111">
        <f>SUM(D35:D36)</f>
      </c>
      <c r="E37" s="111">
        <f>SUM(E35:E36)</f>
      </c>
      <c r="F37" s="111">
        <f>SUM(F35:F36)</f>
      </c>
      <c r="G37" s="111">
        <f>SUM(G35:G36)</f>
      </c>
      <c r="H37" s="112">
        <f>SUM(H35:H36)</f>
      </c>
      <c r="I37" s="112">
        <f>SUM(I35:I36)</f>
      </c>
      <c r="J37" s="113">
        <f t="shared" si="2"/>
      </c>
      <c r="K37" s="113">
        <f t="shared" si="0"/>
      </c>
      <c r="L37" s="113">
        <f t="shared" si="3"/>
      </c>
      <c r="M37" s="109"/>
      <c r="N37" s="111">
        <f>SUM(N35:N36)</f>
      </c>
      <c r="O37" s="109"/>
      <c r="P37" s="109"/>
    </row>
    <row customHeight="true" ht="16.071428571428573" r="38">
      <c r="A38" s="101">
        <v>46279</v>
      </c>
      <c r="B38" s="102" t="s">
        <v>97</v>
      </c>
      <c r="C38" s="102" t="s">
        <v>105</v>
      </c>
      <c r="D38" s="102">
        <v>4</v>
      </c>
      <c r="E38" s="103">
        <v>30</v>
      </c>
      <c r="F38" s="103">
        <v>20</v>
      </c>
      <c r="G38" s="103">
        <v>18</v>
      </c>
      <c r="H38" s="104">
        <v>40844.5</v>
      </c>
      <c r="I38" s="105">
        <v>27719.72</v>
      </c>
      <c r="J38" s="106">
        <f t="shared" si="2"/>
      </c>
      <c r="K38" s="106">
        <f t="shared" si="0"/>
      </c>
      <c r="L38" s="106">
        <f t="shared" si="3"/>
      </c>
      <c r="M38" s="103" t="s">
        <v>107</v>
      </c>
      <c r="N38" s="107">
        <v>7</v>
      </c>
      <c r="O38" s="103" t="s">
        <v>96</v>
      </c>
      <c r="P38" s="103">
        <v>8</v>
      </c>
    </row>
    <row customHeight="true" ht="16.071428571428573" r="39">
      <c r="A39" s="101">
        <v>46279</v>
      </c>
      <c r="B39" s="102" t="s">
        <v>93</v>
      </c>
      <c r="C39" s="102" t="s">
        <v>108</v>
      </c>
      <c r="D39" s="102">
        <v>4</v>
      </c>
      <c r="E39" s="103">
        <v>17</v>
      </c>
      <c r="F39" s="103">
        <v>11</v>
      </c>
      <c r="G39" s="103">
        <v>10</v>
      </c>
      <c r="H39" s="104">
        <v>31275.529999999995</v>
      </c>
      <c r="I39" s="105">
        <v>23526.309999999998</v>
      </c>
      <c r="J39" s="106">
        <f t="shared" si="2"/>
      </c>
      <c r="K39" s="106">
        <f t="shared" si="0"/>
      </c>
      <c r="L39" s="106">
        <f t="shared" si="3"/>
      </c>
      <c r="M39" s="103" t="s">
        <v>109</v>
      </c>
      <c r="N39" s="107">
        <v>1</v>
      </c>
      <c r="O39" s="103"/>
      <c r="P39" s="103"/>
    </row>
    <row customHeight="true" ht="16.071428571428573" r="40">
      <c r="A40" s="108">
        <v>46279</v>
      </c>
      <c r="B40" s="109" t="s">
        <v>99</v>
      </c>
      <c r="C40" s="110"/>
      <c r="D40" s="111">
        <f>SUM(D38:D39)</f>
      </c>
      <c r="E40" s="111">
        <f>SUM(E38:E39)</f>
      </c>
      <c r="F40" s="111">
        <f>SUM(F38:F39)</f>
      </c>
      <c r="G40" s="111">
        <f>SUM(G38:G39)</f>
      </c>
      <c r="H40" s="112">
        <f>SUM(H38:H39)</f>
      </c>
      <c r="I40" s="112">
        <f>SUM(I38:I39)</f>
      </c>
      <c r="J40" s="113">
        <f t="shared" si="2"/>
      </c>
      <c r="K40" s="113">
        <f t="shared" si="0"/>
      </c>
      <c r="L40" s="113">
        <f t="shared" si="3"/>
      </c>
      <c r="M40" s="109"/>
      <c r="N40" s="111">
        <f>SUM(N38:N39)</f>
      </c>
      <c r="O40" s="109"/>
      <c r="P40" s="109"/>
    </row>
    <row customHeight="true" ht="16.071428571428573" r="41">
      <c r="A41" s="101">
        <v>46280</v>
      </c>
      <c r="B41" s="102" t="s">
        <v>93</v>
      </c>
      <c r="C41" s="102" t="s">
        <v>105</v>
      </c>
      <c r="D41" s="102">
        <v>4</v>
      </c>
      <c r="E41" s="103">
        <v>36</v>
      </c>
      <c r="F41" s="103">
        <v>28</v>
      </c>
      <c r="G41" s="103">
        <v>25</v>
      </c>
      <c r="H41" s="104">
        <v>50703.7</v>
      </c>
      <c r="I41" s="105">
        <v>32384.47</v>
      </c>
      <c r="J41" s="106">
        <f t="shared" si="2"/>
      </c>
      <c r="K41" s="106">
        <f t="shared" si="0"/>
      </c>
      <c r="L41" s="106">
        <f t="shared" si="3"/>
      </c>
      <c r="M41" s="103" t="s">
        <v>107</v>
      </c>
      <c r="N41" s="107">
        <v>4</v>
      </c>
      <c r="O41" s="103" t="s">
        <v>96</v>
      </c>
      <c r="P41" s="103">
        <v>8</v>
      </c>
    </row>
    <row customHeight="true" ht="16.071428571428573" r="42">
      <c r="A42" s="101">
        <v>46280</v>
      </c>
      <c r="B42" s="102" t="s">
        <v>97</v>
      </c>
      <c r="C42" s="102" t="s">
        <v>106</v>
      </c>
      <c r="D42" s="102">
        <v>4</v>
      </c>
      <c r="E42" s="103">
        <v>19</v>
      </c>
      <c r="F42" s="103">
        <v>15</v>
      </c>
      <c r="G42" s="103">
        <v>12</v>
      </c>
      <c r="H42" s="104">
        <v>57929.95999999999</v>
      </c>
      <c r="I42" s="105">
        <v>21608.68</v>
      </c>
      <c r="J42" s="106">
        <f t="shared" si="2"/>
      </c>
      <c r="K42" s="106">
        <f t="shared" si="0"/>
      </c>
      <c r="L42" s="106">
        <f t="shared" si="3"/>
      </c>
      <c r="M42" s="103" t="s">
        <v>110</v>
      </c>
      <c r="N42" s="107">
        <v>4</v>
      </c>
      <c r="O42" s="103"/>
      <c r="P42" s="103"/>
    </row>
    <row customHeight="true" ht="16.071428571428573" r="43">
      <c r="A43" s="108">
        <v>46280</v>
      </c>
      <c r="B43" s="109" t="s">
        <v>99</v>
      </c>
      <c r="C43" s="110"/>
      <c r="D43" s="111">
        <f>SUM(D41:D42)</f>
      </c>
      <c r="E43" s="111">
        <f>SUM(E41:E42)</f>
      </c>
      <c r="F43" s="111">
        <f>SUM(F41:F42)</f>
      </c>
      <c r="G43" s="111">
        <f>SUM(G41:G42)</f>
      </c>
      <c r="H43" s="112">
        <f>SUM(H41:H42)</f>
      </c>
      <c r="I43" s="112">
        <f>SUM(I41:I42)</f>
      </c>
      <c r="J43" s="113">
        <f t="shared" si="2"/>
      </c>
      <c r="K43" s="113">
        <f t="shared" si="0"/>
      </c>
      <c r="L43" s="113">
        <f t="shared" si="3"/>
      </c>
      <c r="M43" s="109"/>
      <c r="N43" s="111">
        <f>SUM(N41:N42)</f>
      </c>
      <c r="O43" s="109"/>
      <c r="P43" s="109"/>
    </row>
    <row customHeight="true" ht="16.071428571428573" r="44">
      <c r="A44" s="101">
        <v>46281</v>
      </c>
      <c r="B44" s="102" t="s">
        <v>102</v>
      </c>
      <c r="C44" s="102" t="s">
        <v>105</v>
      </c>
      <c r="D44" s="102">
        <v>4</v>
      </c>
      <c r="E44" s="103">
        <v>24</v>
      </c>
      <c r="F44" s="103">
        <v>16</v>
      </c>
      <c r="G44" s="103">
        <v>12</v>
      </c>
      <c r="H44" s="104">
        <v>44428.009999999995</v>
      </c>
      <c r="I44" s="105">
        <v>26681.85</v>
      </c>
      <c r="J44" s="106">
        <f t="shared" si="2"/>
      </c>
      <c r="K44" s="106">
        <f t="shared" si="0"/>
      </c>
      <c r="L44" s="106">
        <f t="shared" si="3"/>
      </c>
      <c r="M44" s="103" t="s">
        <v>103</v>
      </c>
      <c r="N44" s="107">
        <v>8</v>
      </c>
      <c r="O44" s="103" t="s">
        <v>96</v>
      </c>
      <c r="P44" s="103">
        <v>8</v>
      </c>
    </row>
    <row customHeight="true" ht="16.071428571428573" r="45">
      <c r="A45" s="101">
        <v>46281</v>
      </c>
      <c r="B45" s="102" t="s">
        <v>97</v>
      </c>
      <c r="C45" s="102" t="s">
        <v>106</v>
      </c>
      <c r="D45" s="102">
        <v>4</v>
      </c>
      <c r="E45" s="103">
        <v>13</v>
      </c>
      <c r="F45" s="103">
        <v>10</v>
      </c>
      <c r="G45" s="103">
        <v>9</v>
      </c>
      <c r="H45" s="104">
        <v>19332.25</v>
      </c>
      <c r="I45" s="105">
        <v>17245.74</v>
      </c>
      <c r="J45" s="106">
        <f t="shared" si="2"/>
      </c>
      <c r="K45" s="106">
        <f t="shared" si="0"/>
      </c>
      <c r="L45" s="106">
        <f t="shared" si="3"/>
      </c>
      <c r="M45" s="103"/>
      <c r="N45" s="107"/>
      <c r="O45" s="103"/>
      <c r="P45" s="103"/>
    </row>
    <row customHeight="true" ht="16.071428571428573" r="46">
      <c r="A46" s="108">
        <v>46281</v>
      </c>
      <c r="B46" s="109" t="s">
        <v>99</v>
      </c>
      <c r="C46" s="110"/>
      <c r="D46" s="111">
        <f>SUM(D44:D45)</f>
      </c>
      <c r="E46" s="111">
        <f>SUM(E44:E45)</f>
      </c>
      <c r="F46" s="111">
        <f>SUM(F44:F45)</f>
      </c>
      <c r="G46" s="111">
        <f>SUM(G44:G45)</f>
      </c>
      <c r="H46" s="112">
        <f>SUM(H44:H45)</f>
      </c>
      <c r="I46" s="112">
        <f>SUM(I44:I45)</f>
      </c>
      <c r="J46" s="113">
        <f t="shared" si="2"/>
      </c>
      <c r="K46" s="113">
        <f t="shared" si="0"/>
      </c>
      <c r="L46" s="113">
        <f t="shared" si="3"/>
      </c>
      <c r="M46" s="109"/>
      <c r="N46" s="111">
        <f>SUM(N44:N45)</f>
      </c>
      <c r="O46" s="109"/>
      <c r="P46" s="109"/>
    </row>
    <row customHeight="true" ht="16.071428571428573" r="47">
      <c r="A47" s="101">
        <v>46282</v>
      </c>
      <c r="B47" s="102" t="s">
        <v>93</v>
      </c>
      <c r="C47" s="102" t="s">
        <v>105</v>
      </c>
      <c r="D47" s="102">
        <v>4</v>
      </c>
      <c r="E47" s="103">
        <v>22</v>
      </c>
      <c r="F47" s="103">
        <v>21</v>
      </c>
      <c r="G47" s="103">
        <v>18</v>
      </c>
      <c r="H47" s="104">
        <v>44738.19</v>
      </c>
      <c r="I47" s="105">
        <v>22536.059999999998</v>
      </c>
      <c r="J47" s="106">
        <f t="shared" si="2"/>
      </c>
      <c r="K47" s="106">
        <f t="shared" si="0"/>
      </c>
      <c r="L47" s="106">
        <f t="shared" si="3"/>
      </c>
      <c r="M47" s="103" t="s">
        <v>111</v>
      </c>
      <c r="N47" s="107">
        <v>8</v>
      </c>
      <c r="O47" s="103" t="s">
        <v>96</v>
      </c>
      <c r="P47" s="103">
        <v>8</v>
      </c>
    </row>
    <row customHeight="true" ht="16.071428571428573" r="48">
      <c r="A48" s="101">
        <v>46282</v>
      </c>
      <c r="B48" s="102" t="s">
        <v>102</v>
      </c>
      <c r="C48" s="102" t="s">
        <v>106</v>
      </c>
      <c r="D48" s="102">
        <v>4</v>
      </c>
      <c r="E48" s="103">
        <v>25</v>
      </c>
      <c r="F48" s="103">
        <v>18</v>
      </c>
      <c r="G48" s="103">
        <v>17</v>
      </c>
      <c r="H48" s="104">
        <v>32561.55</v>
      </c>
      <c r="I48" s="105">
        <v>22744.819999999996</v>
      </c>
      <c r="J48" s="106">
        <f t="shared" si="2"/>
      </c>
      <c r="K48" s="106">
        <f t="shared" si="0"/>
      </c>
      <c r="L48" s="106">
        <f t="shared" si="3"/>
      </c>
      <c r="M48" s="103"/>
      <c r="N48" s="107"/>
      <c r="O48" s="103"/>
      <c r="P48" s="103"/>
    </row>
    <row customHeight="true" ht="16.071428571428573" r="49">
      <c r="A49" s="108">
        <v>46282</v>
      </c>
      <c r="B49" s="109" t="s">
        <v>99</v>
      </c>
      <c r="C49" s="110"/>
      <c r="D49" s="111">
        <f>SUM(D47:D48)</f>
      </c>
      <c r="E49" s="111">
        <f>SUM(E47:E48)</f>
      </c>
      <c r="F49" s="111">
        <f>SUM(F47:F48)</f>
      </c>
      <c r="G49" s="111">
        <f>SUM(G47:G48)</f>
      </c>
      <c r="H49" s="112">
        <f>SUM(H47:H48)</f>
      </c>
      <c r="I49" s="112">
        <f>SUM(I47:I48)</f>
      </c>
      <c r="J49" s="113">
        <f t="shared" si="2"/>
      </c>
      <c r="K49" s="113">
        <f t="shared" si="0"/>
      </c>
      <c r="L49" s="113">
        <f t="shared" si="3"/>
      </c>
      <c r="M49" s="109"/>
      <c r="N49" s="111">
        <f>SUM(N47:N48)</f>
      </c>
      <c r="O49" s="109"/>
      <c r="P49" s="109"/>
    </row>
    <row customHeight="true" ht="16.071428571428573" r="50">
      <c r="A50" s="101">
        <v>46283</v>
      </c>
      <c r="B50" s="102" t="s">
        <v>93</v>
      </c>
      <c r="C50" s="102" t="s">
        <v>105</v>
      </c>
      <c r="D50" s="102">
        <v>4</v>
      </c>
      <c r="E50" s="103">
        <v>24</v>
      </c>
      <c r="F50" s="103">
        <v>20</v>
      </c>
      <c r="G50" s="103">
        <v>14</v>
      </c>
      <c r="H50" s="104">
        <v>45881.05</v>
      </c>
      <c r="I50" s="105">
        <v>21059.62</v>
      </c>
      <c r="J50" s="106">
        <f t="shared" si="2"/>
      </c>
      <c r="K50" s="106">
        <f t="shared" si="0"/>
      </c>
      <c r="L50" s="106">
        <f t="shared" si="3"/>
      </c>
      <c r="M50" s="103" t="s">
        <v>111</v>
      </c>
      <c r="N50" s="107">
        <v>8</v>
      </c>
      <c r="O50" s="103" t="s">
        <v>96</v>
      </c>
      <c r="P50" s="103">
        <v>8</v>
      </c>
    </row>
    <row customHeight="true" ht="16.071428571428573" r="51">
      <c r="A51" s="101">
        <v>46283</v>
      </c>
      <c r="B51" s="102" t="s">
        <v>97</v>
      </c>
      <c r="C51" s="102" t="s">
        <v>106</v>
      </c>
      <c r="D51" s="102">
        <v>4</v>
      </c>
      <c r="E51" s="103">
        <v>19</v>
      </c>
      <c r="F51" s="103">
        <v>17</v>
      </c>
      <c r="G51" s="103">
        <v>15</v>
      </c>
      <c r="H51" s="104">
        <v>29388.51</v>
      </c>
      <c r="I51" s="105">
        <v>23780.68</v>
      </c>
      <c r="J51" s="106">
        <f t="shared" si="2"/>
      </c>
      <c r="K51" s="106">
        <f t="shared" si="0"/>
      </c>
      <c r="L51" s="106">
        <f t="shared" si="3"/>
      </c>
      <c r="M51" s="103"/>
      <c r="N51" s="107"/>
      <c r="O51" s="103"/>
      <c r="P51" s="103"/>
    </row>
    <row customHeight="true" ht="16.071428571428573" r="52">
      <c r="A52" s="108">
        <v>46283</v>
      </c>
      <c r="B52" s="109" t="s">
        <v>99</v>
      </c>
      <c r="C52" s="110"/>
      <c r="D52" s="111">
        <f>SUM(D50:D51)</f>
      </c>
      <c r="E52" s="111">
        <f>SUM(E50:E51)</f>
      </c>
      <c r="F52" s="111">
        <f>SUM(F50:F51)</f>
      </c>
      <c r="G52" s="111">
        <f>SUM(G50:G51)</f>
      </c>
      <c r="H52" s="112">
        <f>SUM(H50:H51)</f>
      </c>
      <c r="I52" s="112">
        <f>SUM(I50:I51)</f>
      </c>
      <c r="J52" s="113">
        <f t="shared" si="2"/>
      </c>
      <c r="K52" s="113">
        <f t="shared" si="0"/>
      </c>
      <c r="L52" s="113">
        <f t="shared" si="3"/>
      </c>
      <c r="M52" s="109"/>
      <c r="N52" s="111">
        <f>SUM(N50:N51)</f>
      </c>
      <c r="O52" s="109"/>
      <c r="P52" s="109"/>
    </row>
    <row customHeight="true" ht="16.071428571428573" r="53">
      <c r="A53" s="101">
        <v>46284</v>
      </c>
      <c r="B53" s="102" t="s">
        <v>93</v>
      </c>
      <c r="C53" s="102" t="s">
        <v>112</v>
      </c>
      <c r="D53" s="102">
        <v>4</v>
      </c>
      <c r="E53" s="103">
        <v>23</v>
      </c>
      <c r="F53" s="103">
        <v>17</v>
      </c>
      <c r="G53" s="103">
        <v>15</v>
      </c>
      <c r="H53" s="104">
        <v>43033.399999999994</v>
      </c>
      <c r="I53" s="105">
        <v>20040.59</v>
      </c>
      <c r="J53" s="106">
        <f t="shared" si="2"/>
      </c>
      <c r="K53" s="106">
        <f t="shared" si="0"/>
      </c>
      <c r="L53" s="106">
        <f t="shared" si="3"/>
      </c>
      <c r="M53" s="103" t="s">
        <v>111</v>
      </c>
      <c r="N53" s="107">
        <v>12</v>
      </c>
      <c r="O53" s="103" t="s">
        <v>96</v>
      </c>
      <c r="P53" s="103">
        <v>12</v>
      </c>
    </row>
    <row customHeight="true" ht="16.071428571428573" r="54">
      <c r="A54" s="101">
        <v>46284</v>
      </c>
      <c r="B54" s="102" t="s">
        <v>102</v>
      </c>
      <c r="C54" s="102" t="s">
        <v>105</v>
      </c>
      <c r="D54" s="102">
        <v>4</v>
      </c>
      <c r="E54" s="103">
        <v>32</v>
      </c>
      <c r="F54" s="103">
        <v>22</v>
      </c>
      <c r="G54" s="103">
        <v>17</v>
      </c>
      <c r="H54" s="104">
        <v>54449.479999999996</v>
      </c>
      <c r="I54" s="105">
        <v>23228.32</v>
      </c>
      <c r="J54" s="106">
        <f t="shared" si="2"/>
      </c>
      <c r="K54" s="106">
        <f t="shared" si="0"/>
      </c>
      <c r="L54" s="106">
        <f t="shared" si="3"/>
      </c>
      <c r="M54" s="103"/>
      <c r="N54" s="107"/>
      <c r="O54" s="103"/>
      <c r="P54" s="103"/>
    </row>
    <row customHeight="true" ht="16.071428571428573" r="55">
      <c r="A55" s="101">
        <v>46284</v>
      </c>
      <c r="B55" s="102" t="s">
        <v>97</v>
      </c>
      <c r="C55" s="102" t="s">
        <v>106</v>
      </c>
      <c r="D55" s="102">
        <v>4</v>
      </c>
      <c r="E55" s="103">
        <v>28</v>
      </c>
      <c r="F55" s="103">
        <v>21</v>
      </c>
      <c r="G55" s="103">
        <v>15</v>
      </c>
      <c r="H55" s="104">
        <v>53851.89</v>
      </c>
      <c r="I55" s="105">
        <v>21475.12</v>
      </c>
      <c r="J55" s="106">
        <f t="shared" si="2"/>
      </c>
      <c r="K55" s="106">
        <f t="shared" si="0"/>
      </c>
      <c r="L55" s="106">
        <f t="shared" si="3"/>
      </c>
      <c r="M55" s="103"/>
      <c r="N55" s="107"/>
      <c r="O55" s="103"/>
      <c r="P55" s="103"/>
    </row>
    <row customHeight="true" ht="16.071428571428573" r="56">
      <c r="A56" s="108">
        <v>46284</v>
      </c>
      <c r="B56" s="109" t="s">
        <v>99</v>
      </c>
      <c r="C56" s="110"/>
      <c r="D56" s="111">
        <f>SUM(D53:D55)</f>
      </c>
      <c r="E56" s="111">
        <f>SUM(E53:E55)</f>
      </c>
      <c r="F56" s="111">
        <f>SUM(F53:F55)</f>
      </c>
      <c r="G56" s="111">
        <f>SUM(G53:G55)</f>
      </c>
      <c r="H56" s="112">
        <f>SUM(H53:H55)</f>
      </c>
      <c r="I56" s="112">
        <f>SUM(I53:I55)</f>
      </c>
      <c r="J56" s="113">
        <f t="shared" si="2"/>
      </c>
      <c r="K56" s="113">
        <f t="shared" si="0"/>
      </c>
      <c r="L56" s="113">
        <f t="shared" si="3"/>
      </c>
      <c r="M56" s="109"/>
      <c r="N56" s="111">
        <f>SUM(N53:N55)</f>
      </c>
      <c r="O56" s="109"/>
      <c r="P56" s="111"/>
    </row>
    <row customHeight="true" ht="16.071428571428573" r="57">
      <c r="A57" s="101">
        <v>46285</v>
      </c>
      <c r="B57" s="102" t="s">
        <v>93</v>
      </c>
      <c r="C57" s="102" t="s">
        <v>112</v>
      </c>
      <c r="D57" s="102">
        <v>4</v>
      </c>
      <c r="E57" s="103">
        <v>15</v>
      </c>
      <c r="F57" s="103">
        <v>8</v>
      </c>
      <c r="G57" s="103">
        <v>5</v>
      </c>
      <c r="H57" s="104">
        <v>23726.96</v>
      </c>
      <c r="I57" s="105">
        <v>19881.43</v>
      </c>
      <c r="J57" s="106">
        <f t="shared" si="2"/>
      </c>
      <c r="K57" s="106">
        <f t="shared" si="0"/>
      </c>
      <c r="L57" s="106">
        <f t="shared" si="3"/>
      </c>
      <c r="M57" s="103" t="s">
        <v>113</v>
      </c>
      <c r="N57" s="107">
        <v>12</v>
      </c>
      <c r="O57" s="103" t="s">
        <v>96</v>
      </c>
      <c r="P57" s="103">
        <v>12</v>
      </c>
    </row>
    <row customHeight="true" ht="16.071428571428573" r="58">
      <c r="A58" s="101">
        <v>46285</v>
      </c>
      <c r="B58" s="102" t="s">
        <v>102</v>
      </c>
      <c r="C58" s="102" t="s">
        <v>105</v>
      </c>
      <c r="D58" s="102">
        <v>4</v>
      </c>
      <c r="E58" s="103">
        <v>27</v>
      </c>
      <c r="F58" s="103">
        <v>18</v>
      </c>
      <c r="G58" s="103">
        <v>12</v>
      </c>
      <c r="H58" s="104">
        <v>43544.28999999999</v>
      </c>
      <c r="I58" s="105">
        <v>15570.97</v>
      </c>
      <c r="J58" s="106">
        <f t="shared" si="2"/>
      </c>
      <c r="K58" s="106">
        <f t="shared" si="0"/>
      </c>
      <c r="L58" s="106">
        <f t="shared" si="3"/>
      </c>
      <c r="M58" s="103"/>
      <c r="N58" s="107"/>
      <c r="O58" s="103"/>
      <c r="P58" s="103"/>
    </row>
    <row customHeight="true" ht="16.071428571428573" r="59">
      <c r="A59" s="101">
        <v>46285</v>
      </c>
      <c r="B59" s="102" t="s">
        <v>114</v>
      </c>
      <c r="C59" s="102" t="s">
        <v>106</v>
      </c>
      <c r="D59" s="102">
        <v>4</v>
      </c>
      <c r="E59" s="103">
        <v>16</v>
      </c>
      <c r="F59" s="103">
        <v>8</v>
      </c>
      <c r="G59" s="103">
        <v>6</v>
      </c>
      <c r="H59" s="104">
        <v>21287.660000000003</v>
      </c>
      <c r="I59" s="105">
        <v>15145.380000000001</v>
      </c>
      <c r="J59" s="106">
        <f t="shared" si="2"/>
      </c>
      <c r="K59" s="106">
        <f t="shared" si="0"/>
      </c>
      <c r="L59" s="106">
        <f t="shared" si="3"/>
      </c>
      <c r="M59" s="103"/>
      <c r="N59" s="107"/>
      <c r="O59" s="103"/>
      <c r="P59" s="103"/>
    </row>
    <row customHeight="true" ht="16.071428571428573" r="60">
      <c r="A60" s="108">
        <v>46285</v>
      </c>
      <c r="B60" s="109" t="s">
        <v>99</v>
      </c>
      <c r="C60" s="110"/>
      <c r="D60" s="111">
        <f>SUM(D57:D59)</f>
      </c>
      <c r="E60" s="111">
        <f>SUM(E57:E59)</f>
      </c>
      <c r="F60" s="111">
        <f>SUM(F57:F59)</f>
      </c>
      <c r="G60" s="111">
        <f>SUM(G57:G59)</f>
      </c>
      <c r="H60" s="112">
        <f>SUM(H57:H59)</f>
      </c>
      <c r="I60" s="112">
        <f>SUM(I57:I59)</f>
      </c>
      <c r="J60" s="113">
        <f t="shared" si="2"/>
      </c>
      <c r="K60" s="113">
        <f t="shared" si="0"/>
      </c>
      <c r="L60" s="113">
        <f t="shared" si="3"/>
      </c>
      <c r="M60" s="109"/>
      <c r="N60" s="111">
        <f>SUM(N57:N59)</f>
      </c>
      <c r="O60" s="109"/>
      <c r="P60" s="111"/>
    </row>
    <row customHeight="true" ht="16.071428571428573" r="61">
      <c r="A61" s="101">
        <v>46286</v>
      </c>
      <c r="B61" s="102" t="s">
        <v>93</v>
      </c>
      <c r="C61" s="102" t="s">
        <v>112</v>
      </c>
      <c r="D61" s="102">
        <v>4</v>
      </c>
      <c r="E61" s="103">
        <v>20</v>
      </c>
      <c r="F61" s="103">
        <v>15</v>
      </c>
      <c r="G61" s="103">
        <v>14</v>
      </c>
      <c r="H61" s="104">
        <v>51791.72</v>
      </c>
      <c r="I61" s="105">
        <v>21641.68</v>
      </c>
      <c r="J61" s="106">
        <f t="shared" si="2"/>
      </c>
      <c r="K61" s="106">
        <f t="shared" si="0"/>
      </c>
      <c r="L61" s="106">
        <f t="shared" si="3"/>
      </c>
      <c r="M61" s="103" t="s">
        <v>111</v>
      </c>
      <c r="N61" s="107">
        <v>12</v>
      </c>
      <c r="O61" s="103" t="s">
        <v>96</v>
      </c>
      <c r="P61" s="103">
        <v>12</v>
      </c>
    </row>
    <row customHeight="true" ht="16.071428571428573" r="62">
      <c r="A62" s="101">
        <v>46286</v>
      </c>
      <c r="B62" s="102" t="s">
        <v>97</v>
      </c>
      <c r="C62" s="102" t="s">
        <v>105</v>
      </c>
      <c r="D62" s="102">
        <v>4</v>
      </c>
      <c r="E62" s="103">
        <v>21</v>
      </c>
      <c r="F62" s="103">
        <v>16</v>
      </c>
      <c r="G62" s="103">
        <v>10</v>
      </c>
      <c r="H62" s="104">
        <v>31998.42</v>
      </c>
      <c r="I62" s="105">
        <v>17895.05</v>
      </c>
      <c r="J62" s="106">
        <f t="shared" si="2"/>
      </c>
      <c r="K62" s="106">
        <f t="shared" si="0"/>
      </c>
      <c r="L62" s="106">
        <f t="shared" si="3"/>
      </c>
      <c r="M62" s="103"/>
      <c r="N62" s="107"/>
      <c r="O62" s="103"/>
      <c r="P62" s="103"/>
    </row>
    <row customHeight="true" ht="16.071428571428573" r="63">
      <c r="A63" s="101">
        <v>46286</v>
      </c>
      <c r="B63" s="102" t="s">
        <v>102</v>
      </c>
      <c r="C63" s="102" t="s">
        <v>106</v>
      </c>
      <c r="D63" s="102">
        <v>4</v>
      </c>
      <c r="E63" s="103">
        <v>31</v>
      </c>
      <c r="F63" s="103">
        <v>28</v>
      </c>
      <c r="G63" s="103">
        <v>23</v>
      </c>
      <c r="H63" s="104">
        <v>60190.55</v>
      </c>
      <c r="I63" s="105">
        <v>24913.7</v>
      </c>
      <c r="J63" s="106">
        <f t="shared" si="2"/>
      </c>
      <c r="K63" s="106">
        <f t="shared" si="0"/>
      </c>
      <c r="L63" s="106">
        <f t="shared" si="3"/>
      </c>
      <c r="M63" s="103"/>
      <c r="N63" s="107"/>
      <c r="O63" s="103"/>
      <c r="P63" s="103"/>
    </row>
    <row customHeight="true" ht="16.071428571428573" r="64">
      <c r="A64" s="108">
        <v>46286</v>
      </c>
      <c r="B64" s="109" t="s">
        <v>99</v>
      </c>
      <c r="C64" s="110"/>
      <c r="D64" s="111">
        <f>SUM(D61:D63)</f>
      </c>
      <c r="E64" s="111">
        <f>SUM(E61:E63)</f>
      </c>
      <c r="F64" s="111">
        <f>SUM(F61:F63)</f>
      </c>
      <c r="G64" s="111">
        <f>SUM(G61:G63)</f>
      </c>
      <c r="H64" s="112">
        <f>SUM(H61:H63)</f>
      </c>
      <c r="I64" s="112">
        <f>SUM(I61:I63)</f>
      </c>
      <c r="J64" s="113">
        <f t="shared" si="2"/>
      </c>
      <c r="K64" s="113">
        <f t="shared" si="0"/>
      </c>
      <c r="L64" s="113">
        <f t="shared" si="3"/>
      </c>
      <c r="M64" s="109"/>
      <c r="N64" s="111">
        <f>SUM(N61:N63)</f>
      </c>
      <c r="O64" s="109"/>
      <c r="P64" s="111"/>
    </row>
    <row customHeight="true" ht="16.071428571428573" r="65">
      <c r="A65" s="101">
        <v>46287</v>
      </c>
      <c r="B65" s="102" t="s">
        <v>93</v>
      </c>
      <c r="C65" s="102" t="s">
        <v>112</v>
      </c>
      <c r="D65" s="102">
        <v>4</v>
      </c>
      <c r="E65" s="103">
        <v>22</v>
      </c>
      <c r="F65" s="103">
        <v>16</v>
      </c>
      <c r="G65" s="103">
        <v>13</v>
      </c>
      <c r="H65" s="104">
        <v>36302.72</v>
      </c>
      <c r="I65" s="105">
        <v>22625.53</v>
      </c>
      <c r="J65" s="106">
        <f t="shared" si="2"/>
      </c>
      <c r="K65" s="106">
        <f t="shared" si="0"/>
      </c>
      <c r="L65" s="106">
        <f t="shared" si="3"/>
      </c>
      <c r="M65" s="103" t="s">
        <v>111</v>
      </c>
      <c r="N65" s="107">
        <v>12</v>
      </c>
      <c r="O65" s="103" t="s">
        <v>96</v>
      </c>
      <c r="P65" s="103">
        <v>12</v>
      </c>
    </row>
    <row customHeight="true" ht="16.071428571428573" r="66">
      <c r="A66" s="101">
        <v>46287</v>
      </c>
      <c r="B66" s="102" t="s">
        <v>97</v>
      </c>
      <c r="C66" s="102" t="s">
        <v>105</v>
      </c>
      <c r="D66" s="102">
        <v>4</v>
      </c>
      <c r="E66" s="103">
        <v>21</v>
      </c>
      <c r="F66" s="103">
        <v>18</v>
      </c>
      <c r="G66" s="103">
        <v>13</v>
      </c>
      <c r="H66" s="104">
        <v>38727.920000000006</v>
      </c>
      <c r="I66" s="105">
        <v>19774.32</v>
      </c>
      <c r="J66" s="106">
        <f t="shared" si="2"/>
      </c>
      <c r="K66" s="106">
        <f t="shared" si="0"/>
      </c>
      <c r="L66" s="106">
        <f t="shared" si="3"/>
      </c>
      <c r="M66" s="103"/>
      <c r="N66" s="107"/>
      <c r="O66" s="103"/>
      <c r="P66" s="103"/>
    </row>
    <row customHeight="true" ht="16.071428571428573" r="67">
      <c r="A67" s="101">
        <v>46287</v>
      </c>
      <c r="B67" s="102" t="s">
        <v>102</v>
      </c>
      <c r="C67" s="102" t="s">
        <v>106</v>
      </c>
      <c r="D67" s="102">
        <v>4</v>
      </c>
      <c r="E67" s="103">
        <v>15</v>
      </c>
      <c r="F67" s="103">
        <v>10</v>
      </c>
      <c r="G67" s="103">
        <v>8</v>
      </c>
      <c r="H67" s="104">
        <v>19309.84</v>
      </c>
      <c r="I67" s="105">
        <v>17627.14</v>
      </c>
      <c r="J67" s="106">
        <f t="shared" si="2"/>
      </c>
      <c r="K67" s="106">
        <f t="shared" si="0"/>
      </c>
      <c r="L67" s="106">
        <f t="shared" si="3"/>
      </c>
      <c r="M67" s="103"/>
      <c r="N67" s="107"/>
      <c r="O67" s="103"/>
      <c r="P67" s="103"/>
    </row>
    <row customHeight="true" ht="16.071428571428573" r="68">
      <c r="A68" s="108">
        <v>46287</v>
      </c>
      <c r="B68" s="109" t="s">
        <v>99</v>
      </c>
      <c r="C68" s="110"/>
      <c r="D68" s="111">
        <f>SUM(D65:D67)</f>
      </c>
      <c r="E68" s="111">
        <f>SUM(E65:E67)</f>
      </c>
      <c r="F68" s="111">
        <f>SUM(F65:F67)</f>
      </c>
      <c r="G68" s="111">
        <f>SUM(G65:G67)</f>
      </c>
      <c r="H68" s="112">
        <f>SUM(H65:H67)</f>
      </c>
      <c r="I68" s="112">
        <f>SUM(I65:I67)</f>
      </c>
      <c r="J68" s="113">
        <f t="shared" si="2"/>
      </c>
      <c r="K68" s="113">
        <f t="shared" si="0"/>
      </c>
      <c r="L68" s="113">
        <f t="shared" si="3"/>
      </c>
      <c r="M68" s="109"/>
      <c r="N68" s="111">
        <f>SUM(N65:N67)</f>
      </c>
      <c r="O68" s="109"/>
      <c r="P68" s="111"/>
    </row>
    <row customHeight="true" ht="16.071428571428573" r="69">
      <c r="A69" s="101">
        <v>46288</v>
      </c>
      <c r="B69" s="102" t="s">
        <v>93</v>
      </c>
      <c r="C69" s="102" t="s">
        <v>112</v>
      </c>
      <c r="D69" s="102">
        <v>4</v>
      </c>
      <c r="E69" s="103">
        <v>18</v>
      </c>
      <c r="F69" s="103">
        <v>12</v>
      </c>
      <c r="G69" s="103">
        <v>8</v>
      </c>
      <c r="H69" s="104">
        <v>17339.61</v>
      </c>
      <c r="I69" s="105">
        <v>17425.04</v>
      </c>
      <c r="J69" s="106">
        <f t="shared" si="2"/>
      </c>
      <c r="K69" s="106">
        <f t="shared" si="0"/>
      </c>
      <c r="L69" s="106">
        <f t="shared" si="3"/>
      </c>
      <c r="M69" s="103" t="s">
        <v>111</v>
      </c>
      <c r="N69" s="107">
        <v>12</v>
      </c>
      <c r="O69" s="103" t="s">
        <v>96</v>
      </c>
      <c r="P69" s="103">
        <v>12</v>
      </c>
    </row>
    <row customHeight="true" ht="16.071428571428573" r="70">
      <c r="A70" s="101">
        <v>46288</v>
      </c>
      <c r="B70" s="102" t="s">
        <v>97</v>
      </c>
      <c r="C70" s="102" t="s">
        <v>105</v>
      </c>
      <c r="D70" s="102">
        <v>4</v>
      </c>
      <c r="E70" s="103">
        <v>19</v>
      </c>
      <c r="F70" s="103">
        <v>16</v>
      </c>
      <c r="G70" s="103">
        <v>13</v>
      </c>
      <c r="H70" s="104">
        <v>43874.96</v>
      </c>
      <c r="I70" s="105">
        <v>16939.64</v>
      </c>
      <c r="J70" s="106">
        <f t="shared" si="2"/>
      </c>
      <c r="K70" s="106">
        <f t="shared" si="0"/>
      </c>
      <c r="L70" s="106">
        <f t="shared" si="3"/>
      </c>
      <c r="M70" s="103"/>
      <c r="N70" s="107"/>
      <c r="O70" s="103"/>
      <c r="P70" s="103"/>
    </row>
    <row customHeight="true" ht="16.071428571428573" r="71">
      <c r="A71" s="101">
        <v>46288</v>
      </c>
      <c r="B71" s="102" t="s">
        <v>115</v>
      </c>
      <c r="C71" s="102" t="s">
        <v>106</v>
      </c>
      <c r="D71" s="102">
        <v>4</v>
      </c>
      <c r="E71" s="103">
        <v>18</v>
      </c>
      <c r="F71" s="103">
        <v>14</v>
      </c>
      <c r="G71" s="103">
        <v>10</v>
      </c>
      <c r="H71" s="104">
        <v>29408.33</v>
      </c>
      <c r="I71" s="114">
        <v>14538.28</v>
      </c>
      <c r="J71" s="106">
        <f t="shared" si="2"/>
      </c>
      <c r="K71" s="106">
        <f t="shared" si="0"/>
      </c>
      <c r="L71" s="106">
        <f t="shared" si="3"/>
      </c>
      <c r="M71" s="103"/>
      <c r="N71" s="107"/>
      <c r="O71" s="103"/>
      <c r="P71" s="103"/>
    </row>
    <row customHeight="true" ht="16.071428571428573" r="72">
      <c r="A72" s="108">
        <v>46288</v>
      </c>
      <c r="B72" s="109" t="s">
        <v>99</v>
      </c>
      <c r="C72" s="110"/>
      <c r="D72" s="111">
        <f>SUM(D69:D71)</f>
      </c>
      <c r="E72" s="111">
        <f>SUM(E69:E71)</f>
      </c>
      <c r="F72" s="111">
        <f>SUM(F69:F71)</f>
      </c>
      <c r="G72" s="111">
        <f>SUM(G69:G71)</f>
      </c>
      <c r="H72" s="112">
        <f>SUM(H69:H71)</f>
      </c>
      <c r="I72" s="112">
        <f>SUM(I69:I71)</f>
      </c>
      <c r="J72" s="113">
        <f t="shared" si="2"/>
      </c>
      <c r="K72" s="113">
        <f t="shared" si="0"/>
      </c>
      <c r="L72" s="113">
        <f t="shared" si="3"/>
      </c>
      <c r="M72" s="109"/>
      <c r="N72" s="111">
        <f>SUM(N69:N71)</f>
      </c>
      <c r="O72" s="109"/>
      <c r="P72" s="111"/>
    </row>
    <row customHeight="true" ht="16.071428571428573" r="73">
      <c r="A73" s="101">
        <v>46289</v>
      </c>
      <c r="B73" s="102" t="s">
        <v>93</v>
      </c>
      <c r="C73" s="102" t="s">
        <v>112</v>
      </c>
      <c r="D73" s="102">
        <v>4</v>
      </c>
      <c r="E73" s="103">
        <v>16</v>
      </c>
      <c r="F73" s="103">
        <v>12</v>
      </c>
      <c r="G73" s="103">
        <v>9</v>
      </c>
      <c r="H73" s="104">
        <v>27189.47</v>
      </c>
      <c r="I73" s="105">
        <v>13703.17</v>
      </c>
      <c r="J73" s="106">
        <f t="shared" si="2"/>
      </c>
      <c r="K73" s="106">
        <f t="shared" si="0"/>
      </c>
      <c r="L73" s="106">
        <f t="shared" si="3"/>
      </c>
      <c r="M73" s="103" t="s">
        <v>116</v>
      </c>
      <c r="N73" s="107">
        <v>3</v>
      </c>
      <c r="O73" s="103" t="s">
        <v>96</v>
      </c>
      <c r="P73" s="103">
        <v>12</v>
      </c>
    </row>
    <row customHeight="true" ht="16.071428571428573" r="74">
      <c r="A74" s="101">
        <v>46289</v>
      </c>
      <c r="B74" s="102" t="s">
        <v>102</v>
      </c>
      <c r="C74" s="102" t="s">
        <v>105</v>
      </c>
      <c r="D74" s="102">
        <v>4</v>
      </c>
      <c r="E74" s="103">
        <v>11</v>
      </c>
      <c r="F74" s="103">
        <v>9</v>
      </c>
      <c r="G74" s="103">
        <v>4</v>
      </c>
      <c r="H74" s="104">
        <v>24598.28</v>
      </c>
      <c r="I74" s="105">
        <v>11184.72</v>
      </c>
      <c r="J74" s="106">
        <f t="shared" si="2"/>
      </c>
      <c r="K74" s="106">
        <f t="shared" si="0"/>
      </c>
      <c r="L74" s="106">
        <f t="shared" si="3"/>
      </c>
      <c r="M74" s="103" t="s">
        <v>111</v>
      </c>
      <c r="N74" s="107">
        <v>9</v>
      </c>
      <c r="O74" s="103"/>
      <c r="P74" s="103"/>
    </row>
    <row customHeight="true" ht="16.071428571428573" r="75">
      <c r="A75" s="101">
        <v>46289</v>
      </c>
      <c r="B75" s="102" t="s">
        <v>115</v>
      </c>
      <c r="C75" s="102" t="s">
        <v>106</v>
      </c>
      <c r="D75" s="102">
        <v>4</v>
      </c>
      <c r="E75" s="103">
        <v>18</v>
      </c>
      <c r="F75" s="103">
        <v>12</v>
      </c>
      <c r="G75" s="103">
        <v>9</v>
      </c>
      <c r="H75" s="104">
        <v>22822.170000000002</v>
      </c>
      <c r="I75" s="114">
        <v>14249.289999999999</v>
      </c>
      <c r="J75" s="106">
        <f t="shared" si="2"/>
      </c>
      <c r="K75" s="106">
        <f t="shared" si="0"/>
      </c>
      <c r="L75" s="106">
        <f t="shared" si="3"/>
      </c>
      <c r="M75" s="103"/>
      <c r="N75" s="107"/>
      <c r="O75" s="103"/>
      <c r="P75" s="103"/>
    </row>
    <row customHeight="true" ht="16.071428571428573" r="76">
      <c r="A76" s="108">
        <v>46289</v>
      </c>
      <c r="B76" s="109" t="s">
        <v>99</v>
      </c>
      <c r="C76" s="110"/>
      <c r="D76" s="111">
        <f>SUM(D73:D75)</f>
      </c>
      <c r="E76" s="111">
        <f>SUM(E73:E75)</f>
      </c>
      <c r="F76" s="111">
        <f>SUM(F73:F75)</f>
      </c>
      <c r="G76" s="111">
        <f>SUM(G73:G75)</f>
      </c>
      <c r="H76" s="112">
        <f>SUM(H73:H75)</f>
      </c>
      <c r="I76" s="112">
        <f>SUM(I73:I75)</f>
      </c>
      <c r="J76" s="113">
        <f t="shared" si="2"/>
      </c>
      <c r="K76" s="113">
        <f t="shared" si="0"/>
      </c>
      <c r="L76" s="113">
        <f t="shared" si="3"/>
      </c>
      <c r="M76" s="109"/>
      <c r="N76" s="111">
        <f>SUM(N73:N75)</f>
      </c>
      <c r="O76" s="109"/>
      <c r="P76" s="111"/>
    </row>
    <row customHeight="true" ht="16.071428571428573" r="77">
      <c r="A77" s="115">
        <v>46290</v>
      </c>
      <c r="B77" s="116" t="s">
        <v>93</v>
      </c>
      <c r="C77" s="117" t="s">
        <v>117</v>
      </c>
      <c r="D77" s="116">
        <v>4</v>
      </c>
      <c r="E77" s="118">
        <v>17</v>
      </c>
      <c r="F77" s="118">
        <v>13</v>
      </c>
      <c r="G77" s="119">
        <v>12</v>
      </c>
      <c r="H77" s="118">
        <v>34391.97</v>
      </c>
      <c r="I77" s="120">
        <v>14696.41</v>
      </c>
      <c r="J77" s="121">
        <f t="shared" si="2"/>
      </c>
      <c r="K77" s="121">
        <f t="shared" si="0"/>
      </c>
      <c r="L77" s="121">
        <f t="shared" si="3"/>
      </c>
      <c r="M77" s="118"/>
      <c r="N77" s="122"/>
      <c r="O77" s="118"/>
      <c r="P77" s="119"/>
      <c r="Q77" s="123"/>
      <c r="R77" s="123"/>
      <c r="S77" s="123"/>
    </row>
    <row customHeight="true" ht="16.071428571428573" r="78">
      <c r="A78" s="115">
        <v>46290</v>
      </c>
      <c r="B78" s="102" t="s">
        <v>115</v>
      </c>
      <c r="C78" s="117" t="s">
        <v>112</v>
      </c>
      <c r="D78" s="116">
        <v>4</v>
      </c>
      <c r="E78" s="119">
        <v>13</v>
      </c>
      <c r="F78" s="119">
        <v>10</v>
      </c>
      <c r="G78" s="119">
        <v>6</v>
      </c>
      <c r="H78" s="119">
        <v>22554.3</v>
      </c>
      <c r="I78" s="124">
        <v>11031.23</v>
      </c>
      <c r="J78" s="121">
        <f t="shared" si="2"/>
      </c>
      <c r="K78" s="121">
        <f t="shared" si="0"/>
      </c>
      <c r="L78" s="121">
        <f t="shared" si="3"/>
      </c>
      <c r="M78" s="118" t="s">
        <v>116</v>
      </c>
      <c r="N78" s="122">
        <v>7</v>
      </c>
      <c r="O78" s="119" t="s">
        <v>118</v>
      </c>
      <c r="P78" s="119">
        <v>7</v>
      </c>
      <c r="Q78" s="123"/>
      <c r="R78" s="123"/>
      <c r="S78" s="123"/>
    </row>
    <row customHeight="true" ht="16.071428571428573" r="79">
      <c r="A79" s="115">
        <v>46290</v>
      </c>
      <c r="B79" s="102" t="s">
        <v>97</v>
      </c>
      <c r="C79" s="117" t="s">
        <v>105</v>
      </c>
      <c r="D79" s="116">
        <v>4</v>
      </c>
      <c r="E79" s="119">
        <v>18</v>
      </c>
      <c r="F79" s="119">
        <v>16</v>
      </c>
      <c r="G79" s="119">
        <v>10</v>
      </c>
      <c r="H79" s="119">
        <v>39404.48</v>
      </c>
      <c r="I79" s="125">
        <v>16049.22</v>
      </c>
      <c r="J79" s="121">
        <f t="shared" si="2"/>
      </c>
      <c r="K79" s="121">
        <f t="shared" si="0"/>
      </c>
      <c r="L79" s="121">
        <f t="shared" si="3"/>
      </c>
      <c r="M79" s="119" t="s">
        <v>111</v>
      </c>
      <c r="N79" s="122">
        <v>9</v>
      </c>
      <c r="O79" s="118" t="s">
        <v>96</v>
      </c>
      <c r="P79" s="119">
        <v>9</v>
      </c>
      <c r="Q79" s="123"/>
      <c r="R79" s="123"/>
      <c r="S79" s="123"/>
    </row>
    <row customHeight="true" ht="16.071428571428573" r="80">
      <c r="A80" s="115">
        <v>46290</v>
      </c>
      <c r="B80" s="102" t="s">
        <v>102</v>
      </c>
      <c r="C80" s="117" t="s">
        <v>106</v>
      </c>
      <c r="D80" s="117">
        <v>4</v>
      </c>
      <c r="E80" s="119">
        <v>31</v>
      </c>
      <c r="F80" s="119">
        <v>26</v>
      </c>
      <c r="G80" s="119">
        <v>22</v>
      </c>
      <c r="H80" s="119">
        <v>58761.03</v>
      </c>
      <c r="I80" s="125">
        <v>21538.65</v>
      </c>
      <c r="J80" s="121">
        <f t="shared" si="2"/>
      </c>
      <c r="K80" s="121">
        <f t="shared" si="0"/>
      </c>
      <c r="L80" s="121">
        <f t="shared" si="3"/>
      </c>
      <c r="M80" s="118"/>
      <c r="N80" s="126"/>
      <c r="O80" s="118"/>
      <c r="P80" s="118"/>
      <c r="Q80" s="123"/>
      <c r="R80" s="123"/>
      <c r="S80" s="123"/>
    </row>
    <row customHeight="true" ht="16.071428571428573" r="81">
      <c r="A81" s="127">
        <v>46290</v>
      </c>
      <c r="B81" s="128" t="s">
        <v>99</v>
      </c>
      <c r="C81" s="129"/>
      <c r="D81" s="130">
        <f>SUM(D77:D80)</f>
      </c>
      <c r="E81" s="130">
        <f>SUM(E77:E80)</f>
      </c>
      <c r="F81" s="130">
        <f>SUM(F77:F80)</f>
      </c>
      <c r="G81" s="130">
        <f>SUM(G77:G80)</f>
      </c>
      <c r="H81" s="131">
        <f>SUM(H77:H80)</f>
      </c>
      <c r="I81" s="131">
        <f>SUM(I77:I80)</f>
      </c>
      <c r="J81" s="132">
        <f t="shared" si="2"/>
      </c>
      <c r="K81" s="132">
        <f t="shared" si="0"/>
      </c>
      <c r="L81" s="132">
        <f t="shared" si="3"/>
      </c>
      <c r="M81" s="128"/>
      <c r="N81" s="130">
        <f>SUM(N77:N80)</f>
      </c>
      <c r="O81" s="130"/>
      <c r="P81" s="130">
        <f>SUM(P77:P80)</f>
      </c>
      <c r="Q81" s="123"/>
      <c r="R81" s="123"/>
      <c r="S81" s="123"/>
    </row>
    <row customHeight="true" ht="16.071428571428573" r="82">
      <c r="A82" s="115">
        <v>46291</v>
      </c>
      <c r="B82" s="116" t="s">
        <v>93</v>
      </c>
      <c r="C82" s="117" t="s">
        <v>117</v>
      </c>
      <c r="D82" s="116">
        <v>4</v>
      </c>
      <c r="E82" s="118">
        <v>23</v>
      </c>
      <c r="F82" s="118">
        <v>14</v>
      </c>
      <c r="G82" s="119">
        <v>11</v>
      </c>
      <c r="H82" s="118">
        <v>40885.1</v>
      </c>
      <c r="I82" s="120">
        <v>19274.37</v>
      </c>
      <c r="J82" s="121">
        <f t="shared" si="2"/>
      </c>
      <c r="K82" s="121">
        <f t="shared" si="0"/>
      </c>
      <c r="L82" s="121">
        <f t="shared" si="3"/>
      </c>
      <c r="M82" s="118"/>
      <c r="N82" s="122"/>
      <c r="O82" s="118"/>
      <c r="P82" s="119"/>
      <c r="Q82" s="123"/>
      <c r="R82" s="123"/>
      <c r="S82" s="123"/>
    </row>
    <row customHeight="true" ht="16.071428571428573" r="83">
      <c r="A83" s="115">
        <v>46291</v>
      </c>
      <c r="B83" s="102" t="s">
        <v>97</v>
      </c>
      <c r="C83" s="117" t="s">
        <v>112</v>
      </c>
      <c r="D83" s="116">
        <v>4</v>
      </c>
      <c r="E83" s="119">
        <v>12</v>
      </c>
      <c r="F83" s="119">
        <v>7</v>
      </c>
      <c r="G83" s="119">
        <v>6</v>
      </c>
      <c r="H83" s="119">
        <v>22286.620000000003</v>
      </c>
      <c r="I83" s="124">
        <v>12464.16</v>
      </c>
      <c r="J83" s="121">
        <f t="shared" si="2"/>
      </c>
      <c r="K83" s="121">
        <f t="shared" si="0"/>
      </c>
      <c r="L83" s="121">
        <f t="shared" si="3"/>
      </c>
      <c r="M83" s="118" t="s">
        <v>116</v>
      </c>
      <c r="N83" s="122">
        <v>7</v>
      </c>
      <c r="O83" s="119" t="s">
        <v>118</v>
      </c>
      <c r="P83" s="119">
        <v>7</v>
      </c>
      <c r="Q83" s="123"/>
      <c r="R83" s="123"/>
      <c r="S83" s="123"/>
    </row>
    <row customHeight="true" ht="16.071428571428573" r="84">
      <c r="A84" s="115">
        <v>46291</v>
      </c>
      <c r="B84" s="102" t="s">
        <v>115</v>
      </c>
      <c r="C84" s="117" t="s">
        <v>105</v>
      </c>
      <c r="D84" s="116">
        <v>4</v>
      </c>
      <c r="E84" s="119">
        <v>28</v>
      </c>
      <c r="F84" s="119">
        <v>22</v>
      </c>
      <c r="G84" s="119">
        <v>16</v>
      </c>
      <c r="H84" s="119">
        <v>46526.899999999994</v>
      </c>
      <c r="I84" s="125">
        <v>16018.8</v>
      </c>
      <c r="J84" s="121">
        <f t="shared" si="2"/>
      </c>
      <c r="K84" s="121">
        <f t="shared" si="0"/>
      </c>
      <c r="L84" s="121">
        <f t="shared" si="3"/>
      </c>
      <c r="M84" s="119" t="s">
        <v>111</v>
      </c>
      <c r="N84" s="122">
        <v>9</v>
      </c>
      <c r="O84" s="118" t="s">
        <v>96</v>
      </c>
      <c r="P84" s="119">
        <v>9</v>
      </c>
      <c r="Q84" s="123"/>
      <c r="R84" s="123"/>
      <c r="S84" s="123"/>
    </row>
    <row customHeight="true" ht="16.071428571428573" r="85">
      <c r="A85" s="115">
        <v>46291</v>
      </c>
      <c r="B85" s="102" t="s">
        <v>114</v>
      </c>
      <c r="C85" s="117" t="s">
        <v>106</v>
      </c>
      <c r="D85" s="117">
        <v>4</v>
      </c>
      <c r="E85" s="119">
        <v>35</v>
      </c>
      <c r="F85" s="119">
        <v>28</v>
      </c>
      <c r="G85" s="119">
        <v>20</v>
      </c>
      <c r="H85" s="119">
        <v>70819.4</v>
      </c>
      <c r="I85" s="125">
        <v>23461.12</v>
      </c>
      <c r="J85" s="121">
        <f t="shared" si="2"/>
      </c>
      <c r="K85" s="121">
        <f t="shared" si="0"/>
      </c>
      <c r="L85" s="121">
        <f t="shared" si="3"/>
      </c>
      <c r="M85" s="118"/>
      <c r="N85" s="126"/>
      <c r="O85" s="118"/>
      <c r="P85" s="118"/>
      <c r="Q85" s="123"/>
      <c r="R85" s="123"/>
      <c r="S85" s="123"/>
    </row>
    <row customHeight="true" ht="16.071428571428573" r="86">
      <c r="A86" s="127">
        <v>46291</v>
      </c>
      <c r="B86" s="128" t="s">
        <v>99</v>
      </c>
      <c r="C86" s="129"/>
      <c r="D86" s="130">
        <f>SUM(D82:D85)</f>
      </c>
      <c r="E86" s="130">
        <f>SUM(E82:E85)</f>
      </c>
      <c r="F86" s="130">
        <f>SUM(F82:F85)</f>
      </c>
      <c r="G86" s="130">
        <f>SUM(G82:G85)</f>
      </c>
      <c r="H86" s="131">
        <f>SUM(H82:H85)</f>
      </c>
      <c r="I86" s="131">
        <f>SUM(I82:I85)</f>
      </c>
      <c r="J86" s="132">
        <f t="shared" si="2"/>
      </c>
      <c r="K86" s="132">
        <f t="shared" si="0"/>
      </c>
      <c r="L86" s="132">
        <f t="shared" si="3"/>
      </c>
      <c r="M86" s="128"/>
      <c r="N86" s="130">
        <f>SUM(N82:N85)</f>
      </c>
      <c r="O86" s="130"/>
      <c r="P86" s="130">
        <f>SUM(P82:P85)</f>
      </c>
      <c r="Q86" s="123"/>
      <c r="R86" s="123"/>
      <c r="S86" s="123"/>
    </row>
    <row customHeight="true" ht="16.071428571428573" r="87">
      <c r="A87" s="115">
        <v>46292</v>
      </c>
      <c r="B87" s="116" t="s">
        <v>93</v>
      </c>
      <c r="C87" s="117" t="s">
        <v>117</v>
      </c>
      <c r="D87" s="116">
        <v>4</v>
      </c>
      <c r="E87" s="118">
        <v>17</v>
      </c>
      <c r="F87" s="118">
        <v>12</v>
      </c>
      <c r="G87" s="119">
        <v>7</v>
      </c>
      <c r="H87" s="118">
        <v>30802.909999999996</v>
      </c>
      <c r="I87" s="120">
        <v>15482.490000000002</v>
      </c>
      <c r="J87" s="121">
        <f t="shared" si="2"/>
      </c>
      <c r="K87" s="121">
        <f t="shared" si="0"/>
      </c>
      <c r="L87" s="121">
        <f t="shared" si="3"/>
      </c>
      <c r="M87" s="118"/>
      <c r="N87" s="122"/>
      <c r="O87" s="118"/>
      <c r="P87" s="119"/>
      <c r="Q87" s="123"/>
      <c r="R87" s="123"/>
      <c r="S87" s="123"/>
    </row>
    <row customHeight="true" ht="16.071428571428573" r="88">
      <c r="A88" s="115">
        <v>46292</v>
      </c>
      <c r="B88" s="102" t="s">
        <v>97</v>
      </c>
      <c r="C88" s="117" t="s">
        <v>112</v>
      </c>
      <c r="D88" s="116">
        <v>4</v>
      </c>
      <c r="E88" s="119">
        <v>24</v>
      </c>
      <c r="F88" s="119">
        <v>16</v>
      </c>
      <c r="G88" s="119">
        <v>15</v>
      </c>
      <c r="H88" s="119">
        <v>30048.370000000003</v>
      </c>
      <c r="I88" s="124">
        <v>16930.2</v>
      </c>
      <c r="J88" s="121">
        <f t="shared" si="2"/>
      </c>
      <c r="K88" s="121">
        <f t="shared" si="0"/>
      </c>
      <c r="L88" s="121">
        <f t="shared" si="3"/>
      </c>
      <c r="M88" s="118" t="s">
        <v>116</v>
      </c>
      <c r="N88" s="122">
        <v>7</v>
      </c>
      <c r="O88" s="119" t="s">
        <v>118</v>
      </c>
      <c r="P88" s="119">
        <v>7</v>
      </c>
      <c r="Q88" s="123"/>
      <c r="R88" s="123"/>
      <c r="S88" s="123"/>
    </row>
    <row customHeight="true" ht="16.071428571428573" r="89">
      <c r="A89" s="115">
        <v>46292</v>
      </c>
      <c r="B89" s="102" t="s">
        <v>115</v>
      </c>
      <c r="C89" s="117" t="s">
        <v>105</v>
      </c>
      <c r="D89" s="116">
        <v>4</v>
      </c>
      <c r="E89" s="119">
        <v>44</v>
      </c>
      <c r="F89" s="119">
        <v>35</v>
      </c>
      <c r="G89" s="119">
        <v>25</v>
      </c>
      <c r="H89" s="119">
        <v>88595.78000000001</v>
      </c>
      <c r="I89" s="125">
        <v>26477.57</v>
      </c>
      <c r="J89" s="121">
        <f t="shared" si="2"/>
      </c>
      <c r="K89" s="121">
        <f t="shared" si="0"/>
      </c>
      <c r="L89" s="121">
        <f t="shared" si="3"/>
      </c>
      <c r="M89" s="119" t="s">
        <v>119</v>
      </c>
      <c r="N89" s="122">
        <v>9</v>
      </c>
      <c r="O89" s="118" t="s">
        <v>96</v>
      </c>
      <c r="P89" s="119">
        <v>9</v>
      </c>
      <c r="Q89" s="123"/>
      <c r="R89" s="123"/>
      <c r="S89" s="123"/>
    </row>
    <row customHeight="true" ht="16.071428571428573" r="90">
      <c r="A90" s="115">
        <v>46292</v>
      </c>
      <c r="B90" s="102" t="s">
        <v>102</v>
      </c>
      <c r="C90" s="117" t="s">
        <v>106</v>
      </c>
      <c r="D90" s="117">
        <v>4</v>
      </c>
      <c r="E90" s="119">
        <v>32</v>
      </c>
      <c r="F90" s="119">
        <v>24</v>
      </c>
      <c r="G90" s="119">
        <v>24</v>
      </c>
      <c r="H90" s="119">
        <v>49550.189999999995</v>
      </c>
      <c r="I90" s="125">
        <v>34068.27</v>
      </c>
      <c r="J90" s="121">
        <f t="shared" si="2"/>
      </c>
      <c r="K90" s="121">
        <f t="shared" si="0"/>
      </c>
      <c r="L90" s="121">
        <f t="shared" si="3"/>
      </c>
      <c r="M90" s="118"/>
      <c r="N90" s="126"/>
      <c r="O90" s="118"/>
      <c r="P90" s="118"/>
      <c r="Q90" s="123"/>
      <c r="R90" s="123"/>
      <c r="S90" s="123"/>
    </row>
    <row customHeight="true" ht="16.071428571428573" r="91">
      <c r="A91" s="127">
        <v>46292</v>
      </c>
      <c r="B91" s="128" t="s">
        <v>99</v>
      </c>
      <c r="C91" s="129"/>
      <c r="D91" s="130">
        <f>SUM(D87:D90)</f>
      </c>
      <c r="E91" s="130">
        <f>SUM(E87:E90)</f>
      </c>
      <c r="F91" s="130">
        <f>SUM(F87:F90)</f>
      </c>
      <c r="G91" s="130">
        <f>SUM(G87:G90)</f>
      </c>
      <c r="H91" s="131">
        <f>SUM(H87:H90)</f>
      </c>
      <c r="I91" s="131">
        <f>SUM(I87:I90)</f>
      </c>
      <c r="J91" s="132">
        <f t="shared" si="2"/>
      </c>
      <c r="K91" s="132">
        <f t="shared" si="0"/>
      </c>
      <c r="L91" s="132">
        <f t="shared" si="3"/>
      </c>
      <c r="M91" s="128"/>
      <c r="N91" s="130">
        <f>SUM(N87:N90)</f>
      </c>
      <c r="O91" s="130"/>
      <c r="P91" s="130">
        <f>SUM(P87:P90)</f>
      </c>
      <c r="Q91" s="123"/>
      <c r="R91" s="123"/>
      <c r="S91" s="123"/>
    </row>
    <row customHeight="true" ht="16.071428571428573" r="92">
      <c r="A92" s="115">
        <v>46293</v>
      </c>
      <c r="B92" s="102" t="s">
        <v>97</v>
      </c>
      <c r="C92" s="117" t="s">
        <v>117</v>
      </c>
      <c r="D92" s="116">
        <v>4</v>
      </c>
      <c r="E92" s="119">
        <v>21</v>
      </c>
      <c r="F92" s="119">
        <v>17</v>
      </c>
      <c r="G92" s="119">
        <v>11</v>
      </c>
      <c r="H92" s="118">
        <v>36663</v>
      </c>
      <c r="I92" s="120">
        <v>13484.84</v>
      </c>
      <c r="J92" s="121">
        <f t="shared" si="2"/>
      </c>
      <c r="K92" s="121">
        <f t="shared" si="0"/>
      </c>
      <c r="L92" s="121">
        <f t="shared" si="3"/>
      </c>
      <c r="M92" s="118"/>
      <c r="N92" s="122"/>
      <c r="O92" s="118"/>
      <c r="P92" s="119"/>
      <c r="Q92" s="123"/>
      <c r="R92" s="123"/>
      <c r="S92" s="123"/>
    </row>
    <row customHeight="true" ht="16.071428571428573" r="93">
      <c r="A93" s="115">
        <v>46293</v>
      </c>
      <c r="B93" s="116" t="s">
        <v>93</v>
      </c>
      <c r="C93" s="117" t="s">
        <v>112</v>
      </c>
      <c r="D93" s="116">
        <v>4</v>
      </c>
      <c r="E93" s="119">
        <v>16</v>
      </c>
      <c r="F93" s="119">
        <v>12</v>
      </c>
      <c r="G93" s="119">
        <v>11</v>
      </c>
      <c r="H93" s="119">
        <v>30546.61</v>
      </c>
      <c r="I93" s="124">
        <v>14982.47</v>
      </c>
      <c r="J93" s="121">
        <f t="shared" si="2"/>
      </c>
      <c r="K93" s="121">
        <f t="shared" si="0"/>
      </c>
      <c r="L93" s="121">
        <f t="shared" si="3"/>
      </c>
      <c r="M93" s="119" t="s">
        <v>120</v>
      </c>
      <c r="N93" s="122">
        <v>7</v>
      </c>
      <c r="O93" s="119" t="s">
        <v>118</v>
      </c>
      <c r="P93" s="119">
        <v>7</v>
      </c>
      <c r="Q93" s="123"/>
      <c r="R93" s="123"/>
      <c r="S93" s="123"/>
    </row>
    <row customHeight="true" ht="16.071428571428573" r="94">
      <c r="A94" s="115">
        <v>46293</v>
      </c>
      <c r="B94" s="102" t="s">
        <v>102</v>
      </c>
      <c r="C94" s="117" t="s">
        <v>105</v>
      </c>
      <c r="D94" s="116">
        <v>4</v>
      </c>
      <c r="E94" s="119">
        <v>21</v>
      </c>
      <c r="F94" s="119">
        <v>14</v>
      </c>
      <c r="G94" s="119">
        <v>12</v>
      </c>
      <c r="H94" s="119">
        <v>33917.799999999996</v>
      </c>
      <c r="I94" s="125">
        <v>17483.79</v>
      </c>
      <c r="J94" s="121">
        <f t="shared" si="2"/>
      </c>
      <c r="K94" s="121">
        <f t="shared" si="0"/>
      </c>
      <c r="L94" s="121">
        <f t="shared" si="3"/>
      </c>
      <c r="M94" s="119" t="s">
        <v>111</v>
      </c>
      <c r="N94" s="122">
        <v>9</v>
      </c>
      <c r="O94" s="118" t="s">
        <v>96</v>
      </c>
      <c r="P94" s="119">
        <v>9</v>
      </c>
      <c r="Q94" s="123"/>
      <c r="R94" s="123"/>
      <c r="S94" s="123"/>
    </row>
    <row customHeight="true" ht="16.071428571428573" r="95">
      <c r="A95" s="115">
        <v>46293</v>
      </c>
      <c r="B95" s="102" t="s">
        <v>114</v>
      </c>
      <c r="C95" s="117" t="s">
        <v>106</v>
      </c>
      <c r="D95" s="117">
        <v>4</v>
      </c>
      <c r="E95" s="119">
        <v>16</v>
      </c>
      <c r="F95" s="119">
        <v>10</v>
      </c>
      <c r="G95" s="119">
        <v>7</v>
      </c>
      <c r="H95" s="119">
        <v>21811.37</v>
      </c>
      <c r="I95" s="125">
        <v>13335.14</v>
      </c>
      <c r="J95" s="121">
        <f t="shared" si="2"/>
      </c>
      <c r="K95" s="121">
        <f t="shared" si="0"/>
      </c>
      <c r="L95" s="121">
        <f t="shared" si="3"/>
      </c>
      <c r="M95" s="118"/>
      <c r="N95" s="126"/>
      <c r="O95" s="118"/>
      <c r="P95" s="118"/>
      <c r="Q95" s="123"/>
      <c r="R95" s="123"/>
      <c r="S95" s="123"/>
    </row>
    <row customHeight="true" ht="16.071428571428573" r="96">
      <c r="A96" s="127">
        <v>46293</v>
      </c>
      <c r="B96" s="128" t="s">
        <v>99</v>
      </c>
      <c r="C96" s="129"/>
      <c r="D96" s="130">
        <f>SUM(D92:D95)</f>
      </c>
      <c r="E96" s="130">
        <f>SUM(E92:E95)</f>
      </c>
      <c r="F96" s="130">
        <f>SUM(F92:F95)</f>
      </c>
      <c r="G96" s="130">
        <f>SUM(G92:G95)</f>
      </c>
      <c r="H96" s="131">
        <f>SUM(H92:H95)</f>
      </c>
      <c r="I96" s="131">
        <f>SUM(I92:I95)</f>
      </c>
      <c r="J96" s="132">
        <f t="shared" si="2"/>
      </c>
      <c r="K96" s="132">
        <f t="shared" si="0"/>
      </c>
      <c r="L96" s="132">
        <f t="shared" si="3"/>
      </c>
      <c r="M96" s="128"/>
      <c r="N96" s="130">
        <f>SUM(N92:N95)</f>
      </c>
      <c r="O96" s="130"/>
      <c r="P96" s="130">
        <f>SUM(P92:P95)</f>
      </c>
      <c r="Q96" s="123"/>
      <c r="R96" s="123"/>
      <c r="S96" s="123"/>
    </row>
    <row customHeight="true" ht="16.071428571428573" r="97">
      <c r="A97" s="115">
        <v>46294</v>
      </c>
      <c r="B97" s="116" t="s">
        <v>93</v>
      </c>
      <c r="C97" s="117" t="s">
        <v>117</v>
      </c>
      <c r="D97" s="116">
        <v>4</v>
      </c>
      <c r="E97" s="119">
        <v>27</v>
      </c>
      <c r="F97" s="119">
        <v>26</v>
      </c>
      <c r="G97" s="119">
        <v>18</v>
      </c>
      <c r="H97" s="118">
        <v>82584.77</v>
      </c>
      <c r="I97" s="120">
        <v>21207.050000000003</v>
      </c>
      <c r="J97" s="121">
        <f t="shared" si="2"/>
      </c>
      <c r="K97" s="121">
        <f t="shared" si="0"/>
      </c>
      <c r="L97" s="121">
        <f t="shared" si="3"/>
      </c>
      <c r="M97" s="118"/>
      <c r="N97" s="122"/>
      <c r="O97" s="118"/>
      <c r="P97" s="119"/>
      <c r="Q97" s="123"/>
      <c r="R97" s="123"/>
      <c r="S97" s="123"/>
    </row>
    <row customHeight="true" ht="16.071428571428573" r="98">
      <c r="A98" s="115">
        <v>46294</v>
      </c>
      <c r="B98" s="102" t="s">
        <v>97</v>
      </c>
      <c r="C98" s="117" t="s">
        <v>112</v>
      </c>
      <c r="D98" s="116">
        <v>4</v>
      </c>
      <c r="E98" s="119">
        <v>28</v>
      </c>
      <c r="F98" s="119">
        <v>24</v>
      </c>
      <c r="G98" s="119">
        <v>20</v>
      </c>
      <c r="H98" s="119">
        <v>52382.44</v>
      </c>
      <c r="I98" s="124">
        <v>32319.53</v>
      </c>
      <c r="J98" s="121">
        <f t="shared" si="2"/>
      </c>
      <c r="K98" s="121">
        <f t="shared" si="0"/>
      </c>
      <c r="L98" s="121">
        <f t="shared" si="3"/>
      </c>
      <c r="M98" s="119" t="s">
        <v>121</v>
      </c>
      <c r="N98" s="122">
        <v>7</v>
      </c>
      <c r="O98" s="119" t="s">
        <v>118</v>
      </c>
      <c r="P98" s="119">
        <v>7</v>
      </c>
      <c r="Q98" s="123"/>
      <c r="R98" s="123"/>
      <c r="S98" s="123"/>
    </row>
    <row customHeight="true" ht="16.071428571428573" r="99">
      <c r="A99" s="115">
        <v>46294</v>
      </c>
      <c r="B99" s="102" t="s">
        <v>115</v>
      </c>
      <c r="C99" s="117" t="s">
        <v>105</v>
      </c>
      <c r="D99" s="116">
        <v>4</v>
      </c>
      <c r="E99" s="119">
        <v>21</v>
      </c>
      <c r="F99" s="119">
        <v>17</v>
      </c>
      <c r="G99" s="119">
        <v>17</v>
      </c>
      <c r="H99" s="119">
        <v>31873.1</v>
      </c>
      <c r="I99" s="125">
        <v>17290.91</v>
      </c>
      <c r="J99" s="121">
        <f t="shared" si="2"/>
      </c>
      <c r="K99" s="121">
        <f t="shared" si="0"/>
      </c>
      <c r="L99" s="121">
        <f t="shared" si="3"/>
      </c>
      <c r="M99" s="119" t="s">
        <v>111</v>
      </c>
      <c r="N99" s="122">
        <v>9</v>
      </c>
      <c r="O99" s="118" t="s">
        <v>96</v>
      </c>
      <c r="P99" s="119">
        <v>9</v>
      </c>
      <c r="Q99" s="123"/>
      <c r="R99" s="123"/>
      <c r="S99" s="123"/>
    </row>
    <row customHeight="true" ht="16.071428571428573" r="100">
      <c r="A100" s="115">
        <v>46294</v>
      </c>
      <c r="B100" s="102" t="s">
        <v>102</v>
      </c>
      <c r="C100" s="117" t="s">
        <v>106</v>
      </c>
      <c r="D100" s="117">
        <v>4</v>
      </c>
      <c r="E100" s="119">
        <v>27</v>
      </c>
      <c r="F100" s="119">
        <v>16</v>
      </c>
      <c r="G100" s="119">
        <v>13</v>
      </c>
      <c r="H100" s="119">
        <v>40579.89</v>
      </c>
      <c r="I100" s="125">
        <v>19340.66</v>
      </c>
      <c r="J100" s="121">
        <f t="shared" si="2"/>
      </c>
      <c r="K100" s="121">
        <f t="shared" si="0"/>
      </c>
      <c r="L100" s="121">
        <f t="shared" si="3"/>
      </c>
      <c r="M100" s="118"/>
      <c r="N100" s="126"/>
      <c r="O100" s="118"/>
      <c r="P100" s="118"/>
      <c r="Q100" s="123"/>
      <c r="R100" s="123"/>
      <c r="S100" s="123"/>
    </row>
    <row customHeight="true" ht="16.071428571428573" r="101">
      <c r="A101" s="127">
        <v>46294</v>
      </c>
      <c r="B101" s="128" t="s">
        <v>99</v>
      </c>
      <c r="C101" s="129"/>
      <c r="D101" s="130">
        <f>SUM(D97:D100)</f>
      </c>
      <c r="E101" s="130">
        <f>SUM(E97:E100)</f>
      </c>
      <c r="F101" s="130">
        <f>SUM(F97:F100)</f>
      </c>
      <c r="G101" s="130">
        <f>SUM(G97:G100)</f>
      </c>
      <c r="H101" s="131">
        <f>SUM(H97:H100)</f>
      </c>
      <c r="I101" s="131">
        <f>SUM(I97:I100)</f>
      </c>
      <c r="J101" s="132">
        <f t="shared" si="2"/>
      </c>
      <c r="K101" s="132">
        <f t="shared" si="0"/>
      </c>
      <c r="L101" s="132">
        <f t="shared" si="3"/>
      </c>
      <c r="M101" s="128"/>
      <c r="N101" s="130">
        <f>SUM(N97:N100)</f>
      </c>
      <c r="O101" s="130"/>
      <c r="P101" s="130">
        <f>SUM(P97:P100)</f>
      </c>
      <c r="Q101" s="123"/>
      <c r="R101" s="123"/>
      <c r="S101" s="123"/>
    </row>
    <row customHeight="true" ht="16.071428571428573" r="102">
      <c r="A102" s="115">
        <v>46295</v>
      </c>
      <c r="B102" s="102" t="s">
        <v>115</v>
      </c>
      <c r="C102" s="117" t="s">
        <v>122</v>
      </c>
      <c r="D102" s="117">
        <v>5</v>
      </c>
      <c r="E102" s="119">
        <v>35</v>
      </c>
      <c r="F102" s="119">
        <v>28</v>
      </c>
      <c r="G102" s="119">
        <v>23</v>
      </c>
      <c r="H102" s="119">
        <v>71814.17</v>
      </c>
      <c r="I102" s="124">
        <v>23815.77</v>
      </c>
      <c r="J102" s="121">
        <f t="shared" si="2"/>
      </c>
      <c r="K102" s="121">
        <f t="shared" si="0"/>
      </c>
      <c r="L102" s="121">
        <f t="shared" si="3"/>
      </c>
      <c r="M102" s="119" t="s">
        <v>123</v>
      </c>
      <c r="N102" s="122">
        <v>5</v>
      </c>
      <c r="O102" s="119" t="s">
        <v>118</v>
      </c>
      <c r="P102" s="119">
        <v>5</v>
      </c>
    </row>
    <row customHeight="true" ht="16.071428571428573" r="103">
      <c r="A103" s="115">
        <v>46295</v>
      </c>
      <c r="B103" s="102" t="s">
        <v>97</v>
      </c>
      <c r="C103" s="117" t="s">
        <v>124</v>
      </c>
      <c r="D103" s="117">
        <v>5</v>
      </c>
      <c r="E103" s="119">
        <v>24</v>
      </c>
      <c r="F103" s="119">
        <v>20</v>
      </c>
      <c r="G103" s="119">
        <v>15</v>
      </c>
      <c r="H103" s="119">
        <v>51557.86</v>
      </c>
      <c r="I103" s="125">
        <v>21001.92</v>
      </c>
      <c r="J103" s="121">
        <f t="shared" si="2"/>
      </c>
      <c r="K103" s="121">
        <f t="shared" si="0"/>
      </c>
      <c r="L103" s="121">
        <f t="shared" si="3"/>
      </c>
      <c r="M103" s="119" t="s">
        <v>111</v>
      </c>
      <c r="N103" s="122">
        <v>9</v>
      </c>
      <c r="O103" s="118" t="s">
        <v>96</v>
      </c>
      <c r="P103" s="119">
        <v>9</v>
      </c>
    </row>
    <row customHeight="true" ht="16.071428571428573" r="104">
      <c r="A104" s="115">
        <v>46295</v>
      </c>
      <c r="B104" s="102" t="s">
        <v>114</v>
      </c>
      <c r="C104" s="117" t="s">
        <v>106</v>
      </c>
      <c r="D104" s="117">
        <v>4</v>
      </c>
      <c r="E104" s="119">
        <v>12</v>
      </c>
      <c r="F104" s="119">
        <v>8</v>
      </c>
      <c r="G104" s="119">
        <v>5</v>
      </c>
      <c r="H104" s="119">
        <v>20459.12</v>
      </c>
      <c r="I104" s="125">
        <v>17634.05</v>
      </c>
      <c r="J104" s="121">
        <f t="shared" si="2"/>
      </c>
      <c r="K104" s="121">
        <f t="shared" si="0"/>
      </c>
      <c r="L104" s="121">
        <f t="shared" si="3"/>
      </c>
      <c r="M104" s="118"/>
      <c r="N104" s="126"/>
      <c r="O104" s="118"/>
      <c r="P104" s="118"/>
    </row>
    <row customHeight="true" ht="16.071428571428573" r="105">
      <c r="A105" s="127">
        <v>46295</v>
      </c>
      <c r="B105" s="128" t="s">
        <v>99</v>
      </c>
      <c r="C105" s="129"/>
      <c r="D105" s="130">
        <f>SUM(D102:D104)</f>
      </c>
      <c r="E105" s="130">
        <f>SUM(E102:E104)</f>
      </c>
      <c r="F105" s="130">
        <f>SUM(F102:F104)</f>
      </c>
      <c r="G105" s="130">
        <f>SUM(G102:G104)</f>
      </c>
      <c r="H105" s="131">
        <f>SUM(H102:H104)</f>
      </c>
      <c r="I105" s="131">
        <f>SUM(I102:I104)</f>
      </c>
      <c r="J105" s="132">
        <f t="shared" si="2"/>
      </c>
      <c r="K105" s="132">
        <f t="shared" si="0"/>
      </c>
      <c r="L105" s="132">
        <f t="shared" si="3"/>
      </c>
      <c r="M105" s="128"/>
      <c r="N105" s="130">
        <f>SUM(N102:N104)</f>
      </c>
      <c r="O105" s="130"/>
      <c r="P105" s="130">
        <f>SUM(P102:P104)</f>
      </c>
    </row>
    <row customHeight="true" ht="16.071428571428573" r="106"/>
    <row customHeight="true" ht="16.071428571428573" r="107"/>
    <row customHeight="true" ht="16.071428571428573" r="108">
      <c r="A108" s="133"/>
      <c r="B108" s="133"/>
      <c r="C108" s="134"/>
      <c r="D108" s="133"/>
      <c r="E108" s="133"/>
      <c r="F108" s="133"/>
    </row>
    <row customHeight="true" ht="16.071428571428573" r="109"/>
    <row customHeight="true" ht="16.071428571428573" r="110">
      <c r="F110" s="135" t="s">
        <v>86</v>
      </c>
      <c r="J110" t="s">
        <v>89</v>
      </c>
      <c r="K110" t="s">
        <v>125</v>
      </c>
    </row>
    <row customHeight="true" ht="16.071428571428573" r="111">
      <c r="F111" s="136">
        <f t="shared" ref="F111:F116" si="1">D111/E111</f>
      </c>
      <c r="J111" t="s">
        <v>100</v>
      </c>
      <c r="K111">
        <v>22</v>
      </c>
    </row>
    <row customHeight="true" ht="16.071428571428573" r="112">
      <c r="F112" s="136">
        <f t="shared" si="1"/>
      </c>
      <c r="J112" t="s">
        <v>113</v>
      </c>
      <c r="K112">
        <v>12</v>
      </c>
    </row>
    <row customHeight="true" ht="16.071428571428573" r="113">
      <c r="F113" s="136">
        <f t="shared" si="1"/>
      </c>
      <c r="J113" t="s">
        <v>110</v>
      </c>
      <c r="K113">
        <v>4</v>
      </c>
    </row>
    <row customHeight="true" ht="16.071428571428573" r="114">
      <c r="F114" s="136">
        <f t="shared" si="1"/>
      </c>
      <c r="J114" t="s">
        <v>116</v>
      </c>
      <c r="K114">
        <v>24</v>
      </c>
    </row>
    <row customHeight="true" ht="16.071428571428573" r="115">
      <c r="F115" s="136">
        <f t="shared" si="1"/>
      </c>
      <c r="J115" t="s">
        <v>120</v>
      </c>
      <c r="K115">
        <v>7</v>
      </c>
    </row>
    <row r="116">
      <c r="E116" s="135"/>
      <c r="F116" s="136">
        <f t="shared" si="1"/>
      </c>
      <c r="J116" t="s">
        <v>121</v>
      </c>
      <c r="K116">
        <v>7</v>
      </c>
    </row>
    <row r="117">
      <c r="D117" s="137"/>
      <c r="E117" s="136"/>
      <c r="J117" t="s">
        <v>111</v>
      </c>
      <c r="K117">
        <v>118</v>
      </c>
    </row>
    <row r="118">
      <c r="D118" s="137"/>
      <c r="E118" s="135"/>
      <c r="F118" s="135"/>
      <c r="J118" t="s">
        <v>95</v>
      </c>
      <c r="K118">
        <v>5</v>
      </c>
    </row>
    <row r="119">
      <c r="B119" s="138"/>
      <c r="C119" s="138"/>
      <c r="D119" s="139">
        <v>1331576.88</v>
      </c>
      <c r="E119" s="140">
        <v>1327348.31</v>
      </c>
      <c r="F119" s="141">
        <f>D119-E119</f>
      </c>
      <c r="G119" s="142">
        <v>4228.57</v>
      </c>
      <c r="J119" t="s">
        <v>123</v>
      </c>
      <c r="K119">
        <v>5</v>
      </c>
    </row>
    <row r="120">
      <c r="B120" s="138"/>
      <c r="C120" s="138"/>
      <c r="D120" s="143"/>
      <c r="E120" s="140">
        <v>1327348.31</v>
      </c>
      <c r="F120" s="136"/>
      <c r="J120" t="s">
        <v>119</v>
      </c>
      <c r="K120">
        <v>9</v>
      </c>
    </row>
    <row r="121">
      <c r="B121" s="138"/>
      <c r="C121" s="138"/>
      <c r="D121" s="138"/>
      <c r="E121" s="136"/>
      <c r="F121" s="136"/>
      <c r="J121" t="s">
        <v>109</v>
      </c>
      <c r="K121">
        <v>1</v>
      </c>
    </row>
    <row r="122">
      <c r="B122" s="138"/>
      <c r="C122" s="138"/>
      <c r="D122" s="138"/>
      <c r="E122" s="136"/>
      <c r="F122" s="136"/>
      <c r="J122" t="s">
        <v>107</v>
      </c>
      <c r="K122">
        <v>11</v>
      </c>
    </row>
    <row r="123">
      <c r="B123" s="138"/>
      <c r="C123" s="138"/>
      <c r="D123" s="138"/>
      <c r="E123" s="138"/>
      <c r="F123" s="136"/>
      <c r="J123" t="s">
        <v>103</v>
      </c>
      <c r="K123">
        <v>55</v>
      </c>
    </row>
    <row r="124">
      <c r="B124" s="138"/>
      <c r="C124" s="138"/>
      <c r="D124" s="138"/>
      <c r="E124" s="138"/>
      <c r="F124" s="136"/>
      <c r="J124" t="s">
        <v>126</v>
      </c>
      <c r="K124">
        <v>280</v>
      </c>
    </row>
    <row r="125"/>
    <row r="126">
      <c r="C126" s="133"/>
      <c r="D126" s="144"/>
    </row>
    <row r="127">
      <c r="C127" s="133"/>
      <c r="D127" s="144"/>
      <c r="E127" s="133"/>
    </row>
    <row r="128">
      <c r="C128" s="133"/>
      <c r="D128" s="144"/>
      <c r="E128" s="133"/>
      <c r="F128" s="133"/>
    </row>
    <row r="129"/>
    <row r="130"/>
    <row r="131"/>
    <row r="132"/>
    <row r="133">
      <c r="A133" s="133"/>
      <c r="B133" s="133"/>
      <c r="C133" s="133"/>
      <c r="D133" s="144"/>
    </row>
  </sheetData>
  <autoFilter ref="A1:P105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2" ySplit="1"/>
    </sheetView>
  </sheetViews>
  <sheetFormatPr defaultRowHeight="16"/>
  <cols>
    <col collapsed="false" customWidth="true" hidden="false" max="13" min="13" style="0" width="11.044110818758705"/>
    <col collapsed="false" customWidth="true" hidden="false" max="17" min="17" style="0" width="11.044110818758705"/>
    <col collapsed="false" customWidth="true" hidden="false" max="21" min="21" style="0" width="11.044110818758705"/>
    <col collapsed="false" customWidth="true" hidden="false" max="1" min="1" style="0" width="11.044110818758705"/>
    <col collapsed="false" customWidth="true" hidden="false" max="5" min="5" style="0" width="11.211267605633802"/>
    <col collapsed="false" customWidth="true" hidden="false" max="9" min="9" style="0" width="11.044110818758705"/>
    <col collapsed="false" customWidth="true" hidden="false" max="14" min="14" style="0" width="11.044110818758705"/>
    <col collapsed="false" customWidth="true" hidden="false" max="18" min="18" style="0" width="11.044110818758705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044110818758705"/>
    <col collapsed="false" customWidth="true" hidden="false" max="15" min="15" style="0" width="11.044110818758705"/>
    <col collapsed="false" customWidth="true" hidden="false" max="19" min="19" style="0" width="11.044110818758705"/>
    <col collapsed="false" customWidth="true" hidden="false" max="3" min="3" style="0" width="11.211267605633802"/>
    <col collapsed="false" customWidth="true" hidden="false" max="7" min="7" style="0" width="11.044110818758705"/>
    <col collapsed="false" customWidth="true" hidden="false" max="11" min="11" style="0" width="11.044110818758705"/>
    <col collapsed="false" customWidth="true" hidden="false" max="16" min="16" style="0" width="11.044110818758705"/>
    <col collapsed="false" customWidth="true" hidden="false" max="20" min="20" style="0" width="11.044110818758705"/>
    <col collapsed="false" customWidth="true" hidden="false" max="4" min="4" style="0" width="11.211267605633802"/>
    <col collapsed="false" customWidth="true" hidden="false" max="8" min="8" style="0" width="11.044110818758705"/>
    <col collapsed="false" customWidth="true" hidden="false" max="12" min="12" style="0" width="11.044110818758705"/>
  </cols>
  <sheetData>
    <row r="1">
      <c r="A1" s="145" t="s">
        <v>127</v>
      </c>
      <c r="B1" s="145" t="s">
        <v>128</v>
      </c>
      <c r="C1" s="145" t="s">
        <v>129</v>
      </c>
      <c r="D1" s="145" t="s">
        <v>130</v>
      </c>
      <c r="E1" s="146" t="s">
        <v>131</v>
      </c>
      <c r="F1" s="146" t="s">
        <v>132</v>
      </c>
      <c r="G1" s="147" t="s">
        <v>133</v>
      </c>
      <c r="H1" s="146" t="s">
        <v>134</v>
      </c>
      <c r="I1" s="148" t="s">
        <v>135</v>
      </c>
      <c r="J1" s="149" t="s">
        <v>136</v>
      </c>
      <c r="K1" s="149" t="s">
        <v>137</v>
      </c>
      <c r="L1" s="149" t="s">
        <v>138</v>
      </c>
      <c r="M1" s="145" t="s">
        <v>139</v>
      </c>
      <c r="N1" s="150" t="s">
        <v>140</v>
      </c>
      <c r="O1" s="145" t="s">
        <v>141</v>
      </c>
      <c r="P1" s="145" t="s">
        <v>142</v>
      </c>
      <c r="Q1" s="151" t="s">
        <v>143</v>
      </c>
    </row>
    <row r="2">
      <c r="A2" s="152">
        <v>46241</v>
      </c>
      <c r="B2" s="153" t="s">
        <v>144</v>
      </c>
      <c r="C2" s="153" t="s">
        <v>145</v>
      </c>
      <c r="D2" s="153">
        <v>4</v>
      </c>
      <c r="E2" s="154">
        <v>3</v>
      </c>
      <c r="F2" s="154">
        <v>0</v>
      </c>
      <c r="G2" s="154">
        <v>0</v>
      </c>
      <c r="H2" s="154">
        <v>0</v>
      </c>
      <c r="I2" s="155">
        <v>3186.89</v>
      </c>
      <c r="J2" s="156">
        <f t="shared" ref="J2:J29" si="4">H2/I2</f>
      </c>
      <c r="K2" s="156">
        <f t="shared" ref="K2:K29" si="0">H2/F2</f>
      </c>
      <c r="L2" s="156">
        <f t="shared" ref="L2:L29" si="2">I2/F2</f>
      </c>
      <c r="M2" s="154" t="s">
        <v>146</v>
      </c>
      <c r="N2" s="157">
        <v>4</v>
      </c>
      <c r="O2" s="154" t="s">
        <v>147</v>
      </c>
      <c r="P2" s="154">
        <v>4</v>
      </c>
      <c r="Q2" s="158"/>
    </row>
    <row r="3">
      <c r="A3" s="159">
        <v>46241</v>
      </c>
      <c r="B3" s="160" t="s">
        <v>148</v>
      </c>
      <c r="C3" s="161"/>
      <c r="D3" s="162">
        <f>SUM(D2)</f>
      </c>
      <c r="E3" s="162">
        <f>SUM(E2)</f>
      </c>
      <c r="F3" s="162">
        <f>SUM(F2)</f>
      </c>
      <c r="G3" s="162">
        <f>SUM(G2)</f>
      </c>
      <c r="H3" s="163">
        <f>SUM(H2)</f>
      </c>
      <c r="I3" s="163">
        <f>SUM(I2)</f>
      </c>
      <c r="J3" s="164">
        <f t="shared" si="4"/>
      </c>
      <c r="K3" s="164">
        <f t="shared" si="0"/>
      </c>
      <c r="L3" s="164">
        <f t="shared" si="2"/>
      </c>
      <c r="M3" s="160"/>
      <c r="N3" s="165">
        <f>SUM(N2)</f>
      </c>
      <c r="O3" s="160"/>
      <c r="P3" s="165">
        <f>SUM(P2)</f>
      </c>
      <c r="Q3" s="158"/>
    </row>
    <row r="4">
      <c r="A4" s="166">
        <v>46242</v>
      </c>
      <c r="B4" s="153" t="s">
        <v>144</v>
      </c>
      <c r="C4" s="153" t="s">
        <v>149</v>
      </c>
      <c r="D4" s="153">
        <v>3</v>
      </c>
      <c r="E4" s="154">
        <v>4</v>
      </c>
      <c r="F4" s="154">
        <v>1</v>
      </c>
      <c r="G4" s="154">
        <v>1</v>
      </c>
      <c r="H4" s="167">
        <v>1654</v>
      </c>
      <c r="I4" s="155">
        <v>3854.9</v>
      </c>
      <c r="J4" s="156">
        <f t="shared" si="4"/>
      </c>
      <c r="K4" s="156">
        <f t="shared" si="0"/>
      </c>
      <c r="L4" s="156">
        <f t="shared" si="2"/>
      </c>
      <c r="M4" s="154" t="s">
        <v>146</v>
      </c>
      <c r="N4" s="157">
        <v>6</v>
      </c>
      <c r="O4" s="154" t="s">
        <v>147</v>
      </c>
      <c r="P4" s="154">
        <v>6</v>
      </c>
      <c r="Q4" s="158"/>
    </row>
    <row customHeight="true" ht="16.071428571428573" r="5">
      <c r="A5" s="152">
        <v>46242</v>
      </c>
      <c r="B5" s="153" t="s">
        <v>150</v>
      </c>
      <c r="C5" s="153" t="s">
        <v>151</v>
      </c>
      <c r="D5" s="153">
        <v>3</v>
      </c>
      <c r="E5" s="154">
        <v>9</v>
      </c>
      <c r="F5" s="154">
        <v>6</v>
      </c>
      <c r="G5" s="154">
        <v>6</v>
      </c>
      <c r="H5" s="167">
        <v>10450.95</v>
      </c>
      <c r="I5" s="168">
        <v>10599.720000000001</v>
      </c>
      <c r="J5" s="156">
        <f t="shared" si="4"/>
      </c>
      <c r="K5" s="156">
        <f t="shared" si="0"/>
      </c>
      <c r="L5" s="156">
        <f t="shared" si="2"/>
      </c>
      <c r="M5" s="154"/>
      <c r="N5" s="157"/>
      <c r="O5" s="154"/>
      <c r="P5" s="154"/>
      <c r="Q5" s="158"/>
    </row>
    <row r="6">
      <c r="A6" s="159">
        <v>46242</v>
      </c>
      <c r="B6" s="160" t="s">
        <v>148</v>
      </c>
      <c r="C6" s="161"/>
      <c r="D6" s="162">
        <f>SUM(D4:D5)</f>
      </c>
      <c r="E6" s="162">
        <f>SUM(E4:E5)</f>
      </c>
      <c r="F6" s="162">
        <f>SUM(F4:F5)</f>
      </c>
      <c r="G6" s="162">
        <f>SUM(G4:G5)</f>
      </c>
      <c r="H6" s="169">
        <f>SUM(H4:H5)</f>
      </c>
      <c r="I6" s="169">
        <f>SUM(I4:I5)</f>
      </c>
      <c r="J6" s="164">
        <f t="shared" si="4"/>
      </c>
      <c r="K6" s="164">
        <f t="shared" si="0"/>
      </c>
      <c r="L6" s="164">
        <f t="shared" si="2"/>
      </c>
      <c r="M6" s="160"/>
      <c r="N6" s="162">
        <f>SUM(N4:N5)</f>
      </c>
      <c r="O6" s="160"/>
      <c r="P6" s="162">
        <f>SUM(P4:P5)</f>
      </c>
      <c r="Q6" s="158"/>
    </row>
    <row r="7">
      <c r="A7" s="166">
        <v>46243</v>
      </c>
      <c r="B7" s="153" t="s">
        <v>144</v>
      </c>
      <c r="C7" s="153" t="s">
        <v>149</v>
      </c>
      <c r="D7" s="153">
        <v>3</v>
      </c>
      <c r="E7" s="154">
        <v>9</v>
      </c>
      <c r="F7" s="154">
        <v>6</v>
      </c>
      <c r="G7" s="154">
        <v>5</v>
      </c>
      <c r="H7" s="167">
        <v>15482.79</v>
      </c>
      <c r="I7" s="168">
        <v>8937.14</v>
      </c>
      <c r="J7" s="156">
        <f t="shared" si="4"/>
      </c>
      <c r="K7" s="156">
        <f t="shared" si="0"/>
      </c>
      <c r="L7" s="156">
        <f t="shared" si="2"/>
      </c>
      <c r="M7" s="154" t="s">
        <v>152</v>
      </c>
      <c r="N7" s="157">
        <v>6</v>
      </c>
      <c r="O7" s="154" t="s">
        <v>147</v>
      </c>
      <c r="P7" s="154">
        <v>6</v>
      </c>
    </row>
    <row r="8">
      <c r="A8" s="166">
        <v>46243</v>
      </c>
      <c r="B8" s="153" t="s">
        <v>150</v>
      </c>
      <c r="C8" s="153" t="s">
        <v>151</v>
      </c>
      <c r="D8" s="153">
        <v>3</v>
      </c>
      <c r="E8" s="154">
        <v>2</v>
      </c>
      <c r="F8" s="154">
        <v>1</v>
      </c>
      <c r="G8" s="154">
        <v>1</v>
      </c>
      <c r="H8" s="167">
        <v>20761.450000000004</v>
      </c>
      <c r="I8" s="168">
        <v>6019.13</v>
      </c>
      <c r="J8" s="156">
        <f t="shared" si="4"/>
      </c>
      <c r="K8" s="156">
        <f t="shared" si="0"/>
      </c>
      <c r="L8" s="156">
        <f t="shared" si="2"/>
      </c>
      <c r="M8" s="154"/>
      <c r="N8" s="157"/>
      <c r="O8" s="154"/>
      <c r="P8" s="154"/>
    </row>
    <row r="9">
      <c r="A9" s="159">
        <v>46243</v>
      </c>
      <c r="B9" s="160" t="s">
        <v>148</v>
      </c>
      <c r="C9" s="161"/>
      <c r="D9" s="162">
        <f>SUM(D7:D8)</f>
      </c>
      <c r="E9" s="162">
        <f>SUM(E7:E8)</f>
      </c>
      <c r="F9" s="162">
        <f>SUM(F7:F8)</f>
      </c>
      <c r="G9" s="162">
        <f>SUM(G7:G8)</f>
      </c>
      <c r="H9" s="169">
        <f>SUM(H7:H8)</f>
      </c>
      <c r="I9" s="169">
        <f>SUM(I7:I8)</f>
      </c>
      <c r="J9" s="164">
        <f t="shared" si="4"/>
      </c>
      <c r="K9" s="164">
        <f t="shared" si="0"/>
      </c>
      <c r="L9" s="164">
        <f t="shared" si="2"/>
      </c>
      <c r="M9" s="160"/>
      <c r="N9" s="162">
        <f>SUM(N7:N8)</f>
      </c>
      <c r="O9" s="160"/>
      <c r="P9" s="162">
        <f>SUM(P7:P8)</f>
      </c>
    </row>
    <row r="10">
      <c r="A10" s="166">
        <v>46244</v>
      </c>
      <c r="B10" s="153" t="s">
        <v>144</v>
      </c>
      <c r="C10" s="153" t="s">
        <v>149</v>
      </c>
      <c r="D10" s="153">
        <v>3</v>
      </c>
      <c r="E10" s="154">
        <v>4</v>
      </c>
      <c r="F10" s="154">
        <v>3</v>
      </c>
      <c r="G10" s="154">
        <v>3</v>
      </c>
      <c r="H10" s="167">
        <v>6864.9</v>
      </c>
      <c r="I10" s="155">
        <v>7319.25</v>
      </c>
      <c r="J10" s="156">
        <f t="shared" si="4"/>
      </c>
      <c r="K10" s="156">
        <f t="shared" si="0"/>
      </c>
      <c r="L10" s="156">
        <f t="shared" si="2"/>
      </c>
      <c r="M10" s="154" t="s">
        <v>153</v>
      </c>
      <c r="N10" s="157">
        <v>6</v>
      </c>
      <c r="O10" s="154" t="s">
        <v>147</v>
      </c>
      <c r="P10" s="154">
        <v>6</v>
      </c>
    </row>
    <row r="11">
      <c r="A11" s="166">
        <v>46244</v>
      </c>
      <c r="B11" s="153" t="s">
        <v>150</v>
      </c>
      <c r="C11" s="153" t="s">
        <v>151</v>
      </c>
      <c r="D11" s="153">
        <v>3</v>
      </c>
      <c r="E11" s="154">
        <v>6</v>
      </c>
      <c r="F11" s="154">
        <v>5</v>
      </c>
      <c r="G11" s="154">
        <v>5</v>
      </c>
      <c r="H11" s="167">
        <v>9487.8</v>
      </c>
      <c r="I11" s="168">
        <v>9645.01</v>
      </c>
      <c r="J11" s="156">
        <f t="shared" si="4"/>
      </c>
      <c r="K11" s="156">
        <f t="shared" si="0"/>
      </c>
      <c r="L11" s="156">
        <f t="shared" si="2"/>
      </c>
      <c r="M11" s="154"/>
      <c r="N11" s="157"/>
      <c r="O11" s="154"/>
      <c r="P11" s="154"/>
    </row>
    <row r="12">
      <c r="A12" s="159">
        <v>46244</v>
      </c>
      <c r="B12" s="160" t="s">
        <v>148</v>
      </c>
      <c r="C12" s="161"/>
      <c r="D12" s="162">
        <f>SUM(D10:D11)</f>
      </c>
      <c r="E12" s="162">
        <f>SUM(E10:E11)</f>
      </c>
      <c r="F12" s="162">
        <f>SUM(F10:F11)</f>
      </c>
      <c r="G12" s="162">
        <f>SUM(G10:G11)</f>
      </c>
      <c r="H12" s="169">
        <f>SUM(H10:H11)</f>
      </c>
      <c r="I12" s="169">
        <f>SUM(I10:I11)</f>
      </c>
      <c r="J12" s="164">
        <f t="shared" si="4"/>
      </c>
      <c r="K12" s="164">
        <f t="shared" si="0"/>
      </c>
      <c r="L12" s="164">
        <f t="shared" si="2"/>
      </c>
      <c r="M12" s="160"/>
      <c r="N12" s="162">
        <f>SUM(N10:N11)</f>
      </c>
      <c r="O12" s="160"/>
      <c r="P12" s="162">
        <f>SUM(P10:P11)</f>
      </c>
    </row>
    <row r="13">
      <c r="A13" s="166">
        <v>46245</v>
      </c>
      <c r="B13" s="153" t="s">
        <v>150</v>
      </c>
      <c r="C13" s="153" t="s">
        <v>149</v>
      </c>
      <c r="D13" s="153">
        <v>3</v>
      </c>
      <c r="E13" s="154">
        <v>10</v>
      </c>
      <c r="F13" s="154">
        <v>7</v>
      </c>
      <c r="G13" s="154">
        <v>6</v>
      </c>
      <c r="H13" s="167">
        <v>14666.43</v>
      </c>
      <c r="I13" s="168">
        <v>9131.95</v>
      </c>
      <c r="J13" s="156">
        <f t="shared" si="4"/>
      </c>
      <c r="K13" s="156">
        <f t="shared" si="0"/>
      </c>
      <c r="L13" s="156">
        <f t="shared" si="2"/>
      </c>
      <c r="M13" s="154" t="s">
        <v>152</v>
      </c>
      <c r="N13" s="157">
        <v>6</v>
      </c>
      <c r="O13" s="154" t="s">
        <v>147</v>
      </c>
      <c r="P13" s="154">
        <v>6</v>
      </c>
    </row>
    <row r="14">
      <c r="A14" s="166">
        <v>46245</v>
      </c>
      <c r="B14" s="153" t="s">
        <v>144</v>
      </c>
      <c r="C14" s="153" t="s">
        <v>151</v>
      </c>
      <c r="D14" s="153">
        <v>3</v>
      </c>
      <c r="E14" s="154">
        <v>9</v>
      </c>
      <c r="F14" s="154">
        <v>8</v>
      </c>
      <c r="G14" s="154">
        <v>6</v>
      </c>
      <c r="H14" s="167">
        <v>17841.24</v>
      </c>
      <c r="I14" s="168">
        <v>12608.79</v>
      </c>
      <c r="J14" s="156">
        <f t="shared" si="4"/>
      </c>
      <c r="K14" s="156">
        <f t="shared" si="0"/>
      </c>
      <c r="L14" s="156">
        <f t="shared" si="2"/>
      </c>
      <c r="M14" s="154"/>
      <c r="N14" s="157"/>
      <c r="O14" s="154"/>
      <c r="P14" s="154"/>
    </row>
    <row r="15">
      <c r="A15" s="159">
        <v>46245</v>
      </c>
      <c r="B15" s="160" t="s">
        <v>148</v>
      </c>
      <c r="C15" s="161"/>
      <c r="D15" s="162">
        <f>SUM(D13:D14)</f>
      </c>
      <c r="E15" s="162">
        <f>SUM(E13:E14)</f>
      </c>
      <c r="F15" s="162">
        <f>SUM(F13:F14)</f>
      </c>
      <c r="G15" s="162">
        <f>SUM(G13:G14)</f>
      </c>
      <c r="H15" s="169">
        <f>SUM(H13:H14)</f>
      </c>
      <c r="I15" s="169">
        <f>SUM(I13:I14)</f>
      </c>
      <c r="J15" s="164">
        <f t="shared" si="4"/>
      </c>
      <c r="K15" s="164">
        <f t="shared" si="0"/>
      </c>
      <c r="L15" s="164">
        <f t="shared" si="2"/>
      </c>
      <c r="M15" s="160"/>
      <c r="N15" s="162">
        <f>SUM(N13:N14)</f>
      </c>
      <c r="O15" s="160"/>
      <c r="P15" s="162">
        <f>SUM(P13:P14)</f>
      </c>
    </row>
    <row r="16">
      <c r="A16" s="166">
        <v>46246</v>
      </c>
      <c r="B16" s="153" t="s">
        <v>150</v>
      </c>
      <c r="C16" s="153" t="s">
        <v>149</v>
      </c>
      <c r="D16" s="153">
        <v>3</v>
      </c>
      <c r="E16" s="154">
        <v>3</v>
      </c>
      <c r="F16" s="154">
        <v>1</v>
      </c>
      <c r="G16" s="154">
        <v>0</v>
      </c>
      <c r="H16" s="167">
        <v>4455.64</v>
      </c>
      <c r="I16" s="168">
        <v>3288.2700000000004</v>
      </c>
      <c r="J16" s="156">
        <f t="shared" si="4"/>
      </c>
      <c r="K16" s="156">
        <f t="shared" si="0"/>
      </c>
      <c r="L16" s="156">
        <f t="shared" si="2"/>
      </c>
      <c r="M16" s="154" t="s">
        <v>152</v>
      </c>
      <c r="N16" s="157">
        <v>6</v>
      </c>
      <c r="O16" s="154" t="s">
        <v>147</v>
      </c>
      <c r="P16" s="154">
        <v>6</v>
      </c>
    </row>
    <row r="17">
      <c r="A17" s="166">
        <v>46246</v>
      </c>
      <c r="B17" s="153" t="s">
        <v>144</v>
      </c>
      <c r="C17" s="153" t="s">
        <v>151</v>
      </c>
      <c r="D17" s="153">
        <v>3</v>
      </c>
      <c r="E17" s="154">
        <v>7</v>
      </c>
      <c r="F17" s="154">
        <v>5</v>
      </c>
      <c r="G17" s="154">
        <v>4</v>
      </c>
      <c r="H17" s="167">
        <v>16086.16</v>
      </c>
      <c r="I17" s="168">
        <v>4986.17</v>
      </c>
      <c r="J17" s="156">
        <f t="shared" si="4"/>
      </c>
      <c r="K17" s="156">
        <f t="shared" si="0"/>
      </c>
      <c r="L17" s="156">
        <f t="shared" si="2"/>
      </c>
      <c r="M17" s="154"/>
      <c r="N17" s="157"/>
      <c r="O17" s="154"/>
      <c r="P17" s="154"/>
    </row>
    <row r="18">
      <c r="A18" s="159">
        <v>46246</v>
      </c>
      <c r="B18" s="160" t="s">
        <v>148</v>
      </c>
      <c r="C18" s="161"/>
      <c r="D18" s="162">
        <f>SUM(D16:D17)</f>
      </c>
      <c r="E18" s="162">
        <f>SUM(E16:E17)</f>
      </c>
      <c r="F18" s="162">
        <f>SUM(F16:F17)</f>
      </c>
      <c r="G18" s="162">
        <f>SUM(G16:G17)</f>
      </c>
      <c r="H18" s="169">
        <f>SUM(H16:H17)</f>
      </c>
      <c r="I18" s="169">
        <f>SUM(I16:I17)</f>
      </c>
      <c r="J18" s="164">
        <f t="shared" si="4"/>
      </c>
      <c r="K18" s="164">
        <f t="shared" si="0"/>
      </c>
      <c r="L18" s="164">
        <f t="shared" si="2"/>
      </c>
      <c r="M18" s="160"/>
      <c r="N18" s="162">
        <f>SUM(N16:N17)</f>
      </c>
      <c r="O18" s="160"/>
      <c r="P18" s="162">
        <f>SUM(P16:P17)</f>
      </c>
    </row>
    <row r="19">
      <c r="A19" s="166">
        <v>46247</v>
      </c>
      <c r="B19" s="153" t="s">
        <v>144</v>
      </c>
      <c r="C19" s="153" t="s">
        <v>149</v>
      </c>
      <c r="D19" s="153">
        <v>3</v>
      </c>
      <c r="E19" s="154">
        <v>4</v>
      </c>
      <c r="F19" s="154">
        <v>3</v>
      </c>
      <c r="G19" s="154">
        <v>3</v>
      </c>
      <c r="H19" s="167">
        <v>6944.46</v>
      </c>
      <c r="I19" s="168">
        <v>4410.49</v>
      </c>
      <c r="J19" s="156">
        <f t="shared" si="4"/>
      </c>
      <c r="K19" s="156">
        <f t="shared" si="0"/>
      </c>
      <c r="L19" s="156">
        <f t="shared" si="2"/>
      </c>
      <c r="M19" s="154" t="s">
        <v>154</v>
      </c>
      <c r="N19" s="157">
        <v>6</v>
      </c>
      <c r="O19" s="154" t="s">
        <v>147</v>
      </c>
      <c r="P19" s="154">
        <v>6</v>
      </c>
    </row>
    <row r="20">
      <c r="A20" s="166">
        <v>46247</v>
      </c>
      <c r="B20" s="153" t="s">
        <v>150</v>
      </c>
      <c r="C20" s="153" t="s">
        <v>151</v>
      </c>
      <c r="D20" s="153">
        <v>3</v>
      </c>
      <c r="E20" s="154">
        <v>4</v>
      </c>
      <c r="F20" s="154">
        <v>3</v>
      </c>
      <c r="G20" s="154">
        <v>3</v>
      </c>
      <c r="H20" s="167">
        <v>12508.630000000001</v>
      </c>
      <c r="I20" s="168">
        <v>9505.6</v>
      </c>
      <c r="J20" s="156">
        <f t="shared" si="4"/>
      </c>
      <c r="K20" s="156">
        <f t="shared" si="0"/>
      </c>
      <c r="L20" s="156">
        <f t="shared" si="2"/>
      </c>
      <c r="M20" s="154"/>
      <c r="N20" s="157"/>
      <c r="O20" s="154"/>
      <c r="P20" s="154"/>
    </row>
    <row r="21">
      <c r="A21" s="159">
        <v>46247</v>
      </c>
      <c r="B21" s="160" t="s">
        <v>148</v>
      </c>
      <c r="C21" s="161"/>
      <c r="D21" s="162">
        <f>SUM(D19:D20)</f>
      </c>
      <c r="E21" s="162">
        <f>SUM(E19:E20)</f>
      </c>
      <c r="F21" s="162">
        <f>SUM(F19:F20)</f>
      </c>
      <c r="G21" s="162">
        <f>SUM(G19:G20)</f>
      </c>
      <c r="H21" s="169">
        <f>SUM(H19:H20)</f>
      </c>
      <c r="I21" s="169">
        <f>SUM(I19:I20)</f>
      </c>
      <c r="J21" s="164">
        <f t="shared" si="4"/>
      </c>
      <c r="K21" s="164">
        <f t="shared" si="0"/>
      </c>
      <c r="L21" s="164">
        <f t="shared" si="2"/>
      </c>
      <c r="M21" s="160"/>
      <c r="N21" s="162">
        <f>SUM(N19:N20)</f>
      </c>
      <c r="O21" s="160"/>
      <c r="P21" s="162">
        <f>SUM(P19:P20)</f>
      </c>
    </row>
    <row r="22">
      <c r="A22" s="166">
        <v>46248</v>
      </c>
      <c r="B22" s="153" t="s">
        <v>150</v>
      </c>
      <c r="C22" s="153" t="s">
        <v>149</v>
      </c>
      <c r="D22" s="153">
        <v>3</v>
      </c>
      <c r="E22" s="154">
        <v>7</v>
      </c>
      <c r="F22" s="154">
        <v>5</v>
      </c>
      <c r="G22" s="154">
        <v>4</v>
      </c>
      <c r="H22" s="167">
        <v>7695.53</v>
      </c>
      <c r="I22" s="155">
        <v>7387.28</v>
      </c>
      <c r="J22" s="156">
        <f t="shared" si="4"/>
      </c>
      <c r="K22" s="156">
        <f t="shared" si="0"/>
      </c>
      <c r="L22" s="156">
        <f t="shared" si="2"/>
      </c>
      <c r="M22" s="154" t="s">
        <v>155</v>
      </c>
      <c r="N22" s="157">
        <v>6</v>
      </c>
      <c r="O22" s="154" t="s">
        <v>147</v>
      </c>
      <c r="P22" s="154">
        <v>6</v>
      </c>
    </row>
    <row r="23">
      <c r="A23" s="166">
        <v>46248</v>
      </c>
      <c r="B23" s="153" t="s">
        <v>144</v>
      </c>
      <c r="C23" s="153" t="s">
        <v>151</v>
      </c>
      <c r="D23" s="153">
        <v>3</v>
      </c>
      <c r="E23" s="154">
        <v>6</v>
      </c>
      <c r="F23" s="154">
        <v>4</v>
      </c>
      <c r="G23" s="154">
        <v>4</v>
      </c>
      <c r="H23" s="167">
        <v>7409.5</v>
      </c>
      <c r="I23" s="155">
        <v>9830.72</v>
      </c>
      <c r="J23" s="156">
        <f t="shared" si="4"/>
      </c>
      <c r="K23" s="156">
        <f t="shared" si="0"/>
      </c>
      <c r="L23" s="156">
        <f t="shared" si="2"/>
      </c>
      <c r="M23" s="154"/>
      <c r="N23" s="157"/>
      <c r="O23" s="154"/>
      <c r="P23" s="154"/>
    </row>
    <row r="24">
      <c r="A24" s="159">
        <v>46248</v>
      </c>
      <c r="B24" s="160" t="s">
        <v>148</v>
      </c>
      <c r="C24" s="161"/>
      <c r="D24" s="162">
        <f>SUM(D22:D23)</f>
      </c>
      <c r="E24" s="162">
        <f>SUM(E22:E23)</f>
      </c>
      <c r="F24" s="162">
        <f>SUM(F22:F23)</f>
      </c>
      <c r="G24" s="162">
        <f>SUM(G22:G23)</f>
      </c>
      <c r="H24" s="169">
        <f>SUM(H22:H23)</f>
      </c>
      <c r="I24" s="169">
        <f>SUM(I22:I23)</f>
      </c>
      <c r="J24" s="164">
        <f t="shared" si="4"/>
      </c>
      <c r="K24" s="164">
        <f t="shared" si="0"/>
      </c>
      <c r="L24" s="164">
        <f t="shared" si="2"/>
      </c>
      <c r="M24" s="160"/>
      <c r="N24" s="162">
        <f>SUM(N22:N23)</f>
      </c>
      <c r="O24" s="160"/>
      <c r="P24" s="162">
        <f>SUM(P22:P23)</f>
      </c>
    </row>
    <row r="25">
      <c r="A25" s="166">
        <v>46249</v>
      </c>
      <c r="B25" s="153" t="s">
        <v>144</v>
      </c>
      <c r="C25" s="153" t="s">
        <v>149</v>
      </c>
      <c r="D25" s="153">
        <v>3</v>
      </c>
      <c r="E25" s="154">
        <v>1</v>
      </c>
      <c r="F25" s="154">
        <v>1</v>
      </c>
      <c r="G25" s="154">
        <v>1</v>
      </c>
      <c r="H25" s="167">
        <v>2536.79</v>
      </c>
      <c r="I25" s="155">
        <v>3433.3</v>
      </c>
      <c r="J25" s="156">
        <f t="shared" si="4"/>
      </c>
      <c r="K25" s="156">
        <f t="shared" si="0"/>
      </c>
      <c r="L25" s="156">
        <f t="shared" si="2"/>
      </c>
      <c r="M25" s="154" t="s">
        <v>155</v>
      </c>
      <c r="N25" s="157">
        <v>6</v>
      </c>
      <c r="O25" s="154" t="s">
        <v>147</v>
      </c>
      <c r="P25" s="154">
        <v>6</v>
      </c>
    </row>
    <row r="26">
      <c r="A26" s="166">
        <v>46249</v>
      </c>
      <c r="B26" s="153" t="s">
        <v>150</v>
      </c>
      <c r="C26" s="153" t="s">
        <v>151</v>
      </c>
      <c r="D26" s="153">
        <v>3</v>
      </c>
      <c r="E26" s="154">
        <v>3</v>
      </c>
      <c r="F26" s="154">
        <v>3</v>
      </c>
      <c r="G26" s="154">
        <v>3</v>
      </c>
      <c r="H26" s="167">
        <v>6210.94</v>
      </c>
      <c r="I26" s="155">
        <v>4214.34</v>
      </c>
      <c r="J26" s="156">
        <f t="shared" si="4"/>
      </c>
      <c r="K26" s="156">
        <f t="shared" si="0"/>
      </c>
      <c r="L26" s="156">
        <f t="shared" si="2"/>
      </c>
      <c r="M26" s="154"/>
      <c r="N26" s="157"/>
      <c r="O26" s="154"/>
      <c r="P26" s="154"/>
    </row>
    <row r="27">
      <c r="A27" s="159">
        <v>46249</v>
      </c>
      <c r="B27" s="160" t="s">
        <v>148</v>
      </c>
      <c r="C27" s="161"/>
      <c r="D27" s="162">
        <f>SUM(D25:D26)</f>
      </c>
      <c r="E27" s="162">
        <f>SUM(E25:E26)</f>
      </c>
      <c r="F27" s="162">
        <f>SUM(F25:F26)</f>
      </c>
      <c r="G27" s="162">
        <f>SUM(G25:G26)</f>
      </c>
      <c r="H27" s="169">
        <f>SUM(H25:H26)</f>
      </c>
      <c r="I27" s="169">
        <f>SUM(I25:I26)</f>
      </c>
      <c r="J27" s="164">
        <f t="shared" si="4"/>
      </c>
      <c r="K27" s="164">
        <f t="shared" si="0"/>
      </c>
      <c r="L27" s="164">
        <f t="shared" si="2"/>
      </c>
      <c r="M27" s="160"/>
      <c r="N27" s="162">
        <f>SUM(N25:N26)</f>
      </c>
      <c r="O27" s="160"/>
      <c r="P27" s="162">
        <f>SUM(P25:P26)</f>
      </c>
    </row>
    <row r="28">
      <c r="A28" s="166">
        <v>46250</v>
      </c>
      <c r="B28" s="153" t="s">
        <v>150</v>
      </c>
      <c r="C28" s="153" t="s">
        <v>156</v>
      </c>
      <c r="D28" s="153">
        <v>3</v>
      </c>
      <c r="E28" s="154">
        <v>16</v>
      </c>
      <c r="F28" s="154">
        <v>2</v>
      </c>
      <c r="G28" s="154">
        <v>2</v>
      </c>
      <c r="H28" s="167">
        <v>3738.25</v>
      </c>
      <c r="I28" s="155">
        <v>7105.120000000001</v>
      </c>
      <c r="J28" s="156">
        <f t="shared" si="4"/>
      </c>
      <c r="K28" s="156">
        <f t="shared" si="0"/>
      </c>
      <c r="L28" s="156">
        <f t="shared" si="2"/>
      </c>
      <c r="M28" s="154" t="s">
        <v>157</v>
      </c>
      <c r="N28" s="157">
        <v>1</v>
      </c>
      <c r="O28" s="154" t="s">
        <v>147</v>
      </c>
      <c r="P28" s="154">
        <v>6</v>
      </c>
    </row>
    <row r="29">
      <c r="A29" s="166">
        <v>46250</v>
      </c>
      <c r="B29" s="153" t="s">
        <v>144</v>
      </c>
      <c r="C29" s="153" t="s">
        <v>158</v>
      </c>
      <c r="D29" s="153">
        <v>3</v>
      </c>
      <c r="E29" s="154">
        <v>11</v>
      </c>
      <c r="F29" s="154">
        <v>4</v>
      </c>
      <c r="G29" s="154">
        <v>2</v>
      </c>
      <c r="H29" s="167">
        <v>10869.619999999999</v>
      </c>
      <c r="I29" s="155">
        <v>4955.19</v>
      </c>
      <c r="J29" s="156">
        <f t="shared" si="4"/>
      </c>
      <c r="K29" s="156">
        <f t="shared" si="0"/>
      </c>
      <c r="L29" s="156">
        <f t="shared" si="2"/>
      </c>
      <c r="M29" s="154" t="s">
        <v>159</v>
      </c>
      <c r="N29" s="157">
        <v>2</v>
      </c>
      <c r="O29" s="154"/>
      <c r="P29" s="154"/>
    </row>
    <row customHeight="true" ht="16.071428571428573" r="30">
      <c r="A30" s="166">
        <v>46250</v>
      </c>
      <c r="B30" s="153"/>
      <c r="C30" s="153"/>
      <c r="D30" s="153"/>
      <c r="E30" s="154"/>
      <c r="F30" s="154"/>
      <c r="G30" s="154"/>
      <c r="H30" s="167"/>
      <c r="I30" s="155"/>
      <c r="J30" s="156"/>
      <c r="K30" s="156"/>
      <c r="L30" s="156"/>
      <c r="M30" s="154" t="s">
        <v>160</v>
      </c>
      <c r="N30" s="157">
        <v>3</v>
      </c>
      <c r="O30" s="154"/>
      <c r="P30" s="154"/>
    </row>
    <row r="31">
      <c r="A31" s="159">
        <v>46250</v>
      </c>
      <c r="B31" s="160" t="s">
        <v>148</v>
      </c>
      <c r="C31" s="161"/>
      <c r="D31" s="162">
        <f>SUM(D28:D30)</f>
      </c>
      <c r="E31" s="162">
        <f>SUM(E28:E30)</f>
      </c>
      <c r="F31" s="162">
        <f>SUM(F28:F30)</f>
      </c>
      <c r="G31" s="162">
        <f>SUM(G28:G30)</f>
      </c>
      <c r="H31" s="169">
        <f>SUM(H28:H30)</f>
      </c>
      <c r="I31" s="169">
        <f>SUM(I28:I30)</f>
      </c>
      <c r="J31" s="164">
        <f t="shared" ref="J31:J75" si="5">H31/I31</f>
      </c>
      <c r="K31" s="164">
        <f t="shared" ref="K31:K75" si="1">H31/F31</f>
      </c>
      <c r="L31" s="164">
        <f t="shared" ref="L31:L75" si="3">I31/F31</f>
      </c>
      <c r="M31" s="160"/>
      <c r="N31" s="162">
        <f>SUM(N28:N30)</f>
      </c>
      <c r="O31" s="160"/>
      <c r="P31" s="162">
        <f>SUM(P28:P30)</f>
      </c>
    </row>
    <row r="32">
      <c r="A32" s="166">
        <v>46251</v>
      </c>
      <c r="B32" s="153" t="s">
        <v>144</v>
      </c>
      <c r="C32" s="153" t="s">
        <v>161</v>
      </c>
      <c r="D32" s="153">
        <v>3</v>
      </c>
      <c r="E32" s="154">
        <v>2</v>
      </c>
      <c r="F32" s="154">
        <v>0</v>
      </c>
      <c r="G32" s="154">
        <v>0</v>
      </c>
      <c r="H32" s="167">
        <v>0</v>
      </c>
      <c r="I32" s="155">
        <v>5181.01</v>
      </c>
      <c r="J32" s="156">
        <f t="shared" si="5"/>
      </c>
      <c r="K32" s="156">
        <f t="shared" si="1"/>
      </c>
      <c r="L32" s="156">
        <f t="shared" si="3"/>
      </c>
      <c r="M32" s="154" t="s">
        <v>162</v>
      </c>
      <c r="N32" s="157">
        <v>6</v>
      </c>
      <c r="O32" s="154" t="s">
        <v>147</v>
      </c>
      <c r="P32" s="154">
        <v>6</v>
      </c>
      <c r="Q32" s="170" t="s">
        <v>163</v>
      </c>
    </row>
    <row r="33">
      <c r="A33" s="166">
        <v>46251</v>
      </c>
      <c r="B33" s="153" t="s">
        <v>150</v>
      </c>
      <c r="C33" s="153" t="s">
        <v>164</v>
      </c>
      <c r="D33" s="153">
        <v>3</v>
      </c>
      <c r="E33" s="154">
        <v>2</v>
      </c>
      <c r="F33" s="154">
        <v>1</v>
      </c>
      <c r="G33" s="154">
        <v>1</v>
      </c>
      <c r="H33" s="167">
        <v>1775.55</v>
      </c>
      <c r="I33" s="155">
        <v>2931.9</v>
      </c>
      <c r="J33" s="156">
        <f t="shared" si="5"/>
      </c>
      <c r="K33" s="156">
        <f t="shared" si="1"/>
      </c>
      <c r="L33" s="156">
        <f t="shared" si="3"/>
      </c>
      <c r="M33" s="154"/>
      <c r="N33" s="157"/>
      <c r="O33" s="154"/>
      <c r="P33" s="154"/>
    </row>
    <row r="34">
      <c r="A34" s="159">
        <v>46251</v>
      </c>
      <c r="B34" s="160" t="s">
        <v>148</v>
      </c>
      <c r="C34" s="161"/>
      <c r="D34" s="162">
        <f>SUM(D32:D33)</f>
      </c>
      <c r="E34" s="162">
        <f>SUM(E32:E33)</f>
      </c>
      <c r="F34" s="162">
        <f>SUM(F32:F33)</f>
      </c>
      <c r="G34" s="162">
        <f>SUM(G32:G33)</f>
      </c>
      <c r="H34" s="169">
        <f>SUM(H32:H33)</f>
      </c>
      <c r="I34" s="169">
        <f>SUM(I32:I33)</f>
      </c>
      <c r="J34" s="164">
        <f t="shared" si="5"/>
      </c>
      <c r="K34" s="164">
        <f t="shared" si="1"/>
      </c>
      <c r="L34" s="164">
        <f t="shared" si="3"/>
      </c>
      <c r="M34" s="160"/>
      <c r="N34" s="162">
        <f>SUM(N32:N33)</f>
      </c>
      <c r="O34" s="160"/>
      <c r="P34" s="162">
        <f>SUM(P32:P33)</f>
      </c>
    </row>
    <row r="35">
      <c r="A35" s="166">
        <v>46252</v>
      </c>
      <c r="B35" s="153" t="s">
        <v>150</v>
      </c>
      <c r="C35" s="153" t="s">
        <v>156</v>
      </c>
      <c r="D35" s="153">
        <v>3</v>
      </c>
      <c r="E35" s="154">
        <v>1</v>
      </c>
      <c r="F35" s="154">
        <v>1</v>
      </c>
      <c r="G35" s="154">
        <v>0</v>
      </c>
      <c r="H35" s="167">
        <v>1167.08</v>
      </c>
      <c r="I35" s="155">
        <v>5268.24</v>
      </c>
      <c r="J35" s="156">
        <f t="shared" si="5"/>
      </c>
      <c r="K35" s="156">
        <f t="shared" si="1"/>
      </c>
      <c r="L35" s="156">
        <f t="shared" si="3"/>
      </c>
      <c r="M35" s="154" t="s">
        <v>162</v>
      </c>
      <c r="N35" s="157">
        <v>5</v>
      </c>
      <c r="O35" s="154" t="s">
        <v>147</v>
      </c>
      <c r="P35" s="154">
        <v>5</v>
      </c>
      <c r="Q35" s="170"/>
    </row>
    <row r="36">
      <c r="A36" s="166">
        <v>46252</v>
      </c>
      <c r="B36" s="153" t="s">
        <v>144</v>
      </c>
      <c r="C36" s="153" t="s">
        <v>165</v>
      </c>
      <c r="D36" s="153">
        <v>2</v>
      </c>
      <c r="E36" s="154">
        <v>0</v>
      </c>
      <c r="F36" s="154">
        <v>0</v>
      </c>
      <c r="G36" s="154">
        <v>0</v>
      </c>
      <c r="H36" s="167">
        <v>0</v>
      </c>
      <c r="I36" s="155">
        <v>1802.1999999999998</v>
      </c>
      <c r="J36" s="156">
        <f t="shared" si="5"/>
      </c>
      <c r="K36" s="156">
        <f t="shared" si="1"/>
      </c>
      <c r="L36" s="156">
        <f t="shared" si="3"/>
      </c>
      <c r="M36" s="154"/>
      <c r="N36" s="157"/>
      <c r="O36" s="154"/>
      <c r="P36" s="154"/>
    </row>
    <row r="37">
      <c r="A37" s="159">
        <v>46252</v>
      </c>
      <c r="B37" s="160" t="s">
        <v>148</v>
      </c>
      <c r="C37" s="161"/>
      <c r="D37" s="162">
        <f>SUM(D35:D36)</f>
      </c>
      <c r="E37" s="162">
        <f>SUM(E35:E36)</f>
      </c>
      <c r="F37" s="162">
        <f>SUM(F35:F36)</f>
      </c>
      <c r="G37" s="162">
        <f>SUM(G35:G36)</f>
      </c>
      <c r="H37" s="169">
        <f>SUM(H35:H36)</f>
      </c>
      <c r="I37" s="169">
        <f>SUM(I35:I36)</f>
      </c>
      <c r="J37" s="164">
        <f t="shared" si="5"/>
      </c>
      <c r="K37" s="164">
        <f t="shared" si="1"/>
      </c>
      <c r="L37" s="164">
        <f t="shared" si="3"/>
      </c>
      <c r="M37" s="160"/>
      <c r="N37" s="162">
        <f>SUM(N35:N36)</f>
      </c>
      <c r="O37" s="160"/>
      <c r="P37" s="162">
        <f>SUM(P35:P36)</f>
      </c>
    </row>
    <row r="38">
      <c r="A38" s="166">
        <v>46253</v>
      </c>
      <c r="B38" s="153" t="s">
        <v>150</v>
      </c>
      <c r="C38" s="153" t="s">
        <v>149</v>
      </c>
      <c r="D38" s="153">
        <v>3</v>
      </c>
      <c r="E38" s="154">
        <v>0</v>
      </c>
      <c r="F38" s="154">
        <v>0</v>
      </c>
      <c r="G38" s="154">
        <v>0</v>
      </c>
      <c r="H38" s="167">
        <v>0</v>
      </c>
      <c r="I38" s="155">
        <v>1300.31</v>
      </c>
      <c r="J38" s="156">
        <f t="shared" si="5"/>
      </c>
      <c r="K38" s="156">
        <f t="shared" si="1"/>
      </c>
      <c r="L38" s="156">
        <f t="shared" si="3"/>
      </c>
      <c r="M38" s="154" t="s">
        <v>146</v>
      </c>
      <c r="N38" s="157">
        <v>2</v>
      </c>
      <c r="O38" s="154" t="s">
        <v>147</v>
      </c>
      <c r="P38" s="154">
        <v>5</v>
      </c>
      <c r="Q38" s="170"/>
    </row>
    <row r="39">
      <c r="A39" s="166">
        <v>46253</v>
      </c>
      <c r="B39" s="153" t="s">
        <v>144</v>
      </c>
      <c r="C39" s="153" t="s">
        <v>166</v>
      </c>
      <c r="D39" s="153">
        <v>2</v>
      </c>
      <c r="E39" s="154">
        <v>0</v>
      </c>
      <c r="F39" s="154">
        <v>0</v>
      </c>
      <c r="G39" s="154">
        <v>0</v>
      </c>
      <c r="H39" s="167">
        <v>0</v>
      </c>
      <c r="I39" s="155">
        <v>724.96</v>
      </c>
      <c r="J39" s="156">
        <f t="shared" si="5"/>
      </c>
      <c r="K39" s="156">
        <f t="shared" si="1"/>
      </c>
      <c r="L39" s="156">
        <f t="shared" si="3"/>
      </c>
      <c r="M39" s="154" t="s">
        <v>167</v>
      </c>
      <c r="N39" s="157">
        <v>3</v>
      </c>
      <c r="O39" s="154"/>
      <c r="P39" s="154"/>
    </row>
    <row r="40">
      <c r="A40" s="159">
        <v>46253</v>
      </c>
      <c r="B40" s="160" t="s">
        <v>148</v>
      </c>
      <c r="C40" s="161"/>
      <c r="D40" s="162">
        <f>SUM(D38:D39)</f>
      </c>
      <c r="E40" s="162">
        <f>SUM(E38:E39)</f>
      </c>
      <c r="F40" s="162">
        <f>SUM(F38:F39)</f>
      </c>
      <c r="G40" s="162">
        <f>SUM(G38:G39)</f>
      </c>
      <c r="H40" s="169">
        <f>SUM(H38:H39)</f>
      </c>
      <c r="I40" s="169">
        <f>SUM(I38:I39)</f>
      </c>
      <c r="J40" s="164">
        <f t="shared" si="5"/>
      </c>
      <c r="K40" s="164">
        <f t="shared" si="1"/>
      </c>
      <c r="L40" s="164">
        <f t="shared" si="3"/>
      </c>
      <c r="M40" s="160"/>
      <c r="N40" s="162">
        <f>SUM(N38:N39)</f>
      </c>
      <c r="O40" s="160"/>
      <c r="P40" s="162">
        <f>SUM(P38:P39)</f>
      </c>
    </row>
    <row r="41">
      <c r="A41" s="166">
        <v>46254</v>
      </c>
      <c r="B41" s="153" t="s">
        <v>144</v>
      </c>
      <c r="C41" s="153" t="s">
        <v>149</v>
      </c>
      <c r="D41" s="153">
        <v>3</v>
      </c>
      <c r="E41" s="154">
        <v>3</v>
      </c>
      <c r="F41" s="154">
        <v>3</v>
      </c>
      <c r="G41" s="154">
        <v>3</v>
      </c>
      <c r="H41" s="167">
        <v>17516.29</v>
      </c>
      <c r="I41" s="155">
        <v>3616.3500000000004</v>
      </c>
      <c r="J41" s="156">
        <f t="shared" si="5"/>
      </c>
      <c r="K41" s="156">
        <f t="shared" si="1"/>
      </c>
      <c r="L41" s="156">
        <f t="shared" si="3"/>
      </c>
      <c r="M41" s="154" t="s">
        <v>146</v>
      </c>
      <c r="N41" s="157">
        <v>2</v>
      </c>
      <c r="O41" s="154" t="s">
        <v>147</v>
      </c>
      <c r="P41" s="154">
        <v>6</v>
      </c>
      <c r="Q41" s="170"/>
    </row>
    <row r="42">
      <c r="A42" s="166">
        <v>46254</v>
      </c>
      <c r="B42" s="153" t="s">
        <v>150</v>
      </c>
      <c r="C42" s="153" t="s">
        <v>151</v>
      </c>
      <c r="D42" s="153">
        <v>3</v>
      </c>
      <c r="E42" s="154">
        <v>0</v>
      </c>
      <c r="F42" s="154">
        <v>0</v>
      </c>
      <c r="G42" s="154">
        <v>0</v>
      </c>
      <c r="H42" s="167">
        <v>0</v>
      </c>
      <c r="I42" s="155">
        <v>3203.88</v>
      </c>
      <c r="J42" s="156">
        <f t="shared" si="5"/>
      </c>
      <c r="K42" s="156">
        <f t="shared" si="1"/>
      </c>
      <c r="L42" s="156">
        <f t="shared" si="3"/>
      </c>
      <c r="M42" s="154" t="s">
        <v>167</v>
      </c>
      <c r="N42" s="157">
        <v>4</v>
      </c>
      <c r="O42" s="154"/>
      <c r="P42" s="154"/>
    </row>
    <row r="43">
      <c r="A43" s="159">
        <v>46254</v>
      </c>
      <c r="B43" s="160" t="s">
        <v>148</v>
      </c>
      <c r="C43" s="161"/>
      <c r="D43" s="162">
        <f>SUM(D41:D42)</f>
      </c>
      <c r="E43" s="162">
        <f>SUM(E41:E42)</f>
      </c>
      <c r="F43" s="162">
        <f>SUM(F41:F42)</f>
      </c>
      <c r="G43" s="162">
        <f>SUM(G41:G42)</f>
      </c>
      <c r="H43" s="169">
        <f>SUM(H41:H42)</f>
      </c>
      <c r="I43" s="169">
        <f>SUM(I41:I42)</f>
      </c>
      <c r="J43" s="164">
        <f t="shared" si="5"/>
      </c>
      <c r="K43" s="164">
        <f t="shared" si="1"/>
      </c>
      <c r="L43" s="164">
        <f t="shared" si="3"/>
      </c>
      <c r="M43" s="160"/>
      <c r="N43" s="162">
        <f>SUM(N41:N42)</f>
      </c>
      <c r="O43" s="160"/>
      <c r="P43" s="162">
        <f>SUM(P41:P42)</f>
      </c>
    </row>
    <row r="44">
      <c r="A44" s="166">
        <v>46255</v>
      </c>
      <c r="B44" s="153" t="s">
        <v>168</v>
      </c>
      <c r="C44" s="153" t="s">
        <v>149</v>
      </c>
      <c r="D44" s="153">
        <v>3</v>
      </c>
      <c r="E44" s="154">
        <v>4</v>
      </c>
      <c r="F44" s="154">
        <v>1</v>
      </c>
      <c r="G44" s="154">
        <v>1</v>
      </c>
      <c r="H44" s="167">
        <v>2851.91</v>
      </c>
      <c r="I44" s="155">
        <v>3313.73</v>
      </c>
      <c r="J44" s="156">
        <f t="shared" si="5"/>
      </c>
      <c r="K44" s="156">
        <f t="shared" si="1"/>
      </c>
      <c r="L44" s="156">
        <f t="shared" si="3"/>
      </c>
      <c r="M44" s="154" t="s">
        <v>152</v>
      </c>
      <c r="N44" s="157">
        <v>6</v>
      </c>
      <c r="O44" s="154" t="s">
        <v>147</v>
      </c>
      <c r="P44" s="154">
        <v>6</v>
      </c>
    </row>
    <row r="45">
      <c r="A45" s="166">
        <v>46255</v>
      </c>
      <c r="B45" s="153" t="s">
        <v>150</v>
      </c>
      <c r="C45" s="153" t="s">
        <v>151</v>
      </c>
      <c r="D45" s="153">
        <v>3</v>
      </c>
      <c r="E45" s="154">
        <v>2</v>
      </c>
      <c r="F45" s="154">
        <v>2</v>
      </c>
      <c r="G45" s="154">
        <v>2</v>
      </c>
      <c r="H45" s="167">
        <v>2849.1800000000003</v>
      </c>
      <c r="I45" s="155">
        <v>1915.44</v>
      </c>
      <c r="J45" s="156">
        <f t="shared" si="5"/>
      </c>
      <c r="K45" s="156">
        <f t="shared" si="1"/>
      </c>
      <c r="L45" s="156">
        <f t="shared" si="3"/>
      </c>
      <c r="M45" s="154"/>
      <c r="N45" s="157"/>
      <c r="O45" s="154"/>
      <c r="P45" s="154"/>
    </row>
    <row r="46">
      <c r="A46" s="159">
        <v>46255</v>
      </c>
      <c r="B46" s="160" t="s">
        <v>148</v>
      </c>
      <c r="C46" s="161"/>
      <c r="D46" s="162">
        <f>SUM(D44:D45)</f>
      </c>
      <c r="E46" s="162">
        <f>SUM(E44:E45)</f>
      </c>
      <c r="F46" s="162">
        <f>SUM(F44:F45)</f>
      </c>
      <c r="G46" s="162">
        <f>SUM(G44:G45)</f>
      </c>
      <c r="H46" s="169">
        <f>SUM(H44:H45)</f>
      </c>
      <c r="I46" s="169">
        <f>SUM(I44:I45)</f>
      </c>
      <c r="J46" s="164">
        <f t="shared" si="5"/>
      </c>
      <c r="K46" s="164">
        <f t="shared" si="1"/>
      </c>
      <c r="L46" s="164">
        <f t="shared" si="3"/>
      </c>
      <c r="M46" s="160"/>
      <c r="N46" s="162">
        <f>SUM(N44:N45)</f>
      </c>
      <c r="O46" s="160"/>
      <c r="P46" s="162">
        <f>SUM(P44:P45)</f>
      </c>
    </row>
    <row r="47">
      <c r="A47" s="166">
        <v>46256</v>
      </c>
      <c r="B47" s="153" t="s">
        <v>168</v>
      </c>
      <c r="C47" s="153" t="s">
        <v>149</v>
      </c>
      <c r="D47" s="153">
        <v>3</v>
      </c>
      <c r="E47" s="154">
        <v>2</v>
      </c>
      <c r="F47" s="154">
        <v>0</v>
      </c>
      <c r="G47" s="154">
        <v>0</v>
      </c>
      <c r="H47" s="167">
        <v>0</v>
      </c>
      <c r="I47" s="155">
        <v>5498.3099999999995</v>
      </c>
      <c r="J47" s="156">
        <f t="shared" si="5"/>
      </c>
      <c r="K47" s="156">
        <f t="shared" si="1"/>
      </c>
      <c r="L47" s="156">
        <f t="shared" si="3"/>
      </c>
      <c r="M47" s="154" t="s">
        <v>169</v>
      </c>
      <c r="N47" s="157">
        <v>6</v>
      </c>
      <c r="O47" s="154" t="s">
        <v>147</v>
      </c>
      <c r="P47" s="154">
        <v>6</v>
      </c>
    </row>
    <row r="48">
      <c r="A48" s="166">
        <v>46256</v>
      </c>
      <c r="B48" s="153" t="s">
        <v>144</v>
      </c>
      <c r="C48" s="153" t="s">
        <v>151</v>
      </c>
      <c r="D48" s="153">
        <v>3</v>
      </c>
      <c r="E48" s="154">
        <v>4</v>
      </c>
      <c r="F48" s="154">
        <v>2</v>
      </c>
      <c r="G48" s="154">
        <v>1</v>
      </c>
      <c r="H48" s="167">
        <v>2861.4</v>
      </c>
      <c r="I48" s="155">
        <v>4419.16</v>
      </c>
      <c r="J48" s="156">
        <f t="shared" si="5"/>
      </c>
      <c r="K48" s="156">
        <f t="shared" si="1"/>
      </c>
      <c r="L48" s="156">
        <f t="shared" si="3"/>
      </c>
      <c r="M48" s="154"/>
      <c r="N48" s="157"/>
      <c r="O48" s="154"/>
      <c r="P48" s="154"/>
    </row>
    <row r="49">
      <c r="A49" s="159">
        <v>46256</v>
      </c>
      <c r="B49" s="160" t="s">
        <v>148</v>
      </c>
      <c r="C49" s="161"/>
      <c r="D49" s="162">
        <f>SUM(D47:D48)</f>
      </c>
      <c r="E49" s="162">
        <f>SUM(E47:E48)</f>
      </c>
      <c r="F49" s="162">
        <f>SUM(F47:F48)</f>
      </c>
      <c r="G49" s="162">
        <f>SUM(G47:G48)</f>
      </c>
      <c r="H49" s="169">
        <f>SUM(H47:H48)</f>
      </c>
      <c r="I49" s="169">
        <f>SUM(I47:I48)</f>
      </c>
      <c r="J49" s="164">
        <f t="shared" si="5"/>
      </c>
      <c r="K49" s="164">
        <f t="shared" si="1"/>
      </c>
      <c r="L49" s="164">
        <f t="shared" si="3"/>
      </c>
      <c r="M49" s="160"/>
      <c r="N49" s="162">
        <f>SUM(N47:N48)</f>
      </c>
      <c r="O49" s="160"/>
      <c r="P49" s="162">
        <f>SUM(P47:P48)</f>
      </c>
    </row>
    <row r="50">
      <c r="A50" s="166">
        <v>46257</v>
      </c>
      <c r="B50" s="153" t="s">
        <v>150</v>
      </c>
      <c r="C50" s="153" t="s">
        <v>149</v>
      </c>
      <c r="D50" s="153">
        <v>3</v>
      </c>
      <c r="E50" s="154">
        <v>3</v>
      </c>
      <c r="F50" s="154">
        <v>2</v>
      </c>
      <c r="G50" s="154">
        <v>2</v>
      </c>
      <c r="H50" s="167">
        <v>8252.66</v>
      </c>
      <c r="I50" s="155">
        <v>3364.27</v>
      </c>
      <c r="J50" s="156">
        <f t="shared" si="5"/>
      </c>
      <c r="K50" s="156">
        <f t="shared" si="1"/>
      </c>
      <c r="L50" s="156">
        <f t="shared" si="3"/>
      </c>
      <c r="M50" s="154" t="s">
        <v>169</v>
      </c>
      <c r="N50" s="157">
        <v>6</v>
      </c>
      <c r="O50" s="154" t="s">
        <v>147</v>
      </c>
      <c r="P50" s="154">
        <v>6</v>
      </c>
    </row>
    <row r="51">
      <c r="A51" s="166">
        <v>46257</v>
      </c>
      <c r="B51" s="153" t="s">
        <v>144</v>
      </c>
      <c r="C51" s="153" t="s">
        <v>151</v>
      </c>
      <c r="D51" s="153">
        <v>3</v>
      </c>
      <c r="E51" s="154">
        <v>7</v>
      </c>
      <c r="F51" s="154">
        <v>6</v>
      </c>
      <c r="G51" s="154">
        <v>3</v>
      </c>
      <c r="H51" s="167">
        <v>12866.990000000002</v>
      </c>
      <c r="I51" s="155">
        <v>6547.5</v>
      </c>
      <c r="J51" s="156">
        <f t="shared" si="5"/>
      </c>
      <c r="K51" s="156">
        <f t="shared" si="1"/>
      </c>
      <c r="L51" s="156">
        <f t="shared" si="3"/>
      </c>
      <c r="M51" s="154"/>
      <c r="N51" s="157"/>
      <c r="O51" s="154"/>
      <c r="P51" s="154"/>
    </row>
    <row r="52">
      <c r="A52" s="159">
        <v>46257</v>
      </c>
      <c r="B52" s="160" t="s">
        <v>148</v>
      </c>
      <c r="C52" s="161"/>
      <c r="D52" s="162">
        <f>SUM(D50:D51)</f>
      </c>
      <c r="E52" s="162">
        <f>SUM(E50:E51)</f>
      </c>
      <c r="F52" s="162">
        <f>SUM(F50:F51)</f>
      </c>
      <c r="G52" s="162">
        <f>SUM(G50:G51)</f>
      </c>
      <c r="H52" s="169">
        <f>SUM(H50:H51)</f>
      </c>
      <c r="I52" s="169">
        <f>SUM(I50:I51)</f>
      </c>
      <c r="J52" s="164">
        <f t="shared" si="5"/>
      </c>
      <c r="K52" s="164">
        <f t="shared" si="1"/>
      </c>
      <c r="L52" s="164">
        <f t="shared" si="3"/>
      </c>
      <c r="M52" s="160"/>
      <c r="N52" s="162">
        <f>SUM(N50:N51)</f>
      </c>
      <c r="O52" s="160"/>
      <c r="P52" s="162">
        <f>SUM(P50:P51)</f>
      </c>
    </row>
    <row r="53">
      <c r="A53" s="166">
        <v>46258</v>
      </c>
      <c r="B53" s="153" t="s">
        <v>144</v>
      </c>
      <c r="C53" s="153" t="s">
        <v>149</v>
      </c>
      <c r="D53" s="153">
        <v>3</v>
      </c>
      <c r="E53" s="154">
        <v>10</v>
      </c>
      <c r="F53" s="154">
        <v>7</v>
      </c>
      <c r="G53" s="154">
        <v>6</v>
      </c>
      <c r="H53" s="167">
        <v>22726.18</v>
      </c>
      <c r="I53" s="155">
        <v>8890.72</v>
      </c>
      <c r="J53" s="156">
        <f t="shared" si="5"/>
      </c>
      <c r="K53" s="156">
        <f t="shared" si="1"/>
      </c>
      <c r="L53" s="156">
        <f t="shared" si="3"/>
      </c>
      <c r="M53" s="154" t="s">
        <v>155</v>
      </c>
      <c r="N53" s="157">
        <v>1</v>
      </c>
      <c r="O53" s="154" t="s">
        <v>147</v>
      </c>
      <c r="P53" s="154">
        <v>6</v>
      </c>
    </row>
    <row r="54">
      <c r="A54" s="166">
        <v>46258</v>
      </c>
      <c r="B54" s="153" t="s">
        <v>150</v>
      </c>
      <c r="C54" s="153" t="s">
        <v>151</v>
      </c>
      <c r="D54" s="153">
        <v>3</v>
      </c>
      <c r="E54" s="154">
        <v>5</v>
      </c>
      <c r="F54" s="154">
        <v>2</v>
      </c>
      <c r="G54" s="154">
        <v>2</v>
      </c>
      <c r="H54" s="167">
        <v>3048.079999999998</v>
      </c>
      <c r="I54" s="155">
        <v>7571.41</v>
      </c>
      <c r="J54" s="156">
        <f t="shared" si="5"/>
      </c>
      <c r="K54" s="156">
        <f t="shared" si="1"/>
      </c>
      <c r="L54" s="156">
        <f t="shared" si="3"/>
      </c>
      <c r="M54" s="154" t="s">
        <v>169</v>
      </c>
      <c r="N54" s="157">
        <v>5</v>
      </c>
      <c r="O54" s="154"/>
      <c r="P54" s="154"/>
    </row>
    <row r="55">
      <c r="A55" s="159">
        <v>46258</v>
      </c>
      <c r="B55" s="160" t="s">
        <v>148</v>
      </c>
      <c r="C55" s="161"/>
      <c r="D55" s="162">
        <f>SUM(D53:D54)</f>
      </c>
      <c r="E55" s="162">
        <f>SUM(E53:E54)</f>
      </c>
      <c r="F55" s="162">
        <f>SUM(F53:F54)</f>
      </c>
      <c r="G55" s="162">
        <f>SUM(G53:G54)</f>
      </c>
      <c r="H55" s="169">
        <f>SUM(H53:H54)</f>
      </c>
      <c r="I55" s="169">
        <f>SUM(I53:I54)</f>
      </c>
      <c r="J55" s="164">
        <f t="shared" si="5"/>
      </c>
      <c r="K55" s="164">
        <f t="shared" si="1"/>
      </c>
      <c r="L55" s="164">
        <f t="shared" si="3"/>
      </c>
      <c r="M55" s="160"/>
      <c r="N55" s="162">
        <f>SUM(N53:N54)</f>
      </c>
      <c r="O55" s="160"/>
      <c r="P55" s="162">
        <f>SUM(P53:P54)</f>
      </c>
    </row>
    <row r="56">
      <c r="A56" s="166">
        <v>46259</v>
      </c>
      <c r="B56" s="153" t="s">
        <v>144</v>
      </c>
      <c r="C56" s="153" t="s">
        <v>149</v>
      </c>
      <c r="D56" s="153">
        <v>3</v>
      </c>
      <c r="E56" s="154">
        <v>5</v>
      </c>
      <c r="F56" s="154">
        <v>4</v>
      </c>
      <c r="G56" s="154">
        <v>4</v>
      </c>
      <c r="H56" s="167">
        <v>6546.75</v>
      </c>
      <c r="I56" s="155">
        <v>6112.92</v>
      </c>
      <c r="J56" s="156">
        <f t="shared" si="5"/>
      </c>
      <c r="K56" s="156">
        <f t="shared" si="1"/>
      </c>
      <c r="L56" s="156">
        <f t="shared" si="3"/>
      </c>
      <c r="M56" s="154" t="s">
        <v>155</v>
      </c>
      <c r="N56" s="157">
        <v>6</v>
      </c>
      <c r="O56" s="154" t="s">
        <v>147</v>
      </c>
      <c r="P56" s="154">
        <v>6</v>
      </c>
    </row>
    <row r="57">
      <c r="A57" s="166">
        <v>46259</v>
      </c>
      <c r="B57" s="153" t="s">
        <v>150</v>
      </c>
      <c r="C57" s="153" t="s">
        <v>151</v>
      </c>
      <c r="D57" s="153">
        <v>3</v>
      </c>
      <c r="E57" s="154">
        <v>1</v>
      </c>
      <c r="F57" s="154">
        <v>1</v>
      </c>
      <c r="G57" s="154">
        <v>1</v>
      </c>
      <c r="H57" s="167">
        <v>1654</v>
      </c>
      <c r="I57" s="155">
        <v>10140.29</v>
      </c>
      <c r="J57" s="156">
        <f t="shared" si="5"/>
      </c>
      <c r="K57" s="156">
        <f t="shared" si="1"/>
      </c>
      <c r="L57" s="156">
        <f t="shared" si="3"/>
      </c>
      <c r="M57" s="154"/>
      <c r="N57" s="157"/>
      <c r="O57" s="154"/>
      <c r="P57" s="154"/>
    </row>
    <row r="58">
      <c r="A58" s="159">
        <v>46259</v>
      </c>
      <c r="B58" s="160" t="s">
        <v>148</v>
      </c>
      <c r="C58" s="161"/>
      <c r="D58" s="162">
        <f>SUM(D56:D57)</f>
      </c>
      <c r="E58" s="162">
        <f>SUM(E56:E57)</f>
      </c>
      <c r="F58" s="162">
        <f>SUM(F56:F57)</f>
      </c>
      <c r="G58" s="162">
        <f>SUM(G56:G57)</f>
      </c>
      <c r="H58" s="169">
        <f>SUM(H56:H57)</f>
      </c>
      <c r="I58" s="169">
        <f>SUM(I56:I57)</f>
      </c>
      <c r="J58" s="164">
        <f t="shared" si="5"/>
      </c>
      <c r="K58" s="164">
        <f t="shared" si="1"/>
      </c>
      <c r="L58" s="164">
        <f t="shared" si="3"/>
      </c>
      <c r="M58" s="160"/>
      <c r="N58" s="162">
        <f>SUM(N56:N57)</f>
      </c>
      <c r="O58" s="160"/>
      <c r="P58" s="162">
        <f>SUM(P56:P57)</f>
      </c>
    </row>
    <row r="59">
      <c r="A59" s="166">
        <v>46260</v>
      </c>
      <c r="B59" s="153" t="s">
        <v>144</v>
      </c>
      <c r="C59" s="153" t="s">
        <v>149</v>
      </c>
      <c r="D59" s="153">
        <v>3</v>
      </c>
      <c r="E59" s="154">
        <v>4</v>
      </c>
      <c r="F59" s="154">
        <v>3</v>
      </c>
      <c r="G59" s="154">
        <v>3</v>
      </c>
      <c r="H59" s="167">
        <v>5000.85</v>
      </c>
      <c r="I59" s="155">
        <v>7576.81</v>
      </c>
      <c r="J59" s="156">
        <f t="shared" si="5"/>
      </c>
      <c r="K59" s="156">
        <f t="shared" si="1"/>
      </c>
      <c r="L59" s="156">
        <f t="shared" si="3"/>
      </c>
      <c r="M59" s="154" t="s">
        <v>155</v>
      </c>
      <c r="N59" s="157">
        <v>6</v>
      </c>
      <c r="O59" s="154" t="s">
        <v>147</v>
      </c>
      <c r="P59" s="154">
        <v>6</v>
      </c>
    </row>
    <row r="60">
      <c r="A60" s="166">
        <v>46260</v>
      </c>
      <c r="B60" s="153" t="s">
        <v>170</v>
      </c>
      <c r="C60" s="153" t="s">
        <v>151</v>
      </c>
      <c r="D60" s="153">
        <v>3</v>
      </c>
      <c r="E60" s="154">
        <v>5</v>
      </c>
      <c r="F60" s="154">
        <v>2</v>
      </c>
      <c r="G60" s="154">
        <v>2</v>
      </c>
      <c r="H60" s="167">
        <v>12450.7</v>
      </c>
      <c r="I60" s="155">
        <v>6617.27</v>
      </c>
      <c r="J60" s="156">
        <f t="shared" si="5"/>
      </c>
      <c r="K60" s="156">
        <f t="shared" si="1"/>
      </c>
      <c r="L60" s="156">
        <f t="shared" si="3"/>
      </c>
      <c r="M60" s="154"/>
      <c r="N60" s="157"/>
      <c r="O60" s="154"/>
      <c r="P60" s="154"/>
    </row>
    <row r="61">
      <c r="A61" s="159">
        <v>46260</v>
      </c>
      <c r="B61" s="160" t="s">
        <v>148</v>
      </c>
      <c r="C61" s="161"/>
      <c r="D61" s="162">
        <f>SUM(D59:D60)</f>
      </c>
      <c r="E61" s="162">
        <f>SUM(E59:E60)</f>
      </c>
      <c r="F61" s="162">
        <f>SUM(F59:F60)</f>
      </c>
      <c r="G61" s="162">
        <f>SUM(G59:G60)</f>
      </c>
      <c r="H61" s="169">
        <f>SUM(H59:H60)</f>
      </c>
      <c r="I61" s="169">
        <f>SUM(I59:I60)</f>
      </c>
      <c r="J61" s="164">
        <f t="shared" si="5"/>
      </c>
      <c r="K61" s="164">
        <f t="shared" si="1"/>
      </c>
      <c r="L61" s="164">
        <f t="shared" si="3"/>
      </c>
      <c r="M61" s="160"/>
      <c r="N61" s="162">
        <f>SUM(N59:N60)</f>
      </c>
      <c r="O61" s="160"/>
      <c r="P61" s="162">
        <f>SUM(P59:P60)</f>
      </c>
    </row>
    <row r="62">
      <c r="A62" s="166">
        <v>46261</v>
      </c>
      <c r="B62" s="153" t="s">
        <v>150</v>
      </c>
      <c r="C62" s="153" t="s">
        <v>149</v>
      </c>
      <c r="D62" s="153">
        <v>3</v>
      </c>
      <c r="E62" s="154">
        <v>1</v>
      </c>
      <c r="F62" s="154">
        <v>0</v>
      </c>
      <c r="G62" s="154">
        <v>0</v>
      </c>
      <c r="H62" s="167">
        <v>0</v>
      </c>
      <c r="I62" s="155">
        <v>5428.33</v>
      </c>
      <c r="J62" s="156">
        <f t="shared" si="5"/>
      </c>
      <c r="K62" s="156">
        <f t="shared" si="1"/>
      </c>
      <c r="L62" s="156">
        <f t="shared" si="3"/>
      </c>
      <c r="M62" s="154" t="s">
        <v>155</v>
      </c>
      <c r="N62" s="157">
        <v>6</v>
      </c>
      <c r="O62" s="154" t="s">
        <v>147</v>
      </c>
      <c r="P62" s="154">
        <v>6</v>
      </c>
    </row>
    <row r="63">
      <c r="A63" s="166">
        <v>46261</v>
      </c>
      <c r="B63" s="153" t="s">
        <v>170</v>
      </c>
      <c r="C63" s="153" t="s">
        <v>151</v>
      </c>
      <c r="D63" s="153">
        <v>3</v>
      </c>
      <c r="E63" s="154">
        <v>4</v>
      </c>
      <c r="F63" s="154">
        <v>4</v>
      </c>
      <c r="G63" s="154">
        <v>3</v>
      </c>
      <c r="H63" s="167">
        <v>7576.18</v>
      </c>
      <c r="I63" s="155">
        <v>5626.24</v>
      </c>
      <c r="J63" s="156">
        <f t="shared" si="5"/>
      </c>
      <c r="K63" s="156">
        <f t="shared" si="1"/>
      </c>
      <c r="L63" s="156">
        <f t="shared" si="3"/>
      </c>
      <c r="M63" s="154"/>
      <c r="N63" s="157"/>
      <c r="O63" s="154"/>
      <c r="P63" s="154"/>
    </row>
    <row r="64">
      <c r="A64" s="159">
        <v>46261</v>
      </c>
      <c r="B64" s="160" t="s">
        <v>148</v>
      </c>
      <c r="C64" s="161"/>
      <c r="D64" s="162">
        <f>SUM(D62:D63)</f>
      </c>
      <c r="E64" s="162">
        <f>SUM(E62:E63)</f>
      </c>
      <c r="F64" s="162">
        <f>SUM(F62:F63)</f>
      </c>
      <c r="G64" s="162">
        <f>SUM(G62:G63)</f>
      </c>
      <c r="H64" s="169">
        <f>SUM(H62:H63)</f>
      </c>
      <c r="I64" s="169">
        <f>SUM(I62:I63)</f>
      </c>
      <c r="J64" s="164">
        <f t="shared" si="5"/>
      </c>
      <c r="K64" s="164">
        <f t="shared" si="1"/>
      </c>
      <c r="L64" s="164">
        <f t="shared" si="3"/>
      </c>
      <c r="M64" s="160"/>
      <c r="N64" s="162">
        <f>SUM(N62:N63)</f>
      </c>
      <c r="O64" s="160"/>
      <c r="P64" s="162">
        <f>SUM(P62:P63)</f>
      </c>
    </row>
    <row r="65">
      <c r="A65" s="166">
        <v>46262</v>
      </c>
      <c r="B65" s="153" t="s">
        <v>144</v>
      </c>
      <c r="C65" s="153" t="s">
        <v>149</v>
      </c>
      <c r="D65" s="153">
        <v>3</v>
      </c>
      <c r="E65" s="154">
        <v>3</v>
      </c>
      <c r="F65" s="154">
        <v>3</v>
      </c>
      <c r="G65" s="154">
        <v>2</v>
      </c>
      <c r="H65" s="167">
        <v>9620.04</v>
      </c>
      <c r="I65" s="155">
        <v>4055.34</v>
      </c>
      <c r="J65" s="156">
        <f t="shared" si="5"/>
      </c>
      <c r="K65" s="156">
        <f t="shared" si="1"/>
      </c>
      <c r="L65" s="156">
        <f t="shared" si="3"/>
      </c>
      <c r="M65" s="154" t="s">
        <v>155</v>
      </c>
      <c r="N65" s="157">
        <v>5</v>
      </c>
      <c r="O65" s="154" t="s">
        <v>147</v>
      </c>
      <c r="P65" s="154">
        <v>6</v>
      </c>
    </row>
    <row r="66">
      <c r="A66" s="166">
        <v>46262</v>
      </c>
      <c r="B66" s="153" t="s">
        <v>150</v>
      </c>
      <c r="C66" s="153" t="s">
        <v>166</v>
      </c>
      <c r="D66" s="153">
        <v>2</v>
      </c>
      <c r="E66" s="154">
        <v>3</v>
      </c>
      <c r="F66" s="154">
        <v>2</v>
      </c>
      <c r="G66" s="154">
        <v>2</v>
      </c>
      <c r="H66" s="167">
        <v>7589.27</v>
      </c>
      <c r="I66" s="155">
        <v>4925.87</v>
      </c>
      <c r="J66" s="156">
        <f t="shared" si="5"/>
      </c>
      <c r="K66" s="156">
        <f t="shared" si="1"/>
      </c>
      <c r="L66" s="156">
        <f t="shared" si="3"/>
      </c>
      <c r="M66" s="154"/>
      <c r="N66" s="157"/>
      <c r="O66" s="154"/>
      <c r="P66" s="154"/>
    </row>
    <row r="67">
      <c r="A67" s="159">
        <v>46262</v>
      </c>
      <c r="B67" s="160" t="s">
        <v>148</v>
      </c>
      <c r="C67" s="161"/>
      <c r="D67" s="162">
        <f>SUM(D65:D66)</f>
      </c>
      <c r="E67" s="162">
        <f>SUM(E65:E66)</f>
      </c>
      <c r="F67" s="162">
        <f>SUM(F65:F66)</f>
      </c>
      <c r="G67" s="162">
        <f>SUM(G65:G66)</f>
      </c>
      <c r="H67" s="169">
        <f>SUM(H65:H66)</f>
      </c>
      <c r="I67" s="169">
        <f>SUM(I65:I66)</f>
      </c>
      <c r="J67" s="164">
        <f t="shared" si="5"/>
      </c>
      <c r="K67" s="164">
        <f t="shared" si="1"/>
      </c>
      <c r="L67" s="164">
        <f t="shared" si="3"/>
      </c>
      <c r="M67" s="160"/>
      <c r="N67" s="162">
        <f>SUM(N65:N66)</f>
      </c>
      <c r="O67" s="160"/>
      <c r="P67" s="162">
        <f>SUM(P65:P66)</f>
      </c>
    </row>
    <row r="68">
      <c r="A68" s="166">
        <v>46263</v>
      </c>
      <c r="B68" s="153" t="s">
        <v>144</v>
      </c>
      <c r="C68" s="153" t="s">
        <v>149</v>
      </c>
      <c r="D68" s="153">
        <v>3</v>
      </c>
      <c r="E68" s="154">
        <v>2</v>
      </c>
      <c r="F68" s="154">
        <v>1</v>
      </c>
      <c r="G68" s="154">
        <v>1</v>
      </c>
      <c r="H68" s="167">
        <v>3450.4</v>
      </c>
      <c r="I68" s="155">
        <v>4174.38</v>
      </c>
      <c r="J68" s="156">
        <f t="shared" si="5"/>
      </c>
      <c r="K68" s="156">
        <f t="shared" si="1"/>
      </c>
      <c r="L68" s="156">
        <f t="shared" si="3"/>
      </c>
      <c r="M68" s="154" t="s">
        <v>171</v>
      </c>
      <c r="N68" s="157">
        <v>6</v>
      </c>
      <c r="O68" s="154" t="s">
        <v>147</v>
      </c>
      <c r="P68" s="154">
        <v>6</v>
      </c>
    </row>
    <row r="69">
      <c r="A69" s="166">
        <v>46263</v>
      </c>
      <c r="B69" s="153" t="s">
        <v>170</v>
      </c>
      <c r="C69" s="153" t="s">
        <v>151</v>
      </c>
      <c r="D69" s="153">
        <v>3</v>
      </c>
      <c r="E69" s="154">
        <v>1</v>
      </c>
      <c r="F69" s="154">
        <v>1</v>
      </c>
      <c r="G69" s="154">
        <v>0</v>
      </c>
      <c r="H69" s="167">
        <v>10461.16</v>
      </c>
      <c r="I69" s="155">
        <v>2580.11</v>
      </c>
      <c r="J69" s="156">
        <f t="shared" si="5"/>
      </c>
      <c r="K69" s="156">
        <f t="shared" si="1"/>
      </c>
      <c r="L69" s="156">
        <f t="shared" si="3"/>
      </c>
      <c r="M69" s="154"/>
      <c r="N69" s="157"/>
      <c r="O69" s="154"/>
      <c r="P69" s="154"/>
    </row>
    <row r="70">
      <c r="A70" s="159">
        <v>46263</v>
      </c>
      <c r="B70" s="160" t="s">
        <v>148</v>
      </c>
      <c r="C70" s="161"/>
      <c r="D70" s="162">
        <f>SUM(D68:D69)</f>
      </c>
      <c r="E70" s="162">
        <f>SUM(E68:E69)</f>
      </c>
      <c r="F70" s="162">
        <f>SUM(F68:F69)</f>
      </c>
      <c r="G70" s="162">
        <f>SUM(G68:G69)</f>
      </c>
      <c r="H70" s="169">
        <f>SUM(H68:H69)</f>
      </c>
      <c r="I70" s="169">
        <f>SUM(I68:I69)</f>
      </c>
      <c r="J70" s="164">
        <f t="shared" si="5"/>
      </c>
      <c r="K70" s="164">
        <f t="shared" si="1"/>
      </c>
      <c r="L70" s="164">
        <f t="shared" si="3"/>
      </c>
      <c r="M70" s="160"/>
      <c r="N70" s="162">
        <f>SUM(N68:N69)</f>
      </c>
      <c r="O70" s="160"/>
      <c r="P70" s="162">
        <f>SUM(P68:P69)</f>
      </c>
    </row>
    <row r="71">
      <c r="A71" s="166">
        <v>46264</v>
      </c>
      <c r="B71" s="153" t="s">
        <v>150</v>
      </c>
      <c r="C71" s="153" t="s">
        <v>149</v>
      </c>
      <c r="D71" s="153">
        <v>3</v>
      </c>
      <c r="E71" s="154">
        <v>1</v>
      </c>
      <c r="F71" s="154">
        <v>1</v>
      </c>
      <c r="G71" s="154">
        <v>0</v>
      </c>
      <c r="H71" s="167">
        <v>1869</v>
      </c>
      <c r="I71" s="155">
        <v>4361.89</v>
      </c>
      <c r="J71" s="156">
        <f t="shared" si="5"/>
      </c>
      <c r="K71" s="156">
        <f t="shared" si="1"/>
      </c>
      <c r="L71" s="156">
        <f t="shared" si="3"/>
      </c>
      <c r="M71" s="154" t="s">
        <v>171</v>
      </c>
      <c r="N71" s="157">
        <v>6</v>
      </c>
      <c r="O71" s="154" t="s">
        <v>147</v>
      </c>
      <c r="P71" s="154">
        <v>6</v>
      </c>
    </row>
    <row customHeight="true" ht="16.071428571428573" r="72">
      <c r="A72" s="166">
        <v>46264</v>
      </c>
      <c r="B72" s="153" t="s">
        <v>170</v>
      </c>
      <c r="C72" s="153" t="s">
        <v>151</v>
      </c>
      <c r="D72" s="153">
        <v>3</v>
      </c>
      <c r="E72" s="154">
        <v>0</v>
      </c>
      <c r="F72" s="154">
        <v>0</v>
      </c>
      <c r="G72" s="154">
        <v>0</v>
      </c>
      <c r="H72" s="167">
        <v>0</v>
      </c>
      <c r="I72" s="155">
        <v>3442.81</v>
      </c>
      <c r="J72" s="156">
        <f t="shared" si="5"/>
      </c>
      <c r="K72" s="156">
        <f t="shared" si="1"/>
      </c>
      <c r="L72" s="156">
        <f t="shared" si="3"/>
      </c>
      <c r="M72" s="154"/>
      <c r="N72" s="157"/>
      <c r="O72" s="154"/>
      <c r="P72" s="154"/>
    </row>
    <row customHeight="true" ht="16.071428571428573" r="73">
      <c r="A73" s="159">
        <v>46264</v>
      </c>
      <c r="B73" s="160" t="s">
        <v>148</v>
      </c>
      <c r="C73" s="161"/>
      <c r="D73" s="162">
        <f>SUM(D71:D72)</f>
      </c>
      <c r="E73" s="162">
        <f>SUM(E71:E72)</f>
      </c>
      <c r="F73" s="162">
        <f>SUM(F71:F72)</f>
      </c>
      <c r="G73" s="162">
        <f>SUM(G71:G72)</f>
      </c>
      <c r="H73" s="169">
        <f>SUM(H71:H72)</f>
      </c>
      <c r="I73" s="169">
        <f>SUM(I71:I72)</f>
      </c>
      <c r="J73" s="164">
        <f t="shared" si="5"/>
      </c>
      <c r="K73" s="164">
        <f t="shared" si="1"/>
      </c>
      <c r="L73" s="164">
        <f t="shared" si="3"/>
      </c>
      <c r="M73" s="160"/>
      <c r="N73" s="162">
        <f>SUM(N71:N72)</f>
      </c>
      <c r="O73" s="160"/>
      <c r="P73" s="162">
        <f>SUM(P71:P72)</f>
      </c>
    </row>
    <row customHeight="true" ht="16.071428571428573" r="74">
      <c r="A74" s="166">
        <v>46265</v>
      </c>
      <c r="B74" s="153" t="s">
        <v>150</v>
      </c>
      <c r="C74" s="153" t="s">
        <v>172</v>
      </c>
      <c r="D74" s="153">
        <v>5</v>
      </c>
      <c r="E74" s="154">
        <v>3</v>
      </c>
      <c r="F74" s="154">
        <v>2</v>
      </c>
      <c r="G74" s="154">
        <v>0</v>
      </c>
      <c r="H74" s="167">
        <v>4738.03</v>
      </c>
      <c r="I74" s="155">
        <v>5135.72</v>
      </c>
      <c r="J74" s="156">
        <f t="shared" si="5"/>
      </c>
      <c r="K74" s="156">
        <f t="shared" si="1"/>
      </c>
      <c r="L74" s="156">
        <f t="shared" si="3"/>
      </c>
      <c r="M74" s="154" t="s">
        <v>171</v>
      </c>
      <c r="N74" s="157">
        <v>5</v>
      </c>
      <c r="O74" s="154" t="s">
        <v>147</v>
      </c>
      <c r="P74" s="154">
        <v>5</v>
      </c>
    </row>
    <row customHeight="true" ht="16.071428571428573" r="75">
      <c r="A75" s="159">
        <v>46265</v>
      </c>
      <c r="B75" s="160" t="s">
        <v>148</v>
      </c>
      <c r="C75" s="161"/>
      <c r="D75" s="162">
        <f>SUM(D74)</f>
      </c>
      <c r="E75" s="162">
        <f>SUM(E74)</f>
      </c>
      <c r="F75" s="162">
        <f>SUM(F74)</f>
      </c>
      <c r="G75" s="162">
        <f>SUM(G74)</f>
      </c>
      <c r="H75" s="169">
        <f>SUM(H74)</f>
      </c>
      <c r="I75" s="169">
        <f>SUM(I74)</f>
      </c>
      <c r="J75" s="164">
        <f t="shared" si="5"/>
      </c>
      <c r="K75" s="164">
        <f t="shared" si="1"/>
      </c>
      <c r="L75" s="164">
        <f t="shared" si="3"/>
      </c>
      <c r="M75" s="160"/>
      <c r="N75" s="162">
        <f>SUM(N74)</f>
      </c>
      <c r="O75" s="160"/>
      <c r="P75" s="162">
        <f>SUM(P74)</f>
      </c>
    </row>
    <row customHeight="true" ht="16.071428571428573" r="76">
      <c r="D76" s="171"/>
      <c r="E76" s="172"/>
    </row>
    <row customHeight="true" ht="16.071428571428573" r="77"/>
    <row customHeight="true" ht="16.071428571428573" r="78"/>
    <row customHeight="true" ht="16.071428571428573" r="79"/>
    <row customHeight="true" ht="16.071428571428573" r="80"/>
    <row r="81">
      <c r="E81" s="151"/>
    </row>
    <row r="82">
      <c r="E82" s="173"/>
      <c r="I82" s="171"/>
    </row>
    <row r="83">
      <c r="E83" s="151"/>
      <c r="F83" s="151"/>
    </row>
    <row r="84">
      <c r="E84" s="173"/>
      <c r="F84" s="173"/>
    </row>
    <row r="85">
      <c r="E85" s="173"/>
      <c r="F85" s="173"/>
    </row>
    <row r="86">
      <c r="E86" s="173"/>
      <c r="F86" s="173"/>
    </row>
    <row r="87">
      <c r="E87" s="173"/>
      <c r="F87" s="173"/>
    </row>
    <row r="88">
      <c r="E88" s="173"/>
      <c r="F88" s="173"/>
    </row>
    <row r="89"/>
    <row r="90"/>
    <row r="91"/>
    <row r="92"/>
    <row r="93"/>
    <row r="94">
      <c r="F94" s="172"/>
      <c r="G94" s="171"/>
      <c r="H94" s="174"/>
    </row>
    <row r="95">
      <c r="F95" s="172"/>
      <c r="G95" s="171"/>
      <c r="H95" s="174"/>
    </row>
    <row r="96">
      <c r="F96" s="172"/>
    </row>
  </sheetData>
  <autoFilter ref="A1:P75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175" t="s">
        <v>173</v>
      </c>
      <c r="B1" s="175" t="s">
        <v>174</v>
      </c>
      <c r="C1" s="175" t="s">
        <v>175</v>
      </c>
      <c r="D1" s="175" t="s">
        <v>176</v>
      </c>
      <c r="E1" s="176" t="s">
        <v>177</v>
      </c>
      <c r="F1" s="176" t="s">
        <v>178</v>
      </c>
      <c r="G1" s="177" t="s">
        <v>179</v>
      </c>
      <c r="H1" s="176" t="s">
        <v>180</v>
      </c>
      <c r="I1" s="178" t="s">
        <v>181</v>
      </c>
      <c r="J1" s="179" t="s">
        <v>182</v>
      </c>
      <c r="K1" s="179" t="s">
        <v>183</v>
      </c>
      <c r="L1" s="179" t="s">
        <v>184</v>
      </c>
      <c r="M1" s="175" t="s">
        <v>185</v>
      </c>
      <c r="N1" s="180" t="s">
        <v>186</v>
      </c>
      <c r="O1" s="175" t="s">
        <v>187</v>
      </c>
      <c r="P1" s="181" t="s">
        <v>188</v>
      </c>
    </row>
    <row r="2">
      <c r="A2" s="182">
        <v>46300</v>
      </c>
      <c r="B2" s="183" t="s">
        <v>189</v>
      </c>
      <c r="C2" s="183" t="s">
        <v>190</v>
      </c>
      <c r="D2" s="184">
        <v>4</v>
      </c>
      <c r="E2" s="185">
        <v>30</v>
      </c>
      <c r="F2" s="185">
        <v>25</v>
      </c>
      <c r="G2" s="185">
        <v>22</v>
      </c>
      <c r="H2" s="186">
        <v>59593.46</v>
      </c>
      <c r="I2" s="187">
        <v>19895.41</v>
      </c>
      <c r="J2" s="188">
        <f t="shared" ref="J2:J33" si="0">H2/I2</f>
      </c>
      <c r="K2" s="188">
        <f t="shared" ref="K2:K33" si="1">H2/F2</f>
      </c>
      <c r="L2" s="188">
        <f t="shared" ref="L2:L33" si="2">I2/F2</f>
      </c>
      <c r="M2" s="186"/>
      <c r="N2" s="189"/>
      <c r="O2" s="186"/>
      <c r="P2" s="185"/>
    </row>
    <row r="3">
      <c r="A3" s="182">
        <v>46300</v>
      </c>
      <c r="B3" s="190" t="s">
        <v>191</v>
      </c>
      <c r="C3" s="183" t="s">
        <v>192</v>
      </c>
      <c r="D3" s="184">
        <v>4</v>
      </c>
      <c r="E3" s="185">
        <v>22</v>
      </c>
      <c r="F3" s="185">
        <v>17</v>
      </c>
      <c r="G3" s="185">
        <v>11</v>
      </c>
      <c r="H3" s="185">
        <v>43249.189999999995</v>
      </c>
      <c r="I3" s="191">
        <v>14222.93</v>
      </c>
      <c r="J3" s="188">
        <f t="shared" si="0"/>
      </c>
      <c r="K3" s="188">
        <f t="shared" si="1"/>
      </c>
      <c r="L3" s="188">
        <f t="shared" si="2"/>
      </c>
      <c r="M3" s="185" t="s">
        <v>193</v>
      </c>
      <c r="N3" s="189">
        <v>7</v>
      </c>
      <c r="O3" s="185" t="s">
        <v>194</v>
      </c>
      <c r="P3" s="185">
        <v>7</v>
      </c>
    </row>
    <row r="4">
      <c r="A4" s="182">
        <v>46300</v>
      </c>
      <c r="B4" s="190" t="s">
        <v>195</v>
      </c>
      <c r="C4" s="183" t="s">
        <v>196</v>
      </c>
      <c r="D4" s="184">
        <v>4</v>
      </c>
      <c r="E4" s="185">
        <v>19</v>
      </c>
      <c r="F4" s="185">
        <v>13</v>
      </c>
      <c r="G4" s="185">
        <v>9</v>
      </c>
      <c r="H4" s="185">
        <v>34897.95</v>
      </c>
      <c r="I4" s="192">
        <v>11976.07</v>
      </c>
      <c r="J4" s="188">
        <f t="shared" si="0"/>
      </c>
      <c r="K4" s="188">
        <f t="shared" si="1"/>
      </c>
      <c r="L4" s="188">
        <f t="shared" si="2"/>
      </c>
      <c r="M4" s="185" t="s">
        <v>197</v>
      </c>
      <c r="N4" s="189">
        <v>8</v>
      </c>
      <c r="O4" s="185" t="s">
        <v>198</v>
      </c>
      <c r="P4" s="185">
        <v>8</v>
      </c>
    </row>
    <row r="5">
      <c r="A5" s="182">
        <v>46300</v>
      </c>
      <c r="B5" s="190" t="s">
        <v>199</v>
      </c>
      <c r="C5" s="183" t="s">
        <v>200</v>
      </c>
      <c r="D5" s="183">
        <v>3</v>
      </c>
      <c r="E5" s="185">
        <v>14</v>
      </c>
      <c r="F5" s="185">
        <v>11</v>
      </c>
      <c r="G5" s="185">
        <v>8</v>
      </c>
      <c r="H5" s="185">
        <v>38451.82999999998</v>
      </c>
      <c r="I5" s="192">
        <v>9132.02</v>
      </c>
      <c r="J5" s="188">
        <f t="shared" si="0"/>
      </c>
      <c r="K5" s="188">
        <f t="shared" si="1"/>
      </c>
      <c r="L5" s="188">
        <f t="shared" si="2"/>
      </c>
      <c r="M5" s="185"/>
      <c r="N5" s="189"/>
      <c r="O5" s="186"/>
      <c r="P5" s="186"/>
    </row>
    <row r="6">
      <c r="A6" s="193">
        <v>46300</v>
      </c>
      <c r="B6" s="194" t="s">
        <v>201</v>
      </c>
      <c r="C6" s="195"/>
      <c r="D6" s="196">
        <f>SUM(D2:D5)</f>
      </c>
      <c r="E6" s="196">
        <f>SUM(E2:E5)</f>
      </c>
      <c r="F6" s="196">
        <f>SUM(F2:F5)</f>
      </c>
      <c r="G6" s="196">
        <f>SUM(G2:G5)</f>
      </c>
      <c r="H6" s="197">
        <f>SUM(H2:H5)</f>
      </c>
      <c r="I6" s="197">
        <f>SUM(I2:I5)</f>
      </c>
      <c r="J6" s="198">
        <f t="shared" si="0"/>
      </c>
      <c r="K6" s="198">
        <f t="shared" si="1"/>
      </c>
      <c r="L6" s="198">
        <f t="shared" si="2"/>
      </c>
      <c r="M6" s="194"/>
      <c r="N6" s="196">
        <f>SUM(N2:N5)</f>
      </c>
      <c r="O6" s="196"/>
      <c r="P6" s="196">
        <f>SUM(P2:P5)</f>
      </c>
    </row>
    <row r="7">
      <c r="A7" s="182">
        <v>46301</v>
      </c>
      <c r="B7" s="183" t="s">
        <v>189</v>
      </c>
      <c r="C7" s="183" t="s">
        <v>190</v>
      </c>
      <c r="D7" s="184">
        <v>4</v>
      </c>
      <c r="E7" s="185">
        <v>6</v>
      </c>
      <c r="F7" s="185">
        <v>4</v>
      </c>
      <c r="G7" s="185">
        <v>3</v>
      </c>
      <c r="H7" s="185">
        <v>10645.02</v>
      </c>
      <c r="I7" s="191">
        <v>11821.39</v>
      </c>
      <c r="J7" s="188">
        <f t="shared" si="0"/>
      </c>
      <c r="K7" s="188">
        <f t="shared" si="1"/>
      </c>
      <c r="L7" s="188">
        <f t="shared" si="2"/>
      </c>
      <c r="M7" s="186"/>
      <c r="N7" s="189"/>
      <c r="O7" s="186"/>
      <c r="P7" s="185"/>
    </row>
    <row r="8">
      <c r="A8" s="182">
        <v>46301</v>
      </c>
      <c r="B8" s="190" t="s">
        <v>191</v>
      </c>
      <c r="C8" s="183" t="s">
        <v>192</v>
      </c>
      <c r="D8" s="184">
        <v>4</v>
      </c>
      <c r="E8" s="185">
        <v>10</v>
      </c>
      <c r="F8" s="185">
        <v>9</v>
      </c>
      <c r="G8" s="185">
        <v>7</v>
      </c>
      <c r="H8" s="185">
        <v>13906.280000000002</v>
      </c>
      <c r="I8" s="191">
        <v>11336.76</v>
      </c>
      <c r="J8" s="188">
        <f t="shared" si="0"/>
      </c>
      <c r="K8" s="188">
        <f t="shared" si="1"/>
      </c>
      <c r="L8" s="188">
        <f t="shared" si="2"/>
      </c>
      <c r="M8" s="185" t="s">
        <v>202</v>
      </c>
      <c r="N8" s="189">
        <v>7</v>
      </c>
      <c r="O8" s="185" t="s">
        <v>194</v>
      </c>
      <c r="P8" s="185">
        <v>7</v>
      </c>
    </row>
    <row r="9">
      <c r="A9" s="182">
        <v>46301</v>
      </c>
      <c r="B9" s="190" t="s">
        <v>195</v>
      </c>
      <c r="C9" s="183" t="s">
        <v>196</v>
      </c>
      <c r="D9" s="184">
        <v>4</v>
      </c>
      <c r="E9" s="185">
        <v>18</v>
      </c>
      <c r="F9" s="185">
        <v>14</v>
      </c>
      <c r="G9" s="185">
        <v>12</v>
      </c>
      <c r="H9" s="185">
        <v>26390.500000000004</v>
      </c>
      <c r="I9" s="192">
        <v>12602.95</v>
      </c>
      <c r="J9" s="188">
        <f t="shared" si="0"/>
      </c>
      <c r="K9" s="188">
        <f t="shared" si="1"/>
      </c>
      <c r="L9" s="188">
        <f t="shared" si="2"/>
      </c>
      <c r="M9" s="185" t="s">
        <v>203</v>
      </c>
      <c r="N9" s="189">
        <v>9</v>
      </c>
      <c r="O9" s="185" t="s">
        <v>198</v>
      </c>
      <c r="P9" s="185">
        <v>9</v>
      </c>
    </row>
    <row r="10">
      <c r="A10" s="182">
        <v>46301</v>
      </c>
      <c r="B10" s="190" t="s">
        <v>199</v>
      </c>
      <c r="C10" s="183" t="s">
        <v>204</v>
      </c>
      <c r="D10" s="183">
        <v>4</v>
      </c>
      <c r="E10" s="185">
        <v>22</v>
      </c>
      <c r="F10" s="185">
        <v>19</v>
      </c>
      <c r="G10" s="185">
        <v>12</v>
      </c>
      <c r="H10" s="185">
        <v>45967.87</v>
      </c>
      <c r="I10" s="192">
        <v>10667.69</v>
      </c>
      <c r="J10" s="188">
        <f t="shared" si="0"/>
      </c>
      <c r="K10" s="188">
        <f t="shared" si="1"/>
      </c>
      <c r="L10" s="188">
        <f t="shared" si="2"/>
      </c>
      <c r="M10" s="185"/>
      <c r="N10" s="189"/>
      <c r="O10" s="186"/>
      <c r="P10" s="186"/>
    </row>
    <row r="11">
      <c r="A11" s="193">
        <v>46301</v>
      </c>
      <c r="B11" s="194" t="s">
        <v>201</v>
      </c>
      <c r="C11" s="195"/>
      <c r="D11" s="196">
        <f>SUM(D7:D10)</f>
      </c>
      <c r="E11" s="196">
        <f>SUM(E7:E10)</f>
      </c>
      <c r="F11" s="196">
        <f>SUM(F7:F10)</f>
      </c>
      <c r="G11" s="196">
        <f>SUM(G7:G10)</f>
      </c>
      <c r="H11" s="197">
        <f>SUM(H7:H10)</f>
      </c>
      <c r="I11" s="197">
        <f>SUM(I7:I10)</f>
      </c>
      <c r="J11" s="198">
        <f t="shared" si="0"/>
      </c>
      <c r="K11" s="198">
        <f t="shared" si="1"/>
      </c>
      <c r="L11" s="198">
        <f t="shared" si="2"/>
      </c>
      <c r="M11" s="194"/>
      <c r="N11" s="196">
        <f>SUM(N7:N10)</f>
      </c>
      <c r="O11" s="196"/>
      <c r="P11" s="196">
        <f>SUM(P7:P10)</f>
      </c>
    </row>
    <row r="12">
      <c r="A12" s="182">
        <v>46302</v>
      </c>
      <c r="B12" s="183" t="s">
        <v>205</v>
      </c>
      <c r="C12" s="183" t="s">
        <v>190</v>
      </c>
      <c r="D12" s="183">
        <v>4</v>
      </c>
      <c r="E12" s="185">
        <v>18</v>
      </c>
      <c r="F12" s="185">
        <v>11</v>
      </c>
      <c r="G12" s="185">
        <v>9</v>
      </c>
      <c r="H12" s="185">
        <v>42537.73</v>
      </c>
      <c r="I12" s="191">
        <v>12402.11</v>
      </c>
      <c r="J12" s="188">
        <f t="shared" si="0"/>
      </c>
      <c r="K12" s="188">
        <f t="shared" si="1"/>
      </c>
      <c r="L12" s="188">
        <f t="shared" si="2"/>
      </c>
      <c r="M12" s="186"/>
      <c r="N12" s="189"/>
      <c r="O12" s="186"/>
      <c r="P12" s="185"/>
    </row>
    <row r="13">
      <c r="A13" s="182">
        <v>46302</v>
      </c>
      <c r="B13" s="190" t="s">
        <v>189</v>
      </c>
      <c r="C13" s="183" t="s">
        <v>192</v>
      </c>
      <c r="D13" s="183">
        <v>4</v>
      </c>
      <c r="E13" s="185">
        <v>16</v>
      </c>
      <c r="F13" s="185">
        <v>13</v>
      </c>
      <c r="G13" s="185">
        <v>11</v>
      </c>
      <c r="H13" s="185">
        <v>30647.65</v>
      </c>
      <c r="I13" s="191">
        <v>11931.869999999999</v>
      </c>
      <c r="J13" s="188">
        <f t="shared" si="0"/>
      </c>
      <c r="K13" s="188">
        <f t="shared" si="1"/>
      </c>
      <c r="L13" s="188">
        <f t="shared" si="2"/>
      </c>
      <c r="M13" s="185" t="s">
        <v>202</v>
      </c>
      <c r="N13" s="189">
        <v>7</v>
      </c>
      <c r="O13" s="185" t="s">
        <v>194</v>
      </c>
      <c r="P13" s="185">
        <v>7</v>
      </c>
    </row>
    <row r="14">
      <c r="A14" s="182">
        <v>46302</v>
      </c>
      <c r="B14" s="190" t="s">
        <v>191</v>
      </c>
      <c r="C14" s="183" t="s">
        <v>196</v>
      </c>
      <c r="D14" s="183">
        <v>4</v>
      </c>
      <c r="E14" s="185">
        <v>12</v>
      </c>
      <c r="F14" s="185">
        <v>10</v>
      </c>
      <c r="G14" s="185">
        <v>9</v>
      </c>
      <c r="H14" s="185">
        <v>23915.46</v>
      </c>
      <c r="I14" s="192">
        <v>11569.57</v>
      </c>
      <c r="J14" s="188">
        <f t="shared" si="0"/>
      </c>
      <c r="K14" s="188">
        <f t="shared" si="1"/>
      </c>
      <c r="L14" s="188">
        <f t="shared" si="2"/>
      </c>
      <c r="M14" s="185" t="s">
        <v>203</v>
      </c>
      <c r="N14" s="189">
        <v>9</v>
      </c>
      <c r="O14" s="185" t="s">
        <v>198</v>
      </c>
      <c r="P14" s="185">
        <v>9</v>
      </c>
    </row>
    <row r="15">
      <c r="A15" s="182">
        <v>46302</v>
      </c>
      <c r="B15" s="190" t="s">
        <v>199</v>
      </c>
      <c r="C15" s="183" t="s">
        <v>204</v>
      </c>
      <c r="D15" s="183">
        <v>4</v>
      </c>
      <c r="E15" s="185">
        <v>8</v>
      </c>
      <c r="F15" s="185">
        <v>8</v>
      </c>
      <c r="G15" s="185">
        <v>6</v>
      </c>
      <c r="H15" s="185">
        <v>17655.83000000001</v>
      </c>
      <c r="I15" s="192">
        <v>10635.51</v>
      </c>
      <c r="J15" s="188">
        <f t="shared" si="0"/>
      </c>
      <c r="K15" s="188">
        <f t="shared" si="1"/>
      </c>
      <c r="L15" s="188">
        <f t="shared" si="2"/>
      </c>
      <c r="M15" s="185"/>
      <c r="N15" s="189"/>
      <c r="O15" s="186"/>
      <c r="P15" s="186"/>
    </row>
    <row r="16">
      <c r="A16" s="193">
        <v>46302</v>
      </c>
      <c r="B16" s="194" t="s">
        <v>201</v>
      </c>
      <c r="C16" s="195"/>
      <c r="D16" s="196">
        <f>SUM(D12:D15)</f>
      </c>
      <c r="E16" s="196">
        <f>SUM(E12:E15)</f>
      </c>
      <c r="F16" s="196">
        <f>SUM(F12:F15)</f>
      </c>
      <c r="G16" s="196">
        <f>SUM(G12:G15)</f>
      </c>
      <c r="H16" s="197">
        <f>SUM(H12:H15)</f>
      </c>
      <c r="I16" s="197">
        <f>SUM(I12:I15)</f>
      </c>
      <c r="J16" s="198">
        <f t="shared" si="0"/>
      </c>
      <c r="K16" s="198">
        <f t="shared" si="1"/>
      </c>
      <c r="L16" s="198">
        <f t="shared" si="2"/>
      </c>
      <c r="M16" s="194"/>
      <c r="N16" s="196">
        <f>SUM(N12:N15)</f>
      </c>
      <c r="O16" s="196"/>
      <c r="P16" s="196">
        <f>SUM(P12:P15)</f>
      </c>
    </row>
    <row r="17">
      <c r="A17" s="182">
        <v>46303</v>
      </c>
      <c r="B17" s="190" t="s">
        <v>189</v>
      </c>
      <c r="C17" s="183" t="s">
        <v>190</v>
      </c>
      <c r="D17" s="183">
        <v>4</v>
      </c>
      <c r="E17" s="185">
        <v>13</v>
      </c>
      <c r="F17" s="185">
        <v>9</v>
      </c>
      <c r="G17" s="185">
        <v>7</v>
      </c>
      <c r="H17" s="185">
        <v>14703.33</v>
      </c>
      <c r="I17" s="191">
        <v>11835.83</v>
      </c>
      <c r="J17" s="188">
        <f t="shared" si="0"/>
      </c>
      <c r="K17" s="188">
        <f t="shared" si="1"/>
      </c>
      <c r="L17" s="188">
        <f t="shared" si="2"/>
      </c>
      <c r="M17" s="186" t="s">
        <v>206</v>
      </c>
      <c r="N17" s="189">
        <v>7</v>
      </c>
      <c r="O17" s="186"/>
      <c r="P17" s="185"/>
    </row>
    <row r="18">
      <c r="A18" s="182">
        <v>46303</v>
      </c>
      <c r="B18" s="190" t="s">
        <v>191</v>
      </c>
      <c r="C18" s="183" t="s">
        <v>192</v>
      </c>
      <c r="D18" s="183">
        <v>4</v>
      </c>
      <c r="E18" s="185">
        <v>11</v>
      </c>
      <c r="F18" s="185">
        <v>5</v>
      </c>
      <c r="G18" s="185">
        <v>5</v>
      </c>
      <c r="H18" s="185">
        <v>7245.4400000000005</v>
      </c>
      <c r="I18" s="191">
        <v>11059.57</v>
      </c>
      <c r="J18" s="188">
        <f t="shared" si="0"/>
      </c>
      <c r="K18" s="188">
        <f t="shared" si="1"/>
      </c>
      <c r="L18" s="188">
        <f t="shared" si="2"/>
      </c>
      <c r="M18" s="185"/>
      <c r="N18" s="189"/>
      <c r="O18" s="185" t="s">
        <v>194</v>
      </c>
      <c r="P18" s="185">
        <v>7</v>
      </c>
    </row>
    <row r="19">
      <c r="A19" s="182">
        <v>46303</v>
      </c>
      <c r="B19" s="183" t="s">
        <v>205</v>
      </c>
      <c r="C19" s="183" t="s">
        <v>196</v>
      </c>
      <c r="D19" s="183">
        <v>4</v>
      </c>
      <c r="E19" s="185">
        <v>15</v>
      </c>
      <c r="F19" s="185">
        <v>8</v>
      </c>
      <c r="G19" s="185">
        <v>5</v>
      </c>
      <c r="H19" s="185">
        <v>17124.129999999997</v>
      </c>
      <c r="I19" s="192">
        <v>11714.31</v>
      </c>
      <c r="J19" s="188">
        <f t="shared" si="0"/>
      </c>
      <c r="K19" s="188">
        <f t="shared" si="1"/>
      </c>
      <c r="L19" s="188">
        <f t="shared" si="2"/>
      </c>
      <c r="M19" s="185" t="s">
        <v>207</v>
      </c>
      <c r="N19" s="189">
        <v>5</v>
      </c>
      <c r="O19" s="185" t="s">
        <v>198</v>
      </c>
      <c r="P19" s="185">
        <v>5</v>
      </c>
    </row>
    <row r="20">
      <c r="A20" s="193">
        <v>46303</v>
      </c>
      <c r="B20" s="194" t="s">
        <v>201</v>
      </c>
      <c r="C20" s="195"/>
      <c r="D20" s="196">
        <f>SUM(D17:D19)</f>
      </c>
      <c r="E20" s="196">
        <f>SUM(E17:E19)</f>
      </c>
      <c r="F20" s="196">
        <f>SUM(F17:F19)</f>
      </c>
      <c r="G20" s="196">
        <f>SUM(G17:G19)</f>
      </c>
      <c r="H20" s="197">
        <f>SUM(H17:H19)</f>
      </c>
      <c r="I20" s="197">
        <f>SUM(I17:I19)</f>
      </c>
      <c r="J20" s="198">
        <f t="shared" si="0"/>
      </c>
      <c r="K20" s="198">
        <f t="shared" si="1"/>
      </c>
      <c r="L20" s="198">
        <f t="shared" si="2"/>
      </c>
      <c r="M20" s="194"/>
      <c r="N20" s="196">
        <f>SUM(N17:N19)</f>
      </c>
      <c r="O20" s="196"/>
      <c r="P20" s="196">
        <f>SUM(P17:P19)</f>
      </c>
    </row>
    <row r="21">
      <c r="A21" s="182">
        <v>46304</v>
      </c>
      <c r="B21" s="190" t="s">
        <v>191</v>
      </c>
      <c r="C21" s="183" t="s">
        <v>190</v>
      </c>
      <c r="D21" s="183">
        <v>4</v>
      </c>
      <c r="E21" s="185">
        <v>25</v>
      </c>
      <c r="F21" s="185">
        <v>18</v>
      </c>
      <c r="G21" s="185">
        <v>14</v>
      </c>
      <c r="H21" s="185">
        <v>47548.92000000001</v>
      </c>
      <c r="I21" s="191">
        <v>14482.09</v>
      </c>
      <c r="J21" s="188">
        <f t="shared" si="0"/>
      </c>
      <c r="K21" s="188">
        <f t="shared" si="1"/>
      </c>
      <c r="L21" s="188">
        <f t="shared" si="2"/>
      </c>
      <c r="M21" s="186" t="s">
        <v>206</v>
      </c>
      <c r="N21" s="189">
        <v>7</v>
      </c>
      <c r="O21" s="186"/>
      <c r="P21" s="185"/>
    </row>
    <row r="22">
      <c r="A22" s="182">
        <v>46304</v>
      </c>
      <c r="B22" s="183" t="s">
        <v>205</v>
      </c>
      <c r="C22" s="183" t="s">
        <v>192</v>
      </c>
      <c r="D22" s="183">
        <v>4</v>
      </c>
      <c r="E22" s="185">
        <v>17</v>
      </c>
      <c r="F22" s="185">
        <v>11</v>
      </c>
      <c r="G22" s="185">
        <v>10</v>
      </c>
      <c r="H22" s="185">
        <v>48439.25</v>
      </c>
      <c r="I22" s="191">
        <v>15619.88</v>
      </c>
      <c r="J22" s="188">
        <f t="shared" si="0"/>
      </c>
      <c r="K22" s="188">
        <f t="shared" si="1"/>
      </c>
      <c r="L22" s="188">
        <f t="shared" si="2"/>
      </c>
      <c r="M22" s="185"/>
      <c r="N22" s="189"/>
      <c r="O22" s="185" t="s">
        <v>194</v>
      </c>
      <c r="P22" s="185">
        <v>7</v>
      </c>
    </row>
    <row r="23">
      <c r="A23" s="182">
        <v>46304</v>
      </c>
      <c r="B23" s="190" t="s">
        <v>199</v>
      </c>
      <c r="C23" s="183" t="s">
        <v>196</v>
      </c>
      <c r="D23" s="183">
        <v>4</v>
      </c>
      <c r="E23" s="185">
        <v>15</v>
      </c>
      <c r="F23" s="185">
        <v>6</v>
      </c>
      <c r="G23" s="185">
        <v>4</v>
      </c>
      <c r="H23" s="185">
        <v>23907.51</v>
      </c>
      <c r="I23" s="192">
        <v>11368.94</v>
      </c>
      <c r="J23" s="188">
        <f t="shared" si="0"/>
      </c>
      <c r="K23" s="188">
        <f t="shared" si="1"/>
      </c>
      <c r="L23" s="188">
        <f t="shared" si="2"/>
      </c>
      <c r="M23" s="185" t="s">
        <v>203</v>
      </c>
      <c r="N23" s="189">
        <v>9</v>
      </c>
      <c r="O23" s="185" t="s">
        <v>198</v>
      </c>
      <c r="P23" s="185">
        <v>9</v>
      </c>
    </row>
    <row r="24">
      <c r="A24" s="182">
        <v>46304</v>
      </c>
      <c r="B24" s="190" t="s">
        <v>195</v>
      </c>
      <c r="C24" s="183" t="s">
        <v>204</v>
      </c>
      <c r="D24" s="183">
        <v>4</v>
      </c>
      <c r="E24" s="185">
        <v>22</v>
      </c>
      <c r="F24" s="185">
        <v>17</v>
      </c>
      <c r="G24" s="185">
        <v>16</v>
      </c>
      <c r="H24" s="185">
        <v>49808.53000000001</v>
      </c>
      <c r="I24" s="192">
        <v>11146.76</v>
      </c>
      <c r="J24" s="188">
        <f t="shared" si="0"/>
      </c>
      <c r="K24" s="188">
        <f t="shared" si="1"/>
      </c>
      <c r="L24" s="188">
        <f t="shared" si="2"/>
      </c>
      <c r="M24" s="185"/>
      <c r="N24" s="189"/>
      <c r="O24" s="186"/>
      <c r="P24" s="186"/>
    </row>
    <row r="25">
      <c r="A25" s="193">
        <v>46304</v>
      </c>
      <c r="B25" s="194" t="s">
        <v>201</v>
      </c>
      <c r="C25" s="195"/>
      <c r="D25" s="196">
        <f>SUM(D21:D24)</f>
      </c>
      <c r="E25" s="196">
        <f>SUM(E21:E24)</f>
      </c>
      <c r="F25" s="196">
        <f>SUM(F21:F24)</f>
      </c>
      <c r="G25" s="196">
        <f>SUM(G21:G24)</f>
      </c>
      <c r="H25" s="197">
        <f>SUM(H21:H24)</f>
      </c>
      <c r="I25" s="197">
        <f>SUM(I21:I24)</f>
      </c>
      <c r="J25" s="198">
        <f t="shared" si="0"/>
      </c>
      <c r="K25" s="198">
        <f t="shared" si="1"/>
      </c>
      <c r="L25" s="198">
        <f t="shared" si="2"/>
      </c>
      <c r="M25" s="194"/>
      <c r="N25" s="196">
        <f>SUM(N21:N24)</f>
      </c>
      <c r="O25" s="196"/>
      <c r="P25" s="196">
        <f>SUM(P21:P24)</f>
      </c>
    </row>
    <row r="26">
      <c r="A26" s="182">
        <v>46305</v>
      </c>
      <c r="B26" s="190" t="s">
        <v>189</v>
      </c>
      <c r="C26" s="183" t="s">
        <v>190</v>
      </c>
      <c r="D26" s="183">
        <v>4</v>
      </c>
      <c r="E26" s="185">
        <v>17</v>
      </c>
      <c r="F26" s="185">
        <v>14</v>
      </c>
      <c r="G26" s="185">
        <v>8</v>
      </c>
      <c r="H26" s="185">
        <v>32995.24</v>
      </c>
      <c r="I26" s="191">
        <v>13847.720000000001</v>
      </c>
      <c r="J26" s="188">
        <f t="shared" si="0"/>
      </c>
      <c r="K26" s="188">
        <f t="shared" si="1"/>
      </c>
      <c r="L26" s="188">
        <f t="shared" si="2"/>
      </c>
      <c r="M26" s="185" t="s">
        <v>208</v>
      </c>
      <c r="N26" s="189">
        <v>2</v>
      </c>
      <c r="O26" s="186"/>
      <c r="P26" s="185"/>
    </row>
    <row r="27">
      <c r="A27" s="182">
        <v>46305</v>
      </c>
      <c r="B27" s="183" t="s">
        <v>191</v>
      </c>
      <c r="C27" s="183" t="s">
        <v>192</v>
      </c>
      <c r="D27" s="183">
        <v>4</v>
      </c>
      <c r="E27" s="185">
        <v>20</v>
      </c>
      <c r="F27" s="185">
        <v>16</v>
      </c>
      <c r="G27" s="185">
        <v>12</v>
      </c>
      <c r="H27" s="185">
        <v>37504.11</v>
      </c>
      <c r="I27" s="191">
        <v>13525.749999999998</v>
      </c>
      <c r="J27" s="188">
        <f t="shared" si="0"/>
      </c>
      <c r="K27" s="188">
        <f t="shared" si="1"/>
      </c>
      <c r="L27" s="188">
        <f t="shared" si="2"/>
      </c>
      <c r="M27" s="185" t="s">
        <v>209</v>
      </c>
      <c r="N27" s="189">
        <v>5</v>
      </c>
      <c r="O27" s="185" t="s">
        <v>194</v>
      </c>
      <c r="P27" s="185">
        <v>7</v>
      </c>
    </row>
    <row r="28">
      <c r="A28" s="182">
        <v>46305</v>
      </c>
      <c r="B28" s="190" t="s">
        <v>205</v>
      </c>
      <c r="C28" s="183" t="s">
        <v>196</v>
      </c>
      <c r="D28" s="183">
        <v>4</v>
      </c>
      <c r="E28" s="185">
        <v>12</v>
      </c>
      <c r="F28" s="185">
        <v>8</v>
      </c>
      <c r="G28" s="185">
        <v>4</v>
      </c>
      <c r="H28" s="185">
        <v>17435.269999999993</v>
      </c>
      <c r="I28" s="192">
        <v>12703.58</v>
      </c>
      <c r="J28" s="188">
        <f t="shared" si="0"/>
      </c>
      <c r="K28" s="188">
        <f t="shared" si="1"/>
      </c>
      <c r="L28" s="188">
        <f t="shared" si="2"/>
      </c>
      <c r="M28" s="185" t="s">
        <v>203</v>
      </c>
      <c r="N28" s="189">
        <v>5</v>
      </c>
      <c r="O28" s="186" t="s">
        <v>198</v>
      </c>
      <c r="P28" s="185">
        <v>5</v>
      </c>
    </row>
    <row r="29">
      <c r="A29" s="193">
        <v>46305</v>
      </c>
      <c r="B29" s="194" t="s">
        <v>201</v>
      </c>
      <c r="C29" s="195"/>
      <c r="D29" s="196">
        <f>SUM(D26:D28)</f>
      </c>
      <c r="E29" s="196">
        <f>SUM(E26:E28)</f>
      </c>
      <c r="F29" s="196">
        <f>SUM(F26:F28)</f>
      </c>
      <c r="G29" s="196">
        <f>SUM(G26:G28)</f>
      </c>
      <c r="H29" s="197">
        <f>SUM(H26:H28)</f>
      </c>
      <c r="I29" s="197">
        <f>SUM(I26:I28)</f>
      </c>
      <c r="J29" s="198">
        <f t="shared" si="0"/>
      </c>
      <c r="K29" s="198">
        <f t="shared" si="1"/>
      </c>
      <c r="L29" s="198">
        <f t="shared" si="2"/>
      </c>
      <c r="M29" s="194"/>
      <c r="N29" s="196">
        <f>SUM(N26:N28)</f>
      </c>
      <c r="O29" s="196"/>
      <c r="P29" s="196">
        <f>SUM(P26:P28)</f>
      </c>
    </row>
    <row r="30">
      <c r="A30" s="182">
        <v>46306</v>
      </c>
      <c r="B30" s="190" t="s">
        <v>191</v>
      </c>
      <c r="C30" s="183" t="s">
        <v>190</v>
      </c>
      <c r="D30" s="183">
        <v>4</v>
      </c>
      <c r="E30" s="185">
        <v>13</v>
      </c>
      <c r="F30" s="185">
        <v>9</v>
      </c>
      <c r="G30" s="185">
        <v>9</v>
      </c>
      <c r="H30" s="185">
        <v>17668.66</v>
      </c>
      <c r="I30" s="191">
        <v>11643.14</v>
      </c>
      <c r="J30" s="188">
        <f t="shared" si="0"/>
      </c>
      <c r="K30" s="188">
        <f t="shared" si="1"/>
      </c>
      <c r="L30" s="188">
        <f t="shared" si="2"/>
      </c>
      <c r="M30" s="185" t="s">
        <v>210</v>
      </c>
      <c r="N30" s="189">
        <v>7</v>
      </c>
      <c r="O30" s="186" t="s">
        <v>194</v>
      </c>
      <c r="P30" s="186">
        <v>7</v>
      </c>
    </row>
    <row r="31">
      <c r="A31" s="182">
        <v>46306</v>
      </c>
      <c r="B31" s="183" t="s">
        <v>189</v>
      </c>
      <c r="C31" s="183" t="s">
        <v>192</v>
      </c>
      <c r="D31" s="183">
        <v>4</v>
      </c>
      <c r="E31" s="185">
        <v>10</v>
      </c>
      <c r="F31" s="185">
        <v>7</v>
      </c>
      <c r="G31" s="185">
        <v>3</v>
      </c>
      <c r="H31" s="185">
        <v>11616.77</v>
      </c>
      <c r="I31" s="191">
        <v>13573.92</v>
      </c>
      <c r="J31" s="188">
        <f t="shared" si="0"/>
      </c>
      <c r="K31" s="188">
        <f t="shared" si="1"/>
      </c>
      <c r="L31" s="188">
        <f t="shared" si="2"/>
      </c>
      <c r="M31" s="185"/>
      <c r="N31" s="189"/>
      <c r="O31" s="185"/>
      <c r="P31" s="185"/>
    </row>
    <row r="32">
      <c r="A32" s="182">
        <v>46306</v>
      </c>
      <c r="B32" s="190" t="s">
        <v>199</v>
      </c>
      <c r="C32" s="183" t="s">
        <v>196</v>
      </c>
      <c r="D32" s="183">
        <v>4</v>
      </c>
      <c r="E32" s="185">
        <v>15</v>
      </c>
      <c r="F32" s="185">
        <v>11</v>
      </c>
      <c r="G32" s="185">
        <v>7</v>
      </c>
      <c r="H32" s="185">
        <v>25831.61</v>
      </c>
      <c r="I32" s="192">
        <v>6773.94</v>
      </c>
      <c r="J32" s="188">
        <f t="shared" si="0"/>
      </c>
      <c r="K32" s="188">
        <f t="shared" si="1"/>
      </c>
      <c r="L32" s="188">
        <f t="shared" si="2"/>
      </c>
      <c r="M32" s="185" t="s">
        <v>203</v>
      </c>
      <c r="N32" s="189">
        <v>5</v>
      </c>
      <c r="O32" s="186" t="s">
        <v>198</v>
      </c>
      <c r="P32" s="185">
        <v>5</v>
      </c>
    </row>
    <row r="33">
      <c r="A33" s="193">
        <v>46306</v>
      </c>
      <c r="B33" s="194" t="s">
        <v>201</v>
      </c>
      <c r="C33" s="195"/>
      <c r="D33" s="196">
        <f>SUM(D30:D32)</f>
      </c>
      <c r="E33" s="196">
        <f>SUM(E30:E32)</f>
      </c>
      <c r="F33" s="196">
        <f>SUM(F30:F32)</f>
      </c>
      <c r="G33" s="196">
        <f>SUM(G30:G32)</f>
      </c>
      <c r="H33" s="197">
        <f>SUM(H30:H32)</f>
      </c>
      <c r="I33" s="197">
        <f>SUM(I30:I32)</f>
      </c>
      <c r="J33" s="198">
        <f t="shared" si="0"/>
      </c>
      <c r="K33" s="198">
        <f t="shared" si="1"/>
      </c>
      <c r="L33" s="198">
        <f t="shared" si="2"/>
      </c>
      <c r="M33" s="194"/>
      <c r="N33" s="196">
        <f>SUM(N30:N32)</f>
      </c>
      <c r="O33" s="196"/>
      <c r="P33" s="196">
        <f>SUM(P30:P32)</f>
      </c>
    </row>
    <row r="34">
      <c r="A34" s="182"/>
      <c r="B34" s="190"/>
      <c r="C34" s="183"/>
      <c r="D34" s="183"/>
      <c r="E34" s="185"/>
      <c r="F34" s="185"/>
      <c r="G34" s="185"/>
      <c r="H34" s="185"/>
      <c r="I34" s="191"/>
      <c r="J34" s="188"/>
      <c r="K34" s="188"/>
      <c r="L34" s="188"/>
      <c r="M34" s="186"/>
      <c r="N34" s="189"/>
      <c r="O34" s="186"/>
      <c r="P34" s="185"/>
    </row>
    <row r="35">
      <c r="A35" s="182"/>
      <c r="B35" s="190"/>
      <c r="C35" s="183"/>
      <c r="D35" s="183"/>
      <c r="E35" s="185"/>
      <c r="F35" s="185"/>
      <c r="G35" s="185"/>
      <c r="H35" s="185"/>
      <c r="I35" s="191"/>
      <c r="J35" s="188"/>
      <c r="K35" s="188"/>
      <c r="L35" s="188"/>
      <c r="M35" s="185"/>
      <c r="N35" s="189"/>
      <c r="O35" s="185"/>
      <c r="P35" s="185"/>
    </row>
    <row r="36">
      <c r="A36" s="182"/>
      <c r="B36" s="190"/>
      <c r="C36" s="183"/>
      <c r="D36" s="183"/>
      <c r="E36" s="185"/>
      <c r="F36" s="185"/>
      <c r="G36" s="185"/>
      <c r="H36" s="185"/>
      <c r="I36" s="192"/>
      <c r="J36" s="188"/>
      <c r="K36" s="188"/>
      <c r="L36" s="188"/>
      <c r="M36" s="185"/>
      <c r="N36" s="189"/>
      <c r="O36" s="185"/>
      <c r="P36" s="185"/>
    </row>
    <row r="37">
      <c r="A37" s="182"/>
      <c r="B37" s="190"/>
      <c r="C37" s="183"/>
      <c r="D37" s="183"/>
      <c r="E37" s="185"/>
      <c r="F37" s="185"/>
      <c r="G37" s="185"/>
      <c r="H37" s="185"/>
      <c r="I37" s="192"/>
      <c r="J37" s="188"/>
      <c r="K37" s="188"/>
      <c r="L37" s="188"/>
      <c r="M37" s="185"/>
      <c r="N37" s="189"/>
      <c r="O37" s="186"/>
      <c r="P37" s="186"/>
    </row>
    <row r="38">
      <c r="A38" s="193"/>
      <c r="B38" s="194"/>
      <c r="C38" s="195"/>
      <c r="D38" s="196"/>
      <c r="E38" s="196"/>
      <c r="F38" s="196"/>
      <c r="G38" s="196"/>
      <c r="H38" s="197"/>
      <c r="I38" s="197"/>
      <c r="J38" s="198"/>
      <c r="K38" s="198"/>
      <c r="L38" s="198"/>
      <c r="M38" s="194"/>
      <c r="N38" s="196"/>
      <c r="O38" s="196"/>
      <c r="P38" s="196"/>
    </row>
  </sheetData>
  <autoFilter ref="A1:HY200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199" t="s">
        <v>211</v>
      </c>
      <c r="B1" s="199" t="s">
        <v>212</v>
      </c>
      <c r="C1" s="199" t="s">
        <v>213</v>
      </c>
      <c r="D1" s="199" t="s">
        <v>214</v>
      </c>
      <c r="E1" s="200" t="s">
        <v>215</v>
      </c>
      <c r="F1" s="200" t="s">
        <v>216</v>
      </c>
      <c r="G1" s="201" t="s">
        <v>217</v>
      </c>
    </row>
    <row hidden="true" r="2">
      <c r="A2" s="202">
        <v>46293</v>
      </c>
      <c r="B2" s="203" t="s">
        <v>218</v>
      </c>
      <c r="C2" s="204" t="s">
        <v>219</v>
      </c>
      <c r="D2" s="205">
        <v>4</v>
      </c>
      <c r="E2" s="206">
        <v>17</v>
      </c>
      <c r="F2" s="207">
        <v>36663</v>
      </c>
      <c r="G2" s="208">
        <v>13484.84</v>
      </c>
    </row>
    <row hidden="true" r="3">
      <c r="A3" s="202">
        <v>46293</v>
      </c>
      <c r="B3" s="205" t="s">
        <v>220</v>
      </c>
      <c r="C3" s="204" t="s">
        <v>221</v>
      </c>
      <c r="D3" s="205">
        <v>4</v>
      </c>
      <c r="E3" s="206">
        <v>12</v>
      </c>
      <c r="F3" s="206">
        <v>30546.61</v>
      </c>
      <c r="G3" s="209">
        <v>14982.47</v>
      </c>
    </row>
    <row hidden="true" r="4">
      <c r="A4" s="202">
        <v>46293</v>
      </c>
      <c r="B4" s="203" t="s">
        <v>222</v>
      </c>
      <c r="C4" s="204" t="s">
        <v>223</v>
      </c>
      <c r="D4" s="205">
        <v>4</v>
      </c>
      <c r="E4" s="206">
        <v>14</v>
      </c>
      <c r="F4" s="206">
        <v>33917.799999999996</v>
      </c>
      <c r="G4" s="210">
        <v>17483.79</v>
      </c>
    </row>
    <row hidden="true" r="5">
      <c r="A5" s="202">
        <v>46293</v>
      </c>
      <c r="B5" s="203" t="s">
        <v>224</v>
      </c>
      <c r="C5" s="204" t="s">
        <v>225</v>
      </c>
      <c r="D5" s="204">
        <v>4</v>
      </c>
      <c r="E5" s="206">
        <v>10</v>
      </c>
      <c r="F5" s="206">
        <v>21811.37</v>
      </c>
      <c r="G5" s="210">
        <v>13335.14</v>
      </c>
    </row>
    <row hidden="true" r="6">
      <c r="A6" s="211">
        <v>46293</v>
      </c>
      <c r="B6" s="212" t="s">
        <v>226</v>
      </c>
      <c r="C6" s="213"/>
      <c r="D6" s="214">
        <f>SUM(D2:D5)</f>
      </c>
      <c r="E6" s="214">
        <f>SUM(E2:E5)</f>
      </c>
      <c r="F6" s="215">
        <f>SUM(F2:F5)</f>
      </c>
      <c r="G6" s="215">
        <f>SUM(G2:G5)</f>
      </c>
    </row>
    <row hidden="true" r="7">
      <c r="A7" s="202">
        <v>46294</v>
      </c>
      <c r="B7" s="205" t="s">
        <v>220</v>
      </c>
      <c r="C7" s="204" t="s">
        <v>219</v>
      </c>
      <c r="D7" s="205">
        <v>4</v>
      </c>
      <c r="E7" s="206">
        <v>26</v>
      </c>
      <c r="F7" s="207">
        <v>82584.77</v>
      </c>
      <c r="G7" s="208">
        <v>21207.050000000003</v>
      </c>
    </row>
    <row hidden="true" r="8">
      <c r="A8" s="202">
        <v>46294</v>
      </c>
      <c r="B8" s="203" t="s">
        <v>218</v>
      </c>
      <c r="C8" s="204" t="s">
        <v>221</v>
      </c>
      <c r="D8" s="205">
        <v>4</v>
      </c>
      <c r="E8" s="206">
        <v>24</v>
      </c>
      <c r="F8" s="206">
        <v>52382.44</v>
      </c>
      <c r="G8" s="209">
        <v>32319.53</v>
      </c>
    </row>
    <row r="9">
      <c r="A9" s="202">
        <v>46294</v>
      </c>
      <c r="B9" s="203" t="s">
        <v>227</v>
      </c>
      <c r="C9" s="204" t="s">
        <v>223</v>
      </c>
      <c r="D9" s="205">
        <v>4</v>
      </c>
      <c r="E9" s="206">
        <v>17</v>
      </c>
      <c r="F9" s="206">
        <v>31873.1</v>
      </c>
      <c r="G9" s="210">
        <v>17290.91</v>
      </c>
    </row>
    <row hidden="true" r="10">
      <c r="A10" s="202">
        <v>46294</v>
      </c>
      <c r="B10" s="203" t="s">
        <v>222</v>
      </c>
      <c r="C10" s="204" t="s">
        <v>225</v>
      </c>
      <c r="D10" s="204">
        <v>4</v>
      </c>
      <c r="E10" s="206">
        <v>16</v>
      </c>
      <c r="F10" s="206">
        <v>40579.89</v>
      </c>
      <c r="G10" s="210">
        <v>19340.66</v>
      </c>
    </row>
    <row hidden="true" r="11">
      <c r="A11" s="211">
        <v>46294</v>
      </c>
      <c r="B11" s="212" t="s">
        <v>226</v>
      </c>
      <c r="C11" s="213"/>
      <c r="D11" s="214">
        <f>SUM(D7:D10)</f>
      </c>
      <c r="E11" s="214">
        <f>SUM(E7:E10)</f>
      </c>
      <c r="F11" s="215">
        <f>SUM(F7:F10)</f>
      </c>
      <c r="G11" s="215">
        <f>SUM(G7:G10)</f>
      </c>
    </row>
    <row r="12">
      <c r="A12" s="202">
        <v>46295</v>
      </c>
      <c r="B12" s="203" t="s">
        <v>227</v>
      </c>
      <c r="C12" s="204" t="s">
        <v>228</v>
      </c>
      <c r="D12" s="204">
        <v>5</v>
      </c>
      <c r="E12" s="206">
        <v>28</v>
      </c>
      <c r="F12" s="206">
        <v>71814.17</v>
      </c>
      <c r="G12" s="209">
        <v>23815.77</v>
      </c>
    </row>
    <row hidden="true" r="13">
      <c r="A13" s="202">
        <v>46295</v>
      </c>
      <c r="B13" s="203" t="s">
        <v>218</v>
      </c>
      <c r="C13" s="204" t="s">
        <v>229</v>
      </c>
      <c r="D13" s="204">
        <v>5</v>
      </c>
      <c r="E13" s="206">
        <v>20</v>
      </c>
      <c r="F13" s="206">
        <v>51557.86</v>
      </c>
      <c r="G13" s="210">
        <v>21001.92</v>
      </c>
    </row>
    <row hidden="true" r="14">
      <c r="A14" s="202">
        <v>46295</v>
      </c>
      <c r="B14" s="203" t="s">
        <v>224</v>
      </c>
      <c r="C14" s="204" t="s">
        <v>225</v>
      </c>
      <c r="D14" s="204">
        <v>4</v>
      </c>
      <c r="E14" s="206">
        <v>8</v>
      </c>
      <c r="F14" s="206">
        <v>20459.12</v>
      </c>
      <c r="G14" s="210">
        <v>17634.05</v>
      </c>
    </row>
    <row hidden="true" r="15">
      <c r="A15" s="211">
        <v>46295</v>
      </c>
      <c r="B15" s="212" t="s">
        <v>226</v>
      </c>
      <c r="C15" s="213"/>
      <c r="D15" s="214">
        <f>SUM(D12:D14)</f>
      </c>
      <c r="E15" s="214">
        <f>SUM(E12:E14)</f>
      </c>
      <c r="F15" s="215">
        <f>SUM(F12:F14)</f>
      </c>
      <c r="G15" s="215">
        <f>SUM(G12:G14)</f>
      </c>
    </row>
    <row hidden="true" r="16">
      <c r="A16" s="202">
        <v>46296</v>
      </c>
      <c r="B16" s="205" t="s">
        <v>220</v>
      </c>
      <c r="C16" s="204" t="s">
        <v>219</v>
      </c>
      <c r="D16" s="205">
        <v>4</v>
      </c>
      <c r="E16" s="206">
        <v>19</v>
      </c>
      <c r="F16" s="207">
        <v>52982.520000000004</v>
      </c>
      <c r="G16" s="208">
        <v>12896.38</v>
      </c>
    </row>
    <row hidden="true" r="17">
      <c r="A17" s="202">
        <v>46296</v>
      </c>
      <c r="B17" s="203" t="s">
        <v>218</v>
      </c>
      <c r="C17" s="204" t="s">
        <v>221</v>
      </c>
      <c r="D17" s="205">
        <v>4</v>
      </c>
      <c r="E17" s="206">
        <v>10</v>
      </c>
      <c r="F17" s="206">
        <v>26157.57</v>
      </c>
      <c r="G17" s="209">
        <v>11757.87</v>
      </c>
    </row>
    <row r="18">
      <c r="A18" s="202">
        <v>46296</v>
      </c>
      <c r="B18" s="203" t="s">
        <v>227</v>
      </c>
      <c r="C18" s="204" t="s">
        <v>223</v>
      </c>
      <c r="D18" s="205">
        <v>4</v>
      </c>
      <c r="E18" s="206">
        <v>12</v>
      </c>
      <c r="F18" s="206">
        <v>28600.97</v>
      </c>
      <c r="G18" s="210">
        <v>12420.24</v>
      </c>
    </row>
    <row hidden="true" r="19">
      <c r="A19" s="202">
        <v>46296</v>
      </c>
      <c r="B19" s="203" t="s">
        <v>224</v>
      </c>
      <c r="C19" s="204" t="s">
        <v>225</v>
      </c>
      <c r="D19" s="204">
        <v>4</v>
      </c>
      <c r="E19" s="206">
        <v>22</v>
      </c>
      <c r="F19" s="206">
        <v>58120.45</v>
      </c>
      <c r="G19" s="210">
        <v>16866.29</v>
      </c>
    </row>
    <row hidden="true" r="20">
      <c r="A20" s="211">
        <v>46296</v>
      </c>
      <c r="B20" s="212" t="s">
        <v>226</v>
      </c>
      <c r="C20" s="213"/>
      <c r="D20" s="214">
        <f>SUM(D16:D19)</f>
      </c>
      <c r="E20" s="214">
        <f>SUM(E16:E19)</f>
      </c>
      <c r="F20" s="215">
        <f>SUM(F16:F19)</f>
      </c>
      <c r="G20" s="215">
        <f>SUM(G16:G19)</f>
      </c>
    </row>
    <row hidden="true" r="21">
      <c r="A21" s="202">
        <v>46297</v>
      </c>
      <c r="B21" s="205" t="s">
        <v>220</v>
      </c>
      <c r="C21" s="204" t="s">
        <v>219</v>
      </c>
      <c r="D21" s="205">
        <v>4</v>
      </c>
      <c r="E21" s="206">
        <v>14</v>
      </c>
      <c r="F21" s="207">
        <v>40347.59</v>
      </c>
      <c r="G21" s="208">
        <v>12805.69</v>
      </c>
    </row>
    <row hidden="true" r="22">
      <c r="A22" s="202">
        <v>46297</v>
      </c>
      <c r="B22" s="203" t="s">
        <v>218</v>
      </c>
      <c r="C22" s="204" t="s">
        <v>221</v>
      </c>
      <c r="D22" s="205">
        <v>4</v>
      </c>
      <c r="E22" s="206">
        <v>8</v>
      </c>
      <c r="F22" s="206">
        <v>16722.300000000003</v>
      </c>
      <c r="G22" s="209">
        <v>14412.52</v>
      </c>
    </row>
    <row hidden="true" r="23">
      <c r="A23" s="202">
        <v>46297</v>
      </c>
      <c r="B23" s="203" t="s">
        <v>222</v>
      </c>
      <c r="C23" s="204" t="s">
        <v>223</v>
      </c>
      <c r="D23" s="205">
        <v>4</v>
      </c>
      <c r="E23" s="206">
        <v>11</v>
      </c>
      <c r="F23" s="206">
        <v>24768.859999999997</v>
      </c>
      <c r="G23" s="210">
        <v>14117.940000000002</v>
      </c>
    </row>
    <row hidden="true" r="24">
      <c r="A24" s="202">
        <v>46297</v>
      </c>
      <c r="B24" s="203" t="s">
        <v>224</v>
      </c>
      <c r="C24" s="204" t="s">
        <v>225</v>
      </c>
      <c r="D24" s="204">
        <v>4</v>
      </c>
      <c r="E24" s="206">
        <v>10</v>
      </c>
      <c r="F24" s="206">
        <v>27216.74</v>
      </c>
      <c r="G24" s="210">
        <v>11475.68</v>
      </c>
    </row>
    <row hidden="true" r="25">
      <c r="A25" s="211">
        <v>46297</v>
      </c>
      <c r="B25" s="212" t="s">
        <v>226</v>
      </c>
      <c r="C25" s="213"/>
      <c r="D25" s="214">
        <f>SUM(D21:D24)</f>
      </c>
      <c r="E25" s="214">
        <f>SUM(E21:E24)</f>
      </c>
      <c r="F25" s="215">
        <f>SUM(F21:F24)</f>
      </c>
      <c r="G25" s="215">
        <f>SUM(G21:G24)</f>
      </c>
    </row>
    <row hidden="true" r="26">
      <c r="A26" s="202">
        <v>46298</v>
      </c>
      <c r="B26" s="205" t="s">
        <v>220</v>
      </c>
      <c r="C26" s="204" t="s">
        <v>219</v>
      </c>
      <c r="D26" s="205">
        <v>4</v>
      </c>
      <c r="E26" s="206">
        <v>18</v>
      </c>
      <c r="F26" s="207">
        <v>42717.73</v>
      </c>
      <c r="G26" s="208">
        <v>13785.91</v>
      </c>
    </row>
    <row hidden="true" r="27">
      <c r="A27" s="202">
        <v>46298</v>
      </c>
      <c r="B27" s="203" t="s">
        <v>218</v>
      </c>
      <c r="C27" s="204" t="s">
        <v>221</v>
      </c>
      <c r="D27" s="205">
        <v>4</v>
      </c>
      <c r="E27" s="206">
        <v>14</v>
      </c>
      <c r="F27" s="206">
        <v>29764.95</v>
      </c>
      <c r="G27" s="209">
        <v>14611.98</v>
      </c>
    </row>
    <row hidden="true" r="28">
      <c r="A28" s="202">
        <v>46298</v>
      </c>
      <c r="B28" s="203" t="s">
        <v>222</v>
      </c>
      <c r="C28" s="204" t="s">
        <v>223</v>
      </c>
      <c r="D28" s="205">
        <v>4</v>
      </c>
      <c r="E28" s="206">
        <v>7</v>
      </c>
      <c r="F28" s="206">
        <v>16614.820000000003</v>
      </c>
      <c r="G28" s="210">
        <v>13714.400000000001</v>
      </c>
    </row>
    <row hidden="true" r="29">
      <c r="A29" s="202">
        <v>46298</v>
      </c>
      <c r="B29" s="203" t="s">
        <v>224</v>
      </c>
      <c r="C29" s="204" t="s">
        <v>225</v>
      </c>
      <c r="D29" s="204">
        <v>4</v>
      </c>
      <c r="E29" s="206">
        <v>20</v>
      </c>
      <c r="F29" s="206">
        <v>70337.81</v>
      </c>
      <c r="G29" s="210">
        <v>15231.92</v>
      </c>
    </row>
    <row hidden="true" r="30">
      <c r="A30" s="211">
        <v>46298</v>
      </c>
      <c r="B30" s="212" t="s">
        <v>226</v>
      </c>
      <c r="C30" s="213"/>
      <c r="D30" s="214">
        <f>SUM(D26:D29)</f>
      </c>
      <c r="E30" s="214">
        <f>SUM(E26:E29)</f>
      </c>
      <c r="F30" s="215">
        <f>SUM(F26:F29)</f>
      </c>
      <c r="G30" s="215">
        <f>SUM(G26:G29)</f>
      </c>
    </row>
    <row hidden="true" r="31">
      <c r="A31" s="202">
        <v>46299</v>
      </c>
      <c r="B31" s="204" t="s">
        <v>218</v>
      </c>
      <c r="C31" s="204" t="s">
        <v>219</v>
      </c>
      <c r="D31" s="205">
        <v>4</v>
      </c>
      <c r="E31" s="206">
        <v>13</v>
      </c>
      <c r="F31" s="207">
        <v>31140.460000000003</v>
      </c>
      <c r="G31" s="208">
        <v>15156.470000000001</v>
      </c>
    </row>
    <row r="32">
      <c r="A32" s="202">
        <v>46299</v>
      </c>
      <c r="B32" s="203" t="s">
        <v>227</v>
      </c>
      <c r="C32" s="204" t="s">
        <v>221</v>
      </c>
      <c r="D32" s="205">
        <v>4</v>
      </c>
      <c r="E32" s="206">
        <v>13</v>
      </c>
      <c r="F32" s="206">
        <v>28336.59</v>
      </c>
      <c r="G32" s="209">
        <v>11917.6</v>
      </c>
    </row>
    <row hidden="true" r="33">
      <c r="A33" s="202">
        <v>46299</v>
      </c>
      <c r="B33" s="203" t="s">
        <v>222</v>
      </c>
      <c r="C33" s="204" t="s">
        <v>223</v>
      </c>
      <c r="D33" s="205">
        <v>4</v>
      </c>
      <c r="E33" s="206">
        <v>17</v>
      </c>
      <c r="F33" s="206">
        <v>38800.68</v>
      </c>
      <c r="G33" s="210">
        <v>13328.47</v>
      </c>
    </row>
    <row hidden="true" r="34">
      <c r="A34" s="202">
        <v>46299</v>
      </c>
      <c r="B34" s="203" t="s">
        <v>224</v>
      </c>
      <c r="C34" s="204" t="s">
        <v>225</v>
      </c>
      <c r="D34" s="204">
        <v>4</v>
      </c>
      <c r="E34" s="206">
        <v>20</v>
      </c>
      <c r="F34" s="206">
        <v>44086.75</v>
      </c>
      <c r="G34" s="210">
        <v>21296.44</v>
      </c>
    </row>
    <row hidden="true" r="35">
      <c r="A35" s="211">
        <v>46299</v>
      </c>
      <c r="B35" s="212" t="s">
        <v>226</v>
      </c>
      <c r="C35" s="213"/>
      <c r="D35" s="214">
        <f>SUM(D31:D34)</f>
      </c>
      <c r="E35" s="214">
        <f>SUM(E31:E34)</f>
      </c>
      <c r="F35" s="215">
        <f>SUM(F31:F34)</f>
      </c>
      <c r="G35" s="215">
        <f>SUM(G31:G34)</f>
      </c>
    </row>
    <row r="36"/>
    <row r="37"/>
    <row r="38"/>
    <row r="39"/>
    <row r="40"/>
    <row r="41"/>
    <row r="42">
      <c r="E42" s="216"/>
    </row>
  </sheetData>
  <autoFilter ref="A1:G35">
    <filterColumn colId="1">
      <filters>
        <filter val="段弼瑞"/>
      </filters>
    </filterColumn>
  </autoFil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