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7"/>
    <sheet name="勿删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72" i="2" a="true"/>
  <c r="K372" i="2" a="true"/>
  <c r="L372" i="2" a="true"/>
  <c r="M372" i="2" a="true"/>
  <c r="J389" i="3" a="true"/>
  <c r="K389" i="3" a="true"/>
  <c r="L389" i="3" a="true"/>
  <c r="M389" i="3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<sst xmlns="http://schemas.openxmlformats.org/spreadsheetml/2006/main" count="302" uniqueCount="302">
  <si>
    <t xml:space="preserve">  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</si>
  <si>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</si>
  <si>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</si>
  <si>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</si>
  <si>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</si>
  <si>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xx产品线定制化需求</t>
  </si>
  <si>
    <t xml:space="preserve">勿动</t>
  </si>
  <si>
    <t xml:space="preserve">消耗</t>
  </si>
  <si>
    <t xml:space="preserve">转化</t>
  </si>
  <si>
    <t xml:space="preserve">投产</t>
  </si>
  <si>
    <t xml:space="preserve">漏斗数据</t>
  </si>
  <si>
    <t xml:space="preserve">计算参数</t>
  </si>
  <si>
    <t xml:space="preserve">场控</t>
  </si>
  <si>
    <t xml:space="preserve">投手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</si>
  <si>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</si>
  <si>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</si>
  <si>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</si>
  <si>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</si>
  <si>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</si>
  <si>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智擎版消耗</t>
  </si>
  <si>
    <t xml:space="preserve">1号链接保单数</t>
  </si>
  <si>
    <t xml:space="preserve">1号链接保单金额</t>
  </si>
  <si>
    <t xml:space="preserve">2号链接保单数</t>
  </si>
  <si>
    <t xml:space="preserve">2号链接保单金额</t>
  </si>
  <si>
    <t xml:space="preserve">年缴单</t>
  </si>
  <si>
    <t xml:space="preserve">年缴占比</t>
  </si>
  <si>
    <t xml:space="preserve">家庭单</t>
  </si>
  <si>
    <t xml:space="preserve">家庭单占比</t>
  </si>
  <si>
    <t xml:space="preserve">总保单</t>
  </si>
  <si>
    <t xml:space="preserve">总年化保费</t>
  </si>
  <si>
    <t xml:space="preserve">投放ROI</t>
  </si>
  <si>
    <t xml:space="preserve">业务ROI</t>
  </si>
  <si>
    <t xml:space="preserve">件均</t>
  </si>
  <si>
    <t xml:space="preserve">AD转化数</t>
  </si>
  <si>
    <t xml:space="preserve">AD转化成本</t>
  </si>
  <si>
    <t xml:space="preserve">保单成本</t>
  </si>
  <si>
    <t/>
    <r>
      <rPr>
        <b val="true"/>
        <i val="false"/>
        <strike val="false"/>
        <sz val="10"/>
        <color rgb="FF000000"/>
      </rPr>
      <t>点击单价</t>
    </r>
    <r>
      <rPr/>
      <t xml:space="preserve">
</t>
    </r>
    <r>
      <rPr>
        <b val="false"/>
        <i val="false"/>
        <strike val="false"/>
        <sz val="8"/>
        <color rgb="FF000000"/>
      </rPr>
      <t>消耗/点击数</t>
    </r>
  </si>
  <si>
    <t/>
    <r>
      <rPr>
        <b val="true"/>
        <i val="false"/>
        <strike val="false"/>
        <sz val="10"/>
        <color rgb="FF000000"/>
      </rPr>
      <t>千展成本</t>
    </r>
    <r>
      <rPr/>
      <t xml:space="preserve">
</t>
    </r>
    <r>
      <rPr>
        <b val="false"/>
        <i val="false"/>
        <strike val="false"/>
        <sz val="8"/>
        <color rgb="FF000000"/>
      </rPr>
      <t>消耗/展示数*1000</t>
    </r>
  </si>
  <si>
    <t/>
    <r>
      <rPr>
        <b val="true"/>
        <i val="false"/>
        <strike val="false"/>
        <sz val="10"/>
        <color rgb="FF000000"/>
      </rPr>
      <t xml:space="preserve">组件点击成本
</t>
    </r>
    <r>
      <rPr>
        <b val="false"/>
        <i val="false"/>
        <strike val="false"/>
        <sz val="9"/>
        <color rgb="FF000000"/>
      </rPr>
      <t>消耗/组件点击数</t>
    </r>
  </si>
  <si>
    <t/>
    <r>
      <rPr>
        <b val="true"/>
        <i val="false"/>
        <strike val="false"/>
        <sz val="10"/>
        <color rgb="FF000000"/>
      </rPr>
      <t>曝光进入率</t>
    </r>
    <r>
      <rPr/>
      <t xml:space="preserve">
</t>
    </r>
    <r>
      <rPr>
        <b val="false"/>
        <i val="false"/>
        <strike val="false"/>
        <sz val="8"/>
        <color rgb="FF000000"/>
      </rPr>
      <t>点击数/展示数</t>
    </r>
  </si>
  <si>
    <t/>
    <r>
      <rPr>
        <b val="true"/>
        <i val="false"/>
        <strike val="false"/>
        <sz val="10"/>
        <color rgb="FF000000"/>
      </rPr>
      <t>组件点击率</t>
    </r>
    <r>
      <rPr/>
      <t xml:space="preserve">
</t>
    </r>
    <r>
      <rPr>
        <b val="false"/>
        <i val="false"/>
        <strike val="false"/>
        <sz val="8"/>
        <color rgb="FF000000"/>
      </rPr>
      <t>组件点击数/直播间观看数</t>
    </r>
  </si>
  <si>
    <t xml:space="preserve">直播间评论率</t>
  </si>
  <si>
    <t/>
    <r>
      <rPr>
        <b val="true"/>
        <i val="false"/>
        <strike val="false"/>
        <sz val="10"/>
        <color rgb="FF000000"/>
      </rPr>
      <t>评论转化率</t>
    </r>
    <r>
      <rPr/>
      <t xml:space="preserve">
</t>
    </r>
    <r>
      <rPr>
        <b val="false"/>
        <i val="false"/>
        <strike val="false"/>
        <sz val="8"/>
        <color rgb="FF000000"/>
      </rPr>
      <t>保单数/直播评论人数</t>
    </r>
  </si>
  <si>
    <t/>
    <r>
      <rPr>
        <b val="true"/>
        <i val="false"/>
        <strike val="false"/>
        <sz val="10"/>
        <color rgb="FF000000"/>
      </rPr>
      <t>提单率</t>
    </r>
    <r>
      <rPr/>
      <t xml:space="preserve">
</t>
    </r>
    <r>
      <rPr>
        <b val="false"/>
        <i val="false"/>
        <strike val="false"/>
        <sz val="8"/>
        <color rgb="FF000000"/>
      </rPr>
      <t>已支付+待支付/组件点击数</t>
    </r>
  </si>
  <si>
    <t/>
    <r>
      <rPr>
        <b val="true"/>
        <i val="false"/>
        <strike val="false"/>
        <sz val="10"/>
        <color rgb="FF000000"/>
      </rPr>
      <t>支付率</t>
    </r>
    <r>
      <rPr/>
      <t xml:space="preserve">
</t>
    </r>
    <r>
      <rPr>
        <b val="false"/>
        <i val="false"/>
        <strike val="false"/>
        <sz val="8"/>
        <color rgb="FF000000"/>
      </rPr>
      <t>已支付/已支付+待支付</t>
    </r>
  </si>
  <si>
    <t xml:space="preserve">超一分钟停留率</t>
  </si>
  <si>
    <t xml:space="preserve">平均停留时长/秒</t>
  </si>
  <si>
    <t xml:space="preserve">展示</t>
  </si>
  <si>
    <t xml:space="preserve">点击数</t>
  </si>
  <si>
    <t xml:space="preserve">直播间观看数</t>
  </si>
  <si>
    <t xml:space="preserve">组件点击数</t>
  </si>
  <si>
    <t xml:space="preserve">评论人数</t>
  </si>
  <si>
    <t xml:space="preserve">直播间评论数</t>
  </si>
  <si>
    <t xml:space="preserve">60秒观看人数</t>
  </si>
  <si>
    <t xml:space="preserve">订单数</t>
  </si>
  <si>
    <t xml:space="preserve">直播间关注数</t>
  </si>
  <si>
    <t xml:space="preserve">直播间分享数</t>
  </si>
  <si>
    <t xml:space="preserve">直播间点赞数</t>
  </si>
  <si>
    <t xml:space="preserve">时长</t>
  </si>
  <si>
    <t xml:space="preserve">王浩博</t>
  </si>
  <si>
    <t xml:space="preserve">江勇</t>
  </si>
  <si>
    <t xml:space="preserve">王冰心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</si>
  <si>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</si>
  <si>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</si>
  <si>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</si>
  <si>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</si>
  <si>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分主播汇总</t>
  </si>
  <si>
    <t xml:space="preserve">张惠霞</t>
  </si>
  <si>
    <t xml:space="preserve">13:00-14:00</t>
  </si>
  <si>
    <t xml:space="preserve">14:00-15:00</t>
  </si>
  <si>
    <t xml:space="preserve">15:00-16:00</t>
  </si>
  <si>
    <t xml:space="preserve">李子健</t>
  </si>
  <si>
    <t xml:space="preserve">陈家豪</t>
  </si>
  <si>
    <t xml:space="preserve">16:00-17:00</t>
  </si>
  <si>
    <t xml:space="preserve">段弼瑞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</si>
  <si>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</si>
  <si>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</si>
  <si>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</si>
  <si>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</si>
  <si>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邢佳熙</t>
  </si>
  <si>
    <t xml:space="preserve">21:00-22:00</t>
  </si>
  <si>
    <t xml:space="preserve">22:00-23:00</t>
  </si>
  <si>
    <t xml:space="preserve">23:00-24:00</t>
  </si>
  <si>
    <t xml:space="preserve">24:00-01:00</t>
  </si>
  <si>
    <t xml:space="preserve">总计</t>
  </si>
  <si>
    <t xml:space="preserve">孔丹阳</t>
  </si>
  <si>
    <t xml:space="preserve">李叶叶</t>
  </si>
  <si>
    <t xml:space="preserve">曹颖慧</t>
  </si>
  <si>
    <t xml:space="preserve">张见森</t>
  </si>
  <si>
    <t xml:space="preserve">高琎梅</t>
  </si>
  <si>
    <t xml:space="preserve">董柯言</t>
  </si>
  <si>
    <t xml:space="preserve">闫小姗</t>
  </si>
  <si>
    <t xml:space="preserve">郝泽晗</t>
  </si>
  <si>
    <t xml:space="preserve">张慧霞</t>
  </si>
  <si>
    <t xml:space="preserve">最后一小时需核对</t>
  </si>
  <si>
    <t xml:space="preserve">勿删</t>
  </si>
  <si>
    <t xml:space="preserve">最后一小时消耗</t>
  </si>
  <si>
    <t xml:space="preserve">对消耗勿删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</si>
  <si>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</si>
  <si>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</si>
  <si>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</si>
  <si>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</si>
  <si>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xx产品线定制化需求</t>
  </si>
  <si>
    <t xml:space="preserve">勿动</t>
  </si>
  <si>
    <t xml:space="preserve">消耗</t>
  </si>
  <si>
    <t xml:space="preserve">转化</t>
  </si>
  <si>
    <t xml:space="preserve">投产</t>
  </si>
  <si>
    <t xml:space="preserve">漏斗数据</t>
  </si>
  <si>
    <t xml:space="preserve">计算参数</t>
  </si>
  <si>
    <t xml:space="preserve">场控</t>
  </si>
  <si>
    <t xml:space="preserve">投手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</si>
  <si>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</si>
  <si>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</si>
  <si>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</si>
  <si>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</si>
  <si>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</si>
  <si>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智擎版消耗</t>
  </si>
  <si>
    <t xml:space="preserve">1号链接保单数</t>
  </si>
  <si>
    <t xml:space="preserve">1号链接保单金额</t>
  </si>
  <si>
    <t xml:space="preserve">2号链接保单数</t>
  </si>
  <si>
    <t xml:space="preserve">2号链接保单金额</t>
  </si>
  <si>
    <t xml:space="preserve">年缴单</t>
  </si>
  <si>
    <t xml:space="preserve">年缴占比</t>
  </si>
  <si>
    <t xml:space="preserve">家庭单</t>
  </si>
  <si>
    <t xml:space="preserve">家庭单占比</t>
  </si>
  <si>
    <t xml:space="preserve">总保单</t>
  </si>
  <si>
    <t xml:space="preserve">总年化保费</t>
  </si>
  <si>
    <t xml:space="preserve">投放ROI</t>
  </si>
  <si>
    <t xml:space="preserve">业务ROI</t>
  </si>
  <si>
    <t xml:space="preserve">件均</t>
  </si>
  <si>
    <t xml:space="preserve">AD转化数</t>
  </si>
  <si>
    <t xml:space="preserve">AD转化成本</t>
  </si>
  <si>
    <t xml:space="preserve">保单成本</t>
  </si>
  <si>
    <t/>
    <r>
      <rPr>
        <b val="true"/>
        <i val="false"/>
        <strike val="false"/>
        <sz val="10"/>
        <color rgb="FF000000"/>
      </rPr>
      <t>点击单价</t>
    </r>
    <r>
      <rPr/>
      <t xml:space="preserve">
</t>
    </r>
    <r>
      <rPr>
        <b val="false"/>
        <i val="false"/>
        <strike val="false"/>
        <sz val="8"/>
        <color rgb="FF000000"/>
      </rPr>
      <t>消耗/点击数</t>
    </r>
  </si>
  <si>
    <t/>
    <r>
      <rPr>
        <b val="true"/>
        <i val="false"/>
        <strike val="false"/>
        <sz val="10"/>
        <color rgb="FF000000"/>
      </rPr>
      <t>千展成本</t>
    </r>
    <r>
      <rPr/>
      <t xml:space="preserve">
</t>
    </r>
    <r>
      <rPr>
        <b val="false"/>
        <i val="false"/>
        <strike val="false"/>
        <sz val="8"/>
        <color rgb="FF000000"/>
      </rPr>
      <t>消耗/展示数*1000</t>
    </r>
  </si>
  <si>
    <t/>
    <r>
      <rPr>
        <b val="true"/>
        <i val="false"/>
        <strike val="false"/>
        <sz val="10"/>
        <color rgb="FF000000"/>
      </rPr>
      <t xml:space="preserve">组件点击成本
</t>
    </r>
    <r>
      <rPr>
        <b val="false"/>
        <i val="false"/>
        <strike val="false"/>
        <sz val="9"/>
        <color rgb="FF000000"/>
      </rPr>
      <t>消耗/组件点击数</t>
    </r>
  </si>
  <si>
    <t/>
    <r>
      <rPr>
        <b val="true"/>
        <i val="false"/>
        <strike val="false"/>
        <sz val="10"/>
        <color rgb="FF000000"/>
      </rPr>
      <t>曝光进入率</t>
    </r>
    <r>
      <rPr/>
      <t xml:space="preserve">
</t>
    </r>
    <r>
      <rPr>
        <b val="false"/>
        <i val="false"/>
        <strike val="false"/>
        <sz val="8"/>
        <color rgb="FF000000"/>
      </rPr>
      <t>点击数/展示数</t>
    </r>
  </si>
  <si>
    <t/>
    <r>
      <rPr>
        <b val="true"/>
        <i val="false"/>
        <strike val="false"/>
        <sz val="10"/>
        <color rgb="FF000000"/>
      </rPr>
      <t>组件点击率</t>
    </r>
    <r>
      <rPr/>
      <t xml:space="preserve">
</t>
    </r>
    <r>
      <rPr>
        <b val="false"/>
        <i val="false"/>
        <strike val="false"/>
        <sz val="8"/>
        <color rgb="FF000000"/>
      </rPr>
      <t>组件点击数/直播间观看数</t>
    </r>
  </si>
  <si>
    <t xml:space="preserve">直播间评论率</t>
  </si>
  <si>
    <t/>
    <r>
      <rPr>
        <b val="true"/>
        <i val="false"/>
        <strike val="false"/>
        <sz val="10"/>
        <color rgb="FF000000"/>
      </rPr>
      <t>评论转化率</t>
    </r>
    <r>
      <rPr/>
      <t xml:space="preserve">
</t>
    </r>
    <r>
      <rPr>
        <b val="false"/>
        <i val="false"/>
        <strike val="false"/>
        <sz val="8"/>
        <color rgb="FF000000"/>
      </rPr>
      <t>保单数/直播评论人数</t>
    </r>
  </si>
  <si>
    <t/>
    <r>
      <rPr>
        <b val="true"/>
        <i val="false"/>
        <strike val="false"/>
        <sz val="10"/>
        <color rgb="FF000000"/>
      </rPr>
      <t>提单率</t>
    </r>
    <r>
      <rPr/>
      <t xml:space="preserve">
</t>
    </r>
    <r>
      <rPr>
        <b val="false"/>
        <i val="false"/>
        <strike val="false"/>
        <sz val="8"/>
        <color rgb="FF000000"/>
      </rPr>
      <t>已支付+待支付/组件点击数</t>
    </r>
  </si>
  <si>
    <t/>
    <r>
      <rPr>
        <b val="true"/>
        <i val="false"/>
        <strike val="false"/>
        <sz val="10"/>
        <color rgb="FF000000"/>
      </rPr>
      <t>支付率</t>
    </r>
    <r>
      <rPr/>
      <t xml:space="preserve">
</t>
    </r>
    <r>
      <rPr>
        <b val="false"/>
        <i val="false"/>
        <strike val="false"/>
        <sz val="8"/>
        <color rgb="FF000000"/>
      </rPr>
      <t>已支付/已支付+待支付</t>
    </r>
  </si>
  <si>
    <t xml:space="preserve">超一分钟停留率</t>
  </si>
  <si>
    <t xml:space="preserve">平均停留时长/秒</t>
  </si>
  <si>
    <t xml:space="preserve">展示</t>
  </si>
  <si>
    <t xml:space="preserve">点击数</t>
  </si>
  <si>
    <t xml:space="preserve">直播间观看数</t>
  </si>
  <si>
    <t xml:space="preserve">组件点击数</t>
  </si>
  <si>
    <t xml:space="preserve">评论人数</t>
  </si>
  <si>
    <t xml:space="preserve">直播间评论数</t>
  </si>
  <si>
    <t xml:space="preserve">60秒观看人数</t>
  </si>
  <si>
    <t xml:space="preserve">订单数</t>
  </si>
  <si>
    <t xml:space="preserve">直播间关注数</t>
  </si>
  <si>
    <t xml:space="preserve">直播间分享数</t>
  </si>
  <si>
    <t xml:space="preserve">直播间点赞数</t>
  </si>
  <si>
    <t xml:space="preserve">时长</t>
  </si>
  <si>
    <t xml:space="preserve">李子健</t>
  </si>
  <si>
    <t xml:space="preserve">江勇</t>
  </si>
  <si>
    <t xml:space="preserve">王冰心</t>
  </si>
  <si>
    <t xml:space="preserve">17:00-18:00</t>
  </si>
  <si>
    <t xml:space="preserve">18:00-19:00</t>
  </si>
  <si>
    <t xml:space="preserve">19:00-20:00</t>
  </si>
  <si>
    <t xml:space="preserve">分主播汇总</t>
  </si>
  <si>
    <t xml:space="preserve">张惠霞</t>
  </si>
  <si>
    <t xml:space="preserve">20:00-21:00</t>
  </si>
  <si>
    <t xml:space="preserve">21:00-22:00</t>
  </si>
  <si>
    <t xml:space="preserve">总计</t>
  </si>
  <si>
    <t xml:space="preserve">曹颖慧</t>
  </si>
  <si>
    <t xml:space="preserve">22:00-23:00</t>
  </si>
  <si>
    <t xml:space="preserve">孔丹阳</t>
  </si>
  <si>
    <t xml:space="preserve">张滋怡</t>
  </si>
  <si>
    <t xml:space="preserve">23:00-24:00</t>
  </si>
  <si>
    <t xml:space="preserve">24:00-01:00</t>
  </si>
  <si>
    <t xml:space="preserve">张晓雨</t>
  </si>
  <si>
    <t xml:space="preserve">董柯言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</si>
  <si>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</si>
  <si>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</si>
  <si>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</si>
  <si>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</si>
  <si>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邢佳熙</t>
  </si>
  <si>
    <t xml:space="preserve">段弼瑞</t>
  </si>
  <si>
    <t xml:space="preserve">李叶叶</t>
  </si>
  <si>
    <t xml:space="preserve">陈家豪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</si>
  <si>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</si>
  <si>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</si>
  <si>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</si>
  <si>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</si>
  <si>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张见森</t>
  </si>
  <si>
    <t xml:space="preserve">李哲</t>
  </si>
  <si>
    <t xml:space="preserve">王浩博</t>
  </si>
  <si>
    <t xml:space="preserve">最后一小时需核对</t>
  </si>
  <si>
    <t xml:space="preserve">日期</t>
  </si>
  <si>
    <t xml:space="preserve">基础信息</t>
  </si>
  <si>
    <t xml:space="preserve">业务数据</t>
  </si>
  <si>
    <t xml:space="preserve">过程指标</t>
  </si>
  <si>
    <t xml:space="preserve">xx产品线定制化需求</t>
  </si>
  <si>
    <t xml:space="preserve">消耗</t>
  </si>
  <si>
    <t xml:space="preserve">转化</t>
  </si>
  <si>
    <t xml:space="preserve">投产</t>
  </si>
  <si>
    <t xml:space="preserve">漏斗数据</t>
  </si>
  <si>
    <t xml:space="preserve">计算参数</t>
  </si>
  <si>
    <t xml:space="preserve">场控</t>
  </si>
  <si>
    <t xml:space="preserve">投手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</si>
  <si>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</si>
  <si>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</si>
  <si>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</si>
  <si>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</si>
  <si>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</si>
  <si>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智擎版消耗</t>
  </si>
  <si>
    <t xml:space="preserve">1号链接保单数</t>
  </si>
  <si>
    <t xml:space="preserve">1号链接保单金额</t>
  </si>
  <si>
    <t xml:space="preserve">2号链接保单数</t>
  </si>
  <si>
    <t xml:space="preserve">2号链接保单金额</t>
  </si>
  <si>
    <t xml:space="preserve">总保单</t>
  </si>
  <si>
    <t xml:space="preserve">总年化保费</t>
  </si>
  <si>
    <t xml:space="preserve">年缴单</t>
  </si>
  <si>
    <t xml:space="preserve">年缴占比</t>
  </si>
  <si>
    <t xml:space="preserve">家庭单</t>
  </si>
  <si>
    <t xml:space="preserve">家庭单占比</t>
  </si>
  <si>
    <t xml:space="preserve">投放ROI</t>
  </si>
  <si>
    <t xml:space="preserve">件均</t>
  </si>
  <si>
    <t xml:space="preserve">AD转化数</t>
  </si>
  <si>
    <t xml:space="preserve">AD转化成本</t>
  </si>
  <si>
    <t xml:space="preserve">保单成本</t>
  </si>
  <si>
    <t/>
    <r>
      <rPr>
        <b val="true"/>
        <i val="false"/>
        <strike val="false"/>
        <sz val="10"/>
        <color rgb="FF000000"/>
      </rPr>
      <t>点击单价</t>
    </r>
    <r>
      <rPr/>
      <t xml:space="preserve">
</t>
    </r>
    <r>
      <rPr>
        <b val="false"/>
        <i val="false"/>
        <strike val="false"/>
        <sz val="8"/>
        <color rgb="FF000000"/>
      </rPr>
      <t>消耗/点击数</t>
    </r>
  </si>
  <si>
    <t/>
    <r>
      <rPr>
        <b val="true"/>
        <i val="false"/>
        <strike val="false"/>
        <sz val="10"/>
        <color rgb="FF000000"/>
      </rPr>
      <t>千展成本</t>
    </r>
    <r>
      <rPr/>
      <t xml:space="preserve">
</t>
    </r>
    <r>
      <rPr>
        <b val="false"/>
        <i val="false"/>
        <strike val="false"/>
        <sz val="8"/>
        <color rgb="FF000000"/>
      </rPr>
      <t>消耗/展示数*1000</t>
    </r>
  </si>
  <si>
    <t/>
    <r>
      <rPr>
        <b val="true"/>
        <i val="false"/>
        <strike val="false"/>
        <sz val="10"/>
        <color rgb="FF000000"/>
      </rPr>
      <t>曝光进入率</t>
    </r>
    <r>
      <rPr/>
      <t xml:space="preserve">
</t>
    </r>
    <r>
      <rPr>
        <b val="false"/>
        <i val="false"/>
        <strike val="false"/>
        <sz val="8"/>
        <color rgb="FF000000"/>
      </rPr>
      <t>点击数/展示数</t>
    </r>
  </si>
  <si>
    <t xml:space="preserve">直播间评论率</t>
  </si>
  <si>
    <t/>
    <r>
      <rPr>
        <b val="true"/>
        <i val="false"/>
        <strike val="false"/>
        <sz val="10"/>
        <color rgb="FF000000"/>
      </rPr>
      <t>组件点击率</t>
    </r>
    <r>
      <rPr/>
      <t xml:space="preserve">
</t>
    </r>
    <r>
      <rPr>
        <b val="false"/>
        <i val="false"/>
        <strike val="false"/>
        <sz val="8"/>
        <color rgb="FF000000"/>
      </rPr>
      <t>组件点击数/直播间观看数</t>
    </r>
  </si>
  <si>
    <t/>
    <r>
      <rPr>
        <b val="true"/>
        <i val="false"/>
        <strike val="false"/>
        <sz val="10"/>
        <color rgb="FF000000"/>
      </rPr>
      <t>评论转化率</t>
    </r>
    <r>
      <rPr/>
      <t xml:space="preserve">
</t>
    </r>
    <r>
      <rPr>
        <b val="false"/>
        <i val="false"/>
        <strike val="false"/>
        <sz val="8"/>
        <color rgb="FF000000"/>
      </rPr>
      <t>保单数/直播评论人数</t>
    </r>
  </si>
  <si>
    <t/>
    <r>
      <rPr>
        <b val="true"/>
        <i val="false"/>
        <strike val="false"/>
        <sz val="10"/>
        <color rgb="FF000000"/>
      </rPr>
      <t>提单率</t>
    </r>
    <r>
      <rPr/>
      <t xml:space="preserve">
</t>
    </r>
    <r>
      <rPr>
        <b val="false"/>
        <i val="false"/>
        <strike val="false"/>
        <sz val="8"/>
        <color rgb="FF000000"/>
      </rPr>
      <t>已支付+待支付/组件点击数</t>
    </r>
  </si>
  <si>
    <t/>
    <r>
      <rPr>
        <b val="true"/>
        <i val="false"/>
        <strike val="false"/>
        <sz val="10"/>
        <color rgb="FF000000"/>
      </rPr>
      <t>支付率</t>
    </r>
    <r>
      <rPr/>
      <t xml:space="preserve">
</t>
    </r>
    <r>
      <rPr>
        <b val="false"/>
        <i val="false"/>
        <strike val="false"/>
        <sz val="8"/>
        <color rgb="FF000000"/>
      </rPr>
      <t>已支付/已支付+待支付</t>
    </r>
  </si>
  <si>
    <t xml:space="preserve">超一分钟停留率</t>
  </si>
  <si>
    <t xml:space="preserve">平均停留时长/秒</t>
  </si>
  <si>
    <t xml:space="preserve">展示</t>
  </si>
  <si>
    <t xml:space="preserve">点击数</t>
  </si>
  <si>
    <t xml:space="preserve">直播间观看数</t>
  </si>
  <si>
    <t xml:space="preserve">组件点击数</t>
  </si>
  <si>
    <t xml:space="preserve">直播间评论数</t>
  </si>
  <si>
    <t xml:space="preserve">直播间关注数</t>
  </si>
  <si>
    <t xml:space="preserve">直播间分享数</t>
  </si>
  <si>
    <t xml:space="preserve">直播间点赞数</t>
  </si>
  <si>
    <t xml:space="preserve">60秒观看人数</t>
  </si>
  <si>
    <t xml:space="preserve">评论人数</t>
  </si>
  <si>
    <t xml:space="preserve">订单数</t>
  </si>
  <si>
    <t xml:space="preserve">2026/8.7</t>
  </si>
  <si>
    <t xml:space="preserve">董柯言</t>
  </si>
  <si>
    <t xml:space="preserve">江勇</t>
  </si>
  <si>
    <t xml:space="preserve">王冰心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</si>
  <si>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</si>
  <si>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</si>
  <si>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</si>
  <si>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</si>
  <si>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分主播汇总</t>
  </si>
  <si>
    <t xml:space="preserve">总计</t>
  </si>
  <si>
    <t xml:space="preserve">2026/8.8</t>
  </si>
  <si>
    <t xml:space="preserve">孔丹阳</t>
  </si>
  <si>
    <t xml:space="preserve">21:00-22:00</t>
  </si>
  <si>
    <t xml:space="preserve">22:00-23:00</t>
  </si>
  <si>
    <t xml:space="preserve">2026/8.9</t>
  </si>
  <si>
    <t xml:space="preserve">王浩博</t>
  </si>
  <si>
    <t xml:space="preserve">2026/8.10</t>
  </si>
  <si>
    <t xml:space="preserve">2026/8.11</t>
  </si>
  <si>
    <t xml:space="preserve">2026/8.12</t>
  </si>
  <si>
    <t xml:space="preserve">2026/8.13</t>
  </si>
  <si>
    <t xml:space="preserve">李叶叶</t>
  </si>
  <si>
    <t xml:space="preserve">2026/8.14</t>
  </si>
  <si>
    <t xml:space="preserve">李子健</t>
  </si>
  <si>
    <t xml:space="preserve">2026/8.15</t>
  </si>
  <si>
    <t xml:space="preserve">2026/8.16</t>
  </si>
  <si>
    <t xml:space="preserve">朱明</t>
  </si>
  <si>
    <t xml:space="preserve">06:00-07:00</t>
  </si>
  <si>
    <t xml:space="preserve">卢佳轩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</si>
  <si>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</si>
  <si>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</si>
  <si>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</si>
  <si>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</si>
  <si>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11:00-12:00</t>
  </si>
  <si>
    <t xml:space="preserve">2026/8.17</t>
  </si>
  <si>
    <t xml:space="preserve">李哲</t>
  </si>
  <si>
    <t xml:space="preserve">12:00-13:00</t>
  </si>
  <si>
    <t xml:space="preserve">2026/8.18</t>
  </si>
  <si>
    <t xml:space="preserve">2026/8.19</t>
  </si>
  <si>
    <t xml:space="preserve">2026/8.20</t>
  </si>
  <si>
    <t xml:space="preserve">2026/8.21</t>
  </si>
  <si>
    <t xml:space="preserve">段弼瑞</t>
  </si>
  <si>
    <t xml:space="preserve">2026/8.22</t>
  </si>
  <si>
    <t xml:space="preserve">张见森</t>
  </si>
  <si>
    <t xml:space="preserve">2026/8.23</t>
  </si>
  <si>
    <t xml:space="preserve">2026/8.24</t>
  </si>
  <si>
    <t xml:space="preserve">2026/8.25</t>
  </si>
  <si>
    <t xml:space="preserve">2026/8.26</t>
  </si>
  <si>
    <t xml:space="preserve">张惠霞</t>
  </si>
  <si>
    <t xml:space="preserve">2026/8.27</t>
  </si>
  <si>
    <t xml:space="preserve">2026/8.28</t>
  </si>
  <si>
    <t xml:space="preserve">2026/8.29</t>
  </si>
  <si>
    <t xml:space="preserve">2026/8.30</t>
  </si>
  <si>
    <t xml:space="preserve">2026/8.31</t>
  </si>
  <si>
    <t xml:space="preserve">企业号人均观看时长</t>
  </si>
  <si>
    <t xml:space="preserve">4,738.03</t>
  </si>
  <si>
    <t xml:space="preserve">填写在此</t>
  </si>
  <si>
    <t xml:space="preserve">自动产出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</si>
</sst>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164" formatCode="0_);(0)"/>
    <numFmt numFmtId="165" formatCode="yyyy/m/d"/>
    <numFmt numFmtId="166" formatCode="h:mm;@"/>
    <numFmt numFmtId="167" formatCode="0.00_);(0.00)"/>
    <numFmt numFmtId="168" formatCode="#,##0.00"/>
    <numFmt numFmtId="169" formatCode="0.00%"/>
    <numFmt numFmtId="170" formatCode="0"/>
    <numFmt numFmtId="171" formatCode="0_);(0)"/>
    <numFmt numFmtId="172" formatCode="yyyy/m/d"/>
    <numFmt numFmtId="173" formatCode="0.00_);(0.00)"/>
    <numFmt numFmtId="174" formatCode="0.00%"/>
    <numFmt numFmtId="175" formatCode="#,##0"/>
    <numFmt numFmtId="176" formatCode="#,##0.00"/>
    <numFmt numFmtId="177" formatCode="h:mm;@"/>
    <numFmt numFmtId="178" formatCode="0"/>
    <numFmt numFmtId="179" formatCode="0.00%"/>
    <numFmt numFmtId="180" formatCode="0.00_);(0.00)"/>
    <numFmt numFmtId="181" formatCode="General"/>
    <numFmt numFmtId="182" formatCode="0_);(0)"/>
    <numFmt numFmtId="183" formatCode="#,##0.00"/>
    <numFmt numFmtId="184" formatCode="#,##0"/>
  </numFmts>
  <fonts count="1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C00000"/>
      <name val="Calibri"/>
      <family val="2"/>
      <scheme val="minor"/>
    </font>
    <font>
      <sz val="36"/>
      <color rgb="FFF54A45"/>
      <name val="Calibri"/>
      <family val="2"/>
      <scheme val="minor"/>
    </font>
    <font>
      <sz val="9"/>
      <color rgb="FF31343B"/>
      <name val="Calibri"/>
      <family val="2"/>
      <scheme val="minor"/>
    </font>
    <font>
      <sz val="9"/>
      <color rgb="FF31343B"/>
      <name val="Microsoft YaHei"/>
      <family val="2"/>
    </font>
    <font>
      <sz val="9"/>
      <color rgb="FF2A6FFF"/>
      <name val="Calibri"/>
      <family val="2"/>
      <scheme val="minor"/>
    </font>
  </fonts>
  <fills count="6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CC4"/>
        <bgColor/>
      </patternFill>
    </fill>
    <fill>
      <patternFill patternType="solid">
        <fgColor rgb="FF2972F4"/>
        <bgColor/>
      </patternFill>
    </fill>
    <fill>
      <patternFill patternType="solid">
        <fgColor rgb="FF319B62"/>
        <bgColor/>
      </patternFill>
    </fill>
    <fill>
      <patternFill patternType="solid">
        <fgColor rgb="FF9A38D7"/>
        <bgColor/>
      </patternFill>
    </fill>
    <fill>
      <patternFill patternType="solid">
        <fgColor rgb="FFE5EFFF"/>
        <bgColor/>
      </patternFill>
    </fill>
    <fill>
      <patternFill patternType="solid">
        <fgColor rgb="FFC7DCFF"/>
        <bgColor/>
      </patternFill>
    </fill>
    <fill>
      <patternFill patternType="solid">
        <fgColor rgb="FF99BEFF"/>
        <bgColor/>
      </patternFill>
    </fill>
    <fill>
      <patternFill patternType="solid">
        <fgColor rgb="FFEAFAF1"/>
        <bgColor/>
      </patternFill>
    </fill>
    <fill>
      <patternFill patternType="solid">
        <fgColor rgb="FFC3EAD5"/>
        <bgColor/>
      </patternFill>
    </fill>
    <fill>
      <patternFill patternType="solid">
        <fgColor rgb="FFF2C7FF"/>
        <bgColor/>
      </patternFill>
    </fill>
    <fill>
      <patternFill patternType="solid">
        <fgColor rgb="FF7EDAFB"/>
        <bgColor/>
      </patternFill>
    </fill>
    <fill>
      <patternFill patternType="solid">
        <fgColor rgb="FF64E8D6"/>
        <bgColor/>
      </patternFill>
    </fill>
    <fill>
      <patternFill patternType="solid">
        <fgColor rgb="FF8EE085"/>
        <bgColor/>
      </patternFill>
    </fill>
    <fill>
      <patternFill patternType="solid">
        <fgColor rgb="FFF8F9FA"/>
        <bgColor/>
      </patternFill>
    </fill>
    <fill>
      <patternFill patternType="solid">
        <fgColor rgb="FFFDDDEF"/>
        <bgColor/>
      </patternFill>
    </fill>
    <fill>
      <patternFill patternType="solid">
        <fgColor rgb="FFFFEEAD"/>
        <bgColor/>
      </patternFill>
    </fill>
    <fill>
      <patternFill patternType="solid">
        <fgColor rgb="FFFAF1D1"/>
        <bgColor/>
      </patternFill>
    </fill>
    <fill>
      <patternFill patternType="solid">
        <fgColor rgb="FFF6E095"/>
        <bgColor/>
      </patternFill>
    </fill>
    <fill>
      <patternFill patternType="solid">
        <fgColor rgb="FFF6E095"/>
        <bgColor/>
      </patternFill>
    </fill>
    <fill>
      <patternFill patternType="solid">
        <fgColor rgb="FFD5F6F2"/>
        <bgColor/>
      </patternFill>
    </fill>
    <fill>
      <patternFill patternType="solid">
        <fgColor rgb="FFE7FBF8"/>
        <bgColor/>
      </patternFill>
    </fill>
    <fill>
      <patternFill patternType="solid">
        <fgColor rgb="FFD5F6F2"/>
        <bgColor/>
      </patternFill>
    </fill>
    <fill>
      <patternFill patternType="solid">
        <fgColor rgb="FFE7FBF8"/>
        <bgColor/>
      </patternFill>
    </fill>
    <fill>
      <patternFill patternType="solid">
        <fgColor rgb="FF64E8D6"/>
        <bgColor/>
      </patternFill>
    </fill>
    <fill>
      <patternFill patternType="solid">
        <fgColor rgb="FFD9F3FD"/>
        <bgColor/>
      </patternFill>
    </fill>
    <fill>
      <patternFill patternType="solid">
        <fgColor rgb="FFFFDCC4"/>
        <bgColor/>
      </patternFill>
    </fill>
    <fill>
      <patternFill patternType="solid">
        <fgColor rgb="FF2972F4"/>
        <bgColor/>
      </patternFill>
    </fill>
    <fill>
      <patternFill patternType="solid">
        <fgColor rgb="FF319B62"/>
        <bgColor/>
      </patternFill>
    </fill>
    <fill>
      <patternFill patternType="solid">
        <fgColor rgb="FF9A38D7"/>
        <bgColor/>
      </patternFill>
    </fill>
    <fill>
      <patternFill patternType="solid">
        <fgColor rgb="FFE5EFFF"/>
        <bgColor/>
      </patternFill>
    </fill>
    <fill>
      <patternFill patternType="solid">
        <fgColor rgb="FFC7DCFF"/>
        <bgColor/>
      </patternFill>
    </fill>
    <fill>
      <patternFill patternType="solid">
        <fgColor rgb="FF99BEFF"/>
        <bgColor/>
      </patternFill>
    </fill>
    <fill>
      <patternFill patternType="solid">
        <fgColor rgb="FFEAFAF1"/>
        <bgColor/>
      </patternFill>
    </fill>
    <fill>
      <patternFill patternType="solid">
        <fgColor rgb="FFC3EAD5"/>
        <bgColor/>
      </patternFill>
    </fill>
    <fill>
      <patternFill patternType="solid">
        <fgColor rgb="FFF2C7FF"/>
        <bgColor/>
      </patternFill>
    </fill>
    <fill>
      <patternFill patternType="solid">
        <fgColor rgb="FF7EDAFB"/>
        <bgColor/>
      </patternFill>
    </fill>
    <fill>
      <patternFill patternType="solid">
        <fgColor rgb="FF64E8D6"/>
        <bgColor/>
      </patternFill>
    </fill>
    <fill>
      <patternFill patternType="solid">
        <fgColor rgb="FF8EE085"/>
        <bgColor/>
      </patternFill>
    </fill>
    <fill>
      <patternFill patternType="solid">
        <fgColor rgb="FFFDDDEF"/>
        <bgColor/>
      </patternFill>
    </fill>
    <fill>
      <patternFill patternType="solid">
        <fgColor rgb="FFFFEEAD"/>
        <bgColor/>
      </patternFill>
    </fill>
    <fill>
      <patternFill patternType="solid">
        <fgColor rgb="FFFAF1D1"/>
        <bgColor/>
      </patternFill>
    </fill>
    <fill>
      <patternFill patternType="solid">
        <fgColor rgb="FFD5F6F2"/>
        <bgColor/>
      </patternFill>
    </fill>
    <fill>
      <patternFill patternType="solid">
        <fgColor rgb="FFFDDDEF"/>
        <bgColor/>
      </patternFill>
    </fill>
    <fill>
      <patternFill patternType="solid">
        <fgColor rgb="FFFAF1D1"/>
        <bgColor/>
      </patternFill>
    </fill>
    <fill>
      <patternFill patternType="solid">
        <fgColor rgb="FFF6E095"/>
        <bgColor/>
      </patternFill>
    </fill>
    <fill>
      <patternFill patternType="solid">
        <fgColor rgb="FFE7FBF8"/>
        <bgColor/>
      </patternFill>
    </fill>
    <fill>
      <patternFill patternType="solid">
        <fgColor rgb="FFF6E095"/>
        <bgColor/>
      </patternFill>
    </fill>
    <fill>
      <patternFill patternType="solid">
        <fgColor rgb="FFF8F9FA"/>
        <bgColor/>
      </patternFill>
    </fill>
    <fill>
      <patternFill patternType="solid">
        <fgColor rgb="FFFFDCC4"/>
        <bgColor/>
      </patternFill>
    </fill>
    <fill>
      <patternFill patternType="solid">
        <fgColor rgb="FF2972F4"/>
        <bgColor/>
      </patternFill>
    </fill>
    <fill>
      <patternFill patternType="solid">
        <fgColor rgb="FF319B62"/>
        <bgColor/>
      </patternFill>
    </fill>
    <fill>
      <patternFill patternType="solid">
        <fgColor rgb="FF9A38D7"/>
        <bgColor/>
      </patternFill>
    </fill>
    <fill>
      <patternFill patternType="solid">
        <fgColor rgb="FFE5EFFF"/>
        <bgColor/>
      </patternFill>
    </fill>
    <fill>
      <patternFill patternType="solid">
        <fgColor rgb="FFC7DCFF"/>
        <bgColor/>
      </patternFill>
    </fill>
    <fill>
      <patternFill patternType="solid">
        <fgColor rgb="FF99BEFF"/>
        <bgColor/>
      </patternFill>
    </fill>
    <fill>
      <patternFill patternType="solid">
        <fgColor rgb="FFEAFAF1"/>
        <bgColor/>
      </patternFill>
    </fill>
    <fill>
      <patternFill patternType="solid">
        <fgColor rgb="FFC3EAD5"/>
        <bgColor/>
      </patternFill>
    </fill>
    <fill>
      <patternFill patternType="solid">
        <fgColor rgb="FFF2C7FF"/>
        <bgColor/>
      </patternFill>
    </fill>
    <fill>
      <patternFill patternType="solid">
        <fgColor rgb="FFFDDDEF"/>
        <bgColor/>
      </patternFill>
    </fill>
    <fill>
      <patternFill patternType="solid">
        <fgColor rgb="FFFFEEAD"/>
        <bgColor/>
      </patternFill>
    </fill>
    <fill>
      <patternFill patternType="solid">
        <fgColor rgb="FFFAF1D1"/>
        <bgColor/>
      </patternFill>
    </fill>
    <fill>
      <patternFill patternType="solid">
        <fgColor rgb="FFFFFFFF"/>
        <bgColor/>
      </patternFill>
    </fill>
    <fill>
      <patternFill patternType="solid">
        <fgColor rgb="FFF2F6FF"/>
        <bgColor/>
      </patternFill>
    </fill>
    <fill>
      <patternFill patternType="solid">
        <fgColor rgb="FFFFF258"/>
        <bgColor/>
      </patternFill>
    </fill>
    <fill>
      <patternFill patternType="solid">
        <fgColor rgb="FFB3D600"/>
        <bgColor/>
      </patternFill>
    </fill>
  </fills>
  <borders count="4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medium">
        <color rgb="FFDFE0E2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medium">
        <color rgb="FFDFE0E2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7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1" fillId="4" fontId="1" numFmtId="0" xfId="0">
      <alignment horizontal="center" vertical="center"/>
    </xf>
    <xf applyAlignment="true" applyBorder="false" applyFill="true" applyFont="true" applyNumberFormat="false" applyProtection="false" borderId="2" fillId="5" fontId="1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 wrapText="true"/>
    </xf>
    <xf applyAlignment="true" applyBorder="false" applyFill="true" applyFont="true" applyNumberFormat="false" applyProtection="false" borderId="1" fillId="7" fontId="1" numFmtId="0" xfId="0">
      <alignment horizontal="center" vertical="center" wrapText="true"/>
    </xf>
    <xf applyAlignment="true" applyBorder="false" applyFill="true" applyFont="true" applyNumberFormat="false" applyProtection="false" borderId="1" fillId="8" fontId="1" numFmtId="0" xfId="0">
      <alignment horizontal="center" vertical="center" wrapText="true"/>
    </xf>
    <xf applyAlignment="true" applyBorder="false" applyFill="true" applyFont="true" applyNumberFormat="false" applyProtection="false" borderId="1" fillId="9" fontId="1" numFmtId="0" xfId="0">
      <alignment horizontal="center" vertical="center" wrapText="true"/>
    </xf>
    <xf applyAlignment="true" applyBorder="false" applyFill="true" applyFont="true" applyNumberFormat="false" applyProtection="false" borderId="1" fillId="10" fontId="1" numFmtId="0" xfId="0">
      <alignment horizontal="center" vertical="center" wrapText="true"/>
    </xf>
    <xf applyAlignment="true" applyBorder="false" applyFill="true" applyFont="true" applyNumberFormat="false" applyProtection="false" borderId="0" fillId="11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12" fontId="1" numFmtId="0" xfId="0">
      <alignment horizontal="center" vertical="center" wrapText="true"/>
    </xf>
    <xf applyAlignment="true" applyBorder="false" applyFill="true" applyFont="true" applyNumberFormat="true" applyProtection="false" borderId="1" fillId="13" fontId="1" numFmtId="164" xfId="0">
      <alignment horizontal="center" vertical="center" wrapText="true"/>
    </xf>
    <xf applyAlignment="true" applyBorder="false" applyFill="true" applyFont="true" applyNumberFormat="false" applyProtection="false" borderId="1" fillId="13" fontId="1" numFmtId="0" xfId="0">
      <alignment horizontal="center" vertical="center" wrapText="true"/>
    </xf>
    <xf applyAlignment="true" applyBorder="false" applyFill="true" applyFont="true" applyNumberFormat="false" applyProtection="false" borderId="1" fillId="8" fontId="1" numFmtId="0" xfId="0">
      <alignment horizontal="center" vertical="center" wrapText="true"/>
    </xf>
    <xf applyAlignment="true" applyBorder="false" applyFill="true" applyFont="true" applyNumberFormat="false" applyProtection="false" borderId="1" fillId="9" fontId="4" numFmtId="0" xfId="0">
      <alignment horizontal="center" vertical="center" wrapText="true"/>
    </xf>
    <xf applyAlignment="true" applyBorder="false" applyFill="true" applyFont="true" applyNumberFormat="false" applyProtection="false" borderId="1" fillId="9" fontId="4" numFmtId="0" xfId="0">
      <alignment horizontal="center" vertical="center" wrapText="true"/>
    </xf>
    <xf applyAlignment="true" applyBorder="false" applyFill="true" applyFont="true" applyNumberFormat="false" applyProtection="false" borderId="1" fillId="14" fontId="4" numFmtId="0" xfId="0">
      <alignment horizontal="center" vertical="center" wrapText="true"/>
    </xf>
    <xf applyAlignment="true" applyBorder="false" applyFill="true" applyFont="true" applyNumberFormat="false" applyProtection="false" borderId="1" fillId="14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3" fillId="11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true" applyFont="true" applyNumberFormat="true" applyProtection="false" borderId="5" fillId="15" fontId="4" numFmtId="166" xfId="0">
      <alignment horizontal="center" vertical="center"/>
    </xf>
    <xf applyAlignment="true" applyBorder="false" applyFill="false" applyFont="true" applyNumberFormat="true" applyProtection="false" borderId="1" fillId="0" fontId="7" numFmtId="167" xfId="0">
      <alignment horizontal="center" vertical="center"/>
    </xf>
    <xf applyAlignment="true" applyBorder="false" applyFill="false" applyFont="true" applyNumberFormat="true" applyProtection="false" borderId="1" fillId="0" fontId="7" numFmtId="167" xfId="0">
      <alignment horizontal="center" vertical="center"/>
    </xf>
    <xf applyAlignment="true" applyBorder="false" applyFill="true" applyFont="true" applyNumberFormat="false" applyProtection="false" borderId="1" fillId="16" fontId="7" numFmtId="0" xfId="0">
      <alignment horizontal="center" vertical="center"/>
    </xf>
    <xf applyAlignment="true" applyBorder="false" applyFill="true" applyFont="true" applyNumberFormat="true" applyProtection="false" borderId="1" fillId="16" fontId="7" numFmtId="168" xfId="0">
      <alignment horizontal="center" vertical="center"/>
    </xf>
    <xf applyAlignment="true" applyBorder="false" applyFill="false" applyFont="true" applyNumberFormat="false" applyProtection="false" borderId="1" fillId="0" fontId="7" numFmtId="0" xfId="0">
      <alignment horizontal="center" vertical="center"/>
    </xf>
    <xf applyAlignment="true" applyBorder="false" applyFill="false" applyFont="true" applyNumberFormat="true" applyProtection="false" borderId="1" fillId="0" fontId="7" numFmtId="169" xfId="0">
      <alignment horizontal="center" vertical="center"/>
    </xf>
    <xf applyAlignment="true" applyBorder="false" applyFill="false" applyFont="true" applyNumberFormat="true" applyProtection="false" borderId="1" fillId="0" fontId="7" numFmtId="164" xfId="0">
      <alignment horizontal="center" vertical="center"/>
    </xf>
    <xf applyAlignment="true" applyBorder="false" applyFill="false" applyFont="true" applyNumberFormat="true" applyProtection="false" borderId="1" fillId="0" fontId="7" numFmtId="167" xfId="0">
      <alignment horizontal="center" vertical="center"/>
    </xf>
    <xf applyAlignment="true" applyBorder="false" applyFill="false" applyFont="true" applyNumberFormat="true" applyProtection="false" borderId="1" fillId="0" fontId="7" numFmtId="168" xfId="0">
      <alignment horizontal="center" vertical="center"/>
    </xf>
    <xf applyAlignment="true" applyBorder="false" applyFill="false" applyFont="true" applyNumberFormat="false" applyProtection="false" borderId="1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true" applyFont="true" applyNumberFormat="false" applyProtection="false" borderId="1" fillId="17" fontId="4" numFmtId="0" xfId="0">
      <alignment horizontal="center" vertical="center"/>
    </xf>
    <xf applyAlignment="true" applyBorder="false" applyFill="true" applyFont="true" applyNumberFormat="true" applyProtection="false" borderId="1" fillId="17" fontId="7" numFmtId="167" xfId="0">
      <alignment horizontal="center" vertical="center"/>
    </xf>
    <xf applyAlignment="true" applyBorder="false" applyFill="true" applyFont="true" applyNumberFormat="true" applyProtection="false" borderId="1" fillId="17" fontId="7" numFmtId="169" xfId="0">
      <alignment horizontal="center" vertical="center"/>
    </xf>
    <xf applyAlignment="true" applyBorder="false" applyFill="true" applyFont="true" applyNumberFormat="true" applyProtection="false" borderId="1" fillId="17" fontId="7" numFmtId="164" xfId="0">
      <alignment horizontal="center" vertical="center"/>
    </xf>
    <xf applyAlignment="true" applyBorder="false" applyFill="true" applyFont="true" applyNumberFormat="true" applyProtection="false" borderId="1" fillId="17" fontId="7" numFmtId="168" xfId="0">
      <alignment horizontal="center" vertical="center"/>
    </xf>
    <xf applyAlignment="true" applyBorder="false" applyFill="true" applyFont="true" applyNumberFormat="true" applyProtection="false" borderId="1" fillId="18" fontId="7" numFmtId="167" xfId="0">
      <alignment horizontal="center" vertical="center"/>
    </xf>
    <xf applyAlignment="true" applyBorder="false" applyFill="true" applyFont="true" applyNumberFormat="false" applyProtection="false" borderId="0" fillId="17" fontId="7" numFmtId="0" xfId="0">
      <alignment horizontal="center" vertical="center"/>
    </xf>
    <xf applyAlignment="true" applyBorder="false" applyFill="true" applyFont="true" applyNumberFormat="true" applyProtection="false" borderId="5" fillId="17" fontId="7" numFmtId="167" xfId="0">
      <alignment horizontal="center" vertical="center"/>
    </xf>
    <xf applyAlignment="true" applyBorder="false" applyFill="true" applyFont="true" applyNumberFormat="true" applyProtection="false" borderId="1" fillId="19" fontId="7" numFmtId="169" xfId="0">
      <alignment horizontal="center" vertical="center"/>
    </xf>
    <xf applyAlignment="true" applyBorder="false" applyFill="false" applyFont="true" applyNumberFormat="true" applyProtection="false" borderId="1" fillId="0" fontId="7" numFmtId="167" xfId="0">
      <alignment horizontal="center" vertical="center"/>
    </xf>
    <xf applyAlignment="true" applyBorder="false" applyFill="false" applyFont="true" applyNumberFormat="true" applyProtection="false" borderId="1" fillId="0" fontId="7" numFmtId="167" xfId="0">
      <alignment horizontal="center" vertical="center"/>
    </xf>
    <xf applyAlignment="true" applyBorder="false" applyFill="true" applyFont="true" applyNumberFormat="true" applyProtection="false" borderId="1" fillId="20" fontId="7" numFmtId="169" xfId="0">
      <alignment horizontal="center" vertical="center"/>
    </xf>
    <xf applyAlignment="true" applyBorder="false" applyFill="false" applyFont="true" applyNumberFormat="true" applyProtection="false" borderId="1" fillId="0" fontId="7" numFmtId="164" xfId="0">
      <alignment horizontal="center" vertical="center"/>
    </xf>
    <xf applyAlignment="true" applyBorder="false" applyFill="true" applyFont="true" applyNumberFormat="false" applyProtection="false" borderId="1" fillId="9" fontId="8" numFmtId="0" xfId="0">
      <alignment horizontal="center" vertical="center"/>
    </xf>
    <xf applyAlignment="true" applyBorder="false" applyFill="true" applyFont="true" applyNumberFormat="true" applyProtection="false" borderId="1" fillId="9" fontId="8" numFmtId="167" xfId="0">
      <alignment horizontal="center" vertical="center"/>
    </xf>
    <xf applyAlignment="true" applyBorder="false" applyFill="true" applyFont="true" applyNumberFormat="true" applyProtection="false" borderId="1" fillId="9" fontId="8" numFmtId="169" xfId="0">
      <alignment horizontal="center" vertical="center"/>
    </xf>
    <xf applyAlignment="true" applyBorder="false" applyFill="true" applyFont="true" applyNumberFormat="true" applyProtection="false" borderId="1" fillId="9" fontId="8" numFmtId="164" xfId="0">
      <alignment horizontal="center" vertical="center"/>
    </xf>
    <xf applyAlignment="true" applyBorder="false" applyFill="true" applyFont="true" applyNumberFormat="true" applyProtection="false" borderId="1" fillId="9" fontId="8" numFmtId="168" xfId="0">
      <alignment horizontal="center" vertical="center"/>
    </xf>
    <xf applyAlignment="true" applyBorder="false" applyFill="true" applyFont="true" applyNumberFormat="true" applyProtection="false" borderId="1" fillId="21" fontId="7" numFmtId="167" xfId="0">
      <alignment horizontal="center" vertical="center"/>
    </xf>
    <xf applyAlignment="true" applyBorder="false" applyFill="true" applyFont="true" applyNumberFormat="true" applyProtection="false" borderId="1" fillId="22" fontId="7" numFmtId="169" xfId="0">
      <alignment horizontal="center" vertical="center"/>
    </xf>
    <xf applyAlignment="true" applyBorder="false" applyFill="false" applyFont="true" applyNumberFormat="true" applyProtection="false" borderId="6" fillId="0" fontId="4" numFmtId="165" xfId="0">
      <alignment horizontal="center" vertical="center"/>
    </xf>
    <xf applyAlignment="true" applyBorder="false" applyFill="false" applyFont="true" applyNumberFormat="true" applyProtection="false" borderId="6" fillId="0" fontId="7" numFmtId="167" xfId="0">
      <alignment horizontal="center" vertical="center"/>
    </xf>
    <xf applyAlignment="true" applyBorder="false" applyFill="true" applyFont="true" applyNumberFormat="false" applyProtection="false" borderId="6" fillId="16" fontId="7" numFmtId="0" xfId="0">
      <alignment horizontal="center" vertical="center"/>
    </xf>
    <xf applyAlignment="true" applyBorder="false" applyFill="true" applyFont="true" applyNumberFormat="false" applyProtection="false" borderId="6" fillId="16" fontId="7" numFmtId="0" xfId="0">
      <alignment horizontal="center" vertical="center"/>
    </xf>
    <xf applyAlignment="true" applyBorder="false" applyFill="true" applyFont="true" applyNumberFormat="true" applyProtection="false" borderId="6" fillId="16" fontId="7" numFmtId="168" xfId="0">
      <alignment horizontal="center" vertical="center"/>
    </xf>
    <xf applyAlignment="true" applyBorder="false" applyFill="false" applyFont="true" applyNumberFormat="false" applyProtection="false" borderId="6" fillId="0" fontId="7" numFmtId="0" xfId="0">
      <alignment horizontal="center" vertical="center"/>
    </xf>
    <xf applyAlignment="true" applyBorder="false" applyFill="false" applyFont="true" applyNumberFormat="true" applyProtection="false" borderId="6" fillId="0" fontId="7" numFmtId="169" xfId="0">
      <alignment horizontal="center" vertical="center"/>
    </xf>
    <xf applyAlignment="true" applyBorder="false" applyFill="false" applyFont="true" applyNumberFormat="true" applyProtection="false" borderId="6" fillId="0" fontId="7" numFmtId="164" xfId="0">
      <alignment horizontal="center" vertical="center"/>
    </xf>
    <xf applyAlignment="true" applyBorder="false" applyFill="false" applyFont="true" applyNumberFormat="true" applyProtection="false" borderId="6" fillId="0" fontId="7" numFmtId="167" xfId="0">
      <alignment horizontal="center" vertical="center"/>
    </xf>
    <xf applyAlignment="true" applyBorder="false" applyFill="false" applyFont="true" applyNumberFormat="true" applyProtection="false" borderId="6" fillId="0" fontId="7" numFmtId="168" xfId="0">
      <alignment horizontal="center" vertical="center"/>
    </xf>
    <xf applyAlignment="true" applyBorder="false" applyFill="false" applyFont="true" applyNumberFormat="false" applyProtection="false" borderId="6" fillId="0" fontId="7" numFmtId="0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false" applyFont="true" applyNumberFormat="true" applyProtection="false" borderId="6" fillId="0" fontId="4" numFmtId="165" xfId="0">
      <alignment horizontal="center" vertical="center"/>
    </xf>
    <xf applyAlignment="true" applyBorder="false" applyFill="true" applyFont="true" applyNumberFormat="false" applyProtection="false" borderId="6" fillId="17" fontId="4" numFmtId="0" xfId="0">
      <alignment horizontal="center" vertical="center"/>
    </xf>
    <xf applyAlignment="true" applyBorder="false" applyFill="true" applyFont="true" applyNumberFormat="true" applyProtection="false" borderId="6" fillId="17" fontId="7" numFmtId="167" xfId="0">
      <alignment horizontal="center" vertical="center"/>
    </xf>
    <xf applyAlignment="true" applyBorder="false" applyFill="true" applyFont="true" applyNumberFormat="true" applyProtection="false" borderId="6" fillId="17" fontId="7" numFmtId="169" xfId="0">
      <alignment horizontal="center" vertical="center"/>
    </xf>
    <xf applyAlignment="true" applyBorder="false" applyFill="true" applyFont="true" applyNumberFormat="true" applyProtection="false" borderId="6" fillId="17" fontId="7" numFmtId="164" xfId="0">
      <alignment horizontal="center" vertical="center"/>
    </xf>
    <xf applyAlignment="true" applyBorder="false" applyFill="true" applyFont="true" applyNumberFormat="true" applyProtection="false" borderId="6" fillId="17" fontId="7" numFmtId="168" xfId="0">
      <alignment horizontal="center" vertical="center"/>
    </xf>
    <xf applyAlignment="true" applyBorder="false" applyFill="true" applyFont="true" applyNumberFormat="true" applyProtection="false" borderId="6" fillId="18" fontId="7" numFmtId="167" xfId="0">
      <alignment horizontal="center" vertical="center"/>
    </xf>
    <xf applyAlignment="true" applyBorder="false" applyFill="false" applyFont="true" applyNumberFormat="true" applyProtection="false" borderId="6" fillId="0" fontId="7" numFmtId="167" xfId="0">
      <alignment horizontal="center" vertical="center"/>
    </xf>
    <xf applyAlignment="true" applyBorder="false" applyFill="true" applyFont="true" applyNumberFormat="true" applyProtection="false" borderId="6" fillId="20" fontId="7" numFmtId="169" xfId="0">
      <alignment horizontal="center" vertical="center"/>
    </xf>
    <xf applyAlignment="true" applyBorder="false" applyFill="false" applyFont="true" applyNumberFormat="true" applyProtection="false" borderId="6" fillId="0" fontId="7" numFmtId="164" xfId="0">
      <alignment horizontal="center" vertical="center"/>
    </xf>
    <xf applyAlignment="true" applyBorder="false" applyFill="true" applyFont="true" applyNumberFormat="false" applyProtection="false" borderId="6" fillId="9" fontId="8" numFmtId="0" xfId="0">
      <alignment horizontal="center" vertical="center"/>
    </xf>
    <xf applyAlignment="true" applyBorder="false" applyFill="true" applyFont="true" applyNumberFormat="true" applyProtection="false" borderId="6" fillId="9" fontId="8" numFmtId="167" xfId="0">
      <alignment horizontal="center" vertical="center"/>
    </xf>
    <xf applyAlignment="true" applyBorder="false" applyFill="true" applyFont="true" applyNumberFormat="true" applyProtection="false" borderId="6" fillId="9" fontId="8" numFmtId="169" xfId="0">
      <alignment horizontal="center" vertical="center"/>
    </xf>
    <xf applyAlignment="true" applyBorder="false" applyFill="true" applyFont="true" applyNumberFormat="true" applyProtection="false" borderId="6" fillId="9" fontId="8" numFmtId="164" xfId="0">
      <alignment horizontal="center" vertical="center"/>
    </xf>
    <xf applyAlignment="true" applyBorder="false" applyFill="true" applyFont="true" applyNumberFormat="true" applyProtection="false" borderId="6" fillId="9" fontId="8" numFmtId="168" xfId="0">
      <alignment horizontal="center" vertical="center"/>
    </xf>
    <xf applyAlignment="true" applyBorder="false" applyFill="true" applyFont="true" applyNumberFormat="true" applyProtection="false" borderId="6" fillId="23" fontId="7" numFmtId="167" xfId="0">
      <alignment horizontal="center" vertical="center"/>
    </xf>
    <xf applyAlignment="true" applyBorder="false" applyFill="true" applyFont="true" applyNumberFormat="true" applyProtection="false" borderId="6" fillId="24" fontId="7" numFmtId="169" xfId="0">
      <alignment horizontal="center" vertical="center"/>
    </xf>
    <xf applyAlignment="true" applyBorder="false" applyFill="true" applyFont="true" applyNumberFormat="true" applyProtection="false" borderId="6" fillId="17" fontId="7" numFmtId="170" xfId="0">
      <alignment horizontal="center" vertical="center"/>
    </xf>
    <xf applyAlignment="true" applyBorder="false" applyFill="true" applyFont="true" applyNumberFormat="true" applyProtection="false" borderId="7" fillId="16" fontId="7" numFmtId="168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4" numFmtId="0" xfId="0">
      <alignment horizontal="center" vertical="center"/>
    </xf>
    <xf applyAlignment="true" applyBorder="false" applyFill="true" applyFont="true" applyNumberFormat="false" applyProtection="false" borderId="8" fillId="16" fontId="7" numFmtId="0" xfId="0">
      <alignment horizontal="center" vertical="center"/>
    </xf>
    <xf applyAlignment="true" applyBorder="false" applyFill="true" applyFont="true" applyNumberFormat="false" applyProtection="false" borderId="1" fillId="16" fontId="7" numFmtId="0" xfId="0">
      <alignment horizontal="center" vertical="center"/>
    </xf>
    <xf applyAlignment="true" applyBorder="false" applyFill="true" applyFont="true" applyNumberFormat="false" applyProtection="false" borderId="5" fillId="16" fontId="7" numFmtId="0" xfId="0">
      <alignment horizontal="center" vertical="center"/>
    </xf>
    <xf applyAlignment="true" applyBorder="false" applyFill="false" applyFont="true" applyNumberFormat="false" applyProtection="false" borderId="9" fillId="0" fontId="7" numFmtId="0" xfId="0">
      <alignment horizontal="center" vertical="center"/>
    </xf>
    <xf applyAlignment="true" applyBorder="false" applyFill="false" applyFont="true" applyNumberFormat="true" applyProtection="false" borderId="7" fillId="0" fontId="7" numFmtId="167" xfId="0">
      <alignment horizontal="center" vertical="center"/>
    </xf>
    <xf applyAlignment="true" applyBorder="false" applyFill="true" applyFont="true" applyNumberFormat="false" applyProtection="false" borderId="9" fillId="16" fontId="7" numFmtId="0" xfId="0">
      <alignment horizontal="center" vertical="center"/>
    </xf>
    <xf applyAlignment="true" applyBorder="false" applyFill="false" applyFont="true" applyNumberFormat="true" applyProtection="false" borderId="8" fillId="0" fontId="7" numFmtId="167" xfId="0">
      <alignment horizontal="center" vertical="center"/>
    </xf>
    <xf applyAlignment="true" applyBorder="false" applyFill="false" applyFont="true" applyNumberFormat="true" applyProtection="false" borderId="5" fillId="0" fontId="7" numFmtId="167" xfId="0">
      <alignment horizontal="center" vertical="center"/>
    </xf>
    <xf applyAlignment="true" applyBorder="false" applyFill="true" applyFont="true" applyNumberFormat="true" applyProtection="false" borderId="9" fillId="17" fontId="7" numFmtId="167" xfId="0">
      <alignment horizontal="center" vertical="center"/>
    </xf>
    <xf applyAlignment="true" applyBorder="false" applyFill="false" applyFont="true" applyNumberFormat="false" applyProtection="false" borderId="6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vertical="center"/>
    </xf>
    <xf applyAlignment="true" applyBorder="false" applyFill="false" applyFont="true" applyNumberFormat="true" applyProtection="false" borderId="0" fillId="0" fontId="4" numFmtId="168" xfId="0">
      <alignment vertical="center"/>
    </xf>
    <xf applyAlignment="true" applyBorder="false" applyFill="true" applyFont="true" applyNumberFormat="false" applyProtection="false" borderId="0" fillId="25" fontId="4" numFmtId="0" xfId="0">
      <alignment vertical="center"/>
    </xf>
    <xf applyAlignment="true" applyBorder="false" applyFill="true" applyFont="true" applyNumberFormat="false" applyProtection="false" borderId="0" fillId="25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21" fontId="4" numFmtId="0" xfId="0">
      <alignment vertical="center"/>
    </xf>
    <xf applyAlignment="true" applyBorder="false" applyFill="true" applyFont="true" applyNumberFormat="false" applyProtection="false" borderId="10" fillId="21" fontId="10" numFmtId="0" xfId="0">
      <alignment horizontal="right" vertical="center" wrapText="true"/>
    </xf>
    <xf applyAlignment="true" applyBorder="false" applyFill="true" applyFont="true" applyNumberFormat="false" applyProtection="false" borderId="0" fillId="12" fontId="4" numFmtId="0" xfId="0">
      <alignment vertical="center"/>
    </xf>
    <xf applyAlignment="true" applyBorder="false" applyFill="true" applyFont="true" applyNumberFormat="false" applyProtection="false" borderId="0" fillId="26" fontId="4" numFmtId="0" xfId="0">
      <alignment vertical="center"/>
    </xf>
    <xf applyAlignment="true" applyBorder="false" applyFill="true" applyFont="true" applyNumberFormat="false" applyProtection="false" borderId="0" fillId="21" fontId="4" numFmtId="0" xfId="0">
      <alignment vertical="center"/>
    </xf>
    <xf applyAlignment="true" applyBorder="false" applyFill="true" applyFont="true" applyNumberFormat="false" applyProtection="false" borderId="0" fillId="13" fontId="4" numFmtId="0" xfId="0">
      <alignment vertical="center"/>
    </xf>
    <xf applyAlignment="true" applyBorder="false" applyFill="true" applyFont="true" applyNumberFormat="false" applyProtection="false" borderId="0" fillId="13" fontId="4" numFmtId="0" xfId="0">
      <alignment vertical="center"/>
    </xf>
    <xf applyAlignment="true" applyBorder="false" applyFill="true" applyFont="true" applyNumberFormat="false" applyProtection="false" borderId="0" fillId="12" fontId="4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11" fillId="27" fontId="1" numFmtId="0" xfId="0">
      <alignment horizontal="center" vertical="center" wrapText="true"/>
    </xf>
    <xf applyAlignment="true" applyBorder="false" applyFill="true" applyFont="true" applyNumberFormat="false" applyProtection="false" borderId="11" fillId="27" fontId="1" numFmtId="0" xfId="0">
      <alignment horizontal="center" vertical="center"/>
    </xf>
    <xf applyAlignment="true" applyBorder="false" applyFill="true" applyFont="true" applyNumberFormat="false" applyProtection="false" borderId="11" fillId="28" fontId="1" numFmtId="0" xfId="0">
      <alignment horizontal="center" vertical="center"/>
    </xf>
    <xf applyAlignment="true" applyBorder="false" applyFill="true" applyFont="true" applyNumberFormat="true" applyProtection="false" borderId="11" fillId="28" fontId="1" numFmtId="171" xfId="0">
      <alignment horizontal="center" vertical="center"/>
    </xf>
    <xf applyAlignment="true" applyBorder="false" applyFill="true" applyFont="true" applyNumberFormat="false" applyProtection="false" borderId="11" fillId="29" fontId="1" numFmtId="0" xfId="0">
      <alignment horizontal="center" vertical="center"/>
    </xf>
    <xf applyAlignment="true" applyBorder="false" applyFill="true" applyFont="true" applyNumberFormat="false" applyProtection="false" borderId="12" fillId="30" fontId="1" numFmtId="0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true" applyFont="true" applyNumberFormat="false" applyProtection="false" borderId="11" fillId="27" fontId="1" numFmtId="0" xfId="0">
      <alignment horizontal="center" vertical="center"/>
    </xf>
    <xf applyAlignment="true" applyBorder="false" applyFill="true" applyFont="true" applyNumberFormat="false" applyProtection="false" borderId="11" fillId="31" fontId="1" numFmtId="0" xfId="0">
      <alignment horizontal="center" vertical="center" wrapText="true"/>
    </xf>
    <xf applyAlignment="true" applyBorder="false" applyFill="true" applyFont="true" applyNumberFormat="false" applyProtection="false" borderId="11" fillId="32" fontId="1" numFmtId="0" xfId="0">
      <alignment horizontal="center" vertical="center" wrapText="true"/>
    </xf>
    <xf applyAlignment="true" applyBorder="false" applyFill="true" applyFont="true" applyNumberFormat="true" applyProtection="false" borderId="11" fillId="32" fontId="1" numFmtId="171" xfId="0">
      <alignment horizontal="center" vertical="center" wrapText="true"/>
    </xf>
    <xf applyAlignment="true" applyBorder="false" applyFill="true" applyFont="true" applyNumberFormat="false" applyProtection="false" borderId="11" fillId="33" fontId="1" numFmtId="0" xfId="0">
      <alignment horizontal="center" vertical="center" wrapText="true"/>
    </xf>
    <xf applyAlignment="true" applyBorder="false" applyFill="true" applyFont="true" applyNumberFormat="false" applyProtection="false" borderId="11" fillId="34" fontId="1" numFmtId="0" xfId="0">
      <alignment horizontal="center" vertical="center" wrapText="true"/>
    </xf>
    <xf applyAlignment="true" applyBorder="false" applyFill="true" applyFont="true" applyNumberFormat="false" applyProtection="false" borderId="11" fillId="35" fontId="1" numFmtId="0" xfId="0">
      <alignment horizontal="center" vertical="center" wrapText="true"/>
    </xf>
    <xf applyAlignment="true" applyBorder="false" applyFill="true" applyFont="true" applyNumberFormat="false" applyProtection="false" borderId="0" fillId="36" fontId="1" numFmtId="0" xfId="0">
      <alignment horizontal="center" vertical="center" wrapText="true"/>
    </xf>
    <xf applyAlignment="true" applyBorder="false" applyFill="true" applyFont="true" applyNumberFormat="false" applyProtection="false" borderId="11" fillId="27" fontId="1" numFmtId="0" xfId="0">
      <alignment horizontal="center" vertical="center" wrapText="true"/>
    </xf>
    <xf applyAlignment="true" applyBorder="false" applyFill="true" applyFont="true" applyNumberFormat="false" applyProtection="false" borderId="11" fillId="37" fontId="1" numFmtId="0" xfId="0">
      <alignment horizontal="center" vertical="center" wrapText="true"/>
    </xf>
    <xf applyAlignment="true" applyBorder="false" applyFill="true" applyFont="true" applyNumberFormat="true" applyProtection="false" borderId="11" fillId="38" fontId="1" numFmtId="171" xfId="0">
      <alignment horizontal="center" vertical="center" wrapText="true"/>
    </xf>
    <xf applyAlignment="true" applyBorder="false" applyFill="true" applyFont="true" applyNumberFormat="false" applyProtection="false" borderId="11" fillId="38" fontId="1" numFmtId="0" xfId="0">
      <alignment horizontal="center" vertical="center" wrapText="true"/>
    </xf>
    <xf applyAlignment="true" applyBorder="false" applyFill="true" applyFont="true" applyNumberFormat="false" applyProtection="false" borderId="11" fillId="33" fontId="1" numFmtId="0" xfId="0">
      <alignment horizontal="center" vertical="center" wrapText="true"/>
    </xf>
    <xf applyAlignment="true" applyBorder="false" applyFill="true" applyFont="true" applyNumberFormat="false" applyProtection="false" borderId="11" fillId="34" fontId="4" numFmtId="0" xfId="0">
      <alignment horizontal="center" vertical="center" wrapText="true"/>
    </xf>
    <xf applyAlignment="true" applyBorder="false" applyFill="true" applyFont="true" applyNumberFormat="false" applyProtection="false" borderId="11" fillId="34" fontId="4" numFmtId="0" xfId="0">
      <alignment horizontal="center" vertical="center" wrapText="true"/>
    </xf>
    <xf applyAlignment="true" applyBorder="false" applyFill="true" applyFont="true" applyNumberFormat="false" applyProtection="false" borderId="11" fillId="39" fontId="4" numFmtId="0" xfId="0">
      <alignment horizontal="center" vertical="center" wrapText="true"/>
    </xf>
    <xf applyAlignment="true" applyBorder="false" applyFill="true" applyFont="true" applyNumberFormat="false" applyProtection="false" borderId="11" fillId="39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13" fillId="36" fontId="1" numFmtId="0" xfId="0">
      <alignment horizontal="center" vertical="center" wrapText="true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true" applyProtection="false" borderId="15" fillId="0" fontId="4" numFmtId="172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horizontal="center" vertical="center"/>
    </xf>
    <xf applyAlignment="true" applyBorder="false" applyFill="false" applyFont="true" applyNumberFormat="true" applyProtection="false" borderId="16" fillId="0" fontId="7" numFmtId="173" xfId="0">
      <alignment horizontal="center" vertical="center"/>
    </xf>
    <xf applyAlignment="true" applyBorder="false" applyFill="false" applyFont="true" applyNumberFormat="true" applyProtection="false" borderId="11" fillId="0" fontId="7" numFmtId="173" xfId="0">
      <alignment horizontal="center" vertical="center"/>
    </xf>
    <xf applyAlignment="true" applyBorder="false" applyFill="true" applyFont="true" applyNumberFormat="false" applyProtection="false" borderId="11" fillId="40" fontId="7" numFmtId="0" xfId="0">
      <alignment horizontal="center" vertical="center"/>
    </xf>
    <xf applyAlignment="true" applyBorder="false" applyFill="true" applyFont="true" applyNumberFormat="false" applyProtection="false" borderId="11" fillId="40" fontId="7" numFmtId="0" xfId="0">
      <alignment horizontal="center" vertical="center"/>
    </xf>
    <xf applyAlignment="true" applyBorder="false" applyFill="false" applyFont="true" applyNumberFormat="false" applyProtection="false" borderId="11" fillId="0" fontId="7" numFmtId="0" xfId="0">
      <alignment horizontal="center" vertical="center"/>
    </xf>
    <xf applyAlignment="true" applyBorder="false" applyFill="false" applyFont="true" applyNumberFormat="true" applyProtection="false" borderId="11" fillId="0" fontId="7" numFmtId="174" xfId="0">
      <alignment horizontal="center" vertical="center"/>
    </xf>
    <xf applyAlignment="true" applyBorder="false" applyFill="false" applyFont="true" applyNumberFormat="true" applyProtection="false" borderId="11" fillId="0" fontId="7" numFmtId="175" xfId="0">
      <alignment horizontal="center" vertical="center"/>
    </xf>
    <xf applyAlignment="true" applyBorder="false" applyFill="false" applyFont="true" applyNumberFormat="true" applyProtection="false" borderId="11" fillId="0" fontId="7" numFmtId="176" xfId="0">
      <alignment horizontal="center" vertical="center"/>
    </xf>
    <xf applyAlignment="true" applyBorder="false" applyFill="false" applyFont="true" applyNumberFormat="true" applyProtection="false" borderId="11" fillId="0" fontId="7" numFmtId="173" xfId="0">
      <alignment horizontal="center" vertical="center"/>
    </xf>
    <xf applyAlignment="true" applyBorder="false" applyFill="false" applyFont="true" applyNumberFormat="false" applyProtection="false" borderId="11" fillId="0" fontId="7" numFmtId="0" xfId="0">
      <alignment horizontal="center" vertical="center"/>
    </xf>
    <xf applyAlignment="true" applyBorder="false" applyFill="false" applyFont="true" applyNumberFormat="true" applyProtection="false" borderId="16" fillId="0" fontId="7" numFmtId="173" xfId="0">
      <alignment horizontal="center" vertical="center"/>
    </xf>
    <xf applyAlignment="true" applyBorder="false" applyFill="false" applyFont="true" applyNumberFormat="true" applyProtection="false" borderId="17" fillId="0" fontId="7" numFmtId="174" xfId="0">
      <alignment horizontal="center" vertical="center"/>
    </xf>
    <xf applyAlignment="true" applyBorder="false" applyFill="false" applyFont="true" applyNumberFormat="false" applyProtection="false" borderId="11" fillId="0" fontId="6" numFmtId="0" xfId="0">
      <alignment horizontal="center" vertical="center"/>
    </xf>
    <xf applyAlignment="true" applyBorder="false" applyFill="false" applyFont="true" applyNumberFormat="false" applyProtection="false" borderId="16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false" applyFont="true" applyNumberFormat="false" applyProtection="false" borderId="11" fillId="0" fontId="6" numFmtId="0" xfId="0">
      <alignment horizontal="center" vertical="center"/>
    </xf>
    <xf applyAlignment="true" applyBorder="false" applyFill="false" applyFont="true" applyNumberFormat="true" applyProtection="false" borderId="15" fillId="0" fontId="7" numFmtId="174" xfId="0">
      <alignment horizontal="center" vertical="center"/>
    </xf>
    <xf applyAlignment="true" applyBorder="false" applyFill="false" applyFont="true" applyNumberFormat="false" applyProtection="false" borderId="16" fillId="0" fontId="7" numFmtId="0" xfId="0">
      <alignment horizontal="center" vertical="center"/>
    </xf>
    <xf applyAlignment="true" applyBorder="false" applyFill="false" applyFont="true" applyNumberFormat="true" applyProtection="false" borderId="11" fillId="0" fontId="7" numFmtId="176" xfId="0">
      <alignment horizontal="center" vertical="center"/>
    </xf>
    <xf applyAlignment="true" applyBorder="false" applyFill="false" applyFont="true" applyNumberFormat="true" applyProtection="false" borderId="18" fillId="0" fontId="7" numFmtId="174" xfId="0">
      <alignment horizontal="center" vertical="center"/>
    </xf>
    <xf applyAlignment="true" applyBorder="false" applyFill="true" applyFont="true" applyNumberFormat="false" applyProtection="false" borderId="11" fillId="41" fontId="4" numFmtId="0" xfId="0">
      <alignment horizontal="center" vertical="center"/>
    </xf>
    <xf applyAlignment="true" applyBorder="false" applyFill="true" applyFont="true" applyNumberFormat="true" applyProtection="false" borderId="16" fillId="41" fontId="7" numFmtId="173" xfId="0">
      <alignment horizontal="center" vertical="center"/>
    </xf>
    <xf applyAlignment="true" applyBorder="false" applyFill="true" applyFont="true" applyNumberFormat="true" applyProtection="false" borderId="11" fillId="41" fontId="7" numFmtId="173" xfId="0">
      <alignment horizontal="center" vertical="center"/>
    </xf>
    <xf applyAlignment="true" applyBorder="false" applyFill="true" applyFont="true" applyNumberFormat="false" applyProtection="false" borderId="11" fillId="41" fontId="7" numFmtId="0" xfId="0">
      <alignment horizontal="center" vertical="center"/>
    </xf>
    <xf applyAlignment="true" applyBorder="false" applyFill="true" applyFont="true" applyNumberFormat="true" applyProtection="false" borderId="11" fillId="41" fontId="7" numFmtId="174" xfId="0">
      <alignment horizontal="center" vertical="center"/>
    </xf>
    <xf applyAlignment="true" applyBorder="false" applyFill="true" applyFont="true" applyNumberFormat="true" applyProtection="false" borderId="11" fillId="42" fontId="7" numFmtId="173" xfId="0">
      <alignment horizontal="center" vertical="center"/>
    </xf>
    <xf applyAlignment="true" applyBorder="false" applyFill="true" applyFont="true" applyNumberFormat="true" applyProtection="false" borderId="15" fillId="41" fontId="7" numFmtId="174" xfId="0">
      <alignment horizontal="center" vertical="center"/>
    </xf>
    <xf applyAlignment="true" applyBorder="false" applyFill="true" applyFont="true" applyNumberFormat="true" applyProtection="false" borderId="11" fillId="41" fontId="7" numFmtId="171" xfId="0">
      <alignment horizontal="center" vertical="center"/>
    </xf>
    <xf applyAlignment="true" applyBorder="false" applyFill="true" applyFont="true" applyNumberFormat="false" applyProtection="false" borderId="16" fillId="41" fontId="7" numFmtId="0" xfId="0">
      <alignment horizontal="center" vertical="center"/>
    </xf>
    <xf applyAlignment="true" applyBorder="false" applyFill="true" applyFont="true" applyNumberFormat="false" applyProtection="false" borderId="0" fillId="41" fontId="7" numFmtId="0" xfId="0">
      <alignment horizontal="center" vertical="center"/>
    </xf>
    <xf applyAlignment="true" applyBorder="false" applyFill="true" applyFont="true" applyNumberFormat="true" applyProtection="false" borderId="19" fillId="41" fontId="7" numFmtId="173" xfId="0">
      <alignment horizontal="center" vertical="center"/>
    </xf>
    <xf applyAlignment="true" applyBorder="false" applyFill="true" applyFont="true" applyNumberFormat="true" applyProtection="false" borderId="20" fillId="41" fontId="7" numFmtId="173" xfId="0">
      <alignment horizontal="center" vertical="center"/>
    </xf>
    <xf applyAlignment="true" applyBorder="false" applyFill="true" applyFont="true" applyNumberFormat="true" applyProtection="false" borderId="20" fillId="41" fontId="7" numFmtId="174" xfId="0">
      <alignment horizontal="center" vertical="center"/>
    </xf>
    <xf applyAlignment="true" applyBorder="false" applyFill="true" applyFont="true" applyNumberFormat="false" applyProtection="false" borderId="11" fillId="34" fontId="8" numFmtId="0" xfId="0">
      <alignment horizontal="center" vertical="center"/>
    </xf>
    <xf applyAlignment="true" applyBorder="false" applyFill="true" applyFont="true" applyNumberFormat="true" applyProtection="false" borderId="11" fillId="34" fontId="8" numFmtId="173" xfId="0">
      <alignment horizontal="center" vertical="center"/>
    </xf>
    <xf applyAlignment="true" applyBorder="false" applyFill="true" applyFont="true" applyNumberFormat="true" applyProtection="false" borderId="11" fillId="34" fontId="8" numFmtId="174" xfId="0">
      <alignment horizontal="center" vertical="center"/>
    </xf>
    <xf applyAlignment="true" applyBorder="false" applyFill="true" applyFont="true" applyNumberFormat="true" applyProtection="false" borderId="11" fillId="34" fontId="8" numFmtId="176" xfId="0">
      <alignment horizontal="center" vertical="center"/>
    </xf>
    <xf applyAlignment="true" applyBorder="false" applyFill="true" applyFont="true" applyNumberFormat="true" applyProtection="false" borderId="16" fillId="34" fontId="8" numFmtId="173" xfId="0">
      <alignment horizontal="center" vertical="center"/>
    </xf>
    <xf applyAlignment="true" applyBorder="false" applyFill="true" applyFont="true" applyNumberFormat="true" applyProtection="false" borderId="11" fillId="43" fontId="7" numFmtId="173" xfId="0">
      <alignment horizontal="center" vertical="center"/>
    </xf>
    <xf applyAlignment="true" applyBorder="false" applyFill="true" applyFont="true" applyNumberFormat="true" applyProtection="false" borderId="11" fillId="34" fontId="8" numFmtId="171" xfId="0">
      <alignment horizontal="center" vertical="center"/>
    </xf>
    <xf applyAlignment="true" applyBorder="false" applyFill="true" applyFont="true" applyNumberFormat="false" applyProtection="false" borderId="21" fillId="34" fontId="8" numFmtId="0" xfId="0">
      <alignment horizontal="center" vertical="center"/>
    </xf>
    <xf applyAlignment="true" applyBorder="false" applyFill="true" applyFont="true" applyNumberFormat="false" applyProtection="false" borderId="15" fillId="34" fontId="8" numFmtId="0" xfId="0">
      <alignment horizontal="center" vertical="center"/>
    </xf>
    <xf applyAlignment="true" applyBorder="false" applyFill="false" applyFont="true" applyNumberFormat="false" applyProtection="false" borderId="20" fillId="0" fontId="7" numFmtId="0" xfId="0">
      <alignment horizontal="center" vertical="center"/>
    </xf>
    <xf applyAlignment="true" applyBorder="false" applyFill="true" applyFont="true" applyNumberFormat="true" applyProtection="false" borderId="11" fillId="41" fontId="7" numFmtId="176" xfId="0">
      <alignment horizontal="center" vertical="center"/>
    </xf>
    <xf applyAlignment="true" applyBorder="false" applyFill="false" applyFont="true" applyNumberFormat="true" applyProtection="false" borderId="22" fillId="0" fontId="4" numFmtId="172" xfId="0">
      <alignment horizontal="center" vertical="center"/>
    </xf>
    <xf applyAlignment="true" applyBorder="false" applyFill="false" applyFont="true" applyNumberFormat="false" applyProtection="false" borderId="20" fillId="0" fontId="4" numFmtId="0" xfId="0">
      <alignment horizontal="center" vertical="center"/>
    </xf>
    <xf applyAlignment="true" applyBorder="false" applyFill="false" applyFont="true" applyNumberFormat="false" applyProtection="false" borderId="20" fillId="0" fontId="4" numFmtId="0" xfId="0">
      <alignment horizontal="center" vertical="center"/>
    </xf>
    <xf applyAlignment="true" applyBorder="false" applyFill="false" applyFont="true" applyNumberFormat="true" applyProtection="false" borderId="19" fillId="0" fontId="7" numFmtId="173" xfId="0">
      <alignment horizontal="center" vertical="center"/>
    </xf>
    <xf applyAlignment="true" applyBorder="false" applyFill="false" applyFont="true" applyNumberFormat="true" applyProtection="false" borderId="20" fillId="0" fontId="7" numFmtId="173" xfId="0">
      <alignment horizontal="center" vertical="center"/>
    </xf>
    <xf applyAlignment="true" applyBorder="false" applyFill="true" applyFont="true" applyNumberFormat="false" applyProtection="false" borderId="20" fillId="44" fontId="7" numFmtId="0" xfId="0">
      <alignment horizontal="center" vertical="center"/>
    </xf>
    <xf applyAlignment="true" applyBorder="false" applyFill="true" applyFont="true" applyNumberFormat="false" applyProtection="false" borderId="20" fillId="44" fontId="7" numFmtId="0" xfId="0">
      <alignment horizontal="center" vertical="center"/>
    </xf>
    <xf applyAlignment="true" applyBorder="false" applyFill="false" applyFont="true" applyNumberFormat="false" applyProtection="false" borderId="20" fillId="0" fontId="7" numFmtId="0" xfId="0">
      <alignment horizontal="center" vertical="center"/>
    </xf>
    <xf applyAlignment="true" applyBorder="false" applyFill="false" applyFont="true" applyNumberFormat="true" applyProtection="false" borderId="20" fillId="0" fontId="7" numFmtId="174" xfId="0">
      <alignment horizontal="center" vertical="center"/>
    </xf>
    <xf applyAlignment="true" applyBorder="false" applyFill="false" applyFont="true" applyNumberFormat="true" applyProtection="false" borderId="20" fillId="0" fontId="7" numFmtId="176" xfId="0">
      <alignment horizontal="center" vertical="center"/>
    </xf>
    <xf applyAlignment="true" applyBorder="false" applyFill="false" applyFont="true" applyNumberFormat="true" applyProtection="false" borderId="23" fillId="0" fontId="7" numFmtId="174" xfId="0">
      <alignment horizontal="center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22" fillId="0" fontId="4" numFmtId="172" xfId="0">
      <alignment horizontal="center" vertical="center"/>
    </xf>
    <xf applyAlignment="true" applyBorder="false" applyFill="false" applyFont="true" applyNumberFormat="true" applyProtection="false" borderId="20" fillId="0" fontId="7" numFmtId="173" xfId="0">
      <alignment horizontal="center" vertical="center"/>
    </xf>
    <xf applyAlignment="true" applyBorder="false" applyFill="false" applyFont="true" applyNumberFormat="true" applyProtection="false" borderId="22" fillId="0" fontId="7" numFmtId="174" xfId="0">
      <alignment horizontal="center" vertical="center"/>
    </xf>
    <xf applyAlignment="true" applyBorder="false" applyFill="false" applyFont="true" applyNumberFormat="false" applyProtection="false" borderId="19" fillId="0" fontId="7" numFmtId="0" xfId="0">
      <alignment horizontal="center" vertical="center"/>
    </xf>
    <xf applyAlignment="true" applyBorder="false" applyFill="false" applyFont="true" applyNumberFormat="true" applyProtection="false" borderId="24" fillId="0" fontId="7" numFmtId="174" xfId="0">
      <alignment horizontal="center" vertical="center"/>
    </xf>
    <xf applyAlignment="true" applyBorder="false" applyFill="true" applyFont="true" applyNumberFormat="false" applyProtection="false" borderId="20" fillId="41" fontId="4" numFmtId="0" xfId="0">
      <alignment horizontal="center" vertical="center"/>
    </xf>
    <xf applyAlignment="true" applyBorder="false" applyFill="true" applyFont="true" applyNumberFormat="false" applyProtection="false" borderId="20" fillId="41" fontId="7" numFmtId="0" xfId="0">
      <alignment horizontal="center" vertical="center"/>
    </xf>
    <xf applyAlignment="true" applyBorder="false" applyFill="true" applyFont="true" applyNumberFormat="true" applyProtection="false" borderId="20" fillId="41" fontId="7" numFmtId="173" xfId="0">
      <alignment horizontal="center" vertical="center"/>
    </xf>
    <xf applyAlignment="true" applyBorder="false" applyFill="true" applyFont="true" applyNumberFormat="true" applyProtection="false" borderId="20" fillId="41" fontId="7" numFmtId="176" xfId="0">
      <alignment horizontal="center" vertical="center"/>
    </xf>
    <xf applyAlignment="true" applyBorder="false" applyFill="true" applyFont="true" applyNumberFormat="true" applyProtection="false" borderId="20" fillId="45" fontId="7" numFmtId="173" xfId="0">
      <alignment horizontal="center" vertical="center"/>
    </xf>
    <xf applyAlignment="true" applyBorder="false" applyFill="true" applyFont="true" applyNumberFormat="true" applyProtection="false" borderId="22" fillId="41" fontId="7" numFmtId="174" xfId="0">
      <alignment horizontal="center" vertical="center"/>
    </xf>
    <xf applyAlignment="true" applyBorder="false" applyFill="true" applyFont="true" applyNumberFormat="true" applyProtection="false" borderId="20" fillId="41" fontId="7" numFmtId="171" xfId="0">
      <alignment horizontal="center" vertical="center"/>
    </xf>
    <xf applyAlignment="true" applyBorder="false" applyFill="true" applyFont="true" applyNumberFormat="false" applyProtection="false" borderId="19" fillId="41" fontId="7" numFmtId="0" xfId="0">
      <alignment horizontal="center" vertical="center"/>
    </xf>
    <xf applyAlignment="true" applyBorder="false" applyFill="false" applyFont="true" applyNumberFormat="true" applyProtection="false" borderId="20" fillId="0" fontId="7" numFmtId="173" xfId="0">
      <alignment horizontal="center" vertical="center"/>
    </xf>
    <xf applyAlignment="true" applyBorder="false" applyFill="true" applyFont="true" applyNumberFormat="false" applyProtection="false" borderId="20" fillId="34" fontId="8" numFmtId="0" xfId="0">
      <alignment horizontal="center" vertical="center"/>
    </xf>
    <xf applyAlignment="true" applyBorder="false" applyFill="true" applyFont="true" applyNumberFormat="true" applyProtection="false" borderId="20" fillId="34" fontId="8" numFmtId="173" xfId="0">
      <alignment horizontal="center" vertical="center"/>
    </xf>
    <xf applyAlignment="true" applyBorder="false" applyFill="true" applyFont="true" applyNumberFormat="true" applyProtection="false" borderId="20" fillId="34" fontId="8" numFmtId="174" xfId="0">
      <alignment horizontal="center" vertical="center"/>
    </xf>
    <xf applyAlignment="true" applyBorder="false" applyFill="true" applyFont="true" applyNumberFormat="true" applyProtection="false" borderId="20" fillId="34" fontId="8" numFmtId="173" xfId="0">
      <alignment horizontal="center" vertical="center"/>
    </xf>
    <xf applyAlignment="true" applyBorder="false" applyFill="true" applyFont="true" applyNumberFormat="true" applyProtection="false" borderId="20" fillId="34" fontId="8" numFmtId="176" xfId="0">
      <alignment horizontal="center" vertical="center"/>
    </xf>
    <xf applyAlignment="true" applyBorder="false" applyFill="true" applyFont="true" applyNumberFormat="true" applyProtection="false" borderId="19" fillId="34" fontId="8" numFmtId="173" xfId="0">
      <alignment horizontal="center" vertical="center"/>
    </xf>
    <xf applyAlignment="true" applyBorder="false" applyFill="true" applyFont="true" applyNumberFormat="true" applyProtection="false" borderId="20" fillId="34" fontId="8" numFmtId="171" xfId="0">
      <alignment horizontal="center" vertical="center"/>
    </xf>
    <xf applyAlignment="true" applyBorder="false" applyFill="true" applyFont="true" applyNumberFormat="false" applyProtection="false" borderId="25" fillId="34" fontId="8" numFmtId="0" xfId="0">
      <alignment horizontal="center" vertical="center"/>
    </xf>
    <xf applyAlignment="true" applyBorder="false" applyFill="true" applyFont="true" applyNumberFormat="false" applyProtection="false" borderId="22" fillId="34" fontId="8" numFmtId="0" xfId="0">
      <alignment horizontal="center" vertical="center"/>
    </xf>
    <xf applyAlignment="true" applyBorder="false" applyFill="true" applyFont="true" applyNumberFormat="true" applyProtection="false" borderId="20" fillId="46" fontId="7" numFmtId="174" xfId="0">
      <alignment horizontal="center" vertical="center"/>
    </xf>
    <xf applyAlignment="true" applyBorder="false" applyFill="true" applyFont="true" applyNumberFormat="true" applyProtection="false" borderId="20" fillId="47" fontId="7" numFmtId="174" xfId="0">
      <alignment horizontal="center" vertical="center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false" applyFont="true" applyNumberFormat="true" applyProtection="false" borderId="11" fillId="0" fontId="4" numFmtId="172" xfId="0">
      <alignment horizontal="center" vertical="center"/>
    </xf>
    <xf applyAlignment="true" applyBorder="false" applyFill="true" applyFont="true" applyNumberFormat="false" applyProtection="false" borderId="11" fillId="44" fontId="7" numFmtId="0" xfId="0">
      <alignment horizontal="center" vertical="center"/>
    </xf>
    <xf applyAlignment="true" applyBorder="false" applyFill="true" applyFont="true" applyNumberFormat="false" applyProtection="false" borderId="11" fillId="44" fontId="7" numFmtId="0" xfId="0">
      <alignment horizontal="center" vertical="center"/>
    </xf>
    <xf applyAlignment="true" applyBorder="false" applyFill="false" applyFont="true" applyNumberFormat="true" applyProtection="false" borderId="11" fillId="0" fontId="7" numFmtId="173" xfId="0">
      <alignment horizontal="center" vertical="center"/>
    </xf>
    <xf applyAlignment="true" applyBorder="false" applyFill="true" applyFont="true" applyNumberFormat="true" applyProtection="false" borderId="11" fillId="45" fontId="7" numFmtId="173" xfId="0">
      <alignment horizontal="center" vertical="center"/>
    </xf>
    <xf applyAlignment="true" applyBorder="false" applyFill="true" applyFont="true" applyNumberFormat="true" applyProtection="false" borderId="11" fillId="46" fontId="7" numFmtId="174" xfId="0">
      <alignment horizontal="center" vertical="center"/>
    </xf>
    <xf applyAlignment="true" applyBorder="false" applyFill="true" applyFont="true" applyNumberFormat="true" applyProtection="false" borderId="11" fillId="34" fontId="8" numFmtId="173" xfId="0">
      <alignment horizontal="center" vertical="center"/>
    </xf>
    <xf applyAlignment="true" applyBorder="false" applyFill="true" applyFont="true" applyNumberFormat="true" applyProtection="false" borderId="11" fillId="47" fontId="7" numFmtId="174" xfId="0">
      <alignment horizontal="center" vertical="center"/>
    </xf>
    <xf applyAlignment="true" applyBorder="false" applyFill="true" applyFont="true" applyNumberFormat="true" applyProtection="false" borderId="11" fillId="44" fontId="7" numFmtId="176" xfId="0">
      <alignment horizontal="center" vertical="center"/>
    </xf>
    <xf applyAlignment="true" applyBorder="false" applyFill="true" applyFont="true" applyNumberFormat="true" applyProtection="false" borderId="20" fillId="48" fontId="7" numFmtId="174" xfId="0">
      <alignment horizontal="center" vertical="center"/>
    </xf>
    <xf applyAlignment="true" applyBorder="false" applyFill="false" applyFont="true" applyNumberFormat="true" applyProtection="false" borderId="11" fillId="0" fontId="7" numFmtId="171" xfId="0">
      <alignment horizontal="center" vertical="center"/>
    </xf>
    <xf applyAlignment="true" applyBorder="false" applyFill="true" applyFont="true" applyNumberFormat="true" applyProtection="false" borderId="11" fillId="48" fontId="7" numFmtId="174" xfId="0">
      <alignment horizontal="center" vertical="center"/>
    </xf>
    <xf applyAlignment="true" applyBorder="false" applyFill="false" applyFont="true" applyNumberFormat="true" applyProtection="false" borderId="11" fillId="0" fontId="7" numFmtId="173" xfId="0">
      <alignment horizontal="center" vertical="center"/>
    </xf>
    <xf applyAlignment="true" applyBorder="false" applyFill="false" applyFont="true" applyNumberFormat="true" applyProtection="false" borderId="11" fillId="0" fontId="7" numFmtId="173" xfId="0">
      <alignment horizontal="center" vertical="center"/>
    </xf>
    <xf applyAlignment="true" applyBorder="false" applyFill="true" applyFont="true" applyNumberFormat="true" applyProtection="false" borderId="19" fillId="49" fontId="4" numFmtId="177" xfId="0">
      <alignment horizontal="center" vertical="center"/>
    </xf>
    <xf applyAlignment="true" applyBorder="false" applyFill="false" applyFont="true" applyNumberFormat="true" applyProtection="false" borderId="11" fillId="0" fontId="7" numFmtId="171" xfId="0">
      <alignment horizontal="center" vertical="center"/>
    </xf>
    <xf applyAlignment="true" applyBorder="false" applyFill="true" applyFont="true" applyNumberFormat="true" applyProtection="false" borderId="11" fillId="41" fontId="7" numFmtId="178" xfId="0">
      <alignment horizontal="center" vertical="center"/>
    </xf>
    <xf applyAlignment="true" applyBorder="false" applyFill="false" applyFont="true" applyNumberFormat="true" applyProtection="false" borderId="11" fillId="0" fontId="7" numFmtId="173" xfId="0">
      <alignment horizontal="center" vertical="center"/>
    </xf>
    <xf applyAlignment="true" applyBorder="false" applyFill="true" applyFont="true" applyNumberFormat="false" applyProtection="false" borderId="11" fillId="44" fontId="7" numFmtId="0" xfId="0">
      <alignment horizontal="center" vertical="center"/>
    </xf>
    <xf applyAlignment="true" applyBorder="false" applyFill="false" applyFont="true" applyNumberFormat="false" applyProtection="false" borderId="11" fillId="0" fontId="7" numFmtId="0" xfId="0">
      <alignment horizontal="center" vertical="center"/>
    </xf>
    <xf applyAlignment="true" applyBorder="false" applyFill="false" applyFont="true" applyNumberFormat="false" applyProtection="false" borderId="11" fillId="0" fontId="7" numFmtId="0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true" applyProtection="false" borderId="0" fillId="0" fontId="6" numFmtId="171" xfId="0">
      <alignment vertical="center"/>
    </xf>
    <xf applyAlignment="true" applyBorder="false" applyFill="false" applyFont="true" applyNumberFormat="true" applyProtection="false" borderId="0" fillId="0" fontId="6" numFmtId="176" xfId="0">
      <alignment vertical="center"/>
    </xf>
    <xf applyAlignment="true" applyBorder="false" applyFill="true" applyFont="true" applyNumberFormat="false" applyProtection="false" borderId="0" fillId="38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0" fillId="38" fontId="6" numFmtId="0" xfId="0">
      <alignment vertical="center"/>
    </xf>
    <xf applyAlignment="true" applyBorder="false" applyFill="false" applyFont="true" applyNumberFormat="true" applyProtection="false" borderId="0" fillId="0" fontId="6" numFmtId="176" xfId="0">
      <alignment vertical="center"/>
    </xf>
    <xf applyAlignment="true" applyBorder="false" applyFill="true" applyFont="true" applyNumberFormat="false" applyProtection="false" borderId="26" fillId="50" fontId="1" numFmtId="0" xfId="0">
      <alignment horizontal="center" vertical="center"/>
    </xf>
    <xf applyAlignment="true" applyBorder="false" applyFill="true" applyFont="true" applyNumberFormat="false" applyProtection="false" borderId="26" fillId="50" fontId="1" numFmtId="0" xfId="0">
      <alignment horizontal="center" vertical="center"/>
    </xf>
    <xf applyAlignment="true" applyBorder="false" applyFill="true" applyFont="true" applyNumberFormat="false" applyProtection="false" borderId="26" fillId="51" fontId="1" numFmtId="0" xfId="0">
      <alignment horizontal="center" vertical="center"/>
    </xf>
    <xf applyAlignment="true" applyBorder="false" applyFill="true" applyFont="true" applyNumberFormat="false" applyProtection="false" borderId="26" fillId="52" fontId="1" numFmtId="0" xfId="0">
      <alignment horizontal="center" vertical="center"/>
    </xf>
    <xf applyAlignment="true" applyBorder="false" applyFill="true" applyFont="true" applyNumberFormat="false" applyProtection="false" borderId="27" fillId="53" fontId="1" numFmtId="0" xfId="0">
      <alignment horizontal="center" vertical="center"/>
    </xf>
    <xf applyAlignment="true" applyBorder="false" applyFill="true" applyFont="true" applyNumberFormat="false" applyProtection="false" borderId="28" fillId="53" fontId="1" numFmtId="0" xfId="0">
      <alignment horizontal="center" vertical="center"/>
    </xf>
    <xf applyAlignment="true" applyBorder="false" applyFill="true" applyFont="true" applyNumberFormat="false" applyProtection="false" borderId="26" fillId="54" fontId="1" numFmtId="0" xfId="0">
      <alignment horizontal="center" vertical="center" wrapText="true"/>
    </xf>
    <xf applyAlignment="true" applyBorder="false" applyFill="true" applyFont="true" applyNumberFormat="false" applyProtection="false" borderId="29" fillId="54" fontId="1" numFmtId="0" xfId="0">
      <alignment horizontal="center" vertical="center" wrapText="true"/>
    </xf>
    <xf applyAlignment="true" applyBorder="false" applyFill="true" applyFont="true" applyNumberFormat="false" applyProtection="false" borderId="29" fillId="55" fontId="1" numFmtId="0" xfId="0">
      <alignment horizontal="center" vertical="center" wrapText="true"/>
    </xf>
    <xf applyAlignment="true" applyBorder="false" applyFill="true" applyFont="true" applyNumberFormat="false" applyProtection="false" borderId="26" fillId="55" fontId="1" numFmtId="0" xfId="0">
      <alignment horizontal="center" vertical="center" wrapText="true"/>
    </xf>
    <xf applyAlignment="true" applyBorder="false" applyFill="true" applyFont="true" applyNumberFormat="false" applyProtection="false" borderId="26" fillId="56" fontId="1" numFmtId="0" xfId="0">
      <alignment horizontal="center" vertical="center" wrapText="true"/>
    </xf>
    <xf applyAlignment="true" applyBorder="false" applyFill="true" applyFont="true" applyNumberFormat="false" applyProtection="false" borderId="26" fillId="57" fontId="1" numFmtId="0" xfId="0">
      <alignment horizontal="center" vertical="center" wrapText="true"/>
    </xf>
    <xf applyAlignment="true" applyBorder="false" applyFill="true" applyFont="true" applyNumberFormat="false" applyProtection="false" borderId="26" fillId="58" fontId="1" numFmtId="0" xfId="0">
      <alignment horizontal="center" vertical="center" wrapText="true"/>
    </xf>
    <xf applyAlignment="true" applyBorder="false" applyFill="true" applyFont="true" applyNumberFormat="false" applyProtection="false" borderId="0" fillId="59" fontId="1" numFmtId="0" xfId="0">
      <alignment horizontal="center" vertical="center" wrapText="true"/>
    </xf>
    <xf applyAlignment="true" applyBorder="false" applyFill="true" applyFont="true" applyNumberFormat="false" applyProtection="false" borderId="26" fillId="50" fontId="1" numFmtId="0" xfId="0">
      <alignment horizontal="center" vertical="center" wrapText="true"/>
    </xf>
    <xf applyAlignment="true" applyBorder="false" applyFill="true" applyFont="true" applyNumberFormat="false" applyProtection="false" borderId="30" fillId="54" fontId="1" numFmtId="0" xfId="0">
      <alignment horizontal="center" vertical="center" wrapText="true"/>
    </xf>
    <xf applyAlignment="true" applyBorder="false" applyFill="true" applyFont="true" applyNumberFormat="false" applyProtection="false" borderId="31" fillId="55" fontId="1" numFmtId="0" xfId="0">
      <alignment horizontal="center" vertical="center" wrapText="true"/>
    </xf>
    <xf applyAlignment="true" applyBorder="false" applyFill="true" applyFont="true" applyNumberFormat="false" applyProtection="false" borderId="26" fillId="57" fontId="4" numFmtId="0" xfId="0">
      <alignment horizontal="center" vertical="center" wrapText="true"/>
    </xf>
    <xf applyAlignment="true" applyBorder="false" applyFill="true" applyFont="true" applyNumberFormat="false" applyProtection="false" borderId="27" fillId="59" fontId="1" numFmtId="0" xfId="0">
      <alignment horizontal="center" vertical="center" wrapText="true"/>
    </xf>
    <xf applyAlignment="true" applyBorder="false" applyFill="true" applyFont="true" applyNumberFormat="false" applyProtection="false" borderId="28" fillId="59" fontId="1" numFmtId="0" xfId="0">
      <alignment horizontal="center" vertical="center" wrapText="true"/>
    </xf>
    <xf applyAlignment="true" applyBorder="false" applyFill="true" applyFont="true" applyNumberFormat="false" applyProtection="false" borderId="28" fillId="58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26" fillId="0" fontId="4" numFmtId="0" xfId="0">
      <alignment horizontal="center" vertical="center"/>
    </xf>
    <xf applyAlignment="true" applyBorder="false" applyFill="false" applyFont="true" applyNumberFormat="false" applyProtection="false" borderId="26" fillId="0" fontId="4" numFmtId="0" xfId="0">
      <alignment horizontal="center" vertical="center"/>
    </xf>
    <xf applyAlignment="true" applyBorder="false" applyFill="false" applyFont="true" applyNumberFormat="false" applyProtection="false" borderId="30" fillId="0" fontId="7" numFmtId="0" xfId="0">
      <alignment horizontal="center" vertical="center"/>
    </xf>
    <xf applyAlignment="true" applyBorder="false" applyFill="false" applyFont="true" applyNumberFormat="false" applyProtection="false" borderId="26" fillId="0" fontId="7" numFmtId="0" xfId="0">
      <alignment horizontal="center" vertical="center"/>
    </xf>
    <xf applyAlignment="true" applyBorder="false" applyFill="true" applyFont="true" applyNumberFormat="false" applyProtection="false" borderId="26" fillId="60" fontId="7" numFmtId="0" xfId="0">
      <alignment horizontal="center" vertical="center"/>
    </xf>
    <xf applyAlignment="true" applyBorder="false" applyFill="true" applyFont="true" applyNumberFormat="false" applyProtection="false" borderId="31" fillId="60" fontId="7" numFmtId="0" xfId="0">
      <alignment horizontal="center" vertical="center"/>
    </xf>
    <xf applyAlignment="true" applyBorder="false" applyFill="true" applyFont="true" applyNumberFormat="false" applyProtection="false" borderId="26" fillId="60" fontId="7" numFmtId="0" xfId="0">
      <alignment horizontal="center" vertical="center"/>
    </xf>
    <xf applyAlignment="true" applyBorder="false" applyFill="false" applyFont="true" applyNumberFormat="false" applyProtection="false" borderId="26" fillId="0" fontId="7" numFmtId="0" xfId="0">
      <alignment horizontal="center" vertical="center"/>
    </xf>
    <xf applyAlignment="true" applyBorder="false" applyFill="false" applyFont="true" applyNumberFormat="true" applyProtection="false" borderId="26" fillId="0" fontId="7" numFmtId="179" xfId="0">
      <alignment horizontal="center" vertical="center"/>
    </xf>
    <xf applyAlignment="true" applyBorder="false" applyFill="false" applyFont="true" applyNumberFormat="true" applyProtection="false" borderId="26" fillId="0" fontId="7" numFmtId="18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true" applyFont="true" applyNumberFormat="false" applyProtection="false" borderId="31" fillId="60" fontId="7" numFmtId="0" xfId="0">
      <alignment horizontal="center" vertical="center"/>
    </xf>
    <xf applyAlignment="true" applyBorder="false" applyFill="true" applyFont="true" applyNumberFormat="false" applyProtection="false" borderId="26" fillId="61" fontId="4" numFmtId="0" xfId="0">
      <alignment horizontal="center" vertical="center"/>
    </xf>
    <xf applyAlignment="true" applyBorder="false" applyFill="true" applyFont="true" applyNumberFormat="false" applyProtection="false" borderId="26" fillId="61" fontId="7" numFmtId="0" xfId="0">
      <alignment horizontal="center" vertical="center"/>
    </xf>
    <xf applyAlignment="true" applyBorder="false" applyFill="true" applyFont="true" applyNumberFormat="false" applyProtection="false" borderId="32" fillId="61" fontId="7" numFmtId="0" xfId="0">
      <alignment horizontal="center" vertical="center"/>
    </xf>
    <xf applyAlignment="true" applyBorder="false" applyFill="true" applyFont="true" applyNumberFormat="true" applyProtection="false" borderId="26" fillId="61" fontId="7" numFmtId="179" xfId="0">
      <alignment horizontal="center" vertical="center"/>
    </xf>
    <xf applyAlignment="true" applyBorder="false" applyFill="true" applyFont="true" applyNumberFormat="true" applyProtection="false" borderId="26" fillId="61" fontId="7" numFmtId="180" xfId="0">
      <alignment horizontal="center" vertical="center"/>
    </xf>
    <xf applyAlignment="true" applyBorder="false" applyFill="true" applyFont="true" applyNumberFormat="true" applyProtection="false" borderId="26" fillId="61" fontId="7" numFmtId="181" xfId="0">
      <alignment horizontal="center" vertical="center"/>
    </xf>
    <xf applyAlignment="true" applyBorder="false" applyFill="true" applyFont="true" applyNumberFormat="false" applyProtection="false" borderId="0" fillId="61" fontId="7" numFmtId="0" xfId="0">
      <alignment horizontal="center" vertical="center"/>
    </xf>
    <xf applyAlignment="true" applyBorder="false" applyFill="true" applyFont="true" applyNumberFormat="false" applyProtection="false" borderId="33" fillId="61" fontId="7" numFmtId="0" xfId="0">
      <alignment horizontal="center" vertical="center"/>
    </xf>
    <xf applyAlignment="true" applyBorder="false" applyFill="true" applyFont="true" applyNumberFormat="false" applyProtection="false" borderId="26" fillId="57" fontId="8" numFmtId="0" xfId="0">
      <alignment horizontal="center" vertical="center"/>
    </xf>
    <xf applyAlignment="true" applyBorder="false" applyFill="true" applyFont="true" applyNumberFormat="true" applyProtection="false" borderId="26" fillId="57" fontId="8" numFmtId="179" xfId="0">
      <alignment horizontal="center" vertical="center"/>
    </xf>
    <xf applyAlignment="true" applyBorder="false" applyFill="true" applyFont="true" applyNumberFormat="true" applyProtection="false" borderId="26" fillId="57" fontId="8" numFmtId="180" xfId="0">
      <alignment horizontal="center" vertical="center"/>
    </xf>
    <xf applyAlignment="true" applyBorder="false" applyFill="true" applyFont="true" applyNumberFormat="true" applyProtection="false" borderId="26" fillId="57" fontId="8" numFmtId="181" xfId="0">
      <alignment horizontal="center" vertical="center"/>
    </xf>
    <xf applyAlignment="true" applyBorder="false" applyFill="true" applyFont="true" applyNumberFormat="false" applyProtection="false" borderId="33" fillId="57" fontId="8" numFmtId="0" xfId="0">
      <alignment horizontal="center" vertical="center"/>
    </xf>
    <xf applyAlignment="true" applyBorder="false" applyFill="false" applyFont="true" applyNumberFormat="true" applyProtection="false" borderId="34" fillId="0" fontId="7" numFmtId="180" xfId="0">
      <alignment horizontal="center" vertical="center"/>
    </xf>
    <xf applyAlignment="true" applyBorder="false" applyFill="false" applyFont="true" applyNumberFormat="true" applyProtection="false" borderId="26" fillId="0" fontId="7" numFmtId="180" xfId="0">
      <alignment horizontal="center" vertical="center"/>
    </xf>
    <xf applyAlignment="true" applyBorder="false" applyFill="false" applyFont="true" applyNumberFormat="true" applyProtection="false" borderId="31" fillId="0" fontId="7" numFmtId="180" xfId="0">
      <alignment horizontal="center" vertical="center"/>
    </xf>
    <xf applyAlignment="true" applyBorder="false" applyFill="true" applyFont="true" applyNumberFormat="true" applyProtection="false" borderId="30" fillId="61" fontId="7" numFmtId="180" xfId="0">
      <alignment horizontal="center" vertical="center"/>
    </xf>
    <xf applyAlignment="true" applyBorder="false" applyFill="true" applyFont="true" applyNumberFormat="false" applyProtection="false" borderId="35" fillId="61" fontId="7" numFmtId="0" xfId="0">
      <alignment horizontal="center" vertical="center"/>
    </xf>
    <xf applyAlignment="true" applyBorder="false" applyFill="true" applyFont="true" applyNumberFormat="true" applyProtection="false" borderId="26" fillId="61" fontId="7" numFmtId="182" xfId="0">
      <alignment horizontal="center" vertical="center"/>
    </xf>
    <xf applyAlignment="true" applyBorder="false" applyFill="false" applyFont="true" applyNumberFormat="true" applyProtection="false" borderId="30" fillId="0" fontId="7" numFmtId="180" xfId="0">
      <alignment horizontal="center" vertical="center"/>
    </xf>
    <xf applyAlignment="true" applyBorder="false" applyFill="false" applyFont="true" applyNumberFormat="true" applyProtection="false" borderId="32" fillId="0" fontId="7" numFmtId="180" xfId="0">
      <alignment horizontal="center" vertical="center"/>
    </xf>
    <xf applyAlignment="true" applyBorder="false" applyFill="false" applyFont="true" applyNumberFormat="false" applyProtection="false" borderId="32" fillId="0" fontId="7" numFmtId="0" xfId="0">
      <alignment horizontal="center" vertical="center"/>
    </xf>
    <xf applyAlignment="true" applyBorder="false" applyFill="true" applyFont="true" applyNumberFormat="false" applyProtection="false" borderId="32" fillId="60" fontId="7" numFmtId="0" xfId="0">
      <alignment horizontal="center" vertical="center"/>
    </xf>
    <xf applyAlignment="true" applyBorder="false" applyFill="true" applyFont="true" applyNumberFormat="false" applyProtection="false" borderId="36" fillId="61" fontId="4" numFmtId="0" xfId="0">
      <alignment horizontal="center" vertical="center"/>
    </xf>
    <xf applyAlignment="true" applyBorder="false" applyFill="true" applyFont="true" applyNumberFormat="true" applyProtection="false" borderId="36" fillId="61" fontId="7" numFmtId="180" xfId="0">
      <alignment horizontal="center" vertical="center"/>
    </xf>
    <xf applyAlignment="true" applyBorder="false" applyFill="true" applyFont="true" applyNumberFormat="false" applyProtection="false" borderId="37" fillId="61" fontId="7" numFmtId="0" xfId="0">
      <alignment horizontal="center" vertical="center"/>
    </xf>
    <xf applyAlignment="true" applyBorder="false" applyFill="true" applyFont="true" applyNumberFormat="false" applyProtection="false" borderId="36" fillId="61" fontId="7" numFmtId="0" xfId="0">
      <alignment horizontal="center" vertical="center"/>
    </xf>
    <xf applyAlignment="true" applyBorder="false" applyFill="true" applyFont="true" applyNumberFormat="true" applyProtection="false" borderId="36" fillId="61" fontId="7" numFmtId="179" xfId="0">
      <alignment horizontal="center" vertical="center"/>
    </xf>
    <xf applyAlignment="true" applyBorder="false" applyFill="true" applyFont="true" applyNumberFormat="true" applyProtection="false" borderId="36" fillId="61" fontId="7" numFmtId="182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true" applyProtection="false" borderId="26" fillId="57" fontId="8" numFmtId="182" xfId="0">
      <alignment horizontal="center" vertical="center"/>
    </xf>
    <xf applyAlignment="true" applyBorder="false" applyFill="false" applyFont="true" applyNumberFormat="false" applyProtection="false" borderId="26" fillId="0" fontId="6" numFmtId="0" xfId="0">
      <alignment horizontal="center" vertical="center"/>
    </xf>
    <xf applyAlignment="true" applyBorder="false" applyFill="false" applyFont="true" applyNumberFormat="false" applyProtection="false" borderId="31" fillId="0" fontId="7" numFmtId="0" xfId="0">
      <alignment horizontal="center" vertical="center"/>
    </xf>
    <xf applyAlignment="true" applyBorder="false" applyFill="true" applyFont="true" applyNumberFormat="false" applyProtection="false" borderId="30" fillId="61" fontId="7" numFmtId="0" xfId="0">
      <alignment horizontal="center" vertical="center"/>
    </xf>
    <xf applyAlignment="true" applyBorder="false" applyFill="true" applyFont="true" applyNumberFormat="false" applyProtection="false" borderId="31" fillId="61" fontId="7" numFmtId="0" xfId="0">
      <alignment horizontal="center" vertical="center"/>
    </xf>
    <xf applyAlignment="true" applyBorder="false" applyFill="true" applyFont="true" applyNumberFormat="false" applyProtection="false" borderId="38" fillId="61" fontId="7" numFmtId="0" xfId="0">
      <alignment horizontal="center" vertical="center"/>
    </xf>
    <xf applyAlignment="true" applyBorder="false" applyFill="true" applyFont="true" applyNumberFormat="false" applyProtection="false" borderId="32" fillId="57" fontId="8" numFmtId="0" xfId="0">
      <alignment horizontal="center" vertical="center"/>
    </xf>
    <xf applyAlignment="true" applyBorder="false" applyFill="true" applyFont="true" applyNumberFormat="true" applyProtection="false" borderId="26" fillId="62" fontId="7" numFmtId="180" xfId="0">
      <alignment horizontal="center" vertical="center"/>
    </xf>
    <xf applyAlignment="true" applyBorder="false" applyFill="false" applyFont="true" applyNumberFormat="true" applyProtection="false" borderId="26" fillId="0" fontId="7" numFmtId="183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30" fillId="0" fontId="4" numFmtId="0" xfId="0">
      <alignment horizontal="center" vertical="center"/>
    </xf>
    <xf applyAlignment="true" applyBorder="false" applyFill="false" applyFont="true" applyNumberFormat="true" applyProtection="false" borderId="29" fillId="0" fontId="7" numFmtId="179" xfId="0">
      <alignment horizontal="center" vertical="center"/>
    </xf>
    <xf applyAlignment="true" applyBorder="false" applyFill="false" applyFont="true" applyNumberFormat="false" applyProtection="false" borderId="29" fillId="0" fontId="7" numFmtId="0" xfId="0">
      <alignment horizontal="center" vertical="center"/>
    </xf>
    <xf applyAlignment="true" applyBorder="false" applyFill="false" applyFont="true" applyNumberFormat="false" applyProtection="false" borderId="26" fillId="0" fontId="6" numFmtId="0" xfId="0">
      <alignment horizontal="center" vertical="center"/>
    </xf>
    <xf applyAlignment="true" applyBorder="false" applyFill="false" applyFont="true" applyNumberFormat="true" applyProtection="false" borderId="30" fillId="0" fontId="7" numFmtId="179" xfId="0">
      <alignment horizontal="center" vertical="center"/>
    </xf>
    <xf applyAlignment="true" applyBorder="false" applyFill="false" applyFont="true" applyNumberFormat="false" applyProtection="false" borderId="34" fillId="0" fontId="7" numFmtId="0" xfId="0">
      <alignment horizontal="center" vertical="center"/>
    </xf>
    <xf applyAlignment="true" applyBorder="false" applyFill="false" applyFont="true" applyNumberFormat="true" applyProtection="false" borderId="32" fillId="0" fontId="7" numFmtId="179" xfId="0">
      <alignment horizontal="center" vertical="center"/>
    </xf>
    <xf applyAlignment="true" applyBorder="false" applyFill="false" applyFont="true" applyNumberFormat="false" applyProtection="false" borderId="32" fillId="0" fontId="7" numFmtId="0" xfId="0">
      <alignment horizontal="center" vertical="center"/>
    </xf>
    <xf applyAlignment="true" applyBorder="false" applyFill="true" applyFont="true" applyNumberFormat="false" applyProtection="false" borderId="32" fillId="61" fontId="4" numFmtId="0" xfId="0">
      <alignment horizontal="center" vertical="center"/>
    </xf>
    <xf applyAlignment="true" applyBorder="false" applyFill="true" applyFont="true" applyNumberFormat="true" applyProtection="false" borderId="39" fillId="61" fontId="7" numFmtId="180" xfId="0">
      <alignment horizontal="center" vertical="center"/>
    </xf>
    <xf applyAlignment="true" applyBorder="false" applyFill="true" applyFont="true" applyNumberFormat="false" applyProtection="false" borderId="30" fillId="57" fontId="8" numFmtId="0" xfId="0">
      <alignment horizontal="center" vertical="center"/>
    </xf>
    <xf applyAlignment="true" applyBorder="false" applyFill="false" applyFont="true" applyNumberFormat="false" applyProtection="false" borderId="29" fillId="0" fontId="4" numFmtId="0" xfId="0">
      <alignment horizontal="center" vertical="center"/>
    </xf>
    <xf applyAlignment="true" applyBorder="false" applyFill="true" applyFont="true" applyNumberFormat="false" applyProtection="false" borderId="29" fillId="57" fontId="8" numFmtId="0" xfId="0">
      <alignment horizontal="center" vertical="center"/>
    </xf>
    <xf applyAlignment="true" applyBorder="false" applyFill="true" applyFont="true" applyNumberFormat="true" applyProtection="false" borderId="29" fillId="57" fontId="8" numFmtId="180" xfId="0">
      <alignment horizontal="center" vertical="center"/>
    </xf>
    <xf applyAlignment="true" applyBorder="false" applyFill="true" applyFont="true" applyNumberFormat="true" applyProtection="false" borderId="29" fillId="57" fontId="8" numFmtId="179" xfId="0">
      <alignment horizontal="center" vertical="center"/>
    </xf>
    <xf applyAlignment="true" applyBorder="false" applyFill="false" applyFont="true" applyNumberFormat="true" applyProtection="false" borderId="31" fillId="0" fontId="7" numFmtId="180" xfId="0">
      <alignment horizontal="center" vertical="center"/>
    </xf>
    <xf applyAlignment="true" applyBorder="false" applyFill="true" applyFont="true" applyNumberFormat="true" applyProtection="false" borderId="31" fillId="61" fontId="7" numFmtId="180" xfId="0">
      <alignment horizontal="center" vertical="center"/>
    </xf>
    <xf applyAlignment="true" applyBorder="false" applyFill="true" applyFont="true" applyNumberFormat="true" applyProtection="false" borderId="33" fillId="61" fontId="7" numFmtId="180" xfId="0">
      <alignment horizontal="center" vertical="center"/>
    </xf>
    <xf applyAlignment="true" applyBorder="false" applyFill="true" applyFont="true" applyNumberFormat="true" applyProtection="false" borderId="31" fillId="57" fontId="8" numFmtId="180" xfId="0">
      <alignment horizontal="center" vertical="center"/>
    </xf>
    <xf applyAlignment="true" applyBorder="false" applyFill="true" applyFont="true" applyNumberFormat="true" applyProtection="false" borderId="26" fillId="61" fontId="7" numFmtId="184" xfId="0">
      <alignment horizontal="center" vertical="center"/>
    </xf>
    <xf applyAlignment="true" applyBorder="false" applyFill="false" applyFont="true" applyNumberFormat="true" applyProtection="false" borderId="40" fillId="0" fontId="7" numFmtId="179" xfId="0">
      <alignment horizontal="center" vertical="center"/>
    </xf>
    <xf applyAlignment="true" applyBorder="false" applyFill="false" applyFont="true" applyNumberFormat="false" applyProtection="false" borderId="31" fillId="0" fontId="6" numFmtId="0" xfId="0">
      <alignment horizontal="center" vertical="center"/>
    </xf>
    <xf applyAlignment="true" applyBorder="false" applyFill="false" applyFont="true" applyNumberFormat="true" applyProtection="false" borderId="39" fillId="0" fontId="7" numFmtId="179" xfId="0">
      <alignment horizontal="center" vertical="center"/>
    </xf>
    <xf applyAlignment="true" applyBorder="false" applyFill="false" applyFont="true" applyNumberFormat="false" applyProtection="false" borderId="31" fillId="0" fontId="7" numFmtId="0" xfId="0">
      <alignment horizontal="center" vertical="center"/>
    </xf>
    <xf applyAlignment="true" applyBorder="false" applyFill="true" applyFont="true" applyNumberFormat="true" applyProtection="false" borderId="30" fillId="61" fontId="7" numFmtId="179" xfId="0">
      <alignment horizontal="center" vertical="center"/>
    </xf>
    <xf applyAlignment="true" applyBorder="false" applyFill="true" applyFont="true" applyNumberFormat="true" applyProtection="false" borderId="37" fillId="61" fontId="7" numFmtId="182" xfId="0">
      <alignment horizontal="center" vertical="center"/>
    </xf>
    <xf applyAlignment="true" applyBorder="false" applyFill="true" applyFont="true" applyNumberFormat="false" applyProtection="false" borderId="41" fillId="61" fontId="7" numFmtId="0" xfId="0">
      <alignment horizontal="center" vertical="center"/>
    </xf>
    <xf applyAlignment="true" applyBorder="false" applyFill="false" applyFont="true" applyNumberFormat="true" applyProtection="false" borderId="26" fillId="0" fontId="7" numFmtId="183" xfId="0">
      <alignment horizontal="center" vertical="center"/>
    </xf>
    <xf applyAlignment="true" applyBorder="false" applyFill="false" applyFont="true" applyNumberFormat="false" applyProtection="false" borderId="32" fillId="0" fontId="4" numFmtId="0" xfId="0">
      <alignment horizontal="center" vertical="center"/>
    </xf>
    <xf applyAlignment="true" applyBorder="false" applyFill="false" applyFont="true" applyNumberFormat="false" applyProtection="false" borderId="39" fillId="0" fontId="4" numFmtId="0" xfId="0">
      <alignment horizontal="center" vertical="center"/>
    </xf>
    <xf applyAlignment="true" applyBorder="false" applyFill="true" applyFont="true" applyNumberFormat="true" applyProtection="false" borderId="26" fillId="57" fontId="8" numFmtId="183" xfId="0">
      <alignment horizontal="center" vertical="center"/>
    </xf>
    <xf applyAlignment="true" applyBorder="false" applyFill="false" applyFont="true" applyNumberFormat="true" applyProtection="false" borderId="26" fillId="0" fontId="7" numFmtId="184" xfId="0">
      <alignment horizontal="center" vertical="center"/>
    </xf>
    <xf applyAlignment="true" applyBorder="false" applyFill="false" applyFont="true" applyNumberFormat="true" applyProtection="false" borderId="26" fillId="0" fontId="7" numFmtId="184" xfId="0">
      <alignment horizontal="center" vertical="center"/>
    </xf>
    <xf applyAlignment="true" applyBorder="false" applyFill="true" applyFont="true" applyNumberFormat="false" applyProtection="false" borderId="0" fillId="63" fontId="11" numFmtId="0" xfId="0">
      <alignment horizontal="right" vertical="center" wrapText="true"/>
    </xf>
    <xf applyAlignment="true" applyBorder="false" applyFill="true" applyFont="true" applyNumberFormat="true" applyProtection="false" borderId="0" fillId="64" fontId="12" numFmtId="183" xfId="0">
      <alignment horizontal="center" vertical="center" wrapText="true"/>
    </xf>
    <xf applyAlignment="true" applyBorder="false" applyFill="false" applyFont="true" applyNumberFormat="true" applyProtection="false" borderId="0" fillId="0" fontId="6" numFmtId="183" xfId="0">
      <alignment vertical="center"/>
    </xf>
    <xf applyAlignment="true" applyBorder="false" applyFill="true" applyFont="true" applyNumberFormat="false" applyProtection="false" borderId="0" fillId="65" fontId="6" numFmtId="0" xfId="0">
      <alignment vertical="center"/>
    </xf>
    <xf applyAlignment="true" applyBorder="false" applyFill="true" applyFont="true" applyNumberFormat="false" applyProtection="false" borderId="42" fillId="63" fontId="11" numFmtId="0" xfId="0">
      <alignment horizontal="right" vertical="center" wrapText="true"/>
    </xf>
    <xf applyAlignment="true" applyBorder="false" applyFill="true" applyFont="true" applyNumberFormat="false" applyProtection="false" borderId="0" fillId="66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calcChain.xml" Type="http://schemas.openxmlformats.org/officeDocument/2006/relationships/calcChain"></Relationship><Relationship Id="rId10" Target="metadata.xml" Type="http://schemas.openxmlformats.org/officeDocument/2006/relationships/sheetMetadata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4" xSplit="1" ySplit="3"/>
    </sheetView>
  </sheetViews>
  <sheetFormatPr defaultRowHeight="16"/>
  <cols>
    <col collapsed="false" customWidth="true" hidden="false" max="43" min="43" style="0" width="11.211267605633802"/>
    <col collapsed="false" customWidth="true" hidden="false" max="50" min="50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35" min="35" style="0" width="11.211267605633802"/>
    <col collapsed="false" customWidth="true" hidden="false" max="44" min="44" style="0" width="11.211267605633802"/>
    <col collapsed="false" customWidth="true" hidden="false" max="11" min="11" style="0" width="11.211267605633802"/>
    <col collapsed="false" customWidth="true" hidden="false" max="19" min="19" style="0" width="11.211267605633802"/>
    <col collapsed="false" customWidth="true" hidden="false" max="27" min="27" style="0" width="11.211267605633802"/>
    <col collapsed="false" customWidth="true" hidden="false" max="36" min="36" style="0" width="11.211267605633802"/>
    <col collapsed="false" customWidth="true" hidden="false" max="37" min="37" style="0" width="11.211267605633802"/>
    <col collapsed="false" customWidth="true" hidden="false" max="45" min="45" style="0" width="11.211267605633802"/>
    <col collapsed="false" customWidth="true" hidden="false" max="4" min="4" style="0" width="11.211267605633802"/>
    <col collapsed="false" customWidth="true" hidden="false" max="12" min="12" style="0" width="11.211267605633802"/>
    <col collapsed="false" customWidth="true" hidden="false" max="20" min="20" style="0" width="11.211267605633802"/>
    <col collapsed="false" customWidth="true" hidden="false" max="28" min="28" style="0" width="11.211267605633802"/>
    <col collapsed="false" customWidth="true" hidden="false" max="38" min="38" style="0" width="11.211267605633802"/>
    <col collapsed="false" customWidth="true" hidden="false" max="46" min="46" style="0" width="11.211267605633802"/>
    <col collapsed="false" customWidth="true" hidden="false" max="5" min="5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39" min="39" style="0" width="11.211267605633802"/>
    <col collapsed="false" customWidth="true" hidden="false" max="47" min="47" style="0" width="11.211267605633802"/>
    <col collapsed="false" customWidth="true" hidden="false" max="6" min="6" style="0" width="11.211267605633802"/>
    <col collapsed="false" customWidth="true" hidden="false" max="14" min="14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40" min="40" style="0" width="11.211267605633802"/>
    <col collapsed="false" customWidth="true" hidden="false" max="48" min="48" style="0" width="11.211267605633802"/>
    <col collapsed="false" customWidth="true" hidden="false" max="7" min="7" style="0" width="11.211267605633802"/>
    <col collapsed="false" customWidth="true" hidden="false" max="15" min="15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33" min="33" style="0" width="11.211267605633802"/>
    <col collapsed="false" customWidth="true" hidden="false" max="41" min="41" style="0" width="11.211267605633802"/>
    <col collapsed="false" customWidth="true" hidden="false" max="8" min="8" style="0" width="11.211267605633802"/>
    <col collapsed="false" customWidth="true" hidden="false" max="16" min="16" style="0" width="11.211267605633802"/>
    <col collapsed="false" customWidth="true" hidden="false" max="24" min="24" style="0" width="11.211267605633802"/>
    <col collapsed="false" customWidth="true" hidden="false" max="32" min="32" style="0" width="11.211267605633802"/>
    <col collapsed="false" customWidth="true" hidden="false" max="42" min="42" style="0" width="11.211267605633802"/>
    <col collapsed="false" customWidth="true" hidden="false" max="49" min="49" style="0" width="11.211267605633802"/>
    <col collapsed="false" customWidth="true" hidden="false" max="9" min="9" style="0" width="11.211267605633802"/>
    <col collapsed="false" customWidth="true" hidden="false" max="17" min="17" style="0" width="11.211267605633802"/>
    <col collapsed="false" customWidth="true" hidden="false" max="25" min="25" style="0" width="11.211267605633802"/>
    <col collapsed="false" customWidth="true" hidden="false" max="34" min="34" style="0" width="11.211267605633802"/>
  </cols>
  <sheetData>
    <row r="1">
      <c r="A1" s="1" t="s">
        <v>1</v>
      </c>
      <c r="B1" s="2" t="s">
        <v>2</v>
      </c>
      <c r="C1" s="2"/>
      <c r="D1" s="2"/>
      <c r="E1" s="2"/>
      <c r="F1" s="3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 t="s">
        <v>4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5" t="s">
        <v>5</v>
      </c>
      <c r="AW1" s="5"/>
      <c r="AX1" s="6" t="s">
        <v>6</v>
      </c>
    </row>
    <row r="2">
      <c r="A2" s="1"/>
      <c r="B2" s="2"/>
      <c r="C2" s="2"/>
      <c r="D2" s="2"/>
      <c r="E2" s="2"/>
      <c r="F2" s="7" t="s">
        <v>7</v>
      </c>
      <c r="G2" s="7"/>
      <c r="H2" s="7"/>
      <c r="I2" s="7"/>
      <c r="J2" s="8" t="s">
        <v>8</v>
      </c>
      <c r="K2" s="8"/>
      <c r="L2" s="8"/>
      <c r="M2" s="8"/>
      <c r="N2" s="8"/>
      <c r="O2" s="8"/>
      <c r="P2" s="8"/>
      <c r="Q2" s="8"/>
      <c r="R2" s="8"/>
      <c r="S2" s="8"/>
      <c r="T2" s="9" t="s">
        <v>9</v>
      </c>
      <c r="U2" s="9"/>
      <c r="V2" s="9"/>
      <c r="W2" s="9"/>
      <c r="X2" s="9"/>
      <c r="Y2" s="9"/>
      <c r="Z2" s="10" t="s">
        <v>10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 t="s">
        <v>11</v>
      </c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2"/>
      <c r="AW2" s="12"/>
      <c r="AX2" s="6"/>
    </row>
    <row r="3">
      <c r="A3" s="1"/>
      <c r="B3" s="13" t="s">
        <v>12</v>
      </c>
      <c r="C3" s="13" t="s">
        <v>13</v>
      </c>
      <c r="D3" s="13" t="s">
        <v>14</v>
      </c>
      <c r="E3" s="13" t="s">
        <v>15</v>
      </c>
      <c r="F3" s="7" t="s">
        <v>16</v>
      </c>
      <c r="G3" s="14" t="s">
        <v>17</v>
      </c>
      <c r="H3" s="14" t="s">
        <v>18</v>
      </c>
      <c r="I3" s="7" t="s">
        <v>19</v>
      </c>
      <c r="J3" s="8" t="s">
        <v>20</v>
      </c>
      <c r="K3" s="8" t="s">
        <v>21</v>
      </c>
      <c r="L3" s="8" t="s">
        <v>22</v>
      </c>
      <c r="M3" s="8" t="s">
        <v>23</v>
      </c>
      <c r="N3" s="14" t="s">
        <v>24</v>
      </c>
      <c r="O3" s="8" t="s">
        <v>25</v>
      </c>
      <c r="P3" s="14" t="s">
        <v>26</v>
      </c>
      <c r="Q3" s="8" t="s">
        <v>27</v>
      </c>
      <c r="R3" s="15" t="s">
        <v>28</v>
      </c>
      <c r="S3" s="16" t="s">
        <v>29</v>
      </c>
      <c r="T3" s="9" t="s">
        <v>30</v>
      </c>
      <c r="U3" s="17" t="s">
        <v>31</v>
      </c>
      <c r="V3" s="9" t="s">
        <v>32</v>
      </c>
      <c r="W3" s="14" t="s">
        <v>33</v>
      </c>
      <c r="X3" s="9" t="s">
        <v>34</v>
      </c>
      <c r="Y3" s="9" t="s">
        <v>35</v>
      </c>
      <c r="Z3" s="18" t="s">
        <v>36</v>
      </c>
      <c r="AA3" s="18" t="s">
        <v>37</v>
      </c>
      <c r="AB3" s="19" t="s">
        <v>38</v>
      </c>
      <c r="AC3" s="18" t="s">
        <v>39</v>
      </c>
      <c r="AD3" s="18" t="s">
        <v>40</v>
      </c>
      <c r="AE3" s="18" t="s">
        <v>41</v>
      </c>
      <c r="AF3" s="18" t="s">
        <v>42</v>
      </c>
      <c r="AG3" s="18" t="s">
        <v>43</v>
      </c>
      <c r="AH3" s="18" t="s">
        <v>44</v>
      </c>
      <c r="AI3" s="18" t="s">
        <v>45</v>
      </c>
      <c r="AJ3" s="20" t="s">
        <v>46</v>
      </c>
      <c r="AK3" s="11" t="s">
        <v>47</v>
      </c>
      <c r="AL3" s="11" t="s">
        <v>48</v>
      </c>
      <c r="AM3" s="11" t="s">
        <v>49</v>
      </c>
      <c r="AN3" s="11" t="s">
        <v>50</v>
      </c>
      <c r="AO3" s="21" t="s">
        <v>51</v>
      </c>
      <c r="AP3" s="11" t="s">
        <v>52</v>
      </c>
      <c r="AQ3" s="11" t="s">
        <v>53</v>
      </c>
      <c r="AR3" s="21" t="s">
        <v>54</v>
      </c>
      <c r="AS3" s="11" t="s">
        <v>55</v>
      </c>
      <c r="AT3" s="11" t="s">
        <v>56</v>
      </c>
      <c r="AU3" s="11" t="s">
        <v>57</v>
      </c>
      <c r="AV3" s="22"/>
      <c r="AW3" s="23"/>
      <c r="AX3" s="24" t="s">
        <v>58</v>
      </c>
    </row>
    <row hidden="true" r="4">
      <c r="A4" s="25">
        <v>46296</v>
      </c>
      <c r="B4" s="26" t="s">
        <v>59</v>
      </c>
      <c r="C4" s="27" t="s">
        <v>60</v>
      </c>
      <c r="D4" s="26" t="s">
        <v>61</v>
      </c>
      <c r="E4" s="28" t="s">
        <v>62</v>
      </c>
      <c r="F4" s="29">
        <f t="shared" ref="F4:F7" si="28">G4+H4+I4</f>
      </c>
      <c r="G4" s="30">
        <v>2285.96</v>
      </c>
      <c r="H4" s="30">
        <v>1842.56</v>
      </c>
      <c r="I4" s="31">
        <v>0</v>
      </c>
      <c r="J4" s="31">
        <v>2</v>
      </c>
      <c r="K4" s="32">
        <v>3225.25</v>
      </c>
      <c r="L4" s="31">
        <v>6</v>
      </c>
      <c r="M4" s="31">
        <v>17947.06</v>
      </c>
      <c r="N4" s="33">
        <v>0</v>
      </c>
      <c r="O4" s="34">
        <f t="shared" ref="O4:O348" si="24">N4/R4</f>
      </c>
      <c r="P4" s="33">
        <v>1</v>
      </c>
      <c r="Q4" s="34">
        <f t="shared" ref="Q4:Q348" si="0">P4/R4</f>
      </c>
      <c r="R4" s="35">
        <f t="shared" ref="R4:R7" si="104">J4+L4</f>
      </c>
      <c r="S4" s="36">
        <f t="shared" ref="S4:S7" si="176">K4+M4</f>
      </c>
      <c r="T4" s="29">
        <f t="shared" ref="T4:T348" si="12">S4/F4</f>
      </c>
      <c r="U4" s="29">
        <f t="shared" ref="U4:U348" si="8">S4/(F4+(AX4*500)+F4*3%)</f>
      </c>
      <c r="V4" s="37">
        <f t="shared" ref="V4:V348" si="20">S4/R4</f>
      </c>
      <c r="W4" s="33">
        <v>6</v>
      </c>
      <c r="X4" s="37">
        <f t="shared" ref="X4:X348" si="16">F4/W4</f>
      </c>
      <c r="Y4" s="37">
        <f t="shared" ref="Y4:Y348" si="248">F4/R4</f>
      </c>
      <c r="Z4" s="29">
        <f t="shared" ref="Z4:Z348" si="100">F4/AL4</f>
      </c>
      <c r="AA4" s="29">
        <f t="shared" ref="AA4:AA348" si="2">F4/AK4*1000</f>
      </c>
      <c r="AB4" s="29">
        <f t="shared" ref="AB4:AB348" si="4">F4/AN4</f>
      </c>
      <c r="AC4" s="34">
        <f t="shared" ref="AC4:AC348" si="14">AL4/AK4</f>
      </c>
      <c r="AD4" s="34">
        <f t="shared" ref="AD4:AD348" si="10">AN4/AM4</f>
      </c>
      <c r="AE4" s="34">
        <f t="shared" ref="AE4:AE348" si="22">AP4/AM4</f>
      </c>
      <c r="AF4" s="34">
        <f t="shared" ref="AF4:AF348" si="18">R4/AO4</f>
      </c>
      <c r="AG4" s="34">
        <f t="shared" ref="AG4:AG348" si="102">AR4/AN4</f>
      </c>
      <c r="AH4" s="34">
        <f t="shared" ref="AH4:AH348" si="26">R4/AR4</f>
      </c>
      <c r="AI4" s="34">
        <f t="shared" ref="AI4:AI348" si="6">AQ4/AM4</f>
      </c>
      <c r="AJ4" s="33">
        <v>57</v>
      </c>
      <c r="AK4" s="38">
        <v>20283</v>
      </c>
      <c r="AL4" s="38">
        <v>586</v>
      </c>
      <c r="AM4" s="38">
        <v>781</v>
      </c>
      <c r="AN4" s="38">
        <v>123</v>
      </c>
      <c r="AO4" s="26">
        <v>44</v>
      </c>
      <c r="AP4" s="26">
        <v>109</v>
      </c>
      <c r="AQ4" s="27">
        <v>121</v>
      </c>
      <c r="AR4" s="26">
        <v>9</v>
      </c>
      <c r="AS4" s="26">
        <v>8</v>
      </c>
      <c r="AT4" s="33">
        <v>2</v>
      </c>
      <c r="AU4" s="33">
        <v>7</v>
      </c>
      <c r="AV4" s="39"/>
      <c r="AW4" s="40"/>
      <c r="AX4" s="41">
        <f t="shared" ref="AX4:AX7" si="250">COUNT(AU4)</f>
      </c>
    </row>
    <row hidden="true" r="5">
      <c r="A5" s="25"/>
      <c r="B5" s="26" t="s">
        <v>59</v>
      </c>
      <c r="C5" s="27" t="s">
        <v>60</v>
      </c>
      <c r="D5" s="26" t="s">
        <v>61</v>
      </c>
      <c r="E5" s="28" t="s">
        <v>63</v>
      </c>
      <c r="F5" s="29">
        <f t="shared" si="28"/>
      </c>
      <c r="G5" s="30">
        <v>1581.74</v>
      </c>
      <c r="H5" s="30">
        <v>983.4</v>
      </c>
      <c r="I5" s="31">
        <v>0</v>
      </c>
      <c r="J5" s="31">
        <v>2</v>
      </c>
      <c r="K5" s="31">
        <v>3994.2800000000007</v>
      </c>
      <c r="L5" s="31">
        <v>2</v>
      </c>
      <c r="M5" s="31">
        <v>4488.59</v>
      </c>
      <c r="N5" s="33">
        <v>2</v>
      </c>
      <c r="O5" s="34">
        <f t="shared" si="24"/>
      </c>
      <c r="P5" s="33">
        <v>1</v>
      </c>
      <c r="Q5" s="34">
        <f t="shared" si="0"/>
      </c>
      <c r="R5" s="35">
        <f t="shared" si="104"/>
      </c>
      <c r="S5" s="36">
        <f t="shared" si="176"/>
      </c>
      <c r="T5" s="29">
        <f t="shared" si="12"/>
      </c>
      <c r="U5" s="29">
        <f t="shared" si="8"/>
      </c>
      <c r="V5" s="37">
        <f t="shared" si="20"/>
      </c>
      <c r="W5" s="33">
        <v>3</v>
      </c>
      <c r="X5" s="37">
        <f t="shared" si="16"/>
      </c>
      <c r="Y5" s="37">
        <f t="shared" si="248"/>
      </c>
      <c r="Z5" s="29">
        <f t="shared" si="100"/>
      </c>
      <c r="AA5" s="29">
        <f t="shared" si="2"/>
      </c>
      <c r="AB5" s="29">
        <f t="shared" si="4"/>
      </c>
      <c r="AC5" s="34">
        <f t="shared" si="14"/>
      </c>
      <c r="AD5" s="34">
        <f t="shared" si="10"/>
      </c>
      <c r="AE5" s="34">
        <f t="shared" si="22"/>
      </c>
      <c r="AF5" s="34">
        <f t="shared" si="18"/>
      </c>
      <c r="AG5" s="34">
        <f t="shared" si="102"/>
      </c>
      <c r="AH5" s="34">
        <f t="shared" si="26"/>
      </c>
      <c r="AI5" s="34">
        <f t="shared" si="6"/>
      </c>
      <c r="AJ5" s="33">
        <v>59</v>
      </c>
      <c r="AK5" s="38">
        <v>12125</v>
      </c>
      <c r="AL5" s="38">
        <v>378</v>
      </c>
      <c r="AM5" s="38">
        <v>501</v>
      </c>
      <c r="AN5" s="38">
        <v>67</v>
      </c>
      <c r="AO5" s="26">
        <v>19</v>
      </c>
      <c r="AP5" s="38">
        <v>73</v>
      </c>
      <c r="AQ5" s="27">
        <v>82</v>
      </c>
      <c r="AR5" s="26">
        <v>7</v>
      </c>
      <c r="AS5" s="33">
        <v>5</v>
      </c>
      <c r="AT5" s="33">
        <v>2</v>
      </c>
      <c r="AU5" s="33">
        <v>1</v>
      </c>
      <c r="AV5" s="39"/>
      <c r="AW5" s="40"/>
      <c r="AX5" s="41">
        <f t="shared" si="250"/>
      </c>
    </row>
    <row hidden="true" r="6">
      <c r="A6" s="25"/>
      <c r="B6" s="26" t="s">
        <v>59</v>
      </c>
      <c r="C6" s="27" t="s">
        <v>60</v>
      </c>
      <c r="D6" s="26" t="s">
        <v>61</v>
      </c>
      <c r="E6" s="28" t="s">
        <v>64</v>
      </c>
      <c r="F6" s="29">
        <f t="shared" si="28"/>
      </c>
      <c r="G6" s="30">
        <v>1698.58</v>
      </c>
      <c r="H6" s="30">
        <v>1390.49</v>
      </c>
      <c r="I6" s="31">
        <v>0</v>
      </c>
      <c r="J6" s="31">
        <v>1</v>
      </c>
      <c r="K6" s="31">
        <v>3174.16</v>
      </c>
      <c r="L6" s="31">
        <v>2</v>
      </c>
      <c r="M6" s="31">
        <v>5140.060000000001</v>
      </c>
      <c r="N6" s="33">
        <v>1</v>
      </c>
      <c r="O6" s="34">
        <f t="shared" si="24"/>
      </c>
      <c r="P6" s="33">
        <v>3</v>
      </c>
      <c r="Q6" s="34">
        <f t="shared" si="0"/>
      </c>
      <c r="R6" s="35">
        <f t="shared" si="104"/>
      </c>
      <c r="S6" s="36">
        <f t="shared" si="176"/>
      </c>
      <c r="T6" s="29">
        <f t="shared" si="12"/>
      </c>
      <c r="U6" s="29">
        <f t="shared" si="8"/>
      </c>
      <c r="V6" s="37">
        <f t="shared" si="20"/>
      </c>
      <c r="W6" s="33">
        <v>3</v>
      </c>
      <c r="X6" s="37">
        <f t="shared" si="16"/>
      </c>
      <c r="Y6" s="37">
        <f t="shared" si="248"/>
      </c>
      <c r="Z6" s="29">
        <f t="shared" si="100"/>
      </c>
      <c r="AA6" s="29">
        <f t="shared" si="2"/>
      </c>
      <c r="AB6" s="29">
        <f t="shared" si="4"/>
      </c>
      <c r="AC6" s="34">
        <f t="shared" si="14"/>
      </c>
      <c r="AD6" s="34">
        <f t="shared" si="10"/>
      </c>
      <c r="AE6" s="34">
        <f t="shared" si="22"/>
      </c>
      <c r="AF6" s="34">
        <f t="shared" si="18"/>
      </c>
      <c r="AG6" s="34">
        <f t="shared" si="102"/>
      </c>
      <c r="AH6" s="34">
        <f t="shared" si="26"/>
      </c>
      <c r="AI6" s="34">
        <f t="shared" si="6"/>
      </c>
      <c r="AJ6" s="33">
        <v>64</v>
      </c>
      <c r="AK6" s="38">
        <v>14284</v>
      </c>
      <c r="AL6" s="38">
        <v>405</v>
      </c>
      <c r="AM6" s="38">
        <v>548</v>
      </c>
      <c r="AN6" s="38">
        <v>71</v>
      </c>
      <c r="AO6" s="26">
        <v>21</v>
      </c>
      <c r="AP6" s="38">
        <v>82</v>
      </c>
      <c r="AQ6" s="27">
        <v>82</v>
      </c>
      <c r="AR6" s="26">
        <v>3</v>
      </c>
      <c r="AS6" s="33">
        <v>6</v>
      </c>
      <c r="AT6" s="33">
        <v>0</v>
      </c>
      <c r="AU6" s="33">
        <v>8</v>
      </c>
      <c r="AV6" s="39"/>
      <c r="AW6" s="40"/>
      <c r="AX6" s="41">
        <f t="shared" si="250"/>
      </c>
    </row>
    <row hidden="true" r="7">
      <c r="A7" s="25"/>
      <c r="B7" s="26" t="s">
        <v>59</v>
      </c>
      <c r="C7" s="27" t="s">
        <v>60</v>
      </c>
      <c r="D7" s="26" t="s">
        <v>61</v>
      </c>
      <c r="E7" s="26" t="s">
        <v>65</v>
      </c>
      <c r="F7" s="29">
        <f t="shared" si="28"/>
      </c>
      <c r="G7" s="30">
        <v>1821.73</v>
      </c>
      <c r="H7" s="30">
        <v>1291.92</v>
      </c>
      <c r="I7" s="31">
        <v>0</v>
      </c>
      <c r="J7" s="31">
        <v>0</v>
      </c>
      <c r="K7" s="31">
        <v>0</v>
      </c>
      <c r="L7" s="31">
        <v>4</v>
      </c>
      <c r="M7" s="31">
        <v>15013.119999999999</v>
      </c>
      <c r="N7" s="33">
        <v>0</v>
      </c>
      <c r="O7" s="34">
        <f t="shared" si="24"/>
      </c>
      <c r="P7" s="33">
        <v>2</v>
      </c>
      <c r="Q7" s="34">
        <f t="shared" si="0"/>
      </c>
      <c r="R7" s="35">
        <f t="shared" si="104"/>
      </c>
      <c r="S7" s="36">
        <f t="shared" si="176"/>
      </c>
      <c r="T7" s="29">
        <f t="shared" si="12"/>
      </c>
      <c r="U7" s="29">
        <f t="shared" si="8"/>
      </c>
      <c r="V7" s="37">
        <f t="shared" si="20"/>
      </c>
      <c r="W7" s="33">
        <v>3</v>
      </c>
      <c r="X7" s="37">
        <f t="shared" si="16"/>
      </c>
      <c r="Y7" s="37">
        <f t="shared" si="248"/>
      </c>
      <c r="Z7" s="29">
        <f t="shared" si="100"/>
      </c>
      <c r="AA7" s="29">
        <f t="shared" si="2"/>
      </c>
      <c r="AB7" s="29">
        <f t="shared" si="4"/>
      </c>
      <c r="AC7" s="34">
        <f t="shared" si="14"/>
      </c>
      <c r="AD7" s="34">
        <f t="shared" si="10"/>
      </c>
      <c r="AE7" s="34">
        <f t="shared" si="22"/>
      </c>
      <c r="AF7" s="34">
        <f t="shared" si="18"/>
      </c>
      <c r="AG7" s="34">
        <f t="shared" si="102"/>
      </c>
      <c r="AH7" s="34">
        <f t="shared" si="26"/>
      </c>
      <c r="AI7" s="34">
        <f t="shared" si="6"/>
      </c>
      <c r="AJ7" s="33">
        <v>64</v>
      </c>
      <c r="AK7" s="38">
        <v>14739</v>
      </c>
      <c r="AL7" s="38">
        <v>477</v>
      </c>
      <c r="AM7" s="38">
        <v>639</v>
      </c>
      <c r="AN7" s="38">
        <v>78</v>
      </c>
      <c r="AO7" s="26">
        <v>25</v>
      </c>
      <c r="AP7" s="33">
        <v>89</v>
      </c>
      <c r="AQ7" s="26">
        <v>96</v>
      </c>
      <c r="AR7" s="26">
        <v>7</v>
      </c>
      <c r="AS7" s="33">
        <v>7</v>
      </c>
      <c r="AT7" s="33">
        <v>2</v>
      </c>
      <c r="AU7" s="33">
        <v>5</v>
      </c>
      <c r="AV7" s="39"/>
      <c r="AW7" s="40"/>
      <c r="AX7" s="41">
        <f t="shared" si="250"/>
      </c>
    </row>
    <row hidden="true" r="8">
      <c r="A8" s="25"/>
      <c r="B8" s="42" t="s">
        <v>66</v>
      </c>
      <c r="C8" s="42"/>
      <c r="D8" s="42"/>
      <c r="E8" s="42"/>
      <c r="F8" s="43">
        <f>SUM(F4:F7)</f>
      </c>
      <c r="G8" s="43">
        <f>SUM(G4:G7)</f>
      </c>
      <c r="H8" s="43">
        <f>SUM(H4:H7)</f>
      </c>
      <c r="I8" s="43">
        <f>SUM(I4:I7)</f>
      </c>
      <c r="J8" s="43">
        <f>SUM(J4:J7)</f>
      </c>
      <c r="K8" s="43">
        <f>SUM(K4:K7)</f>
      </c>
      <c r="L8" s="43">
        <f>SUM(L4:L7)</f>
      </c>
      <c r="M8" s="43">
        <f>SUM(M4:M7)</f>
      </c>
      <c r="N8" s="43">
        <f>SUM(N4:N7)</f>
      </c>
      <c r="O8" s="44">
        <f t="shared" si="24"/>
      </c>
      <c r="P8" s="43">
        <f>SUM(P4:P7)</f>
      </c>
      <c r="Q8" s="44">
        <f t="shared" si="0"/>
      </c>
      <c r="R8" s="45">
        <f>SUM(R4:R7)</f>
      </c>
      <c r="S8" s="43">
        <f>SUM(S4:S7)</f>
      </c>
      <c r="T8" s="43">
        <f t="shared" si="12"/>
      </c>
      <c r="U8" s="43">
        <f t="shared" si="8"/>
      </c>
      <c r="V8" s="43">
        <f t="shared" si="20"/>
      </c>
      <c r="W8" s="43">
        <f>SUM(W4:W7)</f>
      </c>
      <c r="X8" s="46">
        <f t="shared" si="16"/>
      </c>
      <c r="Y8" s="46">
        <f t="shared" si="248"/>
      </c>
      <c r="Z8" s="43">
        <f t="shared" si="100"/>
      </c>
      <c r="AA8" s="43">
        <f t="shared" si="2"/>
      </c>
      <c r="AB8" s="47">
        <f t="shared" si="4"/>
      </c>
      <c r="AC8" s="44">
        <f t="shared" si="14"/>
      </c>
      <c r="AD8" s="44">
        <f t="shared" si="10"/>
      </c>
      <c r="AE8" s="44">
        <f t="shared" si="22"/>
      </c>
      <c r="AF8" s="44">
        <f t="shared" si="18"/>
      </c>
      <c r="AG8" s="44">
        <f t="shared" si="102"/>
      </c>
      <c r="AH8" s="44">
        <f t="shared" si="26"/>
      </c>
      <c r="AI8" s="44">
        <f t="shared" si="6"/>
      </c>
      <c r="AJ8" s="45">
        <f>AVERAGE(AJ4:AJ7)</f>
      </c>
      <c r="AK8" s="43">
        <f>SUM(AK4:AK7)</f>
      </c>
      <c r="AL8" s="43">
        <f>SUM(AL4:AL7)</f>
      </c>
      <c r="AM8" s="43">
        <f>SUM(AM4:AM7)</f>
      </c>
      <c r="AN8" s="43">
        <f>SUM(AN4:AN7)</f>
      </c>
      <c r="AO8" s="43">
        <f>SUM(AO4:AO7)</f>
      </c>
      <c r="AP8" s="43">
        <f>SUM(AP4:AP7)</f>
      </c>
      <c r="AQ8" s="43">
        <f>SUM(AQ4:AQ7)</f>
      </c>
      <c r="AR8" s="43">
        <f>SUM(AR4:AR7)</f>
      </c>
      <c r="AS8" s="43">
        <f>SUM(AS4:AS7)</f>
      </c>
      <c r="AT8" s="43">
        <f>SUM(AT4:AT7)</f>
      </c>
      <c r="AU8" s="43">
        <f>SUM(AU4:AU7)</f>
      </c>
      <c r="AV8" s="39"/>
      <c r="AW8" s="48"/>
      <c r="AX8" s="49">
        <f>SUM(AX4:AX7)</f>
      </c>
    </row>
    <row hidden="true" r="9">
      <c r="A9" s="25"/>
      <c r="B9" s="26" t="s">
        <v>59</v>
      </c>
      <c r="C9" s="27" t="s">
        <v>60</v>
      </c>
      <c r="D9" s="26" t="s">
        <v>67</v>
      </c>
      <c r="E9" s="27" t="s">
        <v>68</v>
      </c>
      <c r="F9" s="29">
        <f t="shared" ref="F9:F12" si="29">G9+H9+I9</f>
      </c>
      <c r="G9" s="30">
        <v>2494.48</v>
      </c>
      <c r="H9" s="30">
        <v>1054.25</v>
      </c>
      <c r="I9" s="31">
        <v>0</v>
      </c>
      <c r="J9" s="31">
        <v>0</v>
      </c>
      <c r="K9" s="31">
        <v>0</v>
      </c>
      <c r="L9" s="31">
        <v>1</v>
      </c>
      <c r="M9" s="31">
        <v>2983.6800000000003</v>
      </c>
      <c r="N9" s="33">
        <v>0</v>
      </c>
      <c r="O9" s="34">
        <f t="shared" si="24"/>
      </c>
      <c r="P9" s="33">
        <v>1</v>
      </c>
      <c r="Q9" s="34">
        <f t="shared" si="0"/>
      </c>
      <c r="R9" s="35">
        <f t="shared" ref="R9:R12" si="105">J9+L9</f>
      </c>
      <c r="S9" s="36">
        <f t="shared" ref="S9:S12" si="177">K9+M9</f>
      </c>
      <c r="T9" s="29">
        <f t="shared" si="12"/>
      </c>
      <c r="U9" s="29">
        <f t="shared" si="8"/>
      </c>
      <c r="V9" s="37">
        <f t="shared" si="20"/>
      </c>
      <c r="W9" s="33">
        <v>0</v>
      </c>
      <c r="X9" s="37">
        <f t="shared" si="16"/>
      </c>
      <c r="Y9" s="37">
        <f t="shared" si="248"/>
      </c>
      <c r="Z9" s="29">
        <f t="shared" si="100"/>
      </c>
      <c r="AA9" s="29">
        <f t="shared" si="2"/>
      </c>
      <c r="AB9" s="29">
        <f t="shared" si="4"/>
      </c>
      <c r="AC9" s="34">
        <f t="shared" si="14"/>
      </c>
      <c r="AD9" s="34">
        <f t="shared" si="10"/>
      </c>
      <c r="AE9" s="34">
        <f t="shared" si="22"/>
      </c>
      <c r="AF9" s="34">
        <f t="shared" si="18"/>
      </c>
      <c r="AG9" s="34">
        <f t="shared" si="102"/>
      </c>
      <c r="AH9" s="34">
        <f t="shared" si="26"/>
      </c>
      <c r="AI9" s="34">
        <f t="shared" si="6"/>
      </c>
      <c r="AJ9" s="33">
        <v>58</v>
      </c>
      <c r="AK9" s="38">
        <v>17260</v>
      </c>
      <c r="AL9" s="38">
        <v>753</v>
      </c>
      <c r="AM9" s="38">
        <v>1021</v>
      </c>
      <c r="AN9" s="38">
        <v>86</v>
      </c>
      <c r="AO9" s="26">
        <v>33</v>
      </c>
      <c r="AP9" s="38">
        <v>126</v>
      </c>
      <c r="AQ9" s="27">
        <v>105</v>
      </c>
      <c r="AR9" s="26">
        <v>1</v>
      </c>
      <c r="AS9" s="26">
        <v>9</v>
      </c>
      <c r="AT9" s="33">
        <v>0</v>
      </c>
      <c r="AU9" s="33">
        <v>0</v>
      </c>
      <c r="AV9" s="39"/>
      <c r="AW9" s="40"/>
      <c r="AX9" s="41">
        <f t="shared" ref="AX9:AX12" si="251">COUNT(AU9)</f>
      </c>
    </row>
    <row hidden="true" r="10">
      <c r="A10" s="25"/>
      <c r="B10" s="26" t="s">
        <v>59</v>
      </c>
      <c r="C10" s="27" t="s">
        <v>60</v>
      </c>
      <c r="D10" s="26" t="s">
        <v>67</v>
      </c>
      <c r="E10" s="27" t="s">
        <v>69</v>
      </c>
      <c r="F10" s="29">
        <f t="shared" si="29"/>
      </c>
      <c r="G10" s="30">
        <v>1355.18</v>
      </c>
      <c r="H10" s="30">
        <v>1683.45</v>
      </c>
      <c r="I10" s="31">
        <v>0</v>
      </c>
      <c r="J10" s="31">
        <v>1</v>
      </c>
      <c r="K10" s="31">
        <v>1553.25</v>
      </c>
      <c r="L10" s="31">
        <v>2</v>
      </c>
      <c r="M10" s="31">
        <v>8500.299999999996</v>
      </c>
      <c r="N10" s="33">
        <v>1</v>
      </c>
      <c r="O10" s="34">
        <f t="shared" si="24"/>
      </c>
      <c r="P10" s="33">
        <v>1</v>
      </c>
      <c r="Q10" s="34">
        <f t="shared" si="0"/>
      </c>
      <c r="R10" s="35">
        <f t="shared" si="105"/>
      </c>
      <c r="S10" s="36">
        <f t="shared" si="177"/>
      </c>
      <c r="T10" s="29">
        <f t="shared" si="12"/>
      </c>
      <c r="U10" s="29">
        <f t="shared" si="8"/>
      </c>
      <c r="V10" s="37">
        <f t="shared" si="20"/>
      </c>
      <c r="W10" s="33">
        <v>2</v>
      </c>
      <c r="X10" s="37">
        <f t="shared" si="16"/>
      </c>
      <c r="Y10" s="37">
        <f t="shared" si="248"/>
      </c>
      <c r="Z10" s="29">
        <f t="shared" si="100"/>
      </c>
      <c r="AA10" s="29">
        <f t="shared" si="2"/>
      </c>
      <c r="AB10" s="29">
        <f t="shared" si="4"/>
      </c>
      <c r="AC10" s="34">
        <f t="shared" si="14"/>
      </c>
      <c r="AD10" s="34">
        <f t="shared" si="10"/>
      </c>
      <c r="AE10" s="34">
        <f t="shared" si="22"/>
      </c>
      <c r="AF10" s="34">
        <f t="shared" si="18"/>
      </c>
      <c r="AG10" s="34">
        <f t="shared" si="102"/>
      </c>
      <c r="AH10" s="34">
        <f t="shared" si="26"/>
      </c>
      <c r="AI10" s="34">
        <f t="shared" si="6"/>
      </c>
      <c r="AJ10" s="33">
        <v>59</v>
      </c>
      <c r="AK10" s="38">
        <v>12038</v>
      </c>
      <c r="AL10" s="38">
        <v>490</v>
      </c>
      <c r="AM10" s="38">
        <v>664</v>
      </c>
      <c r="AN10" s="38">
        <v>76</v>
      </c>
      <c r="AO10" s="26">
        <v>19</v>
      </c>
      <c r="AP10" s="38">
        <v>101</v>
      </c>
      <c r="AQ10" s="27">
        <v>78</v>
      </c>
      <c r="AR10" s="26">
        <v>4</v>
      </c>
      <c r="AS10" s="26">
        <v>5</v>
      </c>
      <c r="AT10" s="33">
        <v>0</v>
      </c>
      <c r="AU10" s="33">
        <v>2</v>
      </c>
      <c r="AV10" s="39"/>
      <c r="AW10" s="40"/>
      <c r="AX10" s="41">
        <f t="shared" si="251"/>
      </c>
    </row>
    <row hidden="true" r="11">
      <c r="A11" s="25"/>
      <c r="B11" s="26" t="s">
        <v>59</v>
      </c>
      <c r="C11" s="27" t="s">
        <v>60</v>
      </c>
      <c r="D11" s="26" t="s">
        <v>67</v>
      </c>
      <c r="E11" s="27" t="s">
        <v>70</v>
      </c>
      <c r="F11" s="29">
        <f t="shared" si="29"/>
      </c>
      <c r="G11" s="30">
        <v>1638.73</v>
      </c>
      <c r="H11" s="30">
        <v>580.23</v>
      </c>
      <c r="I11" s="31">
        <v>0</v>
      </c>
      <c r="J11" s="31">
        <v>0</v>
      </c>
      <c r="K11" s="31">
        <v>0</v>
      </c>
      <c r="L11" s="31">
        <v>2</v>
      </c>
      <c r="M11" s="31">
        <v>3744</v>
      </c>
      <c r="N11" s="33">
        <v>0</v>
      </c>
      <c r="O11" s="34">
        <f t="shared" si="24"/>
      </c>
      <c r="P11" s="33">
        <v>0</v>
      </c>
      <c r="Q11" s="34">
        <f t="shared" si="0"/>
      </c>
      <c r="R11" s="35">
        <f t="shared" si="105"/>
      </c>
      <c r="S11" s="36">
        <f t="shared" si="177"/>
      </c>
      <c r="T11" s="29">
        <f t="shared" si="12"/>
      </c>
      <c r="U11" s="29">
        <f t="shared" si="8"/>
      </c>
      <c r="V11" s="37">
        <f t="shared" si="20"/>
      </c>
      <c r="W11" s="33">
        <v>2</v>
      </c>
      <c r="X11" s="37">
        <f t="shared" si="16"/>
      </c>
      <c r="Y11" s="37">
        <f t="shared" si="248"/>
      </c>
      <c r="Z11" s="29">
        <f t="shared" si="100"/>
      </c>
      <c r="AA11" s="29">
        <f t="shared" si="2"/>
      </c>
      <c r="AB11" s="29">
        <f t="shared" si="4"/>
      </c>
      <c r="AC11" s="34">
        <f t="shared" si="14"/>
      </c>
      <c r="AD11" s="34">
        <f t="shared" si="10"/>
      </c>
      <c r="AE11" s="34">
        <f t="shared" si="22"/>
      </c>
      <c r="AF11" s="34">
        <f t="shared" si="18"/>
      </c>
      <c r="AG11" s="34">
        <f t="shared" si="102"/>
      </c>
      <c r="AH11" s="34">
        <f t="shared" si="26"/>
      </c>
      <c r="AI11" s="34">
        <f t="shared" si="6"/>
      </c>
      <c r="AJ11" s="33">
        <v>60</v>
      </c>
      <c r="AK11" s="38">
        <v>9620</v>
      </c>
      <c r="AL11" s="38">
        <v>441</v>
      </c>
      <c r="AM11" s="38">
        <v>564</v>
      </c>
      <c r="AN11" s="38">
        <v>54</v>
      </c>
      <c r="AO11" s="26">
        <v>23</v>
      </c>
      <c r="AP11" s="38">
        <v>117</v>
      </c>
      <c r="AQ11" s="27">
        <v>68</v>
      </c>
      <c r="AR11" s="26">
        <v>2</v>
      </c>
      <c r="AS11" s="33">
        <v>6</v>
      </c>
      <c r="AT11" s="33">
        <v>0</v>
      </c>
      <c r="AU11" s="33">
        <v>0</v>
      </c>
      <c r="AV11" s="39"/>
      <c r="AW11" s="40"/>
      <c r="AX11" s="41">
        <f t="shared" si="251"/>
      </c>
    </row>
    <row hidden="true" r="12">
      <c r="A12" s="25"/>
      <c r="B12" s="26" t="s">
        <v>71</v>
      </c>
      <c r="C12" s="26" t="s">
        <v>72</v>
      </c>
      <c r="D12" s="26" t="s">
        <v>67</v>
      </c>
      <c r="E12" s="27" t="s">
        <v>73</v>
      </c>
      <c r="F12" s="29">
        <f t="shared" si="29"/>
      </c>
      <c r="G12" s="30">
        <v>2437.69</v>
      </c>
      <c r="H12" s="30">
        <v>513.86</v>
      </c>
      <c r="I12" s="31">
        <v>0</v>
      </c>
      <c r="J12" s="31">
        <v>1</v>
      </c>
      <c r="K12" s="31">
        <v>949.9099999999999</v>
      </c>
      <c r="L12" s="31">
        <v>3</v>
      </c>
      <c r="M12" s="31">
        <v>8426.430000000008</v>
      </c>
      <c r="N12" s="33">
        <v>2</v>
      </c>
      <c r="O12" s="34">
        <f t="shared" si="24"/>
      </c>
      <c r="P12" s="33">
        <v>1</v>
      </c>
      <c r="Q12" s="34">
        <f t="shared" si="0"/>
      </c>
      <c r="R12" s="35">
        <f t="shared" si="105"/>
      </c>
      <c r="S12" s="36">
        <f t="shared" si="177"/>
      </c>
      <c r="T12" s="29">
        <f t="shared" si="12"/>
      </c>
      <c r="U12" s="29">
        <f t="shared" si="8"/>
      </c>
      <c r="V12" s="37">
        <f t="shared" si="20"/>
      </c>
      <c r="W12" s="33">
        <v>2</v>
      </c>
      <c r="X12" s="37">
        <f t="shared" si="16"/>
      </c>
      <c r="Y12" s="37">
        <f t="shared" si="248"/>
      </c>
      <c r="Z12" s="29">
        <f t="shared" si="100"/>
      </c>
      <c r="AA12" s="29">
        <f t="shared" si="2"/>
      </c>
      <c r="AB12" s="29">
        <f t="shared" si="4"/>
      </c>
      <c r="AC12" s="34">
        <f t="shared" si="14"/>
      </c>
      <c r="AD12" s="34">
        <f t="shared" si="10"/>
      </c>
      <c r="AE12" s="34">
        <f t="shared" si="22"/>
      </c>
      <c r="AF12" s="34">
        <f t="shared" si="18"/>
      </c>
      <c r="AG12" s="34">
        <f t="shared" si="102"/>
      </c>
      <c r="AH12" s="34">
        <f t="shared" si="26"/>
      </c>
      <c r="AI12" s="34">
        <f t="shared" si="6"/>
      </c>
      <c r="AJ12" s="33">
        <v>60</v>
      </c>
      <c r="AK12" s="38">
        <v>12587</v>
      </c>
      <c r="AL12" s="38">
        <v>549</v>
      </c>
      <c r="AM12" s="38">
        <v>709</v>
      </c>
      <c r="AN12" s="38">
        <v>78</v>
      </c>
      <c r="AO12" s="26">
        <v>21</v>
      </c>
      <c r="AP12" s="33">
        <v>79</v>
      </c>
      <c r="AQ12" s="26">
        <v>75</v>
      </c>
      <c r="AR12" s="26">
        <v>5</v>
      </c>
      <c r="AS12" s="33">
        <v>2</v>
      </c>
      <c r="AT12" s="33">
        <v>1</v>
      </c>
      <c r="AU12" s="33">
        <v>4</v>
      </c>
      <c r="AV12" s="39"/>
      <c r="AW12" s="40"/>
      <c r="AX12" s="41">
        <f t="shared" si="251"/>
      </c>
    </row>
    <row hidden="true" r="13">
      <c r="A13" s="25"/>
      <c r="B13" s="42" t="s">
        <v>66</v>
      </c>
      <c r="C13" s="42"/>
      <c r="D13" s="42"/>
      <c r="E13" s="42"/>
      <c r="F13" s="43">
        <f>SUM(F9:F12)</f>
      </c>
      <c r="G13" s="43">
        <f>SUM(G9:G12)</f>
      </c>
      <c r="H13" s="43">
        <f>SUM(H9:H12)</f>
      </c>
      <c r="I13" s="43">
        <f>SUM(I9:I12)</f>
      </c>
      <c r="J13" s="43">
        <f>SUM(J9:J12)</f>
      </c>
      <c r="K13" s="43">
        <f>SUM(K9:K12)</f>
      </c>
      <c r="L13" s="43">
        <f>SUM(L9:L12)</f>
      </c>
      <c r="M13" s="43">
        <f>SUM(M9:M12)</f>
      </c>
      <c r="N13" s="43">
        <f>SUM(N9:N12)</f>
      </c>
      <c r="O13" s="44">
        <f t="shared" si="24"/>
      </c>
      <c r="P13" s="43">
        <f>SUM(P9:P12)</f>
      </c>
      <c r="Q13" s="44">
        <f t="shared" si="0"/>
      </c>
      <c r="R13" s="45">
        <f>SUM(R9:R12)</f>
      </c>
      <c r="S13" s="43">
        <f>SUM(S9:S12)</f>
      </c>
      <c r="T13" s="43">
        <f t="shared" si="12"/>
      </c>
      <c r="U13" s="43">
        <f t="shared" si="8"/>
      </c>
      <c r="V13" s="46">
        <f t="shared" si="20"/>
      </c>
      <c r="W13" s="43">
        <f>SUM(W9:W12)</f>
      </c>
      <c r="X13" s="46">
        <f t="shared" si="16"/>
      </c>
      <c r="Y13" s="46">
        <f t="shared" si="248"/>
      </c>
      <c r="Z13" s="43">
        <f t="shared" si="100"/>
      </c>
      <c r="AA13" s="43">
        <f t="shared" si="2"/>
      </c>
      <c r="AB13" s="47">
        <f t="shared" si="4"/>
      </c>
      <c r="AC13" s="44">
        <f t="shared" si="14"/>
      </c>
      <c r="AD13" s="44">
        <f t="shared" si="10"/>
      </c>
      <c r="AE13" s="44">
        <f t="shared" si="22"/>
      </c>
      <c r="AF13" s="50">
        <f t="shared" si="18"/>
      </c>
      <c r="AG13" s="44">
        <f t="shared" si="102"/>
      </c>
      <c r="AH13" s="44">
        <f t="shared" si="26"/>
      </c>
      <c r="AI13" s="44">
        <f t="shared" si="6"/>
      </c>
      <c r="AJ13" s="45">
        <f>AVERAGE(AJ9:AJ12)</f>
      </c>
      <c r="AK13" s="43">
        <f>SUM(AK9:AK12)</f>
      </c>
      <c r="AL13" s="43">
        <f>SUM(AL9:AL12)</f>
      </c>
      <c r="AM13" s="43">
        <f>SUM(AM9:AM12)</f>
      </c>
      <c r="AN13" s="43">
        <f>SUM(AN9:AN12)</f>
      </c>
      <c r="AO13" s="43">
        <f>SUM(AO9:AO12)</f>
      </c>
      <c r="AP13" s="43">
        <f>SUM(AP9:AP12)</f>
      </c>
      <c r="AQ13" s="43">
        <f>SUM(AQ9:AQ12)</f>
      </c>
      <c r="AR13" s="43">
        <f>SUM(AR9:AR12)</f>
      </c>
      <c r="AS13" s="43">
        <f>SUM(AS9:AS12)</f>
      </c>
      <c r="AT13" s="43">
        <f>SUM(AT9:AT12)</f>
      </c>
      <c r="AU13" s="43">
        <f>SUM(AU9:AU12)</f>
      </c>
      <c r="AV13" s="39"/>
      <c r="AW13" s="48"/>
      <c r="AX13" s="49">
        <f>SUM(AX9:AX12)</f>
      </c>
    </row>
    <row hidden="true" r="14">
      <c r="A14" s="25"/>
      <c r="B14" s="26" t="s">
        <v>71</v>
      </c>
      <c r="C14" s="26" t="s">
        <v>72</v>
      </c>
      <c r="D14" s="26" t="s">
        <v>74</v>
      </c>
      <c r="E14" s="27" t="s">
        <v>75</v>
      </c>
      <c r="F14" s="29">
        <f t="shared" ref="F14:F17" si="30">G14+H14+I14</f>
      </c>
      <c r="G14" s="30">
        <v>2205.57</v>
      </c>
      <c r="H14" s="30">
        <v>1116.09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3">
        <v>0</v>
      </c>
      <c r="O14" s="34">
        <f t="shared" si="24"/>
      </c>
      <c r="P14" s="33">
        <v>0</v>
      </c>
      <c r="Q14" s="34">
        <f t="shared" si="0"/>
      </c>
      <c r="R14" s="35">
        <f t="shared" ref="R14:R17" si="106">J14+L14</f>
      </c>
      <c r="S14" s="36">
        <f t="shared" ref="S14:S17" si="178">K14+M14</f>
      </c>
      <c r="T14" s="29">
        <f t="shared" si="12"/>
      </c>
      <c r="U14" s="29">
        <f t="shared" si="8"/>
      </c>
      <c r="V14" s="37">
        <f t="shared" si="20"/>
      </c>
      <c r="W14" s="33">
        <v>0</v>
      </c>
      <c r="X14" s="37">
        <f t="shared" si="16"/>
      </c>
      <c r="Y14" s="37">
        <f t="shared" si="248"/>
      </c>
      <c r="Z14" s="29">
        <f t="shared" si="100"/>
      </c>
      <c r="AA14" s="29">
        <f t="shared" si="2"/>
      </c>
      <c r="AB14" s="29">
        <f t="shared" si="4"/>
      </c>
      <c r="AC14" s="34">
        <f t="shared" si="14"/>
      </c>
      <c r="AD14" s="34">
        <f t="shared" si="10"/>
      </c>
      <c r="AE14" s="34">
        <f t="shared" si="22"/>
      </c>
      <c r="AF14" s="34">
        <f t="shared" si="18"/>
      </c>
      <c r="AG14" s="34">
        <f t="shared" si="102"/>
      </c>
      <c r="AH14" s="34">
        <f t="shared" si="26"/>
      </c>
      <c r="AI14" s="34">
        <f t="shared" si="6"/>
      </c>
      <c r="AJ14" s="33">
        <v>60</v>
      </c>
      <c r="AK14" s="38">
        <v>13503</v>
      </c>
      <c r="AL14" s="38">
        <v>459</v>
      </c>
      <c r="AM14" s="38">
        <v>640</v>
      </c>
      <c r="AN14" s="38">
        <v>68</v>
      </c>
      <c r="AO14" s="26">
        <v>18</v>
      </c>
      <c r="AP14" s="38">
        <v>68</v>
      </c>
      <c r="AQ14" s="27">
        <v>73</v>
      </c>
      <c r="AR14" s="26">
        <v>0</v>
      </c>
      <c r="AS14" s="26">
        <v>6</v>
      </c>
      <c r="AT14" s="33">
        <v>4</v>
      </c>
      <c r="AU14" s="33">
        <v>0</v>
      </c>
      <c r="AV14" s="39"/>
      <c r="AW14" s="40"/>
      <c r="AX14" s="41">
        <f t="shared" ref="AX14:AX17" si="252">COUNT(AU14)</f>
      </c>
    </row>
    <row hidden="true" r="15">
      <c r="A15" s="25"/>
      <c r="B15" s="26" t="s">
        <v>71</v>
      </c>
      <c r="C15" s="26" t="s">
        <v>72</v>
      </c>
      <c r="D15" s="26" t="s">
        <v>74</v>
      </c>
      <c r="E15" s="27" t="s">
        <v>76</v>
      </c>
      <c r="F15" s="29">
        <f t="shared" si="30"/>
      </c>
      <c r="G15" s="30">
        <v>1143.92</v>
      </c>
      <c r="H15" s="30">
        <v>654.75</v>
      </c>
      <c r="I15" s="31">
        <v>0</v>
      </c>
      <c r="J15" s="31">
        <v>1</v>
      </c>
      <c r="K15" s="31">
        <v>1099.5300000000007</v>
      </c>
      <c r="L15" s="31">
        <v>1</v>
      </c>
      <c r="M15" s="31">
        <v>1143</v>
      </c>
      <c r="N15" s="33">
        <v>1</v>
      </c>
      <c r="O15" s="34">
        <f t="shared" si="24"/>
      </c>
      <c r="P15" s="33">
        <v>0</v>
      </c>
      <c r="Q15" s="34">
        <f t="shared" si="0"/>
      </c>
      <c r="R15" s="35">
        <f t="shared" si="106"/>
      </c>
      <c r="S15" s="36">
        <f t="shared" si="178"/>
      </c>
      <c r="T15" s="29">
        <f t="shared" si="12"/>
      </c>
      <c r="U15" s="29">
        <f t="shared" si="8"/>
      </c>
      <c r="V15" s="37">
        <f t="shared" si="20"/>
      </c>
      <c r="W15" s="33">
        <v>1</v>
      </c>
      <c r="X15" s="37">
        <f t="shared" si="16"/>
      </c>
      <c r="Y15" s="37">
        <f t="shared" si="248"/>
      </c>
      <c r="Z15" s="29">
        <f t="shared" si="100"/>
      </c>
      <c r="AA15" s="29">
        <f t="shared" si="2"/>
      </c>
      <c r="AB15" s="29">
        <f t="shared" si="4"/>
      </c>
      <c r="AC15" s="34">
        <f t="shared" si="14"/>
      </c>
      <c r="AD15" s="34">
        <f t="shared" si="10"/>
      </c>
      <c r="AE15" s="34">
        <f t="shared" si="22"/>
      </c>
      <c r="AF15" s="34">
        <f t="shared" si="18"/>
      </c>
      <c r="AG15" s="34">
        <f t="shared" si="102"/>
      </c>
      <c r="AH15" s="34">
        <f t="shared" si="26"/>
      </c>
      <c r="AI15" s="34">
        <f t="shared" si="6"/>
      </c>
      <c r="AJ15" s="33">
        <v>60</v>
      </c>
      <c r="AK15" s="38">
        <v>9489</v>
      </c>
      <c r="AL15" s="38">
        <v>340</v>
      </c>
      <c r="AM15" s="38">
        <v>531</v>
      </c>
      <c r="AN15" s="38">
        <v>63</v>
      </c>
      <c r="AO15" s="26">
        <v>16</v>
      </c>
      <c r="AP15" s="38">
        <v>65</v>
      </c>
      <c r="AQ15" s="26">
        <v>67</v>
      </c>
      <c r="AR15" s="26">
        <v>3</v>
      </c>
      <c r="AS15" s="26">
        <v>5</v>
      </c>
      <c r="AT15" s="33">
        <v>1</v>
      </c>
      <c r="AU15" s="33">
        <v>2</v>
      </c>
      <c r="AV15" s="39"/>
      <c r="AW15" s="40"/>
      <c r="AX15" s="41">
        <f t="shared" si="252"/>
      </c>
    </row>
    <row hidden="true" r="16">
      <c r="A16" s="25"/>
      <c r="B16" s="26" t="s">
        <v>71</v>
      </c>
      <c r="C16" s="26" t="s">
        <v>72</v>
      </c>
      <c r="D16" s="26" t="s">
        <v>74</v>
      </c>
      <c r="E16" s="27" t="s">
        <v>77</v>
      </c>
      <c r="F16" s="29">
        <f t="shared" si="30"/>
      </c>
      <c r="G16" s="30">
        <v>1785.18</v>
      </c>
      <c r="H16" s="30">
        <v>1057.54</v>
      </c>
      <c r="I16" s="31">
        <v>0</v>
      </c>
      <c r="J16" s="31">
        <v>0</v>
      </c>
      <c r="K16" s="31">
        <v>0</v>
      </c>
      <c r="L16" s="31">
        <v>2</v>
      </c>
      <c r="M16" s="31">
        <v>4156.25</v>
      </c>
      <c r="N16" s="33">
        <v>0</v>
      </c>
      <c r="O16" s="34">
        <f t="shared" si="24"/>
      </c>
      <c r="P16" s="33">
        <v>0</v>
      </c>
      <c r="Q16" s="34">
        <f t="shared" si="0"/>
      </c>
      <c r="R16" s="35">
        <f t="shared" si="106"/>
      </c>
      <c r="S16" s="36">
        <f t="shared" si="178"/>
      </c>
      <c r="T16" s="29">
        <f t="shared" si="12"/>
      </c>
      <c r="U16" s="29">
        <f t="shared" si="8"/>
      </c>
      <c r="V16" s="37">
        <f t="shared" si="20"/>
      </c>
      <c r="W16" s="33">
        <v>2</v>
      </c>
      <c r="X16" s="37">
        <f t="shared" si="16"/>
      </c>
      <c r="Y16" s="37">
        <f t="shared" si="248"/>
      </c>
      <c r="Z16" s="29">
        <f t="shared" si="100"/>
      </c>
      <c r="AA16" s="29">
        <f t="shared" si="2"/>
      </c>
      <c r="AB16" s="29">
        <f t="shared" si="4"/>
      </c>
      <c r="AC16" s="34">
        <f t="shared" si="14"/>
      </c>
      <c r="AD16" s="34">
        <f t="shared" si="10"/>
      </c>
      <c r="AE16" s="34">
        <f t="shared" si="22"/>
      </c>
      <c r="AF16" s="34">
        <f t="shared" si="18"/>
      </c>
      <c r="AG16" s="34">
        <f t="shared" si="102"/>
      </c>
      <c r="AH16" s="34">
        <f t="shared" si="26"/>
      </c>
      <c r="AI16" s="34">
        <f t="shared" si="6"/>
      </c>
      <c r="AJ16" s="33">
        <v>40</v>
      </c>
      <c r="AK16" s="38">
        <v>13371</v>
      </c>
      <c r="AL16" s="38">
        <v>408</v>
      </c>
      <c r="AM16" s="38">
        <v>630</v>
      </c>
      <c r="AN16" s="38">
        <v>75</v>
      </c>
      <c r="AO16" s="26">
        <v>33</v>
      </c>
      <c r="AP16" s="33">
        <v>93</v>
      </c>
      <c r="AQ16" s="26">
        <v>73</v>
      </c>
      <c r="AR16" s="26">
        <v>2</v>
      </c>
      <c r="AS16" s="33">
        <v>8</v>
      </c>
      <c r="AT16" s="33">
        <v>1</v>
      </c>
      <c r="AU16" s="33">
        <v>2</v>
      </c>
      <c r="AV16" s="39"/>
      <c r="AW16" s="40"/>
      <c r="AX16" s="41">
        <f t="shared" si="252"/>
      </c>
    </row>
    <row hidden="true" r="17">
      <c r="A17" s="25"/>
      <c r="B17" s="26" t="s">
        <v>71</v>
      </c>
      <c r="C17" s="26" t="s">
        <v>72</v>
      </c>
      <c r="D17" s="26" t="s">
        <v>74</v>
      </c>
      <c r="E17" s="27" t="s">
        <v>78</v>
      </c>
      <c r="F17" s="51">
        <f t="shared" si="30"/>
      </c>
      <c r="G17" s="52">
        <v>3108.93</v>
      </c>
      <c r="H17" s="52">
        <v>1348.26</v>
      </c>
      <c r="I17" s="31">
        <v>0</v>
      </c>
      <c r="J17" s="31">
        <v>4</v>
      </c>
      <c r="K17" s="31">
        <v>7281.619999999999</v>
      </c>
      <c r="L17" s="31">
        <v>4</v>
      </c>
      <c r="M17" s="31">
        <v>14920.569999999992</v>
      </c>
      <c r="N17" s="33">
        <v>2</v>
      </c>
      <c r="O17" s="34">
        <f t="shared" si="24"/>
      </c>
      <c r="P17" s="33">
        <v>2</v>
      </c>
      <c r="Q17" s="34">
        <f t="shared" si="0"/>
      </c>
      <c r="R17" s="35">
        <f t="shared" si="106"/>
      </c>
      <c r="S17" s="36">
        <f t="shared" si="178"/>
      </c>
      <c r="T17" s="29">
        <f t="shared" si="12"/>
      </c>
      <c r="U17" s="29">
        <f t="shared" si="8"/>
      </c>
      <c r="V17" s="37">
        <f t="shared" si="20"/>
      </c>
      <c r="W17" s="33">
        <v>5</v>
      </c>
      <c r="X17" s="37">
        <f t="shared" si="16"/>
      </c>
      <c r="Y17" s="37">
        <f t="shared" si="248"/>
      </c>
      <c r="Z17" s="29">
        <f t="shared" si="100"/>
      </c>
      <c r="AA17" s="29">
        <f t="shared" si="2"/>
      </c>
      <c r="AB17" s="29">
        <f t="shared" si="4"/>
      </c>
      <c r="AC17" s="34">
        <f t="shared" si="14"/>
      </c>
      <c r="AD17" s="34">
        <f t="shared" si="10"/>
      </c>
      <c r="AE17" s="34">
        <f t="shared" si="22"/>
      </c>
      <c r="AF17" s="34">
        <f t="shared" si="18"/>
      </c>
      <c r="AG17" s="34">
        <f t="shared" si="102"/>
      </c>
      <c r="AH17" s="34">
        <f t="shared" si="26"/>
      </c>
      <c r="AI17" s="34">
        <f t="shared" si="6"/>
      </c>
      <c r="AJ17" s="33">
        <v>57</v>
      </c>
      <c r="AK17" s="38">
        <v>22093</v>
      </c>
      <c r="AL17" s="38">
        <v>700</v>
      </c>
      <c r="AM17" s="38">
        <v>996</v>
      </c>
      <c r="AN17" s="38">
        <v>137</v>
      </c>
      <c r="AO17" s="26">
        <v>51</v>
      </c>
      <c r="AP17" s="33">
        <v>179</v>
      </c>
      <c r="AQ17" s="26">
        <v>155</v>
      </c>
      <c r="AR17" s="26">
        <v>8</v>
      </c>
      <c r="AS17" s="38">
        <v>9</v>
      </c>
      <c r="AT17" s="38">
        <v>2</v>
      </c>
      <c r="AU17" s="33">
        <v>3</v>
      </c>
      <c r="AV17" s="39"/>
      <c r="AW17" s="40"/>
      <c r="AX17" s="41">
        <f t="shared" si="252"/>
      </c>
    </row>
    <row hidden="true" r="18">
      <c r="A18" s="25"/>
      <c r="B18" s="42" t="s">
        <v>66</v>
      </c>
      <c r="C18" s="42"/>
      <c r="D18" s="42"/>
      <c r="E18" s="42"/>
      <c r="F18" s="43">
        <f>SUM(F14:F17)</f>
      </c>
      <c r="G18" s="43">
        <f>SUM(G14:G17)</f>
      </c>
      <c r="H18" s="43">
        <f>SUM(H14:H17)</f>
      </c>
      <c r="I18" s="43">
        <f>SUM(I14:I17)</f>
      </c>
      <c r="J18" s="43">
        <f>SUM(J14:J17)</f>
      </c>
      <c r="K18" s="43">
        <f>SUM(K14:K17)</f>
      </c>
      <c r="L18" s="43">
        <f>SUM(L14:L17)</f>
      </c>
      <c r="M18" s="43">
        <f>SUM(M14:M17)</f>
      </c>
      <c r="N18" s="43">
        <f>SUM(N14:N17)</f>
      </c>
      <c r="O18" s="44">
        <f t="shared" si="24"/>
      </c>
      <c r="P18" s="43">
        <f>SUM(P14:P17)</f>
      </c>
      <c r="Q18" s="44">
        <f t="shared" si="0"/>
      </c>
      <c r="R18" s="45">
        <f>SUM(R14:R17)</f>
      </c>
      <c r="S18" s="43">
        <f>SUM(S14:S17)</f>
      </c>
      <c r="T18" s="43">
        <f t="shared" si="12"/>
      </c>
      <c r="U18" s="43">
        <f t="shared" si="8"/>
      </c>
      <c r="V18" s="46">
        <f t="shared" si="20"/>
      </c>
      <c r="W18" s="43">
        <f>SUM(W14:W17)</f>
      </c>
      <c r="X18" s="46">
        <f t="shared" si="16"/>
      </c>
      <c r="Y18" s="46">
        <f t="shared" si="248"/>
      </c>
      <c r="Z18" s="43">
        <f t="shared" si="100"/>
      </c>
      <c r="AA18" s="43">
        <f t="shared" si="2"/>
      </c>
      <c r="AB18" s="47">
        <f t="shared" si="4"/>
      </c>
      <c r="AC18" s="44">
        <f t="shared" si="14"/>
      </c>
      <c r="AD18" s="44">
        <f t="shared" si="10"/>
      </c>
      <c r="AE18" s="44">
        <f t="shared" si="22"/>
      </c>
      <c r="AF18" s="53">
        <f t="shared" si="18"/>
      </c>
      <c r="AG18" s="44">
        <f t="shared" si="102"/>
      </c>
      <c r="AH18" s="44">
        <f t="shared" si="26"/>
      </c>
      <c r="AI18" s="44">
        <f t="shared" si="6"/>
      </c>
      <c r="AJ18" s="45">
        <f>AVERAGE(AJ14:AJ17)</f>
      </c>
      <c r="AK18" s="43">
        <f>SUM(AK14:AK17)</f>
      </c>
      <c r="AL18" s="43">
        <f>SUM(AL14:AL17)</f>
      </c>
      <c r="AM18" s="43">
        <f>SUM(AM14:AM17)</f>
      </c>
      <c r="AN18" s="43">
        <f>SUM(AN14:AN17)</f>
      </c>
      <c r="AO18" s="43">
        <f>SUM(AO14:AO17)</f>
      </c>
      <c r="AP18" s="43">
        <f>SUM(AP14:AP17)</f>
      </c>
      <c r="AQ18" s="43">
        <f>SUM(AQ14:AQ17)</f>
      </c>
      <c r="AR18" s="43">
        <f>SUM(AR14:AR17)</f>
      </c>
      <c r="AS18" s="43">
        <f>SUM(AS14:AS17)</f>
      </c>
      <c r="AT18" s="43">
        <f>SUM(AT14:AT17)</f>
      </c>
      <c r="AU18" s="43">
        <f>SUM(AU14:AU17)</f>
      </c>
      <c r="AV18" s="39"/>
      <c r="AW18" s="48"/>
      <c r="AX18" s="49">
        <f>SUM(AX14:AX17)</f>
      </c>
    </row>
    <row hidden="true" r="19">
      <c r="A19" s="25"/>
      <c r="B19" s="26" t="s">
        <v>71</v>
      </c>
      <c r="C19" s="26" t="s">
        <v>72</v>
      </c>
      <c r="D19" s="26" t="s">
        <v>79</v>
      </c>
      <c r="E19" s="27" t="s">
        <v>80</v>
      </c>
      <c r="F19" s="51">
        <f t="shared" ref="F19:F22" si="31">G19+H19+I19</f>
      </c>
      <c r="G19" s="52">
        <v>3379.77</v>
      </c>
      <c r="H19" s="52">
        <v>775.95</v>
      </c>
      <c r="I19" s="31">
        <v>0</v>
      </c>
      <c r="J19" s="31">
        <v>3</v>
      </c>
      <c r="K19" s="31">
        <v>3620.1500000000015</v>
      </c>
      <c r="L19" s="31">
        <v>3</v>
      </c>
      <c r="M19" s="31">
        <v>20415.540000000008</v>
      </c>
      <c r="N19" s="33">
        <v>1</v>
      </c>
      <c r="O19" s="34">
        <f t="shared" si="24"/>
      </c>
      <c r="P19" s="33">
        <v>2</v>
      </c>
      <c r="Q19" s="34">
        <f t="shared" si="0"/>
      </c>
      <c r="R19" s="54">
        <f t="shared" ref="R19:R22" si="107">J19+L19</f>
      </c>
      <c r="S19" s="36">
        <f t="shared" ref="S19:S22" si="179">K19+M19</f>
      </c>
      <c r="T19" s="29">
        <f t="shared" si="12"/>
      </c>
      <c r="U19" s="29">
        <f t="shared" si="8"/>
      </c>
      <c r="V19" s="37">
        <f t="shared" si="20"/>
      </c>
      <c r="W19" s="33">
        <v>5</v>
      </c>
      <c r="X19" s="37">
        <f t="shared" si="16"/>
      </c>
      <c r="Y19" s="37">
        <f t="shared" si="248"/>
      </c>
      <c r="Z19" s="29">
        <f t="shared" si="100"/>
      </c>
      <c r="AA19" s="29">
        <f t="shared" si="2"/>
      </c>
      <c r="AB19" s="29">
        <f t="shared" si="4"/>
      </c>
      <c r="AC19" s="34">
        <f t="shared" si="14"/>
      </c>
      <c r="AD19" s="34">
        <f t="shared" si="10"/>
      </c>
      <c r="AE19" s="34">
        <f t="shared" si="22"/>
      </c>
      <c r="AF19" s="34">
        <f t="shared" si="18"/>
      </c>
      <c r="AG19" s="34">
        <f t="shared" si="102"/>
      </c>
      <c r="AH19" s="34">
        <f t="shared" si="26"/>
      </c>
      <c r="AI19" s="34">
        <f t="shared" si="6"/>
      </c>
      <c r="AJ19" s="33">
        <v>60</v>
      </c>
      <c r="AK19" s="38">
        <v>22704</v>
      </c>
      <c r="AL19" s="38">
        <v>924</v>
      </c>
      <c r="AM19" s="38">
        <v>1216</v>
      </c>
      <c r="AN19" s="38">
        <v>134</v>
      </c>
      <c r="AO19" s="26">
        <v>46</v>
      </c>
      <c r="AP19" s="38">
        <v>162</v>
      </c>
      <c r="AQ19" s="27">
        <v>165</v>
      </c>
      <c r="AR19" s="26">
        <v>6</v>
      </c>
      <c r="AS19" s="33">
        <v>16</v>
      </c>
      <c r="AT19" s="33">
        <v>2</v>
      </c>
      <c r="AU19" s="33">
        <v>5</v>
      </c>
      <c r="AV19" s="39"/>
      <c r="AW19" s="40"/>
      <c r="AX19" s="41">
        <f t="shared" ref="AX19:AX22" si="253">COUNT(AU19)</f>
      </c>
    </row>
    <row hidden="true" r="20">
      <c r="A20" s="25"/>
      <c r="B20" s="26" t="s">
        <v>71</v>
      </c>
      <c r="C20" s="26" t="s">
        <v>72</v>
      </c>
      <c r="D20" s="26" t="s">
        <v>79</v>
      </c>
      <c r="E20" s="27" t="s">
        <v>81</v>
      </c>
      <c r="F20" s="51">
        <f t="shared" si="31"/>
      </c>
      <c r="G20" s="52">
        <v>3044.3</v>
      </c>
      <c r="H20" s="52">
        <v>603.71</v>
      </c>
      <c r="I20" s="31">
        <v>0</v>
      </c>
      <c r="J20" s="31">
        <v>0</v>
      </c>
      <c r="K20" s="31">
        <v>0</v>
      </c>
      <c r="L20" s="31">
        <v>3</v>
      </c>
      <c r="M20" s="31">
        <v>4548.599999999991</v>
      </c>
      <c r="N20" s="33">
        <v>0</v>
      </c>
      <c r="O20" s="34">
        <f t="shared" si="24"/>
      </c>
      <c r="P20" s="33">
        <v>0</v>
      </c>
      <c r="Q20" s="34">
        <f t="shared" si="0"/>
      </c>
      <c r="R20" s="54">
        <f t="shared" si="107"/>
      </c>
      <c r="S20" s="36">
        <f t="shared" si="179"/>
      </c>
      <c r="T20" s="29">
        <f t="shared" si="12"/>
      </c>
      <c r="U20" s="29">
        <f t="shared" si="8"/>
      </c>
      <c r="V20" s="37">
        <f t="shared" si="20"/>
      </c>
      <c r="W20" s="33">
        <v>2</v>
      </c>
      <c r="X20" s="37">
        <f t="shared" si="16"/>
      </c>
      <c r="Y20" s="37">
        <f t="shared" si="248"/>
      </c>
      <c r="Z20" s="29">
        <f t="shared" si="100"/>
      </c>
      <c r="AA20" s="29">
        <f t="shared" si="2"/>
      </c>
      <c r="AB20" s="29">
        <f t="shared" si="4"/>
      </c>
      <c r="AC20" s="34">
        <f t="shared" si="14"/>
      </c>
      <c r="AD20" s="34">
        <f t="shared" si="10"/>
      </c>
      <c r="AE20" s="34">
        <f t="shared" si="22"/>
      </c>
      <c r="AF20" s="34">
        <f t="shared" si="18"/>
      </c>
      <c r="AG20" s="34">
        <f t="shared" si="102"/>
      </c>
      <c r="AH20" s="34">
        <f t="shared" si="26"/>
      </c>
      <c r="AI20" s="34">
        <f t="shared" si="6"/>
      </c>
      <c r="AJ20" s="33">
        <v>57</v>
      </c>
      <c r="AK20" s="38">
        <v>23156</v>
      </c>
      <c r="AL20" s="38">
        <v>1116</v>
      </c>
      <c r="AM20" s="38">
        <v>1240</v>
      </c>
      <c r="AN20" s="38">
        <v>112</v>
      </c>
      <c r="AO20" s="26">
        <v>30</v>
      </c>
      <c r="AP20" s="38">
        <v>137</v>
      </c>
      <c r="AQ20" s="27">
        <v>113</v>
      </c>
      <c r="AR20" s="26">
        <v>3</v>
      </c>
      <c r="AS20" s="38">
        <v>11</v>
      </c>
      <c r="AT20" s="38">
        <v>0</v>
      </c>
      <c r="AU20" s="33">
        <v>2</v>
      </c>
      <c r="AV20" s="39"/>
      <c r="AW20" s="40"/>
      <c r="AX20" s="41">
        <f t="shared" si="253"/>
      </c>
    </row>
    <row hidden="true" r="21">
      <c r="A21" s="25"/>
      <c r="B21" s="26" t="s">
        <v>71</v>
      </c>
      <c r="C21" s="26" t="s">
        <v>72</v>
      </c>
      <c r="D21" s="26" t="s">
        <v>79</v>
      </c>
      <c r="E21" s="27" t="s">
        <v>82</v>
      </c>
      <c r="F21" s="51">
        <f t="shared" si="31"/>
      </c>
      <c r="G21" s="52">
        <v>3828.71</v>
      </c>
      <c r="H21" s="52">
        <v>1719.99</v>
      </c>
      <c r="I21" s="31">
        <v>0</v>
      </c>
      <c r="J21" s="31">
        <v>4</v>
      </c>
      <c r="K21" s="31">
        <v>6234.489999999998</v>
      </c>
      <c r="L21" s="31">
        <v>6</v>
      </c>
      <c r="M21" s="31">
        <v>9803.880000000005</v>
      </c>
      <c r="N21" s="33">
        <v>3</v>
      </c>
      <c r="O21" s="34">
        <f t="shared" si="24"/>
      </c>
      <c r="P21" s="33">
        <v>3</v>
      </c>
      <c r="Q21" s="34">
        <f t="shared" si="0"/>
      </c>
      <c r="R21" s="54">
        <f t="shared" si="107"/>
      </c>
      <c r="S21" s="36">
        <f t="shared" si="179"/>
      </c>
      <c r="T21" s="29">
        <f t="shared" si="12"/>
      </c>
      <c r="U21" s="29">
        <f t="shared" si="8"/>
      </c>
      <c r="V21" s="37">
        <f t="shared" si="20"/>
      </c>
      <c r="W21" s="33">
        <v>6</v>
      </c>
      <c r="X21" s="37">
        <f t="shared" si="16"/>
      </c>
      <c r="Y21" s="37">
        <f t="shared" si="248"/>
      </c>
      <c r="Z21" s="29">
        <f t="shared" si="100"/>
      </c>
      <c r="AA21" s="29">
        <f t="shared" si="2"/>
      </c>
      <c r="AB21" s="29">
        <f t="shared" si="4"/>
      </c>
      <c r="AC21" s="34">
        <f t="shared" si="14"/>
      </c>
      <c r="AD21" s="34">
        <f t="shared" si="10"/>
      </c>
      <c r="AE21" s="34">
        <f t="shared" si="22"/>
      </c>
      <c r="AF21" s="34">
        <f t="shared" si="18"/>
      </c>
      <c r="AG21" s="34">
        <f t="shared" si="102"/>
      </c>
      <c r="AH21" s="34">
        <f t="shared" si="26"/>
      </c>
      <c r="AI21" s="34">
        <f t="shared" si="6"/>
      </c>
      <c r="AJ21" s="33">
        <v>54</v>
      </c>
      <c r="AK21" s="33">
        <v>33022</v>
      </c>
      <c r="AL21" s="38">
        <v>1548</v>
      </c>
      <c r="AM21" s="38">
        <v>1814</v>
      </c>
      <c r="AN21" s="38">
        <v>152</v>
      </c>
      <c r="AO21" s="26">
        <v>45</v>
      </c>
      <c r="AP21" s="38">
        <v>150</v>
      </c>
      <c r="AQ21" s="27">
        <v>168</v>
      </c>
      <c r="AR21" s="26">
        <v>11</v>
      </c>
      <c r="AS21" s="33">
        <v>10</v>
      </c>
      <c r="AT21" s="33">
        <v>1</v>
      </c>
      <c r="AU21" s="33">
        <v>6</v>
      </c>
      <c r="AV21" s="39"/>
      <c r="AW21" s="40"/>
      <c r="AX21" s="41">
        <f t="shared" si="253"/>
      </c>
    </row>
    <row hidden="true" r="22">
      <c r="A22" s="25"/>
      <c r="B22" s="26" t="s">
        <v>71</v>
      </c>
      <c r="C22" s="26" t="s">
        <v>72</v>
      </c>
      <c r="D22" s="26" t="s">
        <v>79</v>
      </c>
      <c r="E22" s="27" t="s">
        <v>83</v>
      </c>
      <c r="F22" s="51">
        <f t="shared" si="31"/>
      </c>
      <c r="G22" s="52">
        <v>1662.09</v>
      </c>
      <c r="H22" s="52">
        <v>1851.77</v>
      </c>
      <c r="I22" s="31">
        <v>0</v>
      </c>
      <c r="J22" s="31">
        <v>0</v>
      </c>
      <c r="K22" s="31">
        <v>0</v>
      </c>
      <c r="L22" s="31">
        <v>3</v>
      </c>
      <c r="M22" s="31">
        <v>13497.789999999994</v>
      </c>
      <c r="N22" s="33">
        <v>0</v>
      </c>
      <c r="O22" s="34">
        <f t="shared" si="24"/>
      </c>
      <c r="P22" s="33">
        <v>1</v>
      </c>
      <c r="Q22" s="34">
        <f t="shared" si="0"/>
      </c>
      <c r="R22" s="54">
        <f t="shared" si="107"/>
      </c>
      <c r="S22" s="36">
        <f t="shared" si="179"/>
      </c>
      <c r="T22" s="29">
        <f t="shared" si="12"/>
      </c>
      <c r="U22" s="29">
        <f t="shared" si="8"/>
      </c>
      <c r="V22" s="37">
        <f t="shared" si="20"/>
      </c>
      <c r="W22" s="33">
        <v>3</v>
      </c>
      <c r="X22" s="37">
        <f t="shared" si="16"/>
      </c>
      <c r="Y22" s="37">
        <f t="shared" si="248"/>
      </c>
      <c r="Z22" s="29">
        <f t="shared" si="100"/>
      </c>
      <c r="AA22" s="29">
        <f t="shared" si="2"/>
      </c>
      <c r="AB22" s="29">
        <f t="shared" si="4"/>
      </c>
      <c r="AC22" s="34">
        <f t="shared" si="14"/>
      </c>
      <c r="AD22" s="34">
        <f t="shared" si="10"/>
      </c>
      <c r="AE22" s="34">
        <f t="shared" si="22"/>
      </c>
      <c r="AF22" s="34">
        <f t="shared" si="18"/>
      </c>
      <c r="AG22" s="34">
        <f t="shared" si="102"/>
      </c>
      <c r="AH22" s="34">
        <f t="shared" si="26"/>
      </c>
      <c r="AI22" s="34">
        <f t="shared" si="6"/>
      </c>
      <c r="AJ22" s="33">
        <v>56</v>
      </c>
      <c r="AK22" s="38">
        <v>20112</v>
      </c>
      <c r="AL22" s="38">
        <v>877</v>
      </c>
      <c r="AM22" s="38">
        <v>1098</v>
      </c>
      <c r="AN22" s="38">
        <v>76</v>
      </c>
      <c r="AO22" s="26">
        <v>34</v>
      </c>
      <c r="AP22" s="38">
        <v>97</v>
      </c>
      <c r="AQ22" s="27">
        <v>109</v>
      </c>
      <c r="AR22" s="26">
        <v>4</v>
      </c>
      <c r="AS22" s="38">
        <v>9</v>
      </c>
      <c r="AT22" s="38">
        <v>2</v>
      </c>
      <c r="AU22" s="33">
        <v>4</v>
      </c>
      <c r="AV22" s="39"/>
      <c r="AW22" s="40"/>
      <c r="AX22" s="41">
        <f t="shared" si="253"/>
      </c>
    </row>
    <row hidden="true" r="23">
      <c r="A23" s="25"/>
      <c r="B23" s="42" t="s">
        <v>66</v>
      </c>
      <c r="C23" s="42"/>
      <c r="D23" s="42"/>
      <c r="E23" s="42"/>
      <c r="F23" s="43">
        <f>SUM(F19:F22)</f>
      </c>
      <c r="G23" s="43">
        <f>SUM(G19:G22)</f>
      </c>
      <c r="H23" s="43">
        <f>SUM(H19:H22)</f>
      </c>
      <c r="I23" s="43">
        <f>SUM(I19:I22)</f>
      </c>
      <c r="J23" s="43">
        <f>SUM(J19:J22)</f>
      </c>
      <c r="K23" s="43">
        <f>SUM(K19:K22)</f>
      </c>
      <c r="L23" s="43">
        <f>SUM(L19:L22)</f>
      </c>
      <c r="M23" s="43">
        <f>SUM(M19:M22)</f>
      </c>
      <c r="N23" s="43">
        <f>SUM(N19:N22)</f>
      </c>
      <c r="O23" s="44">
        <f t="shared" si="24"/>
      </c>
      <c r="P23" s="43">
        <f>SUM(P19:P22)</f>
      </c>
      <c r="Q23" s="44">
        <f t="shared" si="0"/>
      </c>
      <c r="R23" s="45">
        <f>SUM(R19:R22)</f>
      </c>
      <c r="S23" s="43">
        <f>SUM(S19:S22)</f>
      </c>
      <c r="T23" s="43">
        <f t="shared" si="12"/>
      </c>
      <c r="U23" s="43">
        <f t="shared" si="8"/>
      </c>
      <c r="V23" s="46">
        <f t="shared" si="20"/>
      </c>
      <c r="W23" s="43">
        <f>SUM(W19:W22)</f>
      </c>
      <c r="X23" s="46">
        <f t="shared" si="16"/>
      </c>
      <c r="Y23" s="46">
        <f t="shared" si="248"/>
      </c>
      <c r="Z23" s="43">
        <f t="shared" si="100"/>
      </c>
      <c r="AA23" s="43">
        <f t="shared" si="2"/>
      </c>
      <c r="AB23" s="47">
        <f t="shared" si="4"/>
      </c>
      <c r="AC23" s="44">
        <f t="shared" si="14"/>
      </c>
      <c r="AD23" s="44">
        <f t="shared" si="10"/>
      </c>
      <c r="AE23" s="44">
        <f t="shared" si="22"/>
      </c>
      <c r="AF23" s="53">
        <f t="shared" si="18"/>
      </c>
      <c r="AG23" s="44">
        <f t="shared" si="102"/>
      </c>
      <c r="AH23" s="44">
        <f t="shared" si="26"/>
      </c>
      <c r="AI23" s="44">
        <f t="shared" si="6"/>
      </c>
      <c r="AJ23" s="45">
        <f>AVERAGE(AJ19:AJ22)</f>
      </c>
      <c r="AK23" s="43">
        <f>SUM(AK19:AK22)</f>
      </c>
      <c r="AL23" s="43">
        <f>SUM(AL19:AL22)</f>
      </c>
      <c r="AM23" s="43">
        <f>SUM(AM19:AM22)</f>
      </c>
      <c r="AN23" s="43">
        <f>SUM(AN19:AN22)</f>
      </c>
      <c r="AO23" s="43">
        <f>SUM(AO19:AO22)</f>
      </c>
      <c r="AP23" s="43">
        <f>SUM(AP19:AP22)</f>
      </c>
      <c r="AQ23" s="43">
        <f>SUM(AQ19:AQ22)</f>
      </c>
      <c r="AR23" s="43">
        <f>SUM(AR19:AR22)</f>
      </c>
      <c r="AS23" s="43">
        <f>SUM(AS19:AS22)</f>
      </c>
      <c r="AT23" s="43">
        <f>SUM(AT19:AT22)</f>
      </c>
      <c r="AU23" s="43">
        <f>SUM(AU19:AU22)</f>
      </c>
      <c r="AV23" s="39"/>
      <c r="AW23" s="48"/>
      <c r="AX23" s="49">
        <f>SUM(AX19:AX22)</f>
      </c>
    </row>
    <row hidden="true" r="24">
      <c r="A24" s="25"/>
      <c r="B24" s="55" t="s">
        <v>84</v>
      </c>
      <c r="C24" s="55"/>
      <c r="D24" s="55"/>
      <c r="E24" s="55"/>
      <c r="F24" s="56">
        <f>F8+F13+F18+F23</f>
      </c>
      <c r="G24" s="56">
        <f>G8+G13+G18+G23</f>
      </c>
      <c r="H24" s="56">
        <f>H8+H13+H18+H23</f>
      </c>
      <c r="I24" s="56">
        <f>I8+I13+I18+I23</f>
      </c>
      <c r="J24" s="56">
        <f>J8+J13+J18+J23</f>
      </c>
      <c r="K24" s="56">
        <f>K8+K13+K18+K23</f>
      </c>
      <c r="L24" s="56">
        <f>L8+L13+L18+L23</f>
      </c>
      <c r="M24" s="56">
        <f>M8+M13+M18+M23</f>
      </c>
      <c r="N24" s="56">
        <f>N8+N13+N18+N23</f>
      </c>
      <c r="O24" s="57">
        <f t="shared" si="24"/>
      </c>
      <c r="P24" s="55">
        <f>P8+P13+P18+P23</f>
      </c>
      <c r="Q24" s="57">
        <f t="shared" si="0"/>
      </c>
      <c r="R24" s="58">
        <f>R8+R13+R18+R23</f>
      </c>
      <c r="S24" s="56">
        <f>S8+S13+S18+S23</f>
      </c>
      <c r="T24" s="56">
        <f t="shared" si="12"/>
      </c>
      <c r="U24" s="56">
        <f t="shared" si="8"/>
      </c>
      <c r="V24" s="59">
        <f t="shared" si="20"/>
      </c>
      <c r="W24" s="55">
        <f>W8+W13+W18+W23</f>
      </c>
      <c r="X24" s="59">
        <f t="shared" si="16"/>
      </c>
      <c r="Y24" s="59">
        <f t="shared" si="248"/>
      </c>
      <c r="Z24" s="56">
        <f t="shared" si="100"/>
      </c>
      <c r="AA24" s="56">
        <f t="shared" si="2"/>
      </c>
      <c r="AB24" s="60">
        <f t="shared" si="4"/>
      </c>
      <c r="AC24" s="57">
        <f t="shared" si="14"/>
      </c>
      <c r="AD24" s="57">
        <f t="shared" si="10"/>
      </c>
      <c r="AE24" s="57">
        <f t="shared" si="22"/>
      </c>
      <c r="AF24" s="61">
        <f t="shared" si="18"/>
      </c>
      <c r="AG24" s="57">
        <f t="shared" si="102"/>
      </c>
      <c r="AH24" s="57">
        <f t="shared" si="26"/>
      </c>
      <c r="AI24" s="57">
        <f t="shared" si="6"/>
      </c>
      <c r="AJ24" s="58">
        <f>(AJ8+AJ13+AJ18+AJ23)/4</f>
      </c>
      <c r="AK24" s="55">
        <f>AK8+AK13+AK18+AK23</f>
      </c>
      <c r="AL24" s="55">
        <f>AL8+AL13+AL18+AL23</f>
      </c>
      <c r="AM24" s="55">
        <f>AM8+AM13+AM18+AM23</f>
      </c>
      <c r="AN24" s="55">
        <f>AN8+AN13+AN18+AN23</f>
      </c>
      <c r="AO24" s="55">
        <f>AO8+AO13+AO18+AO23</f>
      </c>
      <c r="AP24" s="55">
        <f>AP8+AP13+AP18+AP23</f>
      </c>
      <c r="AQ24" s="55">
        <f>AQ8+AQ13+AQ18+AQ23</f>
      </c>
      <c r="AR24" s="55">
        <f>AR8+AR13+AR18+AR23</f>
      </c>
      <c r="AS24" s="55">
        <f>AS8+AS13+AS18+AS23</f>
      </c>
      <c r="AT24" s="55">
        <f>AT8+AT13+AT18+AT23</f>
      </c>
      <c r="AU24" s="55">
        <f>AU8+AU13+AU18+AU23</f>
      </c>
      <c r="AV24" s="39"/>
      <c r="AW24" s="55">
        <f>AW8+AW13+AW18</f>
      </c>
      <c r="AX24" s="55">
        <f>AX8+AX13+AX18+AX23</f>
      </c>
    </row>
    <row hidden="true" r="25">
      <c r="A25" s="62">
        <v>46297</v>
      </c>
      <c r="B25" s="41" t="s">
        <v>59</v>
      </c>
      <c r="C25" s="41" t="s">
        <v>60</v>
      </c>
      <c r="D25" s="41" t="s">
        <v>61</v>
      </c>
      <c r="E25" s="28" t="s">
        <v>62</v>
      </c>
      <c r="F25" s="63">
        <f t="shared" ref="F25:F28" si="32">G25+H25+I25</f>
      </c>
      <c r="G25" s="63">
        <v>1756.15</v>
      </c>
      <c r="H25" s="63">
        <v>1558.7</v>
      </c>
      <c r="I25" s="64">
        <v>0</v>
      </c>
      <c r="J25" s="65">
        <v>0</v>
      </c>
      <c r="K25" s="66">
        <v>0</v>
      </c>
      <c r="L25" s="65">
        <v>0</v>
      </c>
      <c r="M25" s="65">
        <v>0</v>
      </c>
      <c r="N25" s="67">
        <v>0</v>
      </c>
      <c r="O25" s="68">
        <f t="shared" si="24"/>
      </c>
      <c r="P25" s="67">
        <v>0</v>
      </c>
      <c r="Q25" s="68">
        <f t="shared" si="0"/>
      </c>
      <c r="R25" s="69">
        <f t="shared" ref="R25:R28" si="108">J25+L25</f>
      </c>
      <c r="S25" s="70">
        <f t="shared" ref="S25:S28" si="180">K25+M25</f>
      </c>
      <c r="T25" s="63">
        <f t="shared" si="12"/>
      </c>
      <c r="U25" s="63">
        <f t="shared" si="8"/>
      </c>
      <c r="V25" s="71">
        <f t="shared" si="20"/>
      </c>
      <c r="W25" s="67">
        <v>0</v>
      </c>
      <c r="X25" s="71">
        <f t="shared" si="16"/>
      </c>
      <c r="Y25" s="71">
        <f t="shared" si="248"/>
      </c>
      <c r="Z25" s="63">
        <f t="shared" si="100"/>
      </c>
      <c r="AA25" s="63">
        <f t="shared" si="2"/>
      </c>
      <c r="AB25" s="63">
        <f t="shared" si="4"/>
      </c>
      <c r="AC25" s="68">
        <f t="shared" si="14"/>
      </c>
      <c r="AD25" s="68">
        <f t="shared" si="10"/>
      </c>
      <c r="AE25" s="68">
        <f t="shared" si="22"/>
      </c>
      <c r="AF25" s="68">
        <f t="shared" si="18"/>
      </c>
      <c r="AG25" s="68">
        <f t="shared" si="102"/>
      </c>
      <c r="AH25" s="68">
        <f t="shared" si="26"/>
      </c>
      <c r="AI25" s="68">
        <f t="shared" si="6"/>
      </c>
      <c r="AJ25" s="67">
        <v>59</v>
      </c>
      <c r="AK25" s="72">
        <v>11222</v>
      </c>
      <c r="AL25" s="72">
        <v>427</v>
      </c>
      <c r="AM25" s="72">
        <v>500</v>
      </c>
      <c r="AN25" s="72">
        <v>80</v>
      </c>
      <c r="AO25" s="73">
        <v>34</v>
      </c>
      <c r="AP25" s="41">
        <v>99</v>
      </c>
      <c r="AQ25" s="41">
        <v>91</v>
      </c>
      <c r="AR25" s="73">
        <v>2</v>
      </c>
      <c r="AS25" s="41">
        <v>13</v>
      </c>
      <c r="AT25" s="72">
        <v>1</v>
      </c>
      <c r="AU25" s="72">
        <v>2</v>
      </c>
      <c r="AV25" s="39"/>
      <c r="AW25" s="40"/>
      <c r="AX25" s="41">
        <f t="shared" ref="AX25:AX28" si="254">COUNT(AU25)</f>
      </c>
    </row>
    <row hidden="true" r="26">
      <c r="A26" s="74"/>
      <c r="B26" s="41" t="s">
        <v>59</v>
      </c>
      <c r="C26" s="41" t="s">
        <v>60</v>
      </c>
      <c r="D26" s="41" t="s">
        <v>61</v>
      </c>
      <c r="E26" s="28" t="s">
        <v>63</v>
      </c>
      <c r="F26" s="63">
        <f t="shared" si="32"/>
      </c>
      <c r="G26" s="63">
        <v>1957.09</v>
      </c>
      <c r="H26" s="63">
        <v>2621.11</v>
      </c>
      <c r="I26" s="64">
        <v>0</v>
      </c>
      <c r="J26" s="65">
        <v>0</v>
      </c>
      <c r="K26" s="65">
        <v>0</v>
      </c>
      <c r="L26" s="65">
        <v>5</v>
      </c>
      <c r="M26" s="65">
        <v>20905.8</v>
      </c>
      <c r="N26" s="67">
        <v>1</v>
      </c>
      <c r="O26" s="68">
        <f t="shared" si="24"/>
      </c>
      <c r="P26" s="67">
        <v>1</v>
      </c>
      <c r="Q26" s="68">
        <f t="shared" si="0"/>
      </c>
      <c r="R26" s="69">
        <f t="shared" si="108"/>
      </c>
      <c r="S26" s="70">
        <f t="shared" si="180"/>
      </c>
      <c r="T26" s="63">
        <f t="shared" si="12"/>
      </c>
      <c r="U26" s="63">
        <f t="shared" si="8"/>
      </c>
      <c r="V26" s="71">
        <f t="shared" si="20"/>
      </c>
      <c r="W26" s="67">
        <v>5</v>
      </c>
      <c r="X26" s="71">
        <f t="shared" si="16"/>
      </c>
      <c r="Y26" s="71">
        <f t="shared" si="248"/>
      </c>
      <c r="Z26" s="63">
        <f t="shared" si="100"/>
      </c>
      <c r="AA26" s="63">
        <f t="shared" si="2"/>
      </c>
      <c r="AB26" s="63">
        <f t="shared" si="4"/>
      </c>
      <c r="AC26" s="68">
        <f t="shared" si="14"/>
      </c>
      <c r="AD26" s="68">
        <f t="shared" si="10"/>
      </c>
      <c r="AE26" s="68">
        <f t="shared" si="22"/>
      </c>
      <c r="AF26" s="68">
        <f t="shared" si="18"/>
      </c>
      <c r="AG26" s="68">
        <f t="shared" si="102"/>
      </c>
      <c r="AH26" s="68">
        <f t="shared" si="26"/>
      </c>
      <c r="AI26" s="68">
        <f t="shared" si="6"/>
      </c>
      <c r="AJ26" s="67">
        <v>67</v>
      </c>
      <c r="AK26" s="72">
        <v>18102</v>
      </c>
      <c r="AL26" s="72">
        <v>477</v>
      </c>
      <c r="AM26" s="72">
        <v>633</v>
      </c>
      <c r="AN26" s="72">
        <v>108</v>
      </c>
      <c r="AO26" s="73">
        <v>40</v>
      </c>
      <c r="AP26" s="72">
        <v>103</v>
      </c>
      <c r="AQ26" s="41">
        <v>118</v>
      </c>
      <c r="AR26" s="73">
        <v>5</v>
      </c>
      <c r="AS26" s="72">
        <v>12</v>
      </c>
      <c r="AT26" s="72">
        <v>1</v>
      </c>
      <c r="AU26" s="72">
        <v>13</v>
      </c>
      <c r="AV26" s="39"/>
      <c r="AW26" s="40"/>
      <c r="AX26" s="41">
        <f t="shared" si="254"/>
      </c>
    </row>
    <row hidden="true" r="27">
      <c r="A27" s="74"/>
      <c r="B27" s="41" t="s">
        <v>59</v>
      </c>
      <c r="C27" s="41" t="s">
        <v>60</v>
      </c>
      <c r="D27" s="41" t="s">
        <v>61</v>
      </c>
      <c r="E27" s="28" t="s">
        <v>64</v>
      </c>
      <c r="F27" s="63">
        <f t="shared" si="32"/>
      </c>
      <c r="G27" s="63">
        <v>1065.06</v>
      </c>
      <c r="H27" s="63">
        <v>1463</v>
      </c>
      <c r="I27" s="64">
        <v>0</v>
      </c>
      <c r="J27" s="65">
        <v>1</v>
      </c>
      <c r="K27" s="65">
        <v>1553.25</v>
      </c>
      <c r="L27" s="65">
        <v>2</v>
      </c>
      <c r="M27" s="65">
        <v>6911.02</v>
      </c>
      <c r="N27" s="67">
        <v>1</v>
      </c>
      <c r="O27" s="68">
        <f t="shared" si="24"/>
      </c>
      <c r="P27" s="67">
        <v>1</v>
      </c>
      <c r="Q27" s="68">
        <f t="shared" si="0"/>
      </c>
      <c r="R27" s="69">
        <f t="shared" si="108"/>
      </c>
      <c r="S27" s="70">
        <f t="shared" si="180"/>
      </c>
      <c r="T27" s="63">
        <f t="shared" si="12"/>
      </c>
      <c r="U27" s="63">
        <f t="shared" si="8"/>
      </c>
      <c r="V27" s="71">
        <f t="shared" si="20"/>
      </c>
      <c r="W27" s="67">
        <v>2</v>
      </c>
      <c r="X27" s="71">
        <f t="shared" si="16"/>
      </c>
      <c r="Y27" s="71">
        <f t="shared" si="248"/>
      </c>
      <c r="Z27" s="63">
        <f t="shared" si="100"/>
      </c>
      <c r="AA27" s="63">
        <f t="shared" si="2"/>
      </c>
      <c r="AB27" s="63">
        <f t="shared" si="4"/>
      </c>
      <c r="AC27" s="68">
        <f t="shared" si="14"/>
      </c>
      <c r="AD27" s="68">
        <f t="shared" si="10"/>
      </c>
      <c r="AE27" s="68">
        <f t="shared" si="22"/>
      </c>
      <c r="AF27" s="68">
        <f t="shared" si="18"/>
      </c>
      <c r="AG27" s="68">
        <f t="shared" si="102"/>
      </c>
      <c r="AH27" s="68">
        <f t="shared" si="26"/>
      </c>
      <c r="AI27" s="68">
        <f t="shared" si="6"/>
      </c>
      <c r="AJ27" s="67">
        <v>74</v>
      </c>
      <c r="AK27" s="72">
        <v>9182</v>
      </c>
      <c r="AL27" s="72">
        <v>294</v>
      </c>
      <c r="AM27" s="72">
        <v>357</v>
      </c>
      <c r="AN27" s="72">
        <v>62</v>
      </c>
      <c r="AO27" s="73">
        <v>21</v>
      </c>
      <c r="AP27" s="72">
        <v>96</v>
      </c>
      <c r="AQ27" s="41">
        <v>75</v>
      </c>
      <c r="AR27" s="73">
        <v>4</v>
      </c>
      <c r="AS27" s="72">
        <v>6</v>
      </c>
      <c r="AT27" s="72">
        <v>0</v>
      </c>
      <c r="AU27" s="72">
        <v>3</v>
      </c>
      <c r="AV27" s="39"/>
      <c r="AW27" s="40"/>
      <c r="AX27" s="41">
        <f t="shared" si="254"/>
      </c>
    </row>
    <row hidden="true" r="28">
      <c r="A28" s="74"/>
      <c r="B28" s="41" t="s">
        <v>59</v>
      </c>
      <c r="C28" s="41" t="s">
        <v>60</v>
      </c>
      <c r="D28" s="41" t="s">
        <v>61</v>
      </c>
      <c r="E28" s="41" t="s">
        <v>65</v>
      </c>
      <c r="F28" s="63">
        <f t="shared" si="32"/>
      </c>
      <c r="G28" s="63">
        <v>1276.86</v>
      </c>
      <c r="H28" s="63">
        <v>1107.72</v>
      </c>
      <c r="I28" s="64">
        <v>0</v>
      </c>
      <c r="J28" s="65">
        <v>3</v>
      </c>
      <c r="K28" s="65">
        <v>4709.46</v>
      </c>
      <c r="L28" s="65">
        <v>3</v>
      </c>
      <c r="M28" s="65">
        <v>6268.059999999998</v>
      </c>
      <c r="N28" s="67">
        <v>0</v>
      </c>
      <c r="O28" s="68">
        <f t="shared" si="24"/>
      </c>
      <c r="P28" s="67">
        <v>2</v>
      </c>
      <c r="Q28" s="68">
        <f t="shared" si="0"/>
      </c>
      <c r="R28" s="69">
        <f t="shared" si="108"/>
      </c>
      <c r="S28" s="70">
        <f t="shared" si="180"/>
      </c>
      <c r="T28" s="63">
        <f t="shared" si="12"/>
      </c>
      <c r="U28" s="63">
        <f t="shared" si="8"/>
      </c>
      <c r="V28" s="71">
        <f t="shared" si="20"/>
      </c>
      <c r="W28" s="67">
        <v>3</v>
      </c>
      <c r="X28" s="71">
        <f t="shared" si="16"/>
      </c>
      <c r="Y28" s="71">
        <f t="shared" si="248"/>
      </c>
      <c r="Z28" s="63">
        <f t="shared" si="100"/>
      </c>
      <c r="AA28" s="63">
        <f t="shared" si="2"/>
      </c>
      <c r="AB28" s="63">
        <f t="shared" si="4"/>
      </c>
      <c r="AC28" s="68">
        <f t="shared" si="14"/>
      </c>
      <c r="AD28" s="68">
        <f t="shared" si="10"/>
      </c>
      <c r="AE28" s="68">
        <f t="shared" si="22"/>
      </c>
      <c r="AF28" s="68">
        <f t="shared" si="18"/>
      </c>
      <c r="AG28" s="68">
        <f t="shared" si="102"/>
      </c>
      <c r="AH28" s="68">
        <f t="shared" si="26"/>
      </c>
      <c r="AI28" s="68">
        <f t="shared" si="6"/>
      </c>
      <c r="AJ28" s="67">
        <v>77</v>
      </c>
      <c r="AK28" s="72">
        <v>8713</v>
      </c>
      <c r="AL28" s="72">
        <v>339</v>
      </c>
      <c r="AM28" s="72">
        <v>396</v>
      </c>
      <c r="AN28" s="72">
        <v>51</v>
      </c>
      <c r="AO28" s="73">
        <v>26</v>
      </c>
      <c r="AP28" s="72">
        <v>85</v>
      </c>
      <c r="AQ28" s="41">
        <v>62</v>
      </c>
      <c r="AR28" s="73">
        <v>6</v>
      </c>
      <c r="AS28" s="72">
        <v>4</v>
      </c>
      <c r="AT28" s="72">
        <v>1</v>
      </c>
      <c r="AU28" s="72">
        <v>5</v>
      </c>
      <c r="AV28" s="39"/>
      <c r="AW28" s="40"/>
      <c r="AX28" s="41">
        <f t="shared" si="254"/>
      </c>
    </row>
    <row hidden="true" r="29">
      <c r="A29" s="74"/>
      <c r="B29" s="75" t="s">
        <v>66</v>
      </c>
      <c r="C29" s="75"/>
      <c r="D29" s="75"/>
      <c r="E29" s="75"/>
      <c r="F29" s="76">
        <f>SUM(F25:F28)</f>
      </c>
      <c r="G29" s="76">
        <f>SUM(G25:G28)</f>
      </c>
      <c r="H29" s="76">
        <f>SUM(H25:H28)</f>
      </c>
      <c r="I29" s="76">
        <f>SUM(I25:I28)</f>
      </c>
      <c r="J29" s="76">
        <f>SUM(J25:J28)</f>
      </c>
      <c r="K29" s="76">
        <f>SUM(K25:K28)</f>
      </c>
      <c r="L29" s="76">
        <f>SUM(L25:L28)</f>
      </c>
      <c r="M29" s="76">
        <f>SUM(M25:M28)</f>
      </c>
      <c r="N29" s="76">
        <f>SUM(N25:N28)</f>
      </c>
      <c r="O29" s="77">
        <f t="shared" si="24"/>
      </c>
      <c r="P29" s="76">
        <f>SUM(P25:P28)</f>
      </c>
      <c r="Q29" s="77">
        <f t="shared" si="0"/>
      </c>
      <c r="R29" s="78">
        <f>SUM(R25:R28)</f>
      </c>
      <c r="S29" s="76">
        <f>SUM(S25:S28)</f>
      </c>
      <c r="T29" s="76">
        <f t="shared" si="12"/>
      </c>
      <c r="U29" s="76">
        <f t="shared" si="8"/>
      </c>
      <c r="V29" s="76">
        <f t="shared" si="20"/>
      </c>
      <c r="W29" s="76">
        <f>SUM(W25:W28)</f>
      </c>
      <c r="X29" s="79">
        <f t="shared" si="16"/>
      </c>
      <c r="Y29" s="79">
        <f t="shared" si="248"/>
      </c>
      <c r="Z29" s="76">
        <f t="shared" si="100"/>
      </c>
      <c r="AA29" s="76">
        <f t="shared" si="2"/>
      </c>
      <c r="AB29" s="80">
        <f t="shared" si="4"/>
      </c>
      <c r="AC29" s="77">
        <f t="shared" si="14"/>
      </c>
      <c r="AD29" s="77">
        <f t="shared" si="10"/>
      </c>
      <c r="AE29" s="77">
        <f t="shared" si="22"/>
      </c>
      <c r="AF29" s="77">
        <f t="shared" si="18"/>
      </c>
      <c r="AG29" s="77">
        <f t="shared" si="102"/>
      </c>
      <c r="AH29" s="77">
        <f t="shared" si="26"/>
      </c>
      <c r="AI29" s="77">
        <f t="shared" si="6"/>
      </c>
      <c r="AJ29" s="78">
        <f>AVERAGE(AJ25:AJ28)</f>
      </c>
      <c r="AK29" s="76">
        <f>SUM(AK25:AK28)</f>
      </c>
      <c r="AL29" s="76">
        <f>SUM(AL25:AL28)</f>
      </c>
      <c r="AM29" s="76">
        <f>SUM(AM25:AM28)</f>
      </c>
      <c r="AN29" s="76">
        <f>SUM(AN25:AN28)</f>
      </c>
      <c r="AO29" s="76">
        <f>SUM(AO25:AO28)</f>
      </c>
      <c r="AP29" s="76">
        <f>SUM(AP25:AP28)</f>
      </c>
      <c r="AQ29" s="76">
        <f>SUM(AQ25:AQ28)</f>
      </c>
      <c r="AR29" s="76">
        <f>SUM(AR25:AR28)</f>
      </c>
      <c r="AS29" s="76">
        <f>SUM(AS25:AS28)</f>
      </c>
      <c r="AT29" s="76">
        <f>SUM(AT25:AT28)</f>
      </c>
      <c r="AU29" s="76">
        <f>SUM(AU25:AU28)</f>
      </c>
      <c r="AV29" s="39"/>
      <c r="AW29" s="48"/>
      <c r="AX29" s="49">
        <f>SUM(AX25:AX28)</f>
      </c>
    </row>
    <row hidden="true" r="30">
      <c r="A30" s="74"/>
      <c r="B30" s="41" t="s">
        <v>59</v>
      </c>
      <c r="C30" s="41" t="s">
        <v>60</v>
      </c>
      <c r="D30" s="41" t="s">
        <v>67</v>
      </c>
      <c r="E30" s="41" t="s">
        <v>68</v>
      </c>
      <c r="F30" s="63">
        <f t="shared" ref="F30:F33" si="33">G30+H30+I30</f>
      </c>
      <c r="G30" s="63">
        <v>2060.7</v>
      </c>
      <c r="H30" s="63">
        <v>1107.63</v>
      </c>
      <c r="I30" s="64">
        <v>0</v>
      </c>
      <c r="J30" s="65">
        <v>1</v>
      </c>
      <c r="K30" s="65">
        <v>1553.25</v>
      </c>
      <c r="L30" s="65">
        <v>1</v>
      </c>
      <c r="M30" s="65">
        <v>1588.4000000000015</v>
      </c>
      <c r="N30" s="67">
        <v>0</v>
      </c>
      <c r="O30" s="68">
        <f t="shared" si="24"/>
      </c>
      <c r="P30" s="67">
        <v>0</v>
      </c>
      <c r="Q30" s="68">
        <f t="shared" si="0"/>
      </c>
      <c r="R30" s="69">
        <f t="shared" ref="R30:R33" si="109">J30+L30</f>
      </c>
      <c r="S30" s="70">
        <f t="shared" ref="S30:S33" si="181">K30+M30</f>
      </c>
      <c r="T30" s="63">
        <f t="shared" si="12"/>
      </c>
      <c r="U30" s="63">
        <f t="shared" si="8"/>
      </c>
      <c r="V30" s="71">
        <f t="shared" si="20"/>
      </c>
      <c r="W30" s="67">
        <v>2</v>
      </c>
      <c r="X30" s="71">
        <f t="shared" si="16"/>
      </c>
      <c r="Y30" s="71">
        <f t="shared" si="248"/>
      </c>
      <c r="Z30" s="63">
        <f t="shared" si="100"/>
      </c>
      <c r="AA30" s="63">
        <f t="shared" si="2"/>
      </c>
      <c r="AB30" s="63">
        <f t="shared" si="4"/>
      </c>
      <c r="AC30" s="68">
        <f t="shared" si="14"/>
      </c>
      <c r="AD30" s="68">
        <f t="shared" si="10"/>
      </c>
      <c r="AE30" s="68">
        <f t="shared" si="22"/>
      </c>
      <c r="AF30" s="68">
        <f t="shared" si="18"/>
      </c>
      <c r="AG30" s="68">
        <f t="shared" si="102"/>
      </c>
      <c r="AH30" s="68">
        <f t="shared" si="26"/>
      </c>
      <c r="AI30" s="68">
        <f t="shared" si="6"/>
      </c>
      <c r="AJ30" s="67">
        <v>76</v>
      </c>
      <c r="AK30" s="72">
        <v>13543</v>
      </c>
      <c r="AL30" s="72">
        <v>533</v>
      </c>
      <c r="AM30" s="72">
        <v>613</v>
      </c>
      <c r="AN30" s="72">
        <v>82</v>
      </c>
      <c r="AO30" s="73">
        <v>17</v>
      </c>
      <c r="AP30" s="72">
        <v>63</v>
      </c>
      <c r="AQ30" s="41">
        <v>78</v>
      </c>
      <c r="AR30" s="73">
        <v>7</v>
      </c>
      <c r="AS30" s="41">
        <v>6</v>
      </c>
      <c r="AT30" s="72">
        <v>1</v>
      </c>
      <c r="AU30" s="72">
        <v>5</v>
      </c>
      <c r="AV30" s="39"/>
      <c r="AW30" s="40"/>
      <c r="AX30" s="41">
        <f t="shared" ref="AX30:AX33" si="255">COUNT(AU30)</f>
      </c>
    </row>
    <row hidden="true" r="31">
      <c r="A31" s="74"/>
      <c r="B31" s="41" t="s">
        <v>59</v>
      </c>
      <c r="C31" s="41" t="s">
        <v>60</v>
      </c>
      <c r="D31" s="41" t="s">
        <v>67</v>
      </c>
      <c r="E31" s="41" t="s">
        <v>69</v>
      </c>
      <c r="F31" s="63">
        <f t="shared" si="33"/>
      </c>
      <c r="G31" s="63">
        <v>2371.87</v>
      </c>
      <c r="H31" s="63">
        <v>1812.04</v>
      </c>
      <c r="I31" s="64">
        <v>0</v>
      </c>
      <c r="J31" s="65">
        <v>0</v>
      </c>
      <c r="K31" s="65">
        <v>0</v>
      </c>
      <c r="L31" s="65">
        <v>4</v>
      </c>
      <c r="M31" s="65">
        <v>8725.259999999995</v>
      </c>
      <c r="N31" s="67">
        <v>0</v>
      </c>
      <c r="O31" s="68">
        <f t="shared" si="24"/>
      </c>
      <c r="P31" s="67">
        <v>1</v>
      </c>
      <c r="Q31" s="68">
        <f t="shared" si="0"/>
      </c>
      <c r="R31" s="69">
        <f t="shared" si="109"/>
      </c>
      <c r="S31" s="70">
        <f t="shared" si="181"/>
      </c>
      <c r="T31" s="63">
        <f t="shared" si="12"/>
      </c>
      <c r="U31" s="63">
        <f t="shared" si="8"/>
      </c>
      <c r="V31" s="71">
        <f t="shared" si="20"/>
      </c>
      <c r="W31" s="67">
        <v>4</v>
      </c>
      <c r="X31" s="71">
        <f t="shared" si="16"/>
      </c>
      <c r="Y31" s="71">
        <f t="shared" si="248"/>
      </c>
      <c r="Z31" s="63">
        <f t="shared" si="100"/>
      </c>
      <c r="AA31" s="63">
        <f t="shared" si="2"/>
      </c>
      <c r="AB31" s="63">
        <f t="shared" si="4"/>
      </c>
      <c r="AC31" s="68">
        <f t="shared" si="14"/>
      </c>
      <c r="AD31" s="68">
        <f t="shared" si="10"/>
      </c>
      <c r="AE31" s="68">
        <f t="shared" si="22"/>
      </c>
      <c r="AF31" s="68">
        <f t="shared" si="18"/>
      </c>
      <c r="AG31" s="68">
        <f t="shared" si="102"/>
      </c>
      <c r="AH31" s="68">
        <f t="shared" si="26"/>
      </c>
      <c r="AI31" s="68">
        <f t="shared" si="6"/>
      </c>
      <c r="AJ31" s="67">
        <v>78</v>
      </c>
      <c r="AK31" s="72">
        <v>15735</v>
      </c>
      <c r="AL31" s="72">
        <v>603</v>
      </c>
      <c r="AM31" s="72">
        <v>670</v>
      </c>
      <c r="AN31" s="72">
        <v>107</v>
      </c>
      <c r="AO31" s="73">
        <v>31</v>
      </c>
      <c r="AP31" s="72">
        <v>85</v>
      </c>
      <c r="AQ31" s="41">
        <v>107</v>
      </c>
      <c r="AR31" s="73">
        <v>4</v>
      </c>
      <c r="AS31" s="41">
        <v>11</v>
      </c>
      <c r="AT31" s="72">
        <v>0</v>
      </c>
      <c r="AU31" s="72">
        <v>6</v>
      </c>
      <c r="AV31" s="39"/>
      <c r="AW31" s="40"/>
      <c r="AX31" s="41">
        <f t="shared" si="255"/>
      </c>
    </row>
    <row hidden="true" r="32">
      <c r="A32" s="74"/>
      <c r="B32" s="41" t="s">
        <v>59</v>
      </c>
      <c r="C32" s="41" t="s">
        <v>60</v>
      </c>
      <c r="D32" s="41" t="s">
        <v>67</v>
      </c>
      <c r="E32" s="41" t="s">
        <v>70</v>
      </c>
      <c r="F32" s="63">
        <f t="shared" si="33"/>
      </c>
      <c r="G32" s="81">
        <v>1915.06</v>
      </c>
      <c r="H32" s="81">
        <v>1753.03</v>
      </c>
      <c r="I32" s="64">
        <v>0</v>
      </c>
      <c r="J32" s="65">
        <v>0</v>
      </c>
      <c r="K32" s="65">
        <v>0</v>
      </c>
      <c r="L32" s="65">
        <v>2</v>
      </c>
      <c r="M32" s="65">
        <v>4855.390000000007</v>
      </c>
      <c r="N32" s="67">
        <v>1</v>
      </c>
      <c r="O32" s="68">
        <f t="shared" si="24"/>
      </c>
      <c r="P32" s="67">
        <v>1</v>
      </c>
      <c r="Q32" s="68">
        <f t="shared" si="0"/>
      </c>
      <c r="R32" s="69">
        <f t="shared" si="109"/>
      </c>
      <c r="S32" s="70">
        <f t="shared" si="181"/>
      </c>
      <c r="T32" s="63">
        <f t="shared" si="12"/>
      </c>
      <c r="U32" s="63">
        <f t="shared" si="8"/>
      </c>
      <c r="V32" s="71">
        <f t="shared" si="20"/>
      </c>
      <c r="W32" s="67">
        <v>2</v>
      </c>
      <c r="X32" s="71">
        <f t="shared" si="16"/>
      </c>
      <c r="Y32" s="71">
        <f t="shared" si="248"/>
      </c>
      <c r="Z32" s="63">
        <f t="shared" si="100"/>
      </c>
      <c r="AA32" s="63">
        <f t="shared" si="2"/>
      </c>
      <c r="AB32" s="63">
        <f t="shared" si="4"/>
      </c>
      <c r="AC32" s="68">
        <f t="shared" si="14"/>
      </c>
      <c r="AD32" s="68">
        <f t="shared" si="10"/>
      </c>
      <c r="AE32" s="68">
        <f t="shared" si="22"/>
      </c>
      <c r="AF32" s="68">
        <f t="shared" si="18"/>
      </c>
      <c r="AG32" s="68">
        <f t="shared" si="102"/>
      </c>
      <c r="AH32" s="68">
        <f t="shared" si="26"/>
      </c>
      <c r="AI32" s="68">
        <f t="shared" si="6"/>
      </c>
      <c r="AJ32" s="67">
        <v>75</v>
      </c>
      <c r="AK32" s="72">
        <v>13649</v>
      </c>
      <c r="AL32" s="72">
        <v>556</v>
      </c>
      <c r="AM32" s="72">
        <v>607</v>
      </c>
      <c r="AN32" s="72">
        <v>101</v>
      </c>
      <c r="AO32" s="73">
        <v>24</v>
      </c>
      <c r="AP32" s="72">
        <v>70</v>
      </c>
      <c r="AQ32" s="41">
        <v>82</v>
      </c>
      <c r="AR32" s="73">
        <v>2</v>
      </c>
      <c r="AS32" s="67">
        <v>4</v>
      </c>
      <c r="AT32" s="67">
        <v>1</v>
      </c>
      <c r="AU32" s="67">
        <v>7</v>
      </c>
      <c r="AV32" s="39"/>
      <c r="AW32" s="40"/>
      <c r="AX32" s="41">
        <f t="shared" si="255"/>
      </c>
    </row>
    <row hidden="true" r="33">
      <c r="A33" s="74"/>
      <c r="B33" s="41" t="s">
        <v>71</v>
      </c>
      <c r="C33" s="41" t="s">
        <v>72</v>
      </c>
      <c r="D33" s="41" t="s">
        <v>67</v>
      </c>
      <c r="E33" s="41" t="s">
        <v>73</v>
      </c>
      <c r="F33" s="63">
        <f t="shared" si="33"/>
      </c>
      <c r="G33" s="81">
        <v>2112.38</v>
      </c>
      <c r="H33" s="81">
        <v>1279.81</v>
      </c>
      <c r="I33" s="64">
        <v>0</v>
      </c>
      <c r="J33" s="65">
        <v>0</v>
      </c>
      <c r="K33" s="65">
        <v>0</v>
      </c>
      <c r="L33" s="65">
        <v>0</v>
      </c>
      <c r="M33" s="65">
        <v>0</v>
      </c>
      <c r="N33" s="67">
        <v>0</v>
      </c>
      <c r="O33" s="68">
        <f t="shared" si="24"/>
      </c>
      <c r="P33" s="67">
        <v>0</v>
      </c>
      <c r="Q33" s="68">
        <f t="shared" si="0"/>
      </c>
      <c r="R33" s="69">
        <f t="shared" si="109"/>
      </c>
      <c r="S33" s="70">
        <f t="shared" si="181"/>
      </c>
      <c r="T33" s="63">
        <f t="shared" si="12"/>
      </c>
      <c r="U33" s="63">
        <f t="shared" si="8"/>
      </c>
      <c r="V33" s="71">
        <f t="shared" si="20"/>
      </c>
      <c r="W33" s="67">
        <v>0</v>
      </c>
      <c r="X33" s="71">
        <f t="shared" si="16"/>
      </c>
      <c r="Y33" s="71">
        <f t="shared" si="248"/>
      </c>
      <c r="Z33" s="63">
        <f t="shared" si="100"/>
      </c>
      <c r="AA33" s="63">
        <f t="shared" si="2"/>
      </c>
      <c r="AB33" s="63">
        <f t="shared" si="4"/>
      </c>
      <c r="AC33" s="68">
        <f t="shared" si="14"/>
      </c>
      <c r="AD33" s="68">
        <f t="shared" si="10"/>
      </c>
      <c r="AE33" s="68">
        <f t="shared" si="22"/>
      </c>
      <c r="AF33" s="68">
        <f t="shared" si="18"/>
      </c>
      <c r="AG33" s="68">
        <f t="shared" si="102"/>
      </c>
      <c r="AH33" s="68">
        <f t="shared" si="26"/>
      </c>
      <c r="AI33" s="68">
        <f t="shared" si="6"/>
      </c>
      <c r="AJ33" s="67">
        <v>64</v>
      </c>
      <c r="AK33" s="72">
        <v>13398</v>
      </c>
      <c r="AL33" s="72">
        <v>490</v>
      </c>
      <c r="AM33" s="72">
        <v>550</v>
      </c>
      <c r="AN33" s="72">
        <v>84</v>
      </c>
      <c r="AO33" s="73">
        <v>19</v>
      </c>
      <c r="AP33" s="72">
        <v>61</v>
      </c>
      <c r="AQ33" s="41">
        <v>76</v>
      </c>
      <c r="AR33" s="73">
        <v>0</v>
      </c>
      <c r="AS33" s="67">
        <v>12</v>
      </c>
      <c r="AT33" s="67">
        <v>1</v>
      </c>
      <c r="AU33" s="67">
        <v>3</v>
      </c>
      <c r="AV33" s="39"/>
      <c r="AW33" s="40"/>
      <c r="AX33" s="41">
        <f t="shared" si="255"/>
      </c>
    </row>
    <row hidden="true" r="34">
      <c r="A34" s="74"/>
      <c r="B34" s="75" t="s">
        <v>66</v>
      </c>
      <c r="C34" s="75"/>
      <c r="D34" s="75"/>
      <c r="E34" s="75"/>
      <c r="F34" s="76">
        <f>SUM(F30:F33)</f>
      </c>
      <c r="G34" s="76">
        <f>SUM(G30:G33)</f>
      </c>
      <c r="H34" s="76">
        <f>SUM(H30:H33)</f>
      </c>
      <c r="I34" s="76">
        <f>SUM(I30:I33)</f>
      </c>
      <c r="J34" s="76">
        <f>SUM(J30:J33)</f>
      </c>
      <c r="K34" s="76">
        <f>SUM(K30:K33)</f>
      </c>
      <c r="L34" s="76">
        <f>SUM(L30:L33)</f>
      </c>
      <c r="M34" s="76">
        <f>SUM(M30:M33)</f>
      </c>
      <c r="N34" s="76">
        <f>SUM(N30:N33)</f>
      </c>
      <c r="O34" s="77">
        <f t="shared" si="24"/>
      </c>
      <c r="P34" s="76">
        <f>SUM(P30:P33)</f>
      </c>
      <c r="Q34" s="77">
        <f t="shared" si="0"/>
      </c>
      <c r="R34" s="78">
        <f>SUM(R30:R33)</f>
      </c>
      <c r="S34" s="76">
        <f>SUM(S30:S33)</f>
      </c>
      <c r="T34" s="76">
        <f t="shared" si="12"/>
      </c>
      <c r="U34" s="76">
        <f t="shared" si="8"/>
      </c>
      <c r="V34" s="79">
        <f t="shared" si="20"/>
      </c>
      <c r="W34" s="76">
        <f>SUM(W30:W33)</f>
      </c>
      <c r="X34" s="79">
        <f t="shared" si="16"/>
      </c>
      <c r="Y34" s="79">
        <f t="shared" si="248"/>
      </c>
      <c r="Z34" s="76">
        <f t="shared" si="100"/>
      </c>
      <c r="AA34" s="76">
        <f t="shared" si="2"/>
      </c>
      <c r="AB34" s="80">
        <f t="shared" si="4"/>
      </c>
      <c r="AC34" s="77">
        <f t="shared" si="14"/>
      </c>
      <c r="AD34" s="77">
        <f t="shared" si="10"/>
      </c>
      <c r="AE34" s="77">
        <f t="shared" si="22"/>
      </c>
      <c r="AF34" s="82">
        <f t="shared" si="18"/>
      </c>
      <c r="AG34" s="77">
        <f t="shared" si="102"/>
      </c>
      <c r="AH34" s="77">
        <f t="shared" si="26"/>
      </c>
      <c r="AI34" s="77">
        <f t="shared" si="6"/>
      </c>
      <c r="AJ34" s="78">
        <f>AVERAGE(AJ30:AJ33)</f>
      </c>
      <c r="AK34" s="76">
        <f>SUM(AK30:AK33)</f>
      </c>
      <c r="AL34" s="76">
        <f>SUM(AL30:AL33)</f>
      </c>
      <c r="AM34" s="76">
        <f>SUM(AM30:AM33)</f>
      </c>
      <c r="AN34" s="76">
        <f>SUM(AN30:AN33)</f>
      </c>
      <c r="AO34" s="76">
        <f>SUM(AO30:AO33)</f>
      </c>
      <c r="AP34" s="76">
        <f>SUM(AP30:AP33)</f>
      </c>
      <c r="AQ34" s="76">
        <f>SUM(AQ30:AQ33)</f>
      </c>
      <c r="AR34" s="76">
        <f>SUM(AR30:AR33)</f>
      </c>
      <c r="AS34" s="76">
        <f>SUM(AS30:AS33)</f>
      </c>
      <c r="AT34" s="76">
        <f>SUM(AT30:AT33)</f>
      </c>
      <c r="AU34" s="76">
        <f>SUM(AU30:AU33)</f>
      </c>
      <c r="AV34" s="39"/>
      <c r="AW34" s="48"/>
      <c r="AX34" s="49">
        <f>SUM(AX30:AX33)</f>
      </c>
    </row>
    <row hidden="true" r="35">
      <c r="A35" s="74"/>
      <c r="B35" s="41" t="s">
        <v>71</v>
      </c>
      <c r="C35" s="41" t="s">
        <v>72</v>
      </c>
      <c r="D35" s="73" t="s">
        <v>85</v>
      </c>
      <c r="E35" s="41" t="s">
        <v>75</v>
      </c>
      <c r="F35" s="63">
        <f t="shared" ref="F35:F38" si="34">G35+H35+I35</f>
      </c>
      <c r="G35" s="81">
        <v>3314.19</v>
      </c>
      <c r="H35" s="81">
        <v>1966.06</v>
      </c>
      <c r="I35" s="64">
        <v>0</v>
      </c>
      <c r="J35" s="65">
        <v>2</v>
      </c>
      <c r="K35" s="65">
        <v>3900.249999999999</v>
      </c>
      <c r="L35" s="65">
        <v>2</v>
      </c>
      <c r="M35" s="65">
        <v>3616.939999999995</v>
      </c>
      <c r="N35" s="67">
        <v>2</v>
      </c>
      <c r="O35" s="68">
        <f t="shared" si="24"/>
      </c>
      <c r="P35" s="67">
        <v>2</v>
      </c>
      <c r="Q35" s="68">
        <f t="shared" si="0"/>
      </c>
      <c r="R35" s="69">
        <f t="shared" ref="R35:R38" si="110">J35+L35</f>
      </c>
      <c r="S35" s="70">
        <f t="shared" ref="S35:S38" si="182">K35+M35</f>
      </c>
      <c r="T35" s="63">
        <f t="shared" si="12"/>
      </c>
      <c r="U35" s="63">
        <f t="shared" si="8"/>
      </c>
      <c r="V35" s="71">
        <f t="shared" si="20"/>
      </c>
      <c r="W35" s="67">
        <v>3</v>
      </c>
      <c r="X35" s="71">
        <f t="shared" si="16"/>
      </c>
      <c r="Y35" s="71">
        <f t="shared" si="248"/>
      </c>
      <c r="Z35" s="63">
        <f t="shared" si="100"/>
      </c>
      <c r="AA35" s="63">
        <f t="shared" si="2"/>
      </c>
      <c r="AB35" s="63">
        <f t="shared" si="4"/>
      </c>
      <c r="AC35" s="68">
        <f t="shared" si="14"/>
      </c>
      <c r="AD35" s="68">
        <f t="shared" si="10"/>
      </c>
      <c r="AE35" s="68">
        <f t="shared" si="22"/>
      </c>
      <c r="AF35" s="68">
        <f t="shared" si="18"/>
      </c>
      <c r="AG35" s="68">
        <f t="shared" si="102"/>
      </c>
      <c r="AH35" s="68">
        <f t="shared" si="26"/>
      </c>
      <c r="AI35" s="68">
        <f t="shared" si="6"/>
      </c>
      <c r="AJ35" s="67">
        <v>69</v>
      </c>
      <c r="AK35" s="72">
        <v>23338</v>
      </c>
      <c r="AL35" s="72">
        <v>775</v>
      </c>
      <c r="AM35" s="72">
        <v>904</v>
      </c>
      <c r="AN35" s="72">
        <v>131</v>
      </c>
      <c r="AO35" s="73">
        <v>38</v>
      </c>
      <c r="AP35" s="72">
        <v>93</v>
      </c>
      <c r="AQ35" s="41">
        <v>122</v>
      </c>
      <c r="AR35" s="73">
        <v>5</v>
      </c>
      <c r="AS35" s="73">
        <v>13</v>
      </c>
      <c r="AT35" s="67">
        <v>1</v>
      </c>
      <c r="AU35" s="67">
        <v>7</v>
      </c>
      <c r="AV35" s="39"/>
      <c r="AW35" s="40"/>
      <c r="AX35" s="41">
        <f t="shared" ref="AX35:AX38" si="256">COUNT(AU35)</f>
      </c>
    </row>
    <row hidden="true" r="36">
      <c r="A36" s="74"/>
      <c r="B36" s="41" t="s">
        <v>71</v>
      </c>
      <c r="C36" s="41" t="s">
        <v>72</v>
      </c>
      <c r="D36" s="73" t="s">
        <v>85</v>
      </c>
      <c r="E36" s="41" t="s">
        <v>76</v>
      </c>
      <c r="F36" s="63">
        <f t="shared" si="34"/>
      </c>
      <c r="G36" s="81">
        <v>1744.95</v>
      </c>
      <c r="H36" s="81">
        <v>619.41</v>
      </c>
      <c r="I36" s="64">
        <v>0</v>
      </c>
      <c r="J36" s="65">
        <v>0</v>
      </c>
      <c r="K36" s="65">
        <v>0</v>
      </c>
      <c r="L36" s="65">
        <v>1</v>
      </c>
      <c r="M36" s="65">
        <v>6312.639999999999</v>
      </c>
      <c r="N36" s="67">
        <v>0</v>
      </c>
      <c r="O36" s="68">
        <f t="shared" si="24"/>
      </c>
      <c r="P36" s="67">
        <v>1</v>
      </c>
      <c r="Q36" s="68">
        <f t="shared" si="0"/>
      </c>
      <c r="R36" s="69">
        <f t="shared" si="110"/>
      </c>
      <c r="S36" s="70">
        <f t="shared" si="182"/>
      </c>
      <c r="T36" s="63">
        <f t="shared" si="12"/>
      </c>
      <c r="U36" s="63">
        <f t="shared" si="8"/>
      </c>
      <c r="V36" s="71">
        <f t="shared" si="20"/>
      </c>
      <c r="W36" s="67">
        <v>1</v>
      </c>
      <c r="X36" s="71">
        <f t="shared" si="16"/>
      </c>
      <c r="Y36" s="71">
        <f t="shared" si="248"/>
      </c>
      <c r="Z36" s="63">
        <f t="shared" si="100"/>
      </c>
      <c r="AA36" s="63">
        <f t="shared" si="2"/>
      </c>
      <c r="AB36" s="63">
        <f t="shared" si="4"/>
      </c>
      <c r="AC36" s="68">
        <f t="shared" si="14"/>
      </c>
      <c r="AD36" s="68">
        <f t="shared" si="10"/>
      </c>
      <c r="AE36" s="68">
        <f t="shared" si="22"/>
      </c>
      <c r="AF36" s="68">
        <f t="shared" si="18"/>
      </c>
      <c r="AG36" s="68">
        <f t="shared" si="102"/>
      </c>
      <c r="AH36" s="68">
        <f t="shared" si="26"/>
      </c>
      <c r="AI36" s="68">
        <f t="shared" si="6"/>
      </c>
      <c r="AJ36" s="67">
        <v>68</v>
      </c>
      <c r="AK36" s="72">
        <v>12556</v>
      </c>
      <c r="AL36" s="72">
        <v>504</v>
      </c>
      <c r="AM36" s="72">
        <v>606</v>
      </c>
      <c r="AN36" s="72">
        <v>64</v>
      </c>
      <c r="AO36" s="73">
        <v>21</v>
      </c>
      <c r="AP36" s="72">
        <v>55</v>
      </c>
      <c r="AQ36" s="41">
        <v>73</v>
      </c>
      <c r="AR36" s="73">
        <v>2</v>
      </c>
      <c r="AS36" s="41">
        <v>8</v>
      </c>
      <c r="AT36" s="72">
        <v>0</v>
      </c>
      <c r="AU36" s="72">
        <v>3</v>
      </c>
      <c r="AV36" s="39"/>
      <c r="AW36" s="40"/>
      <c r="AX36" s="41">
        <f t="shared" si="256"/>
      </c>
    </row>
    <row hidden="true" r="37">
      <c r="A37" s="74"/>
      <c r="B37" s="41" t="s">
        <v>71</v>
      </c>
      <c r="C37" s="41" t="s">
        <v>72</v>
      </c>
      <c r="D37" s="73" t="s">
        <v>85</v>
      </c>
      <c r="E37" s="41" t="s">
        <v>77</v>
      </c>
      <c r="F37" s="63">
        <f t="shared" si="34"/>
      </c>
      <c r="G37" s="81">
        <v>2227.84</v>
      </c>
      <c r="H37" s="81">
        <v>481.38</v>
      </c>
      <c r="I37" s="64">
        <v>0</v>
      </c>
      <c r="J37" s="65">
        <v>1</v>
      </c>
      <c r="K37" s="65">
        <v>1553.25</v>
      </c>
      <c r="L37" s="65">
        <v>1</v>
      </c>
      <c r="M37" s="65">
        <v>1371.800000000003</v>
      </c>
      <c r="N37" s="67">
        <v>0</v>
      </c>
      <c r="O37" s="68">
        <f t="shared" si="24"/>
      </c>
      <c r="P37" s="67">
        <v>0</v>
      </c>
      <c r="Q37" s="68">
        <f t="shared" si="0"/>
      </c>
      <c r="R37" s="69">
        <f t="shared" si="110"/>
      </c>
      <c r="S37" s="70">
        <f t="shared" si="182"/>
      </c>
      <c r="T37" s="63">
        <f t="shared" si="12"/>
      </c>
      <c r="U37" s="63">
        <f t="shared" si="8"/>
      </c>
      <c r="V37" s="71">
        <f t="shared" si="20"/>
      </c>
      <c r="W37" s="67">
        <v>1</v>
      </c>
      <c r="X37" s="71">
        <f t="shared" si="16"/>
      </c>
      <c r="Y37" s="71">
        <f t="shared" si="248"/>
      </c>
      <c r="Z37" s="63">
        <f t="shared" si="100"/>
      </c>
      <c r="AA37" s="63">
        <f t="shared" si="2"/>
      </c>
      <c r="AB37" s="63">
        <f t="shared" si="4"/>
      </c>
      <c r="AC37" s="68">
        <f t="shared" si="14"/>
      </c>
      <c r="AD37" s="68">
        <f t="shared" si="10"/>
      </c>
      <c r="AE37" s="68">
        <f t="shared" si="22"/>
      </c>
      <c r="AF37" s="68">
        <f t="shared" si="18"/>
      </c>
      <c r="AG37" s="68">
        <f t="shared" si="102"/>
      </c>
      <c r="AH37" s="68">
        <f t="shared" si="26"/>
      </c>
      <c r="AI37" s="68">
        <f t="shared" si="6"/>
      </c>
      <c r="AJ37" s="67">
        <v>67</v>
      </c>
      <c r="AK37" s="72">
        <v>12672</v>
      </c>
      <c r="AL37" s="72">
        <v>549</v>
      </c>
      <c r="AM37" s="72">
        <v>668</v>
      </c>
      <c r="AN37" s="72">
        <v>73</v>
      </c>
      <c r="AO37" s="73">
        <v>25</v>
      </c>
      <c r="AP37" s="72">
        <v>86</v>
      </c>
      <c r="AQ37" s="41">
        <v>72</v>
      </c>
      <c r="AR37" s="73">
        <v>3</v>
      </c>
      <c r="AS37" s="67">
        <v>8</v>
      </c>
      <c r="AT37" s="67">
        <v>1</v>
      </c>
      <c r="AU37" s="67">
        <v>2</v>
      </c>
      <c r="AV37" s="39"/>
      <c r="AW37" s="40"/>
      <c r="AX37" s="41">
        <f t="shared" si="256"/>
      </c>
    </row>
    <row hidden="true" r="38">
      <c r="A38" s="74"/>
      <c r="B38" s="41" t="s">
        <v>71</v>
      </c>
      <c r="C38" s="41" t="s">
        <v>72</v>
      </c>
      <c r="D38" s="73" t="s">
        <v>85</v>
      </c>
      <c r="E38" s="41" t="s">
        <v>78</v>
      </c>
      <c r="F38" s="63">
        <f t="shared" si="34"/>
      </c>
      <c r="G38" s="81">
        <v>3073.18</v>
      </c>
      <c r="H38" s="81">
        <v>690.93</v>
      </c>
      <c r="I38" s="64">
        <v>0</v>
      </c>
      <c r="J38" s="65">
        <v>2</v>
      </c>
      <c r="K38" s="65">
        <v>5212.619999999999</v>
      </c>
      <c r="L38" s="65">
        <v>2</v>
      </c>
      <c r="M38" s="65">
        <v>2801.3600000000006</v>
      </c>
      <c r="N38" s="67">
        <v>1</v>
      </c>
      <c r="O38" s="68">
        <f t="shared" si="24"/>
      </c>
      <c r="P38" s="67">
        <v>1</v>
      </c>
      <c r="Q38" s="68">
        <f t="shared" si="0"/>
      </c>
      <c r="R38" s="69">
        <f t="shared" si="110"/>
      </c>
      <c r="S38" s="70">
        <f t="shared" si="182"/>
      </c>
      <c r="T38" s="63">
        <f t="shared" si="12"/>
      </c>
      <c r="U38" s="63">
        <f t="shared" si="8"/>
      </c>
      <c r="V38" s="71">
        <f t="shared" si="20"/>
      </c>
      <c r="W38" s="67">
        <v>2</v>
      </c>
      <c r="X38" s="71">
        <f t="shared" si="16"/>
      </c>
      <c r="Y38" s="71">
        <f t="shared" si="248"/>
      </c>
      <c r="Z38" s="63">
        <f t="shared" si="100"/>
      </c>
      <c r="AA38" s="63">
        <f t="shared" si="2"/>
      </c>
      <c r="AB38" s="63">
        <f t="shared" si="4"/>
      </c>
      <c r="AC38" s="68">
        <f t="shared" si="14"/>
      </c>
      <c r="AD38" s="68">
        <f t="shared" si="10"/>
      </c>
      <c r="AE38" s="68">
        <f t="shared" si="22"/>
      </c>
      <c r="AF38" s="68">
        <f t="shared" si="18"/>
      </c>
      <c r="AG38" s="68">
        <f t="shared" si="102"/>
      </c>
      <c r="AH38" s="68">
        <f t="shared" si="26"/>
      </c>
      <c r="AI38" s="68">
        <f t="shared" si="6"/>
      </c>
      <c r="AJ38" s="67">
        <v>64</v>
      </c>
      <c r="AK38" s="72">
        <v>18709</v>
      </c>
      <c r="AL38" s="72">
        <v>759</v>
      </c>
      <c r="AM38" s="72">
        <v>915</v>
      </c>
      <c r="AN38" s="72">
        <v>116</v>
      </c>
      <c r="AO38" s="73">
        <v>29</v>
      </c>
      <c r="AP38" s="72">
        <v>120</v>
      </c>
      <c r="AQ38" s="41">
        <v>111</v>
      </c>
      <c r="AR38" s="73">
        <v>4</v>
      </c>
      <c r="AS38" s="72">
        <v>6</v>
      </c>
      <c r="AT38" s="72">
        <v>1</v>
      </c>
      <c r="AU38" s="72">
        <v>3</v>
      </c>
      <c r="AV38" s="39"/>
      <c r="AW38" s="40"/>
      <c r="AX38" s="41">
        <f t="shared" si="256"/>
      </c>
    </row>
    <row hidden="true" r="39">
      <c r="A39" s="74"/>
      <c r="B39" s="75" t="s">
        <v>66</v>
      </c>
      <c r="C39" s="75"/>
      <c r="D39" s="75"/>
      <c r="E39" s="75"/>
      <c r="F39" s="76">
        <f>SUM(F35:F38)</f>
      </c>
      <c r="G39" s="76">
        <f>SUM(G35:G38)</f>
      </c>
      <c r="H39" s="76">
        <f>SUM(H35:H38)</f>
      </c>
      <c r="I39" s="76">
        <f>SUM(I35:I38)</f>
      </c>
      <c r="J39" s="76">
        <f>SUM(J35:J38)</f>
      </c>
      <c r="K39" s="76">
        <f>SUM(K35:K38)</f>
      </c>
      <c r="L39" s="76">
        <f>SUM(L35:L38)</f>
      </c>
      <c r="M39" s="76">
        <f>SUM(M35:M38)</f>
      </c>
      <c r="N39" s="76">
        <f>SUM(N35:N38)</f>
      </c>
      <c r="O39" s="77">
        <f t="shared" si="24"/>
      </c>
      <c r="P39" s="76">
        <f>SUM(P35:P38)</f>
      </c>
      <c r="Q39" s="77">
        <f t="shared" si="0"/>
      </c>
      <c r="R39" s="78">
        <f>SUM(R35:R38)</f>
      </c>
      <c r="S39" s="76">
        <f>SUM(S35:S38)</f>
      </c>
      <c r="T39" s="76">
        <f t="shared" si="12"/>
      </c>
      <c r="U39" s="76">
        <f t="shared" si="8"/>
      </c>
      <c r="V39" s="79">
        <f t="shared" si="20"/>
      </c>
      <c r="W39" s="76">
        <f>SUM(W35:W38)</f>
      </c>
      <c r="X39" s="79">
        <f t="shared" si="16"/>
      </c>
      <c r="Y39" s="79">
        <f t="shared" si="248"/>
      </c>
      <c r="Z39" s="76">
        <f t="shared" si="100"/>
      </c>
      <c r="AA39" s="76">
        <f t="shared" si="2"/>
      </c>
      <c r="AB39" s="80">
        <f t="shared" si="4"/>
      </c>
      <c r="AC39" s="77">
        <f t="shared" si="14"/>
      </c>
      <c r="AD39" s="77">
        <f t="shared" si="10"/>
      </c>
      <c r="AE39" s="77">
        <f t="shared" si="22"/>
      </c>
      <c r="AF39" s="82">
        <f t="shared" si="18"/>
      </c>
      <c r="AG39" s="77">
        <f t="shared" si="102"/>
      </c>
      <c r="AH39" s="77">
        <f t="shared" si="26"/>
      </c>
      <c r="AI39" s="77">
        <f t="shared" si="6"/>
      </c>
      <c r="AJ39" s="78">
        <f>AVERAGE(AJ35:AJ38)</f>
      </c>
      <c r="AK39" s="76">
        <f>SUM(AK35:AK38)</f>
      </c>
      <c r="AL39" s="76">
        <f>SUM(AL35:AL38)</f>
      </c>
      <c r="AM39" s="76">
        <f>SUM(AM35:AM38)</f>
      </c>
      <c r="AN39" s="76">
        <f>SUM(AN35:AN38)</f>
      </c>
      <c r="AO39" s="76">
        <f>SUM(AO35:AO38)</f>
      </c>
      <c r="AP39" s="76">
        <f>SUM(AP35:AP38)</f>
      </c>
      <c r="AQ39" s="76">
        <f>SUM(AQ35:AQ38)</f>
      </c>
      <c r="AR39" s="76">
        <f>SUM(AR35:AR38)</f>
      </c>
      <c r="AS39" s="76">
        <f>SUM(AS35:AS38)</f>
      </c>
      <c r="AT39" s="76">
        <f>SUM(AT35:AT38)</f>
      </c>
      <c r="AU39" s="76">
        <f>SUM(AU35:AU38)</f>
      </c>
      <c r="AV39" s="39"/>
      <c r="AW39" s="48"/>
      <c r="AX39" s="49">
        <f>SUM(AX35:AX38)</f>
      </c>
    </row>
    <row hidden="true" r="40">
      <c r="A40" s="74"/>
      <c r="B40" s="41" t="s">
        <v>71</v>
      </c>
      <c r="C40" s="41" t="s">
        <v>72</v>
      </c>
      <c r="D40" s="41" t="s">
        <v>79</v>
      </c>
      <c r="E40" s="41" t="s">
        <v>80</v>
      </c>
      <c r="F40" s="63">
        <f t="shared" ref="F40:F43" si="35">G40+H40+I40</f>
      </c>
      <c r="G40" s="81">
        <v>2504.44</v>
      </c>
      <c r="H40" s="81">
        <v>609.19</v>
      </c>
      <c r="I40" s="64">
        <v>0</v>
      </c>
      <c r="J40" s="65">
        <v>1</v>
      </c>
      <c r="K40" s="65">
        <v>4650</v>
      </c>
      <c r="L40" s="65">
        <v>1</v>
      </c>
      <c r="M40" s="65">
        <v>2033.949999999997</v>
      </c>
      <c r="N40" s="67">
        <v>0</v>
      </c>
      <c r="O40" s="68">
        <f t="shared" si="24"/>
      </c>
      <c r="P40" s="67">
        <v>0</v>
      </c>
      <c r="Q40" s="68">
        <f t="shared" si="0"/>
      </c>
      <c r="R40" s="83">
        <f t="shared" ref="R40:R43" si="111">J40+L40</f>
      </c>
      <c r="S40" s="70">
        <f t="shared" ref="S40:S43" si="183">K40+M40</f>
      </c>
      <c r="T40" s="63">
        <f t="shared" si="12"/>
      </c>
      <c r="U40" s="63">
        <f t="shared" si="8"/>
      </c>
      <c r="V40" s="71">
        <f t="shared" si="20"/>
      </c>
      <c r="W40" s="67">
        <v>1</v>
      </c>
      <c r="X40" s="71">
        <f t="shared" si="16"/>
      </c>
      <c r="Y40" s="71">
        <f t="shared" si="248"/>
      </c>
      <c r="Z40" s="63">
        <f t="shared" si="100"/>
      </c>
      <c r="AA40" s="63">
        <f t="shared" si="2"/>
      </c>
      <c r="AB40" s="63">
        <f t="shared" si="4"/>
      </c>
      <c r="AC40" s="68">
        <f t="shared" si="14"/>
      </c>
      <c r="AD40" s="68">
        <f t="shared" si="10"/>
      </c>
      <c r="AE40" s="68">
        <f t="shared" si="22"/>
      </c>
      <c r="AF40" s="68">
        <f t="shared" si="18"/>
      </c>
      <c r="AG40" s="68">
        <f t="shared" si="102"/>
      </c>
      <c r="AH40" s="68">
        <f t="shared" si="26"/>
      </c>
      <c r="AI40" s="68">
        <f t="shared" si="6"/>
      </c>
      <c r="AJ40" s="67">
        <v>65</v>
      </c>
      <c r="AK40" s="72">
        <v>16068</v>
      </c>
      <c r="AL40" s="72">
        <v>658</v>
      </c>
      <c r="AM40" s="72">
        <v>797</v>
      </c>
      <c r="AN40" s="72">
        <v>92</v>
      </c>
      <c r="AO40" s="73">
        <v>28</v>
      </c>
      <c r="AP40" s="72">
        <v>99</v>
      </c>
      <c r="AQ40" s="41">
        <v>106</v>
      </c>
      <c r="AR40" s="73">
        <v>4</v>
      </c>
      <c r="AS40" s="67">
        <v>11</v>
      </c>
      <c r="AT40" s="67">
        <v>0</v>
      </c>
      <c r="AU40" s="67">
        <v>5</v>
      </c>
      <c r="AV40" s="39"/>
      <c r="AW40" s="40"/>
      <c r="AX40" s="41">
        <f t="shared" ref="AX40:AX43" si="257">COUNT(AU40)</f>
      </c>
    </row>
    <row hidden="true" r="41">
      <c r="A41" s="74"/>
      <c r="B41" s="41" t="s">
        <v>71</v>
      </c>
      <c r="C41" s="41" t="s">
        <v>72</v>
      </c>
      <c r="D41" s="41" t="s">
        <v>79</v>
      </c>
      <c r="E41" s="41" t="s">
        <v>81</v>
      </c>
      <c r="F41" s="63">
        <f t="shared" si="35"/>
      </c>
      <c r="G41" s="81">
        <v>2252.37</v>
      </c>
      <c r="H41" s="81">
        <v>894.61</v>
      </c>
      <c r="I41" s="64">
        <v>0</v>
      </c>
      <c r="J41" s="65">
        <v>1</v>
      </c>
      <c r="K41" s="65">
        <v>1935.1599999999999</v>
      </c>
      <c r="L41" s="65">
        <v>0</v>
      </c>
      <c r="M41" s="65">
        <v>0</v>
      </c>
      <c r="N41" s="67">
        <v>1</v>
      </c>
      <c r="O41" s="68">
        <f t="shared" si="24"/>
      </c>
      <c r="P41" s="67">
        <v>1</v>
      </c>
      <c r="Q41" s="68">
        <f t="shared" si="0"/>
      </c>
      <c r="R41" s="83">
        <f t="shared" si="111"/>
      </c>
      <c r="S41" s="70">
        <f t="shared" si="183"/>
      </c>
      <c r="T41" s="63">
        <f t="shared" si="12"/>
      </c>
      <c r="U41" s="63">
        <f t="shared" si="8"/>
      </c>
      <c r="V41" s="71">
        <f t="shared" si="20"/>
      </c>
      <c r="W41" s="67">
        <v>2</v>
      </c>
      <c r="X41" s="71">
        <f t="shared" si="16"/>
      </c>
      <c r="Y41" s="71">
        <f t="shared" si="248"/>
      </c>
      <c r="Z41" s="63">
        <f t="shared" si="100"/>
      </c>
      <c r="AA41" s="63">
        <f t="shared" si="2"/>
      </c>
      <c r="AB41" s="63">
        <f t="shared" si="4"/>
      </c>
      <c r="AC41" s="68">
        <f t="shared" si="14"/>
      </c>
      <c r="AD41" s="68">
        <f t="shared" si="10"/>
      </c>
      <c r="AE41" s="68">
        <f t="shared" si="22"/>
      </c>
      <c r="AF41" s="68">
        <f t="shared" si="18"/>
      </c>
      <c r="AG41" s="68">
        <f t="shared" si="102"/>
      </c>
      <c r="AH41" s="68">
        <f t="shared" si="26"/>
      </c>
      <c r="AI41" s="68">
        <f t="shared" si="6"/>
      </c>
      <c r="AJ41" s="67">
        <v>64</v>
      </c>
      <c r="AK41" s="72">
        <v>17135</v>
      </c>
      <c r="AL41" s="72">
        <v>576</v>
      </c>
      <c r="AM41" s="72">
        <v>690</v>
      </c>
      <c r="AN41" s="72">
        <v>101</v>
      </c>
      <c r="AO41" s="73">
        <v>29</v>
      </c>
      <c r="AP41" s="72">
        <v>92</v>
      </c>
      <c r="AQ41" s="41">
        <v>99</v>
      </c>
      <c r="AR41" s="73">
        <v>5</v>
      </c>
      <c r="AS41" s="72">
        <v>8</v>
      </c>
      <c r="AT41" s="72">
        <v>0</v>
      </c>
      <c r="AU41" s="72">
        <v>0</v>
      </c>
      <c r="AV41" s="39"/>
      <c r="AW41" s="40"/>
      <c r="AX41" s="41">
        <f t="shared" si="257"/>
      </c>
    </row>
    <row hidden="true" r="42">
      <c r="A42" s="74"/>
      <c r="B42" s="41" t="s">
        <v>71</v>
      </c>
      <c r="C42" s="41" t="s">
        <v>72</v>
      </c>
      <c r="D42" s="41" t="s">
        <v>79</v>
      </c>
      <c r="E42" s="41" t="s">
        <v>82</v>
      </c>
      <c r="F42" s="63">
        <f t="shared" si="35"/>
      </c>
      <c r="G42" s="81">
        <v>1445.07</v>
      </c>
      <c r="H42" s="81">
        <v>894.95</v>
      </c>
      <c r="I42" s="64">
        <v>0</v>
      </c>
      <c r="J42" s="65">
        <v>1</v>
      </c>
      <c r="K42" s="65">
        <v>3621.5599999999977</v>
      </c>
      <c r="L42" s="65">
        <v>2</v>
      </c>
      <c r="M42" s="65">
        <v>4250.300000000003</v>
      </c>
      <c r="N42" s="67">
        <v>0</v>
      </c>
      <c r="O42" s="68">
        <f t="shared" si="24"/>
      </c>
      <c r="P42" s="67">
        <v>1</v>
      </c>
      <c r="Q42" s="68">
        <f t="shared" si="0"/>
      </c>
      <c r="R42" s="83">
        <f t="shared" si="111"/>
      </c>
      <c r="S42" s="70">
        <f t="shared" si="183"/>
      </c>
      <c r="T42" s="63">
        <f t="shared" si="12"/>
      </c>
      <c r="U42" s="63">
        <f t="shared" si="8"/>
      </c>
      <c r="V42" s="71">
        <f t="shared" si="20"/>
      </c>
      <c r="W42" s="67">
        <v>3</v>
      </c>
      <c r="X42" s="71">
        <f t="shared" si="16"/>
      </c>
      <c r="Y42" s="71">
        <f t="shared" si="248"/>
      </c>
      <c r="Z42" s="63">
        <f t="shared" si="100"/>
      </c>
      <c r="AA42" s="63">
        <f t="shared" si="2"/>
      </c>
      <c r="AB42" s="63">
        <f t="shared" si="4"/>
      </c>
      <c r="AC42" s="68">
        <f t="shared" si="14"/>
      </c>
      <c r="AD42" s="68">
        <f t="shared" si="10"/>
      </c>
      <c r="AE42" s="68">
        <f t="shared" si="22"/>
      </c>
      <c r="AF42" s="68">
        <f t="shared" si="18"/>
      </c>
      <c r="AG42" s="68">
        <f t="shared" si="102"/>
      </c>
      <c r="AH42" s="68">
        <f t="shared" si="26"/>
      </c>
      <c r="AI42" s="68">
        <f t="shared" si="6"/>
      </c>
      <c r="AJ42" s="67">
        <v>66</v>
      </c>
      <c r="AK42" s="72">
        <v>12641</v>
      </c>
      <c r="AL42" s="72">
        <v>451</v>
      </c>
      <c r="AM42" s="72">
        <v>553</v>
      </c>
      <c r="AN42" s="72">
        <v>76</v>
      </c>
      <c r="AO42" s="73">
        <v>23</v>
      </c>
      <c r="AP42" s="72">
        <v>129</v>
      </c>
      <c r="AQ42" s="41">
        <v>87</v>
      </c>
      <c r="AR42" s="73">
        <v>4</v>
      </c>
      <c r="AS42" s="72">
        <v>5</v>
      </c>
      <c r="AT42" s="72">
        <v>1</v>
      </c>
      <c r="AU42" s="72">
        <v>4</v>
      </c>
      <c r="AV42" s="39"/>
      <c r="AW42" s="40"/>
      <c r="AX42" s="41">
        <f t="shared" si="257"/>
      </c>
    </row>
    <row hidden="true" r="43">
      <c r="A43" s="74"/>
      <c r="B43" s="41" t="s">
        <v>71</v>
      </c>
      <c r="C43" s="41" t="s">
        <v>72</v>
      </c>
      <c r="D43" s="41" t="s">
        <v>79</v>
      </c>
      <c r="E43" s="41" t="s">
        <v>83</v>
      </c>
      <c r="F43" s="63">
        <f t="shared" si="35"/>
      </c>
      <c r="G43" s="81">
        <v>1414.71</v>
      </c>
      <c r="H43" s="81">
        <v>1460.34</v>
      </c>
      <c r="I43" s="64">
        <v>0</v>
      </c>
      <c r="J43" s="65">
        <v>1</v>
      </c>
      <c r="K43" s="65">
        <v>1635</v>
      </c>
      <c r="L43" s="65">
        <v>3</v>
      </c>
      <c r="M43" s="65">
        <v>9090.770000000004</v>
      </c>
      <c r="N43" s="67">
        <v>1</v>
      </c>
      <c r="O43" s="68">
        <f t="shared" si="24"/>
      </c>
      <c r="P43" s="67">
        <v>1</v>
      </c>
      <c r="Q43" s="68">
        <f t="shared" si="0"/>
      </c>
      <c r="R43" s="83">
        <f t="shared" si="111"/>
      </c>
      <c r="S43" s="70">
        <f t="shared" si="183"/>
      </c>
      <c r="T43" s="63">
        <f t="shared" si="12"/>
      </c>
      <c r="U43" s="63">
        <f t="shared" si="8"/>
      </c>
      <c r="V43" s="71">
        <f t="shared" si="20"/>
      </c>
      <c r="W43" s="67">
        <v>4</v>
      </c>
      <c r="X43" s="71">
        <f t="shared" si="16"/>
      </c>
      <c r="Y43" s="71">
        <f t="shared" si="248"/>
      </c>
      <c r="Z43" s="63">
        <f t="shared" si="100"/>
      </c>
      <c r="AA43" s="63">
        <f t="shared" si="2"/>
      </c>
      <c r="AB43" s="63">
        <f t="shared" si="4"/>
      </c>
      <c r="AC43" s="68">
        <f t="shared" si="14"/>
      </c>
      <c r="AD43" s="68">
        <f t="shared" si="10"/>
      </c>
      <c r="AE43" s="68">
        <f t="shared" si="22"/>
      </c>
      <c r="AF43" s="68">
        <f t="shared" si="18"/>
      </c>
      <c r="AG43" s="68">
        <f t="shared" si="102"/>
      </c>
      <c r="AH43" s="68">
        <f t="shared" si="26"/>
      </c>
      <c r="AI43" s="68">
        <f t="shared" si="6"/>
      </c>
      <c r="AJ43" s="67">
        <v>67</v>
      </c>
      <c r="AK43" s="72">
        <v>17908</v>
      </c>
      <c r="AL43" s="72">
        <v>634</v>
      </c>
      <c r="AM43" s="72">
        <v>816</v>
      </c>
      <c r="AN43" s="72">
        <v>96</v>
      </c>
      <c r="AO43" s="73">
        <v>32</v>
      </c>
      <c r="AP43" s="72">
        <v>119</v>
      </c>
      <c r="AQ43" s="41">
        <v>102</v>
      </c>
      <c r="AR43" s="73">
        <v>5</v>
      </c>
      <c r="AS43" s="67">
        <v>12</v>
      </c>
      <c r="AT43" s="67">
        <v>3</v>
      </c>
      <c r="AU43" s="67">
        <v>9</v>
      </c>
      <c r="AV43" s="39"/>
      <c r="AW43" s="40"/>
      <c r="AX43" s="41">
        <f t="shared" si="257"/>
      </c>
    </row>
    <row hidden="true" r="44">
      <c r="A44" s="74"/>
      <c r="B44" s="75" t="s">
        <v>66</v>
      </c>
      <c r="C44" s="75"/>
      <c r="D44" s="75"/>
      <c r="E44" s="75"/>
      <c r="F44" s="76">
        <f>SUM(F40:F43)</f>
      </c>
      <c r="G44" s="76">
        <f>SUM(G40:G43)</f>
      </c>
      <c r="H44" s="76">
        <f>SUM(H40:H43)</f>
      </c>
      <c r="I44" s="76">
        <f>SUM(I40:I43)</f>
      </c>
      <c r="J44" s="76">
        <f>SUM(J40:J43)</f>
      </c>
      <c r="K44" s="76">
        <f>SUM(K40:K43)</f>
      </c>
      <c r="L44" s="76">
        <f>SUM(L40:L43)</f>
      </c>
      <c r="M44" s="76">
        <f>SUM(M40:M43)</f>
      </c>
      <c r="N44" s="76">
        <f>SUM(N40:N43)</f>
      </c>
      <c r="O44" s="77">
        <f t="shared" si="24"/>
      </c>
      <c r="P44" s="76">
        <f>SUM(P40:P43)</f>
      </c>
      <c r="Q44" s="77">
        <f t="shared" si="0"/>
      </c>
      <c r="R44" s="78">
        <f>SUM(R40:R43)</f>
      </c>
      <c r="S44" s="76">
        <f>SUM(S40:S43)</f>
      </c>
      <c r="T44" s="79">
        <f t="shared" si="12"/>
      </c>
      <c r="U44" s="76">
        <f t="shared" si="8"/>
      </c>
      <c r="V44" s="79">
        <f t="shared" si="20"/>
      </c>
      <c r="W44" s="76">
        <f>SUM(W40:W43)</f>
      </c>
      <c r="X44" s="79">
        <f t="shared" si="16"/>
      </c>
      <c r="Y44" s="79">
        <f t="shared" si="248"/>
      </c>
      <c r="Z44" s="76">
        <f t="shared" si="100"/>
      </c>
      <c r="AA44" s="76">
        <f t="shared" si="2"/>
      </c>
      <c r="AB44" s="80">
        <f t="shared" si="4"/>
      </c>
      <c r="AC44" s="77">
        <f t="shared" si="14"/>
      </c>
      <c r="AD44" s="77">
        <f t="shared" si="10"/>
      </c>
      <c r="AE44" s="77">
        <f t="shared" si="22"/>
      </c>
      <c r="AF44" s="82">
        <f t="shared" si="18"/>
      </c>
      <c r="AG44" s="77">
        <f t="shared" si="102"/>
      </c>
      <c r="AH44" s="77">
        <f t="shared" si="26"/>
      </c>
      <c r="AI44" s="77">
        <f t="shared" si="6"/>
      </c>
      <c r="AJ44" s="78">
        <f>AVERAGE(AJ40:AJ43)</f>
      </c>
      <c r="AK44" s="76">
        <f>SUM(AK40:AK43)</f>
      </c>
      <c r="AL44" s="76">
        <f>SUM(AL40:AL43)</f>
      </c>
      <c r="AM44" s="76">
        <f>SUM(AM40:AM43)</f>
      </c>
      <c r="AN44" s="76">
        <f>SUM(AN40:AN43)</f>
      </c>
      <c r="AO44" s="76">
        <f>SUM(AO40:AO43)</f>
      </c>
      <c r="AP44" s="76">
        <f>SUM(AP40:AP43)</f>
      </c>
      <c r="AQ44" s="76">
        <f>SUM(AQ40:AQ43)</f>
      </c>
      <c r="AR44" s="76">
        <f>SUM(AR40:AR43)</f>
      </c>
      <c r="AS44" s="76">
        <f>SUM(AS40:AS43)</f>
      </c>
      <c r="AT44" s="76">
        <f>SUM(AT40:AT43)</f>
      </c>
      <c r="AU44" s="76">
        <f>SUM(AU40:AU43)</f>
      </c>
      <c r="AV44" s="39"/>
      <c r="AW44" s="48"/>
      <c r="AX44" s="49">
        <f>SUM(AX40:AX43)</f>
      </c>
    </row>
    <row hidden="true" r="45">
      <c r="A45" s="74"/>
      <c r="B45" s="84" t="s">
        <v>84</v>
      </c>
      <c r="C45" s="84"/>
      <c r="D45" s="84"/>
      <c r="E45" s="84"/>
      <c r="F45" s="85">
        <f>F29+F34+F39+F44</f>
      </c>
      <c r="G45" s="85">
        <f>G29+G34+G39+G44</f>
      </c>
      <c r="H45" s="85">
        <f>H29+H34+H39+H44</f>
      </c>
      <c r="I45" s="85">
        <f>I29+I34+I39+I44</f>
      </c>
      <c r="J45" s="85">
        <f>J29+J34+J39+J44</f>
      </c>
      <c r="K45" s="85">
        <f>K29+K34+K39+K44</f>
      </c>
      <c r="L45" s="85">
        <f>L29+L34+L39+L44</f>
      </c>
      <c r="M45" s="85">
        <f>M29+M34+M39+M44</f>
      </c>
      <c r="N45" s="85">
        <f>N29+N34+N39+N44</f>
      </c>
      <c r="O45" s="86">
        <f t="shared" si="24"/>
      </c>
      <c r="P45" s="84">
        <f>P29+P34+P39+P44</f>
      </c>
      <c r="Q45" s="86">
        <f t="shared" si="0"/>
      </c>
      <c r="R45" s="87">
        <f>R29+R34+R39+R44</f>
      </c>
      <c r="S45" s="85">
        <f>S29+S34+S39+S44</f>
      </c>
      <c r="T45" s="85">
        <f t="shared" si="12"/>
      </c>
      <c r="U45" s="85">
        <f t="shared" si="8"/>
      </c>
      <c r="V45" s="88">
        <f t="shared" si="20"/>
      </c>
      <c r="W45" s="84">
        <f>W29+W34+W39+W44</f>
      </c>
      <c r="X45" s="88">
        <f t="shared" si="16"/>
      </c>
      <c r="Y45" s="88">
        <f t="shared" si="248"/>
      </c>
      <c r="Z45" s="85">
        <f t="shared" si="100"/>
      </c>
      <c r="AA45" s="85">
        <f t="shared" si="2"/>
      </c>
      <c r="AB45" s="89">
        <f t="shared" si="4"/>
      </c>
      <c r="AC45" s="86">
        <f t="shared" si="14"/>
      </c>
      <c r="AD45" s="86">
        <f t="shared" si="10"/>
      </c>
      <c r="AE45" s="86">
        <f t="shared" si="22"/>
      </c>
      <c r="AF45" s="90">
        <f t="shared" si="18"/>
      </c>
      <c r="AG45" s="86">
        <f t="shared" si="102"/>
      </c>
      <c r="AH45" s="86">
        <f t="shared" si="26"/>
      </c>
      <c r="AI45" s="86">
        <f t="shared" si="6"/>
      </c>
      <c r="AJ45" s="87">
        <f>(AJ29+AJ34+AJ39+AJ44)/4</f>
      </c>
      <c r="AK45" s="84">
        <f>AK29+AK34+AK39+AK44</f>
      </c>
      <c r="AL45" s="84">
        <f>AL29+AL34+AL39+AL44</f>
      </c>
      <c r="AM45" s="84">
        <f>AM29+AM34+AM39+AM44</f>
      </c>
      <c r="AN45" s="84">
        <f>AN29+AN34+AN39+AN44</f>
      </c>
      <c r="AO45" s="84">
        <f>AO29+AO34+AO39+AO44</f>
      </c>
      <c r="AP45" s="84">
        <f>AP29+AP34+AP39+AP44</f>
      </c>
      <c r="AQ45" s="84">
        <f>AQ29+AQ34+AQ39+AQ44</f>
      </c>
      <c r="AR45" s="84">
        <f>AR29+AR34+AR39+AR44</f>
      </c>
      <c r="AS45" s="84">
        <f>AS29+AS34+AS39+AS44</f>
      </c>
      <c r="AT45" s="84">
        <f>AT29+AT34+AT39+AT44</f>
      </c>
      <c r="AU45" s="84">
        <f>AU29+AU34+AU39+AU44</f>
      </c>
      <c r="AV45" s="39"/>
      <c r="AW45" s="84">
        <f>AW29+AW34+AW39</f>
      </c>
      <c r="AX45" s="84">
        <f>AX29+AX34+AX39+AX44</f>
      </c>
    </row>
    <row hidden="true" r="46">
      <c r="A46" s="62">
        <v>46298</v>
      </c>
      <c r="B46" s="41" t="s">
        <v>59</v>
      </c>
      <c r="C46" s="41" t="s">
        <v>60</v>
      </c>
      <c r="D46" s="41" t="s">
        <v>61</v>
      </c>
      <c r="E46" s="28" t="s">
        <v>62</v>
      </c>
      <c r="F46" s="63">
        <f t="shared" ref="F46:F49" si="36">G46+H46+I46</f>
      </c>
      <c r="G46" s="63">
        <v>2325.06</v>
      </c>
      <c r="H46" s="63">
        <v>2042.3</v>
      </c>
      <c r="I46" s="64">
        <v>0</v>
      </c>
      <c r="J46" s="65">
        <v>5</v>
      </c>
      <c r="K46" s="66">
        <v>7759.83</v>
      </c>
      <c r="L46" s="65">
        <v>3</v>
      </c>
      <c r="M46" s="65">
        <v>12891.949999999999</v>
      </c>
      <c r="N46" s="67">
        <v>1</v>
      </c>
      <c r="O46" s="68">
        <f t="shared" si="24"/>
      </c>
      <c r="P46" s="67">
        <v>3</v>
      </c>
      <c r="Q46" s="68">
        <f t="shared" si="0"/>
      </c>
      <c r="R46" s="69">
        <f t="shared" ref="R46:R49" si="112">J46+L46</f>
      </c>
      <c r="S46" s="70">
        <f t="shared" ref="S46:S49" si="184">K46+M46</f>
      </c>
      <c r="T46" s="63">
        <f t="shared" si="12"/>
      </c>
      <c r="U46" s="63">
        <f t="shared" si="8"/>
      </c>
      <c r="V46" s="71">
        <f t="shared" si="20"/>
      </c>
      <c r="W46" s="67">
        <v>6</v>
      </c>
      <c r="X46" s="71">
        <f t="shared" si="16"/>
      </c>
      <c r="Y46" s="71">
        <f t="shared" si="248"/>
      </c>
      <c r="Z46" s="63">
        <f t="shared" si="100"/>
      </c>
      <c r="AA46" s="63">
        <f t="shared" si="2"/>
      </c>
      <c r="AB46" s="63">
        <f t="shared" si="4"/>
      </c>
      <c r="AC46" s="68">
        <f t="shared" si="14"/>
      </c>
      <c r="AD46" s="68">
        <f t="shared" si="10"/>
      </c>
      <c r="AE46" s="68">
        <f t="shared" si="22"/>
      </c>
      <c r="AF46" s="68">
        <f t="shared" si="18"/>
      </c>
      <c r="AG46" s="68">
        <f t="shared" si="102"/>
      </c>
      <c r="AH46" s="68">
        <f t="shared" si="26"/>
      </c>
      <c r="AI46" s="68">
        <f t="shared" si="6"/>
      </c>
      <c r="AJ46" s="67">
        <v>59</v>
      </c>
      <c r="AK46" s="72">
        <v>19582</v>
      </c>
      <c r="AL46" s="72">
        <v>580</v>
      </c>
      <c r="AM46" s="72">
        <v>696</v>
      </c>
      <c r="AN46" s="72">
        <v>99</v>
      </c>
      <c r="AO46" s="73">
        <v>36</v>
      </c>
      <c r="AP46" s="41">
        <v>100</v>
      </c>
      <c r="AQ46" s="41">
        <v>107</v>
      </c>
      <c r="AR46" s="73">
        <v>8</v>
      </c>
      <c r="AS46" s="41">
        <v>10</v>
      </c>
      <c r="AT46" s="72">
        <v>2</v>
      </c>
      <c r="AU46" s="72">
        <v>6</v>
      </c>
      <c r="AV46" s="39"/>
      <c r="AW46" s="40"/>
      <c r="AX46" s="41">
        <f t="shared" ref="AX46:AX49" si="258">COUNT(AU46)</f>
      </c>
    </row>
    <row hidden="true" r="47">
      <c r="A47" s="74"/>
      <c r="B47" s="41" t="s">
        <v>59</v>
      </c>
      <c r="C47" s="41" t="s">
        <v>60</v>
      </c>
      <c r="D47" s="41" t="s">
        <v>61</v>
      </c>
      <c r="E47" s="28" t="s">
        <v>63</v>
      </c>
      <c r="F47" s="63">
        <f t="shared" si="36"/>
      </c>
      <c r="G47" s="63">
        <v>1728.63</v>
      </c>
      <c r="H47" s="81">
        <v>1034.63</v>
      </c>
      <c r="I47" s="64">
        <v>0</v>
      </c>
      <c r="J47" s="65">
        <v>1</v>
      </c>
      <c r="K47" s="65">
        <v>1014.6000000000004</v>
      </c>
      <c r="L47" s="65">
        <v>2</v>
      </c>
      <c r="M47" s="65">
        <v>5390.030000000001</v>
      </c>
      <c r="N47" s="67">
        <v>1</v>
      </c>
      <c r="O47" s="68">
        <f t="shared" si="24"/>
      </c>
      <c r="P47" s="67">
        <v>0</v>
      </c>
      <c r="Q47" s="68">
        <f t="shared" si="0"/>
      </c>
      <c r="R47" s="69">
        <f t="shared" si="112"/>
      </c>
      <c r="S47" s="70">
        <f t="shared" si="184"/>
      </c>
      <c r="T47" s="63">
        <f t="shared" si="12"/>
      </c>
      <c r="U47" s="63">
        <f t="shared" si="8"/>
      </c>
      <c r="V47" s="71">
        <f t="shared" si="20"/>
      </c>
      <c r="W47" s="67">
        <v>3</v>
      </c>
      <c r="X47" s="71">
        <f t="shared" si="16"/>
      </c>
      <c r="Y47" s="71">
        <f t="shared" si="248"/>
      </c>
      <c r="Z47" s="63">
        <f t="shared" si="100"/>
      </c>
      <c r="AA47" s="63">
        <f t="shared" si="2"/>
      </c>
      <c r="AB47" s="63">
        <f t="shared" si="4"/>
      </c>
      <c r="AC47" s="68">
        <f t="shared" si="14"/>
      </c>
      <c r="AD47" s="68">
        <f t="shared" si="10"/>
      </c>
      <c r="AE47" s="68">
        <f t="shared" si="22"/>
      </c>
      <c r="AF47" s="68">
        <f t="shared" si="18"/>
      </c>
      <c r="AG47" s="68">
        <f t="shared" si="102"/>
      </c>
      <c r="AH47" s="68">
        <f t="shared" si="26"/>
      </c>
      <c r="AI47" s="68">
        <f t="shared" si="6"/>
      </c>
      <c r="AJ47" s="67">
        <v>68</v>
      </c>
      <c r="AK47" s="72">
        <v>11242</v>
      </c>
      <c r="AL47" s="72">
        <v>415</v>
      </c>
      <c r="AM47" s="72">
        <v>521</v>
      </c>
      <c r="AN47" s="72">
        <v>86</v>
      </c>
      <c r="AO47" s="73">
        <v>37</v>
      </c>
      <c r="AP47" s="72">
        <v>114</v>
      </c>
      <c r="AQ47" s="41">
        <v>95</v>
      </c>
      <c r="AR47" s="73">
        <v>3</v>
      </c>
      <c r="AS47" s="72">
        <v>13</v>
      </c>
      <c r="AT47" s="72">
        <v>1</v>
      </c>
      <c r="AU47" s="72">
        <v>2</v>
      </c>
      <c r="AV47" s="39"/>
      <c r="AW47" s="40"/>
      <c r="AX47" s="41">
        <f t="shared" si="258"/>
      </c>
    </row>
    <row hidden="true" r="48">
      <c r="A48" s="74"/>
      <c r="B48" s="41" t="s">
        <v>59</v>
      </c>
      <c r="C48" s="41" t="s">
        <v>60</v>
      </c>
      <c r="D48" s="41" t="s">
        <v>61</v>
      </c>
      <c r="E48" s="28" t="s">
        <v>64</v>
      </c>
      <c r="F48" s="63">
        <f t="shared" si="36"/>
      </c>
      <c r="G48" s="63">
        <v>1412.06</v>
      </c>
      <c r="H48" s="63">
        <v>1145.4</v>
      </c>
      <c r="I48" s="64">
        <v>0</v>
      </c>
      <c r="J48" s="65">
        <v>0</v>
      </c>
      <c r="K48" s="65">
        <v>0</v>
      </c>
      <c r="L48" s="65">
        <v>2</v>
      </c>
      <c r="M48" s="65">
        <v>4300.6500000000015</v>
      </c>
      <c r="N48" s="67">
        <v>0</v>
      </c>
      <c r="O48" s="68">
        <f t="shared" si="24"/>
      </c>
      <c r="P48" s="67">
        <v>0</v>
      </c>
      <c r="Q48" s="68">
        <f t="shared" si="0"/>
      </c>
      <c r="R48" s="69">
        <f t="shared" si="112"/>
      </c>
      <c r="S48" s="70">
        <f t="shared" si="184"/>
      </c>
      <c r="T48" s="63">
        <f t="shared" si="12"/>
      </c>
      <c r="U48" s="63">
        <f t="shared" si="8"/>
      </c>
      <c r="V48" s="71">
        <f t="shared" si="20"/>
      </c>
      <c r="W48" s="67">
        <v>2</v>
      </c>
      <c r="X48" s="71">
        <f t="shared" si="16"/>
      </c>
      <c r="Y48" s="71">
        <f t="shared" si="248"/>
      </c>
      <c r="Z48" s="63">
        <f t="shared" si="100"/>
      </c>
      <c r="AA48" s="63">
        <f t="shared" si="2"/>
      </c>
      <c r="AB48" s="63">
        <f t="shared" si="4"/>
      </c>
      <c r="AC48" s="68">
        <f t="shared" si="14"/>
      </c>
      <c r="AD48" s="68">
        <f t="shared" si="10"/>
      </c>
      <c r="AE48" s="68">
        <f t="shared" si="22"/>
      </c>
      <c r="AF48" s="68">
        <f t="shared" si="18"/>
      </c>
      <c r="AG48" s="68">
        <f t="shared" si="102"/>
      </c>
      <c r="AH48" s="68">
        <f t="shared" si="26"/>
      </c>
      <c r="AI48" s="68">
        <f t="shared" si="6"/>
      </c>
      <c r="AJ48" s="67">
        <v>69</v>
      </c>
      <c r="AK48" s="72">
        <v>10778</v>
      </c>
      <c r="AL48" s="72">
        <v>302</v>
      </c>
      <c r="AM48" s="72">
        <v>382</v>
      </c>
      <c r="AN48" s="72">
        <v>70</v>
      </c>
      <c r="AO48" s="73">
        <v>20</v>
      </c>
      <c r="AP48" s="72">
        <v>63</v>
      </c>
      <c r="AQ48" s="41">
        <v>69</v>
      </c>
      <c r="AR48" s="73">
        <v>2</v>
      </c>
      <c r="AS48" s="72">
        <v>12</v>
      </c>
      <c r="AT48" s="72">
        <v>2</v>
      </c>
      <c r="AU48" s="72">
        <v>1</v>
      </c>
      <c r="AV48" s="39"/>
      <c r="AW48" s="40"/>
      <c r="AX48" s="41">
        <f t="shared" si="258"/>
      </c>
    </row>
    <row hidden="true" r="49">
      <c r="A49" s="74"/>
      <c r="B49" s="41" t="s">
        <v>59</v>
      </c>
      <c r="C49" s="41" t="s">
        <v>60</v>
      </c>
      <c r="D49" s="41" t="s">
        <v>61</v>
      </c>
      <c r="E49" s="41" t="s">
        <v>65</v>
      </c>
      <c r="F49" s="63">
        <f t="shared" si="36"/>
      </c>
      <c r="G49" s="63">
        <v>1763.16</v>
      </c>
      <c r="H49" s="63">
        <v>2334.67</v>
      </c>
      <c r="I49" s="64">
        <v>0</v>
      </c>
      <c r="J49" s="65">
        <v>0</v>
      </c>
      <c r="K49" s="65">
        <v>0</v>
      </c>
      <c r="L49" s="65">
        <v>5</v>
      </c>
      <c r="M49" s="65">
        <v>11360.670000000002</v>
      </c>
      <c r="N49" s="67">
        <v>2</v>
      </c>
      <c r="O49" s="68">
        <f t="shared" si="24"/>
      </c>
      <c r="P49" s="67">
        <v>1</v>
      </c>
      <c r="Q49" s="68">
        <f t="shared" si="0"/>
      </c>
      <c r="R49" s="69">
        <f t="shared" si="112"/>
      </c>
      <c r="S49" s="70">
        <f t="shared" si="184"/>
      </c>
      <c r="T49" s="63">
        <f t="shared" si="12"/>
      </c>
      <c r="U49" s="63">
        <f t="shared" si="8"/>
      </c>
      <c r="V49" s="71">
        <f t="shared" si="20"/>
      </c>
      <c r="W49" s="67">
        <v>5</v>
      </c>
      <c r="X49" s="71">
        <f t="shared" si="16"/>
      </c>
      <c r="Y49" s="71">
        <f t="shared" si="248"/>
      </c>
      <c r="Z49" s="63">
        <f t="shared" si="100"/>
      </c>
      <c r="AA49" s="63">
        <f t="shared" si="2"/>
      </c>
      <c r="AB49" s="63">
        <f t="shared" si="4"/>
      </c>
      <c r="AC49" s="68">
        <f t="shared" si="14"/>
      </c>
      <c r="AD49" s="68">
        <f t="shared" si="10"/>
      </c>
      <c r="AE49" s="68">
        <f t="shared" si="22"/>
      </c>
      <c r="AF49" s="68">
        <f t="shared" si="18"/>
      </c>
      <c r="AG49" s="68">
        <f t="shared" si="102"/>
      </c>
      <c r="AH49" s="68">
        <f t="shared" si="26"/>
      </c>
      <c r="AI49" s="68">
        <f t="shared" si="6"/>
      </c>
      <c r="AJ49" s="67">
        <v>64</v>
      </c>
      <c r="AK49" s="72">
        <v>23234</v>
      </c>
      <c r="AL49" s="72">
        <v>491</v>
      </c>
      <c r="AM49" s="72">
        <v>664</v>
      </c>
      <c r="AN49" s="72">
        <v>103</v>
      </c>
      <c r="AO49" s="73">
        <v>30</v>
      </c>
      <c r="AP49" s="72">
        <v>113</v>
      </c>
      <c r="AQ49" s="41">
        <v>99</v>
      </c>
      <c r="AR49" s="73">
        <v>6</v>
      </c>
      <c r="AS49" s="72">
        <v>9</v>
      </c>
      <c r="AT49" s="72">
        <v>2</v>
      </c>
      <c r="AU49" s="72">
        <v>12</v>
      </c>
      <c r="AV49" s="39"/>
      <c r="AW49" s="40"/>
      <c r="AX49" s="41">
        <f t="shared" si="258"/>
      </c>
    </row>
    <row hidden="true" r="50">
      <c r="A50" s="74"/>
      <c r="B50" s="75" t="s">
        <v>66</v>
      </c>
      <c r="C50" s="75"/>
      <c r="D50" s="75"/>
      <c r="E50" s="75"/>
      <c r="F50" s="76">
        <f>SUM(F46:F49)</f>
      </c>
      <c r="G50" s="76">
        <f>SUM(G46:G49)</f>
      </c>
      <c r="H50" s="76">
        <f>SUM(H46:H49)</f>
      </c>
      <c r="I50" s="76">
        <f>SUM(I46:I49)</f>
      </c>
      <c r="J50" s="76">
        <f>SUM(J46:J49)</f>
      </c>
      <c r="K50" s="76">
        <f>SUM(K46:K49)</f>
      </c>
      <c r="L50" s="76">
        <f>SUM(L46:L49)</f>
      </c>
      <c r="M50" s="76">
        <f>SUM(M46:M49)</f>
      </c>
      <c r="N50" s="76">
        <f>SUM(N46:N49)</f>
      </c>
      <c r="O50" s="77">
        <f t="shared" si="24"/>
      </c>
      <c r="P50" s="76">
        <f>SUM(P46:P49)</f>
      </c>
      <c r="Q50" s="77">
        <f t="shared" si="0"/>
      </c>
      <c r="R50" s="78">
        <f>SUM(R46:R49)</f>
      </c>
      <c r="S50" s="76">
        <f>SUM(S46:S49)</f>
      </c>
      <c r="T50" s="76">
        <f t="shared" si="12"/>
      </c>
      <c r="U50" s="76">
        <f t="shared" si="8"/>
      </c>
      <c r="V50" s="76">
        <f t="shared" si="20"/>
      </c>
      <c r="W50" s="76">
        <f>SUM(W46:W49)</f>
      </c>
      <c r="X50" s="79">
        <f t="shared" si="16"/>
      </c>
      <c r="Y50" s="79">
        <f t="shared" si="248"/>
      </c>
      <c r="Z50" s="76">
        <f t="shared" si="100"/>
      </c>
      <c r="AA50" s="76">
        <f t="shared" si="2"/>
      </c>
      <c r="AB50" s="80">
        <f t="shared" si="4"/>
      </c>
      <c r="AC50" s="77">
        <f t="shared" si="14"/>
      </c>
      <c r="AD50" s="77">
        <f t="shared" si="10"/>
      </c>
      <c r="AE50" s="77">
        <f t="shared" si="22"/>
      </c>
      <c r="AF50" s="77">
        <f t="shared" si="18"/>
      </c>
      <c r="AG50" s="77">
        <f t="shared" si="102"/>
      </c>
      <c r="AH50" s="77">
        <f t="shared" si="26"/>
      </c>
      <c r="AI50" s="77">
        <f t="shared" si="6"/>
      </c>
      <c r="AJ50" s="78">
        <f>AVERAGE(AJ46:AJ49)</f>
      </c>
      <c r="AK50" s="76">
        <f>SUM(AK46:AK49)</f>
      </c>
      <c r="AL50" s="76">
        <f>SUM(AL46:AL49)</f>
      </c>
      <c r="AM50" s="76">
        <f>SUM(AM46:AM49)</f>
      </c>
      <c r="AN50" s="76">
        <f>SUM(AN46:AN49)</f>
      </c>
      <c r="AO50" s="76">
        <f>SUM(AO46:AO49)</f>
      </c>
      <c r="AP50" s="76">
        <f>SUM(AP46:AP49)</f>
      </c>
      <c r="AQ50" s="76">
        <f>SUM(AQ46:AQ49)</f>
      </c>
      <c r="AR50" s="76">
        <f>SUM(AR46:AR49)</f>
      </c>
      <c r="AS50" s="76">
        <f>SUM(AS46:AS49)</f>
      </c>
      <c r="AT50" s="76">
        <f>SUM(AT46:AT49)</f>
      </c>
      <c r="AU50" s="76">
        <f>SUM(AU46:AU49)</f>
      </c>
      <c r="AV50" s="39"/>
      <c r="AW50" s="48"/>
      <c r="AX50" s="49">
        <f>SUM(AX46:AX49)</f>
      </c>
    </row>
    <row hidden="true" r="51">
      <c r="A51" s="74"/>
      <c r="B51" s="41" t="s">
        <v>59</v>
      </c>
      <c r="C51" s="41" t="s">
        <v>60</v>
      </c>
      <c r="D51" s="41" t="s">
        <v>67</v>
      </c>
      <c r="E51" s="41" t="s">
        <v>68</v>
      </c>
      <c r="F51" s="63">
        <f t="shared" ref="F51:F54" si="37">G51+H51+I51</f>
      </c>
      <c r="G51" s="63">
        <v>2706.76</v>
      </c>
      <c r="H51" s="63">
        <v>1875.7</v>
      </c>
      <c r="I51" s="64">
        <v>0</v>
      </c>
      <c r="J51" s="65">
        <v>2</v>
      </c>
      <c r="K51" s="65">
        <v>2670.529999999999</v>
      </c>
      <c r="L51" s="65">
        <v>2</v>
      </c>
      <c r="M51" s="65">
        <v>2888</v>
      </c>
      <c r="N51" s="67">
        <v>2</v>
      </c>
      <c r="O51" s="68">
        <f t="shared" si="24"/>
      </c>
      <c r="P51" s="67">
        <v>1</v>
      </c>
      <c r="Q51" s="68">
        <f t="shared" si="0"/>
      </c>
      <c r="R51" s="69">
        <f t="shared" ref="R51:R54" si="113">J51+L51</f>
      </c>
      <c r="S51" s="70">
        <f t="shared" ref="S51:S54" si="185">K51+M51</f>
      </c>
      <c r="T51" s="63">
        <f t="shared" si="12"/>
      </c>
      <c r="U51" s="63">
        <f t="shared" si="8"/>
      </c>
      <c r="V51" s="71">
        <f t="shared" si="20"/>
      </c>
      <c r="W51" s="67">
        <v>4</v>
      </c>
      <c r="X51" s="71">
        <f t="shared" si="16"/>
      </c>
      <c r="Y51" s="71">
        <f t="shared" si="248"/>
      </c>
      <c r="Z51" s="63">
        <f t="shared" si="100"/>
      </c>
      <c r="AA51" s="63">
        <f t="shared" si="2"/>
      </c>
      <c r="AB51" s="63">
        <f t="shared" si="4"/>
      </c>
      <c r="AC51" s="68">
        <f t="shared" si="14"/>
      </c>
      <c r="AD51" s="68">
        <f t="shared" si="10"/>
      </c>
      <c r="AE51" s="68">
        <f t="shared" si="22"/>
      </c>
      <c r="AF51" s="68">
        <f t="shared" si="18"/>
      </c>
      <c r="AG51" s="68">
        <f t="shared" si="102"/>
      </c>
      <c r="AH51" s="68">
        <f t="shared" si="26"/>
      </c>
      <c r="AI51" s="68">
        <f t="shared" si="6"/>
      </c>
      <c r="AJ51" s="67">
        <v>60</v>
      </c>
      <c r="AK51" s="72">
        <v>26153</v>
      </c>
      <c r="AL51" s="72">
        <v>739</v>
      </c>
      <c r="AM51" s="72">
        <v>885</v>
      </c>
      <c r="AN51" s="72">
        <v>116</v>
      </c>
      <c r="AO51" s="73">
        <v>35</v>
      </c>
      <c r="AP51" s="72">
        <v>99</v>
      </c>
      <c r="AQ51" s="41">
        <v>109</v>
      </c>
      <c r="AR51" s="73">
        <v>4</v>
      </c>
      <c r="AS51" s="41">
        <v>13</v>
      </c>
      <c r="AT51" s="72">
        <v>2</v>
      </c>
      <c r="AU51" s="72">
        <v>7</v>
      </c>
      <c r="AV51" s="39"/>
      <c r="AW51" s="40"/>
      <c r="AX51" s="41">
        <f t="shared" ref="AX51:AX54" si="259">COUNT(AU51)</f>
      </c>
    </row>
    <row hidden="true" r="52">
      <c r="A52" s="74"/>
      <c r="B52" s="41" t="s">
        <v>59</v>
      </c>
      <c r="C52" s="41" t="s">
        <v>60</v>
      </c>
      <c r="D52" s="41" t="s">
        <v>67</v>
      </c>
      <c r="E52" s="41" t="s">
        <v>69</v>
      </c>
      <c r="F52" s="63">
        <f t="shared" si="37"/>
      </c>
      <c r="G52" s="63">
        <v>2011.29</v>
      </c>
      <c r="H52" s="63">
        <v>1121.39</v>
      </c>
      <c r="I52" s="64">
        <v>0</v>
      </c>
      <c r="J52" s="65">
        <v>1</v>
      </c>
      <c r="K52" s="65">
        <v>1647</v>
      </c>
      <c r="L52" s="65">
        <v>0</v>
      </c>
      <c r="M52" s="65">
        <v>0</v>
      </c>
      <c r="N52" s="67">
        <v>0</v>
      </c>
      <c r="O52" s="68">
        <f t="shared" si="24"/>
      </c>
      <c r="P52" s="67">
        <v>0</v>
      </c>
      <c r="Q52" s="68">
        <f t="shared" si="0"/>
      </c>
      <c r="R52" s="69">
        <f t="shared" si="113"/>
      </c>
      <c r="S52" s="70">
        <f t="shared" si="185"/>
      </c>
      <c r="T52" s="63">
        <f t="shared" si="12"/>
      </c>
      <c r="U52" s="63">
        <f t="shared" si="8"/>
      </c>
      <c r="V52" s="71">
        <f t="shared" si="20"/>
      </c>
      <c r="W52" s="67">
        <v>1</v>
      </c>
      <c r="X52" s="71">
        <f t="shared" si="16"/>
      </c>
      <c r="Y52" s="71">
        <f t="shared" si="248"/>
      </c>
      <c r="Z52" s="63">
        <f t="shared" si="100"/>
      </c>
      <c r="AA52" s="63">
        <f t="shared" si="2"/>
      </c>
      <c r="AB52" s="63">
        <f t="shared" si="4"/>
      </c>
      <c r="AC52" s="68">
        <f t="shared" si="14"/>
      </c>
      <c r="AD52" s="68">
        <f t="shared" si="10"/>
      </c>
      <c r="AE52" s="68">
        <f t="shared" si="22"/>
      </c>
      <c r="AF52" s="68">
        <f t="shared" si="18"/>
      </c>
      <c r="AG52" s="68">
        <f t="shared" si="102"/>
      </c>
      <c r="AH52" s="68">
        <f t="shared" si="26"/>
      </c>
      <c r="AI52" s="68">
        <f t="shared" si="6"/>
      </c>
      <c r="AJ52" s="67">
        <v>60</v>
      </c>
      <c r="AK52" s="72">
        <v>16609</v>
      </c>
      <c r="AL52" s="72">
        <v>569</v>
      </c>
      <c r="AM52" s="72">
        <v>710</v>
      </c>
      <c r="AN52" s="72">
        <v>97</v>
      </c>
      <c r="AO52" s="73">
        <v>22</v>
      </c>
      <c r="AP52" s="72">
        <v>65</v>
      </c>
      <c r="AQ52" s="41">
        <v>96</v>
      </c>
      <c r="AR52" s="73">
        <v>2</v>
      </c>
      <c r="AS52" s="41">
        <v>7</v>
      </c>
      <c r="AT52" s="72">
        <v>1</v>
      </c>
      <c r="AU52" s="72">
        <v>6</v>
      </c>
      <c r="AV52" s="39"/>
      <c r="AW52" s="40"/>
      <c r="AX52" s="41">
        <f t="shared" si="259"/>
      </c>
    </row>
    <row hidden="true" r="53">
      <c r="A53" s="74"/>
      <c r="B53" s="41" t="s">
        <v>59</v>
      </c>
      <c r="C53" s="41" t="s">
        <v>60</v>
      </c>
      <c r="D53" s="41" t="s">
        <v>67</v>
      </c>
      <c r="E53" s="41" t="s">
        <v>70</v>
      </c>
      <c r="F53" s="63">
        <f t="shared" si="37"/>
      </c>
      <c r="G53" s="81">
        <v>1986.97</v>
      </c>
      <c r="H53" s="81">
        <v>996.13</v>
      </c>
      <c r="I53" s="64">
        <v>0</v>
      </c>
      <c r="J53" s="65">
        <v>3</v>
      </c>
      <c r="K53" s="65">
        <v>4492.610000000001</v>
      </c>
      <c r="L53" s="65">
        <v>2</v>
      </c>
      <c r="M53" s="65">
        <v>3405.75</v>
      </c>
      <c r="N53" s="67">
        <v>0</v>
      </c>
      <c r="O53" s="68">
        <f t="shared" si="24"/>
      </c>
      <c r="P53" s="67">
        <v>2</v>
      </c>
      <c r="Q53" s="68">
        <f t="shared" si="0"/>
      </c>
      <c r="R53" s="69">
        <f t="shared" si="113"/>
      </c>
      <c r="S53" s="70">
        <f t="shared" si="185"/>
      </c>
      <c r="T53" s="63">
        <f t="shared" si="12"/>
      </c>
      <c r="U53" s="63">
        <f t="shared" si="8"/>
      </c>
      <c r="V53" s="71">
        <f t="shared" si="20"/>
      </c>
      <c r="W53" s="67">
        <v>4</v>
      </c>
      <c r="X53" s="71">
        <f t="shared" si="16"/>
      </c>
      <c r="Y53" s="71">
        <f t="shared" si="248"/>
      </c>
      <c r="Z53" s="63">
        <f t="shared" si="100"/>
      </c>
      <c r="AA53" s="63">
        <f t="shared" si="2"/>
      </c>
      <c r="AB53" s="63">
        <f t="shared" si="4"/>
      </c>
      <c r="AC53" s="68">
        <f t="shared" si="14"/>
      </c>
      <c r="AD53" s="68">
        <f t="shared" si="10"/>
      </c>
      <c r="AE53" s="68">
        <f t="shared" si="22"/>
      </c>
      <c r="AF53" s="68">
        <f t="shared" si="18"/>
      </c>
      <c r="AG53" s="68">
        <f t="shared" si="102"/>
      </c>
      <c r="AH53" s="68">
        <f t="shared" si="26"/>
      </c>
      <c r="AI53" s="68">
        <f t="shared" si="6"/>
      </c>
      <c r="AJ53" s="67">
        <v>60</v>
      </c>
      <c r="AK53" s="72">
        <v>13901</v>
      </c>
      <c r="AL53" s="72">
        <v>510</v>
      </c>
      <c r="AM53" s="72">
        <v>621</v>
      </c>
      <c r="AN53" s="72">
        <v>67</v>
      </c>
      <c r="AO53" s="73">
        <v>29</v>
      </c>
      <c r="AP53" s="72">
        <v>79</v>
      </c>
      <c r="AQ53" s="41">
        <v>84</v>
      </c>
      <c r="AR53" s="73">
        <v>7</v>
      </c>
      <c r="AS53" s="72">
        <v>4</v>
      </c>
      <c r="AT53" s="72">
        <v>0</v>
      </c>
      <c r="AU53" s="72">
        <v>1</v>
      </c>
      <c r="AV53" s="39"/>
      <c r="AW53" s="40"/>
      <c r="AX53" s="41">
        <f t="shared" si="259"/>
      </c>
    </row>
    <row hidden="true" r="54">
      <c r="A54" s="74"/>
      <c r="B54" s="41" t="s">
        <v>71</v>
      </c>
      <c r="C54" s="41" t="s">
        <v>72</v>
      </c>
      <c r="D54" s="41" t="s">
        <v>67</v>
      </c>
      <c r="E54" s="41" t="s">
        <v>73</v>
      </c>
      <c r="F54" s="63">
        <f t="shared" si="37"/>
      </c>
      <c r="G54" s="81">
        <v>2898.62</v>
      </c>
      <c r="H54" s="81">
        <v>1015.12</v>
      </c>
      <c r="I54" s="64">
        <v>0</v>
      </c>
      <c r="J54" s="65">
        <v>1</v>
      </c>
      <c r="K54" s="65">
        <v>1099.5299999999988</v>
      </c>
      <c r="L54" s="65">
        <v>3</v>
      </c>
      <c r="M54" s="65">
        <v>13561.529999999999</v>
      </c>
      <c r="N54" s="67">
        <v>2</v>
      </c>
      <c r="O54" s="68">
        <f t="shared" si="24"/>
      </c>
      <c r="P54" s="67">
        <v>2</v>
      </c>
      <c r="Q54" s="68">
        <f t="shared" si="0"/>
      </c>
      <c r="R54" s="69">
        <f t="shared" si="113"/>
      </c>
      <c r="S54" s="70">
        <f t="shared" si="185"/>
      </c>
      <c r="T54" s="63">
        <f t="shared" si="12"/>
      </c>
      <c r="U54" s="63">
        <f t="shared" si="8"/>
      </c>
      <c r="V54" s="71">
        <f t="shared" si="20"/>
      </c>
      <c r="W54" s="67">
        <v>4</v>
      </c>
      <c r="X54" s="71">
        <f t="shared" si="16"/>
      </c>
      <c r="Y54" s="71">
        <f t="shared" si="248"/>
      </c>
      <c r="Z54" s="63">
        <f t="shared" si="100"/>
      </c>
      <c r="AA54" s="63">
        <f t="shared" si="2"/>
      </c>
      <c r="AB54" s="63">
        <f t="shared" si="4"/>
      </c>
      <c r="AC54" s="68">
        <f t="shared" si="14"/>
      </c>
      <c r="AD54" s="68">
        <f t="shared" si="10"/>
      </c>
      <c r="AE54" s="68">
        <f t="shared" si="22"/>
      </c>
      <c r="AF54" s="68">
        <f t="shared" si="18"/>
      </c>
      <c r="AG54" s="68">
        <f t="shared" si="102"/>
      </c>
      <c r="AH54" s="68">
        <f t="shared" si="26"/>
      </c>
      <c r="AI54" s="68">
        <f t="shared" si="6"/>
      </c>
      <c r="AJ54" s="67">
        <v>58</v>
      </c>
      <c r="AK54" s="72">
        <v>24190</v>
      </c>
      <c r="AL54" s="72">
        <v>794</v>
      </c>
      <c r="AM54" s="72">
        <v>938</v>
      </c>
      <c r="AN54" s="72">
        <v>88</v>
      </c>
      <c r="AO54" s="73">
        <v>28</v>
      </c>
      <c r="AP54" s="72">
        <v>93</v>
      </c>
      <c r="AQ54" s="41">
        <v>93</v>
      </c>
      <c r="AR54" s="73">
        <v>5</v>
      </c>
      <c r="AS54" s="67">
        <v>4</v>
      </c>
      <c r="AT54" s="67">
        <v>2</v>
      </c>
      <c r="AU54" s="67">
        <v>3</v>
      </c>
      <c r="AV54" s="39"/>
      <c r="AW54" s="40"/>
      <c r="AX54" s="41">
        <f t="shared" si="259"/>
      </c>
    </row>
    <row hidden="true" r="55">
      <c r="A55" s="74"/>
      <c r="B55" s="75" t="s">
        <v>66</v>
      </c>
      <c r="C55" s="75"/>
      <c r="D55" s="75"/>
      <c r="E55" s="75"/>
      <c r="F55" s="76">
        <f>SUM(F51:F54)</f>
      </c>
      <c r="G55" s="76">
        <f>SUM(G51:G54)</f>
      </c>
      <c r="H55" s="76">
        <f>SUM(H51:H54)</f>
      </c>
      <c r="I55" s="76">
        <f>SUM(I51:I54)</f>
      </c>
      <c r="J55" s="76">
        <f>SUM(J51:J54)</f>
      </c>
      <c r="K55" s="76">
        <f>SUM(K51:K54)</f>
      </c>
      <c r="L55" s="76">
        <f>SUM(L51:L54)</f>
      </c>
      <c r="M55" s="76">
        <f>SUM(M51:M54)</f>
      </c>
      <c r="N55" s="76">
        <f>SUM(N51:N54)</f>
      </c>
      <c r="O55" s="77">
        <f t="shared" si="24"/>
      </c>
      <c r="P55" s="76">
        <f>SUM(P51:P54)</f>
      </c>
      <c r="Q55" s="77">
        <f t="shared" si="0"/>
      </c>
      <c r="R55" s="78">
        <f>SUM(R51:R54)</f>
      </c>
      <c r="S55" s="76">
        <f>SUM(S51:S54)</f>
      </c>
      <c r="T55" s="76">
        <f t="shared" si="12"/>
      </c>
      <c r="U55" s="76">
        <f t="shared" si="8"/>
      </c>
      <c r="V55" s="79">
        <f t="shared" si="20"/>
      </c>
      <c r="W55" s="76">
        <f>SUM(W51:W54)</f>
      </c>
      <c r="X55" s="79">
        <f t="shared" si="16"/>
      </c>
      <c r="Y55" s="79">
        <f t="shared" si="248"/>
      </c>
      <c r="Z55" s="76">
        <f t="shared" si="100"/>
      </c>
      <c r="AA55" s="76">
        <f t="shared" si="2"/>
      </c>
      <c r="AB55" s="80">
        <f t="shared" si="4"/>
      </c>
      <c r="AC55" s="77">
        <f t="shared" si="14"/>
      </c>
      <c r="AD55" s="77">
        <f t="shared" si="10"/>
      </c>
      <c r="AE55" s="77">
        <f t="shared" si="22"/>
      </c>
      <c r="AF55" s="82">
        <f t="shared" si="18"/>
      </c>
      <c r="AG55" s="77">
        <f t="shared" si="102"/>
      </c>
      <c r="AH55" s="77">
        <f t="shared" si="26"/>
      </c>
      <c r="AI55" s="77">
        <f t="shared" si="6"/>
      </c>
      <c r="AJ55" s="78">
        <f>AVERAGE(AJ51:AJ54)</f>
      </c>
      <c r="AK55" s="76">
        <f>SUM(AK51:AK54)</f>
      </c>
      <c r="AL55" s="76">
        <f>SUM(AL51:AL54)</f>
      </c>
      <c r="AM55" s="76">
        <f>SUM(AM51:AM54)</f>
      </c>
      <c r="AN55" s="76">
        <f>SUM(AN51:AN54)</f>
      </c>
      <c r="AO55" s="76">
        <f>SUM(AO51:AO54)</f>
      </c>
      <c r="AP55" s="76">
        <f>SUM(AP51:AP54)</f>
      </c>
      <c r="AQ55" s="76">
        <f>SUM(AQ51:AQ54)</f>
      </c>
      <c r="AR55" s="76">
        <f>SUM(AR51:AR54)</f>
      </c>
      <c r="AS55" s="76">
        <f>SUM(AS51:AS54)</f>
      </c>
      <c r="AT55" s="76">
        <f>SUM(AT51:AT54)</f>
      </c>
      <c r="AU55" s="76">
        <f>SUM(AU51:AU54)</f>
      </c>
      <c r="AV55" s="39"/>
      <c r="AW55" s="48"/>
      <c r="AX55" s="49">
        <f>SUM(AX51:AX54)</f>
      </c>
    </row>
    <row hidden="true" r="56">
      <c r="A56" s="74"/>
      <c r="B56" s="41" t="s">
        <v>71</v>
      </c>
      <c r="C56" s="41" t="s">
        <v>72</v>
      </c>
      <c r="D56" s="41" t="s">
        <v>85</v>
      </c>
      <c r="E56" s="41" t="s">
        <v>75</v>
      </c>
      <c r="F56" s="63">
        <f t="shared" ref="F56:F59" si="38">G56+H56+I56</f>
      </c>
      <c r="G56" s="81">
        <v>2887.57</v>
      </c>
      <c r="H56" s="81">
        <v>868.24</v>
      </c>
      <c r="I56" s="64">
        <v>0</v>
      </c>
      <c r="J56" s="65">
        <v>1</v>
      </c>
      <c r="K56" s="65">
        <v>1442.1000000000022</v>
      </c>
      <c r="L56" s="65">
        <v>2</v>
      </c>
      <c r="M56" s="65">
        <v>6593.669999999998</v>
      </c>
      <c r="N56" s="67">
        <v>1</v>
      </c>
      <c r="O56" s="68">
        <f t="shared" si="24"/>
      </c>
      <c r="P56" s="67">
        <v>1</v>
      </c>
      <c r="Q56" s="68">
        <f t="shared" si="0"/>
      </c>
      <c r="R56" s="69">
        <f t="shared" ref="R56:R59" si="114">J56+L56</f>
      </c>
      <c r="S56" s="70">
        <f t="shared" ref="S56:S59" si="186">K56+M56</f>
      </c>
      <c r="T56" s="63">
        <f t="shared" si="12"/>
      </c>
      <c r="U56" s="63">
        <f t="shared" si="8"/>
      </c>
      <c r="V56" s="71">
        <f t="shared" si="20"/>
      </c>
      <c r="W56" s="67">
        <v>2</v>
      </c>
      <c r="X56" s="71">
        <f t="shared" si="16"/>
      </c>
      <c r="Y56" s="71">
        <f t="shared" si="248"/>
      </c>
      <c r="Z56" s="63">
        <f t="shared" si="100"/>
      </c>
      <c r="AA56" s="63">
        <f t="shared" si="2"/>
      </c>
      <c r="AB56" s="63">
        <f t="shared" si="4"/>
      </c>
      <c r="AC56" s="68">
        <f t="shared" si="14"/>
      </c>
      <c r="AD56" s="68">
        <f t="shared" si="10"/>
      </c>
      <c r="AE56" s="68">
        <f t="shared" si="22"/>
      </c>
      <c r="AF56" s="68">
        <f t="shared" si="18"/>
      </c>
      <c r="AG56" s="68">
        <f t="shared" si="102"/>
      </c>
      <c r="AH56" s="68">
        <f t="shared" si="26"/>
      </c>
      <c r="AI56" s="68">
        <f t="shared" si="6"/>
      </c>
      <c r="AJ56" s="67">
        <v>57</v>
      </c>
      <c r="AK56" s="72">
        <v>21703</v>
      </c>
      <c r="AL56" s="72">
        <v>860</v>
      </c>
      <c r="AM56" s="72">
        <v>1018</v>
      </c>
      <c r="AN56" s="72">
        <v>108</v>
      </c>
      <c r="AO56" s="73">
        <v>25</v>
      </c>
      <c r="AP56" s="72">
        <v>56</v>
      </c>
      <c r="AQ56" s="41">
        <v>114</v>
      </c>
      <c r="AR56" s="73">
        <v>3</v>
      </c>
      <c r="AS56" s="41">
        <v>9</v>
      </c>
      <c r="AT56" s="72">
        <v>1</v>
      </c>
      <c r="AU56" s="72">
        <v>3</v>
      </c>
      <c r="AV56" s="39"/>
      <c r="AW56" s="40"/>
      <c r="AX56" s="41">
        <f t="shared" ref="AX56:AX59" si="260">COUNT(AU56)</f>
      </c>
    </row>
    <row hidden="true" r="57">
      <c r="A57" s="74"/>
      <c r="B57" s="41" t="s">
        <v>71</v>
      </c>
      <c r="C57" s="41" t="s">
        <v>72</v>
      </c>
      <c r="D57" s="41" t="s">
        <v>85</v>
      </c>
      <c r="E57" s="41" t="s">
        <v>76</v>
      </c>
      <c r="F57" s="63">
        <f t="shared" si="38"/>
      </c>
      <c r="G57" s="81">
        <v>2359.95</v>
      </c>
      <c r="H57" s="81">
        <v>1282.82</v>
      </c>
      <c r="I57" s="64">
        <v>0</v>
      </c>
      <c r="J57" s="65">
        <v>2</v>
      </c>
      <c r="K57" s="65">
        <v>3690.0999999999985</v>
      </c>
      <c r="L57" s="65">
        <v>1</v>
      </c>
      <c r="M57" s="65">
        <v>2855</v>
      </c>
      <c r="N57" s="67">
        <v>0</v>
      </c>
      <c r="O57" s="68">
        <f t="shared" si="24"/>
      </c>
      <c r="P57" s="67">
        <v>1</v>
      </c>
      <c r="Q57" s="68">
        <f t="shared" si="0"/>
      </c>
      <c r="R57" s="69">
        <f t="shared" si="114"/>
      </c>
      <c r="S57" s="70">
        <f t="shared" si="186"/>
      </c>
      <c r="T57" s="63">
        <f t="shared" si="12"/>
      </c>
      <c r="U57" s="63">
        <f t="shared" si="8"/>
      </c>
      <c r="V57" s="71">
        <f t="shared" si="20"/>
      </c>
      <c r="W57" s="67">
        <v>3</v>
      </c>
      <c r="X57" s="71">
        <f t="shared" si="16"/>
      </c>
      <c r="Y57" s="71">
        <f t="shared" si="248"/>
      </c>
      <c r="Z57" s="63">
        <f t="shared" si="100"/>
      </c>
      <c r="AA57" s="63">
        <f t="shared" si="2"/>
      </c>
      <c r="AB57" s="63">
        <f t="shared" si="4"/>
      </c>
      <c r="AC57" s="68">
        <f t="shared" si="14"/>
      </c>
      <c r="AD57" s="68">
        <f t="shared" si="10"/>
      </c>
      <c r="AE57" s="68">
        <f t="shared" si="22"/>
      </c>
      <c r="AF57" s="68">
        <f t="shared" si="18"/>
      </c>
      <c r="AG57" s="68">
        <f t="shared" si="102"/>
      </c>
      <c r="AH57" s="68">
        <f t="shared" si="26"/>
      </c>
      <c r="AI57" s="68">
        <f t="shared" si="6"/>
      </c>
      <c r="AJ57" s="67">
        <v>55</v>
      </c>
      <c r="AK57" s="67">
        <v>25078</v>
      </c>
      <c r="AL57" s="72">
        <v>873</v>
      </c>
      <c r="AM57" s="72">
        <v>1004</v>
      </c>
      <c r="AN57" s="72">
        <v>100</v>
      </c>
      <c r="AO57" s="73">
        <v>27</v>
      </c>
      <c r="AP57" s="67">
        <v>97</v>
      </c>
      <c r="AQ57" s="73">
        <v>105</v>
      </c>
      <c r="AR57" s="73">
        <v>3</v>
      </c>
      <c r="AS57" s="41">
        <v>15</v>
      </c>
      <c r="AT57" s="72">
        <v>5</v>
      </c>
      <c r="AU57" s="72">
        <v>5</v>
      </c>
      <c r="AV57" s="39"/>
      <c r="AW57" s="40"/>
      <c r="AX57" s="41">
        <f t="shared" si="260"/>
      </c>
    </row>
    <row hidden="true" r="58">
      <c r="A58" s="74"/>
      <c r="B58" s="41" t="s">
        <v>71</v>
      </c>
      <c r="C58" s="41" t="s">
        <v>72</v>
      </c>
      <c r="D58" s="41" t="s">
        <v>85</v>
      </c>
      <c r="E58" s="41" t="s">
        <v>77</v>
      </c>
      <c r="F58" s="63">
        <f t="shared" si="38"/>
      </c>
      <c r="G58" s="81">
        <v>1728.05</v>
      </c>
      <c r="H58" s="81">
        <v>906.22</v>
      </c>
      <c r="I58" s="64">
        <v>0</v>
      </c>
      <c r="J58" s="65">
        <v>0</v>
      </c>
      <c r="K58" s="65">
        <v>0</v>
      </c>
      <c r="L58" s="65">
        <v>0</v>
      </c>
      <c r="M58" s="65">
        <v>0</v>
      </c>
      <c r="N58" s="67">
        <v>0</v>
      </c>
      <c r="O58" s="68">
        <f t="shared" si="24"/>
      </c>
      <c r="P58" s="67">
        <v>0</v>
      </c>
      <c r="Q58" s="68">
        <f t="shared" si="0"/>
      </c>
      <c r="R58" s="69">
        <f t="shared" si="114"/>
      </c>
      <c r="S58" s="70">
        <f t="shared" si="186"/>
      </c>
      <c r="T58" s="63">
        <f t="shared" si="12"/>
      </c>
      <c r="U58" s="63">
        <f t="shared" si="8"/>
      </c>
      <c r="V58" s="71">
        <f t="shared" si="20"/>
      </c>
      <c r="W58" s="67">
        <v>0</v>
      </c>
      <c r="X58" s="71">
        <f t="shared" si="16"/>
      </c>
      <c r="Y58" s="71">
        <f t="shared" si="248"/>
      </c>
      <c r="Z58" s="63">
        <f t="shared" si="100"/>
      </c>
      <c r="AA58" s="63">
        <f t="shared" si="2"/>
      </c>
      <c r="AB58" s="63">
        <f t="shared" si="4"/>
      </c>
      <c r="AC58" s="68">
        <f t="shared" si="14"/>
      </c>
      <c r="AD58" s="68">
        <f t="shared" si="10"/>
      </c>
      <c r="AE58" s="68">
        <f t="shared" si="22"/>
      </c>
      <c r="AF58" s="68">
        <f t="shared" si="18"/>
      </c>
      <c r="AG58" s="68">
        <f t="shared" si="102"/>
      </c>
      <c r="AH58" s="68">
        <f t="shared" si="26"/>
      </c>
      <c r="AI58" s="68">
        <f t="shared" si="6"/>
      </c>
      <c r="AJ58" s="67">
        <v>55</v>
      </c>
      <c r="AK58" s="72">
        <v>17298</v>
      </c>
      <c r="AL58" s="72">
        <v>617</v>
      </c>
      <c r="AM58" s="72">
        <v>716</v>
      </c>
      <c r="AN58" s="72">
        <v>93</v>
      </c>
      <c r="AO58" s="73">
        <v>29</v>
      </c>
      <c r="AP58" s="72">
        <v>87</v>
      </c>
      <c r="AQ58" s="41">
        <v>92</v>
      </c>
      <c r="AR58" s="73">
        <v>0</v>
      </c>
      <c r="AS58" s="72">
        <v>12</v>
      </c>
      <c r="AT58" s="72">
        <v>1</v>
      </c>
      <c r="AU58" s="72">
        <v>4</v>
      </c>
      <c r="AV58" s="39"/>
      <c r="AW58" s="40"/>
      <c r="AX58" s="41">
        <f t="shared" si="260"/>
      </c>
    </row>
    <row hidden="true" r="59">
      <c r="A59" s="74"/>
      <c r="B59" s="41" t="s">
        <v>71</v>
      </c>
      <c r="C59" s="41" t="s">
        <v>72</v>
      </c>
      <c r="D59" s="41" t="s">
        <v>85</v>
      </c>
      <c r="E59" s="41" t="s">
        <v>78</v>
      </c>
      <c r="F59" s="63">
        <f t="shared" si="38"/>
      </c>
      <c r="G59" s="81">
        <v>1929.44</v>
      </c>
      <c r="H59" s="81">
        <v>1752.11</v>
      </c>
      <c r="I59" s="64">
        <v>0</v>
      </c>
      <c r="J59" s="65">
        <v>0</v>
      </c>
      <c r="K59" s="65">
        <v>0</v>
      </c>
      <c r="L59" s="65">
        <v>1</v>
      </c>
      <c r="M59" s="65">
        <v>2033.9500000000044</v>
      </c>
      <c r="N59" s="67">
        <v>0</v>
      </c>
      <c r="O59" s="68">
        <f t="shared" si="24"/>
      </c>
      <c r="P59" s="67">
        <v>0</v>
      </c>
      <c r="Q59" s="68">
        <f t="shared" si="0"/>
      </c>
      <c r="R59" s="69">
        <f t="shared" si="114"/>
      </c>
      <c r="S59" s="70">
        <f t="shared" si="186"/>
      </c>
      <c r="T59" s="63">
        <f t="shared" si="12"/>
      </c>
      <c r="U59" s="63">
        <f t="shared" si="8"/>
      </c>
      <c r="V59" s="71">
        <f t="shared" si="20"/>
      </c>
      <c r="W59" s="67">
        <v>1</v>
      </c>
      <c r="X59" s="71">
        <f t="shared" si="16"/>
      </c>
      <c r="Y59" s="71">
        <f t="shared" si="248"/>
      </c>
      <c r="Z59" s="63">
        <f t="shared" si="100"/>
      </c>
      <c r="AA59" s="63">
        <f t="shared" si="2"/>
      </c>
      <c r="AB59" s="63">
        <f t="shared" si="4"/>
      </c>
      <c r="AC59" s="68">
        <f t="shared" si="14"/>
      </c>
      <c r="AD59" s="68">
        <f t="shared" si="10"/>
      </c>
      <c r="AE59" s="68">
        <f t="shared" si="22"/>
      </c>
      <c r="AF59" s="68">
        <f t="shared" si="18"/>
      </c>
      <c r="AG59" s="68">
        <f t="shared" si="102"/>
      </c>
      <c r="AH59" s="68">
        <f t="shared" si="26"/>
      </c>
      <c r="AI59" s="68">
        <f t="shared" si="6"/>
      </c>
      <c r="AJ59" s="67">
        <v>55</v>
      </c>
      <c r="AK59" s="72">
        <v>22124</v>
      </c>
      <c r="AL59" s="72">
        <v>711</v>
      </c>
      <c r="AM59" s="72">
        <v>876</v>
      </c>
      <c r="AN59" s="72">
        <v>81</v>
      </c>
      <c r="AO59" s="73">
        <v>35</v>
      </c>
      <c r="AP59" s="72">
        <v>76</v>
      </c>
      <c r="AQ59" s="41">
        <v>108</v>
      </c>
      <c r="AR59" s="73">
        <v>1</v>
      </c>
      <c r="AS59" s="72">
        <v>18</v>
      </c>
      <c r="AT59" s="72">
        <v>2</v>
      </c>
      <c r="AU59" s="72">
        <v>6</v>
      </c>
      <c r="AV59" s="39"/>
      <c r="AW59" s="40"/>
      <c r="AX59" s="41">
        <f t="shared" si="260"/>
      </c>
    </row>
    <row hidden="true" r="60">
      <c r="A60" s="74"/>
      <c r="B60" s="75" t="s">
        <v>66</v>
      </c>
      <c r="C60" s="75"/>
      <c r="D60" s="75"/>
      <c r="E60" s="75"/>
      <c r="F60" s="76">
        <f>SUM(F56:F59)</f>
      </c>
      <c r="G60" s="76">
        <f>SUM(G56:G59)</f>
      </c>
      <c r="H60" s="76">
        <f>SUM(H56:H59)</f>
      </c>
      <c r="I60" s="76">
        <f>SUM(I56:I59)</f>
      </c>
      <c r="J60" s="76">
        <f>SUM(J56:J59)</f>
      </c>
      <c r="K60" s="76">
        <f>SUM(K56:K59)</f>
      </c>
      <c r="L60" s="76">
        <f>SUM(L56:L59)</f>
      </c>
      <c r="M60" s="76">
        <f>SUM(M56:M59)</f>
      </c>
      <c r="N60" s="76">
        <f>SUM(N56:N59)</f>
      </c>
      <c r="O60" s="77">
        <f t="shared" si="24"/>
      </c>
      <c r="P60" s="76">
        <f>SUM(P56:P59)</f>
      </c>
      <c r="Q60" s="77">
        <f t="shared" si="0"/>
      </c>
      <c r="R60" s="78">
        <f>SUM(R56:R59)</f>
      </c>
      <c r="S60" s="76">
        <f>SUM(S56:S59)</f>
      </c>
      <c r="T60" s="76">
        <f t="shared" si="12"/>
      </c>
      <c r="U60" s="76">
        <f t="shared" si="8"/>
      </c>
      <c r="V60" s="79">
        <f t="shared" si="20"/>
      </c>
      <c r="W60" s="76">
        <f>SUM(W56:W59)</f>
      </c>
      <c r="X60" s="79">
        <f t="shared" si="16"/>
      </c>
      <c r="Y60" s="79">
        <f t="shared" si="248"/>
      </c>
      <c r="Z60" s="76">
        <f t="shared" si="100"/>
      </c>
      <c r="AA60" s="76">
        <f t="shared" si="2"/>
      </c>
      <c r="AB60" s="80">
        <f t="shared" si="4"/>
      </c>
      <c r="AC60" s="77">
        <f t="shared" si="14"/>
      </c>
      <c r="AD60" s="77">
        <f t="shared" si="10"/>
      </c>
      <c r="AE60" s="77">
        <f t="shared" si="22"/>
      </c>
      <c r="AF60" s="82">
        <f t="shared" si="18"/>
      </c>
      <c r="AG60" s="77">
        <f t="shared" si="102"/>
      </c>
      <c r="AH60" s="77">
        <f t="shared" si="26"/>
      </c>
      <c r="AI60" s="77">
        <f t="shared" si="6"/>
      </c>
      <c r="AJ60" s="78">
        <f>AVERAGE(AJ56:AJ59)</f>
      </c>
      <c r="AK60" s="76">
        <f>SUM(AK56:AK59)</f>
      </c>
      <c r="AL60" s="76">
        <f>SUM(AL56:AL59)</f>
      </c>
      <c r="AM60" s="76">
        <f>SUM(AM56:AM59)</f>
      </c>
      <c r="AN60" s="76">
        <f>SUM(AN56:AN59)</f>
      </c>
      <c r="AO60" s="76">
        <f>SUM(AO56:AO59)</f>
      </c>
      <c r="AP60" s="76">
        <f>SUM(AP56:AP59)</f>
      </c>
      <c r="AQ60" s="76">
        <f>SUM(AQ56:AQ59)</f>
      </c>
      <c r="AR60" s="76">
        <f>SUM(AR56:AR59)</f>
      </c>
      <c r="AS60" s="76">
        <f>SUM(AS56:AS59)</f>
      </c>
      <c r="AT60" s="76">
        <f>SUM(AT56:AT59)</f>
      </c>
      <c r="AU60" s="76">
        <f>SUM(AU56:AU59)</f>
      </c>
      <c r="AV60" s="39"/>
      <c r="AW60" s="48"/>
      <c r="AX60" s="49">
        <f>SUM(AX56:AX59)</f>
      </c>
    </row>
    <row hidden="true" r="61">
      <c r="A61" s="74"/>
      <c r="B61" s="41" t="s">
        <v>71</v>
      </c>
      <c r="C61" s="41" t="s">
        <v>72</v>
      </c>
      <c r="D61" s="41" t="s">
        <v>79</v>
      </c>
      <c r="E61" s="41" t="s">
        <v>80</v>
      </c>
      <c r="F61" s="63">
        <f t="shared" ref="F61:F64" si="39">G61+H61+I61</f>
      </c>
      <c r="G61" s="81">
        <v>1964.78</v>
      </c>
      <c r="H61" s="81">
        <v>1571.33</v>
      </c>
      <c r="I61" s="64">
        <v>0</v>
      </c>
      <c r="J61" s="65">
        <v>1</v>
      </c>
      <c r="K61" s="65">
        <v>1055.4500000000007</v>
      </c>
      <c r="L61" s="65">
        <v>6</v>
      </c>
      <c r="M61" s="65">
        <v>18734.340000000004</v>
      </c>
      <c r="N61" s="67">
        <v>0</v>
      </c>
      <c r="O61" s="68">
        <f t="shared" si="24"/>
      </c>
      <c r="P61" s="67">
        <v>2</v>
      </c>
      <c r="Q61" s="68">
        <f t="shared" si="0"/>
      </c>
      <c r="R61" s="83">
        <f t="shared" ref="R61:R64" si="115">J61+L61</f>
      </c>
      <c r="S61" s="70">
        <f t="shared" ref="S61:S64" si="187">K61+M61</f>
      </c>
      <c r="T61" s="63">
        <f t="shared" si="12"/>
      </c>
      <c r="U61" s="63">
        <f t="shared" si="8"/>
      </c>
      <c r="V61" s="71">
        <f t="shared" si="20"/>
      </c>
      <c r="W61" s="67">
        <v>6</v>
      </c>
      <c r="X61" s="71">
        <f t="shared" si="16"/>
      </c>
      <c r="Y61" s="71">
        <f t="shared" si="248"/>
      </c>
      <c r="Z61" s="63">
        <f t="shared" si="100"/>
      </c>
      <c r="AA61" s="63">
        <f t="shared" si="2"/>
      </c>
      <c r="AB61" s="63">
        <f t="shared" si="4"/>
      </c>
      <c r="AC61" s="68">
        <f t="shared" si="14"/>
      </c>
      <c r="AD61" s="68">
        <f t="shared" si="10"/>
      </c>
      <c r="AE61" s="68">
        <f t="shared" si="22"/>
      </c>
      <c r="AF61" s="68">
        <f t="shared" si="18"/>
      </c>
      <c r="AG61" s="68">
        <f t="shared" si="102"/>
      </c>
      <c r="AH61" s="68">
        <f t="shared" si="26"/>
      </c>
      <c r="AI61" s="68">
        <f t="shared" si="6"/>
      </c>
      <c r="AJ61" s="67">
        <v>56</v>
      </c>
      <c r="AK61" s="72">
        <v>21478</v>
      </c>
      <c r="AL61" s="72">
        <v>643</v>
      </c>
      <c r="AM61" s="72">
        <v>816</v>
      </c>
      <c r="AN61" s="72">
        <v>105</v>
      </c>
      <c r="AO61" s="73">
        <v>35</v>
      </c>
      <c r="AP61" s="72">
        <v>113</v>
      </c>
      <c r="AQ61" s="41">
        <v>111</v>
      </c>
      <c r="AR61" s="73">
        <v>8</v>
      </c>
      <c r="AS61" s="67">
        <v>10</v>
      </c>
      <c r="AT61" s="67">
        <v>0</v>
      </c>
      <c r="AU61" s="67">
        <v>10</v>
      </c>
      <c r="AV61" s="39"/>
      <c r="AW61" s="40"/>
      <c r="AX61" s="41">
        <f t="shared" ref="AX61:AX64" si="261">COUNT(AU61)</f>
      </c>
    </row>
    <row hidden="true" r="62">
      <c r="A62" s="74"/>
      <c r="B62" s="41" t="s">
        <v>71</v>
      </c>
      <c r="C62" s="41" t="s">
        <v>72</v>
      </c>
      <c r="D62" s="41" t="s">
        <v>79</v>
      </c>
      <c r="E62" s="41" t="s">
        <v>81</v>
      </c>
      <c r="F62" s="63">
        <f t="shared" si="39"/>
      </c>
      <c r="G62" s="81">
        <v>2859.75</v>
      </c>
      <c r="H62" s="81">
        <v>2900.64</v>
      </c>
      <c r="I62" s="64">
        <v>0</v>
      </c>
      <c r="J62" s="65">
        <v>0</v>
      </c>
      <c r="K62" s="65">
        <v>0</v>
      </c>
      <c r="L62" s="65">
        <v>6</v>
      </c>
      <c r="M62" s="65">
        <v>16014.759999999995</v>
      </c>
      <c r="N62" s="67">
        <v>1</v>
      </c>
      <c r="O62" s="68">
        <f t="shared" si="24"/>
      </c>
      <c r="P62" s="67">
        <v>1</v>
      </c>
      <c r="Q62" s="68">
        <f t="shared" si="0"/>
      </c>
      <c r="R62" s="83">
        <f t="shared" si="115"/>
      </c>
      <c r="S62" s="70">
        <f t="shared" si="187"/>
      </c>
      <c r="T62" s="63">
        <f t="shared" si="12"/>
      </c>
      <c r="U62" s="63">
        <f t="shared" si="8"/>
      </c>
      <c r="V62" s="71">
        <f t="shared" si="20"/>
      </c>
      <c r="W62" s="67">
        <v>6</v>
      </c>
      <c r="X62" s="71">
        <f t="shared" si="16"/>
      </c>
      <c r="Y62" s="71">
        <f t="shared" si="248"/>
      </c>
      <c r="Z62" s="63">
        <f t="shared" si="100"/>
      </c>
      <c r="AA62" s="63">
        <f t="shared" si="2"/>
      </c>
      <c r="AB62" s="63">
        <f t="shared" si="4"/>
      </c>
      <c r="AC62" s="68">
        <f t="shared" si="14"/>
      </c>
      <c r="AD62" s="68">
        <f t="shared" si="10"/>
      </c>
      <c r="AE62" s="68">
        <f t="shared" si="22"/>
      </c>
      <c r="AF62" s="68">
        <f t="shared" si="18"/>
      </c>
      <c r="AG62" s="68">
        <f t="shared" si="102"/>
      </c>
      <c r="AH62" s="68">
        <f t="shared" si="26"/>
      </c>
      <c r="AI62" s="68">
        <f t="shared" si="6"/>
      </c>
      <c r="AJ62" s="67">
        <v>56</v>
      </c>
      <c r="AK62" s="72">
        <v>40960</v>
      </c>
      <c r="AL62" s="72">
        <v>1107</v>
      </c>
      <c r="AM62" s="72">
        <v>1330</v>
      </c>
      <c r="AN62" s="72">
        <v>152</v>
      </c>
      <c r="AO62" s="73">
        <v>46</v>
      </c>
      <c r="AP62" s="72">
        <v>153</v>
      </c>
      <c r="AQ62" s="41">
        <v>168</v>
      </c>
      <c r="AR62" s="73">
        <v>8</v>
      </c>
      <c r="AS62" s="67">
        <v>10</v>
      </c>
      <c r="AT62" s="67">
        <v>0</v>
      </c>
      <c r="AU62" s="67">
        <v>11</v>
      </c>
      <c r="AV62" s="39"/>
      <c r="AW62" s="40"/>
      <c r="AX62" s="41">
        <f t="shared" si="261"/>
      </c>
    </row>
    <row hidden="true" r="63">
      <c r="A63" s="74"/>
      <c r="B63" s="41" t="s">
        <v>71</v>
      </c>
      <c r="C63" s="41" t="s">
        <v>72</v>
      </c>
      <c r="D63" s="41" t="s">
        <v>79</v>
      </c>
      <c r="E63" s="41" t="s">
        <v>82</v>
      </c>
      <c r="F63" s="63">
        <f t="shared" si="39"/>
      </c>
      <c r="G63" s="81">
        <v>1532.71</v>
      </c>
      <c r="H63" s="81">
        <v>1568.27</v>
      </c>
      <c r="I63" s="64">
        <v>0</v>
      </c>
      <c r="J63" s="65">
        <v>0</v>
      </c>
      <c r="K63" s="65">
        <v>0</v>
      </c>
      <c r="L63" s="65">
        <v>1</v>
      </c>
      <c r="M63" s="65">
        <v>3470.3499999999913</v>
      </c>
      <c r="N63" s="67">
        <v>0</v>
      </c>
      <c r="O63" s="68">
        <f t="shared" si="24"/>
      </c>
      <c r="P63" s="67">
        <v>0</v>
      </c>
      <c r="Q63" s="68">
        <f t="shared" si="0"/>
      </c>
      <c r="R63" s="83">
        <f t="shared" si="115"/>
      </c>
      <c r="S63" s="70">
        <f t="shared" si="187"/>
      </c>
      <c r="T63" s="63">
        <f t="shared" si="12"/>
      </c>
      <c r="U63" s="63">
        <f t="shared" si="8"/>
      </c>
      <c r="V63" s="71">
        <f t="shared" si="20"/>
      </c>
      <c r="W63" s="67">
        <v>1</v>
      </c>
      <c r="X63" s="71">
        <f t="shared" si="16"/>
      </c>
      <c r="Y63" s="71">
        <f t="shared" si="248"/>
      </c>
      <c r="Z63" s="63">
        <f t="shared" si="100"/>
      </c>
      <c r="AA63" s="63">
        <f t="shared" si="2"/>
      </c>
      <c r="AB63" s="63">
        <f t="shared" si="4"/>
      </c>
      <c r="AC63" s="68">
        <f t="shared" si="14"/>
      </c>
      <c r="AD63" s="68">
        <f t="shared" si="10"/>
      </c>
      <c r="AE63" s="68">
        <f t="shared" si="22"/>
      </c>
      <c r="AF63" s="68">
        <f t="shared" si="18"/>
      </c>
      <c r="AG63" s="68">
        <f t="shared" si="102"/>
      </c>
      <c r="AH63" s="68">
        <f t="shared" si="26"/>
      </c>
      <c r="AI63" s="68">
        <f t="shared" si="6"/>
      </c>
      <c r="AJ63" s="67">
        <v>56</v>
      </c>
      <c r="AK63" s="72">
        <v>16013</v>
      </c>
      <c r="AL63" s="72">
        <v>547</v>
      </c>
      <c r="AM63" s="72">
        <v>694</v>
      </c>
      <c r="AN63" s="72">
        <v>78</v>
      </c>
      <c r="AO63" s="73">
        <v>24</v>
      </c>
      <c r="AP63" s="72">
        <v>87</v>
      </c>
      <c r="AQ63" s="41">
        <v>97</v>
      </c>
      <c r="AR63" s="73">
        <v>2</v>
      </c>
      <c r="AS63" s="67">
        <v>14</v>
      </c>
      <c r="AT63" s="67">
        <v>0</v>
      </c>
      <c r="AU63" s="67">
        <v>4</v>
      </c>
      <c r="AV63" s="39"/>
      <c r="AW63" s="40"/>
      <c r="AX63" s="41">
        <f t="shared" si="261"/>
      </c>
    </row>
    <row hidden="true" r="64">
      <c r="A64" s="74"/>
      <c r="B64" s="41" t="s">
        <v>71</v>
      </c>
      <c r="C64" s="41" t="s">
        <v>72</v>
      </c>
      <c r="D64" s="41" t="s">
        <v>79</v>
      </c>
      <c r="E64" s="41" t="s">
        <v>83</v>
      </c>
      <c r="F64" s="63">
        <f t="shared" si="39"/>
      </c>
      <c r="G64" s="81">
        <v>1177.95</v>
      </c>
      <c r="H64" s="81">
        <v>1656.49</v>
      </c>
      <c r="I64" s="64">
        <v>0</v>
      </c>
      <c r="J64" s="65">
        <v>2</v>
      </c>
      <c r="K64" s="65">
        <v>3870.6100000000006</v>
      </c>
      <c r="L64" s="65">
        <v>4</v>
      </c>
      <c r="M64" s="65">
        <v>27192.300000000003</v>
      </c>
      <c r="N64" s="67">
        <v>0</v>
      </c>
      <c r="O64" s="68">
        <f t="shared" si="24"/>
      </c>
      <c r="P64" s="67">
        <v>3</v>
      </c>
      <c r="Q64" s="68">
        <f t="shared" si="0"/>
      </c>
      <c r="R64" s="83">
        <f t="shared" si="115"/>
      </c>
      <c r="S64" s="70">
        <f t="shared" si="187"/>
      </c>
      <c r="T64" s="63">
        <f t="shared" si="12"/>
      </c>
      <c r="U64" s="63">
        <f t="shared" si="8"/>
      </c>
      <c r="V64" s="71">
        <f t="shared" si="20"/>
      </c>
      <c r="W64" s="67">
        <v>2</v>
      </c>
      <c r="X64" s="71">
        <f t="shared" si="16"/>
      </c>
      <c r="Y64" s="71">
        <f t="shared" si="248"/>
      </c>
      <c r="Z64" s="63">
        <f t="shared" si="100"/>
      </c>
      <c r="AA64" s="63">
        <f t="shared" si="2"/>
      </c>
      <c r="AB64" s="63">
        <f t="shared" si="4"/>
      </c>
      <c r="AC64" s="68">
        <f t="shared" si="14"/>
      </c>
      <c r="AD64" s="68">
        <f t="shared" si="10"/>
      </c>
      <c r="AE64" s="68">
        <f t="shared" si="22"/>
      </c>
      <c r="AF64" s="68">
        <f t="shared" si="18"/>
      </c>
      <c r="AG64" s="68">
        <f t="shared" si="102"/>
      </c>
      <c r="AH64" s="68">
        <f t="shared" si="26"/>
      </c>
      <c r="AI64" s="68">
        <f t="shared" si="6"/>
      </c>
      <c r="AJ64" s="67">
        <v>59</v>
      </c>
      <c r="AK64" s="72">
        <v>17702</v>
      </c>
      <c r="AL64" s="72">
        <v>546</v>
      </c>
      <c r="AM64" s="72">
        <v>706</v>
      </c>
      <c r="AN64" s="72">
        <v>70</v>
      </c>
      <c r="AO64" s="73">
        <v>20</v>
      </c>
      <c r="AP64" s="72">
        <v>66</v>
      </c>
      <c r="AQ64" s="41">
        <v>81</v>
      </c>
      <c r="AR64" s="73">
        <v>7</v>
      </c>
      <c r="AS64" s="67">
        <v>12</v>
      </c>
      <c r="AT64" s="67">
        <v>0</v>
      </c>
      <c r="AU64" s="67">
        <v>8</v>
      </c>
      <c r="AV64" s="39"/>
      <c r="AW64" s="40"/>
      <c r="AX64" s="41">
        <f t="shared" si="261"/>
      </c>
    </row>
    <row hidden="true" r="65">
      <c r="A65" s="74"/>
      <c r="B65" s="75" t="s">
        <v>66</v>
      </c>
      <c r="C65" s="75"/>
      <c r="D65" s="75"/>
      <c r="E65" s="75"/>
      <c r="F65" s="76">
        <f>SUM(F61:F64)</f>
      </c>
      <c r="G65" s="76">
        <f>SUM(G61:G64)</f>
      </c>
      <c r="H65" s="76">
        <f>SUM(H61:H64)</f>
      </c>
      <c r="I65" s="76">
        <f>SUM(I61:I64)</f>
      </c>
      <c r="J65" s="76">
        <f>SUM(J61:J64)</f>
      </c>
      <c r="K65" s="76">
        <f>SUM(K61:K64)</f>
      </c>
      <c r="L65" s="76">
        <f>SUM(L61:L64)</f>
      </c>
      <c r="M65" s="76">
        <f>SUM(M61:M64)</f>
      </c>
      <c r="N65" s="76">
        <f>SUM(N61:N64)</f>
      </c>
      <c r="O65" s="77">
        <f t="shared" si="24"/>
      </c>
      <c r="P65" s="76">
        <f>SUM(P61:P64)</f>
      </c>
      <c r="Q65" s="77">
        <f t="shared" si="0"/>
      </c>
      <c r="R65" s="78">
        <f>SUM(R61:R64)</f>
      </c>
      <c r="S65" s="76">
        <f>SUM(S61:S64)</f>
      </c>
      <c r="T65" s="79">
        <f t="shared" si="12"/>
      </c>
      <c r="U65" s="76">
        <f t="shared" si="8"/>
      </c>
      <c r="V65" s="79">
        <f t="shared" si="20"/>
      </c>
      <c r="W65" s="76">
        <f>SUM(W61:W64)</f>
      </c>
      <c r="X65" s="79">
        <f t="shared" si="16"/>
      </c>
      <c r="Y65" s="79">
        <f t="shared" si="248"/>
      </c>
      <c r="Z65" s="76">
        <f t="shared" si="100"/>
      </c>
      <c r="AA65" s="76">
        <f t="shared" si="2"/>
      </c>
      <c r="AB65" s="80">
        <f t="shared" si="4"/>
      </c>
      <c r="AC65" s="77">
        <f t="shared" si="14"/>
      </c>
      <c r="AD65" s="77">
        <f t="shared" si="10"/>
      </c>
      <c r="AE65" s="77">
        <f t="shared" si="22"/>
      </c>
      <c r="AF65" s="82">
        <f t="shared" si="18"/>
      </c>
      <c r="AG65" s="77">
        <f t="shared" si="102"/>
      </c>
      <c r="AH65" s="77">
        <f t="shared" si="26"/>
      </c>
      <c r="AI65" s="77">
        <f t="shared" si="6"/>
      </c>
      <c r="AJ65" s="78">
        <f>AVERAGE(AJ61:AJ64)</f>
      </c>
      <c r="AK65" s="76">
        <f>SUM(AK61:AK64)</f>
      </c>
      <c r="AL65" s="76">
        <f>SUM(AL61:AL64)</f>
      </c>
      <c r="AM65" s="76">
        <f>SUM(AM61:AM64)</f>
      </c>
      <c r="AN65" s="76">
        <f>SUM(AN61:AN64)</f>
      </c>
      <c r="AO65" s="76">
        <f>SUM(AO61:AO64)</f>
      </c>
      <c r="AP65" s="76">
        <f>SUM(AP61:AP64)</f>
      </c>
      <c r="AQ65" s="76">
        <f>SUM(AQ61:AQ64)</f>
      </c>
      <c r="AR65" s="76">
        <f>SUM(AR61:AR64)</f>
      </c>
      <c r="AS65" s="76">
        <f>SUM(AS61:AS64)</f>
      </c>
      <c r="AT65" s="76">
        <f>SUM(AT61:AT64)</f>
      </c>
      <c r="AU65" s="76">
        <f>SUM(AU61:AU64)</f>
      </c>
      <c r="AV65" s="39"/>
      <c r="AW65" s="48"/>
      <c r="AX65" s="49">
        <f>SUM(AX61:AX64)</f>
      </c>
    </row>
    <row hidden="true" r="66">
      <c r="A66" s="74"/>
      <c r="B66" s="84" t="s">
        <v>84</v>
      </c>
      <c r="C66" s="84"/>
      <c r="D66" s="84"/>
      <c r="E66" s="84"/>
      <c r="F66" s="85">
        <f>F50+F55+F60+F65</f>
      </c>
      <c r="G66" s="85">
        <f>G50+G55+G60+G65</f>
      </c>
      <c r="H66" s="85">
        <f>H50+H55+H60+H65</f>
      </c>
      <c r="I66" s="85">
        <f>I50+I55+I60+I65</f>
      </c>
      <c r="J66" s="85">
        <f>J50+J55+J60+J65</f>
      </c>
      <c r="K66" s="85">
        <f>K50+K55+K60+K65</f>
      </c>
      <c r="L66" s="85">
        <f>L50+L55+L60+L65</f>
      </c>
      <c r="M66" s="85">
        <f>M50+M55+M60+M65</f>
      </c>
      <c r="N66" s="85">
        <f>N50+N55+N60+N65</f>
      </c>
      <c r="O66" s="86">
        <f t="shared" si="24"/>
      </c>
      <c r="P66" s="84">
        <f>P50+P55+P60+P65</f>
      </c>
      <c r="Q66" s="86">
        <f t="shared" si="0"/>
      </c>
      <c r="R66" s="87">
        <f>R50+R55+R60+R65</f>
      </c>
      <c r="S66" s="85">
        <f>S50+S55+S60+S65</f>
      </c>
      <c r="T66" s="85">
        <f t="shared" si="12"/>
      </c>
      <c r="U66" s="85">
        <f t="shared" si="8"/>
      </c>
      <c r="V66" s="88">
        <f t="shared" si="20"/>
      </c>
      <c r="W66" s="84">
        <f>W50+W55+W60+W65</f>
      </c>
      <c r="X66" s="88">
        <f t="shared" si="16"/>
      </c>
      <c r="Y66" s="88">
        <f t="shared" si="248"/>
      </c>
      <c r="Z66" s="85">
        <f t="shared" si="100"/>
      </c>
      <c r="AA66" s="85">
        <f t="shared" si="2"/>
      </c>
      <c r="AB66" s="89">
        <f t="shared" si="4"/>
      </c>
      <c r="AC66" s="86">
        <f t="shared" si="14"/>
      </c>
      <c r="AD66" s="86">
        <f t="shared" si="10"/>
      </c>
      <c r="AE66" s="86">
        <f t="shared" si="22"/>
      </c>
      <c r="AF66" s="90">
        <f t="shared" si="18"/>
      </c>
      <c r="AG66" s="86">
        <f t="shared" si="102"/>
      </c>
      <c r="AH66" s="86">
        <f t="shared" si="26"/>
      </c>
      <c r="AI66" s="86">
        <f t="shared" si="6"/>
      </c>
      <c r="AJ66" s="87">
        <f>(AJ50+AJ55+AJ60+AJ65)/4</f>
      </c>
      <c r="AK66" s="84">
        <f>AK50+AK55+AK60+AK65</f>
      </c>
      <c r="AL66" s="84">
        <f>AL50+AL55+AL60+AL65</f>
      </c>
      <c r="AM66" s="84">
        <f>AM50+AM55+AM60+AM65</f>
      </c>
      <c r="AN66" s="84">
        <f>AN50+AN55+AN60+AN65</f>
      </c>
      <c r="AO66" s="84">
        <f>AO50+AO55+AO60+AO65</f>
      </c>
      <c r="AP66" s="84">
        <f>AP50+AP55+AP60+AP65</f>
      </c>
      <c r="AQ66" s="84">
        <f>AQ50+AQ55+AQ60+AQ65</f>
      </c>
      <c r="AR66" s="84">
        <f>AR50+AR55+AR60+AR65</f>
      </c>
      <c r="AS66" s="84">
        <f>AS50+AS55+AS60+AS65</f>
      </c>
      <c r="AT66" s="84">
        <f>AT50+AT55+AT60+AT65</f>
      </c>
      <c r="AU66" s="84">
        <f>AU50+AU55+AU60+AU65</f>
      </c>
      <c r="AV66" s="39"/>
      <c r="AW66" s="84">
        <f>AW50+AW55+AW60</f>
      </c>
      <c r="AX66" s="84">
        <f>AX50+AX55+AX60+AX65</f>
      </c>
    </row>
    <row hidden="true" r="67">
      <c r="A67" s="62">
        <v>46299</v>
      </c>
      <c r="B67" s="41" t="s">
        <v>59</v>
      </c>
      <c r="C67" s="41" t="s">
        <v>60</v>
      </c>
      <c r="D67" s="41" t="s">
        <v>67</v>
      </c>
      <c r="E67" s="28" t="s">
        <v>62</v>
      </c>
      <c r="F67" s="63">
        <f t="shared" ref="F67:F70" si="40">G67+H67+I67</f>
      </c>
      <c r="G67" s="63">
        <v>2661.57</v>
      </c>
      <c r="H67" s="63">
        <v>6397.38</v>
      </c>
      <c r="I67" s="64">
        <v>0</v>
      </c>
      <c r="J67" s="65">
        <v>2</v>
      </c>
      <c r="K67" s="66">
        <v>3778.93</v>
      </c>
      <c r="L67" s="65">
        <v>7</v>
      </c>
      <c r="M67" s="65">
        <v>21317.75</v>
      </c>
      <c r="N67" s="67">
        <v>6</v>
      </c>
      <c r="O67" s="68">
        <f t="shared" si="24"/>
      </c>
      <c r="P67" s="67">
        <v>3</v>
      </c>
      <c r="Q67" s="68">
        <f t="shared" si="0"/>
      </c>
      <c r="R67" s="69">
        <f t="shared" ref="R67:R70" si="116">J67+L67</f>
      </c>
      <c r="S67" s="70">
        <f t="shared" ref="S67:S70" si="188">K67+M67</f>
      </c>
      <c r="T67" s="63">
        <f t="shared" si="12"/>
      </c>
      <c r="U67" s="63">
        <f t="shared" si="8"/>
      </c>
      <c r="V67" s="71">
        <f t="shared" si="20"/>
      </c>
      <c r="W67" s="67">
        <v>5</v>
      </c>
      <c r="X67" s="71">
        <f t="shared" si="16"/>
      </c>
      <c r="Y67" s="71">
        <f t="shared" si="248"/>
      </c>
      <c r="Z67" s="63">
        <f t="shared" si="100"/>
      </c>
      <c r="AA67" s="63">
        <f t="shared" si="2"/>
      </c>
      <c r="AB67" s="63">
        <f t="shared" si="4"/>
      </c>
      <c r="AC67" s="68">
        <f t="shared" si="14"/>
      </c>
      <c r="AD67" s="68">
        <f t="shared" si="10"/>
      </c>
      <c r="AE67" s="68">
        <f t="shared" si="22"/>
      </c>
      <c r="AF67" s="68">
        <f t="shared" si="18"/>
      </c>
      <c r="AG67" s="68">
        <f t="shared" si="102"/>
      </c>
      <c r="AH67" s="68">
        <f t="shared" si="26"/>
      </c>
      <c r="AI67" s="68">
        <f t="shared" si="6"/>
      </c>
      <c r="AJ67" s="67">
        <v>71</v>
      </c>
      <c r="AK67" s="72">
        <v>38407</v>
      </c>
      <c r="AL67" s="72">
        <v>948</v>
      </c>
      <c r="AM67" s="72">
        <v>1082</v>
      </c>
      <c r="AN67" s="72">
        <v>219</v>
      </c>
      <c r="AO67" s="73">
        <v>61</v>
      </c>
      <c r="AP67" s="41">
        <v>140</v>
      </c>
      <c r="AQ67" s="41">
        <v>193</v>
      </c>
      <c r="AR67" s="73">
        <v>10</v>
      </c>
      <c r="AS67" s="41">
        <v>15</v>
      </c>
      <c r="AT67" s="72">
        <v>3</v>
      </c>
      <c r="AU67" s="72">
        <v>27</v>
      </c>
      <c r="AV67" s="39"/>
      <c r="AW67" s="40"/>
      <c r="AX67" s="41">
        <f t="shared" ref="AX67:AX70" si="262">COUNT(AU67)</f>
      </c>
    </row>
    <row hidden="true" r="68">
      <c r="A68" s="62"/>
      <c r="B68" s="41" t="s">
        <v>59</v>
      </c>
      <c r="C68" s="41" t="s">
        <v>60</v>
      </c>
      <c r="D68" s="41" t="s">
        <v>67</v>
      </c>
      <c r="E68" s="28" t="s">
        <v>63</v>
      </c>
      <c r="F68" s="63">
        <f t="shared" si="40"/>
      </c>
      <c r="G68" s="63">
        <v>850.15</v>
      </c>
      <c r="H68" s="81">
        <v>934.4</v>
      </c>
      <c r="I68" s="64">
        <v>0</v>
      </c>
      <c r="J68" s="65">
        <v>1</v>
      </c>
      <c r="K68" s="65">
        <v>913.1399999999999</v>
      </c>
      <c r="L68" s="65">
        <v>1</v>
      </c>
      <c r="M68" s="65">
        <v>2604.970000000001</v>
      </c>
      <c r="N68" s="67">
        <v>1</v>
      </c>
      <c r="O68" s="68">
        <f t="shared" si="24"/>
      </c>
      <c r="P68" s="67">
        <v>1</v>
      </c>
      <c r="Q68" s="68">
        <f t="shared" si="0"/>
      </c>
      <c r="R68" s="69">
        <f t="shared" si="116"/>
      </c>
      <c r="S68" s="70">
        <f t="shared" si="188"/>
      </c>
      <c r="T68" s="63">
        <f t="shared" si="12"/>
      </c>
      <c r="U68" s="63">
        <f t="shared" si="8"/>
      </c>
      <c r="V68" s="71">
        <f t="shared" si="20"/>
      </c>
      <c r="W68" s="67">
        <v>2</v>
      </c>
      <c r="X68" s="71">
        <f t="shared" si="16"/>
      </c>
      <c r="Y68" s="71">
        <f t="shared" si="248"/>
      </c>
      <c r="Z68" s="63">
        <f t="shared" si="100"/>
      </c>
      <c r="AA68" s="63">
        <f t="shared" si="2"/>
      </c>
      <c r="AB68" s="63">
        <f t="shared" si="4"/>
      </c>
      <c r="AC68" s="68">
        <f t="shared" si="14"/>
      </c>
      <c r="AD68" s="68">
        <f t="shared" si="10"/>
      </c>
      <c r="AE68" s="68">
        <f t="shared" si="22"/>
      </c>
      <c r="AF68" s="68">
        <f t="shared" si="18"/>
      </c>
      <c r="AG68" s="68">
        <f t="shared" si="102"/>
      </c>
      <c r="AH68" s="68">
        <f t="shared" si="26"/>
      </c>
      <c r="AI68" s="68">
        <f t="shared" si="6"/>
      </c>
      <c r="AJ68" s="67">
        <v>75</v>
      </c>
      <c r="AK68" s="72">
        <v>7974</v>
      </c>
      <c r="AL68" s="72">
        <v>183</v>
      </c>
      <c r="AM68" s="72">
        <v>259</v>
      </c>
      <c r="AN68" s="72">
        <v>40</v>
      </c>
      <c r="AO68" s="73">
        <v>13</v>
      </c>
      <c r="AP68" s="72">
        <v>79</v>
      </c>
      <c r="AQ68" s="41">
        <v>53</v>
      </c>
      <c r="AR68" s="73">
        <v>2</v>
      </c>
      <c r="AS68" s="72">
        <v>3</v>
      </c>
      <c r="AT68" s="72">
        <v>2</v>
      </c>
      <c r="AU68" s="72">
        <v>3</v>
      </c>
      <c r="AV68" s="39"/>
      <c r="AW68" s="40"/>
      <c r="AX68" s="41">
        <f t="shared" si="262"/>
      </c>
    </row>
    <row hidden="true" r="69">
      <c r="A69" s="62"/>
      <c r="B69" s="41" t="s">
        <v>59</v>
      </c>
      <c r="C69" s="41" t="s">
        <v>60</v>
      </c>
      <c r="D69" s="41" t="s">
        <v>67</v>
      </c>
      <c r="E69" s="28" t="s">
        <v>64</v>
      </c>
      <c r="F69" s="63">
        <f t="shared" si="40"/>
      </c>
      <c r="G69" s="63">
        <v>681.56</v>
      </c>
      <c r="H69" s="63">
        <v>1274.14</v>
      </c>
      <c r="I69" s="64">
        <v>0</v>
      </c>
      <c r="J69" s="65">
        <v>0</v>
      </c>
      <c r="K69" s="65">
        <v>0</v>
      </c>
      <c r="L69" s="65">
        <v>1</v>
      </c>
      <c r="M69" s="65">
        <v>1096.1100000000006</v>
      </c>
      <c r="N69" s="67">
        <v>1</v>
      </c>
      <c r="O69" s="68">
        <f t="shared" si="24"/>
      </c>
      <c r="P69" s="67">
        <v>0</v>
      </c>
      <c r="Q69" s="68">
        <f t="shared" si="0"/>
      </c>
      <c r="R69" s="69">
        <f t="shared" si="116"/>
      </c>
      <c r="S69" s="70">
        <f t="shared" si="188"/>
      </c>
      <c r="T69" s="63">
        <f t="shared" si="12"/>
      </c>
      <c r="U69" s="63">
        <f t="shared" si="8"/>
      </c>
      <c r="V69" s="71">
        <f t="shared" si="20"/>
      </c>
      <c r="W69" s="67">
        <v>0</v>
      </c>
      <c r="X69" s="71">
        <f t="shared" si="16"/>
      </c>
      <c r="Y69" s="71">
        <f t="shared" si="248"/>
      </c>
      <c r="Z69" s="63">
        <f t="shared" si="100"/>
      </c>
      <c r="AA69" s="63">
        <f t="shared" si="2"/>
      </c>
      <c r="AB69" s="63">
        <f t="shared" si="4"/>
      </c>
      <c r="AC69" s="68">
        <f t="shared" si="14"/>
      </c>
      <c r="AD69" s="68">
        <f t="shared" si="10"/>
      </c>
      <c r="AE69" s="68">
        <f t="shared" si="22"/>
      </c>
      <c r="AF69" s="68">
        <f t="shared" si="18"/>
      </c>
      <c r="AG69" s="68">
        <f t="shared" si="102"/>
      </c>
      <c r="AH69" s="68">
        <f t="shared" si="26"/>
      </c>
      <c r="AI69" s="68">
        <f t="shared" si="6"/>
      </c>
      <c r="AJ69" s="67">
        <v>75</v>
      </c>
      <c r="AK69" s="72">
        <v>10651</v>
      </c>
      <c r="AL69" s="72">
        <v>230</v>
      </c>
      <c r="AM69" s="72">
        <v>329</v>
      </c>
      <c r="AN69" s="72">
        <v>53</v>
      </c>
      <c r="AO69" s="73">
        <v>21</v>
      </c>
      <c r="AP69" s="72">
        <v>51</v>
      </c>
      <c r="AQ69" s="41">
        <v>51</v>
      </c>
      <c r="AR69" s="73">
        <v>3</v>
      </c>
      <c r="AS69" s="72">
        <v>2</v>
      </c>
      <c r="AT69" s="72">
        <v>0</v>
      </c>
      <c r="AU69" s="72">
        <v>1</v>
      </c>
      <c r="AV69" s="39"/>
      <c r="AW69" s="40"/>
      <c r="AX69" s="41">
        <f t="shared" si="262"/>
      </c>
    </row>
    <row hidden="true" r="70">
      <c r="A70" s="62"/>
      <c r="B70" s="41" t="s">
        <v>59</v>
      </c>
      <c r="C70" s="41" t="s">
        <v>60</v>
      </c>
      <c r="D70" s="41" t="s">
        <v>67</v>
      </c>
      <c r="E70" s="41" t="s">
        <v>65</v>
      </c>
      <c r="F70" s="63">
        <f t="shared" si="40"/>
      </c>
      <c r="G70" s="63">
        <v>1080.51</v>
      </c>
      <c r="H70" s="63">
        <v>1276.76</v>
      </c>
      <c r="I70" s="64">
        <v>0</v>
      </c>
      <c r="J70" s="65">
        <v>0</v>
      </c>
      <c r="K70" s="65">
        <v>0</v>
      </c>
      <c r="L70" s="65">
        <v>1</v>
      </c>
      <c r="M70" s="65">
        <v>1429.5600000000013</v>
      </c>
      <c r="N70" s="67">
        <v>0</v>
      </c>
      <c r="O70" s="68">
        <f t="shared" si="24"/>
      </c>
      <c r="P70" s="67">
        <v>0</v>
      </c>
      <c r="Q70" s="68">
        <f t="shared" si="0"/>
      </c>
      <c r="R70" s="69">
        <f t="shared" si="116"/>
      </c>
      <c r="S70" s="70">
        <f t="shared" si="188"/>
      </c>
      <c r="T70" s="63">
        <f t="shared" si="12"/>
      </c>
      <c r="U70" s="63">
        <f t="shared" si="8"/>
      </c>
      <c r="V70" s="71">
        <f t="shared" si="20"/>
      </c>
      <c r="W70" s="67">
        <v>1</v>
      </c>
      <c r="X70" s="71">
        <f t="shared" si="16"/>
      </c>
      <c r="Y70" s="71">
        <f t="shared" si="248"/>
      </c>
      <c r="Z70" s="63">
        <f t="shared" si="100"/>
      </c>
      <c r="AA70" s="63">
        <f t="shared" si="2"/>
      </c>
      <c r="AB70" s="63">
        <f t="shared" si="4"/>
      </c>
      <c r="AC70" s="68">
        <f t="shared" si="14"/>
      </c>
      <c r="AD70" s="68">
        <f t="shared" si="10"/>
      </c>
      <c r="AE70" s="68">
        <f t="shared" si="22"/>
      </c>
      <c r="AF70" s="68">
        <f t="shared" si="18"/>
      </c>
      <c r="AG70" s="68">
        <f t="shared" si="102"/>
      </c>
      <c r="AH70" s="68">
        <f t="shared" si="26"/>
      </c>
      <c r="AI70" s="68">
        <f t="shared" si="6"/>
      </c>
      <c r="AJ70" s="67">
        <v>70</v>
      </c>
      <c r="AK70" s="72">
        <v>13972</v>
      </c>
      <c r="AL70" s="72">
        <v>319</v>
      </c>
      <c r="AM70" s="72">
        <v>451</v>
      </c>
      <c r="AN70" s="72">
        <v>76</v>
      </c>
      <c r="AO70" s="73">
        <v>28</v>
      </c>
      <c r="AP70" s="72">
        <v>110</v>
      </c>
      <c r="AQ70" s="41">
        <v>62</v>
      </c>
      <c r="AR70" s="73">
        <v>2</v>
      </c>
      <c r="AS70" s="72">
        <v>5</v>
      </c>
      <c r="AT70" s="72">
        <v>0</v>
      </c>
      <c r="AU70" s="72">
        <v>7</v>
      </c>
      <c r="AV70" s="39"/>
      <c r="AW70" s="40"/>
      <c r="AX70" s="41">
        <f t="shared" si="262"/>
      </c>
    </row>
    <row hidden="true" r="71">
      <c r="A71" s="62"/>
      <c r="B71" s="75" t="s">
        <v>66</v>
      </c>
      <c r="C71" s="75"/>
      <c r="D71" s="75"/>
      <c r="E71" s="75"/>
      <c r="F71" s="76">
        <f>SUM(F67:F70)</f>
      </c>
      <c r="G71" s="76">
        <f>SUM(G67:G70)</f>
      </c>
      <c r="H71" s="76">
        <f>SUM(H67:H70)</f>
      </c>
      <c r="I71" s="76">
        <f>SUM(I67:I70)</f>
      </c>
      <c r="J71" s="76">
        <f>SUM(J67:J70)</f>
      </c>
      <c r="K71" s="76">
        <f>SUM(K67:K70)</f>
      </c>
      <c r="L71" s="76">
        <f>SUM(L67:L70)</f>
      </c>
      <c r="M71" s="76">
        <f>SUM(M67:M70)</f>
      </c>
      <c r="N71" s="76">
        <f>SUM(N67:N70)</f>
      </c>
      <c r="O71" s="77">
        <f t="shared" si="24"/>
      </c>
      <c r="P71" s="76">
        <f>SUM(P67:P70)</f>
      </c>
      <c r="Q71" s="77">
        <f t="shared" si="0"/>
      </c>
      <c r="R71" s="78">
        <f>SUM(R67:R70)</f>
      </c>
      <c r="S71" s="76">
        <f>SUM(S67:S70)</f>
      </c>
      <c r="T71" s="76">
        <f t="shared" si="12"/>
      </c>
      <c r="U71" s="76">
        <f t="shared" si="8"/>
      </c>
      <c r="V71" s="76">
        <f t="shared" si="20"/>
      </c>
      <c r="W71" s="76">
        <f>SUM(W67:W70)</f>
      </c>
      <c r="X71" s="79">
        <f t="shared" si="16"/>
      </c>
      <c r="Y71" s="79">
        <f t="shared" si="248"/>
      </c>
      <c r="Z71" s="76">
        <f t="shared" si="100"/>
      </c>
      <c r="AA71" s="76">
        <f t="shared" si="2"/>
      </c>
      <c r="AB71" s="80">
        <f t="shared" si="4"/>
      </c>
      <c r="AC71" s="77">
        <f t="shared" si="14"/>
      </c>
      <c r="AD71" s="77">
        <f t="shared" si="10"/>
      </c>
      <c r="AE71" s="77">
        <f t="shared" si="22"/>
      </c>
      <c r="AF71" s="77">
        <f t="shared" si="18"/>
      </c>
      <c r="AG71" s="77">
        <f t="shared" si="102"/>
      </c>
      <c r="AH71" s="77">
        <f t="shared" si="26"/>
      </c>
      <c r="AI71" s="77">
        <f t="shared" si="6"/>
      </c>
      <c r="AJ71" s="78">
        <f>AVERAGE(AJ67:AJ70)</f>
      </c>
      <c r="AK71" s="76">
        <f>SUM(AK67:AK70)</f>
      </c>
      <c r="AL71" s="76">
        <f>SUM(AL67:AL70)</f>
      </c>
      <c r="AM71" s="76">
        <f>SUM(AM67:AM70)</f>
      </c>
      <c r="AN71" s="76">
        <f>SUM(AN67:AN70)</f>
      </c>
      <c r="AO71" s="76">
        <f>SUM(AO67:AO70)</f>
      </c>
      <c r="AP71" s="76">
        <f>SUM(AP67:AP70)</f>
      </c>
      <c r="AQ71" s="76">
        <f>SUM(AQ67:AQ70)</f>
      </c>
      <c r="AR71" s="76">
        <f>SUM(AR67:AR70)</f>
      </c>
      <c r="AS71" s="76">
        <f>SUM(AS67:AS70)</f>
      </c>
      <c r="AT71" s="76">
        <f>SUM(AT67:AT70)</f>
      </c>
      <c r="AU71" s="76">
        <f>SUM(AU67:AU70)</f>
      </c>
      <c r="AV71" s="39"/>
      <c r="AW71" s="48"/>
      <c r="AX71" s="49">
        <f>SUM(AX67:AX70)</f>
      </c>
    </row>
    <row hidden="true" r="72">
      <c r="A72" s="62"/>
      <c r="B72" s="41" t="s">
        <v>59</v>
      </c>
      <c r="C72" s="41" t="s">
        <v>60</v>
      </c>
      <c r="D72" s="41" t="s">
        <v>74</v>
      </c>
      <c r="E72" s="41" t="s">
        <v>68</v>
      </c>
      <c r="F72" s="63">
        <f t="shared" ref="F72:F75" si="41">G72+H72+I72</f>
      </c>
      <c r="G72" s="63">
        <v>1024.73</v>
      </c>
      <c r="H72" s="63">
        <v>1273.94</v>
      </c>
      <c r="I72" s="64">
        <v>0</v>
      </c>
      <c r="J72" s="65">
        <v>0</v>
      </c>
      <c r="K72" s="65">
        <v>0</v>
      </c>
      <c r="L72" s="65">
        <v>1</v>
      </c>
      <c r="M72" s="65">
        <v>1672</v>
      </c>
      <c r="N72" s="67">
        <v>0</v>
      </c>
      <c r="O72" s="68">
        <f t="shared" si="24"/>
      </c>
      <c r="P72" s="67">
        <v>0</v>
      </c>
      <c r="Q72" s="68">
        <f t="shared" si="0"/>
      </c>
      <c r="R72" s="69">
        <f t="shared" ref="R72:R75" si="117">J72+L72</f>
      </c>
      <c r="S72" s="70">
        <f t="shared" ref="S72:S75" si="189">K72+M72</f>
      </c>
      <c r="T72" s="63">
        <f t="shared" si="12"/>
      </c>
      <c r="U72" s="63">
        <f t="shared" si="8"/>
      </c>
      <c r="V72" s="71">
        <f t="shared" si="20"/>
      </c>
      <c r="W72" s="67">
        <v>1</v>
      </c>
      <c r="X72" s="71">
        <f t="shared" si="16"/>
      </c>
      <c r="Y72" s="71">
        <f t="shared" si="248"/>
      </c>
      <c r="Z72" s="63">
        <f t="shared" si="100"/>
      </c>
      <c r="AA72" s="63">
        <f t="shared" si="2"/>
      </c>
      <c r="AB72" s="63">
        <f t="shared" si="4"/>
      </c>
      <c r="AC72" s="68">
        <f t="shared" si="14"/>
      </c>
      <c r="AD72" s="68">
        <f t="shared" si="10"/>
      </c>
      <c r="AE72" s="68">
        <f t="shared" si="22"/>
      </c>
      <c r="AF72" s="68">
        <f t="shared" si="18"/>
      </c>
      <c r="AG72" s="68">
        <f t="shared" si="102"/>
      </c>
      <c r="AH72" s="68">
        <f t="shared" si="26"/>
      </c>
      <c r="AI72" s="68">
        <f t="shared" si="6"/>
      </c>
      <c r="AJ72" s="67">
        <v>73</v>
      </c>
      <c r="AK72" s="72">
        <v>13161</v>
      </c>
      <c r="AL72" s="72">
        <v>344</v>
      </c>
      <c r="AM72" s="72">
        <v>470</v>
      </c>
      <c r="AN72" s="72">
        <v>72</v>
      </c>
      <c r="AO72" s="73">
        <v>27</v>
      </c>
      <c r="AP72" s="72">
        <v>106</v>
      </c>
      <c r="AQ72" s="41">
        <v>75</v>
      </c>
      <c r="AR72" s="73">
        <v>1</v>
      </c>
      <c r="AS72" s="41">
        <v>7</v>
      </c>
      <c r="AT72" s="72">
        <v>0</v>
      </c>
      <c r="AU72" s="72">
        <v>3</v>
      </c>
      <c r="AV72" s="39"/>
      <c r="AW72" s="40"/>
      <c r="AX72" s="41">
        <f t="shared" ref="AX72:AX75" si="263">COUNT(AU72)</f>
      </c>
    </row>
    <row hidden="true" r="73">
      <c r="A73" s="62"/>
      <c r="B73" s="41" t="s">
        <v>59</v>
      </c>
      <c r="C73" s="41" t="s">
        <v>60</v>
      </c>
      <c r="D73" s="41" t="s">
        <v>74</v>
      </c>
      <c r="E73" s="41" t="s">
        <v>69</v>
      </c>
      <c r="F73" s="63">
        <f t="shared" si="41"/>
      </c>
      <c r="G73" s="63">
        <v>1432.77</v>
      </c>
      <c r="H73" s="63">
        <v>1576.65</v>
      </c>
      <c r="I73" s="64">
        <v>0</v>
      </c>
      <c r="J73" s="65">
        <v>1</v>
      </c>
      <c r="K73" s="65">
        <v>1111</v>
      </c>
      <c r="L73" s="65">
        <v>2</v>
      </c>
      <c r="M73" s="65">
        <v>3274.5600000000013</v>
      </c>
      <c r="N73" s="67">
        <v>1</v>
      </c>
      <c r="O73" s="68">
        <f t="shared" si="24"/>
      </c>
      <c r="P73" s="67">
        <v>0</v>
      </c>
      <c r="Q73" s="68">
        <f t="shared" si="0"/>
      </c>
      <c r="R73" s="69">
        <f t="shared" si="117"/>
      </c>
      <c r="S73" s="70">
        <f t="shared" si="189"/>
      </c>
      <c r="T73" s="63">
        <f t="shared" si="12"/>
      </c>
      <c r="U73" s="63">
        <f t="shared" si="8"/>
      </c>
      <c r="V73" s="71">
        <f t="shared" si="20"/>
      </c>
      <c r="W73" s="67">
        <v>3</v>
      </c>
      <c r="X73" s="71">
        <f t="shared" si="16"/>
      </c>
      <c r="Y73" s="71">
        <f t="shared" si="248"/>
      </c>
      <c r="Z73" s="63">
        <f t="shared" si="100"/>
      </c>
      <c r="AA73" s="63">
        <f t="shared" si="2"/>
      </c>
      <c r="AB73" s="63">
        <f t="shared" si="4"/>
      </c>
      <c r="AC73" s="68">
        <f t="shared" si="14"/>
      </c>
      <c r="AD73" s="68">
        <f t="shared" si="10"/>
      </c>
      <c r="AE73" s="68">
        <f t="shared" si="22"/>
      </c>
      <c r="AF73" s="68">
        <f t="shared" si="18"/>
      </c>
      <c r="AG73" s="68">
        <f t="shared" si="102"/>
      </c>
      <c r="AH73" s="68">
        <f t="shared" si="26"/>
      </c>
      <c r="AI73" s="68">
        <f t="shared" si="6"/>
      </c>
      <c r="AJ73" s="67">
        <v>68</v>
      </c>
      <c r="AK73" s="72">
        <v>13815</v>
      </c>
      <c r="AL73" s="72">
        <v>380</v>
      </c>
      <c r="AM73" s="72">
        <v>571</v>
      </c>
      <c r="AN73" s="72">
        <v>74</v>
      </c>
      <c r="AO73" s="73">
        <v>23</v>
      </c>
      <c r="AP73" s="72">
        <v>92</v>
      </c>
      <c r="AQ73" s="41">
        <v>83</v>
      </c>
      <c r="AR73" s="73">
        <v>3</v>
      </c>
      <c r="AS73" s="41">
        <v>8</v>
      </c>
      <c r="AT73" s="72">
        <v>1</v>
      </c>
      <c r="AU73" s="72">
        <v>5</v>
      </c>
      <c r="AV73" s="39"/>
      <c r="AW73" s="40"/>
      <c r="AX73" s="41">
        <f t="shared" si="263"/>
      </c>
    </row>
    <row hidden="true" r="74">
      <c r="A74" s="62"/>
      <c r="B74" s="41" t="s">
        <v>59</v>
      </c>
      <c r="C74" s="41" t="s">
        <v>60</v>
      </c>
      <c r="D74" s="41" t="s">
        <v>74</v>
      </c>
      <c r="E74" s="41" t="s">
        <v>70</v>
      </c>
      <c r="F74" s="63">
        <f t="shared" si="41"/>
      </c>
      <c r="G74" s="81">
        <v>1675.38</v>
      </c>
      <c r="H74" s="81">
        <v>1346.48</v>
      </c>
      <c r="I74" s="64">
        <v>0</v>
      </c>
      <c r="J74" s="65">
        <v>2</v>
      </c>
      <c r="K74" s="65">
        <v>2568.5200000000004</v>
      </c>
      <c r="L74" s="65">
        <v>4</v>
      </c>
      <c r="M74" s="65">
        <v>14658.309999999998</v>
      </c>
      <c r="N74" s="67">
        <v>3</v>
      </c>
      <c r="O74" s="68">
        <f t="shared" si="24"/>
      </c>
      <c r="P74" s="67">
        <v>2</v>
      </c>
      <c r="Q74" s="68">
        <f t="shared" si="0"/>
      </c>
      <c r="R74" s="69">
        <f t="shared" si="117"/>
      </c>
      <c r="S74" s="70">
        <f t="shared" si="189"/>
      </c>
      <c r="T74" s="63">
        <f t="shared" si="12"/>
      </c>
      <c r="U74" s="63">
        <f t="shared" si="8"/>
      </c>
      <c r="V74" s="71">
        <f t="shared" si="20"/>
      </c>
      <c r="W74" s="67">
        <v>6</v>
      </c>
      <c r="X74" s="71">
        <f t="shared" si="16"/>
      </c>
      <c r="Y74" s="71">
        <f t="shared" si="248"/>
      </c>
      <c r="Z74" s="63">
        <f t="shared" si="100"/>
      </c>
      <c r="AA74" s="63">
        <f t="shared" si="2"/>
      </c>
      <c r="AB74" s="63">
        <f t="shared" si="4"/>
      </c>
      <c r="AC74" s="68">
        <f t="shared" si="14"/>
      </c>
      <c r="AD74" s="68">
        <f t="shared" si="10"/>
      </c>
      <c r="AE74" s="68">
        <f t="shared" si="22"/>
      </c>
      <c r="AF74" s="68">
        <f t="shared" si="18"/>
      </c>
      <c r="AG74" s="68">
        <f t="shared" si="102"/>
      </c>
      <c r="AH74" s="68">
        <f t="shared" si="26"/>
      </c>
      <c r="AI74" s="68">
        <f t="shared" si="6"/>
      </c>
      <c r="AJ74" s="67">
        <v>75</v>
      </c>
      <c r="AK74" s="72">
        <v>14153</v>
      </c>
      <c r="AL74" s="72">
        <v>495</v>
      </c>
      <c r="AM74" s="72">
        <v>600</v>
      </c>
      <c r="AN74" s="72">
        <v>107</v>
      </c>
      <c r="AO74" s="73">
        <v>43</v>
      </c>
      <c r="AP74" s="72">
        <v>189</v>
      </c>
      <c r="AQ74" s="41">
        <v>125</v>
      </c>
      <c r="AR74" s="73">
        <v>7</v>
      </c>
      <c r="AS74" s="72">
        <v>5</v>
      </c>
      <c r="AT74" s="72">
        <v>1</v>
      </c>
      <c r="AU74" s="72">
        <v>8</v>
      </c>
      <c r="AV74" s="39"/>
      <c r="AW74" s="40"/>
      <c r="AX74" s="41">
        <f t="shared" si="263"/>
      </c>
    </row>
    <row hidden="true" r="75">
      <c r="A75" s="62"/>
      <c r="B75" s="41" t="s">
        <v>71</v>
      </c>
      <c r="C75" s="41" t="s">
        <v>72</v>
      </c>
      <c r="D75" s="41" t="s">
        <v>74</v>
      </c>
      <c r="E75" s="41" t="s">
        <v>73</v>
      </c>
      <c r="F75" s="63">
        <f t="shared" si="41"/>
      </c>
      <c r="G75" s="81">
        <v>2115.84</v>
      </c>
      <c r="H75" s="81">
        <v>1471.81</v>
      </c>
      <c r="I75" s="64">
        <v>0</v>
      </c>
      <c r="J75" s="65">
        <v>1</v>
      </c>
      <c r="K75" s="65">
        <v>751.5499999999993</v>
      </c>
      <c r="L75" s="65">
        <v>2</v>
      </c>
      <c r="M75" s="65">
        <v>4300.6500000000015</v>
      </c>
      <c r="N75" s="67">
        <v>1</v>
      </c>
      <c r="O75" s="68">
        <f t="shared" si="24"/>
      </c>
      <c r="P75" s="67">
        <v>0</v>
      </c>
      <c r="Q75" s="68">
        <f t="shared" si="0"/>
      </c>
      <c r="R75" s="69">
        <f t="shared" si="117"/>
      </c>
      <c r="S75" s="70">
        <f t="shared" si="189"/>
      </c>
      <c r="T75" s="63">
        <f t="shared" si="12"/>
      </c>
      <c r="U75" s="63">
        <f t="shared" si="8"/>
      </c>
      <c r="V75" s="71">
        <f t="shared" si="20"/>
      </c>
      <c r="W75" s="67">
        <v>3</v>
      </c>
      <c r="X75" s="71">
        <f t="shared" si="16"/>
      </c>
      <c r="Y75" s="71">
        <f t="shared" si="248"/>
      </c>
      <c r="Z75" s="63">
        <f t="shared" si="100"/>
      </c>
      <c r="AA75" s="63">
        <f t="shared" si="2"/>
      </c>
      <c r="AB75" s="63">
        <f t="shared" si="4"/>
      </c>
      <c r="AC75" s="68">
        <f t="shared" si="14"/>
      </c>
      <c r="AD75" s="68">
        <f t="shared" si="10"/>
      </c>
      <c r="AE75" s="68">
        <f t="shared" si="22"/>
      </c>
      <c r="AF75" s="68">
        <f t="shared" si="18"/>
      </c>
      <c r="AG75" s="68">
        <f t="shared" si="102"/>
      </c>
      <c r="AH75" s="68">
        <f t="shared" si="26"/>
      </c>
      <c r="AI75" s="68">
        <f t="shared" si="6"/>
      </c>
      <c r="AJ75" s="67">
        <v>75</v>
      </c>
      <c r="AK75" s="72">
        <v>15303</v>
      </c>
      <c r="AL75" s="72">
        <v>550</v>
      </c>
      <c r="AM75" s="72">
        <v>662</v>
      </c>
      <c r="AN75" s="72">
        <v>81</v>
      </c>
      <c r="AO75" s="73">
        <v>25</v>
      </c>
      <c r="AP75" s="72">
        <v>71</v>
      </c>
      <c r="AQ75" s="41">
        <v>85</v>
      </c>
      <c r="AR75" s="73">
        <v>4</v>
      </c>
      <c r="AS75" s="67">
        <v>7</v>
      </c>
      <c r="AT75" s="67">
        <v>3</v>
      </c>
      <c r="AU75" s="67">
        <v>6</v>
      </c>
      <c r="AV75" s="39"/>
      <c r="AW75" s="40"/>
      <c r="AX75" s="41">
        <f t="shared" si="263"/>
      </c>
    </row>
    <row hidden="true" r="76">
      <c r="A76" s="62"/>
      <c r="B76" s="75" t="s">
        <v>66</v>
      </c>
      <c r="C76" s="75"/>
      <c r="D76" s="75"/>
      <c r="E76" s="75"/>
      <c r="F76" s="76">
        <f>SUM(F72:F75)</f>
      </c>
      <c r="G76" s="76">
        <f>SUM(G72:G75)</f>
      </c>
      <c r="H76" s="76">
        <f>SUM(H72:H75)</f>
      </c>
      <c r="I76" s="76">
        <f>SUM(I72:I75)</f>
      </c>
      <c r="J76" s="76">
        <f>SUM(J72:J75)</f>
      </c>
      <c r="K76" s="76">
        <f>SUM(K72:K75)</f>
      </c>
      <c r="L76" s="76">
        <f>SUM(L72:L75)</f>
      </c>
      <c r="M76" s="76">
        <f>SUM(M72:M75)</f>
      </c>
      <c r="N76" s="76">
        <f>SUM(N72:N75)</f>
      </c>
      <c r="O76" s="77">
        <f t="shared" si="24"/>
      </c>
      <c r="P76" s="76">
        <f>SUM(P72:P75)</f>
      </c>
      <c r="Q76" s="77">
        <f t="shared" si="0"/>
      </c>
      <c r="R76" s="78">
        <f>SUM(R72:R75)</f>
      </c>
      <c r="S76" s="76">
        <f>SUM(S72:S75)</f>
      </c>
      <c r="T76" s="76">
        <f t="shared" si="12"/>
      </c>
      <c r="U76" s="76">
        <f t="shared" si="8"/>
      </c>
      <c r="V76" s="79">
        <f t="shared" si="20"/>
      </c>
      <c r="W76" s="76">
        <f>SUM(W72:W75)</f>
      </c>
      <c r="X76" s="79">
        <f t="shared" si="16"/>
      </c>
      <c r="Y76" s="79">
        <f t="shared" si="248"/>
      </c>
      <c r="Z76" s="76">
        <f t="shared" si="100"/>
      </c>
      <c r="AA76" s="76">
        <f t="shared" si="2"/>
      </c>
      <c r="AB76" s="80">
        <f t="shared" si="4"/>
      </c>
      <c r="AC76" s="77">
        <f t="shared" si="14"/>
      </c>
      <c r="AD76" s="77">
        <f t="shared" si="10"/>
      </c>
      <c r="AE76" s="77">
        <f t="shared" si="22"/>
      </c>
      <c r="AF76" s="82">
        <f t="shared" si="18"/>
      </c>
      <c r="AG76" s="77">
        <f t="shared" si="102"/>
      </c>
      <c r="AH76" s="77">
        <f t="shared" si="26"/>
      </c>
      <c r="AI76" s="77">
        <f t="shared" si="6"/>
      </c>
      <c r="AJ76" s="78">
        <f>AVERAGE(AJ72:AJ75)</f>
      </c>
      <c r="AK76" s="76">
        <f>SUM(AK72:AK75)</f>
      </c>
      <c r="AL76" s="76">
        <f>SUM(AL72:AL75)</f>
      </c>
      <c r="AM76" s="76">
        <f>SUM(AM72:AM75)</f>
      </c>
      <c r="AN76" s="76">
        <f>SUM(AN72:AN75)</f>
      </c>
      <c r="AO76" s="76">
        <f>SUM(AO72:AO75)</f>
      </c>
      <c r="AP76" s="76">
        <f>SUM(AP72:AP75)</f>
      </c>
      <c r="AQ76" s="76">
        <f>SUM(AQ72:AQ75)</f>
      </c>
      <c r="AR76" s="76">
        <f>SUM(AR72:AR75)</f>
      </c>
      <c r="AS76" s="76">
        <f>SUM(AS72:AS75)</f>
      </c>
      <c r="AT76" s="76">
        <f>SUM(AT72:AT75)</f>
      </c>
      <c r="AU76" s="76">
        <f>SUM(AU72:AU75)</f>
      </c>
      <c r="AV76" s="39"/>
      <c r="AW76" s="48"/>
      <c r="AX76" s="49">
        <f>SUM(AX72:AX75)</f>
      </c>
    </row>
    <row hidden="true" r="77">
      <c r="A77" s="62"/>
      <c r="B77" s="41" t="s">
        <v>71</v>
      </c>
      <c r="C77" s="41" t="s">
        <v>72</v>
      </c>
      <c r="D77" s="41" t="s">
        <v>85</v>
      </c>
      <c r="E77" s="41" t="s">
        <v>75</v>
      </c>
      <c r="F77" s="63">
        <f t="shared" ref="F77:F80" si="42">G77+H77+I77</f>
      </c>
      <c r="G77" s="81">
        <v>1962.54</v>
      </c>
      <c r="H77" s="81">
        <v>2371.76</v>
      </c>
      <c r="I77" s="64">
        <v>0</v>
      </c>
      <c r="J77" s="65">
        <v>1</v>
      </c>
      <c r="K77" s="65">
        <v>2588.26</v>
      </c>
      <c r="L77" s="65">
        <v>2</v>
      </c>
      <c r="M77" s="65">
        <v>3705.770000000004</v>
      </c>
      <c r="N77" s="67">
        <v>1</v>
      </c>
      <c r="O77" s="68">
        <f t="shared" si="24"/>
      </c>
      <c r="P77" s="67">
        <v>2</v>
      </c>
      <c r="Q77" s="68">
        <f t="shared" si="0"/>
      </c>
      <c r="R77" s="69">
        <f t="shared" ref="R77:R80" si="118">J77+L77</f>
      </c>
      <c r="S77" s="70">
        <f t="shared" ref="S77:S80" si="190">K77+M77</f>
      </c>
      <c r="T77" s="63">
        <f t="shared" si="12"/>
      </c>
      <c r="U77" s="63">
        <f t="shared" si="8"/>
      </c>
      <c r="V77" s="71">
        <f t="shared" si="20"/>
      </c>
      <c r="W77" s="67">
        <v>1</v>
      </c>
      <c r="X77" s="71">
        <f t="shared" si="16"/>
      </c>
      <c r="Y77" s="71">
        <f t="shared" si="248"/>
      </c>
      <c r="Z77" s="63">
        <f t="shared" si="100"/>
      </c>
      <c r="AA77" s="63">
        <f t="shared" si="2"/>
      </c>
      <c r="AB77" s="63">
        <f t="shared" si="4"/>
      </c>
      <c r="AC77" s="68">
        <f t="shared" si="14"/>
      </c>
      <c r="AD77" s="68">
        <f t="shared" si="10"/>
      </c>
      <c r="AE77" s="68">
        <f t="shared" si="22"/>
      </c>
      <c r="AF77" s="68">
        <f t="shared" si="18"/>
      </c>
      <c r="AG77" s="68">
        <f t="shared" si="102"/>
      </c>
      <c r="AH77" s="68">
        <f t="shared" si="26"/>
      </c>
      <c r="AI77" s="68">
        <f t="shared" si="6"/>
      </c>
      <c r="AJ77" s="67">
        <v>79</v>
      </c>
      <c r="AK77" s="72">
        <v>25210</v>
      </c>
      <c r="AL77" s="72">
        <v>637</v>
      </c>
      <c r="AM77" s="72">
        <v>706</v>
      </c>
      <c r="AN77" s="72">
        <v>121</v>
      </c>
      <c r="AO77" s="73">
        <v>44</v>
      </c>
      <c r="AP77" s="72">
        <v>101</v>
      </c>
      <c r="AQ77" s="41">
        <v>128</v>
      </c>
      <c r="AR77" s="73">
        <v>4</v>
      </c>
      <c r="AS77" s="41">
        <v>20</v>
      </c>
      <c r="AT77" s="72">
        <v>5</v>
      </c>
      <c r="AU77" s="72">
        <v>12</v>
      </c>
      <c r="AV77" s="39"/>
      <c r="AW77" s="40"/>
      <c r="AX77" s="41">
        <f t="shared" ref="AX77:AX80" si="264">COUNT(AU77)</f>
      </c>
    </row>
    <row hidden="true" r="78">
      <c r="A78" s="62"/>
      <c r="B78" s="41" t="s">
        <v>71</v>
      </c>
      <c r="C78" s="41" t="s">
        <v>72</v>
      </c>
      <c r="D78" s="41" t="s">
        <v>85</v>
      </c>
      <c r="E78" s="41" t="s">
        <v>76</v>
      </c>
      <c r="F78" s="63">
        <f t="shared" si="42"/>
      </c>
      <c r="G78" s="81">
        <v>1748.38</v>
      </c>
      <c r="H78" s="81">
        <v>1283.44</v>
      </c>
      <c r="I78" s="64">
        <v>0</v>
      </c>
      <c r="J78" s="65">
        <v>0</v>
      </c>
      <c r="K78" s="65">
        <v>0</v>
      </c>
      <c r="L78" s="65">
        <v>3</v>
      </c>
      <c r="M78" s="65">
        <v>3484.529999999999</v>
      </c>
      <c r="N78" s="67">
        <v>3</v>
      </c>
      <c r="O78" s="68">
        <f t="shared" si="24"/>
      </c>
      <c r="P78" s="67">
        <v>0</v>
      </c>
      <c r="Q78" s="68">
        <f t="shared" si="0"/>
      </c>
      <c r="R78" s="69">
        <f t="shared" si="118"/>
      </c>
      <c r="S78" s="70">
        <f t="shared" si="190"/>
      </c>
      <c r="T78" s="63">
        <f t="shared" si="12"/>
      </c>
      <c r="U78" s="63">
        <f t="shared" si="8"/>
      </c>
      <c r="V78" s="71">
        <f t="shared" si="20"/>
      </c>
      <c r="W78" s="67">
        <v>2</v>
      </c>
      <c r="X78" s="71">
        <f t="shared" si="16"/>
      </c>
      <c r="Y78" s="71">
        <f t="shared" si="248"/>
      </c>
      <c r="Z78" s="63">
        <f t="shared" si="100"/>
      </c>
      <c r="AA78" s="63">
        <f t="shared" si="2"/>
      </c>
      <c r="AB78" s="63">
        <f t="shared" si="4"/>
      </c>
      <c r="AC78" s="68">
        <f t="shared" si="14"/>
      </c>
      <c r="AD78" s="68">
        <f t="shared" si="10"/>
      </c>
      <c r="AE78" s="68">
        <f t="shared" si="22"/>
      </c>
      <c r="AF78" s="68">
        <f t="shared" si="18"/>
      </c>
      <c r="AG78" s="68">
        <f t="shared" si="102"/>
      </c>
      <c r="AH78" s="68">
        <f t="shared" si="26"/>
      </c>
      <c r="AI78" s="68">
        <f t="shared" si="6"/>
      </c>
      <c r="AJ78" s="67">
        <v>76</v>
      </c>
      <c r="AK78" s="67">
        <v>18773</v>
      </c>
      <c r="AL78" s="72">
        <v>518</v>
      </c>
      <c r="AM78" s="72">
        <v>609</v>
      </c>
      <c r="AN78" s="72">
        <v>69</v>
      </c>
      <c r="AO78" s="73">
        <v>23</v>
      </c>
      <c r="AP78" s="67">
        <v>66</v>
      </c>
      <c r="AQ78" s="73">
        <v>67</v>
      </c>
      <c r="AR78" s="73">
        <v>3</v>
      </c>
      <c r="AS78" s="41">
        <v>4</v>
      </c>
      <c r="AT78" s="72">
        <v>0</v>
      </c>
      <c r="AU78" s="72">
        <v>5</v>
      </c>
      <c r="AV78" s="39"/>
      <c r="AW78" s="40"/>
      <c r="AX78" s="41">
        <f t="shared" si="264"/>
      </c>
    </row>
    <row hidden="true" r="79">
      <c r="A79" s="62"/>
      <c r="B79" s="41" t="s">
        <v>71</v>
      </c>
      <c r="C79" s="41" t="s">
        <v>72</v>
      </c>
      <c r="D79" s="41" t="s">
        <v>85</v>
      </c>
      <c r="E79" s="41" t="s">
        <v>77</v>
      </c>
      <c r="F79" s="63">
        <f t="shared" si="42"/>
      </c>
      <c r="G79" s="81">
        <v>1915.94</v>
      </c>
      <c r="H79" s="81">
        <v>872.13</v>
      </c>
      <c r="I79" s="64">
        <v>0</v>
      </c>
      <c r="J79" s="65">
        <v>1</v>
      </c>
      <c r="K79" s="65">
        <v>855</v>
      </c>
      <c r="L79" s="65">
        <v>6</v>
      </c>
      <c r="M79" s="65">
        <v>22244.819999999992</v>
      </c>
      <c r="N79" s="67">
        <v>1</v>
      </c>
      <c r="O79" s="68">
        <f t="shared" si="24"/>
      </c>
      <c r="P79" s="67">
        <v>0</v>
      </c>
      <c r="Q79" s="68">
        <f t="shared" si="0"/>
      </c>
      <c r="R79" s="69">
        <f t="shared" si="118"/>
      </c>
      <c r="S79" s="70">
        <f t="shared" si="190"/>
      </c>
      <c r="T79" s="63">
        <f t="shared" si="12"/>
      </c>
      <c r="U79" s="63">
        <f t="shared" si="8"/>
      </c>
      <c r="V79" s="71">
        <f t="shared" si="20"/>
      </c>
      <c r="W79" s="67">
        <v>5</v>
      </c>
      <c r="X79" s="71">
        <f t="shared" si="16"/>
      </c>
      <c r="Y79" s="71">
        <f t="shared" si="248"/>
      </c>
      <c r="Z79" s="63">
        <f t="shared" si="100"/>
      </c>
      <c r="AA79" s="63">
        <f t="shared" si="2"/>
      </c>
      <c r="AB79" s="63">
        <f t="shared" si="4"/>
      </c>
      <c r="AC79" s="68">
        <f t="shared" si="14"/>
      </c>
      <c r="AD79" s="68">
        <f t="shared" si="10"/>
      </c>
      <c r="AE79" s="68">
        <f t="shared" si="22"/>
      </c>
      <c r="AF79" s="68">
        <f t="shared" si="18"/>
      </c>
      <c r="AG79" s="68">
        <f t="shared" si="102"/>
      </c>
      <c r="AH79" s="68">
        <f t="shared" si="26"/>
      </c>
      <c r="AI79" s="68">
        <f t="shared" si="6"/>
      </c>
      <c r="AJ79" s="67">
        <v>75</v>
      </c>
      <c r="AK79" s="72">
        <v>18310</v>
      </c>
      <c r="AL79" s="72">
        <v>678</v>
      </c>
      <c r="AM79" s="72">
        <v>784</v>
      </c>
      <c r="AN79" s="72">
        <v>109</v>
      </c>
      <c r="AO79" s="73">
        <v>35</v>
      </c>
      <c r="AP79" s="72">
        <v>87</v>
      </c>
      <c r="AQ79" s="41">
        <v>105</v>
      </c>
      <c r="AR79" s="73">
        <v>8</v>
      </c>
      <c r="AS79" s="72">
        <v>14</v>
      </c>
      <c r="AT79" s="72">
        <v>0</v>
      </c>
      <c r="AU79" s="72">
        <v>6</v>
      </c>
      <c r="AV79" s="39"/>
      <c r="AW79" s="40"/>
      <c r="AX79" s="41">
        <f t="shared" si="264"/>
      </c>
    </row>
    <row hidden="true" r="80">
      <c r="A80" s="62"/>
      <c r="B80" s="41" t="s">
        <v>71</v>
      </c>
      <c r="C80" s="41" t="s">
        <v>72</v>
      </c>
      <c r="D80" s="41" t="s">
        <v>85</v>
      </c>
      <c r="E80" s="41" t="s">
        <v>78</v>
      </c>
      <c r="F80" s="63">
        <f t="shared" si="42"/>
      </c>
      <c r="G80" s="81">
        <v>2351</v>
      </c>
      <c r="H80" s="81">
        <v>823.28</v>
      </c>
      <c r="I80" s="64">
        <v>0</v>
      </c>
      <c r="J80" s="65">
        <v>0</v>
      </c>
      <c r="K80" s="65">
        <v>0</v>
      </c>
      <c r="L80" s="65">
        <v>4</v>
      </c>
      <c r="M80" s="65">
        <v>5922.300000000003</v>
      </c>
      <c r="N80" s="67">
        <v>0</v>
      </c>
      <c r="O80" s="68">
        <f t="shared" si="24"/>
      </c>
      <c r="P80" s="67">
        <v>0</v>
      </c>
      <c r="Q80" s="68">
        <f t="shared" si="0"/>
      </c>
      <c r="R80" s="69">
        <f t="shared" si="118"/>
      </c>
      <c r="S80" s="70">
        <f t="shared" si="190"/>
      </c>
      <c r="T80" s="63">
        <f t="shared" si="12"/>
      </c>
      <c r="U80" s="63">
        <f t="shared" si="8"/>
      </c>
      <c r="V80" s="71">
        <f t="shared" si="20"/>
      </c>
      <c r="W80" s="67">
        <v>4</v>
      </c>
      <c r="X80" s="71">
        <f t="shared" si="16"/>
      </c>
      <c r="Y80" s="71">
        <f t="shared" si="248"/>
      </c>
      <c r="Z80" s="63">
        <f t="shared" si="100"/>
      </c>
      <c r="AA80" s="63">
        <f t="shared" si="2"/>
      </c>
      <c r="AB80" s="63">
        <f t="shared" si="4"/>
      </c>
      <c r="AC80" s="68">
        <f t="shared" si="14"/>
      </c>
      <c r="AD80" s="68">
        <f t="shared" si="10"/>
      </c>
      <c r="AE80" s="68">
        <f t="shared" si="22"/>
      </c>
      <c r="AF80" s="68">
        <f t="shared" si="18"/>
      </c>
      <c r="AG80" s="68">
        <f t="shared" si="102"/>
      </c>
      <c r="AH80" s="68">
        <f t="shared" si="26"/>
      </c>
      <c r="AI80" s="68">
        <f t="shared" si="6"/>
      </c>
      <c r="AJ80" s="67">
        <v>73</v>
      </c>
      <c r="AK80" s="72">
        <v>20577</v>
      </c>
      <c r="AL80" s="72">
        <v>693</v>
      </c>
      <c r="AM80" s="72">
        <v>808</v>
      </c>
      <c r="AN80" s="72">
        <v>102</v>
      </c>
      <c r="AO80" s="73">
        <v>20</v>
      </c>
      <c r="AP80" s="72">
        <v>65</v>
      </c>
      <c r="AQ80" s="41">
        <v>101</v>
      </c>
      <c r="AR80" s="73">
        <v>7</v>
      </c>
      <c r="AS80" s="72">
        <v>10</v>
      </c>
      <c r="AT80" s="72">
        <v>1</v>
      </c>
      <c r="AU80" s="72">
        <v>1</v>
      </c>
      <c r="AV80" s="39"/>
      <c r="AW80" s="40"/>
      <c r="AX80" s="41">
        <f t="shared" si="264"/>
      </c>
    </row>
    <row hidden="true" r="81">
      <c r="A81" s="62"/>
      <c r="B81" s="75" t="s">
        <v>66</v>
      </c>
      <c r="C81" s="75"/>
      <c r="D81" s="75"/>
      <c r="E81" s="75"/>
      <c r="F81" s="76">
        <f>SUM(F77:F80)</f>
      </c>
      <c r="G81" s="76">
        <f>SUM(G77:G80)</f>
      </c>
      <c r="H81" s="76">
        <f>SUM(H77:H80)</f>
      </c>
      <c r="I81" s="76">
        <f>SUM(I77:I80)</f>
      </c>
      <c r="J81" s="76">
        <f>SUM(J77:J80)</f>
      </c>
      <c r="K81" s="76">
        <f>SUM(K77:K80)</f>
      </c>
      <c r="L81" s="76">
        <f>SUM(L77:L80)</f>
      </c>
      <c r="M81" s="76">
        <f>SUM(M77:M80)</f>
      </c>
      <c r="N81" s="76">
        <f>SUM(N77:N80)</f>
      </c>
      <c r="O81" s="77">
        <f t="shared" si="24"/>
      </c>
      <c r="P81" s="76">
        <f>SUM(P77:P80)</f>
      </c>
      <c r="Q81" s="77">
        <f t="shared" si="0"/>
      </c>
      <c r="R81" s="78">
        <f>SUM(R77:R80)</f>
      </c>
      <c r="S81" s="76">
        <f>SUM(S77:S80)</f>
      </c>
      <c r="T81" s="76">
        <f t="shared" si="12"/>
      </c>
      <c r="U81" s="76">
        <f t="shared" si="8"/>
      </c>
      <c r="V81" s="79">
        <f t="shared" si="20"/>
      </c>
      <c r="W81" s="76">
        <f>SUM(W77:W80)</f>
      </c>
      <c r="X81" s="79">
        <f t="shared" si="16"/>
      </c>
      <c r="Y81" s="79">
        <f t="shared" si="248"/>
      </c>
      <c r="Z81" s="76">
        <f t="shared" si="100"/>
      </c>
      <c r="AA81" s="76">
        <f t="shared" si="2"/>
      </c>
      <c r="AB81" s="80">
        <f t="shared" si="4"/>
      </c>
      <c r="AC81" s="77">
        <f t="shared" si="14"/>
      </c>
      <c r="AD81" s="77">
        <f t="shared" si="10"/>
      </c>
      <c r="AE81" s="77">
        <f t="shared" si="22"/>
      </c>
      <c r="AF81" s="82">
        <f t="shared" si="18"/>
      </c>
      <c r="AG81" s="77">
        <f t="shared" si="102"/>
      </c>
      <c r="AH81" s="77">
        <f t="shared" si="26"/>
      </c>
      <c r="AI81" s="77">
        <f t="shared" si="6"/>
      </c>
      <c r="AJ81" s="78">
        <f>AVERAGE(AJ77:AJ80)</f>
      </c>
      <c r="AK81" s="76">
        <f>SUM(AK77:AK80)</f>
      </c>
      <c r="AL81" s="76">
        <f>SUM(AL77:AL80)</f>
      </c>
      <c r="AM81" s="76">
        <f>SUM(AM77:AM80)</f>
      </c>
      <c r="AN81" s="76">
        <f>SUM(AN77:AN80)</f>
      </c>
      <c r="AO81" s="76">
        <f>SUM(AO77:AO80)</f>
      </c>
      <c r="AP81" s="76">
        <f>SUM(AP77:AP80)</f>
      </c>
      <c r="AQ81" s="76">
        <f>SUM(AQ77:AQ80)</f>
      </c>
      <c r="AR81" s="76">
        <f>SUM(AR77:AR80)</f>
      </c>
      <c r="AS81" s="76">
        <f>SUM(AS77:AS80)</f>
      </c>
      <c r="AT81" s="76">
        <f>SUM(AT77:AT80)</f>
      </c>
      <c r="AU81" s="76">
        <f>SUM(AU77:AU80)</f>
      </c>
      <c r="AV81" s="39"/>
      <c r="AW81" s="48"/>
      <c r="AX81" s="49">
        <f>SUM(AX77:AX80)</f>
      </c>
    </row>
    <row hidden="true" r="82">
      <c r="A82" s="62"/>
      <c r="B82" s="41" t="s">
        <v>71</v>
      </c>
      <c r="C82" s="41" t="s">
        <v>72</v>
      </c>
      <c r="D82" s="41" t="s">
        <v>79</v>
      </c>
      <c r="E82" s="41" t="s">
        <v>80</v>
      </c>
      <c r="F82" s="63">
        <f t="shared" ref="F82:F85" si="43">G82+H82+I82</f>
      </c>
      <c r="G82" s="81">
        <v>3250.01</v>
      </c>
      <c r="H82" s="81">
        <v>1665.71</v>
      </c>
      <c r="I82" s="64">
        <v>0</v>
      </c>
      <c r="J82" s="65">
        <v>0</v>
      </c>
      <c r="K82" s="65">
        <v>0</v>
      </c>
      <c r="L82" s="65">
        <v>4</v>
      </c>
      <c r="M82" s="65">
        <v>12190.720000000001</v>
      </c>
      <c r="N82" s="67">
        <v>1</v>
      </c>
      <c r="O82" s="68">
        <f t="shared" si="24"/>
      </c>
      <c r="P82" s="67">
        <v>1</v>
      </c>
      <c r="Q82" s="68">
        <f t="shared" si="0"/>
      </c>
      <c r="R82" s="83">
        <f t="shared" ref="R82:R85" si="119">J82+L82</f>
      </c>
      <c r="S82" s="70">
        <f t="shared" ref="S82:S85" si="191">K82+M82</f>
      </c>
      <c r="T82" s="63">
        <f t="shared" si="12"/>
      </c>
      <c r="U82" s="63">
        <f t="shared" si="8"/>
      </c>
      <c r="V82" s="71">
        <f t="shared" si="20"/>
      </c>
      <c r="W82" s="67">
        <v>3</v>
      </c>
      <c r="X82" s="71">
        <f t="shared" si="16"/>
      </c>
      <c r="Y82" s="71">
        <f t="shared" si="248"/>
      </c>
      <c r="Z82" s="63">
        <f t="shared" si="100"/>
      </c>
      <c r="AA82" s="63">
        <f t="shared" si="2"/>
      </c>
      <c r="AB82" s="63">
        <f t="shared" si="4"/>
      </c>
      <c r="AC82" s="68">
        <f t="shared" si="14"/>
      </c>
      <c r="AD82" s="68">
        <f t="shared" si="10"/>
      </c>
      <c r="AE82" s="68">
        <f t="shared" si="22"/>
      </c>
      <c r="AF82" s="68">
        <f t="shared" si="18"/>
      </c>
      <c r="AG82" s="68">
        <f t="shared" si="102"/>
      </c>
      <c r="AH82" s="68">
        <f t="shared" si="26"/>
      </c>
      <c r="AI82" s="68">
        <f t="shared" si="6"/>
      </c>
      <c r="AJ82" s="67">
        <v>67</v>
      </c>
      <c r="AK82" s="72">
        <v>37875</v>
      </c>
      <c r="AL82" s="72">
        <v>1284</v>
      </c>
      <c r="AM82" s="72">
        <v>1458</v>
      </c>
      <c r="AN82" s="72">
        <v>129</v>
      </c>
      <c r="AO82" s="73">
        <v>32</v>
      </c>
      <c r="AP82" s="72">
        <v>85</v>
      </c>
      <c r="AQ82" s="41">
        <v>119</v>
      </c>
      <c r="AR82" s="73">
        <v>6</v>
      </c>
      <c r="AS82" s="67">
        <v>12</v>
      </c>
      <c r="AT82" s="67">
        <v>4</v>
      </c>
      <c r="AU82" s="67">
        <v>9</v>
      </c>
      <c r="AV82" s="39"/>
      <c r="AW82" s="40"/>
      <c r="AX82" s="41">
        <f t="shared" ref="AX82:AX85" si="265">COUNT(AU82)</f>
      </c>
    </row>
    <row hidden="true" r="83">
      <c r="A83" s="62"/>
      <c r="B83" s="41" t="s">
        <v>71</v>
      </c>
      <c r="C83" s="41" t="s">
        <v>72</v>
      </c>
      <c r="D83" s="41" t="s">
        <v>79</v>
      </c>
      <c r="E83" s="41" t="s">
        <v>81</v>
      </c>
      <c r="F83" s="63">
        <f t="shared" si="43"/>
      </c>
      <c r="G83" s="81">
        <v>4001.16</v>
      </c>
      <c r="H83" s="81">
        <v>6029.14</v>
      </c>
      <c r="I83" s="64">
        <v>0</v>
      </c>
      <c r="J83" s="65">
        <v>1</v>
      </c>
      <c r="K83" s="65">
        <v>1845.3599999999988</v>
      </c>
      <c r="L83" s="65">
        <v>4</v>
      </c>
      <c r="M83" s="65">
        <v>9738.619999999995</v>
      </c>
      <c r="N83" s="67">
        <v>2</v>
      </c>
      <c r="O83" s="68">
        <f t="shared" si="24"/>
      </c>
      <c r="P83" s="67">
        <v>4</v>
      </c>
      <c r="Q83" s="68">
        <f t="shared" si="0"/>
      </c>
      <c r="R83" s="83">
        <f t="shared" si="119"/>
      </c>
      <c r="S83" s="70">
        <f t="shared" si="191"/>
      </c>
      <c r="T83" s="63">
        <f t="shared" si="12"/>
      </c>
      <c r="U83" s="63">
        <f t="shared" si="8"/>
      </c>
      <c r="V83" s="71">
        <f t="shared" si="20"/>
      </c>
      <c r="W83" s="67">
        <v>4</v>
      </c>
      <c r="X83" s="71">
        <f t="shared" si="16"/>
      </c>
      <c r="Y83" s="71">
        <f t="shared" si="248"/>
      </c>
      <c r="Z83" s="63">
        <f t="shared" si="100"/>
      </c>
      <c r="AA83" s="63">
        <f t="shared" si="2"/>
      </c>
      <c r="AB83" s="63">
        <f t="shared" si="4"/>
      </c>
      <c r="AC83" s="68">
        <f t="shared" si="14"/>
      </c>
      <c r="AD83" s="68">
        <f t="shared" si="10"/>
      </c>
      <c r="AE83" s="68">
        <f t="shared" si="22"/>
      </c>
      <c r="AF83" s="68">
        <f t="shared" si="18"/>
      </c>
      <c r="AG83" s="68">
        <f t="shared" si="102"/>
      </c>
      <c r="AH83" s="68">
        <f t="shared" si="26"/>
      </c>
      <c r="AI83" s="68">
        <f t="shared" si="6"/>
      </c>
      <c r="AJ83" s="67">
        <v>63</v>
      </c>
      <c r="AK83" s="72">
        <v>71710</v>
      </c>
      <c r="AL83" s="72">
        <v>1895</v>
      </c>
      <c r="AM83" s="72">
        <v>2180</v>
      </c>
      <c r="AN83" s="72">
        <v>252</v>
      </c>
      <c r="AO83" s="73">
        <v>58</v>
      </c>
      <c r="AP83" s="72">
        <v>154</v>
      </c>
      <c r="AQ83" s="41">
        <v>232</v>
      </c>
      <c r="AR83" s="73">
        <v>6</v>
      </c>
      <c r="AS83" s="67">
        <v>31</v>
      </c>
      <c r="AT83" s="67">
        <v>1</v>
      </c>
      <c r="AU83" s="67">
        <v>38</v>
      </c>
      <c r="AV83" s="39"/>
      <c r="AW83" s="40"/>
      <c r="AX83" s="41">
        <f t="shared" si="265"/>
      </c>
    </row>
    <row hidden="true" r="84">
      <c r="A84" s="62"/>
      <c r="B84" s="41" t="s">
        <v>71</v>
      </c>
      <c r="C84" s="41" t="s">
        <v>72</v>
      </c>
      <c r="D84" s="41" t="s">
        <v>79</v>
      </c>
      <c r="E84" s="41" t="s">
        <v>82</v>
      </c>
      <c r="F84" s="63">
        <f t="shared" si="43"/>
      </c>
      <c r="G84" s="81">
        <v>1068.74</v>
      </c>
      <c r="H84" s="81">
        <v>900.02</v>
      </c>
      <c r="I84" s="64">
        <v>0</v>
      </c>
      <c r="J84" s="65">
        <v>3</v>
      </c>
      <c r="K84" s="65">
        <v>5319.02</v>
      </c>
      <c r="L84" s="65">
        <v>1</v>
      </c>
      <c r="M84" s="65">
        <v>1444</v>
      </c>
      <c r="N84" s="67">
        <v>0</v>
      </c>
      <c r="O84" s="68">
        <f t="shared" si="24"/>
      </c>
      <c r="P84" s="67">
        <v>2</v>
      </c>
      <c r="Q84" s="68">
        <f t="shared" si="0"/>
      </c>
      <c r="R84" s="83">
        <f t="shared" si="119"/>
      </c>
      <c r="S84" s="70">
        <f t="shared" si="191"/>
      </c>
      <c r="T84" s="63">
        <f t="shared" si="12"/>
      </c>
      <c r="U84" s="63">
        <f t="shared" si="8"/>
      </c>
      <c r="V84" s="71">
        <f t="shared" si="20"/>
      </c>
      <c r="W84" s="67">
        <v>2</v>
      </c>
      <c r="X84" s="71">
        <f t="shared" si="16"/>
      </c>
      <c r="Y84" s="71">
        <f t="shared" si="248"/>
      </c>
      <c r="Z84" s="63">
        <f t="shared" si="100"/>
      </c>
      <c r="AA84" s="63">
        <f t="shared" si="2"/>
      </c>
      <c r="AB84" s="63">
        <f t="shared" si="4"/>
      </c>
      <c r="AC84" s="68">
        <f t="shared" si="14"/>
      </c>
      <c r="AD84" s="68">
        <f t="shared" si="10"/>
      </c>
      <c r="AE84" s="68">
        <f t="shared" si="22"/>
      </c>
      <c r="AF84" s="68">
        <f t="shared" si="18"/>
      </c>
      <c r="AG84" s="68">
        <f t="shared" si="102"/>
      </c>
      <c r="AH84" s="68">
        <f t="shared" si="26"/>
      </c>
      <c r="AI84" s="68">
        <f t="shared" si="6"/>
      </c>
      <c r="AJ84" s="67">
        <v>64</v>
      </c>
      <c r="AK84" s="72">
        <v>12004</v>
      </c>
      <c r="AL84" s="72">
        <v>339</v>
      </c>
      <c r="AM84" s="72">
        <v>451</v>
      </c>
      <c r="AN84" s="72">
        <v>52</v>
      </c>
      <c r="AO84" s="73">
        <v>12</v>
      </c>
      <c r="AP84" s="72">
        <v>57</v>
      </c>
      <c r="AQ84" s="41">
        <v>60</v>
      </c>
      <c r="AR84" s="73">
        <v>5</v>
      </c>
      <c r="AS84" s="67">
        <v>4</v>
      </c>
      <c r="AT84" s="67">
        <v>0</v>
      </c>
      <c r="AU84" s="67">
        <v>1</v>
      </c>
      <c r="AV84" s="39"/>
      <c r="AW84" s="40"/>
      <c r="AX84" s="41">
        <f t="shared" si="265"/>
      </c>
    </row>
    <row hidden="true" r="85">
      <c r="A85" s="62"/>
      <c r="B85" s="41" t="s">
        <v>71</v>
      </c>
      <c r="C85" s="41" t="s">
        <v>72</v>
      </c>
      <c r="D85" s="41" t="s">
        <v>79</v>
      </c>
      <c r="E85" s="41" t="s">
        <v>83</v>
      </c>
      <c r="F85" s="63">
        <f t="shared" si="43"/>
      </c>
      <c r="G85" s="81">
        <v>1196.76</v>
      </c>
      <c r="H85" s="81">
        <v>3184.9</v>
      </c>
      <c r="I85" s="64">
        <v>0</v>
      </c>
      <c r="J85" s="65">
        <v>5</v>
      </c>
      <c r="K85" s="65">
        <v>10297.18</v>
      </c>
      <c r="L85" s="65">
        <v>2</v>
      </c>
      <c r="M85" s="65">
        <v>3251.850000000006</v>
      </c>
      <c r="N85" s="67">
        <v>0</v>
      </c>
      <c r="O85" s="68">
        <f t="shared" si="24"/>
      </c>
      <c r="P85" s="67">
        <v>2</v>
      </c>
      <c r="Q85" s="68">
        <f t="shared" si="0"/>
      </c>
      <c r="R85" s="83">
        <f t="shared" si="119"/>
      </c>
      <c r="S85" s="70">
        <f t="shared" si="191"/>
      </c>
      <c r="T85" s="63">
        <f t="shared" si="12"/>
      </c>
      <c r="U85" s="63">
        <f t="shared" si="8"/>
      </c>
      <c r="V85" s="71">
        <f t="shared" si="20"/>
      </c>
      <c r="W85" s="67">
        <v>5</v>
      </c>
      <c r="X85" s="71">
        <f t="shared" si="16"/>
      </c>
      <c r="Y85" s="71">
        <f t="shared" si="248"/>
      </c>
      <c r="Z85" s="63">
        <f t="shared" si="100"/>
      </c>
      <c r="AA85" s="63">
        <f t="shared" si="2"/>
      </c>
      <c r="AB85" s="63">
        <f t="shared" si="4"/>
      </c>
      <c r="AC85" s="68">
        <f t="shared" si="14"/>
      </c>
      <c r="AD85" s="68">
        <f t="shared" si="10"/>
      </c>
      <c r="AE85" s="68">
        <f t="shared" si="22"/>
      </c>
      <c r="AF85" s="68">
        <f t="shared" si="18"/>
      </c>
      <c r="AG85" s="68">
        <f t="shared" si="102"/>
      </c>
      <c r="AH85" s="68">
        <f t="shared" si="26"/>
      </c>
      <c r="AI85" s="68">
        <f t="shared" si="6"/>
      </c>
      <c r="AJ85" s="67">
        <v>65</v>
      </c>
      <c r="AK85" s="72">
        <v>39025</v>
      </c>
      <c r="AL85" s="72">
        <v>680</v>
      </c>
      <c r="AM85" s="72">
        <v>876</v>
      </c>
      <c r="AN85" s="72">
        <v>112</v>
      </c>
      <c r="AO85" s="73">
        <v>40</v>
      </c>
      <c r="AP85" s="72">
        <v>134</v>
      </c>
      <c r="AQ85" s="41">
        <v>105</v>
      </c>
      <c r="AR85" s="73">
        <v>10</v>
      </c>
      <c r="AS85" s="67">
        <v>11</v>
      </c>
      <c r="AT85" s="67">
        <v>3</v>
      </c>
      <c r="AU85" s="67">
        <v>22</v>
      </c>
      <c r="AV85" s="39"/>
      <c r="AW85" s="40"/>
      <c r="AX85" s="41">
        <f t="shared" si="265"/>
      </c>
    </row>
    <row hidden="true" r="86">
      <c r="A86" s="62"/>
      <c r="B86" s="75" t="s">
        <v>66</v>
      </c>
      <c r="C86" s="75"/>
      <c r="D86" s="75"/>
      <c r="E86" s="75"/>
      <c r="F86" s="76">
        <f>SUM(F82:F85)</f>
      </c>
      <c r="G86" s="76">
        <f>SUM(G82:G85)</f>
      </c>
      <c r="H86" s="76">
        <f>SUM(H82:H85)</f>
      </c>
      <c r="I86" s="76">
        <f>SUM(I82:I85)</f>
      </c>
      <c r="J86" s="76">
        <f>SUM(J82:J85)</f>
      </c>
      <c r="K86" s="76">
        <f>SUM(K82:K85)</f>
      </c>
      <c r="L86" s="76">
        <f>SUM(L82:L85)</f>
      </c>
      <c r="M86" s="76">
        <f>SUM(M82:M85)</f>
      </c>
      <c r="N86" s="76">
        <f>SUM(N82:N85)</f>
      </c>
      <c r="O86" s="77">
        <f t="shared" si="24"/>
      </c>
      <c r="P86" s="76">
        <f>SUM(P82:P85)</f>
      </c>
      <c r="Q86" s="77">
        <f t="shared" si="0"/>
      </c>
      <c r="R86" s="78">
        <f>SUM(R82:R85)</f>
      </c>
      <c r="S86" s="76">
        <f>SUM(S82:S85)</f>
      </c>
      <c r="T86" s="79">
        <f t="shared" si="12"/>
      </c>
      <c r="U86" s="76">
        <f t="shared" si="8"/>
      </c>
      <c r="V86" s="79">
        <f t="shared" si="20"/>
      </c>
      <c r="W86" s="76">
        <f>SUM(W82:W85)</f>
      </c>
      <c r="X86" s="79">
        <f t="shared" si="16"/>
      </c>
      <c r="Y86" s="79">
        <f t="shared" si="248"/>
      </c>
      <c r="Z86" s="76">
        <f t="shared" si="100"/>
      </c>
      <c r="AA86" s="76">
        <f t="shared" si="2"/>
      </c>
      <c r="AB86" s="80">
        <f t="shared" si="4"/>
      </c>
      <c r="AC86" s="77">
        <f t="shared" si="14"/>
      </c>
      <c r="AD86" s="77">
        <f t="shared" si="10"/>
      </c>
      <c r="AE86" s="77">
        <f t="shared" si="22"/>
      </c>
      <c r="AF86" s="82">
        <f t="shared" si="18"/>
      </c>
      <c r="AG86" s="77">
        <f t="shared" si="102"/>
      </c>
      <c r="AH86" s="77">
        <f t="shared" si="26"/>
      </c>
      <c r="AI86" s="77">
        <f t="shared" si="6"/>
      </c>
      <c r="AJ86" s="78">
        <f>AVERAGE(AJ82:AJ85)</f>
      </c>
      <c r="AK86" s="76">
        <f>SUM(AK82:AK85)</f>
      </c>
      <c r="AL86" s="76">
        <f>SUM(AL82:AL85)</f>
      </c>
      <c r="AM86" s="76">
        <f>SUM(AM82:AM85)</f>
      </c>
      <c r="AN86" s="76">
        <f>SUM(AN82:AN85)</f>
      </c>
      <c r="AO86" s="76">
        <f>SUM(AO82:AO85)</f>
      </c>
      <c r="AP86" s="76">
        <f>SUM(AP82:AP85)</f>
      </c>
      <c r="AQ86" s="76">
        <f>SUM(AQ82:AQ85)</f>
      </c>
      <c r="AR86" s="76">
        <f>SUM(AR82:AR85)</f>
      </c>
      <c r="AS86" s="76">
        <f>SUM(AS82:AS85)</f>
      </c>
      <c r="AT86" s="76">
        <f>SUM(AT82:AT85)</f>
      </c>
      <c r="AU86" s="76">
        <f>SUM(AU82:AU85)</f>
      </c>
      <c r="AV86" s="39"/>
      <c r="AW86" s="48"/>
      <c r="AX86" s="49">
        <f>SUM(AX82:AX85)</f>
      </c>
    </row>
    <row hidden="true" r="87">
      <c r="A87" s="62"/>
      <c r="B87" s="84" t="s">
        <v>84</v>
      </c>
      <c r="C87" s="84"/>
      <c r="D87" s="84"/>
      <c r="E87" s="84"/>
      <c r="F87" s="85">
        <f>F71+F76+F81+F86</f>
      </c>
      <c r="G87" s="85">
        <f>G71+G76+G81+G86</f>
      </c>
      <c r="H87" s="85">
        <f>H71+H76+H81+H86</f>
      </c>
      <c r="I87" s="85">
        <f>I71+I76+I81+I86</f>
      </c>
      <c r="J87" s="85">
        <f>J71+J76+J81+J86</f>
      </c>
      <c r="K87" s="85">
        <f>K71+K76+K81+K86</f>
      </c>
      <c r="L87" s="85">
        <f>L71+L76+L81+L86</f>
      </c>
      <c r="M87" s="85">
        <f>M71+M76+M81+M86</f>
      </c>
      <c r="N87" s="85">
        <f>N71+N76+N81+N86</f>
      </c>
      <c r="O87" s="86">
        <f t="shared" si="24"/>
      </c>
      <c r="P87" s="84">
        <f>P71+P76+P81+P86</f>
      </c>
      <c r="Q87" s="86">
        <f t="shared" si="0"/>
      </c>
      <c r="R87" s="87">
        <f>R71+R76+R81+R86</f>
      </c>
      <c r="S87" s="85">
        <f>S71+S76+S81+S86</f>
      </c>
      <c r="T87" s="85">
        <f t="shared" si="12"/>
      </c>
      <c r="U87" s="85">
        <f t="shared" si="8"/>
      </c>
      <c r="V87" s="88">
        <f t="shared" si="20"/>
      </c>
      <c r="W87" s="84">
        <f>W71+W76+W81+W86</f>
      </c>
      <c r="X87" s="88">
        <f t="shared" si="16"/>
      </c>
      <c r="Y87" s="88">
        <f t="shared" si="248"/>
      </c>
      <c r="Z87" s="85">
        <f t="shared" si="100"/>
      </c>
      <c r="AA87" s="85">
        <f t="shared" si="2"/>
      </c>
      <c r="AB87" s="89">
        <f t="shared" si="4"/>
      </c>
      <c r="AC87" s="86">
        <f t="shared" si="14"/>
      </c>
      <c r="AD87" s="86">
        <f t="shared" si="10"/>
      </c>
      <c r="AE87" s="86">
        <f t="shared" si="22"/>
      </c>
      <c r="AF87" s="90">
        <f t="shared" si="18"/>
      </c>
      <c r="AG87" s="86">
        <f t="shared" si="102"/>
      </c>
      <c r="AH87" s="86">
        <f t="shared" si="26"/>
      </c>
      <c r="AI87" s="86">
        <f t="shared" si="6"/>
      </c>
      <c r="AJ87" s="87">
        <f>(AJ71+AJ76+AJ81+AJ86)/4</f>
      </c>
      <c r="AK87" s="84">
        <f>AK71+AK76+AK81+AK86</f>
      </c>
      <c r="AL87" s="84">
        <f>AL71+AL76+AL81+AL86</f>
      </c>
      <c r="AM87" s="84">
        <f>AM71+AM76+AM81+AM86</f>
      </c>
      <c r="AN87" s="84">
        <f>AN71+AN76+AN81+AN86</f>
      </c>
      <c r="AO87" s="84">
        <f>AO71+AO76+AO81+AO86</f>
      </c>
      <c r="AP87" s="84">
        <f>AP71+AP76+AP81+AP86</f>
      </c>
      <c r="AQ87" s="84">
        <f>AQ71+AQ76+AQ81+AQ86</f>
      </c>
      <c r="AR87" s="84">
        <f>AR71+AR76+AR81+AR86</f>
      </c>
      <c r="AS87" s="84">
        <f>AS71+AS76+AS81+AS86</f>
      </c>
      <c r="AT87" s="84">
        <f>AT71+AT76+AT81+AT86</f>
      </c>
      <c r="AU87" s="84">
        <f>AU71+AU76+AU81+AU86</f>
      </c>
      <c r="AV87" s="39"/>
      <c r="AW87" s="84">
        <f>AW71+AW76+AW81</f>
      </c>
      <c r="AX87" s="84">
        <f>AX71+AX76+AX81+AX86</f>
      </c>
    </row>
    <row hidden="true" r="88">
      <c r="A88" s="62">
        <v>46300</v>
      </c>
      <c r="B88" s="41" t="s">
        <v>59</v>
      </c>
      <c r="C88" s="41" t="s">
        <v>60</v>
      </c>
      <c r="D88" s="73" t="s">
        <v>61</v>
      </c>
      <c r="E88" s="28" t="s">
        <v>62</v>
      </c>
      <c r="F88" s="63">
        <f t="shared" ref="F88:F91" si="44">G88+H88+I88</f>
      </c>
      <c r="G88" s="63">
        <v>1891.27</v>
      </c>
      <c r="H88" s="63">
        <v>5669.3</v>
      </c>
      <c r="I88" s="64">
        <v>0</v>
      </c>
      <c r="J88" s="65">
        <v>2</v>
      </c>
      <c r="K88" s="66">
        <v>3324.4</v>
      </c>
      <c r="L88" s="65">
        <v>8</v>
      </c>
      <c r="M88" s="65">
        <v>15589.390000000001</v>
      </c>
      <c r="N88" s="67">
        <v>2</v>
      </c>
      <c r="O88" s="68">
        <f t="shared" si="24"/>
      </c>
      <c r="P88" s="67">
        <v>2</v>
      </c>
      <c r="Q88" s="68">
        <f t="shared" si="0"/>
      </c>
      <c r="R88" s="69">
        <f t="shared" ref="R88:R91" si="120">J88+L88</f>
      </c>
      <c r="S88" s="70">
        <f t="shared" ref="S88:S91" si="192">K88+M88</f>
      </c>
      <c r="T88" s="63">
        <f t="shared" si="12"/>
      </c>
      <c r="U88" s="63">
        <f t="shared" si="8"/>
      </c>
      <c r="V88" s="71">
        <f t="shared" si="20"/>
      </c>
      <c r="W88" s="67">
        <v>10</v>
      </c>
      <c r="X88" s="71">
        <f t="shared" si="16"/>
      </c>
      <c r="Y88" s="71">
        <f t="shared" si="248"/>
      </c>
      <c r="Z88" s="63">
        <f t="shared" si="100"/>
      </c>
      <c r="AA88" s="63">
        <f t="shared" si="2"/>
      </c>
      <c r="AB88" s="63">
        <f t="shared" si="4"/>
      </c>
      <c r="AC88" s="68">
        <f t="shared" si="14"/>
      </c>
      <c r="AD88" s="68">
        <f t="shared" si="10"/>
      </c>
      <c r="AE88" s="68">
        <f t="shared" si="22"/>
      </c>
      <c r="AF88" s="68">
        <f t="shared" si="18"/>
      </c>
      <c r="AG88" s="68">
        <f t="shared" si="102"/>
      </c>
      <c r="AH88" s="68">
        <f t="shared" si="26"/>
      </c>
      <c r="AI88" s="68">
        <f t="shared" si="6"/>
      </c>
      <c r="AJ88" s="67">
        <v>83</v>
      </c>
      <c r="AK88" s="72">
        <v>42280</v>
      </c>
      <c r="AL88" s="72">
        <v>694</v>
      </c>
      <c r="AM88" s="72">
        <v>784</v>
      </c>
      <c r="AN88" s="72">
        <v>201</v>
      </c>
      <c r="AO88" s="73">
        <v>58</v>
      </c>
      <c r="AP88" s="41">
        <v>154</v>
      </c>
      <c r="AQ88" s="41">
        <v>171</v>
      </c>
      <c r="AR88" s="73">
        <v>11</v>
      </c>
      <c r="AS88" s="41">
        <v>12</v>
      </c>
      <c r="AT88" s="72">
        <v>2</v>
      </c>
      <c r="AU88" s="72">
        <v>26</v>
      </c>
      <c r="AV88" s="39"/>
      <c r="AW88" s="40"/>
      <c r="AX88" s="41">
        <f t="shared" ref="AX88:AX91" si="266">COUNT(AU88)</f>
      </c>
    </row>
    <row hidden="true" r="89">
      <c r="A89" s="62"/>
      <c r="B89" s="41" t="s">
        <v>59</v>
      </c>
      <c r="C89" s="41" t="s">
        <v>60</v>
      </c>
      <c r="D89" s="73" t="s">
        <v>61</v>
      </c>
      <c r="E89" s="28" t="s">
        <v>63</v>
      </c>
      <c r="F89" s="63">
        <f t="shared" si="44"/>
      </c>
      <c r="G89" s="63">
        <v>1309.82</v>
      </c>
      <c r="H89" s="81">
        <v>3130.07</v>
      </c>
      <c r="I89" s="64">
        <v>0</v>
      </c>
      <c r="J89" s="65">
        <v>0</v>
      </c>
      <c r="K89" s="65">
        <v>0</v>
      </c>
      <c r="L89" s="65">
        <v>4</v>
      </c>
      <c r="M89" s="65">
        <v>11936.33</v>
      </c>
      <c r="N89" s="67">
        <v>1</v>
      </c>
      <c r="O89" s="68">
        <f t="shared" si="24"/>
      </c>
      <c r="P89" s="67">
        <v>1</v>
      </c>
      <c r="Q89" s="68">
        <f t="shared" si="0"/>
      </c>
      <c r="R89" s="69">
        <f t="shared" si="120"/>
      </c>
      <c r="S89" s="70">
        <f t="shared" si="192"/>
      </c>
      <c r="T89" s="63">
        <f t="shared" si="12"/>
      </c>
      <c r="U89" s="63">
        <f t="shared" si="8"/>
      </c>
      <c r="V89" s="71">
        <f t="shared" si="20"/>
      </c>
      <c r="W89" s="67">
        <v>2</v>
      </c>
      <c r="X89" s="71">
        <f t="shared" si="16"/>
      </c>
      <c r="Y89" s="71">
        <f t="shared" si="248"/>
      </c>
      <c r="Z89" s="63">
        <f t="shared" si="100"/>
      </c>
      <c r="AA89" s="63">
        <f t="shared" si="2"/>
      </c>
      <c r="AB89" s="63">
        <f t="shared" si="4"/>
      </c>
      <c r="AC89" s="68">
        <f t="shared" si="14"/>
      </c>
      <c r="AD89" s="68">
        <f t="shared" si="10"/>
      </c>
      <c r="AE89" s="68">
        <f t="shared" si="22"/>
      </c>
      <c r="AF89" s="68">
        <f t="shared" si="18"/>
      </c>
      <c r="AG89" s="68">
        <f t="shared" si="102"/>
      </c>
      <c r="AH89" s="68">
        <f t="shared" si="26"/>
      </c>
      <c r="AI89" s="68">
        <f t="shared" si="6"/>
      </c>
      <c r="AJ89" s="67">
        <v>78</v>
      </c>
      <c r="AK89" s="72">
        <v>24705</v>
      </c>
      <c r="AL89" s="72">
        <v>472</v>
      </c>
      <c r="AM89" s="72">
        <v>566</v>
      </c>
      <c r="AN89" s="72">
        <v>106</v>
      </c>
      <c r="AO89" s="73">
        <v>36</v>
      </c>
      <c r="AP89" s="72">
        <v>78</v>
      </c>
      <c r="AQ89" s="41">
        <v>101</v>
      </c>
      <c r="AR89" s="73">
        <v>5</v>
      </c>
      <c r="AS89" s="72">
        <v>14</v>
      </c>
      <c r="AT89" s="72">
        <v>3</v>
      </c>
      <c r="AU89" s="72">
        <v>13</v>
      </c>
      <c r="AV89" s="39"/>
      <c r="AW89" s="40"/>
      <c r="AX89" s="41">
        <f t="shared" si="266"/>
      </c>
    </row>
    <row hidden="true" r="90">
      <c r="A90" s="62"/>
      <c r="B90" s="41" t="s">
        <v>59</v>
      </c>
      <c r="C90" s="41" t="s">
        <v>60</v>
      </c>
      <c r="D90" s="73" t="s">
        <v>61</v>
      </c>
      <c r="E90" s="28" t="s">
        <v>64</v>
      </c>
      <c r="F90" s="63">
        <f t="shared" si="44"/>
      </c>
      <c r="G90" s="63">
        <v>1026.33</v>
      </c>
      <c r="H90" s="63">
        <v>2484.53</v>
      </c>
      <c r="I90" s="64">
        <v>0</v>
      </c>
      <c r="J90" s="65">
        <v>0</v>
      </c>
      <c r="K90" s="65">
        <v>0</v>
      </c>
      <c r="L90" s="65">
        <v>5</v>
      </c>
      <c r="M90" s="65">
        <v>19455.1</v>
      </c>
      <c r="N90" s="67">
        <v>2</v>
      </c>
      <c r="O90" s="68">
        <f t="shared" si="24"/>
      </c>
      <c r="P90" s="67">
        <v>2</v>
      </c>
      <c r="Q90" s="68">
        <f t="shared" si="0"/>
      </c>
      <c r="R90" s="69">
        <f t="shared" si="120"/>
      </c>
      <c r="S90" s="70">
        <f t="shared" si="192"/>
      </c>
      <c r="T90" s="63">
        <f t="shared" si="12"/>
      </c>
      <c r="U90" s="63">
        <f t="shared" si="8"/>
      </c>
      <c r="V90" s="71">
        <f t="shared" si="20"/>
      </c>
      <c r="W90" s="67">
        <v>4</v>
      </c>
      <c r="X90" s="71">
        <f t="shared" si="16"/>
      </c>
      <c r="Y90" s="71">
        <f t="shared" si="248"/>
      </c>
      <c r="Z90" s="63">
        <f t="shared" si="100"/>
      </c>
      <c r="AA90" s="63">
        <f t="shared" si="2"/>
      </c>
      <c r="AB90" s="63">
        <f t="shared" si="4"/>
      </c>
      <c r="AC90" s="68">
        <f t="shared" si="14"/>
      </c>
      <c r="AD90" s="68">
        <f t="shared" si="10"/>
      </c>
      <c r="AE90" s="68">
        <f t="shared" si="22"/>
      </c>
      <c r="AF90" s="68">
        <f t="shared" si="18"/>
      </c>
      <c r="AG90" s="68">
        <f t="shared" si="102"/>
      </c>
      <c r="AH90" s="68">
        <f t="shared" si="26"/>
      </c>
      <c r="AI90" s="68">
        <f t="shared" si="6"/>
      </c>
      <c r="AJ90" s="67">
        <v>79</v>
      </c>
      <c r="AK90" s="72">
        <v>22196</v>
      </c>
      <c r="AL90" s="72">
        <v>389</v>
      </c>
      <c r="AM90" s="72">
        <v>483</v>
      </c>
      <c r="AN90" s="72">
        <v>84</v>
      </c>
      <c r="AO90" s="73">
        <v>34</v>
      </c>
      <c r="AP90" s="72">
        <v>94</v>
      </c>
      <c r="AQ90" s="41">
        <v>78</v>
      </c>
      <c r="AR90" s="73">
        <v>6</v>
      </c>
      <c r="AS90" s="72">
        <v>8</v>
      </c>
      <c r="AT90" s="72">
        <v>1</v>
      </c>
      <c r="AU90" s="72">
        <v>15</v>
      </c>
      <c r="AV90" s="39"/>
      <c r="AW90" s="40"/>
      <c r="AX90" s="41">
        <f t="shared" si="266"/>
      </c>
    </row>
    <row hidden="true" r="91">
      <c r="A91" s="62"/>
      <c r="B91" s="41" t="s">
        <v>59</v>
      </c>
      <c r="C91" s="41" t="s">
        <v>60</v>
      </c>
      <c r="D91" s="73" t="s">
        <v>61</v>
      </c>
      <c r="E91" s="41" t="s">
        <v>65</v>
      </c>
      <c r="F91" s="63">
        <f t="shared" si="44"/>
      </c>
      <c r="G91" s="63">
        <v>631</v>
      </c>
      <c r="H91" s="63">
        <v>3753.09</v>
      </c>
      <c r="I91" s="64">
        <v>0</v>
      </c>
      <c r="J91" s="65">
        <v>1</v>
      </c>
      <c r="K91" s="65">
        <v>1285.9999999999995</v>
      </c>
      <c r="L91" s="65">
        <v>5</v>
      </c>
      <c r="M91" s="65">
        <v>8002.239999999998</v>
      </c>
      <c r="N91" s="67">
        <v>2</v>
      </c>
      <c r="O91" s="68">
        <f t="shared" si="24"/>
      </c>
      <c r="P91" s="67">
        <v>0</v>
      </c>
      <c r="Q91" s="68">
        <f t="shared" si="0"/>
      </c>
      <c r="R91" s="69">
        <f t="shared" si="120"/>
      </c>
      <c r="S91" s="70">
        <f t="shared" si="192"/>
      </c>
      <c r="T91" s="63">
        <f t="shared" si="12"/>
      </c>
      <c r="U91" s="63">
        <f t="shared" si="8"/>
      </c>
      <c r="V91" s="71">
        <f t="shared" si="20"/>
      </c>
      <c r="W91" s="67">
        <v>6</v>
      </c>
      <c r="X91" s="71">
        <f t="shared" si="16"/>
      </c>
      <c r="Y91" s="71">
        <f t="shared" si="248"/>
      </c>
      <c r="Z91" s="63">
        <f t="shared" si="100"/>
      </c>
      <c r="AA91" s="63">
        <f t="shared" si="2"/>
      </c>
      <c r="AB91" s="63">
        <f t="shared" si="4"/>
      </c>
      <c r="AC91" s="68">
        <f t="shared" si="14"/>
      </c>
      <c r="AD91" s="68">
        <f t="shared" si="10"/>
      </c>
      <c r="AE91" s="68">
        <f t="shared" si="22"/>
      </c>
      <c r="AF91" s="68">
        <f t="shared" si="18"/>
      </c>
      <c r="AG91" s="68">
        <f t="shared" si="102"/>
      </c>
      <c r="AH91" s="68">
        <f t="shared" si="26"/>
      </c>
      <c r="AI91" s="68">
        <f t="shared" si="6"/>
      </c>
      <c r="AJ91" s="67">
        <v>79</v>
      </c>
      <c r="AK91" s="72">
        <v>32912</v>
      </c>
      <c r="AL91" s="72">
        <v>403</v>
      </c>
      <c r="AM91" s="72">
        <v>463</v>
      </c>
      <c r="AN91" s="72">
        <v>88</v>
      </c>
      <c r="AO91" s="73">
        <v>31</v>
      </c>
      <c r="AP91" s="72">
        <v>89</v>
      </c>
      <c r="AQ91" s="41">
        <v>85</v>
      </c>
      <c r="AR91" s="73">
        <v>8</v>
      </c>
      <c r="AS91" s="72">
        <v>6</v>
      </c>
      <c r="AT91" s="72">
        <v>4</v>
      </c>
      <c r="AU91" s="72">
        <v>17</v>
      </c>
      <c r="AV91" s="39"/>
      <c r="AW91" s="40"/>
      <c r="AX91" s="41">
        <f t="shared" si="266"/>
      </c>
    </row>
    <row hidden="true" r="92">
      <c r="A92" s="62"/>
      <c r="B92" s="75" t="s">
        <v>66</v>
      </c>
      <c r="C92" s="75"/>
      <c r="D92" s="75"/>
      <c r="E92" s="75"/>
      <c r="F92" s="76">
        <f>SUM(F88:F91)</f>
      </c>
      <c r="G92" s="76">
        <f>SUM(G88:G91)</f>
      </c>
      <c r="H92" s="76">
        <f>SUM(H88:H91)</f>
      </c>
      <c r="I92" s="76">
        <f>SUM(I88:I91)</f>
      </c>
      <c r="J92" s="76">
        <f>SUM(J88:J91)</f>
      </c>
      <c r="K92" s="76">
        <f>SUM(K88:K91)</f>
      </c>
      <c r="L92" s="76">
        <f>SUM(L88:L91)</f>
      </c>
      <c r="M92" s="76">
        <f>SUM(M88:M91)</f>
      </c>
      <c r="N92" s="76">
        <f>SUM(N88:N91)</f>
      </c>
      <c r="O92" s="77">
        <f t="shared" si="24"/>
      </c>
      <c r="P92" s="76">
        <f>SUM(P88:P91)</f>
      </c>
      <c r="Q92" s="77">
        <f t="shared" si="0"/>
      </c>
      <c r="R92" s="78">
        <f>SUM(R88:R91)</f>
      </c>
      <c r="S92" s="76">
        <f>SUM(S88:S91)</f>
      </c>
      <c r="T92" s="76">
        <f t="shared" si="12"/>
      </c>
      <c r="U92" s="76">
        <f t="shared" si="8"/>
      </c>
      <c r="V92" s="76">
        <f t="shared" si="20"/>
      </c>
      <c r="W92" s="76">
        <f>SUM(W88:W91)</f>
      </c>
      <c r="X92" s="79">
        <f t="shared" si="16"/>
      </c>
      <c r="Y92" s="79">
        <f t="shared" si="248"/>
      </c>
      <c r="Z92" s="76">
        <f t="shared" si="100"/>
      </c>
      <c r="AA92" s="76">
        <f t="shared" si="2"/>
      </c>
      <c r="AB92" s="80">
        <f t="shared" si="4"/>
      </c>
      <c r="AC92" s="77">
        <f t="shared" si="14"/>
      </c>
      <c r="AD92" s="77">
        <f t="shared" si="10"/>
      </c>
      <c r="AE92" s="77">
        <f t="shared" si="22"/>
      </c>
      <c r="AF92" s="77">
        <f t="shared" si="18"/>
      </c>
      <c r="AG92" s="77">
        <f t="shared" si="102"/>
      </c>
      <c r="AH92" s="77">
        <f t="shared" si="26"/>
      </c>
      <c r="AI92" s="77">
        <f t="shared" si="6"/>
      </c>
      <c r="AJ92" s="78">
        <f>AVERAGE(AJ88:AJ91)</f>
      </c>
      <c r="AK92" s="76">
        <f>SUM(AK88:AK91)</f>
      </c>
      <c r="AL92" s="76">
        <f>SUM(AL88:AL91)</f>
      </c>
      <c r="AM92" s="76">
        <f>SUM(AM88:AM91)</f>
      </c>
      <c r="AN92" s="76">
        <f>SUM(AN88:AN91)</f>
      </c>
      <c r="AO92" s="76">
        <f>SUM(AO88:AO91)</f>
      </c>
      <c r="AP92" s="76">
        <f>SUM(AP88:AP91)</f>
      </c>
      <c r="AQ92" s="76">
        <f>SUM(AQ88:AQ91)</f>
      </c>
      <c r="AR92" s="76">
        <f>SUM(AR88:AR91)</f>
      </c>
      <c r="AS92" s="76">
        <f>SUM(AS88:AS91)</f>
      </c>
      <c r="AT92" s="76">
        <f>SUM(AT88:AT91)</f>
      </c>
      <c r="AU92" s="76">
        <f>SUM(AU88:AU91)</f>
      </c>
      <c r="AV92" s="39"/>
      <c r="AW92" s="48"/>
      <c r="AX92" s="49">
        <f>SUM(AX88:AX91)</f>
      </c>
    </row>
    <row hidden="true" r="93">
      <c r="A93" s="62"/>
      <c r="B93" s="41" t="s">
        <v>59</v>
      </c>
      <c r="C93" s="41" t="s">
        <v>60</v>
      </c>
      <c r="D93" s="41" t="s">
        <v>74</v>
      </c>
      <c r="E93" s="41" t="s">
        <v>68</v>
      </c>
      <c r="F93" s="63">
        <f t="shared" ref="F93:F96" si="45">G93+H93+I93</f>
      </c>
      <c r="G93" s="63">
        <v>669.84</v>
      </c>
      <c r="H93" s="63">
        <v>1250.17</v>
      </c>
      <c r="I93" s="64">
        <v>0</v>
      </c>
      <c r="J93" s="65">
        <v>0</v>
      </c>
      <c r="K93" s="65">
        <v>0</v>
      </c>
      <c r="L93" s="65">
        <v>1</v>
      </c>
      <c r="M93" s="65">
        <v>1672</v>
      </c>
      <c r="N93" s="67">
        <v>0</v>
      </c>
      <c r="O93" s="68">
        <f t="shared" si="24"/>
      </c>
      <c r="P93" s="67">
        <v>0</v>
      </c>
      <c r="Q93" s="68">
        <f t="shared" si="0"/>
      </c>
      <c r="R93" s="69">
        <f t="shared" ref="R93:R96" si="121">J93+L93</f>
      </c>
      <c r="S93" s="70">
        <f t="shared" ref="S93:S96" si="193">K93+M93</f>
      </c>
      <c r="T93" s="63">
        <f t="shared" si="12"/>
      </c>
      <c r="U93" s="63">
        <f t="shared" si="8"/>
      </c>
      <c r="V93" s="71">
        <f t="shared" si="20"/>
      </c>
      <c r="W93" s="67">
        <v>1</v>
      </c>
      <c r="X93" s="71">
        <f t="shared" si="16"/>
      </c>
      <c r="Y93" s="71">
        <f t="shared" si="248"/>
      </c>
      <c r="Z93" s="63">
        <f t="shared" si="100"/>
      </c>
      <c r="AA93" s="63">
        <f t="shared" si="2"/>
      </c>
      <c r="AB93" s="63">
        <f t="shared" si="4"/>
      </c>
      <c r="AC93" s="68">
        <f t="shared" si="14"/>
      </c>
      <c r="AD93" s="68">
        <f t="shared" si="10"/>
      </c>
      <c r="AE93" s="68">
        <f t="shared" si="22"/>
      </c>
      <c r="AF93" s="68">
        <f t="shared" si="18"/>
      </c>
      <c r="AG93" s="68">
        <f t="shared" si="102"/>
      </c>
      <c r="AH93" s="68">
        <f t="shared" si="26"/>
      </c>
      <c r="AI93" s="68">
        <f t="shared" si="6"/>
      </c>
      <c r="AJ93" s="67">
        <v>78</v>
      </c>
      <c r="AK93" s="72">
        <v>11848</v>
      </c>
      <c r="AL93" s="72">
        <v>208</v>
      </c>
      <c r="AM93" s="72">
        <v>263</v>
      </c>
      <c r="AN93" s="72">
        <v>44</v>
      </c>
      <c r="AO93" s="73">
        <v>13</v>
      </c>
      <c r="AP93" s="72">
        <v>33</v>
      </c>
      <c r="AQ93" s="41">
        <v>48</v>
      </c>
      <c r="AR93" s="73">
        <v>2</v>
      </c>
      <c r="AS93" s="41">
        <v>5</v>
      </c>
      <c r="AT93" s="72">
        <v>0</v>
      </c>
      <c r="AU93" s="72">
        <v>5</v>
      </c>
      <c r="AV93" s="39"/>
      <c r="AW93" s="40"/>
      <c r="AX93" s="41">
        <f t="shared" ref="AX93:AX96" si="267">COUNT(AU93)</f>
      </c>
    </row>
    <row hidden="true" r="94">
      <c r="A94" s="62"/>
      <c r="B94" s="41" t="s">
        <v>59</v>
      </c>
      <c r="C94" s="41" t="s">
        <v>60</v>
      </c>
      <c r="D94" s="41" t="s">
        <v>74</v>
      </c>
      <c r="E94" s="41" t="s">
        <v>69</v>
      </c>
      <c r="F94" s="63">
        <f t="shared" si="45"/>
      </c>
      <c r="G94" s="63">
        <v>1124.91</v>
      </c>
      <c r="H94" s="63">
        <v>4015.4</v>
      </c>
      <c r="I94" s="64">
        <v>0</v>
      </c>
      <c r="J94" s="65">
        <v>1</v>
      </c>
      <c r="K94" s="65">
        <v>1564.6499999999996</v>
      </c>
      <c r="L94" s="65">
        <v>4</v>
      </c>
      <c r="M94" s="65">
        <v>10274.309999999998</v>
      </c>
      <c r="N94" s="67">
        <v>1</v>
      </c>
      <c r="O94" s="68">
        <f t="shared" si="24"/>
      </c>
      <c r="P94" s="67">
        <v>0</v>
      </c>
      <c r="Q94" s="68">
        <f t="shared" si="0"/>
      </c>
      <c r="R94" s="69">
        <f t="shared" si="121"/>
      </c>
      <c r="S94" s="70">
        <f t="shared" si="193"/>
      </c>
      <c r="T94" s="63">
        <f t="shared" si="12"/>
      </c>
      <c r="U94" s="63">
        <f t="shared" si="8"/>
      </c>
      <c r="V94" s="71">
        <f t="shared" si="20"/>
      </c>
      <c r="W94" s="67">
        <v>4</v>
      </c>
      <c r="X94" s="71">
        <f t="shared" si="16"/>
      </c>
      <c r="Y94" s="71">
        <f t="shared" si="248"/>
      </c>
      <c r="Z94" s="63">
        <f t="shared" si="100"/>
      </c>
      <c r="AA94" s="63">
        <f t="shared" si="2"/>
      </c>
      <c r="AB94" s="63">
        <f t="shared" si="4"/>
      </c>
      <c r="AC94" s="68">
        <f t="shared" si="14"/>
      </c>
      <c r="AD94" s="68">
        <f t="shared" si="10"/>
      </c>
      <c r="AE94" s="68">
        <f t="shared" si="22"/>
      </c>
      <c r="AF94" s="68">
        <f t="shared" si="18"/>
      </c>
      <c r="AG94" s="68">
        <f t="shared" si="102"/>
      </c>
      <c r="AH94" s="68">
        <f t="shared" si="26"/>
      </c>
      <c r="AI94" s="68">
        <f t="shared" si="6"/>
      </c>
      <c r="AJ94" s="67">
        <v>80</v>
      </c>
      <c r="AK94" s="72">
        <v>33225</v>
      </c>
      <c r="AL94" s="72">
        <v>513</v>
      </c>
      <c r="AM94" s="72">
        <v>578</v>
      </c>
      <c r="AN94" s="72">
        <v>119</v>
      </c>
      <c r="AO94" s="73">
        <v>43</v>
      </c>
      <c r="AP94" s="72">
        <v>139</v>
      </c>
      <c r="AQ94" s="41">
        <v>130</v>
      </c>
      <c r="AR94" s="73">
        <v>8</v>
      </c>
      <c r="AS94" s="41">
        <v>13</v>
      </c>
      <c r="AT94" s="72">
        <v>3</v>
      </c>
      <c r="AU94" s="72">
        <v>20</v>
      </c>
      <c r="AV94" s="39"/>
      <c r="AW94" s="40"/>
      <c r="AX94" s="41">
        <f t="shared" si="267"/>
      </c>
    </row>
    <row hidden="true" r="95">
      <c r="A95" s="62"/>
      <c r="B95" s="41" t="s">
        <v>59</v>
      </c>
      <c r="C95" s="41" t="s">
        <v>60</v>
      </c>
      <c r="D95" s="41" t="s">
        <v>74</v>
      </c>
      <c r="E95" s="41" t="s">
        <v>70</v>
      </c>
      <c r="F95" s="63">
        <f t="shared" si="45"/>
      </c>
      <c r="G95" s="81">
        <v>769.18</v>
      </c>
      <c r="H95" s="81">
        <v>3393.94</v>
      </c>
      <c r="I95" s="64">
        <v>0</v>
      </c>
      <c r="J95" s="65">
        <v>2</v>
      </c>
      <c r="K95" s="65">
        <v>3245.5800000000017</v>
      </c>
      <c r="L95" s="65">
        <v>5</v>
      </c>
      <c r="M95" s="65">
        <v>16313.210000000006</v>
      </c>
      <c r="N95" s="67">
        <v>2</v>
      </c>
      <c r="O95" s="68">
        <f t="shared" si="24"/>
      </c>
      <c r="P95" s="67">
        <v>0</v>
      </c>
      <c r="Q95" s="68">
        <f t="shared" si="0"/>
      </c>
      <c r="R95" s="69">
        <f t="shared" si="121"/>
      </c>
      <c r="S95" s="70">
        <f t="shared" si="193"/>
      </c>
      <c r="T95" s="63">
        <f t="shared" si="12"/>
      </c>
      <c r="U95" s="63">
        <f t="shared" si="8"/>
      </c>
      <c r="V95" s="71">
        <f t="shared" si="20"/>
      </c>
      <c r="W95" s="67">
        <v>5</v>
      </c>
      <c r="X95" s="71">
        <f t="shared" si="16"/>
      </c>
      <c r="Y95" s="71">
        <f t="shared" si="248"/>
      </c>
      <c r="Z95" s="63">
        <f t="shared" si="100"/>
      </c>
      <c r="AA95" s="63">
        <f t="shared" si="2"/>
      </c>
      <c r="AB95" s="63">
        <f t="shared" si="4"/>
      </c>
      <c r="AC95" s="68">
        <f t="shared" si="14"/>
      </c>
      <c r="AD95" s="68">
        <f t="shared" si="10"/>
      </c>
      <c r="AE95" s="68">
        <f t="shared" si="22"/>
      </c>
      <c r="AF95" s="68">
        <f t="shared" si="18"/>
      </c>
      <c r="AG95" s="68">
        <f t="shared" si="102"/>
      </c>
      <c r="AH95" s="68">
        <f t="shared" si="26"/>
      </c>
      <c r="AI95" s="68">
        <f t="shared" si="6"/>
      </c>
      <c r="AJ95" s="67">
        <v>83</v>
      </c>
      <c r="AK95" s="72">
        <v>24694</v>
      </c>
      <c r="AL95" s="72">
        <v>416</v>
      </c>
      <c r="AM95" s="72">
        <v>510</v>
      </c>
      <c r="AN95" s="72">
        <v>74</v>
      </c>
      <c r="AO95" s="73">
        <v>30</v>
      </c>
      <c r="AP95" s="72">
        <v>123</v>
      </c>
      <c r="AQ95" s="41">
        <v>113</v>
      </c>
      <c r="AR95" s="73">
        <v>7</v>
      </c>
      <c r="AS95" s="72">
        <v>19</v>
      </c>
      <c r="AT95" s="72">
        <v>2</v>
      </c>
      <c r="AU95" s="72">
        <v>14</v>
      </c>
      <c r="AV95" s="39"/>
      <c r="AW95" s="40"/>
      <c r="AX95" s="41">
        <f t="shared" si="267"/>
      </c>
    </row>
    <row hidden="true" r="96">
      <c r="A96" s="62"/>
      <c r="B96" s="73" t="s">
        <v>86</v>
      </c>
      <c r="C96" s="41" t="s">
        <v>72</v>
      </c>
      <c r="D96" s="41" t="s">
        <v>74</v>
      </c>
      <c r="E96" s="41" t="s">
        <v>73</v>
      </c>
      <c r="F96" s="63">
        <f t="shared" si="45"/>
      </c>
      <c r="G96" s="81">
        <v>1618.6</v>
      </c>
      <c r="H96" s="81">
        <v>1380.89</v>
      </c>
      <c r="I96" s="64">
        <v>0</v>
      </c>
      <c r="J96" s="65">
        <v>2</v>
      </c>
      <c r="K96" s="65">
        <v>3963.779999999999</v>
      </c>
      <c r="L96" s="65">
        <v>2</v>
      </c>
      <c r="M96" s="65">
        <v>6215.659999999989</v>
      </c>
      <c r="N96" s="67">
        <v>2</v>
      </c>
      <c r="O96" s="68">
        <f t="shared" si="24"/>
      </c>
      <c r="P96" s="67">
        <v>0</v>
      </c>
      <c r="Q96" s="68">
        <f t="shared" si="0"/>
      </c>
      <c r="R96" s="69">
        <f t="shared" si="121"/>
      </c>
      <c r="S96" s="70">
        <f t="shared" si="193"/>
      </c>
      <c r="T96" s="63">
        <f t="shared" si="12"/>
      </c>
      <c r="U96" s="63">
        <f t="shared" si="8"/>
      </c>
      <c r="V96" s="71">
        <f t="shared" si="20"/>
      </c>
      <c r="W96" s="67">
        <v>1</v>
      </c>
      <c r="X96" s="71">
        <f t="shared" si="16"/>
      </c>
      <c r="Y96" s="71">
        <f t="shared" si="248"/>
      </c>
      <c r="Z96" s="63">
        <f t="shared" si="100"/>
      </c>
      <c r="AA96" s="63">
        <f t="shared" si="2"/>
      </c>
      <c r="AB96" s="63">
        <f t="shared" si="4"/>
      </c>
      <c r="AC96" s="68">
        <f t="shared" si="14"/>
      </c>
      <c r="AD96" s="68">
        <f t="shared" si="10"/>
      </c>
      <c r="AE96" s="68">
        <f t="shared" si="22"/>
      </c>
      <c r="AF96" s="68">
        <f t="shared" si="18"/>
      </c>
      <c r="AG96" s="68">
        <f t="shared" si="102"/>
      </c>
      <c r="AH96" s="68">
        <f t="shared" si="26"/>
      </c>
      <c r="AI96" s="68">
        <f t="shared" si="6"/>
      </c>
      <c r="AJ96" s="67">
        <v>84</v>
      </c>
      <c r="AK96" s="72">
        <v>20055</v>
      </c>
      <c r="AL96" s="72">
        <v>391</v>
      </c>
      <c r="AM96" s="72">
        <v>491</v>
      </c>
      <c r="AN96" s="72">
        <v>79</v>
      </c>
      <c r="AO96" s="73">
        <v>23</v>
      </c>
      <c r="AP96" s="72">
        <v>77</v>
      </c>
      <c r="AQ96" s="41">
        <v>95</v>
      </c>
      <c r="AR96" s="73">
        <v>5</v>
      </c>
      <c r="AS96" s="67">
        <v>95</v>
      </c>
      <c r="AT96" s="67">
        <v>8</v>
      </c>
      <c r="AU96" s="67">
        <v>0</v>
      </c>
      <c r="AV96" s="39"/>
      <c r="AW96" s="40"/>
      <c r="AX96" s="41">
        <f t="shared" si="267"/>
      </c>
    </row>
    <row hidden="true" r="97">
      <c r="A97" s="62"/>
      <c r="B97" s="75" t="s">
        <v>66</v>
      </c>
      <c r="C97" s="75"/>
      <c r="D97" s="75"/>
      <c r="E97" s="75"/>
      <c r="F97" s="76">
        <f>SUM(F93:F96)</f>
      </c>
      <c r="G97" s="76">
        <f>SUM(G93:G96)</f>
      </c>
      <c r="H97" s="76">
        <f>SUM(H93:H96)</f>
      </c>
      <c r="I97" s="76">
        <f>SUM(I93:I96)</f>
      </c>
      <c r="J97" s="76">
        <f>SUM(J93:J96)</f>
      </c>
      <c r="K97" s="76">
        <f>SUM(K93:K96)</f>
      </c>
      <c r="L97" s="76">
        <f>SUM(L93:L96)</f>
      </c>
      <c r="M97" s="76">
        <f>SUM(M93:M96)</f>
      </c>
      <c r="N97" s="76">
        <f>SUM(N93:N96)</f>
      </c>
      <c r="O97" s="77">
        <f t="shared" si="24"/>
      </c>
      <c r="P97" s="76">
        <f>SUM(P93:P96)</f>
      </c>
      <c r="Q97" s="77">
        <f t="shared" si="0"/>
      </c>
      <c r="R97" s="78">
        <f>SUM(R93:R96)</f>
      </c>
      <c r="S97" s="76">
        <f>SUM(S93:S96)</f>
      </c>
      <c r="T97" s="76">
        <f t="shared" si="12"/>
      </c>
      <c r="U97" s="76">
        <f t="shared" si="8"/>
      </c>
      <c r="V97" s="79">
        <f t="shared" si="20"/>
      </c>
      <c r="W97" s="76">
        <f>SUM(W93:W96)</f>
      </c>
      <c r="X97" s="79">
        <f t="shared" si="16"/>
      </c>
      <c r="Y97" s="79">
        <f t="shared" si="248"/>
      </c>
      <c r="Z97" s="76">
        <f t="shared" si="100"/>
      </c>
      <c r="AA97" s="76">
        <f t="shared" si="2"/>
      </c>
      <c r="AB97" s="80">
        <f t="shared" si="4"/>
      </c>
      <c r="AC97" s="77">
        <f t="shared" si="14"/>
      </c>
      <c r="AD97" s="77">
        <f t="shared" si="10"/>
      </c>
      <c r="AE97" s="77">
        <f t="shared" si="22"/>
      </c>
      <c r="AF97" s="82">
        <f t="shared" si="18"/>
      </c>
      <c r="AG97" s="77">
        <f t="shared" si="102"/>
      </c>
      <c r="AH97" s="77">
        <f t="shared" si="26"/>
      </c>
      <c r="AI97" s="77">
        <f t="shared" si="6"/>
      </c>
      <c r="AJ97" s="78">
        <f>AVERAGE(AJ93:AJ96)</f>
      </c>
      <c r="AK97" s="76">
        <f>SUM(AK93:AK96)</f>
      </c>
      <c r="AL97" s="76">
        <f>SUM(AL93:AL96)</f>
      </c>
      <c r="AM97" s="76">
        <f>SUM(AM93:AM96)</f>
      </c>
      <c r="AN97" s="76">
        <f>SUM(AN93:AN96)</f>
      </c>
      <c r="AO97" s="76">
        <f>SUM(AO93:AO96)</f>
      </c>
      <c r="AP97" s="76">
        <f>SUM(AP93:AP96)</f>
      </c>
      <c r="AQ97" s="76">
        <f>SUM(AQ93:AQ96)</f>
      </c>
      <c r="AR97" s="76">
        <f>SUM(AR93:AR96)</f>
      </c>
      <c r="AS97" s="76">
        <f>SUM(AS93:AS96)</f>
      </c>
      <c r="AT97" s="76">
        <f>SUM(AT93:AT96)</f>
      </c>
      <c r="AU97" s="76">
        <f>SUM(AU93:AU96)</f>
      </c>
      <c r="AV97" s="39"/>
      <c r="AW97" s="48"/>
      <c r="AX97" s="49">
        <f>SUM(AX93:AX96)</f>
      </c>
    </row>
    <row hidden="true" r="98">
      <c r="A98" s="62"/>
      <c r="B98" s="41" t="s">
        <v>86</v>
      </c>
      <c r="C98" s="41" t="s">
        <v>72</v>
      </c>
      <c r="D98" s="41" t="s">
        <v>79</v>
      </c>
      <c r="E98" s="41" t="s">
        <v>75</v>
      </c>
      <c r="F98" s="63">
        <f t="shared" ref="F98:F101" si="46">G98+H98+I98</f>
      </c>
      <c r="G98" s="81">
        <v>1500</v>
      </c>
      <c r="H98" s="81">
        <v>1500</v>
      </c>
      <c r="I98" s="64">
        <v>0</v>
      </c>
      <c r="J98" s="65">
        <v>2</v>
      </c>
      <c r="K98" s="65">
        <v>3245.579999999998</v>
      </c>
      <c r="L98" s="65">
        <v>2</v>
      </c>
      <c r="M98" s="65">
        <v>8275.680000000008</v>
      </c>
      <c r="N98" s="67">
        <v>2</v>
      </c>
      <c r="O98" s="68">
        <f t="shared" si="24"/>
      </c>
      <c r="P98" s="67">
        <v>1</v>
      </c>
      <c r="Q98" s="68">
        <f t="shared" si="0"/>
      </c>
      <c r="R98" s="69">
        <f t="shared" ref="R98:R101" si="122">J98+L98</f>
      </c>
      <c r="S98" s="70">
        <f t="shared" ref="S98:S101" si="194">K98+M98</f>
      </c>
      <c r="T98" s="63">
        <f t="shared" si="12"/>
      </c>
      <c r="U98" s="63">
        <f t="shared" si="8"/>
      </c>
      <c r="V98" s="71">
        <f t="shared" si="20"/>
      </c>
      <c r="W98" s="67">
        <v>3</v>
      </c>
      <c r="X98" s="71">
        <f t="shared" si="16"/>
      </c>
      <c r="Y98" s="71">
        <f t="shared" si="248"/>
      </c>
      <c r="Z98" s="63">
        <f t="shared" si="100"/>
      </c>
      <c r="AA98" s="63">
        <f t="shared" si="2"/>
      </c>
      <c r="AB98" s="63">
        <f t="shared" si="4"/>
      </c>
      <c r="AC98" s="68">
        <f t="shared" si="14"/>
      </c>
      <c r="AD98" s="68">
        <f t="shared" si="10"/>
      </c>
      <c r="AE98" s="68">
        <f t="shared" si="22"/>
      </c>
      <c r="AF98" s="68">
        <f t="shared" si="18"/>
      </c>
      <c r="AG98" s="68">
        <f t="shared" si="102"/>
      </c>
      <c r="AH98" s="68">
        <f t="shared" si="26"/>
      </c>
      <c r="AI98" s="68">
        <f t="shared" si="6"/>
      </c>
      <c r="AJ98" s="67">
        <v>85</v>
      </c>
      <c r="AK98" s="72">
        <v>23618</v>
      </c>
      <c r="AL98" s="72">
        <v>336</v>
      </c>
      <c r="AM98" s="72">
        <v>348</v>
      </c>
      <c r="AN98" s="72">
        <v>81</v>
      </c>
      <c r="AO98" s="73">
        <v>17</v>
      </c>
      <c r="AP98" s="72">
        <v>96</v>
      </c>
      <c r="AQ98" s="41">
        <v>60</v>
      </c>
      <c r="AR98" s="73">
        <v>7</v>
      </c>
      <c r="AS98" s="41">
        <v>11</v>
      </c>
      <c r="AT98" s="72">
        <v>2</v>
      </c>
      <c r="AU98" s="72">
        <v>6</v>
      </c>
      <c r="AV98" s="39"/>
      <c r="AW98" s="40"/>
      <c r="AX98" s="41">
        <f t="shared" ref="AX98:AX101" si="268">COUNT(AU98)</f>
      </c>
    </row>
    <row hidden="true" r="99">
      <c r="A99" s="62"/>
      <c r="B99" s="41" t="s">
        <v>86</v>
      </c>
      <c r="C99" s="41" t="s">
        <v>72</v>
      </c>
      <c r="D99" s="41" t="s">
        <v>79</v>
      </c>
      <c r="E99" s="41" t="s">
        <v>76</v>
      </c>
      <c r="F99" s="63">
        <f t="shared" si="46"/>
      </c>
      <c r="G99" s="81">
        <v>1500.22</v>
      </c>
      <c r="H99" s="81">
        <v>1481.46</v>
      </c>
      <c r="I99" s="64">
        <v>0</v>
      </c>
      <c r="J99" s="64">
        <v>0</v>
      </c>
      <c r="K99" s="64">
        <v>0</v>
      </c>
      <c r="L99" s="65">
        <v>5</v>
      </c>
      <c r="M99" s="65">
        <v>16773.569999999992</v>
      </c>
      <c r="N99" s="67">
        <v>2</v>
      </c>
      <c r="O99" s="68">
        <f t="shared" si="24"/>
      </c>
      <c r="P99" s="67">
        <v>2</v>
      </c>
      <c r="Q99" s="68">
        <f t="shared" si="0"/>
      </c>
      <c r="R99" s="69">
        <f t="shared" si="122"/>
      </c>
      <c r="S99" s="70">
        <f t="shared" si="194"/>
      </c>
      <c r="T99" s="63">
        <f t="shared" si="12"/>
      </c>
      <c r="U99" s="63">
        <f t="shared" si="8"/>
      </c>
      <c r="V99" s="71">
        <f t="shared" si="20"/>
      </c>
      <c r="W99" s="67">
        <v>4</v>
      </c>
      <c r="X99" s="71">
        <f t="shared" si="16"/>
      </c>
      <c r="Y99" s="71">
        <f t="shared" si="248"/>
      </c>
      <c r="Z99" s="63">
        <f t="shared" si="100"/>
      </c>
      <c r="AA99" s="63">
        <f t="shared" si="2"/>
      </c>
      <c r="AB99" s="63">
        <f t="shared" si="4"/>
      </c>
      <c r="AC99" s="68">
        <f t="shared" si="14"/>
      </c>
      <c r="AD99" s="68">
        <f t="shared" si="10"/>
      </c>
      <c r="AE99" s="68">
        <f t="shared" si="22"/>
      </c>
      <c r="AF99" s="68">
        <f t="shared" si="18"/>
      </c>
      <c r="AG99" s="68">
        <f t="shared" si="102"/>
      </c>
      <c r="AH99" s="68">
        <f t="shared" si="26"/>
      </c>
      <c r="AI99" s="68">
        <f t="shared" si="6"/>
      </c>
      <c r="AJ99" s="67">
        <v>85</v>
      </c>
      <c r="AK99" s="67">
        <v>22340</v>
      </c>
      <c r="AL99" s="72">
        <v>340</v>
      </c>
      <c r="AM99" s="72">
        <v>364</v>
      </c>
      <c r="AN99" s="72">
        <v>84</v>
      </c>
      <c r="AO99" s="73">
        <v>21</v>
      </c>
      <c r="AP99" s="67">
        <v>75</v>
      </c>
      <c r="AQ99" s="73">
        <v>66</v>
      </c>
      <c r="AR99" s="73">
        <v>6</v>
      </c>
      <c r="AS99" s="41">
        <v>7</v>
      </c>
      <c r="AT99" s="72">
        <v>0</v>
      </c>
      <c r="AU99" s="72">
        <v>8</v>
      </c>
      <c r="AV99" s="39"/>
      <c r="AW99" s="40"/>
      <c r="AX99" s="41">
        <f t="shared" si="268"/>
      </c>
    </row>
    <row hidden="true" r="100">
      <c r="A100" s="62"/>
      <c r="B100" s="41" t="s">
        <v>86</v>
      </c>
      <c r="C100" s="41" t="s">
        <v>72</v>
      </c>
      <c r="D100" s="41" t="s">
        <v>79</v>
      </c>
      <c r="E100" s="41" t="s">
        <v>77</v>
      </c>
      <c r="F100" s="63">
        <f t="shared" si="46"/>
      </c>
      <c r="G100" s="81">
        <v>1499.78</v>
      </c>
      <c r="H100" s="81">
        <v>1503.98</v>
      </c>
      <c r="I100" s="64">
        <v>0</v>
      </c>
      <c r="J100" s="65">
        <v>2</v>
      </c>
      <c r="K100" s="65">
        <v>2158.4000000000015</v>
      </c>
      <c r="L100" s="64">
        <v>0</v>
      </c>
      <c r="M100" s="64">
        <v>0</v>
      </c>
      <c r="N100" s="67">
        <v>0</v>
      </c>
      <c r="O100" s="68">
        <f t="shared" si="24"/>
      </c>
      <c r="P100" s="67">
        <v>0</v>
      </c>
      <c r="Q100" s="68">
        <f t="shared" si="0"/>
      </c>
      <c r="R100" s="69">
        <f t="shared" si="122"/>
      </c>
      <c r="S100" s="70">
        <f t="shared" si="194"/>
      </c>
      <c r="T100" s="63">
        <f t="shared" si="12"/>
      </c>
      <c r="U100" s="63">
        <f t="shared" si="8"/>
      </c>
      <c r="V100" s="71">
        <f t="shared" si="20"/>
      </c>
      <c r="W100" s="67">
        <v>1</v>
      </c>
      <c r="X100" s="71">
        <f t="shared" si="16"/>
      </c>
      <c r="Y100" s="71">
        <f t="shared" si="248"/>
      </c>
      <c r="Z100" s="63">
        <f t="shared" si="100"/>
      </c>
      <c r="AA100" s="63">
        <f t="shared" si="2"/>
      </c>
      <c r="AB100" s="63">
        <f t="shared" si="4"/>
      </c>
      <c r="AC100" s="68">
        <f t="shared" si="14"/>
      </c>
      <c r="AD100" s="68">
        <f t="shared" si="10"/>
      </c>
      <c r="AE100" s="68">
        <f t="shared" si="22"/>
      </c>
      <c r="AF100" s="68">
        <f t="shared" si="18"/>
      </c>
      <c r="AG100" s="68">
        <f t="shared" si="102"/>
      </c>
      <c r="AH100" s="68">
        <f t="shared" si="26"/>
      </c>
      <c r="AI100" s="68">
        <f t="shared" si="6"/>
      </c>
      <c r="AJ100" s="67">
        <v>85</v>
      </c>
      <c r="AK100" s="72">
        <v>24495</v>
      </c>
      <c r="AL100" s="72">
        <v>311</v>
      </c>
      <c r="AM100" s="72">
        <v>331</v>
      </c>
      <c r="AN100" s="72">
        <v>88</v>
      </c>
      <c r="AO100" s="73">
        <v>28</v>
      </c>
      <c r="AP100" s="72">
        <v>95</v>
      </c>
      <c r="AQ100" s="41">
        <v>81</v>
      </c>
      <c r="AR100" s="73">
        <v>3</v>
      </c>
      <c r="AS100" s="72">
        <v>2</v>
      </c>
      <c r="AT100" s="72">
        <v>0</v>
      </c>
      <c r="AU100" s="72">
        <v>9</v>
      </c>
      <c r="AV100" s="39"/>
      <c r="AW100" s="40"/>
      <c r="AX100" s="41">
        <f t="shared" si="268"/>
      </c>
    </row>
    <row hidden="true" r="101">
      <c r="A101" s="62"/>
      <c r="B101" s="41" t="s">
        <v>86</v>
      </c>
      <c r="C101" s="41" t="s">
        <v>72</v>
      </c>
      <c r="D101" s="41" t="s">
        <v>79</v>
      </c>
      <c r="E101" s="41" t="s">
        <v>78</v>
      </c>
      <c r="F101" s="63">
        <f t="shared" si="46"/>
      </c>
      <c r="G101" s="81">
        <v>1484.5</v>
      </c>
      <c r="H101" s="81">
        <v>1506.13</v>
      </c>
      <c r="I101" s="64">
        <v>0</v>
      </c>
      <c r="J101" s="65">
        <v>2</v>
      </c>
      <c r="K101" s="65">
        <v>4444.720000000001</v>
      </c>
      <c r="L101" s="64">
        <v>0</v>
      </c>
      <c r="M101" s="64">
        <v>0</v>
      </c>
      <c r="N101" s="67">
        <v>1</v>
      </c>
      <c r="O101" s="68">
        <f t="shared" si="24"/>
      </c>
      <c r="P101" s="67">
        <v>1</v>
      </c>
      <c r="Q101" s="68">
        <f t="shared" si="0"/>
      </c>
      <c r="R101" s="69">
        <f t="shared" si="122"/>
      </c>
      <c r="S101" s="70">
        <f t="shared" si="194"/>
      </c>
      <c r="T101" s="63">
        <f t="shared" si="12"/>
      </c>
      <c r="U101" s="63">
        <f t="shared" si="8"/>
      </c>
      <c r="V101" s="71">
        <f t="shared" si="20"/>
      </c>
      <c r="W101" s="67">
        <v>1</v>
      </c>
      <c r="X101" s="71">
        <f t="shared" si="16"/>
      </c>
      <c r="Y101" s="71">
        <f t="shared" si="248"/>
      </c>
      <c r="Z101" s="63">
        <f t="shared" si="100"/>
      </c>
      <c r="AA101" s="63">
        <f t="shared" si="2"/>
      </c>
      <c r="AB101" s="63">
        <f t="shared" si="4"/>
      </c>
      <c r="AC101" s="68">
        <f t="shared" si="14"/>
      </c>
      <c r="AD101" s="68">
        <f t="shared" si="10"/>
      </c>
      <c r="AE101" s="68">
        <f t="shared" si="22"/>
      </c>
      <c r="AF101" s="68">
        <f t="shared" si="18"/>
      </c>
      <c r="AG101" s="68">
        <f t="shared" si="102"/>
      </c>
      <c r="AH101" s="68">
        <f t="shared" si="26"/>
      </c>
      <c r="AI101" s="68">
        <f t="shared" si="6"/>
      </c>
      <c r="AJ101" s="67">
        <v>86</v>
      </c>
      <c r="AK101" s="72">
        <v>24424</v>
      </c>
      <c r="AL101" s="72">
        <v>246</v>
      </c>
      <c r="AM101" s="72">
        <v>251</v>
      </c>
      <c r="AN101" s="72">
        <v>84</v>
      </c>
      <c r="AO101" s="73">
        <v>24</v>
      </c>
      <c r="AP101" s="72">
        <v>86</v>
      </c>
      <c r="AQ101" s="41">
        <v>65</v>
      </c>
      <c r="AR101" s="73">
        <v>3</v>
      </c>
      <c r="AS101" s="72">
        <v>2</v>
      </c>
      <c r="AT101" s="72">
        <v>0</v>
      </c>
      <c r="AU101" s="72">
        <v>6</v>
      </c>
      <c r="AV101" s="39"/>
      <c r="AW101" s="40"/>
      <c r="AX101" s="41">
        <f t="shared" si="268"/>
      </c>
    </row>
    <row hidden="true" r="102">
      <c r="A102" s="62"/>
      <c r="B102" s="75" t="s">
        <v>66</v>
      </c>
      <c r="C102" s="75"/>
      <c r="D102" s="75"/>
      <c r="E102" s="75"/>
      <c r="F102" s="76">
        <f>SUM(F98:F101)</f>
      </c>
      <c r="G102" s="76">
        <f>SUM(G98:G101)</f>
      </c>
      <c r="H102" s="76">
        <f>SUM(H98:H101)</f>
      </c>
      <c r="I102" s="76">
        <f>SUM(I98:I101)</f>
      </c>
      <c r="J102" s="76">
        <f>SUM(J98:J101)</f>
      </c>
      <c r="K102" s="76">
        <f>SUM(K98:K101)</f>
      </c>
      <c r="L102" s="76">
        <f>SUM(L98:L101)</f>
      </c>
      <c r="M102" s="76">
        <f>SUM(M98:M101)</f>
      </c>
      <c r="N102" s="76">
        <f>SUM(N98:N101)</f>
      </c>
      <c r="O102" s="77">
        <f t="shared" si="24"/>
      </c>
      <c r="P102" s="76">
        <f>SUM(P98:P101)</f>
      </c>
      <c r="Q102" s="77">
        <f t="shared" si="0"/>
      </c>
      <c r="R102" s="78">
        <f>SUM(R98:R101)</f>
      </c>
      <c r="S102" s="76">
        <f>SUM(S98:S101)</f>
      </c>
      <c r="T102" s="76">
        <f t="shared" si="12"/>
      </c>
      <c r="U102" s="76">
        <f t="shared" si="8"/>
      </c>
      <c r="V102" s="79">
        <f t="shared" si="20"/>
      </c>
      <c r="W102" s="76">
        <f>SUM(W98:W101)</f>
      </c>
      <c r="X102" s="79">
        <f t="shared" si="16"/>
      </c>
      <c r="Y102" s="79">
        <f t="shared" si="248"/>
      </c>
      <c r="Z102" s="76">
        <f t="shared" si="100"/>
      </c>
      <c r="AA102" s="76">
        <f t="shared" si="2"/>
      </c>
      <c r="AB102" s="80">
        <f t="shared" si="4"/>
      </c>
      <c r="AC102" s="77">
        <f t="shared" si="14"/>
      </c>
      <c r="AD102" s="77">
        <f t="shared" si="10"/>
      </c>
      <c r="AE102" s="77">
        <f t="shared" si="22"/>
      </c>
      <c r="AF102" s="82">
        <f t="shared" si="18"/>
      </c>
      <c r="AG102" s="77">
        <f t="shared" si="102"/>
      </c>
      <c r="AH102" s="77">
        <f t="shared" si="26"/>
      </c>
      <c r="AI102" s="77">
        <f t="shared" si="6"/>
      </c>
      <c r="AJ102" s="78">
        <f>AVERAGE(AJ98:AJ101)</f>
      </c>
      <c r="AK102" s="76">
        <f>SUM(AK98:AK101)</f>
      </c>
      <c r="AL102" s="76">
        <f>SUM(AL98:AL101)</f>
      </c>
      <c r="AM102" s="76">
        <f>SUM(AM98:AM101)</f>
      </c>
      <c r="AN102" s="76">
        <f>SUM(AN98:AN101)</f>
      </c>
      <c r="AO102" s="76">
        <f>SUM(AO98:AO101)</f>
      </c>
      <c r="AP102" s="76">
        <f>SUM(AP98:AP101)</f>
      </c>
      <c r="AQ102" s="76">
        <f>SUM(AQ98:AQ101)</f>
      </c>
      <c r="AR102" s="76">
        <f>SUM(AR98:AR101)</f>
      </c>
      <c r="AS102" s="76">
        <f>SUM(AS98:AS101)</f>
      </c>
      <c r="AT102" s="76">
        <f>SUM(AT98:AT101)</f>
      </c>
      <c r="AU102" s="76">
        <f>SUM(AU98:AU101)</f>
      </c>
      <c r="AV102" s="39"/>
      <c r="AW102" s="48"/>
      <c r="AX102" s="49">
        <f>SUM(AX98:AX101)</f>
      </c>
    </row>
    <row hidden="true" r="103">
      <c r="A103" s="62"/>
      <c r="B103" s="73" t="s">
        <v>86</v>
      </c>
      <c r="C103" s="41" t="s">
        <v>72</v>
      </c>
      <c r="D103" s="73" t="s">
        <v>85</v>
      </c>
      <c r="E103" s="41" t="s">
        <v>80</v>
      </c>
      <c r="F103" s="63">
        <f t="shared" ref="F103:F105" si="47">G103+H103+I103</f>
      </c>
      <c r="G103" s="81">
        <v>1505.54</v>
      </c>
      <c r="H103" s="81">
        <v>1496</v>
      </c>
      <c r="I103" s="64">
        <v>0</v>
      </c>
      <c r="J103" s="64">
        <v>0</v>
      </c>
      <c r="K103" s="64">
        <v>0</v>
      </c>
      <c r="L103" s="65">
        <v>4</v>
      </c>
      <c r="M103" s="65">
        <v>19305.290000000008</v>
      </c>
      <c r="N103" s="67">
        <v>0</v>
      </c>
      <c r="O103" s="68">
        <f t="shared" si="24"/>
      </c>
      <c r="P103" s="67">
        <v>1</v>
      </c>
      <c r="Q103" s="68">
        <f t="shared" si="0"/>
      </c>
      <c r="R103" s="83">
        <f t="shared" ref="R103:R105" si="123">J103+L103</f>
      </c>
      <c r="S103" s="70">
        <f t="shared" ref="S103:S105" si="195">K103+M103</f>
      </c>
      <c r="T103" s="63">
        <f t="shared" si="12"/>
      </c>
      <c r="U103" s="63">
        <f t="shared" si="8"/>
      </c>
      <c r="V103" s="71">
        <f t="shared" si="20"/>
      </c>
      <c r="W103" s="67">
        <v>3</v>
      </c>
      <c r="X103" s="71">
        <f t="shared" si="16"/>
      </c>
      <c r="Y103" s="71">
        <f t="shared" si="248"/>
      </c>
      <c r="Z103" s="63">
        <f t="shared" si="100"/>
      </c>
      <c r="AA103" s="63">
        <f t="shared" si="2"/>
      </c>
      <c r="AB103" s="63">
        <f t="shared" si="4"/>
      </c>
      <c r="AC103" s="68">
        <f t="shared" si="14"/>
      </c>
      <c r="AD103" s="68">
        <f t="shared" si="10"/>
      </c>
      <c r="AE103" s="68">
        <f t="shared" si="22"/>
      </c>
      <c r="AF103" s="68">
        <f t="shared" si="18"/>
      </c>
      <c r="AG103" s="68">
        <f t="shared" si="102"/>
      </c>
      <c r="AH103" s="68">
        <f t="shared" si="26"/>
      </c>
      <c r="AI103" s="68">
        <f t="shared" si="6"/>
      </c>
      <c r="AJ103" s="67">
        <v>90</v>
      </c>
      <c r="AK103" s="72">
        <v>24382</v>
      </c>
      <c r="AL103" s="72">
        <v>307</v>
      </c>
      <c r="AM103" s="72">
        <v>323</v>
      </c>
      <c r="AN103" s="72">
        <v>109</v>
      </c>
      <c r="AO103" s="73">
        <v>33</v>
      </c>
      <c r="AP103" s="72">
        <v>93</v>
      </c>
      <c r="AQ103" s="41">
        <v>94</v>
      </c>
      <c r="AR103" s="73">
        <v>6</v>
      </c>
      <c r="AS103" s="67">
        <v>4</v>
      </c>
      <c r="AT103" s="67">
        <v>2</v>
      </c>
      <c r="AU103" s="67">
        <v>14</v>
      </c>
      <c r="AV103" s="39"/>
      <c r="AW103" s="40"/>
      <c r="AX103" s="41">
        <f t="shared" ref="AX103:AX105" si="269">COUNT(AU103)</f>
      </c>
    </row>
    <row hidden="true" r="104">
      <c r="A104" s="62"/>
      <c r="B104" s="73" t="s">
        <v>86</v>
      </c>
      <c r="C104" s="41" t="s">
        <v>72</v>
      </c>
      <c r="D104" s="73" t="s">
        <v>85</v>
      </c>
      <c r="E104" s="41" t="s">
        <v>81</v>
      </c>
      <c r="F104" s="63">
        <f t="shared" si="47"/>
      </c>
      <c r="G104" s="81">
        <v>1503.03</v>
      </c>
      <c r="H104" s="81">
        <v>1502.6</v>
      </c>
      <c r="I104" s="64">
        <v>0</v>
      </c>
      <c r="J104" s="64">
        <v>0</v>
      </c>
      <c r="K104" s="64">
        <v>0</v>
      </c>
      <c r="L104" s="65">
        <v>3</v>
      </c>
      <c r="M104" s="65">
        <v>12802.529999999999</v>
      </c>
      <c r="N104" s="67">
        <v>2</v>
      </c>
      <c r="O104" s="68">
        <f t="shared" si="24"/>
      </c>
      <c r="P104" s="67">
        <v>1</v>
      </c>
      <c r="Q104" s="68">
        <f t="shared" si="0"/>
      </c>
      <c r="R104" s="83">
        <f t="shared" si="123"/>
      </c>
      <c r="S104" s="70">
        <f t="shared" si="195"/>
      </c>
      <c r="T104" s="63">
        <f t="shared" si="12"/>
      </c>
      <c r="U104" s="63">
        <f t="shared" si="8"/>
      </c>
      <c r="V104" s="71">
        <f t="shared" si="20"/>
      </c>
      <c r="W104" s="67">
        <v>3</v>
      </c>
      <c r="X104" s="71">
        <f t="shared" si="16"/>
      </c>
      <c r="Y104" s="71">
        <f t="shared" si="248"/>
      </c>
      <c r="Z104" s="63">
        <f t="shared" si="100"/>
      </c>
      <c r="AA104" s="63">
        <f t="shared" si="2"/>
      </c>
      <c r="AB104" s="63">
        <f t="shared" si="4"/>
      </c>
      <c r="AC104" s="68">
        <f t="shared" si="14"/>
      </c>
      <c r="AD104" s="68">
        <f t="shared" si="10"/>
      </c>
      <c r="AE104" s="68">
        <f t="shared" si="22"/>
      </c>
      <c r="AF104" s="68">
        <f t="shared" si="18"/>
      </c>
      <c r="AG104" s="68">
        <f t="shared" si="102"/>
      </c>
      <c r="AH104" s="68">
        <f t="shared" si="26"/>
      </c>
      <c r="AI104" s="68">
        <f t="shared" si="6"/>
      </c>
      <c r="AJ104" s="67">
        <v>94</v>
      </c>
      <c r="AK104" s="72">
        <v>26181</v>
      </c>
      <c r="AL104" s="72">
        <v>290</v>
      </c>
      <c r="AM104" s="72">
        <v>308</v>
      </c>
      <c r="AN104" s="72">
        <v>62</v>
      </c>
      <c r="AO104" s="73">
        <v>11</v>
      </c>
      <c r="AP104" s="72">
        <v>57</v>
      </c>
      <c r="AQ104" s="41">
        <v>74</v>
      </c>
      <c r="AR104" s="73">
        <v>3</v>
      </c>
      <c r="AS104" s="67">
        <v>5</v>
      </c>
      <c r="AT104" s="67">
        <v>0</v>
      </c>
      <c r="AU104" s="67">
        <v>8</v>
      </c>
      <c r="AV104" s="39"/>
      <c r="AW104" s="40"/>
      <c r="AX104" s="41">
        <f t="shared" si="269"/>
      </c>
    </row>
    <row hidden="true" r="105">
      <c r="A105" s="62"/>
      <c r="B105" s="73" t="s">
        <v>86</v>
      </c>
      <c r="C105" s="41" t="s">
        <v>72</v>
      </c>
      <c r="D105" s="73" t="s">
        <v>85</v>
      </c>
      <c r="E105" s="41" t="s">
        <v>82</v>
      </c>
      <c r="F105" s="63">
        <f t="shared" si="47"/>
      </c>
      <c r="G105" s="81">
        <f>1495.47+142.9</f>
      </c>
      <c r="H105" s="81">
        <v>1486.48</v>
      </c>
      <c r="I105" s="64">
        <v>0</v>
      </c>
      <c r="J105" s="65">
        <v>1</v>
      </c>
      <c r="K105" s="65">
        <v>1014.5999999999985</v>
      </c>
      <c r="L105" s="65">
        <v>3</v>
      </c>
      <c r="M105" s="65">
        <v>5329.409999999974</v>
      </c>
      <c r="N105" s="67">
        <v>2</v>
      </c>
      <c r="O105" s="68">
        <f t="shared" si="24"/>
      </c>
      <c r="P105" s="67">
        <v>0</v>
      </c>
      <c r="Q105" s="68">
        <f t="shared" si="0"/>
      </c>
      <c r="R105" s="83">
        <f t="shared" si="123"/>
      </c>
      <c r="S105" s="70">
        <f t="shared" si="195"/>
      </c>
      <c r="T105" s="63">
        <f t="shared" si="12"/>
      </c>
      <c r="U105" s="63">
        <f t="shared" si="8"/>
      </c>
      <c r="V105" s="71">
        <f t="shared" si="20"/>
      </c>
      <c r="W105" s="67">
        <v>2</v>
      </c>
      <c r="X105" s="71">
        <f t="shared" si="16"/>
      </c>
      <c r="Y105" s="71">
        <f t="shared" si="248"/>
      </c>
      <c r="Z105" s="63">
        <f t="shared" si="100"/>
      </c>
      <c r="AA105" s="63">
        <f t="shared" si="2"/>
      </c>
      <c r="AB105" s="63">
        <f t="shared" si="4"/>
      </c>
      <c r="AC105" s="68">
        <f t="shared" si="14"/>
      </c>
      <c r="AD105" s="68">
        <f t="shared" si="10"/>
      </c>
      <c r="AE105" s="68">
        <f t="shared" si="22"/>
      </c>
      <c r="AF105" s="68">
        <f t="shared" si="18"/>
      </c>
      <c r="AG105" s="68">
        <f t="shared" si="102"/>
      </c>
      <c r="AH105" s="68">
        <f t="shared" si="26"/>
      </c>
      <c r="AI105" s="68">
        <f t="shared" si="6"/>
      </c>
      <c r="AJ105" s="67">
        <v>95</v>
      </c>
      <c r="AK105" s="72">
        <v>23903</v>
      </c>
      <c r="AL105" s="72">
        <v>421</v>
      </c>
      <c r="AM105" s="72">
        <v>433</v>
      </c>
      <c r="AN105" s="72">
        <v>80</v>
      </c>
      <c r="AO105" s="73">
        <v>30</v>
      </c>
      <c r="AP105" s="72">
        <v>98</v>
      </c>
      <c r="AQ105" s="41">
        <v>81</v>
      </c>
      <c r="AR105" s="73">
        <v>5</v>
      </c>
      <c r="AS105" s="67">
        <v>5</v>
      </c>
      <c r="AT105" s="67">
        <v>1</v>
      </c>
      <c r="AU105" s="67">
        <v>11</v>
      </c>
      <c r="AV105" s="39"/>
      <c r="AW105" s="40"/>
      <c r="AX105" s="41">
        <f t="shared" si="269"/>
      </c>
    </row>
    <row hidden="true" r="106">
      <c r="A106" s="62"/>
      <c r="B106" s="75" t="s">
        <v>66</v>
      </c>
      <c r="C106" s="75"/>
      <c r="D106" s="75"/>
      <c r="E106" s="75"/>
      <c r="F106" s="76">
        <f>SUM(F103:F105)</f>
      </c>
      <c r="G106" s="76">
        <f>SUM(G103:G105)</f>
      </c>
      <c r="H106" s="76">
        <f>SUM(H103:H105)</f>
      </c>
      <c r="I106" s="76">
        <f>SUM(I103:I105)</f>
      </c>
      <c r="J106" s="76">
        <f>SUM(J103:J105)</f>
      </c>
      <c r="K106" s="76">
        <f>SUM(K103:K105)</f>
      </c>
      <c r="L106" s="76">
        <f>SUM(L103:L105)</f>
      </c>
      <c r="M106" s="76">
        <f>SUM(M103:M105)</f>
      </c>
      <c r="N106" s="76">
        <f>SUM(N103:N105)</f>
      </c>
      <c r="O106" s="77">
        <f t="shared" si="24"/>
      </c>
      <c r="P106" s="76">
        <f>SUM(P103:P105)</f>
      </c>
      <c r="Q106" s="77">
        <f t="shared" si="0"/>
      </c>
      <c r="R106" s="78">
        <f>SUM(R103:R105)</f>
      </c>
      <c r="S106" s="76">
        <f>SUM(S103:S105)</f>
      </c>
      <c r="T106" s="79">
        <f t="shared" si="12"/>
      </c>
      <c r="U106" s="76">
        <f t="shared" si="8"/>
      </c>
      <c r="V106" s="79">
        <f t="shared" si="20"/>
      </c>
      <c r="W106" s="76">
        <f>SUM(W103:W105)</f>
      </c>
      <c r="X106" s="79">
        <f t="shared" si="16"/>
      </c>
      <c r="Y106" s="79">
        <f t="shared" si="248"/>
      </c>
      <c r="Z106" s="76">
        <f t="shared" si="100"/>
      </c>
      <c r="AA106" s="76">
        <f t="shared" si="2"/>
      </c>
      <c r="AB106" s="80">
        <f t="shared" si="4"/>
      </c>
      <c r="AC106" s="77">
        <f t="shared" si="14"/>
      </c>
      <c r="AD106" s="77">
        <f t="shared" si="10"/>
      </c>
      <c r="AE106" s="77">
        <f t="shared" si="22"/>
      </c>
      <c r="AF106" s="82">
        <f t="shared" si="18"/>
      </c>
      <c r="AG106" s="77">
        <f t="shared" si="102"/>
      </c>
      <c r="AH106" s="77">
        <f t="shared" si="26"/>
      </c>
      <c r="AI106" s="77">
        <f t="shared" si="6"/>
      </c>
      <c r="AJ106" s="78">
        <f>AVERAGE(AJ103:AJ105)</f>
      </c>
      <c r="AK106" s="76">
        <f>SUM(AK103:AK105)</f>
      </c>
      <c r="AL106" s="76">
        <f>SUM(AL103:AL105)</f>
      </c>
      <c r="AM106" s="76">
        <f>SUM(AM103:AM105)</f>
      </c>
      <c r="AN106" s="76">
        <f>SUM(AN103:AN105)</f>
      </c>
      <c r="AO106" s="76">
        <f>SUM(AO103:AO105)</f>
      </c>
      <c r="AP106" s="76">
        <f>SUM(AP103:AP105)</f>
      </c>
      <c r="AQ106" s="76">
        <f>SUM(AQ103:AQ105)</f>
      </c>
      <c r="AR106" s="76">
        <f>SUM(AR103:AR105)</f>
      </c>
      <c r="AS106" s="76">
        <f>SUM(AS103:AS105)</f>
      </c>
      <c r="AT106" s="76">
        <f>SUM(AT103:AT105)</f>
      </c>
      <c r="AU106" s="76">
        <f>SUM(AU103:AU105)</f>
      </c>
      <c r="AV106" s="39"/>
      <c r="AW106" s="48"/>
      <c r="AX106" s="49">
        <f>SUM(AX103:AX105)</f>
      </c>
    </row>
    <row hidden="true" r="107">
      <c r="A107" s="62"/>
      <c r="B107" s="84" t="s">
        <v>84</v>
      </c>
      <c r="C107" s="84"/>
      <c r="D107" s="84"/>
      <c r="E107" s="84"/>
      <c r="F107" s="85">
        <f>F92+F97+F102+F106</f>
      </c>
      <c r="G107" s="85">
        <f>G92+G97+G102+G106</f>
      </c>
      <c r="H107" s="85">
        <f>H92+H97+H102+H106</f>
      </c>
      <c r="I107" s="85">
        <f>I92+I97+I102+I106</f>
      </c>
      <c r="J107" s="85">
        <f>J92+J97+J102+J106</f>
      </c>
      <c r="K107" s="85">
        <f>K92+K97+K102+K106</f>
      </c>
      <c r="L107" s="85">
        <f>L92+L97+L102+L106</f>
      </c>
      <c r="M107" s="85">
        <f>M92+M97+M102+M106</f>
      </c>
      <c r="N107" s="85">
        <f>N92+N97+N102+N106</f>
      </c>
      <c r="O107" s="86">
        <f t="shared" si="24"/>
      </c>
      <c r="P107" s="84">
        <f>P92+P97+P102+P106</f>
      </c>
      <c r="Q107" s="86">
        <f t="shared" si="0"/>
      </c>
      <c r="R107" s="87">
        <f>R92+R97+R102+R106</f>
      </c>
      <c r="S107" s="85">
        <f>S92+S97+S102+S106</f>
      </c>
      <c r="T107" s="85">
        <f t="shared" si="12"/>
      </c>
      <c r="U107" s="85">
        <f t="shared" si="8"/>
      </c>
      <c r="V107" s="88">
        <f t="shared" si="20"/>
      </c>
      <c r="W107" s="84">
        <f>W92+W97+W102+W106</f>
      </c>
      <c r="X107" s="88">
        <f t="shared" si="16"/>
      </c>
      <c r="Y107" s="88">
        <f t="shared" si="248"/>
      </c>
      <c r="Z107" s="85">
        <f t="shared" si="100"/>
      </c>
      <c r="AA107" s="85">
        <f t="shared" si="2"/>
      </c>
      <c r="AB107" s="89">
        <f t="shared" si="4"/>
      </c>
      <c r="AC107" s="86">
        <f t="shared" si="14"/>
      </c>
      <c r="AD107" s="86">
        <f t="shared" si="10"/>
      </c>
      <c r="AE107" s="86">
        <f t="shared" si="22"/>
      </c>
      <c r="AF107" s="90">
        <f t="shared" si="18"/>
      </c>
      <c r="AG107" s="86">
        <f t="shared" si="102"/>
      </c>
      <c r="AH107" s="86">
        <f t="shared" si="26"/>
      </c>
      <c r="AI107" s="86">
        <f t="shared" si="6"/>
      </c>
      <c r="AJ107" s="87">
        <f>(AJ92+AJ97+AJ102+AJ106)/4</f>
      </c>
      <c r="AK107" s="84">
        <f>AK92+AK97+AK102+AK106</f>
      </c>
      <c r="AL107" s="84">
        <f>AL92+AL97+AL102+AL106</f>
      </c>
      <c r="AM107" s="84">
        <f>AM92+AM97+AM102+AM106</f>
      </c>
      <c r="AN107" s="84">
        <f>AN92+AN97+AN102+AN106</f>
      </c>
      <c r="AO107" s="84">
        <f>AO92+AO97+AO102+AO106</f>
      </c>
      <c r="AP107" s="84">
        <f>AP92+AP97+AP102+AP106</f>
      </c>
      <c r="AQ107" s="84">
        <f>AQ92+AQ97+AQ102+AQ106</f>
      </c>
      <c r="AR107" s="84">
        <f>AR92+AR97+AR102+AR106</f>
      </c>
      <c r="AS107" s="84">
        <f>AS92+AS97+AS102+AS106</f>
      </c>
      <c r="AT107" s="84">
        <f>AT92+AT97+AT102+AT106</f>
      </c>
      <c r="AU107" s="84">
        <f>AU92+AU97+AU102+AU106</f>
      </c>
      <c r="AV107" s="39"/>
      <c r="AW107" s="84">
        <f>AW92+AW97+AW102</f>
      </c>
      <c r="AX107" s="84">
        <f>AX92+AX97+AX102+AX106</f>
      </c>
    </row>
    <row hidden="true" r="108">
      <c r="A108" s="62">
        <v>46301</v>
      </c>
      <c r="B108" s="73" t="s">
        <v>71</v>
      </c>
      <c r="C108" s="41" t="s">
        <v>60</v>
      </c>
      <c r="D108" s="73" t="s">
        <v>61</v>
      </c>
      <c r="E108" s="28" t="s">
        <v>62</v>
      </c>
      <c r="F108" s="63">
        <f t="shared" ref="F108:F111" si="48">G108+H108+I108</f>
      </c>
      <c r="G108" s="81">
        <v>857.1</v>
      </c>
      <c r="H108" s="81">
        <v>2000</v>
      </c>
      <c r="I108" s="64">
        <v>0</v>
      </c>
      <c r="J108" s="65">
        <v>0</v>
      </c>
      <c r="K108" s="66">
        <v>0</v>
      </c>
      <c r="L108" s="65">
        <v>2</v>
      </c>
      <c r="M108" s="65">
        <v>4300.65</v>
      </c>
      <c r="N108" s="67">
        <v>0</v>
      </c>
      <c r="O108" s="68">
        <f t="shared" si="24"/>
      </c>
      <c r="P108" s="67">
        <v>0</v>
      </c>
      <c r="Q108" s="68">
        <f t="shared" si="0"/>
      </c>
      <c r="R108" s="69">
        <f t="shared" ref="R108:R111" si="124">J108+L108</f>
      </c>
      <c r="S108" s="70">
        <f t="shared" ref="S108:S111" si="196">K108+M108</f>
      </c>
      <c r="T108" s="63">
        <f t="shared" si="12"/>
      </c>
      <c r="U108" s="63">
        <f t="shared" si="8"/>
      </c>
      <c r="V108" s="71">
        <f t="shared" si="20"/>
      </c>
      <c r="W108" s="67">
        <v>2</v>
      </c>
      <c r="X108" s="71">
        <f t="shared" si="16"/>
      </c>
      <c r="Y108" s="71">
        <f t="shared" si="248"/>
      </c>
      <c r="Z108" s="63">
        <f t="shared" si="100"/>
      </c>
      <c r="AA108" s="63">
        <f t="shared" si="2"/>
      </c>
      <c r="AB108" s="63">
        <f t="shared" si="4"/>
      </c>
      <c r="AC108" s="68">
        <f t="shared" si="14"/>
      </c>
      <c r="AD108" s="68">
        <f t="shared" si="10"/>
      </c>
      <c r="AE108" s="68">
        <f t="shared" si="22"/>
      </c>
      <c r="AF108" s="68">
        <f t="shared" si="18"/>
      </c>
      <c r="AG108" s="68">
        <f t="shared" si="102"/>
      </c>
      <c r="AH108" s="68">
        <f t="shared" si="26"/>
      </c>
      <c r="AI108" s="68">
        <f t="shared" si="6"/>
      </c>
      <c r="AJ108" s="67">
        <v>74</v>
      </c>
      <c r="AK108" s="72">
        <v>12381</v>
      </c>
      <c r="AL108" s="72">
        <v>294</v>
      </c>
      <c r="AM108" s="72">
        <v>349</v>
      </c>
      <c r="AN108" s="72">
        <v>54</v>
      </c>
      <c r="AO108" s="73">
        <v>23</v>
      </c>
      <c r="AP108" s="41">
        <v>46</v>
      </c>
      <c r="AQ108" s="41">
        <v>65</v>
      </c>
      <c r="AR108" s="73">
        <v>2</v>
      </c>
      <c r="AS108" s="41">
        <v>5</v>
      </c>
      <c r="AT108" s="72">
        <v>3</v>
      </c>
      <c r="AU108" s="72">
        <v>7</v>
      </c>
      <c r="AV108" s="39"/>
      <c r="AW108" s="40"/>
      <c r="AX108" s="41">
        <f t="shared" ref="AX108:AX111" si="270">COUNT(AU108)</f>
      </c>
    </row>
    <row hidden="true" r="109">
      <c r="A109" s="62"/>
      <c r="B109" s="73" t="s">
        <v>71</v>
      </c>
      <c r="C109" s="41" t="s">
        <v>60</v>
      </c>
      <c r="D109" s="73" t="s">
        <v>61</v>
      </c>
      <c r="E109" s="28" t="s">
        <v>63</v>
      </c>
      <c r="F109" s="63">
        <f t="shared" si="48"/>
      </c>
      <c r="G109" s="81">
        <v>1500</v>
      </c>
      <c r="H109" s="81">
        <v>1500</v>
      </c>
      <c r="I109" s="64">
        <v>0</v>
      </c>
      <c r="J109" s="65">
        <v>0</v>
      </c>
      <c r="K109" s="65">
        <v>0</v>
      </c>
      <c r="L109" s="65">
        <v>1</v>
      </c>
      <c r="M109" s="65">
        <v>4791.120000000001</v>
      </c>
      <c r="N109" s="67">
        <v>0</v>
      </c>
      <c r="O109" s="68">
        <f t="shared" si="24"/>
      </c>
      <c r="P109" s="67">
        <v>1</v>
      </c>
      <c r="Q109" s="68">
        <f t="shared" si="0"/>
      </c>
      <c r="R109" s="69">
        <f t="shared" si="124"/>
      </c>
      <c r="S109" s="70">
        <f t="shared" si="196"/>
      </c>
      <c r="T109" s="63">
        <f t="shared" si="12"/>
      </c>
      <c r="U109" s="63">
        <f t="shared" si="8"/>
      </c>
      <c r="V109" s="71">
        <f t="shared" si="20"/>
      </c>
      <c r="W109" s="67">
        <v>0</v>
      </c>
      <c r="X109" s="71">
        <f t="shared" si="16"/>
      </c>
      <c r="Y109" s="71">
        <f t="shared" si="248"/>
      </c>
      <c r="Z109" s="63">
        <f t="shared" si="100"/>
      </c>
      <c r="AA109" s="63">
        <f t="shared" si="2"/>
      </c>
      <c r="AB109" s="63">
        <f t="shared" si="4"/>
      </c>
      <c r="AC109" s="68">
        <f t="shared" si="14"/>
      </c>
      <c r="AD109" s="68">
        <f t="shared" si="10"/>
      </c>
      <c r="AE109" s="68">
        <f t="shared" si="22"/>
      </c>
      <c r="AF109" s="68">
        <f t="shared" si="18"/>
      </c>
      <c r="AG109" s="68">
        <f t="shared" si="102"/>
      </c>
      <c r="AH109" s="68">
        <f t="shared" si="26"/>
      </c>
      <c r="AI109" s="68">
        <f t="shared" si="6"/>
      </c>
      <c r="AJ109" s="67">
        <v>91</v>
      </c>
      <c r="AK109" s="72">
        <v>17966</v>
      </c>
      <c r="AL109" s="72">
        <v>218</v>
      </c>
      <c r="AM109" s="72">
        <v>230</v>
      </c>
      <c r="AN109" s="72">
        <v>88</v>
      </c>
      <c r="AO109" s="73">
        <v>24</v>
      </c>
      <c r="AP109" s="72">
        <v>62</v>
      </c>
      <c r="AQ109" s="41">
        <v>59</v>
      </c>
      <c r="AR109" s="73">
        <v>2</v>
      </c>
      <c r="AS109" s="67">
        <v>6</v>
      </c>
      <c r="AT109" s="67">
        <v>0</v>
      </c>
      <c r="AU109" s="67">
        <v>11</v>
      </c>
      <c r="AV109" s="39"/>
      <c r="AW109" s="40"/>
      <c r="AX109" s="41">
        <f t="shared" si="270"/>
      </c>
    </row>
    <row hidden="true" r="110">
      <c r="A110" s="62"/>
      <c r="B110" s="73" t="s">
        <v>71</v>
      </c>
      <c r="C110" s="41" t="s">
        <v>60</v>
      </c>
      <c r="D110" s="73" t="s">
        <v>61</v>
      </c>
      <c r="E110" s="28" t="s">
        <v>64</v>
      </c>
      <c r="F110" s="63">
        <f t="shared" si="48"/>
      </c>
      <c r="G110" s="81">
        <v>1493.37</v>
      </c>
      <c r="H110" s="81">
        <v>1490.26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7">
        <v>0</v>
      </c>
      <c r="O110" s="68">
        <f t="shared" si="24"/>
      </c>
      <c r="P110" s="67">
        <v>0</v>
      </c>
      <c r="Q110" s="68">
        <f t="shared" si="0"/>
      </c>
      <c r="R110" s="69">
        <f t="shared" si="124"/>
      </c>
      <c r="S110" s="70">
        <f t="shared" si="196"/>
      </c>
      <c r="T110" s="63">
        <f t="shared" si="12"/>
      </c>
      <c r="U110" s="63">
        <f t="shared" si="8"/>
      </c>
      <c r="V110" s="71">
        <f t="shared" si="20"/>
      </c>
      <c r="W110" s="67">
        <v>0</v>
      </c>
      <c r="X110" s="71">
        <f t="shared" si="16"/>
      </c>
      <c r="Y110" s="71">
        <f t="shared" si="248"/>
      </c>
      <c r="Z110" s="63">
        <f t="shared" si="100"/>
      </c>
      <c r="AA110" s="63">
        <f t="shared" si="2"/>
      </c>
      <c r="AB110" s="63">
        <f t="shared" si="4"/>
      </c>
      <c r="AC110" s="68">
        <f t="shared" si="14"/>
      </c>
      <c r="AD110" s="68">
        <f t="shared" si="10"/>
      </c>
      <c r="AE110" s="68">
        <f t="shared" si="22"/>
      </c>
      <c r="AF110" s="68">
        <f t="shared" si="18"/>
      </c>
      <c r="AG110" s="68">
        <f t="shared" si="102"/>
      </c>
      <c r="AH110" s="68">
        <f t="shared" si="26"/>
      </c>
      <c r="AI110" s="68">
        <f t="shared" si="6"/>
      </c>
      <c r="AJ110" s="67">
        <v>89</v>
      </c>
      <c r="AK110" s="72">
        <v>19681</v>
      </c>
      <c r="AL110" s="72">
        <v>313</v>
      </c>
      <c r="AM110" s="72">
        <v>328</v>
      </c>
      <c r="AN110" s="72">
        <v>92</v>
      </c>
      <c r="AO110" s="73">
        <v>26</v>
      </c>
      <c r="AP110" s="72">
        <v>67</v>
      </c>
      <c r="AQ110" s="41">
        <v>77</v>
      </c>
      <c r="AR110" s="73">
        <v>0</v>
      </c>
      <c r="AS110" s="67">
        <v>11</v>
      </c>
      <c r="AT110" s="67">
        <v>4</v>
      </c>
      <c r="AU110" s="67">
        <v>11</v>
      </c>
      <c r="AV110" s="39"/>
      <c r="AW110" s="40"/>
      <c r="AX110" s="41">
        <f t="shared" si="270"/>
      </c>
    </row>
    <row hidden="true" r="111">
      <c r="A111" s="62"/>
      <c r="B111" s="73" t="s">
        <v>71</v>
      </c>
      <c r="C111" s="41" t="s">
        <v>60</v>
      </c>
      <c r="D111" s="73" t="s">
        <v>61</v>
      </c>
      <c r="E111" s="41" t="s">
        <v>65</v>
      </c>
      <c r="F111" s="63">
        <f t="shared" si="48"/>
      </c>
      <c r="G111" s="81">
        <v>1989.64</v>
      </c>
      <c r="H111" s="81">
        <v>991.02</v>
      </c>
      <c r="I111" s="64">
        <v>0</v>
      </c>
      <c r="J111" s="65">
        <v>1</v>
      </c>
      <c r="K111" s="65">
        <v>1553.25</v>
      </c>
      <c r="L111" s="65">
        <v>0</v>
      </c>
      <c r="M111" s="65">
        <v>0</v>
      </c>
      <c r="N111" s="67">
        <v>0</v>
      </c>
      <c r="O111" s="68">
        <f t="shared" si="24"/>
      </c>
      <c r="P111" s="67">
        <v>0</v>
      </c>
      <c r="Q111" s="68">
        <f t="shared" si="0"/>
      </c>
      <c r="R111" s="69">
        <f t="shared" si="124"/>
      </c>
      <c r="S111" s="70">
        <f t="shared" si="196"/>
      </c>
      <c r="T111" s="63">
        <f t="shared" si="12"/>
      </c>
      <c r="U111" s="63">
        <f t="shared" si="8"/>
      </c>
      <c r="V111" s="71">
        <f t="shared" si="20"/>
      </c>
      <c r="W111" s="67">
        <v>1</v>
      </c>
      <c r="X111" s="71">
        <f t="shared" si="16"/>
      </c>
      <c r="Y111" s="71">
        <f t="shared" si="248"/>
      </c>
      <c r="Z111" s="63">
        <f t="shared" si="100"/>
      </c>
      <c r="AA111" s="63">
        <f t="shared" si="2"/>
      </c>
      <c r="AB111" s="63">
        <f t="shared" si="4"/>
      </c>
      <c r="AC111" s="68">
        <f t="shared" si="14"/>
      </c>
      <c r="AD111" s="68">
        <f t="shared" si="10"/>
      </c>
      <c r="AE111" s="68">
        <f t="shared" si="22"/>
      </c>
      <c r="AF111" s="68">
        <f t="shared" si="18"/>
      </c>
      <c r="AG111" s="68">
        <f t="shared" si="102"/>
      </c>
      <c r="AH111" s="68">
        <f t="shared" si="26"/>
      </c>
      <c r="AI111" s="68">
        <f t="shared" si="6"/>
      </c>
      <c r="AJ111" s="67">
        <v>45</v>
      </c>
      <c r="AK111" s="72">
        <v>18218</v>
      </c>
      <c r="AL111" s="72">
        <v>381</v>
      </c>
      <c r="AM111" s="72">
        <v>405</v>
      </c>
      <c r="AN111" s="72">
        <v>64</v>
      </c>
      <c r="AO111" s="73">
        <v>21</v>
      </c>
      <c r="AP111" s="72">
        <v>47</v>
      </c>
      <c r="AQ111" s="41">
        <v>55</v>
      </c>
      <c r="AR111" s="73">
        <v>2</v>
      </c>
      <c r="AS111" s="72">
        <v>1</v>
      </c>
      <c r="AT111" s="72">
        <v>1</v>
      </c>
      <c r="AU111" s="72">
        <v>8</v>
      </c>
      <c r="AV111" s="39"/>
      <c r="AW111" s="40"/>
      <c r="AX111" s="41">
        <f t="shared" si="270"/>
      </c>
    </row>
    <row hidden="true" r="112">
      <c r="A112" s="62"/>
      <c r="B112" s="75" t="s">
        <v>66</v>
      </c>
      <c r="C112" s="75"/>
      <c r="D112" s="75"/>
      <c r="E112" s="75"/>
      <c r="F112" s="76">
        <f>SUM(F108:F111)</f>
      </c>
      <c r="G112" s="76">
        <f>SUM(G108:G111)</f>
      </c>
      <c r="H112" s="76">
        <f>SUM(H108:H111)</f>
      </c>
      <c r="I112" s="76">
        <f>SUM(I108:I111)</f>
      </c>
      <c r="J112" s="76">
        <f>SUM(J108:J111)</f>
      </c>
      <c r="K112" s="76">
        <f>SUM(K108:K111)</f>
      </c>
      <c r="L112" s="76">
        <f>SUM(L108:L111)</f>
      </c>
      <c r="M112" s="76">
        <f>SUM(M108:M111)</f>
      </c>
      <c r="N112" s="76">
        <f>SUM(N108:N111)</f>
      </c>
      <c r="O112" s="77">
        <f t="shared" si="24"/>
      </c>
      <c r="P112" s="76">
        <f>SUM(P108:P111)</f>
      </c>
      <c r="Q112" s="77">
        <f t="shared" si="0"/>
      </c>
      <c r="R112" s="78">
        <f>SUM(R108:R111)</f>
      </c>
      <c r="S112" s="76">
        <f>SUM(S108:S111)</f>
      </c>
      <c r="T112" s="76">
        <f t="shared" si="12"/>
      </c>
      <c r="U112" s="76">
        <f t="shared" si="8"/>
      </c>
      <c r="V112" s="76">
        <f t="shared" si="20"/>
      </c>
      <c r="W112" s="76">
        <f>SUM(W108:W111)</f>
      </c>
      <c r="X112" s="79">
        <f t="shared" si="16"/>
      </c>
      <c r="Y112" s="79">
        <f t="shared" si="248"/>
      </c>
      <c r="Z112" s="76">
        <f t="shared" si="100"/>
      </c>
      <c r="AA112" s="76">
        <f t="shared" si="2"/>
      </c>
      <c r="AB112" s="80">
        <f t="shared" si="4"/>
      </c>
      <c r="AC112" s="77">
        <f t="shared" si="14"/>
      </c>
      <c r="AD112" s="77">
        <f t="shared" si="10"/>
      </c>
      <c r="AE112" s="77">
        <f t="shared" si="22"/>
      </c>
      <c r="AF112" s="77">
        <f t="shared" si="18"/>
      </c>
      <c r="AG112" s="77">
        <f t="shared" si="102"/>
      </c>
      <c r="AH112" s="77">
        <f t="shared" si="26"/>
      </c>
      <c r="AI112" s="77">
        <f t="shared" si="6"/>
      </c>
      <c r="AJ112" s="78">
        <f>AVERAGE(AJ108:AJ111)</f>
      </c>
      <c r="AK112" s="76">
        <f>SUM(AK108:AK111)</f>
      </c>
      <c r="AL112" s="76">
        <f>SUM(AL108:AL111)</f>
      </c>
      <c r="AM112" s="76">
        <f>SUM(AM108:AM111)</f>
      </c>
      <c r="AN112" s="76">
        <f>SUM(AN108:AN111)</f>
      </c>
      <c r="AO112" s="76">
        <f>SUM(AO108:AO111)</f>
      </c>
      <c r="AP112" s="76">
        <f>SUM(AP108:AP111)</f>
      </c>
      <c r="AQ112" s="76">
        <f>SUM(AQ108:AQ111)</f>
      </c>
      <c r="AR112" s="76">
        <f>SUM(AR108:AR111)</f>
      </c>
      <c r="AS112" s="76">
        <f>SUM(AS108:AS111)</f>
      </c>
      <c r="AT112" s="76">
        <f>SUM(AT108:AT111)</f>
      </c>
      <c r="AU112" s="76">
        <f>SUM(AU108:AU111)</f>
      </c>
      <c r="AV112" s="39"/>
      <c r="AW112" s="48"/>
      <c r="AX112" s="49">
        <f>SUM(AX108:AX111)</f>
      </c>
    </row>
    <row hidden="true" r="113">
      <c r="A113" s="62"/>
      <c r="B113" s="73" t="s">
        <v>71</v>
      </c>
      <c r="C113" s="41" t="s">
        <v>60</v>
      </c>
      <c r="D113" s="41" t="s">
        <v>74</v>
      </c>
      <c r="E113" s="41" t="s">
        <v>68</v>
      </c>
      <c r="F113" s="63">
        <f t="shared" ref="F113:F116" si="49">G113+H113+I113</f>
      </c>
      <c r="G113" s="81">
        <v>1202.58</v>
      </c>
      <c r="H113" s="81">
        <v>1086.64</v>
      </c>
      <c r="I113" s="64">
        <v>0</v>
      </c>
      <c r="J113" s="65">
        <v>0</v>
      </c>
      <c r="K113" s="65">
        <v>0</v>
      </c>
      <c r="L113" s="65">
        <v>1</v>
      </c>
      <c r="M113" s="65">
        <v>2033.9500000000007</v>
      </c>
      <c r="N113" s="67">
        <v>0</v>
      </c>
      <c r="O113" s="68">
        <f t="shared" si="24"/>
      </c>
      <c r="P113" s="67">
        <v>0</v>
      </c>
      <c r="Q113" s="68">
        <f t="shared" si="0"/>
      </c>
      <c r="R113" s="69">
        <f t="shared" ref="R113:R116" si="125">J113+L113</f>
      </c>
      <c r="S113" s="70">
        <f t="shared" ref="S113:S116" si="197">K113+M113</f>
      </c>
      <c r="T113" s="63">
        <f t="shared" si="12"/>
      </c>
      <c r="U113" s="63">
        <f t="shared" si="8"/>
      </c>
      <c r="V113" s="71">
        <f t="shared" si="20"/>
      </c>
      <c r="W113" s="67">
        <v>1</v>
      </c>
      <c r="X113" s="71">
        <f t="shared" si="16"/>
      </c>
      <c r="Y113" s="71">
        <f t="shared" si="248"/>
      </c>
      <c r="Z113" s="63">
        <f t="shared" si="100"/>
      </c>
      <c r="AA113" s="63">
        <f t="shared" si="2"/>
      </c>
      <c r="AB113" s="63">
        <f t="shared" si="4"/>
      </c>
      <c r="AC113" s="68">
        <f t="shared" si="14"/>
      </c>
      <c r="AD113" s="68">
        <f t="shared" si="10"/>
      </c>
      <c r="AE113" s="68">
        <f t="shared" si="22"/>
      </c>
      <c r="AF113" s="68">
        <f t="shared" si="18"/>
      </c>
      <c r="AG113" s="68">
        <f t="shared" si="102"/>
      </c>
      <c r="AH113" s="68">
        <f t="shared" si="26"/>
      </c>
      <c r="AI113" s="68">
        <f t="shared" si="6"/>
      </c>
      <c r="AJ113" s="67">
        <v>52</v>
      </c>
      <c r="AK113" s="72">
        <v>12201</v>
      </c>
      <c r="AL113" s="72">
        <v>250</v>
      </c>
      <c r="AM113" s="72">
        <v>253</v>
      </c>
      <c r="AN113" s="72">
        <v>58</v>
      </c>
      <c r="AO113" s="73">
        <v>13</v>
      </c>
      <c r="AP113" s="72">
        <v>38</v>
      </c>
      <c r="AQ113" s="41">
        <v>51</v>
      </c>
      <c r="AR113" s="73">
        <v>1</v>
      </c>
      <c r="AS113" s="73">
        <v>5</v>
      </c>
      <c r="AT113" s="67">
        <v>0</v>
      </c>
      <c r="AU113" s="67">
        <v>2</v>
      </c>
      <c r="AV113" s="39"/>
      <c r="AW113" s="40"/>
      <c r="AX113" s="41">
        <f t="shared" ref="AX113:AX116" si="271">COUNT(AU113)</f>
      </c>
    </row>
    <row hidden="true" r="114">
      <c r="A114" s="62"/>
      <c r="B114" s="73" t="s">
        <v>71</v>
      </c>
      <c r="C114" s="41" t="s">
        <v>60</v>
      </c>
      <c r="D114" s="41" t="s">
        <v>74</v>
      </c>
      <c r="E114" s="41" t="s">
        <v>69</v>
      </c>
      <c r="F114" s="63">
        <f t="shared" si="49"/>
      </c>
      <c r="G114" s="81">
        <v>1318.35</v>
      </c>
      <c r="H114" s="81">
        <v>1910.07</v>
      </c>
      <c r="I114" s="64">
        <v>0</v>
      </c>
      <c r="J114" s="65">
        <v>0</v>
      </c>
      <c r="K114" s="65">
        <v>0</v>
      </c>
      <c r="L114" s="65">
        <v>1</v>
      </c>
      <c r="M114" s="65">
        <v>2033.949999999999</v>
      </c>
      <c r="N114" s="67">
        <v>0</v>
      </c>
      <c r="O114" s="68">
        <f t="shared" si="24"/>
      </c>
      <c r="P114" s="67">
        <v>0</v>
      </c>
      <c r="Q114" s="68">
        <f t="shared" si="0"/>
      </c>
      <c r="R114" s="69">
        <f t="shared" si="125"/>
      </c>
      <c r="S114" s="70">
        <f t="shared" si="197"/>
      </c>
      <c r="T114" s="63">
        <f t="shared" si="12"/>
      </c>
      <c r="U114" s="63">
        <f t="shared" si="8"/>
      </c>
      <c r="V114" s="71">
        <f t="shared" si="20"/>
      </c>
      <c r="W114" s="67">
        <v>1</v>
      </c>
      <c r="X114" s="71">
        <f t="shared" si="16"/>
      </c>
      <c r="Y114" s="71">
        <f t="shared" si="248"/>
      </c>
      <c r="Z114" s="63">
        <f t="shared" si="100"/>
      </c>
      <c r="AA114" s="63">
        <f t="shared" si="2"/>
      </c>
      <c r="AB114" s="63">
        <f t="shared" si="4"/>
      </c>
      <c r="AC114" s="68">
        <f t="shared" si="14"/>
      </c>
      <c r="AD114" s="68">
        <f t="shared" si="10"/>
      </c>
      <c r="AE114" s="68">
        <f t="shared" si="22"/>
      </c>
      <c r="AF114" s="68">
        <f t="shared" si="18"/>
      </c>
      <c r="AG114" s="68">
        <f t="shared" si="102"/>
      </c>
      <c r="AH114" s="68">
        <f t="shared" si="26"/>
      </c>
      <c r="AI114" s="68">
        <f t="shared" si="6"/>
      </c>
      <c r="AJ114" s="67">
        <v>64</v>
      </c>
      <c r="AK114" s="72">
        <v>16062</v>
      </c>
      <c r="AL114" s="72">
        <v>458</v>
      </c>
      <c r="AM114" s="72">
        <v>556</v>
      </c>
      <c r="AN114" s="72">
        <v>89</v>
      </c>
      <c r="AO114" s="73">
        <v>28</v>
      </c>
      <c r="AP114" s="72">
        <v>76</v>
      </c>
      <c r="AQ114" s="41">
        <v>114</v>
      </c>
      <c r="AR114" s="73">
        <v>1</v>
      </c>
      <c r="AS114" s="73">
        <v>8</v>
      </c>
      <c r="AT114" s="67">
        <v>3</v>
      </c>
      <c r="AU114" s="67">
        <v>6</v>
      </c>
      <c r="AV114" s="39"/>
      <c r="AW114" s="40"/>
      <c r="AX114" s="41">
        <f t="shared" si="271"/>
      </c>
    </row>
    <row hidden="true" r="115">
      <c r="A115" s="62"/>
      <c r="B115" s="73" t="s">
        <v>71</v>
      </c>
      <c r="C115" s="41" t="s">
        <v>60</v>
      </c>
      <c r="D115" s="41" t="s">
        <v>74</v>
      </c>
      <c r="E115" s="41" t="s">
        <v>70</v>
      </c>
      <c r="F115" s="63">
        <f t="shared" si="49"/>
      </c>
      <c r="G115" s="81">
        <v>1183.74</v>
      </c>
      <c r="H115" s="81">
        <v>1235.29</v>
      </c>
      <c r="I115" s="64">
        <v>0</v>
      </c>
      <c r="J115" s="65">
        <v>0</v>
      </c>
      <c r="K115" s="65">
        <v>0</v>
      </c>
      <c r="L115" s="65">
        <v>3</v>
      </c>
      <c r="M115" s="65">
        <v>4501.859999999999</v>
      </c>
      <c r="N115" s="67">
        <v>1</v>
      </c>
      <c r="O115" s="68">
        <f t="shared" si="24"/>
      </c>
      <c r="P115" s="67">
        <v>0</v>
      </c>
      <c r="Q115" s="68">
        <f t="shared" si="0"/>
      </c>
      <c r="R115" s="69">
        <f t="shared" si="125"/>
      </c>
      <c r="S115" s="70">
        <f t="shared" si="197"/>
      </c>
      <c r="T115" s="63">
        <f t="shared" si="12"/>
      </c>
      <c r="U115" s="63">
        <f t="shared" si="8"/>
      </c>
      <c r="V115" s="71">
        <f t="shared" si="20"/>
      </c>
      <c r="W115" s="67">
        <v>3</v>
      </c>
      <c r="X115" s="71">
        <f t="shared" si="16"/>
      </c>
      <c r="Y115" s="71">
        <f t="shared" si="248"/>
      </c>
      <c r="Z115" s="63">
        <f t="shared" si="100"/>
      </c>
      <c r="AA115" s="63">
        <f t="shared" si="2"/>
      </c>
      <c r="AB115" s="63">
        <f t="shared" si="4"/>
      </c>
      <c r="AC115" s="68">
        <f t="shared" si="14"/>
      </c>
      <c r="AD115" s="68">
        <f t="shared" si="10"/>
      </c>
      <c r="AE115" s="68">
        <f t="shared" si="22"/>
      </c>
      <c r="AF115" s="68">
        <f t="shared" si="18"/>
      </c>
      <c r="AG115" s="68">
        <f t="shared" si="102"/>
      </c>
      <c r="AH115" s="68">
        <f t="shared" si="26"/>
      </c>
      <c r="AI115" s="68">
        <f t="shared" si="6"/>
      </c>
      <c r="AJ115" s="67">
        <v>67</v>
      </c>
      <c r="AK115" s="72">
        <v>11711</v>
      </c>
      <c r="AL115" s="72">
        <v>289</v>
      </c>
      <c r="AM115" s="72">
        <v>383</v>
      </c>
      <c r="AN115" s="72">
        <v>71</v>
      </c>
      <c r="AO115" s="73">
        <v>29</v>
      </c>
      <c r="AP115" s="72">
        <v>67</v>
      </c>
      <c r="AQ115" s="73">
        <v>67</v>
      </c>
      <c r="AR115" s="73">
        <v>4</v>
      </c>
      <c r="AS115" s="72">
        <v>8</v>
      </c>
      <c r="AT115" s="72">
        <v>0</v>
      </c>
      <c r="AU115" s="72">
        <v>4</v>
      </c>
      <c r="AV115" s="39"/>
      <c r="AW115" s="40"/>
      <c r="AX115" s="41">
        <f t="shared" si="271"/>
      </c>
    </row>
    <row hidden="true" r="116">
      <c r="A116" s="62"/>
      <c r="B116" s="73" t="s">
        <v>87</v>
      </c>
      <c r="C116" s="41" t="s">
        <v>72</v>
      </c>
      <c r="D116" s="41" t="s">
        <v>74</v>
      </c>
      <c r="E116" s="41" t="s">
        <v>73</v>
      </c>
      <c r="F116" s="63">
        <f t="shared" si="49"/>
      </c>
      <c r="G116" s="81">
        <v>1639.05</v>
      </c>
      <c r="H116" s="81">
        <v>1761.04</v>
      </c>
      <c r="I116" s="64">
        <v>0</v>
      </c>
      <c r="J116" s="65">
        <v>0</v>
      </c>
      <c r="K116" s="65">
        <v>0</v>
      </c>
      <c r="L116" s="65">
        <v>4</v>
      </c>
      <c r="M116" s="65">
        <v>5336.520000000004</v>
      </c>
      <c r="N116" s="67">
        <v>2</v>
      </c>
      <c r="O116" s="68">
        <f t="shared" si="24"/>
      </c>
      <c r="P116" s="67">
        <v>0</v>
      </c>
      <c r="Q116" s="68">
        <f t="shared" si="0"/>
      </c>
      <c r="R116" s="69">
        <f t="shared" si="125"/>
      </c>
      <c r="S116" s="70">
        <f t="shared" si="197"/>
      </c>
      <c r="T116" s="63">
        <f t="shared" si="12"/>
      </c>
      <c r="U116" s="63">
        <f t="shared" si="8"/>
      </c>
      <c r="V116" s="71">
        <f t="shared" si="20"/>
      </c>
      <c r="W116" s="67">
        <v>2</v>
      </c>
      <c r="X116" s="71">
        <f t="shared" si="16"/>
      </c>
      <c r="Y116" s="71">
        <f t="shared" si="248"/>
      </c>
      <c r="Z116" s="63">
        <f t="shared" si="100"/>
      </c>
      <c r="AA116" s="63">
        <f t="shared" si="2"/>
      </c>
      <c r="AB116" s="63">
        <f t="shared" si="4"/>
      </c>
      <c r="AC116" s="68">
        <f t="shared" si="14"/>
      </c>
      <c r="AD116" s="68">
        <f t="shared" si="10"/>
      </c>
      <c r="AE116" s="68">
        <f t="shared" si="22"/>
      </c>
      <c r="AF116" s="68">
        <f t="shared" si="18"/>
      </c>
      <c r="AG116" s="68">
        <f t="shared" si="102"/>
      </c>
      <c r="AH116" s="68">
        <f t="shared" si="26"/>
      </c>
      <c r="AI116" s="68">
        <f t="shared" si="6"/>
      </c>
      <c r="AJ116" s="67">
        <v>68</v>
      </c>
      <c r="AK116" s="72">
        <v>19560</v>
      </c>
      <c r="AL116" s="72">
        <v>463</v>
      </c>
      <c r="AM116" s="67">
        <v>615</v>
      </c>
      <c r="AN116" s="67">
        <v>82</v>
      </c>
      <c r="AO116" s="73">
        <v>30</v>
      </c>
      <c r="AP116" s="67">
        <v>95</v>
      </c>
      <c r="AQ116" s="73">
        <v>91</v>
      </c>
      <c r="AR116" s="73">
        <v>4</v>
      </c>
      <c r="AS116" s="67">
        <v>5</v>
      </c>
      <c r="AT116" s="67">
        <v>1</v>
      </c>
      <c r="AU116" s="67">
        <v>9</v>
      </c>
      <c r="AV116" s="39"/>
      <c r="AW116" s="40"/>
      <c r="AX116" s="41">
        <f t="shared" si="271"/>
      </c>
    </row>
    <row hidden="true" r="117">
      <c r="A117" s="62"/>
      <c r="B117" s="75" t="s">
        <v>66</v>
      </c>
      <c r="C117" s="75"/>
      <c r="D117" s="75"/>
      <c r="E117" s="75"/>
      <c r="F117" s="76">
        <f>SUM(F113:F116)</f>
      </c>
      <c r="G117" s="76">
        <f>SUM(G113:G116)</f>
      </c>
      <c r="H117" s="76">
        <f>SUM(H113:H116)</f>
      </c>
      <c r="I117" s="76">
        <f>SUM(I113:I116)</f>
      </c>
      <c r="J117" s="76">
        <f>SUM(J113:J116)</f>
      </c>
      <c r="K117" s="76">
        <f>SUM(K113:K116)</f>
      </c>
      <c r="L117" s="76">
        <f>SUM(L113:L116)</f>
      </c>
      <c r="M117" s="76">
        <f>SUM(M113:M116)</f>
      </c>
      <c r="N117" s="76">
        <f>SUM(N113:N116)</f>
      </c>
      <c r="O117" s="77">
        <f t="shared" si="24"/>
      </c>
      <c r="P117" s="76">
        <f>SUM(P113:P116)</f>
      </c>
      <c r="Q117" s="77">
        <f t="shared" si="0"/>
      </c>
      <c r="R117" s="78">
        <f>SUM(R113:R116)</f>
      </c>
      <c r="S117" s="76">
        <f>SUM(S113:S116)</f>
      </c>
      <c r="T117" s="76">
        <f t="shared" si="12"/>
      </c>
      <c r="U117" s="76">
        <f t="shared" si="8"/>
      </c>
      <c r="V117" s="79">
        <f t="shared" si="20"/>
      </c>
      <c r="W117" s="76">
        <f>SUM(W113:W116)</f>
      </c>
      <c r="X117" s="79">
        <f t="shared" si="16"/>
      </c>
      <c r="Y117" s="79">
        <f t="shared" si="248"/>
      </c>
      <c r="Z117" s="76">
        <f t="shared" si="100"/>
      </c>
      <c r="AA117" s="76">
        <f t="shared" si="2"/>
      </c>
      <c r="AB117" s="80">
        <f t="shared" si="4"/>
      </c>
      <c r="AC117" s="77">
        <f t="shared" si="14"/>
      </c>
      <c r="AD117" s="77">
        <f t="shared" si="10"/>
      </c>
      <c r="AE117" s="77">
        <f t="shared" si="22"/>
      </c>
      <c r="AF117" s="82">
        <f t="shared" si="18"/>
      </c>
      <c r="AG117" s="77">
        <f t="shared" si="102"/>
      </c>
      <c r="AH117" s="77">
        <f t="shared" si="26"/>
      </c>
      <c r="AI117" s="77">
        <f t="shared" si="6"/>
      </c>
      <c r="AJ117" s="78">
        <f>AVERAGE(AJ113:AJ116)</f>
      </c>
      <c r="AK117" s="76">
        <f>SUM(AK113:AK116)</f>
      </c>
      <c r="AL117" s="76">
        <f>SUM(AL113:AL116)</f>
      </c>
      <c r="AM117" s="76">
        <f>SUM(AM113:AM116)</f>
      </c>
      <c r="AN117" s="76">
        <f>SUM(AN113:AN116)</f>
      </c>
      <c r="AO117" s="76">
        <f>SUM(AO113:AO116)</f>
      </c>
      <c r="AP117" s="76">
        <f>SUM(AP113:AP116)</f>
      </c>
      <c r="AQ117" s="76">
        <f>SUM(AQ113:AQ116)</f>
      </c>
      <c r="AR117" s="76">
        <f>SUM(AR113:AR116)</f>
      </c>
      <c r="AS117" s="76">
        <f>SUM(AS113:AS116)</f>
      </c>
      <c r="AT117" s="76">
        <f>SUM(AT113:AT116)</f>
      </c>
      <c r="AU117" s="76">
        <f>SUM(AU113:AU116)</f>
      </c>
      <c r="AV117" s="39"/>
      <c r="AW117" s="48"/>
      <c r="AX117" s="49">
        <f>SUM(AX113:AX116)</f>
      </c>
    </row>
    <row hidden="true" r="118">
      <c r="A118" s="62"/>
      <c r="B118" s="73" t="s">
        <v>87</v>
      </c>
      <c r="C118" s="41" t="s">
        <v>72</v>
      </c>
      <c r="D118" s="41" t="s">
        <v>79</v>
      </c>
      <c r="E118" s="41" t="s">
        <v>75</v>
      </c>
      <c r="F118" s="63">
        <f t="shared" ref="F118:F121" si="50">G118+H118+I118</f>
      </c>
      <c r="G118" s="81">
        <v>1527.94</v>
      </c>
      <c r="H118" s="81">
        <v>1229.63</v>
      </c>
      <c r="I118" s="64">
        <v>0</v>
      </c>
      <c r="J118" s="65">
        <v>2</v>
      </c>
      <c r="K118" s="65">
        <v>2374.65</v>
      </c>
      <c r="L118" s="65">
        <v>2</v>
      </c>
      <c r="M118" s="65">
        <v>2906.6199999999953</v>
      </c>
      <c r="N118" s="67">
        <v>2</v>
      </c>
      <c r="O118" s="68">
        <f t="shared" si="24"/>
      </c>
      <c r="P118" s="67">
        <v>0</v>
      </c>
      <c r="Q118" s="68">
        <f t="shared" si="0"/>
      </c>
      <c r="R118" s="69">
        <f t="shared" ref="R118:R121" si="126">J118+L118</f>
      </c>
      <c r="S118" s="70">
        <f t="shared" ref="S118:S121" si="198">K118+M118</f>
      </c>
      <c r="T118" s="63">
        <f t="shared" si="12"/>
      </c>
      <c r="U118" s="63">
        <f t="shared" si="8"/>
      </c>
      <c r="V118" s="71">
        <f t="shared" si="20"/>
      </c>
      <c r="W118" s="67">
        <v>3</v>
      </c>
      <c r="X118" s="71">
        <f t="shared" si="16"/>
      </c>
      <c r="Y118" s="71">
        <f t="shared" si="248"/>
      </c>
      <c r="Z118" s="63">
        <f t="shared" si="100"/>
      </c>
      <c r="AA118" s="63">
        <f t="shared" si="2"/>
      </c>
      <c r="AB118" s="63">
        <f t="shared" si="4"/>
      </c>
      <c r="AC118" s="68">
        <f t="shared" si="14"/>
      </c>
      <c r="AD118" s="68">
        <f t="shared" si="10"/>
      </c>
      <c r="AE118" s="68">
        <f t="shared" si="22"/>
      </c>
      <c r="AF118" s="68">
        <f t="shared" si="18"/>
      </c>
      <c r="AG118" s="68">
        <f t="shared" si="102"/>
      </c>
      <c r="AH118" s="68">
        <f t="shared" si="26"/>
      </c>
      <c r="AI118" s="68">
        <f t="shared" si="6"/>
      </c>
      <c r="AJ118" s="67">
        <v>61</v>
      </c>
      <c r="AK118" s="72">
        <v>16568</v>
      </c>
      <c r="AL118" s="72">
        <v>367</v>
      </c>
      <c r="AM118" s="72">
        <v>481</v>
      </c>
      <c r="AN118" s="72">
        <v>79</v>
      </c>
      <c r="AO118" s="73">
        <v>26</v>
      </c>
      <c r="AP118" s="72">
        <v>87</v>
      </c>
      <c r="AQ118" s="41">
        <v>73</v>
      </c>
      <c r="AR118" s="73">
        <v>4</v>
      </c>
      <c r="AS118" s="41">
        <v>5</v>
      </c>
      <c r="AT118" s="72">
        <v>5</v>
      </c>
      <c r="AU118" s="72">
        <v>2</v>
      </c>
      <c r="AV118" s="39"/>
      <c r="AW118" s="40"/>
      <c r="AX118" s="41">
        <f t="shared" ref="AX118:AX121" si="272">COUNT(AU118)</f>
      </c>
    </row>
    <row hidden="true" r="119">
      <c r="A119" s="62"/>
      <c r="B119" s="73" t="s">
        <v>87</v>
      </c>
      <c r="C119" s="41" t="s">
        <v>72</v>
      </c>
      <c r="D119" s="41" t="s">
        <v>79</v>
      </c>
      <c r="E119" s="41" t="s">
        <v>76</v>
      </c>
      <c r="F119" s="63">
        <f t="shared" si="50"/>
      </c>
      <c r="G119" s="81">
        <v>1316.42</v>
      </c>
      <c r="H119" s="81">
        <v>1774.1</v>
      </c>
      <c r="I119" s="64">
        <v>0</v>
      </c>
      <c r="J119" s="64">
        <v>2</v>
      </c>
      <c r="K119" s="64">
        <v>3121.4500000000003</v>
      </c>
      <c r="L119" s="65">
        <v>4</v>
      </c>
      <c r="M119" s="65">
        <v>11973.330000000002</v>
      </c>
      <c r="N119" s="67">
        <v>2</v>
      </c>
      <c r="O119" s="68">
        <f t="shared" si="24"/>
      </c>
      <c r="P119" s="67">
        <v>2</v>
      </c>
      <c r="Q119" s="68">
        <f t="shared" si="0"/>
      </c>
      <c r="R119" s="69">
        <f t="shared" si="126"/>
      </c>
      <c r="S119" s="70">
        <f t="shared" si="198"/>
      </c>
      <c r="T119" s="63">
        <f t="shared" si="12"/>
      </c>
      <c r="U119" s="63">
        <f t="shared" si="8"/>
      </c>
      <c r="V119" s="71">
        <f t="shared" si="20"/>
      </c>
      <c r="W119" s="67">
        <v>6</v>
      </c>
      <c r="X119" s="71">
        <f t="shared" si="16"/>
      </c>
      <c r="Y119" s="71">
        <f t="shared" si="248"/>
      </c>
      <c r="Z119" s="63">
        <f t="shared" si="100"/>
      </c>
      <c r="AA119" s="63">
        <f t="shared" si="2"/>
      </c>
      <c r="AB119" s="63">
        <f t="shared" si="4"/>
      </c>
      <c r="AC119" s="68">
        <f t="shared" si="14"/>
      </c>
      <c r="AD119" s="68">
        <f t="shared" si="10"/>
      </c>
      <c r="AE119" s="68">
        <f t="shared" si="22"/>
      </c>
      <c r="AF119" s="68">
        <f t="shared" si="18"/>
      </c>
      <c r="AG119" s="68">
        <f t="shared" si="102"/>
      </c>
      <c r="AH119" s="68">
        <f t="shared" si="26"/>
      </c>
      <c r="AI119" s="68">
        <f t="shared" si="6"/>
      </c>
      <c r="AJ119" s="67">
        <v>61</v>
      </c>
      <c r="AK119" s="67">
        <v>19292</v>
      </c>
      <c r="AL119" s="72">
        <v>415</v>
      </c>
      <c r="AM119" s="72">
        <v>591</v>
      </c>
      <c r="AN119" s="72">
        <v>74</v>
      </c>
      <c r="AO119" s="73">
        <v>34</v>
      </c>
      <c r="AP119" s="67">
        <v>145</v>
      </c>
      <c r="AQ119" s="73">
        <v>118</v>
      </c>
      <c r="AR119" s="73">
        <v>7</v>
      </c>
      <c r="AS119" s="41">
        <v>10</v>
      </c>
      <c r="AT119" s="72">
        <v>3</v>
      </c>
      <c r="AU119" s="72">
        <v>5</v>
      </c>
      <c r="AV119" s="39"/>
      <c r="AW119" s="40"/>
      <c r="AX119" s="41">
        <f t="shared" si="272"/>
      </c>
    </row>
    <row hidden="true" r="120">
      <c r="A120" s="62"/>
      <c r="B120" s="73" t="s">
        <v>87</v>
      </c>
      <c r="C120" s="41" t="s">
        <v>72</v>
      </c>
      <c r="D120" s="41" t="s">
        <v>79</v>
      </c>
      <c r="E120" s="41" t="s">
        <v>77</v>
      </c>
      <c r="F120" s="63">
        <f t="shared" si="50"/>
      </c>
      <c r="G120" s="81">
        <v>1792.89</v>
      </c>
      <c r="H120" s="81">
        <v>410.94</v>
      </c>
      <c r="I120" s="64">
        <v>0</v>
      </c>
      <c r="J120" s="65">
        <v>0</v>
      </c>
      <c r="K120" s="65">
        <v>0</v>
      </c>
      <c r="L120" s="64">
        <v>1</v>
      </c>
      <c r="M120" s="64">
        <v>1588.4000000000015</v>
      </c>
      <c r="N120" s="67">
        <v>0</v>
      </c>
      <c r="O120" s="68">
        <f t="shared" si="24"/>
      </c>
      <c r="P120" s="67">
        <v>0</v>
      </c>
      <c r="Q120" s="68">
        <f t="shared" si="0"/>
      </c>
      <c r="R120" s="69">
        <f t="shared" si="126"/>
      </c>
      <c r="S120" s="70">
        <f t="shared" si="198"/>
      </c>
      <c r="T120" s="63">
        <f t="shared" si="12"/>
      </c>
      <c r="U120" s="63">
        <f t="shared" si="8"/>
      </c>
      <c r="V120" s="71">
        <f t="shared" si="20"/>
      </c>
      <c r="W120" s="67">
        <v>0</v>
      </c>
      <c r="X120" s="71">
        <f t="shared" si="16"/>
      </c>
      <c r="Y120" s="71">
        <f t="shared" si="248"/>
      </c>
      <c r="Z120" s="63">
        <f t="shared" si="100"/>
      </c>
      <c r="AA120" s="63">
        <f t="shared" si="2"/>
      </c>
      <c r="AB120" s="63">
        <f t="shared" si="4"/>
      </c>
      <c r="AC120" s="68">
        <f t="shared" si="14"/>
      </c>
      <c r="AD120" s="68">
        <f t="shared" si="10"/>
      </c>
      <c r="AE120" s="68">
        <f t="shared" si="22"/>
      </c>
      <c r="AF120" s="68">
        <f t="shared" si="18"/>
      </c>
      <c r="AG120" s="68">
        <f t="shared" si="102"/>
      </c>
      <c r="AH120" s="68">
        <f t="shared" si="26"/>
      </c>
      <c r="AI120" s="68">
        <f t="shared" si="6"/>
      </c>
      <c r="AJ120" s="67">
        <v>61</v>
      </c>
      <c r="AK120" s="72">
        <v>14333</v>
      </c>
      <c r="AL120" s="72">
        <v>331</v>
      </c>
      <c r="AM120" s="72">
        <v>588</v>
      </c>
      <c r="AN120" s="72">
        <v>57</v>
      </c>
      <c r="AO120" s="73">
        <v>14</v>
      </c>
      <c r="AP120" s="72">
        <v>47</v>
      </c>
      <c r="AQ120" s="41">
        <v>52</v>
      </c>
      <c r="AR120" s="73">
        <v>1</v>
      </c>
      <c r="AS120" s="72">
        <v>3</v>
      </c>
      <c r="AT120" s="72">
        <v>0</v>
      </c>
      <c r="AU120" s="72">
        <v>2</v>
      </c>
      <c r="AV120" s="39"/>
      <c r="AW120" s="40"/>
      <c r="AX120" s="41">
        <f t="shared" si="272"/>
      </c>
    </row>
    <row hidden="true" r="121">
      <c r="A121" s="62"/>
      <c r="B121" s="73" t="s">
        <v>87</v>
      </c>
      <c r="C121" s="41" t="s">
        <v>72</v>
      </c>
      <c r="D121" s="41" t="s">
        <v>79</v>
      </c>
      <c r="E121" s="41" t="s">
        <v>78</v>
      </c>
      <c r="F121" s="63">
        <f t="shared" si="50"/>
      </c>
      <c r="G121" s="81">
        <v>1940.02</v>
      </c>
      <c r="H121" s="81">
        <v>2611.01</v>
      </c>
      <c r="I121" s="64">
        <v>0</v>
      </c>
      <c r="J121" s="65">
        <v>1</v>
      </c>
      <c r="K121" s="65">
        <v>803.6999999999998</v>
      </c>
      <c r="L121" s="64">
        <v>2</v>
      </c>
      <c r="M121" s="64">
        <v>3622.350000000006</v>
      </c>
      <c r="N121" s="67">
        <v>0</v>
      </c>
      <c r="O121" s="68">
        <f t="shared" si="24"/>
      </c>
      <c r="P121" s="67">
        <v>0</v>
      </c>
      <c r="Q121" s="68">
        <f t="shared" si="0"/>
      </c>
      <c r="R121" s="69">
        <f t="shared" si="126"/>
      </c>
      <c r="S121" s="70">
        <f t="shared" si="198"/>
      </c>
      <c r="T121" s="63">
        <f t="shared" si="12"/>
      </c>
      <c r="U121" s="63">
        <f t="shared" si="8"/>
      </c>
      <c r="V121" s="71">
        <f t="shared" si="20"/>
      </c>
      <c r="W121" s="67">
        <v>3</v>
      </c>
      <c r="X121" s="71">
        <f t="shared" si="16"/>
      </c>
      <c r="Y121" s="71">
        <f t="shared" si="248"/>
      </c>
      <c r="Z121" s="63">
        <f t="shared" si="100"/>
      </c>
      <c r="AA121" s="63">
        <f t="shared" si="2"/>
      </c>
      <c r="AB121" s="63">
        <f t="shared" si="4"/>
      </c>
      <c r="AC121" s="68">
        <f t="shared" si="14"/>
      </c>
      <c r="AD121" s="68">
        <f t="shared" si="10"/>
      </c>
      <c r="AE121" s="68">
        <f t="shared" si="22"/>
      </c>
      <c r="AF121" s="68">
        <f t="shared" si="18"/>
      </c>
      <c r="AG121" s="68">
        <f t="shared" si="102"/>
      </c>
      <c r="AH121" s="68">
        <f t="shared" si="26"/>
      </c>
      <c r="AI121" s="68">
        <f t="shared" si="6"/>
      </c>
      <c r="AJ121" s="67">
        <v>61</v>
      </c>
      <c r="AK121" s="72">
        <v>26323</v>
      </c>
      <c r="AL121" s="72">
        <v>505</v>
      </c>
      <c r="AM121" s="72">
        <v>793</v>
      </c>
      <c r="AN121" s="72">
        <v>103</v>
      </c>
      <c r="AO121" s="73">
        <v>25</v>
      </c>
      <c r="AP121" s="72">
        <v>67</v>
      </c>
      <c r="AQ121" s="41">
        <v>109</v>
      </c>
      <c r="AR121" s="73">
        <v>6</v>
      </c>
      <c r="AS121" s="72">
        <v>5</v>
      </c>
      <c r="AT121" s="72">
        <v>2</v>
      </c>
      <c r="AU121" s="72">
        <v>11</v>
      </c>
      <c r="AV121" s="39"/>
      <c r="AW121" s="40"/>
      <c r="AX121" s="41">
        <f t="shared" si="272"/>
      </c>
    </row>
    <row hidden="true" r="122">
      <c r="A122" s="62"/>
      <c r="B122" s="75" t="s">
        <v>66</v>
      </c>
      <c r="C122" s="75"/>
      <c r="D122" s="75"/>
      <c r="E122" s="75"/>
      <c r="F122" s="76">
        <f>SUM(F118:F121)</f>
      </c>
      <c r="G122" s="76">
        <f>SUM(G118:G121)</f>
      </c>
      <c r="H122" s="76">
        <f>SUM(H118:H121)</f>
      </c>
      <c r="I122" s="76">
        <f>SUM(I118:I121)</f>
      </c>
      <c r="J122" s="76">
        <f>SUM(J118:J121)</f>
      </c>
      <c r="K122" s="76">
        <f>SUM(K118:K121)</f>
      </c>
      <c r="L122" s="76">
        <f>SUM(L118:L121)</f>
      </c>
      <c r="M122" s="76">
        <f>SUM(M118:M121)</f>
      </c>
      <c r="N122" s="76">
        <f>SUM(N118:N121)</f>
      </c>
      <c r="O122" s="77">
        <f t="shared" si="24"/>
      </c>
      <c r="P122" s="76">
        <f>SUM(P118:P121)</f>
      </c>
      <c r="Q122" s="77">
        <f t="shared" si="0"/>
      </c>
      <c r="R122" s="78">
        <f>SUM(R118:R121)</f>
      </c>
      <c r="S122" s="76">
        <f>SUM(S118:S121)</f>
      </c>
      <c r="T122" s="76">
        <f t="shared" si="12"/>
      </c>
      <c r="U122" s="76">
        <f t="shared" si="8"/>
      </c>
      <c r="V122" s="79">
        <f t="shared" si="20"/>
      </c>
      <c r="W122" s="76">
        <f>SUM(W118:W121)</f>
      </c>
      <c r="X122" s="79">
        <f t="shared" si="16"/>
      </c>
      <c r="Y122" s="79">
        <f t="shared" si="248"/>
      </c>
      <c r="Z122" s="76">
        <f t="shared" si="100"/>
      </c>
      <c r="AA122" s="76">
        <f t="shared" si="2"/>
      </c>
      <c r="AB122" s="80">
        <f t="shared" si="4"/>
      </c>
      <c r="AC122" s="77">
        <f t="shared" si="14"/>
      </c>
      <c r="AD122" s="77">
        <f t="shared" si="10"/>
      </c>
      <c r="AE122" s="77">
        <f t="shared" si="22"/>
      </c>
      <c r="AF122" s="82">
        <f t="shared" si="18"/>
      </c>
      <c r="AG122" s="77">
        <f t="shared" si="102"/>
      </c>
      <c r="AH122" s="77">
        <f t="shared" si="26"/>
      </c>
      <c r="AI122" s="77">
        <f t="shared" si="6"/>
      </c>
      <c r="AJ122" s="78">
        <f>AVERAGE(AJ118:AJ121)</f>
      </c>
      <c r="AK122" s="76">
        <f>SUM(AK118:AK121)</f>
      </c>
      <c r="AL122" s="76">
        <f>SUM(AL118:AL121)</f>
      </c>
      <c r="AM122" s="76">
        <f>SUM(AM118:AM121)</f>
      </c>
      <c r="AN122" s="76">
        <f>SUM(AN118:AN121)</f>
      </c>
      <c r="AO122" s="76">
        <f>SUM(AO118:AO121)</f>
      </c>
      <c r="AP122" s="76">
        <f>SUM(AP118:AP121)</f>
      </c>
      <c r="AQ122" s="76">
        <f>SUM(AQ118:AQ121)</f>
      </c>
      <c r="AR122" s="76">
        <f>SUM(AR118:AR121)</f>
      </c>
      <c r="AS122" s="76">
        <f>SUM(AS118:AS121)</f>
      </c>
      <c r="AT122" s="76">
        <f>SUM(AT118:AT121)</f>
      </c>
      <c r="AU122" s="76">
        <f>SUM(AU118:AU121)</f>
      </c>
      <c r="AV122" s="39"/>
      <c r="AW122" s="48"/>
      <c r="AX122" s="49">
        <f>SUM(AX118:AX121)</f>
      </c>
    </row>
    <row hidden="true" r="123">
      <c r="A123" s="62"/>
      <c r="B123" s="73" t="s">
        <v>87</v>
      </c>
      <c r="C123" s="41" t="s">
        <v>72</v>
      </c>
      <c r="D123" s="73" t="s">
        <v>85</v>
      </c>
      <c r="E123" s="41" t="s">
        <v>80</v>
      </c>
      <c r="F123" s="63">
        <f t="shared" ref="F123:F126" si="51">G123+H123+I123</f>
      </c>
      <c r="G123" s="81">
        <v>1573.49</v>
      </c>
      <c r="H123" s="81">
        <v>1491.48</v>
      </c>
      <c r="I123" s="64">
        <v>0</v>
      </c>
      <c r="J123" s="64">
        <v>0</v>
      </c>
      <c r="K123" s="64">
        <v>0</v>
      </c>
      <c r="L123" s="65">
        <v>3</v>
      </c>
      <c r="M123" s="65">
        <v>5993.970000000001</v>
      </c>
      <c r="N123" s="67">
        <v>0</v>
      </c>
      <c r="O123" s="68">
        <f t="shared" si="24"/>
      </c>
      <c r="P123" s="67">
        <v>1</v>
      </c>
      <c r="Q123" s="68">
        <f t="shared" si="0"/>
      </c>
      <c r="R123" s="83">
        <f t="shared" ref="R123:R126" si="127">J123+L123</f>
      </c>
      <c r="S123" s="70">
        <f t="shared" ref="S123:S126" si="199">K123+M123</f>
      </c>
      <c r="T123" s="63">
        <f t="shared" si="12"/>
      </c>
      <c r="U123" s="63">
        <f t="shared" si="8"/>
      </c>
      <c r="V123" s="71">
        <f t="shared" si="20"/>
      </c>
      <c r="W123" s="67">
        <v>2</v>
      </c>
      <c r="X123" s="71">
        <f t="shared" si="16"/>
      </c>
      <c r="Y123" s="71">
        <f t="shared" si="248"/>
      </c>
      <c r="Z123" s="63">
        <f t="shared" si="100"/>
      </c>
      <c r="AA123" s="63">
        <f t="shared" si="2"/>
      </c>
      <c r="AB123" s="63">
        <f t="shared" si="4"/>
      </c>
      <c r="AC123" s="68">
        <f t="shared" si="14"/>
      </c>
      <c r="AD123" s="68">
        <f t="shared" si="10"/>
      </c>
      <c r="AE123" s="68">
        <f t="shared" si="22"/>
      </c>
      <c r="AF123" s="68">
        <f t="shared" si="18"/>
      </c>
      <c r="AG123" s="68">
        <f t="shared" si="102"/>
      </c>
      <c r="AH123" s="68">
        <f t="shared" si="26"/>
      </c>
      <c r="AI123" s="68">
        <f t="shared" si="6"/>
      </c>
      <c r="AJ123" s="67">
        <v>62</v>
      </c>
      <c r="AK123" s="72">
        <v>20573</v>
      </c>
      <c r="AL123" s="72">
        <v>371</v>
      </c>
      <c r="AM123" s="72">
        <v>413</v>
      </c>
      <c r="AN123" s="72">
        <v>124</v>
      </c>
      <c r="AO123" s="73">
        <v>46</v>
      </c>
      <c r="AP123" s="72">
        <v>138</v>
      </c>
      <c r="AQ123" s="41">
        <v>102</v>
      </c>
      <c r="AR123" s="73">
        <v>6</v>
      </c>
      <c r="AS123" s="67">
        <v>12</v>
      </c>
      <c r="AT123" s="67">
        <v>3</v>
      </c>
      <c r="AU123" s="67">
        <v>6</v>
      </c>
      <c r="AV123" s="39"/>
      <c r="AW123" s="40"/>
      <c r="AX123" s="41">
        <f t="shared" ref="AX123:AX126" si="273">COUNT(AU123)</f>
      </c>
    </row>
    <row hidden="true" r="124">
      <c r="A124" s="62"/>
      <c r="B124" s="73" t="s">
        <v>87</v>
      </c>
      <c r="C124" s="41" t="s">
        <v>72</v>
      </c>
      <c r="D124" s="73" t="s">
        <v>85</v>
      </c>
      <c r="E124" s="41" t="s">
        <v>81</v>
      </c>
      <c r="F124" s="63">
        <f t="shared" si="51"/>
      </c>
      <c r="G124" s="81">
        <v>1515.1</v>
      </c>
      <c r="H124" s="81">
        <v>1508.52</v>
      </c>
      <c r="I124" s="64">
        <v>0</v>
      </c>
      <c r="J124" s="64">
        <v>3</v>
      </c>
      <c r="K124" s="64">
        <v>5279.04</v>
      </c>
      <c r="L124" s="65">
        <v>8</v>
      </c>
      <c r="M124" s="65">
        <v>21631.659999999996</v>
      </c>
      <c r="N124" s="67">
        <v>5</v>
      </c>
      <c r="O124" s="68">
        <f t="shared" si="24"/>
      </c>
      <c r="P124" s="67">
        <v>3</v>
      </c>
      <c r="Q124" s="68">
        <f t="shared" si="0"/>
      </c>
      <c r="R124" s="83">
        <f t="shared" si="127"/>
      </c>
      <c r="S124" s="70">
        <f t="shared" si="199"/>
      </c>
      <c r="T124" s="63">
        <f t="shared" si="12"/>
      </c>
      <c r="U124" s="63">
        <f t="shared" si="8"/>
      </c>
      <c r="V124" s="71">
        <f t="shared" si="20"/>
      </c>
      <c r="W124" s="67">
        <v>6</v>
      </c>
      <c r="X124" s="71">
        <f t="shared" si="16"/>
      </c>
      <c r="Y124" s="71">
        <f t="shared" si="248"/>
      </c>
      <c r="Z124" s="63">
        <f t="shared" si="100"/>
      </c>
      <c r="AA124" s="63">
        <f t="shared" si="2"/>
      </c>
      <c r="AB124" s="63">
        <f t="shared" si="4"/>
      </c>
      <c r="AC124" s="68">
        <f t="shared" si="14"/>
      </c>
      <c r="AD124" s="68">
        <f t="shared" si="10"/>
      </c>
      <c r="AE124" s="68">
        <f t="shared" si="22"/>
      </c>
      <c r="AF124" s="68">
        <f t="shared" si="18"/>
      </c>
      <c r="AG124" s="68">
        <f t="shared" si="102"/>
      </c>
      <c r="AH124" s="68">
        <f t="shared" si="26"/>
      </c>
      <c r="AI124" s="68">
        <f t="shared" si="6"/>
      </c>
      <c r="AJ124" s="67">
        <v>60</v>
      </c>
      <c r="AK124" s="72">
        <v>23495</v>
      </c>
      <c r="AL124" s="72">
        <v>313</v>
      </c>
      <c r="AM124" s="72">
        <v>328</v>
      </c>
      <c r="AN124" s="72">
        <v>107</v>
      </c>
      <c r="AO124" s="73">
        <v>33</v>
      </c>
      <c r="AP124" s="72">
        <v>156</v>
      </c>
      <c r="AQ124" s="41">
        <v>89</v>
      </c>
      <c r="AR124" s="73">
        <v>11</v>
      </c>
      <c r="AS124" s="67">
        <v>12</v>
      </c>
      <c r="AT124" s="67">
        <v>1</v>
      </c>
      <c r="AU124" s="67">
        <v>11</v>
      </c>
      <c r="AV124" s="39"/>
      <c r="AW124" s="40"/>
      <c r="AX124" s="41">
        <f t="shared" si="273"/>
      </c>
    </row>
    <row hidden="true" r="125">
      <c r="A125" s="62"/>
      <c r="B125" s="73" t="s">
        <v>87</v>
      </c>
      <c r="C125" s="41" t="s">
        <v>72</v>
      </c>
      <c r="D125" s="73" t="s">
        <v>85</v>
      </c>
      <c r="E125" s="41" t="s">
        <v>82</v>
      </c>
      <c r="F125" s="63">
        <f t="shared" si="51"/>
      </c>
      <c r="G125" s="81">
        <v>1491.66</v>
      </c>
      <c r="H125" s="81">
        <v>1498.28</v>
      </c>
      <c r="I125" s="64">
        <v>0</v>
      </c>
      <c r="J125" s="65">
        <v>0</v>
      </c>
      <c r="K125" s="65">
        <v>0</v>
      </c>
      <c r="L125" s="65">
        <v>2</v>
      </c>
      <c r="M125" s="65">
        <v>4192.040000000008</v>
      </c>
      <c r="N125" s="67">
        <v>1</v>
      </c>
      <c r="O125" s="68">
        <f t="shared" si="24"/>
      </c>
      <c r="P125" s="67">
        <v>1</v>
      </c>
      <c r="Q125" s="68">
        <f t="shared" si="0"/>
      </c>
      <c r="R125" s="83">
        <f t="shared" si="127"/>
      </c>
      <c r="S125" s="70">
        <f t="shared" si="199"/>
      </c>
      <c r="T125" s="63">
        <f t="shared" si="12"/>
      </c>
      <c r="U125" s="63">
        <f t="shared" si="8"/>
      </c>
      <c r="V125" s="71">
        <f t="shared" si="20"/>
      </c>
      <c r="W125" s="67">
        <v>2</v>
      </c>
      <c r="X125" s="71">
        <f t="shared" si="16"/>
      </c>
      <c r="Y125" s="71">
        <f t="shared" si="248"/>
      </c>
      <c r="Z125" s="63">
        <f t="shared" si="100"/>
      </c>
      <c r="AA125" s="63">
        <f t="shared" si="2"/>
      </c>
      <c r="AB125" s="63">
        <f t="shared" si="4"/>
      </c>
      <c r="AC125" s="68">
        <f t="shared" si="14"/>
      </c>
      <c r="AD125" s="68">
        <f t="shared" si="10"/>
      </c>
      <c r="AE125" s="68">
        <f t="shared" si="22"/>
      </c>
      <c r="AF125" s="68">
        <f t="shared" si="18"/>
      </c>
      <c r="AG125" s="68">
        <f t="shared" si="102"/>
      </c>
      <c r="AH125" s="68">
        <f t="shared" si="26"/>
      </c>
      <c r="AI125" s="68">
        <f t="shared" si="6"/>
      </c>
      <c r="AJ125" s="67">
        <v>61</v>
      </c>
      <c r="AK125" s="72">
        <v>23764</v>
      </c>
      <c r="AL125" s="72">
        <v>352</v>
      </c>
      <c r="AM125" s="72">
        <v>363</v>
      </c>
      <c r="AN125" s="72">
        <v>109</v>
      </c>
      <c r="AO125" s="73">
        <v>28</v>
      </c>
      <c r="AP125" s="72">
        <v>87</v>
      </c>
      <c r="AQ125" s="41">
        <v>79</v>
      </c>
      <c r="AR125" s="73">
        <v>2</v>
      </c>
      <c r="AS125" s="67">
        <v>5</v>
      </c>
      <c r="AT125" s="67">
        <v>1</v>
      </c>
      <c r="AU125" s="67">
        <v>6</v>
      </c>
      <c r="AV125" s="39"/>
      <c r="AW125" s="40"/>
      <c r="AX125" s="41">
        <f t="shared" si="273"/>
      </c>
    </row>
    <row customHeight="true" hidden="true" ht="16.071428571428573" r="126">
      <c r="A126" s="62"/>
      <c r="B126" s="73" t="s">
        <v>87</v>
      </c>
      <c r="C126" s="41" t="s">
        <v>72</v>
      </c>
      <c r="D126" s="73" t="s">
        <v>85</v>
      </c>
      <c r="E126" s="73" t="s">
        <v>83</v>
      </c>
      <c r="F126" s="63">
        <f t="shared" si="51"/>
      </c>
      <c r="G126" s="81">
        <v>589.16</v>
      </c>
      <c r="H126" s="81">
        <v>1000</v>
      </c>
      <c r="I126" s="64">
        <v>0</v>
      </c>
      <c r="J126" s="65">
        <v>1</v>
      </c>
      <c r="K126" s="65">
        <v>1773.4000000000015</v>
      </c>
      <c r="L126" s="65">
        <v>2</v>
      </c>
      <c r="M126" s="65">
        <v>7097.759999999995</v>
      </c>
      <c r="N126" s="67">
        <v>2</v>
      </c>
      <c r="O126" s="68">
        <f t="shared" si="24"/>
      </c>
      <c r="P126" s="67">
        <v>2</v>
      </c>
      <c r="Q126" s="68">
        <f t="shared" si="0"/>
      </c>
      <c r="R126" s="83">
        <f t="shared" si="127"/>
      </c>
      <c r="S126" s="70">
        <f t="shared" si="199"/>
      </c>
      <c r="T126" s="63">
        <f t="shared" si="12"/>
      </c>
      <c r="U126" s="63">
        <f t="shared" si="8"/>
      </c>
      <c r="V126" s="71">
        <f t="shared" si="20"/>
      </c>
      <c r="W126" s="67">
        <v>2</v>
      </c>
      <c r="X126" s="71">
        <f t="shared" si="16"/>
      </c>
      <c r="Y126" s="71">
        <f t="shared" si="248"/>
      </c>
      <c r="Z126" s="63">
        <f t="shared" si="100"/>
      </c>
      <c r="AA126" s="63">
        <f t="shared" si="2"/>
      </c>
      <c r="AB126" s="63">
        <f t="shared" si="4"/>
      </c>
      <c r="AC126" s="68">
        <f t="shared" si="14"/>
      </c>
      <c r="AD126" s="68">
        <f t="shared" si="10"/>
      </c>
      <c r="AE126" s="68">
        <f t="shared" si="22"/>
      </c>
      <c r="AF126" s="68">
        <f t="shared" si="18"/>
      </c>
      <c r="AG126" s="68">
        <f t="shared" si="102"/>
      </c>
      <c r="AH126" s="68">
        <f t="shared" si="26"/>
      </c>
      <c r="AI126" s="68">
        <f t="shared" si="6"/>
      </c>
      <c r="AJ126" s="67">
        <v>62</v>
      </c>
      <c r="AK126" s="72">
        <v>13555</v>
      </c>
      <c r="AL126" s="72">
        <v>220</v>
      </c>
      <c r="AM126" s="72">
        <v>231</v>
      </c>
      <c r="AN126" s="72">
        <v>57</v>
      </c>
      <c r="AO126" s="73">
        <v>15</v>
      </c>
      <c r="AP126" s="72">
        <v>48</v>
      </c>
      <c r="AQ126" s="41">
        <v>47</v>
      </c>
      <c r="AR126" s="73">
        <v>3</v>
      </c>
      <c r="AS126" s="67">
        <v>5</v>
      </c>
      <c r="AT126" s="67">
        <v>0</v>
      </c>
      <c r="AU126" s="67">
        <v>6</v>
      </c>
      <c r="AV126" s="39"/>
      <c r="AW126" s="40"/>
      <c r="AX126" s="41">
        <f t="shared" si="273"/>
      </c>
    </row>
    <row hidden="true" r="127">
      <c r="A127" s="62"/>
      <c r="B127" s="75" t="s">
        <v>66</v>
      </c>
      <c r="C127" s="75"/>
      <c r="D127" s="75"/>
      <c r="E127" s="75"/>
      <c r="F127" s="76">
        <f>SUM(F123:F126)</f>
      </c>
      <c r="G127" s="76">
        <f>SUM(G123:G126)</f>
      </c>
      <c r="H127" s="76">
        <f>SUM(H123:H126)</f>
      </c>
      <c r="I127" s="76">
        <f>SUM(I123:I126)</f>
      </c>
      <c r="J127" s="76">
        <f>SUM(J123:J126)</f>
      </c>
      <c r="K127" s="76">
        <f>SUM(K123:K126)</f>
      </c>
      <c r="L127" s="76">
        <f>SUM(L123:L126)</f>
      </c>
      <c r="M127" s="76">
        <f>SUM(M123:M126)</f>
      </c>
      <c r="N127" s="76">
        <f>SUM(N123:N126)</f>
      </c>
      <c r="O127" s="77">
        <f t="shared" si="24"/>
      </c>
      <c r="P127" s="76">
        <f>SUM(P123:P126)</f>
      </c>
      <c r="Q127" s="77">
        <f t="shared" si="0"/>
      </c>
      <c r="R127" s="91">
        <f>SUM(R123:R126)</f>
      </c>
      <c r="S127" s="76">
        <f>SUM(S123:S126)</f>
      </c>
      <c r="T127" s="79">
        <f t="shared" si="12"/>
      </c>
      <c r="U127" s="76">
        <f t="shared" si="8"/>
      </c>
      <c r="V127" s="79">
        <f t="shared" si="20"/>
      </c>
      <c r="W127" s="91">
        <f>SUM(W123:W126)</f>
      </c>
      <c r="X127" s="79">
        <f t="shared" si="16"/>
      </c>
      <c r="Y127" s="79">
        <f t="shared" si="248"/>
      </c>
      <c r="Z127" s="76">
        <f t="shared" si="100"/>
      </c>
      <c r="AA127" s="76">
        <f t="shared" si="2"/>
      </c>
      <c r="AB127" s="80">
        <f t="shared" si="4"/>
      </c>
      <c r="AC127" s="77">
        <f t="shared" si="14"/>
      </c>
      <c r="AD127" s="77">
        <f t="shared" si="10"/>
      </c>
      <c r="AE127" s="77">
        <f t="shared" si="22"/>
      </c>
      <c r="AF127" s="82">
        <f t="shared" si="18"/>
      </c>
      <c r="AG127" s="77">
        <f t="shared" si="102"/>
      </c>
      <c r="AH127" s="77">
        <f t="shared" si="26"/>
      </c>
      <c r="AI127" s="77">
        <f t="shared" si="6"/>
      </c>
      <c r="AJ127" s="78">
        <f>AVERAGE(AJ123:AJ126)</f>
      </c>
      <c r="AK127" s="76">
        <f>SUM(AK123:AK126)</f>
      </c>
      <c r="AL127" s="76">
        <f>SUM(AL123:AL126)</f>
      </c>
      <c r="AM127" s="76">
        <f>SUM(AM123:AM126)</f>
      </c>
      <c r="AN127" s="76">
        <f>SUM(AN123:AN126)</f>
      </c>
      <c r="AO127" s="76">
        <f>SUM(AO123:AO126)</f>
      </c>
      <c r="AP127" s="76">
        <f>SUM(AP123:AP126)</f>
      </c>
      <c r="AQ127" s="76">
        <f>SUM(AQ123:AQ126)</f>
      </c>
      <c r="AR127" s="76">
        <f>SUM(AR123:AR126)</f>
      </c>
      <c r="AS127" s="76">
        <f>SUM(AS123:AS126)</f>
      </c>
      <c r="AT127" s="76">
        <f>SUM(AT123:AT126)</f>
      </c>
      <c r="AU127" s="76">
        <f>SUM(AU123:AU126)</f>
      </c>
      <c r="AV127" s="39"/>
      <c r="AW127" s="48"/>
      <c r="AX127" s="49">
        <f>SUM(AX123:AX126)</f>
      </c>
    </row>
    <row hidden="true" r="128">
      <c r="A128" s="62"/>
      <c r="B128" s="84" t="s">
        <v>84</v>
      </c>
      <c r="C128" s="84"/>
      <c r="D128" s="84"/>
      <c r="E128" s="84"/>
      <c r="F128" s="85">
        <f>F112+F117+F122+F127</f>
      </c>
      <c r="G128" s="85">
        <f>G112+G117+G122+G127</f>
      </c>
      <c r="H128" s="85">
        <f>H112+H117+H122+H127</f>
      </c>
      <c r="I128" s="85">
        <f>I112+I117+I122+I127</f>
      </c>
      <c r="J128" s="85">
        <f>J112+J117+J122+J127</f>
      </c>
      <c r="K128" s="85">
        <f>K112+K117+K122+K127</f>
      </c>
      <c r="L128" s="85">
        <f>L112+L117+L122+L127</f>
      </c>
      <c r="M128" s="85">
        <f>M112+M117+M122+M127</f>
      </c>
      <c r="N128" s="85">
        <f>N112+N117+N122+N127</f>
      </c>
      <c r="O128" s="86">
        <f t="shared" si="24"/>
      </c>
      <c r="P128" s="84">
        <f>P112+P117+P122+P127</f>
      </c>
      <c r="Q128" s="86">
        <f t="shared" si="0"/>
      </c>
      <c r="R128" s="87">
        <f>R112+R117+R122+R127</f>
      </c>
      <c r="S128" s="85">
        <f>S112+S117+S122+S127</f>
      </c>
      <c r="T128" s="85">
        <f t="shared" si="12"/>
      </c>
      <c r="U128" s="85">
        <f t="shared" si="8"/>
      </c>
      <c r="V128" s="88">
        <f t="shared" si="20"/>
      </c>
      <c r="W128" s="84">
        <f>W112+W117+W122+W127</f>
      </c>
      <c r="X128" s="88">
        <f t="shared" si="16"/>
      </c>
      <c r="Y128" s="88">
        <f t="shared" si="248"/>
      </c>
      <c r="Z128" s="85">
        <f t="shared" si="100"/>
      </c>
      <c r="AA128" s="85">
        <f t="shared" si="2"/>
      </c>
      <c r="AB128" s="89">
        <f t="shared" si="4"/>
      </c>
      <c r="AC128" s="86">
        <f t="shared" si="14"/>
      </c>
      <c r="AD128" s="86">
        <f t="shared" si="10"/>
      </c>
      <c r="AE128" s="86">
        <f t="shared" si="22"/>
      </c>
      <c r="AF128" s="90">
        <f t="shared" si="18"/>
      </c>
      <c r="AG128" s="86">
        <f t="shared" si="102"/>
      </c>
      <c r="AH128" s="86">
        <f t="shared" si="26"/>
      </c>
      <c r="AI128" s="86">
        <f t="shared" si="6"/>
      </c>
      <c r="AJ128" s="87">
        <f>(AJ112+AJ117+AJ122+AJ127)/4</f>
      </c>
      <c r="AK128" s="84">
        <f>AK112+AK117+AK122+AK127</f>
      </c>
      <c r="AL128" s="84">
        <f>AL112+AL117+AL122+AL127</f>
      </c>
      <c r="AM128" s="84">
        <f>AM112+AM117+AM122+AM127</f>
      </c>
      <c r="AN128" s="84">
        <f>AN112+AN117+AN122+AN127</f>
      </c>
      <c r="AO128" s="84">
        <f>AO112+AO117+AO122+AO127</f>
      </c>
      <c r="AP128" s="84">
        <f>AP112+AP117+AP122+AP127</f>
      </c>
      <c r="AQ128" s="84">
        <f>AQ112+AQ117+AQ122+AQ127</f>
      </c>
      <c r="AR128" s="84">
        <f>AR112+AR117+AR122+AR127</f>
      </c>
      <c r="AS128" s="84">
        <f>AS112+AS117+AS122+AS127</f>
      </c>
      <c r="AT128" s="84">
        <f>AT112+AT117+AT122+AT127</f>
      </c>
      <c r="AU128" s="84">
        <f>AU112+AU117+AU122+AU127</f>
      </c>
      <c r="AV128" s="39"/>
      <c r="AW128" s="84">
        <f>AW112+AW117+AW122</f>
      </c>
      <c r="AX128" s="84">
        <f>AX112+AX117+AX122+AX127</f>
      </c>
    </row>
    <row hidden="true" r="129">
      <c r="A129" s="62">
        <v>46302</v>
      </c>
      <c r="B129" s="73" t="s">
        <v>71</v>
      </c>
      <c r="C129" s="41" t="s">
        <v>60</v>
      </c>
      <c r="D129" s="73" t="s">
        <v>67</v>
      </c>
      <c r="E129" s="28" t="s">
        <v>62</v>
      </c>
      <c r="F129" s="63">
        <f t="shared" ref="F129:F132" si="52">G129+H129+I129</f>
      </c>
      <c r="G129" s="81">
        <v>1910.84</v>
      </c>
      <c r="H129" s="81">
        <v>1476.82</v>
      </c>
      <c r="I129" s="64">
        <v>0</v>
      </c>
      <c r="J129" s="65">
        <v>0</v>
      </c>
      <c r="K129" s="66">
        <v>0</v>
      </c>
      <c r="L129" s="65">
        <v>4</v>
      </c>
      <c r="M129" s="65">
        <v>26971.02</v>
      </c>
      <c r="N129" s="67">
        <v>1</v>
      </c>
      <c r="O129" s="68">
        <f t="shared" si="24"/>
      </c>
      <c r="P129" s="67">
        <v>2</v>
      </c>
      <c r="Q129" s="68">
        <f t="shared" si="0"/>
      </c>
      <c r="R129" s="69">
        <f t="shared" ref="R129:R132" si="128">J129+L129</f>
      </c>
      <c r="S129" s="70">
        <f t="shared" ref="S129:S132" si="200">K129+M129</f>
      </c>
      <c r="T129" s="63">
        <f t="shared" si="12"/>
      </c>
      <c r="U129" s="63">
        <f t="shared" si="8"/>
      </c>
      <c r="V129" s="71">
        <f t="shared" si="20"/>
      </c>
      <c r="W129" s="67">
        <v>2</v>
      </c>
      <c r="X129" s="71">
        <f t="shared" si="16"/>
      </c>
      <c r="Y129" s="71">
        <f t="shared" si="248"/>
      </c>
      <c r="Z129" s="63">
        <f t="shared" si="100"/>
      </c>
      <c r="AA129" s="63">
        <f t="shared" si="2"/>
      </c>
      <c r="AB129" s="63">
        <f t="shared" si="4"/>
      </c>
      <c r="AC129" s="68">
        <f t="shared" si="14"/>
      </c>
      <c r="AD129" s="68">
        <f t="shared" si="10"/>
      </c>
      <c r="AE129" s="68">
        <f t="shared" si="22"/>
      </c>
      <c r="AF129" s="68">
        <f t="shared" si="18"/>
      </c>
      <c r="AG129" s="68">
        <f t="shared" si="102"/>
      </c>
      <c r="AH129" s="68">
        <f t="shared" si="26"/>
      </c>
      <c r="AI129" s="68">
        <f t="shared" si="6"/>
      </c>
      <c r="AJ129" s="67">
        <v>64</v>
      </c>
      <c r="AK129" s="72">
        <v>17109</v>
      </c>
      <c r="AL129" s="72">
        <v>493</v>
      </c>
      <c r="AM129" s="72">
        <v>576</v>
      </c>
      <c r="AN129" s="72">
        <v>70</v>
      </c>
      <c r="AO129" s="73">
        <v>31</v>
      </c>
      <c r="AP129" s="41">
        <v>71</v>
      </c>
      <c r="AQ129" s="41">
        <v>112</v>
      </c>
      <c r="AR129" s="73">
        <v>7</v>
      </c>
      <c r="AS129" s="41">
        <v>11</v>
      </c>
      <c r="AT129" s="72">
        <v>0</v>
      </c>
      <c r="AU129" s="72">
        <v>1</v>
      </c>
      <c r="AV129" s="39"/>
      <c r="AW129" s="40"/>
      <c r="AX129" s="41">
        <f t="shared" ref="AX129:AX132" si="274">COUNT(AU129)</f>
      </c>
    </row>
    <row hidden="true" r="130">
      <c r="A130" s="62"/>
      <c r="B130" s="73" t="s">
        <v>71</v>
      </c>
      <c r="C130" s="41" t="s">
        <v>60</v>
      </c>
      <c r="D130" s="73" t="s">
        <v>67</v>
      </c>
      <c r="E130" s="28" t="s">
        <v>63</v>
      </c>
      <c r="F130" s="63">
        <f t="shared" si="52"/>
      </c>
      <c r="G130" s="81">
        <v>1500</v>
      </c>
      <c r="H130" s="81">
        <v>1523.18</v>
      </c>
      <c r="I130" s="64">
        <v>0</v>
      </c>
      <c r="J130" s="65">
        <v>1</v>
      </c>
      <c r="K130" s="65">
        <v>1564.65</v>
      </c>
      <c r="L130" s="65">
        <v>2</v>
      </c>
      <c r="M130" s="65">
        <v>6940.700000000001</v>
      </c>
      <c r="N130" s="67">
        <v>0</v>
      </c>
      <c r="O130" s="68">
        <f t="shared" si="24"/>
      </c>
      <c r="P130" s="67">
        <v>0</v>
      </c>
      <c r="Q130" s="68">
        <f t="shared" si="0"/>
      </c>
      <c r="R130" s="69">
        <f t="shared" si="128"/>
      </c>
      <c r="S130" s="70">
        <f t="shared" si="200"/>
      </c>
      <c r="T130" s="63">
        <f t="shared" si="12"/>
      </c>
      <c r="U130" s="63">
        <f t="shared" si="8"/>
      </c>
      <c r="V130" s="71">
        <f t="shared" si="20"/>
      </c>
      <c r="W130" s="67">
        <v>3</v>
      </c>
      <c r="X130" s="71">
        <f t="shared" si="16"/>
      </c>
      <c r="Y130" s="71">
        <f t="shared" si="248"/>
      </c>
      <c r="Z130" s="63">
        <f t="shared" si="100"/>
      </c>
      <c r="AA130" s="63">
        <f t="shared" si="2"/>
      </c>
      <c r="AB130" s="63">
        <f t="shared" si="4"/>
      </c>
      <c r="AC130" s="68">
        <f t="shared" si="14"/>
      </c>
      <c r="AD130" s="68">
        <f t="shared" si="10"/>
      </c>
      <c r="AE130" s="68">
        <f t="shared" si="22"/>
      </c>
      <c r="AF130" s="68">
        <f t="shared" si="18"/>
      </c>
      <c r="AG130" s="68">
        <f t="shared" si="102"/>
      </c>
      <c r="AH130" s="68">
        <f t="shared" si="26"/>
      </c>
      <c r="AI130" s="68">
        <f t="shared" si="6"/>
      </c>
      <c r="AJ130" s="67">
        <v>72</v>
      </c>
      <c r="AK130" s="72">
        <v>12804</v>
      </c>
      <c r="AL130" s="72">
        <v>303</v>
      </c>
      <c r="AM130" s="72">
        <v>322</v>
      </c>
      <c r="AN130" s="72">
        <v>58</v>
      </c>
      <c r="AO130" s="73">
        <v>26</v>
      </c>
      <c r="AP130" s="72">
        <v>52</v>
      </c>
      <c r="AQ130" s="41">
        <v>75</v>
      </c>
      <c r="AR130" s="73">
        <v>3</v>
      </c>
      <c r="AS130" s="67">
        <v>1</v>
      </c>
      <c r="AT130" s="67">
        <v>0</v>
      </c>
      <c r="AU130" s="67">
        <v>5</v>
      </c>
      <c r="AV130" s="39"/>
      <c r="AW130" s="40"/>
      <c r="AX130" s="41">
        <f t="shared" si="274"/>
      </c>
    </row>
    <row hidden="true" r="131">
      <c r="A131" s="62"/>
      <c r="B131" s="73" t="s">
        <v>71</v>
      </c>
      <c r="C131" s="41" t="s">
        <v>60</v>
      </c>
      <c r="D131" s="73" t="s">
        <v>67</v>
      </c>
      <c r="E131" s="28" t="s">
        <v>64</v>
      </c>
      <c r="F131" s="63">
        <f t="shared" si="52"/>
      </c>
      <c r="G131" s="81">
        <v>1483.5</v>
      </c>
      <c r="H131" s="81">
        <v>1500</v>
      </c>
      <c r="I131" s="64">
        <v>0</v>
      </c>
      <c r="J131" s="64">
        <v>0</v>
      </c>
      <c r="K131" s="64">
        <v>0</v>
      </c>
      <c r="L131" s="64">
        <v>1</v>
      </c>
      <c r="M131" s="64">
        <v>1429.5599999999977</v>
      </c>
      <c r="N131" s="67">
        <v>1</v>
      </c>
      <c r="O131" s="68">
        <f t="shared" si="24"/>
      </c>
      <c r="P131" s="67">
        <v>0</v>
      </c>
      <c r="Q131" s="68">
        <f t="shared" si="0"/>
      </c>
      <c r="R131" s="69">
        <f t="shared" si="128"/>
      </c>
      <c r="S131" s="70">
        <f t="shared" si="200"/>
      </c>
      <c r="T131" s="63">
        <f t="shared" si="12"/>
      </c>
      <c r="U131" s="63">
        <f t="shared" si="8"/>
      </c>
      <c r="V131" s="71">
        <f t="shared" si="20"/>
      </c>
      <c r="W131" s="67">
        <v>1</v>
      </c>
      <c r="X131" s="71">
        <f t="shared" si="16"/>
      </c>
      <c r="Y131" s="71">
        <f t="shared" si="248"/>
      </c>
      <c r="Z131" s="63">
        <f t="shared" si="100"/>
      </c>
      <c r="AA131" s="63">
        <f t="shared" si="2"/>
      </c>
      <c r="AB131" s="63">
        <f t="shared" si="4"/>
      </c>
      <c r="AC131" s="68">
        <f t="shared" si="14"/>
      </c>
      <c r="AD131" s="68">
        <f t="shared" si="10"/>
      </c>
      <c r="AE131" s="68">
        <f t="shared" si="22"/>
      </c>
      <c r="AF131" s="68">
        <f t="shared" si="18"/>
      </c>
      <c r="AG131" s="68">
        <f t="shared" si="102"/>
      </c>
      <c r="AH131" s="68">
        <f t="shared" si="26"/>
      </c>
      <c r="AI131" s="68">
        <f t="shared" si="6"/>
      </c>
      <c r="AJ131" s="67">
        <v>75</v>
      </c>
      <c r="AK131" s="72">
        <v>16850</v>
      </c>
      <c r="AL131" s="72">
        <v>243</v>
      </c>
      <c r="AM131" s="72">
        <v>265</v>
      </c>
      <c r="AN131" s="72">
        <v>70</v>
      </c>
      <c r="AO131" s="73">
        <v>22</v>
      </c>
      <c r="AP131" s="72">
        <v>98</v>
      </c>
      <c r="AQ131" s="41">
        <v>69</v>
      </c>
      <c r="AR131" s="73">
        <v>2</v>
      </c>
      <c r="AS131" s="67">
        <v>4</v>
      </c>
      <c r="AT131" s="67">
        <v>2</v>
      </c>
      <c r="AU131" s="67">
        <v>6</v>
      </c>
      <c r="AV131" s="39"/>
      <c r="AW131" s="40"/>
      <c r="AX131" s="41">
        <f t="shared" si="274"/>
      </c>
    </row>
    <row customHeight="true" hidden="true" ht="16.071428571428573" r="132">
      <c r="A132" s="62"/>
      <c r="B132" s="41" t="s">
        <v>71</v>
      </c>
      <c r="C132" s="41" t="s">
        <v>60</v>
      </c>
      <c r="D132" s="41" t="s">
        <v>67</v>
      </c>
      <c r="E132" s="41" t="s">
        <v>65</v>
      </c>
      <c r="F132" s="63">
        <f t="shared" si="52"/>
      </c>
      <c r="G132" s="81">
        <v>1516.5</v>
      </c>
      <c r="H132" s="81">
        <v>1491.27</v>
      </c>
      <c r="I132" s="65">
        <v>0</v>
      </c>
      <c r="J132" s="65">
        <v>0</v>
      </c>
      <c r="K132" s="65">
        <v>0</v>
      </c>
      <c r="L132" s="65">
        <v>3</v>
      </c>
      <c r="M132" s="65">
        <v>5631.800000000003</v>
      </c>
      <c r="N132" s="67">
        <v>0</v>
      </c>
      <c r="O132" s="68">
        <f t="shared" si="24"/>
      </c>
      <c r="P132" s="67">
        <v>0</v>
      </c>
      <c r="Q132" s="68">
        <f t="shared" si="0"/>
      </c>
      <c r="R132" s="69">
        <f t="shared" si="128"/>
      </c>
      <c r="S132" s="70">
        <f t="shared" si="200"/>
      </c>
      <c r="T132" s="63">
        <f t="shared" si="12"/>
      </c>
      <c r="U132" s="63">
        <f t="shared" si="8"/>
      </c>
      <c r="V132" s="71">
        <f t="shared" si="20"/>
      </c>
      <c r="W132" s="67">
        <v>3</v>
      </c>
      <c r="X132" s="71">
        <f t="shared" si="16"/>
      </c>
      <c r="Y132" s="71">
        <f t="shared" si="248"/>
      </c>
      <c r="Z132" s="63">
        <f t="shared" si="100"/>
      </c>
      <c r="AA132" s="63">
        <f t="shared" si="2"/>
      </c>
      <c r="AB132" s="63">
        <f t="shared" si="4"/>
      </c>
      <c r="AC132" s="68">
        <f t="shared" si="14"/>
      </c>
      <c r="AD132" s="68">
        <f t="shared" si="10"/>
      </c>
      <c r="AE132" s="68">
        <f t="shared" si="22"/>
      </c>
      <c r="AF132" s="68">
        <f t="shared" si="18"/>
      </c>
      <c r="AG132" s="68">
        <f t="shared" si="102"/>
      </c>
      <c r="AH132" s="68">
        <f t="shared" si="26"/>
      </c>
      <c r="AI132" s="68">
        <f t="shared" si="6"/>
      </c>
      <c r="AJ132" s="67">
        <v>76</v>
      </c>
      <c r="AK132" s="72">
        <v>16519</v>
      </c>
      <c r="AL132" s="72">
        <v>277</v>
      </c>
      <c r="AM132" s="72">
        <v>297</v>
      </c>
      <c r="AN132" s="72">
        <v>70</v>
      </c>
      <c r="AO132" s="73">
        <v>27</v>
      </c>
      <c r="AP132" s="72">
        <v>64</v>
      </c>
      <c r="AQ132" s="41">
        <v>58</v>
      </c>
      <c r="AR132" s="73">
        <v>6</v>
      </c>
      <c r="AS132" s="67">
        <v>11</v>
      </c>
      <c r="AT132" s="67">
        <v>1</v>
      </c>
      <c r="AU132" s="67">
        <v>6</v>
      </c>
      <c r="AV132" s="39"/>
      <c r="AW132" s="40"/>
      <c r="AX132" s="41">
        <f t="shared" si="274"/>
      </c>
    </row>
    <row hidden="true" r="133">
      <c r="A133" s="62"/>
      <c r="B133" s="75" t="s">
        <v>66</v>
      </c>
      <c r="C133" s="75"/>
      <c r="D133" s="75"/>
      <c r="E133" s="75"/>
      <c r="F133" s="76">
        <f>SUM(F129:F132)</f>
      </c>
      <c r="G133" s="76">
        <f>SUM(G129:G132)</f>
      </c>
      <c r="H133" s="76">
        <f>SUM(H129:H132)</f>
      </c>
      <c r="I133" s="76">
        <f>SUM(I129:I132)</f>
      </c>
      <c r="J133" s="76">
        <f>SUM(J129:J132)</f>
      </c>
      <c r="K133" s="76">
        <f>SUM(K129:K132)</f>
      </c>
      <c r="L133" s="76">
        <f>SUM(L129:L132)</f>
      </c>
      <c r="M133" s="76">
        <f>SUM(M129:M132)</f>
      </c>
      <c r="N133" s="76">
        <f>SUM(N129:N132)</f>
      </c>
      <c r="O133" s="77">
        <f t="shared" si="24"/>
      </c>
      <c r="P133" s="76">
        <f>SUM(P129:P132)</f>
      </c>
      <c r="Q133" s="77">
        <f t="shared" si="0"/>
      </c>
      <c r="R133" s="76">
        <f>SUM(R129:R132)</f>
      </c>
      <c r="S133" s="76">
        <f>SUM(S129:S132)</f>
      </c>
      <c r="T133" s="76">
        <f t="shared" si="12"/>
      </c>
      <c r="U133" s="76">
        <f t="shared" si="8"/>
      </c>
      <c r="V133" s="76">
        <f t="shared" si="20"/>
      </c>
      <c r="W133" s="76">
        <f>SUM(W129:W132)</f>
      </c>
      <c r="X133" s="79">
        <f t="shared" si="16"/>
      </c>
      <c r="Y133" s="79">
        <f t="shared" si="248"/>
      </c>
      <c r="Z133" s="76">
        <f t="shared" si="100"/>
      </c>
      <c r="AA133" s="76">
        <f t="shared" si="2"/>
      </c>
      <c r="AB133" s="80">
        <f t="shared" si="4"/>
      </c>
      <c r="AC133" s="77">
        <f t="shared" si="14"/>
      </c>
      <c r="AD133" s="77">
        <f t="shared" si="10"/>
      </c>
      <c r="AE133" s="77">
        <f t="shared" si="22"/>
      </c>
      <c r="AF133" s="77">
        <f t="shared" si="18"/>
      </c>
      <c r="AG133" s="77">
        <f t="shared" si="102"/>
      </c>
      <c r="AH133" s="77">
        <f t="shared" si="26"/>
      </c>
      <c r="AI133" s="77">
        <f t="shared" si="6"/>
      </c>
      <c r="AJ133" s="78">
        <f>AVERAGE(AJ129:AJ132)</f>
      </c>
      <c r="AK133" s="76">
        <f>SUM(AK129:AK132)</f>
      </c>
      <c r="AL133" s="76">
        <f>SUM(AL129:AL132)</f>
      </c>
      <c r="AM133" s="76">
        <f>SUM(AM129:AM132)</f>
      </c>
      <c r="AN133" s="76">
        <f>SUM(AN129:AN132)</f>
      </c>
      <c r="AO133" s="76">
        <f>SUM(AO129:AO132)</f>
      </c>
      <c r="AP133" s="76">
        <f>SUM(AP129:AP132)</f>
      </c>
      <c r="AQ133" s="76">
        <f>SUM(AQ129:AQ132)</f>
      </c>
      <c r="AR133" s="76">
        <f>SUM(AR129:AR132)</f>
      </c>
      <c r="AS133" s="76">
        <f>SUM(AS129:AS132)</f>
      </c>
      <c r="AT133" s="76">
        <f>SUM(AT129:AT132)</f>
      </c>
      <c r="AU133" s="76">
        <f>SUM(AU129:AU132)</f>
      </c>
      <c r="AV133" s="39"/>
      <c r="AW133" s="48"/>
      <c r="AX133" s="76">
        <f>SUM(AX129:AX132)</f>
      </c>
    </row>
    <row hidden="true" r="134">
      <c r="A134" s="62"/>
      <c r="B134" s="73" t="s">
        <v>71</v>
      </c>
      <c r="C134" s="41" t="s">
        <v>60</v>
      </c>
      <c r="D134" s="73" t="s">
        <v>61</v>
      </c>
      <c r="E134" s="41" t="s">
        <v>68</v>
      </c>
      <c r="F134" s="63">
        <f t="shared" ref="F134:F137" si="53">G134+H134+I134</f>
      </c>
      <c r="G134" s="81">
        <v>1348.52</v>
      </c>
      <c r="H134" s="81">
        <v>1415.96</v>
      </c>
      <c r="I134" s="64">
        <v>0</v>
      </c>
      <c r="J134" s="65">
        <v>0</v>
      </c>
      <c r="K134" s="65">
        <v>0</v>
      </c>
      <c r="L134" s="65">
        <v>5</v>
      </c>
      <c r="M134" s="65">
        <v>8718.979999999996</v>
      </c>
      <c r="N134" s="67">
        <v>2</v>
      </c>
      <c r="O134" s="68">
        <f t="shared" si="24"/>
      </c>
      <c r="P134" s="67">
        <v>0</v>
      </c>
      <c r="Q134" s="68">
        <f t="shared" si="0"/>
      </c>
      <c r="R134" s="69">
        <f t="shared" ref="R134:R137" si="129">J134+L134</f>
      </c>
      <c r="S134" s="70">
        <f t="shared" ref="S134:S137" si="201">K134+M134</f>
      </c>
      <c r="T134" s="63">
        <f t="shared" si="12"/>
      </c>
      <c r="U134" s="63">
        <f t="shared" si="8"/>
      </c>
      <c r="V134" s="71">
        <f t="shared" si="20"/>
      </c>
      <c r="W134" s="67">
        <v>5</v>
      </c>
      <c r="X134" s="71">
        <f t="shared" si="16"/>
      </c>
      <c r="Y134" s="71">
        <f t="shared" si="248"/>
      </c>
      <c r="Z134" s="63">
        <f t="shared" si="100"/>
      </c>
      <c r="AA134" s="63">
        <f t="shared" si="2"/>
      </c>
      <c r="AB134" s="63">
        <f t="shared" si="4"/>
      </c>
      <c r="AC134" s="68">
        <f t="shared" si="14"/>
      </c>
      <c r="AD134" s="68">
        <f t="shared" si="10"/>
      </c>
      <c r="AE134" s="68">
        <f t="shared" si="22"/>
      </c>
      <c r="AF134" s="68">
        <f t="shared" si="18"/>
      </c>
      <c r="AG134" s="68">
        <f t="shared" si="102"/>
      </c>
      <c r="AH134" s="68">
        <f t="shared" si="26"/>
      </c>
      <c r="AI134" s="68">
        <f t="shared" si="6"/>
      </c>
      <c r="AJ134" s="67">
        <v>77</v>
      </c>
      <c r="AK134" s="72">
        <v>13550</v>
      </c>
      <c r="AL134" s="72">
        <v>345</v>
      </c>
      <c r="AM134" s="72">
        <v>365</v>
      </c>
      <c r="AN134" s="72">
        <v>84</v>
      </c>
      <c r="AO134" s="73">
        <v>22</v>
      </c>
      <c r="AP134" s="72">
        <v>76</v>
      </c>
      <c r="AQ134" s="41">
        <v>66</v>
      </c>
      <c r="AR134" s="73">
        <v>5</v>
      </c>
      <c r="AS134" s="73">
        <v>7</v>
      </c>
      <c r="AT134" s="67">
        <v>0</v>
      </c>
      <c r="AU134" s="67">
        <v>6</v>
      </c>
      <c r="AV134" s="39"/>
      <c r="AW134" s="40"/>
      <c r="AX134" s="41">
        <f t="shared" ref="AX134:AX137" si="275">COUNT(AU134)</f>
      </c>
    </row>
    <row hidden="true" r="135">
      <c r="A135" s="62"/>
      <c r="B135" s="73" t="s">
        <v>71</v>
      </c>
      <c r="C135" s="41" t="s">
        <v>60</v>
      </c>
      <c r="D135" s="73" t="s">
        <v>61</v>
      </c>
      <c r="E135" s="41" t="s">
        <v>69</v>
      </c>
      <c r="F135" s="63">
        <f t="shared" si="53"/>
      </c>
      <c r="G135" s="81">
        <v>1615.1</v>
      </c>
      <c r="H135" s="81">
        <v>1577.74</v>
      </c>
      <c r="I135" s="64">
        <v>0</v>
      </c>
      <c r="J135" s="65">
        <v>0</v>
      </c>
      <c r="K135" s="65">
        <v>0</v>
      </c>
      <c r="L135" s="65">
        <v>4</v>
      </c>
      <c r="M135" s="65">
        <v>11502.930000000008</v>
      </c>
      <c r="N135" s="67">
        <v>2</v>
      </c>
      <c r="O135" s="68">
        <f t="shared" si="24"/>
      </c>
      <c r="P135" s="67">
        <v>1</v>
      </c>
      <c r="Q135" s="68">
        <f t="shared" si="0"/>
      </c>
      <c r="R135" s="69">
        <f t="shared" si="129"/>
      </c>
      <c r="S135" s="70">
        <f t="shared" si="201"/>
      </c>
      <c r="T135" s="63">
        <f t="shared" si="12"/>
      </c>
      <c r="U135" s="63">
        <f t="shared" si="8"/>
      </c>
      <c r="V135" s="71">
        <f t="shared" si="20"/>
      </c>
      <c r="W135" s="67">
        <v>3</v>
      </c>
      <c r="X135" s="71">
        <f t="shared" si="16"/>
      </c>
      <c r="Y135" s="71">
        <f t="shared" si="248"/>
      </c>
      <c r="Z135" s="63">
        <f t="shared" si="100"/>
      </c>
      <c r="AA135" s="63">
        <f t="shared" si="2"/>
      </c>
      <c r="AB135" s="63">
        <f t="shared" si="4"/>
      </c>
      <c r="AC135" s="68">
        <f t="shared" si="14"/>
      </c>
      <c r="AD135" s="68">
        <f t="shared" si="10"/>
      </c>
      <c r="AE135" s="68">
        <f t="shared" si="22"/>
      </c>
      <c r="AF135" s="68">
        <f t="shared" si="18"/>
      </c>
      <c r="AG135" s="68">
        <f t="shared" si="102"/>
      </c>
      <c r="AH135" s="68">
        <f t="shared" si="26"/>
      </c>
      <c r="AI135" s="68">
        <f t="shared" si="6"/>
      </c>
      <c r="AJ135" s="67">
        <v>75</v>
      </c>
      <c r="AK135" s="72">
        <v>17437</v>
      </c>
      <c r="AL135" s="72">
        <v>500</v>
      </c>
      <c r="AM135" s="72">
        <v>615</v>
      </c>
      <c r="AN135" s="72">
        <v>89</v>
      </c>
      <c r="AO135" s="73">
        <v>30</v>
      </c>
      <c r="AP135" s="72">
        <v>89</v>
      </c>
      <c r="AQ135" s="41">
        <v>92</v>
      </c>
      <c r="AR135" s="73">
        <v>4</v>
      </c>
      <c r="AS135" s="73">
        <v>2</v>
      </c>
      <c r="AT135" s="67">
        <v>2</v>
      </c>
      <c r="AU135" s="67">
        <v>2</v>
      </c>
      <c r="AV135" s="39"/>
      <c r="AW135" s="40"/>
      <c r="AX135" s="41">
        <f t="shared" si="275"/>
      </c>
    </row>
    <row hidden="true" r="136">
      <c r="A136" s="62"/>
      <c r="B136" s="73" t="s">
        <v>71</v>
      </c>
      <c r="C136" s="41" t="s">
        <v>60</v>
      </c>
      <c r="D136" s="73" t="s">
        <v>61</v>
      </c>
      <c r="E136" s="41" t="s">
        <v>70</v>
      </c>
      <c r="F136" s="63">
        <f t="shared" si="53"/>
      </c>
      <c r="G136" s="81">
        <v>1490.04</v>
      </c>
      <c r="H136" s="81">
        <v>1515.03</v>
      </c>
      <c r="I136" s="64">
        <v>0</v>
      </c>
      <c r="J136" s="65">
        <v>1</v>
      </c>
      <c r="K136" s="65">
        <v>1408.19</v>
      </c>
      <c r="L136" s="65">
        <v>1</v>
      </c>
      <c r="M136" s="65">
        <v>5418.949999999997</v>
      </c>
      <c r="N136" s="67">
        <v>1</v>
      </c>
      <c r="O136" s="68">
        <f t="shared" si="24"/>
      </c>
      <c r="P136" s="67">
        <v>1</v>
      </c>
      <c r="Q136" s="68">
        <f t="shared" si="0"/>
      </c>
      <c r="R136" s="69">
        <f t="shared" si="129"/>
      </c>
      <c r="S136" s="70">
        <f t="shared" si="201"/>
      </c>
      <c r="T136" s="63">
        <f t="shared" si="12"/>
      </c>
      <c r="U136" s="63">
        <f t="shared" si="8"/>
      </c>
      <c r="V136" s="71">
        <f t="shared" si="20"/>
      </c>
      <c r="W136" s="67">
        <v>2</v>
      </c>
      <c r="X136" s="71">
        <f t="shared" si="16"/>
      </c>
      <c r="Y136" s="71">
        <f t="shared" si="248"/>
      </c>
      <c r="Z136" s="63">
        <f t="shared" si="100"/>
      </c>
      <c r="AA136" s="63">
        <f t="shared" si="2"/>
      </c>
      <c r="AB136" s="63">
        <f t="shared" si="4"/>
      </c>
      <c r="AC136" s="68">
        <f t="shared" si="14"/>
      </c>
      <c r="AD136" s="68">
        <f t="shared" si="10"/>
      </c>
      <c r="AE136" s="68">
        <f t="shared" si="22"/>
      </c>
      <c r="AF136" s="68">
        <f t="shared" si="18"/>
      </c>
      <c r="AG136" s="68">
        <f t="shared" si="102"/>
      </c>
      <c r="AH136" s="68">
        <f t="shared" si="26"/>
      </c>
      <c r="AI136" s="68">
        <f t="shared" si="6"/>
      </c>
      <c r="AJ136" s="67">
        <v>70</v>
      </c>
      <c r="AK136" s="72">
        <v>15844</v>
      </c>
      <c r="AL136" s="72">
        <v>284</v>
      </c>
      <c r="AM136" s="72">
        <v>287</v>
      </c>
      <c r="AN136" s="72">
        <v>78</v>
      </c>
      <c r="AO136" s="73">
        <v>30</v>
      </c>
      <c r="AP136" s="72">
        <v>77</v>
      </c>
      <c r="AQ136" s="73">
        <v>72</v>
      </c>
      <c r="AR136" s="73">
        <v>4</v>
      </c>
      <c r="AS136" s="72">
        <v>4</v>
      </c>
      <c r="AT136" s="72">
        <v>1</v>
      </c>
      <c r="AU136" s="72">
        <v>8</v>
      </c>
      <c r="AV136" s="39"/>
      <c r="AW136" s="40"/>
      <c r="AX136" s="41">
        <f t="shared" si="275"/>
      </c>
    </row>
    <row hidden="true" r="137">
      <c r="A137" s="62"/>
      <c r="B137" s="73" t="s">
        <v>87</v>
      </c>
      <c r="C137" s="41" t="s">
        <v>72</v>
      </c>
      <c r="D137" s="73" t="s">
        <v>61</v>
      </c>
      <c r="E137" s="41" t="s">
        <v>73</v>
      </c>
      <c r="F137" s="63">
        <f t="shared" si="53"/>
      </c>
      <c r="G137" s="81">
        <v>1493.47</v>
      </c>
      <c r="H137" s="81">
        <v>1476.01</v>
      </c>
      <c r="I137" s="64">
        <v>0</v>
      </c>
      <c r="J137" s="65">
        <v>1</v>
      </c>
      <c r="K137" s="65">
        <v>1564.6499999999996</v>
      </c>
      <c r="L137" s="65">
        <v>1</v>
      </c>
      <c r="M137" s="65">
        <v>2033.949999999997</v>
      </c>
      <c r="N137" s="67">
        <v>0</v>
      </c>
      <c r="O137" s="68">
        <f t="shared" si="24"/>
      </c>
      <c r="P137" s="67">
        <v>0</v>
      </c>
      <c r="Q137" s="68">
        <f t="shared" si="0"/>
      </c>
      <c r="R137" s="69">
        <f t="shared" si="129"/>
      </c>
      <c r="S137" s="70">
        <f t="shared" si="201"/>
      </c>
      <c r="T137" s="63">
        <f t="shared" si="12"/>
      </c>
      <c r="U137" s="63">
        <f t="shared" si="8"/>
      </c>
      <c r="V137" s="71">
        <f t="shared" si="20"/>
      </c>
      <c r="W137" s="67">
        <v>1</v>
      </c>
      <c r="X137" s="71">
        <f t="shared" si="16"/>
      </c>
      <c r="Y137" s="71">
        <f t="shared" si="248"/>
      </c>
      <c r="Z137" s="63">
        <f t="shared" si="100"/>
      </c>
      <c r="AA137" s="63">
        <f t="shared" si="2"/>
      </c>
      <c r="AB137" s="63">
        <f t="shared" si="4"/>
      </c>
      <c r="AC137" s="68">
        <f t="shared" si="14"/>
      </c>
      <c r="AD137" s="68">
        <f t="shared" si="10"/>
      </c>
      <c r="AE137" s="68">
        <f t="shared" si="22"/>
      </c>
      <c r="AF137" s="68">
        <f t="shared" si="18"/>
      </c>
      <c r="AG137" s="68">
        <f t="shared" si="102"/>
      </c>
      <c r="AH137" s="68">
        <f t="shared" si="26"/>
      </c>
      <c r="AI137" s="68">
        <f t="shared" si="6"/>
      </c>
      <c r="AJ137" s="67">
        <v>71</v>
      </c>
      <c r="AK137" s="72">
        <v>16425</v>
      </c>
      <c r="AL137" s="72">
        <v>324</v>
      </c>
      <c r="AM137" s="67">
        <v>357</v>
      </c>
      <c r="AN137" s="67">
        <v>82</v>
      </c>
      <c r="AO137" s="73">
        <v>28</v>
      </c>
      <c r="AP137" s="67">
        <v>73</v>
      </c>
      <c r="AQ137" s="73">
        <v>68</v>
      </c>
      <c r="AR137" s="73">
        <v>3</v>
      </c>
      <c r="AS137" s="67">
        <v>5</v>
      </c>
      <c r="AT137" s="67">
        <v>3</v>
      </c>
      <c r="AU137" s="67">
        <v>14</v>
      </c>
      <c r="AV137" s="39"/>
      <c r="AW137" s="40"/>
      <c r="AX137" s="41">
        <f t="shared" si="275"/>
      </c>
    </row>
    <row hidden="true" r="138">
      <c r="A138" s="62"/>
      <c r="B138" s="75" t="s">
        <v>66</v>
      </c>
      <c r="C138" s="75"/>
      <c r="D138" s="75"/>
      <c r="E138" s="75"/>
      <c r="F138" s="76">
        <f>SUM(F134:F137)</f>
      </c>
      <c r="G138" s="76">
        <f>SUM(G134:G137)</f>
      </c>
      <c r="H138" s="76">
        <f>SUM(H134:H137)</f>
      </c>
      <c r="I138" s="76">
        <f>SUM(I134:I137)</f>
      </c>
      <c r="J138" s="76">
        <f>SUM(J134:J137)</f>
      </c>
      <c r="K138" s="76">
        <f>SUM(K134:K137)</f>
      </c>
      <c r="L138" s="76">
        <f>SUM(L134:L137)</f>
      </c>
      <c r="M138" s="76">
        <f>SUM(M134:M137)</f>
      </c>
      <c r="N138" s="76">
        <f>SUM(N134:N137)</f>
      </c>
      <c r="O138" s="77">
        <f t="shared" si="24"/>
      </c>
      <c r="P138" s="76">
        <f>SUM(P134:P137)</f>
      </c>
      <c r="Q138" s="77">
        <f t="shared" si="0"/>
      </c>
      <c r="R138" s="91">
        <f>SUM(R134:R137)</f>
      </c>
      <c r="S138" s="76">
        <f>SUM(S134:S137)</f>
      </c>
      <c r="T138" s="76">
        <f t="shared" si="12"/>
      </c>
      <c r="U138" s="76">
        <f t="shared" si="8"/>
      </c>
      <c r="V138" s="79">
        <f t="shared" si="20"/>
      </c>
      <c r="W138" s="76">
        <f>SUM(W134:W137)</f>
      </c>
      <c r="X138" s="79">
        <f t="shared" si="16"/>
      </c>
      <c r="Y138" s="79">
        <f t="shared" si="248"/>
      </c>
      <c r="Z138" s="76">
        <f t="shared" si="100"/>
      </c>
      <c r="AA138" s="76">
        <f t="shared" si="2"/>
      </c>
      <c r="AB138" s="80">
        <f t="shared" si="4"/>
      </c>
      <c r="AC138" s="77">
        <f t="shared" si="14"/>
      </c>
      <c r="AD138" s="77">
        <f t="shared" si="10"/>
      </c>
      <c r="AE138" s="77">
        <f t="shared" si="22"/>
      </c>
      <c r="AF138" s="82">
        <f t="shared" si="18"/>
      </c>
      <c r="AG138" s="77">
        <f t="shared" si="102"/>
      </c>
      <c r="AH138" s="77">
        <f t="shared" si="26"/>
      </c>
      <c r="AI138" s="77">
        <f t="shared" si="6"/>
      </c>
      <c r="AJ138" s="78">
        <f>AVERAGE(AJ134:AJ137)</f>
      </c>
      <c r="AK138" s="76">
        <f>SUM(AK134:AK137)</f>
      </c>
      <c r="AL138" s="76">
        <f>SUM(AL134:AL137)</f>
      </c>
      <c r="AM138" s="76">
        <f>SUM(AM134:AM137)</f>
      </c>
      <c r="AN138" s="76">
        <f>SUM(AN134:AN137)</f>
      </c>
      <c r="AO138" s="76">
        <f>SUM(AO134:AO137)</f>
      </c>
      <c r="AP138" s="76">
        <f>SUM(AP134:AP137)</f>
      </c>
      <c r="AQ138" s="76">
        <f>SUM(AQ134:AQ137)</f>
      </c>
      <c r="AR138" s="76">
        <f>SUM(AR134:AR137)</f>
      </c>
      <c r="AS138" s="76">
        <f>SUM(AS134:AS137)</f>
      </c>
      <c r="AT138" s="76">
        <f>SUM(AT134:AT137)</f>
      </c>
      <c r="AU138" s="76">
        <f>SUM(AU134:AU137)</f>
      </c>
      <c r="AV138" s="39"/>
      <c r="AW138" s="48"/>
      <c r="AX138" s="49">
        <f>SUM(AX134:AX137)</f>
      </c>
    </row>
    <row hidden="true" r="139">
      <c r="A139" s="62"/>
      <c r="B139" s="73" t="s">
        <v>87</v>
      </c>
      <c r="C139" s="41" t="s">
        <v>72</v>
      </c>
      <c r="D139" s="41" t="s">
        <v>74</v>
      </c>
      <c r="E139" s="41" t="s">
        <v>75</v>
      </c>
      <c r="F139" s="63">
        <f t="shared" ref="F139:F142" si="54">G139+H139+I139</f>
      </c>
      <c r="G139" s="81">
        <v>660.13</v>
      </c>
      <c r="H139" s="81">
        <v>621.12</v>
      </c>
      <c r="I139" s="64">
        <v>0</v>
      </c>
      <c r="J139" s="65">
        <v>0</v>
      </c>
      <c r="K139" s="65">
        <v>0</v>
      </c>
      <c r="L139" s="65">
        <v>1</v>
      </c>
      <c r="M139" s="65">
        <v>1217.8999999999942</v>
      </c>
      <c r="N139" s="67">
        <v>0</v>
      </c>
      <c r="O139" s="68">
        <f t="shared" si="24"/>
      </c>
      <c r="P139" s="67">
        <v>0</v>
      </c>
      <c r="Q139" s="68">
        <f t="shared" si="0"/>
      </c>
      <c r="R139" s="69">
        <f t="shared" ref="R139:R142" si="130">J139+L139</f>
      </c>
      <c r="S139" s="70">
        <f t="shared" ref="S139:S142" si="202">K139+M139</f>
      </c>
      <c r="T139" s="63">
        <f t="shared" si="12"/>
      </c>
      <c r="U139" s="63">
        <f t="shared" si="8"/>
      </c>
      <c r="V139" s="71">
        <f t="shared" si="20"/>
      </c>
      <c r="W139" s="67">
        <v>1</v>
      </c>
      <c r="X139" s="71">
        <f t="shared" si="16"/>
      </c>
      <c r="Y139" s="71">
        <f t="shared" si="248"/>
      </c>
      <c r="Z139" s="63">
        <f t="shared" si="100"/>
      </c>
      <c r="AA139" s="63">
        <f t="shared" si="2"/>
      </c>
      <c r="AB139" s="63">
        <f t="shared" si="4"/>
      </c>
      <c r="AC139" s="68">
        <f t="shared" si="14"/>
      </c>
      <c r="AD139" s="68">
        <f t="shared" si="10"/>
      </c>
      <c r="AE139" s="68">
        <f t="shared" si="22"/>
      </c>
      <c r="AF139" s="68">
        <f t="shared" si="18"/>
      </c>
      <c r="AG139" s="68">
        <f t="shared" si="102"/>
      </c>
      <c r="AH139" s="68">
        <f t="shared" si="26"/>
      </c>
      <c r="AI139" s="68">
        <f t="shared" si="6"/>
      </c>
      <c r="AJ139" s="67">
        <v>71</v>
      </c>
      <c r="AK139" s="72">
        <v>9085</v>
      </c>
      <c r="AL139" s="72">
        <v>109</v>
      </c>
      <c r="AM139" s="72">
        <v>99</v>
      </c>
      <c r="AN139" s="72">
        <v>26</v>
      </c>
      <c r="AO139" s="73">
        <v>8</v>
      </c>
      <c r="AP139" s="72">
        <v>18</v>
      </c>
      <c r="AQ139" s="41">
        <v>21</v>
      </c>
      <c r="AR139" s="73">
        <v>1</v>
      </c>
      <c r="AS139" s="41">
        <v>1</v>
      </c>
      <c r="AT139" s="72">
        <v>0</v>
      </c>
      <c r="AU139" s="72">
        <v>5</v>
      </c>
      <c r="AV139" s="39"/>
      <c r="AW139" s="40"/>
      <c r="AX139" s="41">
        <f t="shared" ref="AX139:AX142" si="276">COUNT(AU139)</f>
      </c>
    </row>
    <row hidden="true" r="140">
      <c r="A140" s="62"/>
      <c r="B140" s="73" t="s">
        <v>87</v>
      </c>
      <c r="C140" s="41" t="s">
        <v>72</v>
      </c>
      <c r="D140" s="41" t="s">
        <v>74</v>
      </c>
      <c r="E140" s="41" t="s">
        <v>76</v>
      </c>
      <c r="F140" s="63">
        <f t="shared" si="54"/>
      </c>
      <c r="G140" s="81">
        <v>1392.74</v>
      </c>
      <c r="H140" s="81">
        <v>1402.87</v>
      </c>
      <c r="I140" s="64">
        <v>0</v>
      </c>
      <c r="J140" s="64">
        <v>0</v>
      </c>
      <c r="K140" s="64">
        <v>0</v>
      </c>
      <c r="L140" s="65">
        <v>2</v>
      </c>
      <c r="M140" s="65">
        <v>2954</v>
      </c>
      <c r="N140" s="67">
        <v>0</v>
      </c>
      <c r="O140" s="68">
        <f t="shared" si="24"/>
      </c>
      <c r="P140" s="67">
        <v>0</v>
      </c>
      <c r="Q140" s="68">
        <f t="shared" si="0"/>
      </c>
      <c r="R140" s="69">
        <f t="shared" si="130"/>
      </c>
      <c r="S140" s="70">
        <f t="shared" si="202"/>
      </c>
      <c r="T140" s="63">
        <f t="shared" si="12"/>
      </c>
      <c r="U140" s="63">
        <f t="shared" si="8"/>
      </c>
      <c r="V140" s="71">
        <f t="shared" si="20"/>
      </c>
      <c r="W140" s="67">
        <v>2</v>
      </c>
      <c r="X140" s="71">
        <f t="shared" si="16"/>
      </c>
      <c r="Y140" s="71">
        <f t="shared" si="248"/>
      </c>
      <c r="Z140" s="63">
        <f t="shared" si="100"/>
      </c>
      <c r="AA140" s="63">
        <f t="shared" si="2"/>
      </c>
      <c r="AB140" s="63">
        <f t="shared" si="4"/>
      </c>
      <c r="AC140" s="68">
        <f t="shared" si="14"/>
      </c>
      <c r="AD140" s="68">
        <f t="shared" si="10"/>
      </c>
      <c r="AE140" s="68">
        <f t="shared" si="22"/>
      </c>
      <c r="AF140" s="68">
        <f t="shared" si="18"/>
      </c>
      <c r="AG140" s="68">
        <f t="shared" si="102"/>
      </c>
      <c r="AH140" s="68">
        <f t="shared" si="26"/>
      </c>
      <c r="AI140" s="68">
        <f t="shared" si="6"/>
      </c>
      <c r="AJ140" s="67">
        <v>70</v>
      </c>
      <c r="AK140" s="67">
        <v>20839</v>
      </c>
      <c r="AL140" s="72">
        <v>417</v>
      </c>
      <c r="AM140" s="72">
        <v>568</v>
      </c>
      <c r="AN140" s="72">
        <v>88</v>
      </c>
      <c r="AO140" s="73">
        <v>27</v>
      </c>
      <c r="AP140" s="67">
        <v>76</v>
      </c>
      <c r="AQ140" s="73">
        <v>80</v>
      </c>
      <c r="AR140" s="73">
        <v>2</v>
      </c>
      <c r="AS140" s="41">
        <v>4</v>
      </c>
      <c r="AT140" s="72">
        <v>0</v>
      </c>
      <c r="AU140" s="72">
        <v>10</v>
      </c>
      <c r="AV140" s="39"/>
      <c r="AW140" s="40"/>
      <c r="AX140" s="41">
        <f t="shared" si="276"/>
      </c>
    </row>
    <row hidden="true" r="141">
      <c r="A141" s="62"/>
      <c r="B141" s="73" t="s">
        <v>87</v>
      </c>
      <c r="C141" s="41" t="s">
        <v>72</v>
      </c>
      <c r="D141" s="41" t="s">
        <v>74</v>
      </c>
      <c r="E141" s="41" t="s">
        <v>77</v>
      </c>
      <c r="F141" s="63">
        <f t="shared" si="54"/>
      </c>
      <c r="G141" s="81">
        <v>1917.99</v>
      </c>
      <c r="H141" s="81">
        <v>1991.93</v>
      </c>
      <c r="I141" s="64">
        <v>0</v>
      </c>
      <c r="J141" s="65">
        <v>1</v>
      </c>
      <c r="K141" s="65">
        <v>1221.6999999999998</v>
      </c>
      <c r="L141" s="64">
        <v>4</v>
      </c>
      <c r="M141" s="64">
        <v>12514.060000000012</v>
      </c>
      <c r="N141" s="67">
        <v>1</v>
      </c>
      <c r="O141" s="68">
        <f t="shared" si="24"/>
      </c>
      <c r="P141" s="67">
        <v>2</v>
      </c>
      <c r="Q141" s="68">
        <f t="shared" si="0"/>
      </c>
      <c r="R141" s="69">
        <f t="shared" si="130"/>
      </c>
      <c r="S141" s="70">
        <f t="shared" si="202"/>
      </c>
      <c r="T141" s="63">
        <f t="shared" si="12"/>
      </c>
      <c r="U141" s="63">
        <f t="shared" si="8"/>
      </c>
      <c r="V141" s="71">
        <f t="shared" si="20"/>
      </c>
      <c r="W141" s="67">
        <v>4</v>
      </c>
      <c r="X141" s="71">
        <f t="shared" si="16"/>
      </c>
      <c r="Y141" s="71">
        <f t="shared" si="248"/>
      </c>
      <c r="Z141" s="63">
        <f t="shared" si="100"/>
      </c>
      <c r="AA141" s="63">
        <f t="shared" si="2"/>
      </c>
      <c r="AB141" s="63">
        <f t="shared" si="4"/>
      </c>
      <c r="AC141" s="68">
        <f t="shared" si="14"/>
      </c>
      <c r="AD141" s="68">
        <f t="shared" si="10"/>
      </c>
      <c r="AE141" s="68">
        <f t="shared" si="22"/>
      </c>
      <c r="AF141" s="68">
        <f t="shared" si="18"/>
      </c>
      <c r="AG141" s="68">
        <f t="shared" si="102"/>
      </c>
      <c r="AH141" s="68">
        <f t="shared" si="26"/>
      </c>
      <c r="AI141" s="68">
        <f t="shared" si="6"/>
      </c>
      <c r="AJ141" s="67">
        <v>71</v>
      </c>
      <c r="AK141" s="72">
        <v>30549</v>
      </c>
      <c r="AL141" s="72">
        <v>483</v>
      </c>
      <c r="AM141" s="72">
        <v>505</v>
      </c>
      <c r="AN141" s="72">
        <v>123</v>
      </c>
      <c r="AO141" s="73">
        <v>24</v>
      </c>
      <c r="AP141" s="72">
        <v>111</v>
      </c>
      <c r="AQ141" s="41">
        <v>88</v>
      </c>
      <c r="AR141" s="73">
        <v>5</v>
      </c>
      <c r="AS141" s="67">
        <v>11</v>
      </c>
      <c r="AT141" s="72">
        <v>0</v>
      </c>
      <c r="AU141" s="72">
        <v>10</v>
      </c>
      <c r="AV141" s="39"/>
      <c r="AW141" s="40"/>
      <c r="AX141" s="41">
        <f t="shared" si="276"/>
      </c>
    </row>
    <row hidden="true" r="142">
      <c r="A142" s="62"/>
      <c r="B142" s="73" t="s">
        <v>87</v>
      </c>
      <c r="C142" s="41" t="s">
        <v>72</v>
      </c>
      <c r="D142" s="41" t="s">
        <v>74</v>
      </c>
      <c r="E142" s="41" t="s">
        <v>78</v>
      </c>
      <c r="F142" s="63">
        <f t="shared" si="54"/>
      </c>
      <c r="G142" s="81">
        <v>1582.01</v>
      </c>
      <c r="H142" s="81">
        <v>2000.78</v>
      </c>
      <c r="I142" s="64">
        <v>0</v>
      </c>
      <c r="J142" s="65">
        <v>1</v>
      </c>
      <c r="K142" s="65">
        <v>1221.6999999999998</v>
      </c>
      <c r="L142" s="64">
        <v>1</v>
      </c>
      <c r="M142" s="64">
        <v>4786.099999999991</v>
      </c>
      <c r="N142" s="67">
        <v>0</v>
      </c>
      <c r="O142" s="68">
        <f t="shared" si="24"/>
      </c>
      <c r="P142" s="67">
        <v>0</v>
      </c>
      <c r="Q142" s="68">
        <f t="shared" si="0"/>
      </c>
      <c r="R142" s="69">
        <f t="shared" si="130"/>
      </c>
      <c r="S142" s="70">
        <f t="shared" si="202"/>
      </c>
      <c r="T142" s="63">
        <f t="shared" si="12"/>
      </c>
      <c r="U142" s="63">
        <f t="shared" si="8"/>
      </c>
      <c r="V142" s="71">
        <f t="shared" si="20"/>
      </c>
      <c r="W142" s="67">
        <v>2</v>
      </c>
      <c r="X142" s="71">
        <f t="shared" si="16"/>
      </c>
      <c r="Y142" s="71">
        <f t="shared" si="248"/>
      </c>
      <c r="Z142" s="63">
        <f t="shared" si="100"/>
      </c>
      <c r="AA142" s="63">
        <f t="shared" si="2"/>
      </c>
      <c r="AB142" s="63">
        <f t="shared" si="4"/>
      </c>
      <c r="AC142" s="68">
        <f t="shared" si="14"/>
      </c>
      <c r="AD142" s="68">
        <f t="shared" si="10"/>
      </c>
      <c r="AE142" s="68">
        <f t="shared" si="22"/>
      </c>
      <c r="AF142" s="68">
        <f t="shared" si="18"/>
      </c>
      <c r="AG142" s="68">
        <f t="shared" si="102"/>
      </c>
      <c r="AH142" s="68">
        <f t="shared" si="26"/>
      </c>
      <c r="AI142" s="68">
        <f t="shared" si="6"/>
      </c>
      <c r="AJ142" s="67">
        <v>70</v>
      </c>
      <c r="AK142" s="72">
        <v>26970</v>
      </c>
      <c r="AL142" s="72">
        <v>474</v>
      </c>
      <c r="AM142" s="72">
        <v>564</v>
      </c>
      <c r="AN142" s="72">
        <v>113</v>
      </c>
      <c r="AO142" s="73">
        <v>40</v>
      </c>
      <c r="AP142" s="72">
        <v>117</v>
      </c>
      <c r="AQ142" s="41">
        <v>96</v>
      </c>
      <c r="AR142" s="73">
        <v>4</v>
      </c>
      <c r="AS142" s="72">
        <v>5</v>
      </c>
      <c r="AT142" s="72">
        <v>2</v>
      </c>
      <c r="AU142" s="72">
        <v>10</v>
      </c>
      <c r="AV142" s="39"/>
      <c r="AW142" s="40"/>
      <c r="AX142" s="41">
        <f t="shared" si="276"/>
      </c>
    </row>
    <row hidden="true" r="143">
      <c r="A143" s="62"/>
      <c r="B143" s="75" t="s">
        <v>66</v>
      </c>
      <c r="C143" s="75"/>
      <c r="D143" s="75"/>
      <c r="E143" s="75"/>
      <c r="F143" s="76">
        <f>SUM(F139:F142)</f>
      </c>
      <c r="G143" s="76">
        <f>SUM(G139:G142)</f>
      </c>
      <c r="H143" s="76">
        <f>SUM(H139:H142)</f>
      </c>
      <c r="I143" s="76">
        <f>SUM(I139:I142)</f>
      </c>
      <c r="J143" s="76">
        <f>SUM(J139:J142)</f>
      </c>
      <c r="K143" s="76">
        <f>SUM(K139:K142)</f>
      </c>
      <c r="L143" s="76">
        <f>SUM(L139:L142)</f>
      </c>
      <c r="M143" s="76">
        <f>SUM(M139:M142)</f>
      </c>
      <c r="N143" s="76">
        <f>SUM(N139:N142)</f>
      </c>
      <c r="O143" s="77">
        <f t="shared" si="24"/>
      </c>
      <c r="P143" s="76">
        <f>SUM(P139:P142)</f>
      </c>
      <c r="Q143" s="77">
        <f t="shared" si="0"/>
      </c>
      <c r="R143" s="78">
        <f>SUM(R139:R142)</f>
      </c>
      <c r="S143" s="76">
        <f>SUM(S139:S142)</f>
      </c>
      <c r="T143" s="76">
        <f t="shared" si="12"/>
      </c>
      <c r="U143" s="76">
        <f t="shared" si="8"/>
      </c>
      <c r="V143" s="79">
        <f t="shared" si="20"/>
      </c>
      <c r="W143" s="76">
        <f>SUM(W139:W142)</f>
      </c>
      <c r="X143" s="79">
        <f t="shared" si="16"/>
      </c>
      <c r="Y143" s="79">
        <f t="shared" si="248"/>
      </c>
      <c r="Z143" s="76">
        <f t="shared" si="100"/>
      </c>
      <c r="AA143" s="76">
        <f t="shared" si="2"/>
      </c>
      <c r="AB143" s="80">
        <f t="shared" si="4"/>
      </c>
      <c r="AC143" s="77">
        <f t="shared" si="14"/>
      </c>
      <c r="AD143" s="77">
        <f t="shared" si="10"/>
      </c>
      <c r="AE143" s="77">
        <f t="shared" si="22"/>
      </c>
      <c r="AF143" s="82">
        <f t="shared" si="18"/>
      </c>
      <c r="AG143" s="77">
        <f t="shared" si="102"/>
      </c>
      <c r="AH143" s="77">
        <f t="shared" si="26"/>
      </c>
      <c r="AI143" s="77">
        <f t="shared" si="6"/>
      </c>
      <c r="AJ143" s="78">
        <f>AVERAGE(AJ139:AJ142)</f>
      </c>
      <c r="AK143" s="76">
        <f>SUM(AK139:AK142)</f>
      </c>
      <c r="AL143" s="76">
        <f>SUM(AL139:AL142)</f>
      </c>
      <c r="AM143" s="76">
        <f>SUM(AM139:AM142)</f>
      </c>
      <c r="AN143" s="76">
        <f>SUM(AN139:AN142)</f>
      </c>
      <c r="AO143" s="76">
        <f>SUM(AO139:AO142)</f>
      </c>
      <c r="AP143" s="76">
        <f>SUM(AP139:AP142)</f>
      </c>
      <c r="AQ143" s="76">
        <f>SUM(AQ139:AQ142)</f>
      </c>
      <c r="AR143" s="76">
        <f>SUM(AR139:AR142)</f>
      </c>
      <c r="AS143" s="76">
        <f>SUM(AS139:AS142)</f>
      </c>
      <c r="AT143" s="76">
        <f>SUM(AT139:AT142)</f>
      </c>
      <c r="AU143" s="76">
        <f>SUM(AU139:AU142)</f>
      </c>
      <c r="AV143" s="39"/>
      <c r="AW143" s="48"/>
      <c r="AX143" s="49">
        <f>SUM(AX139:AX142)</f>
      </c>
    </row>
    <row hidden="true" r="144">
      <c r="A144" s="62"/>
      <c r="B144" s="73" t="s">
        <v>87</v>
      </c>
      <c r="C144" s="41" t="s">
        <v>72</v>
      </c>
      <c r="D144" s="73" t="s">
        <v>85</v>
      </c>
      <c r="E144" s="41" t="s">
        <v>80</v>
      </c>
      <c r="F144" s="63">
        <f t="shared" ref="F144:F147" si="55">G144+H144+I144</f>
      </c>
      <c r="G144" s="81">
        <v>1493.72</v>
      </c>
      <c r="H144" s="81">
        <v>2007.29</v>
      </c>
      <c r="I144" s="64">
        <v>0</v>
      </c>
      <c r="J144" s="64">
        <v>1</v>
      </c>
      <c r="K144" s="64">
        <v>936.6999999999998</v>
      </c>
      <c r="L144" s="65">
        <v>1</v>
      </c>
      <c r="M144" s="65">
        <v>1371.800000000003</v>
      </c>
      <c r="N144" s="67">
        <v>0</v>
      </c>
      <c r="O144" s="68">
        <f t="shared" si="24"/>
      </c>
      <c r="P144" s="67">
        <v>0</v>
      </c>
      <c r="Q144" s="68">
        <f t="shared" si="0"/>
      </c>
      <c r="R144" s="83">
        <f t="shared" ref="R144:R147" si="131">J144+L144</f>
      </c>
      <c r="S144" s="70">
        <f t="shared" ref="S144:S147" si="203">K144+M144</f>
      </c>
      <c r="T144" s="63">
        <f t="shared" si="12"/>
      </c>
      <c r="U144" s="63">
        <f t="shared" si="8"/>
      </c>
      <c r="V144" s="71">
        <f t="shared" si="20"/>
      </c>
      <c r="W144" s="67">
        <v>1</v>
      </c>
      <c r="X144" s="71">
        <f t="shared" si="16"/>
      </c>
      <c r="Y144" s="71">
        <f t="shared" si="248"/>
      </c>
      <c r="Z144" s="63">
        <f t="shared" si="100"/>
      </c>
      <c r="AA144" s="63">
        <f t="shared" si="2"/>
      </c>
      <c r="AB144" s="63">
        <f t="shared" si="4"/>
      </c>
      <c r="AC144" s="68">
        <f t="shared" si="14"/>
      </c>
      <c r="AD144" s="68">
        <f t="shared" si="10"/>
      </c>
      <c r="AE144" s="68">
        <f t="shared" si="22"/>
      </c>
      <c r="AF144" s="68">
        <f t="shared" si="18"/>
      </c>
      <c r="AG144" s="68">
        <f t="shared" si="102"/>
      </c>
      <c r="AH144" s="68">
        <f t="shared" si="26"/>
      </c>
      <c r="AI144" s="68">
        <f t="shared" si="6"/>
      </c>
      <c r="AJ144" s="67">
        <v>71</v>
      </c>
      <c r="AK144" s="72">
        <v>22911</v>
      </c>
      <c r="AL144" s="72">
        <v>335</v>
      </c>
      <c r="AM144" s="72">
        <v>345</v>
      </c>
      <c r="AN144" s="72">
        <v>118</v>
      </c>
      <c r="AO144" s="73">
        <v>34</v>
      </c>
      <c r="AP144" s="72">
        <v>86</v>
      </c>
      <c r="AQ144" s="41">
        <v>104</v>
      </c>
      <c r="AR144" s="73">
        <v>2</v>
      </c>
      <c r="AS144" s="67">
        <v>5</v>
      </c>
      <c r="AT144" s="67">
        <v>1</v>
      </c>
      <c r="AU144" s="67">
        <v>7</v>
      </c>
      <c r="AV144" s="39"/>
      <c r="AW144" s="40"/>
      <c r="AX144" s="41">
        <f t="shared" ref="AX144:AX147" si="277">COUNT(AU144)</f>
      </c>
    </row>
    <row hidden="true" r="145">
      <c r="A145" s="62"/>
      <c r="B145" s="73" t="s">
        <v>87</v>
      </c>
      <c r="C145" s="41" t="s">
        <v>72</v>
      </c>
      <c r="D145" s="73" t="s">
        <v>85</v>
      </c>
      <c r="E145" s="41" t="s">
        <v>81</v>
      </c>
      <c r="F145" s="63">
        <f t="shared" si="55"/>
      </c>
      <c r="G145" s="81">
        <v>1494.09</v>
      </c>
      <c r="H145" s="81">
        <v>1500.27</v>
      </c>
      <c r="I145" s="64">
        <v>0</v>
      </c>
      <c r="J145" s="64">
        <v>0</v>
      </c>
      <c r="K145" s="64">
        <v>0</v>
      </c>
      <c r="L145" s="65">
        <v>1</v>
      </c>
      <c r="M145" s="65">
        <v>2018.75</v>
      </c>
      <c r="N145" s="67">
        <v>0</v>
      </c>
      <c r="O145" s="68">
        <f t="shared" si="24"/>
      </c>
      <c r="P145" s="67">
        <v>0</v>
      </c>
      <c r="Q145" s="68">
        <f t="shared" si="0"/>
      </c>
      <c r="R145" s="83">
        <f t="shared" si="131"/>
      </c>
      <c r="S145" s="70">
        <f t="shared" si="203"/>
      </c>
      <c r="T145" s="63">
        <f t="shared" si="12"/>
      </c>
      <c r="U145" s="63">
        <f t="shared" si="8"/>
      </c>
      <c r="V145" s="71">
        <f t="shared" si="20"/>
      </c>
      <c r="W145" s="67">
        <v>1</v>
      </c>
      <c r="X145" s="71">
        <f t="shared" si="16"/>
      </c>
      <c r="Y145" s="71">
        <f t="shared" si="248"/>
      </c>
      <c r="Z145" s="63">
        <f t="shared" si="100"/>
      </c>
      <c r="AA145" s="63">
        <f t="shared" si="2"/>
      </c>
      <c r="AB145" s="63">
        <f t="shared" si="4"/>
      </c>
      <c r="AC145" s="68">
        <f t="shared" si="14"/>
      </c>
      <c r="AD145" s="68">
        <f t="shared" si="10"/>
      </c>
      <c r="AE145" s="68">
        <f t="shared" si="22"/>
      </c>
      <c r="AF145" s="68">
        <f t="shared" si="18"/>
      </c>
      <c r="AG145" s="68">
        <f t="shared" si="102"/>
      </c>
      <c r="AH145" s="68">
        <f t="shared" si="26"/>
      </c>
      <c r="AI145" s="68">
        <f t="shared" si="6"/>
      </c>
      <c r="AJ145" s="67">
        <v>72</v>
      </c>
      <c r="AK145" s="72">
        <v>19673</v>
      </c>
      <c r="AL145" s="72">
        <v>247</v>
      </c>
      <c r="AM145" s="72">
        <v>261</v>
      </c>
      <c r="AN145" s="72">
        <v>104</v>
      </c>
      <c r="AO145" s="73">
        <v>22</v>
      </c>
      <c r="AP145" s="72">
        <v>69</v>
      </c>
      <c r="AQ145" s="41">
        <v>66</v>
      </c>
      <c r="AR145" s="73">
        <v>1</v>
      </c>
      <c r="AS145" s="67">
        <v>8</v>
      </c>
      <c r="AT145" s="67">
        <v>1</v>
      </c>
      <c r="AU145" s="67">
        <v>9</v>
      </c>
      <c r="AV145" s="39"/>
      <c r="AW145" s="40"/>
      <c r="AX145" s="41">
        <f t="shared" si="277"/>
      </c>
    </row>
    <row hidden="true" r="146">
      <c r="A146" s="62"/>
      <c r="B146" s="73" t="s">
        <v>87</v>
      </c>
      <c r="C146" s="41" t="s">
        <v>72</v>
      </c>
      <c r="D146" s="73" t="s">
        <v>85</v>
      </c>
      <c r="E146" s="41" t="s">
        <v>82</v>
      </c>
      <c r="F146" s="63">
        <f t="shared" si="55"/>
      </c>
      <c r="G146" s="81">
        <v>1498.9</v>
      </c>
      <c r="H146" s="81">
        <v>1499.73</v>
      </c>
      <c r="I146" s="64">
        <v>0</v>
      </c>
      <c r="J146" s="65">
        <v>0</v>
      </c>
      <c r="K146" s="65">
        <v>0</v>
      </c>
      <c r="L146" s="65">
        <v>3</v>
      </c>
      <c r="M146" s="65">
        <v>9536.880000000005</v>
      </c>
      <c r="N146" s="67">
        <v>1</v>
      </c>
      <c r="O146" s="68">
        <f t="shared" si="24"/>
      </c>
      <c r="P146" s="67">
        <v>0</v>
      </c>
      <c r="Q146" s="68">
        <f t="shared" si="0"/>
      </c>
      <c r="R146" s="83">
        <f t="shared" si="131"/>
      </c>
      <c r="S146" s="70">
        <f t="shared" si="203"/>
      </c>
      <c r="T146" s="63">
        <f t="shared" si="12"/>
      </c>
      <c r="U146" s="63">
        <f t="shared" si="8"/>
      </c>
      <c r="V146" s="71">
        <f t="shared" si="20"/>
      </c>
      <c r="W146" s="67">
        <v>3</v>
      </c>
      <c r="X146" s="71">
        <f t="shared" si="16"/>
      </c>
      <c r="Y146" s="71">
        <f t="shared" si="248"/>
      </c>
      <c r="Z146" s="63">
        <f t="shared" si="100"/>
      </c>
      <c r="AA146" s="63">
        <f t="shared" si="2"/>
      </c>
      <c r="AB146" s="63">
        <f t="shared" si="4"/>
      </c>
      <c r="AC146" s="68">
        <f t="shared" si="14"/>
      </c>
      <c r="AD146" s="68">
        <f t="shared" si="10"/>
      </c>
      <c r="AE146" s="68">
        <f t="shared" si="22"/>
      </c>
      <c r="AF146" s="68">
        <f t="shared" si="18"/>
      </c>
      <c r="AG146" s="68">
        <f t="shared" si="102"/>
      </c>
      <c r="AH146" s="68">
        <f t="shared" si="26"/>
      </c>
      <c r="AI146" s="68">
        <f t="shared" si="6"/>
      </c>
      <c r="AJ146" s="67">
        <v>72</v>
      </c>
      <c r="AK146" s="72">
        <v>17941</v>
      </c>
      <c r="AL146" s="72">
        <v>275</v>
      </c>
      <c r="AM146" s="72">
        <v>291</v>
      </c>
      <c r="AN146" s="72">
        <v>96</v>
      </c>
      <c r="AO146" s="73">
        <v>30</v>
      </c>
      <c r="AP146" s="72">
        <v>99</v>
      </c>
      <c r="AQ146" s="41">
        <v>88</v>
      </c>
      <c r="AR146" s="73">
        <v>3</v>
      </c>
      <c r="AS146" s="67">
        <v>8</v>
      </c>
      <c r="AT146" s="67">
        <v>0</v>
      </c>
      <c r="AU146" s="67">
        <v>13</v>
      </c>
      <c r="AV146" s="39"/>
      <c r="AW146" s="40"/>
      <c r="AX146" s="41">
        <f t="shared" si="277"/>
      </c>
    </row>
    <row hidden="true" r="147">
      <c r="A147" s="62"/>
      <c r="B147" s="73" t="s">
        <v>87</v>
      </c>
      <c r="C147" s="41" t="s">
        <v>72</v>
      </c>
      <c r="D147" s="73" t="s">
        <v>85</v>
      </c>
      <c r="E147" s="73" t="s">
        <v>83</v>
      </c>
      <c r="F147" s="63">
        <f t="shared" si="55"/>
      </c>
      <c r="G147" s="81">
        <v>829.61</v>
      </c>
      <c r="H147" s="81">
        <v>311.9</v>
      </c>
      <c r="I147" s="64">
        <v>0</v>
      </c>
      <c r="J147" s="65">
        <v>1</v>
      </c>
      <c r="K147" s="65">
        <v>936.6999999999998</v>
      </c>
      <c r="L147" s="65">
        <v>1</v>
      </c>
      <c r="M147" s="65">
        <v>2855</v>
      </c>
      <c r="N147" s="67">
        <v>0</v>
      </c>
      <c r="O147" s="68">
        <f t="shared" si="24"/>
      </c>
      <c r="P147" s="67">
        <v>0</v>
      </c>
      <c r="Q147" s="68">
        <f t="shared" si="0"/>
      </c>
      <c r="R147" s="83">
        <f t="shared" si="131"/>
      </c>
      <c r="S147" s="70">
        <f t="shared" si="203"/>
      </c>
      <c r="T147" s="63">
        <f t="shared" si="12"/>
      </c>
      <c r="U147" s="63">
        <f t="shared" si="8"/>
      </c>
      <c r="V147" s="71">
        <f t="shared" si="20"/>
      </c>
      <c r="W147" s="67">
        <v>1</v>
      </c>
      <c r="X147" s="71">
        <f t="shared" si="16"/>
      </c>
      <c r="Y147" s="71">
        <f t="shared" si="248"/>
      </c>
      <c r="Z147" s="63">
        <f t="shared" si="100"/>
      </c>
      <c r="AA147" s="63">
        <f t="shared" si="2"/>
      </c>
      <c r="AB147" s="63">
        <f t="shared" si="4"/>
      </c>
      <c r="AC147" s="68">
        <f t="shared" si="14"/>
      </c>
      <c r="AD147" s="68">
        <f t="shared" si="10"/>
      </c>
      <c r="AE147" s="68">
        <f t="shared" si="22"/>
      </c>
      <c r="AF147" s="68">
        <f t="shared" si="18"/>
      </c>
      <c r="AG147" s="68">
        <f t="shared" si="102"/>
      </c>
      <c r="AH147" s="68">
        <f t="shared" si="26"/>
      </c>
      <c r="AI147" s="68">
        <f t="shared" si="6"/>
      </c>
      <c r="AJ147" s="67">
        <v>73</v>
      </c>
      <c r="AK147" s="72">
        <v>10182</v>
      </c>
      <c r="AL147" s="72">
        <v>227</v>
      </c>
      <c r="AM147" s="72">
        <v>229</v>
      </c>
      <c r="AN147" s="72">
        <v>51</v>
      </c>
      <c r="AO147" s="73">
        <v>20</v>
      </c>
      <c r="AP147" s="72">
        <v>31</v>
      </c>
      <c r="AQ147" s="41">
        <v>51</v>
      </c>
      <c r="AR147" s="73">
        <v>2</v>
      </c>
      <c r="AS147" s="67">
        <v>2</v>
      </c>
      <c r="AT147" s="67">
        <v>0</v>
      </c>
      <c r="AU147" s="67">
        <v>2</v>
      </c>
      <c r="AV147" s="39"/>
      <c r="AW147" s="40"/>
      <c r="AX147" s="41">
        <f t="shared" si="277"/>
      </c>
    </row>
    <row hidden="true" r="148">
      <c r="A148" s="62"/>
      <c r="B148" s="75" t="s">
        <v>66</v>
      </c>
      <c r="C148" s="75"/>
      <c r="D148" s="75"/>
      <c r="E148" s="75"/>
      <c r="F148" s="76">
        <f>SUM(F144:F147)</f>
      </c>
      <c r="G148" s="76">
        <f>SUM(G144:G147)</f>
      </c>
      <c r="H148" s="76">
        <f>SUM(H144:H147)</f>
      </c>
      <c r="I148" s="76">
        <f>SUM(I144:I147)</f>
      </c>
      <c r="J148" s="76">
        <f>SUM(J144:J147)</f>
      </c>
      <c r="K148" s="76">
        <f>SUM(K144:K147)</f>
      </c>
      <c r="L148" s="76">
        <f>SUM(L144:L147)</f>
      </c>
      <c r="M148" s="76">
        <f>SUM(M144:M147)</f>
      </c>
      <c r="N148" s="76">
        <f>SUM(N144:N147)</f>
      </c>
      <c r="O148" s="77">
        <f t="shared" si="24"/>
      </c>
      <c r="P148" s="76">
        <f>SUM(P144:P147)</f>
      </c>
      <c r="Q148" s="77">
        <f t="shared" si="0"/>
      </c>
      <c r="R148" s="91">
        <f>SUM(R144:R147)</f>
      </c>
      <c r="S148" s="76">
        <f>SUM(S144:S147)</f>
      </c>
      <c r="T148" s="79">
        <f t="shared" si="12"/>
      </c>
      <c r="U148" s="76">
        <f t="shared" si="8"/>
      </c>
      <c r="V148" s="79">
        <f t="shared" si="20"/>
      </c>
      <c r="W148" s="91">
        <f>SUM(W144:W147)</f>
      </c>
      <c r="X148" s="79">
        <f t="shared" si="16"/>
      </c>
      <c r="Y148" s="79">
        <f t="shared" si="248"/>
      </c>
      <c r="Z148" s="76">
        <f t="shared" si="100"/>
      </c>
      <c r="AA148" s="76">
        <f t="shared" si="2"/>
      </c>
      <c r="AB148" s="80">
        <f t="shared" si="4"/>
      </c>
      <c r="AC148" s="77">
        <f t="shared" si="14"/>
      </c>
      <c r="AD148" s="77">
        <f t="shared" si="10"/>
      </c>
      <c r="AE148" s="77">
        <f t="shared" si="22"/>
      </c>
      <c r="AF148" s="82">
        <f t="shared" si="18"/>
      </c>
      <c r="AG148" s="77">
        <f t="shared" si="102"/>
      </c>
      <c r="AH148" s="77">
        <f t="shared" si="26"/>
      </c>
      <c r="AI148" s="77">
        <f t="shared" si="6"/>
      </c>
      <c r="AJ148" s="78">
        <f>AVERAGE(AJ144:AJ147)</f>
      </c>
      <c r="AK148" s="76">
        <f>SUM(AK144:AK147)</f>
      </c>
      <c r="AL148" s="76">
        <f>SUM(AL144:AL147)</f>
      </c>
      <c r="AM148" s="76">
        <f>SUM(AM144:AM147)</f>
      </c>
      <c r="AN148" s="76">
        <f>SUM(AN144:AN147)</f>
      </c>
      <c r="AO148" s="76">
        <f>SUM(AO144:AO147)</f>
      </c>
      <c r="AP148" s="76">
        <f>SUM(AP144:AP147)</f>
      </c>
      <c r="AQ148" s="76">
        <f>SUM(AQ144:AQ147)</f>
      </c>
      <c r="AR148" s="76">
        <f>SUM(AR144:AR147)</f>
      </c>
      <c r="AS148" s="76">
        <f>SUM(AS144:AS147)</f>
      </c>
      <c r="AT148" s="76">
        <f>SUM(AT144:AT147)</f>
      </c>
      <c r="AU148" s="76">
        <f>SUM(AU144:AU147)</f>
      </c>
      <c r="AV148" s="39"/>
      <c r="AW148" s="48"/>
      <c r="AX148" s="49">
        <f>SUM(AX144:AX147)</f>
      </c>
    </row>
    <row hidden="true" r="149">
      <c r="A149" s="62"/>
      <c r="B149" s="84" t="s">
        <v>84</v>
      </c>
      <c r="C149" s="84"/>
      <c r="D149" s="84"/>
      <c r="E149" s="84"/>
      <c r="F149" s="85">
        <f>F133+F138+F143+F148</f>
      </c>
      <c r="G149" s="85">
        <f>G133+G138+G143+G148</f>
      </c>
      <c r="H149" s="85">
        <f>H133+H138+H143+H148</f>
      </c>
      <c r="I149" s="85">
        <f>I133+I138+I143+I148</f>
      </c>
      <c r="J149" s="85">
        <f>J133+J138+J143+J148</f>
      </c>
      <c r="K149" s="85">
        <f>K133+K138+K143+K148</f>
      </c>
      <c r="L149" s="85">
        <f>L133+L138+L143+L148</f>
      </c>
      <c r="M149" s="85">
        <f>M133+M138+M143+M148</f>
      </c>
      <c r="N149" s="85">
        <f>N133+N138+N143+N148</f>
      </c>
      <c r="O149" s="86">
        <f t="shared" si="24"/>
      </c>
      <c r="P149" s="84">
        <f>P133+P138+P143+P148</f>
      </c>
      <c r="Q149" s="86">
        <f t="shared" si="0"/>
      </c>
      <c r="R149" s="87">
        <f>R133+R138+R143+R148</f>
      </c>
      <c r="S149" s="85">
        <f>S133+S138+S143+S148</f>
      </c>
      <c r="T149" s="85">
        <f t="shared" si="12"/>
      </c>
      <c r="U149" s="85">
        <f t="shared" si="8"/>
      </c>
      <c r="V149" s="88">
        <f t="shared" si="20"/>
      </c>
      <c r="W149" s="84">
        <f>W133+W138+W143+W148</f>
      </c>
      <c r="X149" s="88">
        <f t="shared" si="16"/>
      </c>
      <c r="Y149" s="88">
        <f t="shared" si="248"/>
      </c>
      <c r="Z149" s="85">
        <f t="shared" si="100"/>
      </c>
      <c r="AA149" s="85">
        <f t="shared" si="2"/>
      </c>
      <c r="AB149" s="89">
        <f t="shared" si="4"/>
      </c>
      <c r="AC149" s="86">
        <f t="shared" si="14"/>
      </c>
      <c r="AD149" s="86">
        <f t="shared" si="10"/>
      </c>
      <c r="AE149" s="86">
        <f t="shared" si="22"/>
      </c>
      <c r="AF149" s="90">
        <f t="shared" si="18"/>
      </c>
      <c r="AG149" s="86">
        <f t="shared" si="102"/>
      </c>
      <c r="AH149" s="86">
        <f t="shared" si="26"/>
      </c>
      <c r="AI149" s="86">
        <f t="shared" si="6"/>
      </c>
      <c r="AJ149" s="87">
        <f>(AJ133+AJ138+AJ143+AJ148)/4</f>
      </c>
      <c r="AK149" s="84">
        <f>AK133+AK138+AK143+AK148</f>
      </c>
      <c r="AL149" s="84">
        <f>AL133+AL138+AL143+AL148</f>
      </c>
      <c r="AM149" s="84">
        <f>AM133+AM138+AM143+AM148</f>
      </c>
      <c r="AN149" s="84">
        <f>AN133+AN138+AN143+AN148</f>
      </c>
      <c r="AO149" s="84">
        <f>AO133+AO138+AO143+AO148</f>
      </c>
      <c r="AP149" s="84">
        <f>AP133+AP138+AP143+AP148</f>
      </c>
      <c r="AQ149" s="84">
        <f>AQ133+AQ138+AQ143+AQ148</f>
      </c>
      <c r="AR149" s="84">
        <f>AR133+AR138+AR143+AR148</f>
      </c>
      <c r="AS149" s="84">
        <f>AS133+AS138+AS143+AS148</f>
      </c>
      <c r="AT149" s="84">
        <f>AT133+AT138+AT143+AT148</f>
      </c>
      <c r="AU149" s="84">
        <f>AU133+AU138+AU143+AU148</f>
      </c>
      <c r="AV149" s="39"/>
      <c r="AW149" s="84">
        <f>AW133+AW138+AW143</f>
      </c>
      <c r="AX149" s="84">
        <f>AX133+AX138+AX143+AX148</f>
      </c>
    </row>
    <row hidden="true" r="150">
      <c r="A150" s="62">
        <v>46303</v>
      </c>
      <c r="B150" s="73" t="s">
        <v>88</v>
      </c>
      <c r="C150" s="41" t="s">
        <v>60</v>
      </c>
      <c r="D150" s="73" t="s">
        <v>61</v>
      </c>
      <c r="E150" s="28" t="s">
        <v>62</v>
      </c>
      <c r="F150" s="63">
        <f t="shared" ref="F150:F153" si="56">G150+H150+I150</f>
      </c>
      <c r="G150" s="81">
        <v>1670.39</v>
      </c>
      <c r="H150" s="81">
        <v>1188.1</v>
      </c>
      <c r="I150" s="64">
        <v>0</v>
      </c>
      <c r="J150" s="65">
        <v>0</v>
      </c>
      <c r="K150" s="66">
        <v>0</v>
      </c>
      <c r="L150" s="65">
        <v>1</v>
      </c>
      <c r="M150" s="65">
        <v>1444</v>
      </c>
      <c r="N150" s="67">
        <v>0</v>
      </c>
      <c r="O150" s="68">
        <f t="shared" si="24"/>
      </c>
      <c r="P150" s="67">
        <v>0</v>
      </c>
      <c r="Q150" s="68">
        <f t="shared" si="0"/>
      </c>
      <c r="R150" s="69">
        <f t="shared" ref="R150:R153" si="132">J150+L150</f>
      </c>
      <c r="S150" s="70">
        <f t="shared" ref="S150:S153" si="204">K150+M150</f>
      </c>
      <c r="T150" s="63">
        <f t="shared" si="12"/>
      </c>
      <c r="U150" s="63">
        <f t="shared" si="8"/>
      </c>
      <c r="V150" s="71">
        <f t="shared" si="20"/>
      </c>
      <c r="W150" s="67">
        <v>1</v>
      </c>
      <c r="X150" s="71">
        <f t="shared" si="16"/>
      </c>
      <c r="Y150" s="71">
        <f t="shared" si="248"/>
      </c>
      <c r="Z150" s="63">
        <f t="shared" si="100"/>
      </c>
      <c r="AA150" s="63">
        <f t="shared" si="2"/>
      </c>
      <c r="AB150" s="63">
        <f t="shared" si="4"/>
      </c>
      <c r="AC150" s="68">
        <f t="shared" si="14"/>
      </c>
      <c r="AD150" s="68">
        <f t="shared" si="10"/>
      </c>
      <c r="AE150" s="68">
        <f t="shared" si="22"/>
      </c>
      <c r="AF150" s="68">
        <f t="shared" si="18"/>
      </c>
      <c r="AG150" s="68">
        <f t="shared" si="102"/>
      </c>
      <c r="AH150" s="68">
        <f t="shared" si="26"/>
      </c>
      <c r="AI150" s="68">
        <f t="shared" si="6"/>
      </c>
      <c r="AJ150" s="67">
        <v>74</v>
      </c>
      <c r="AK150" s="72">
        <v>11836</v>
      </c>
      <c r="AL150" s="72">
        <v>302</v>
      </c>
      <c r="AM150" s="72">
        <v>361</v>
      </c>
      <c r="AN150" s="72">
        <v>56</v>
      </c>
      <c r="AO150" s="73">
        <v>30</v>
      </c>
      <c r="AP150" s="73">
        <v>85</v>
      </c>
      <c r="AQ150" s="73">
        <v>80</v>
      </c>
      <c r="AR150" s="73">
        <v>1</v>
      </c>
      <c r="AS150" s="41">
        <v>13</v>
      </c>
      <c r="AT150" s="72">
        <v>4</v>
      </c>
      <c r="AU150" s="72">
        <v>2</v>
      </c>
      <c r="AV150" s="39"/>
      <c r="AW150" s="40"/>
      <c r="AX150" s="41">
        <f t="shared" ref="AX150:AX153" si="278">COUNT(AU150)</f>
      </c>
    </row>
    <row hidden="true" r="151">
      <c r="A151" s="62"/>
      <c r="B151" s="73" t="s">
        <v>88</v>
      </c>
      <c r="C151" s="41" t="s">
        <v>60</v>
      </c>
      <c r="D151" s="73" t="s">
        <v>61</v>
      </c>
      <c r="E151" s="28" t="s">
        <v>63</v>
      </c>
      <c r="F151" s="63">
        <f t="shared" si="56"/>
      </c>
      <c r="G151" s="81">
        <v>1500</v>
      </c>
      <c r="H151" s="81">
        <v>1501.05</v>
      </c>
      <c r="I151" s="64">
        <v>0</v>
      </c>
      <c r="J151" s="65">
        <v>0</v>
      </c>
      <c r="K151" s="65">
        <v>0</v>
      </c>
      <c r="L151" s="65">
        <v>1</v>
      </c>
      <c r="M151" s="65">
        <v>2414.36</v>
      </c>
      <c r="N151" s="67">
        <v>0</v>
      </c>
      <c r="O151" s="68">
        <f t="shared" si="24"/>
      </c>
      <c r="P151" s="67">
        <v>1</v>
      </c>
      <c r="Q151" s="68">
        <f t="shared" si="0"/>
      </c>
      <c r="R151" s="69">
        <f t="shared" si="132"/>
      </c>
      <c r="S151" s="70">
        <f t="shared" si="204"/>
      </c>
      <c r="T151" s="63">
        <f t="shared" si="12"/>
      </c>
      <c r="U151" s="63">
        <f t="shared" si="8"/>
      </c>
      <c r="V151" s="71">
        <f t="shared" si="20"/>
      </c>
      <c r="W151" s="67">
        <v>1</v>
      </c>
      <c r="X151" s="71">
        <f t="shared" si="16"/>
      </c>
      <c r="Y151" s="71">
        <f t="shared" si="248"/>
      </c>
      <c r="Z151" s="63">
        <f t="shared" si="100"/>
      </c>
      <c r="AA151" s="63">
        <f t="shared" si="2"/>
      </c>
      <c r="AB151" s="63">
        <f t="shared" si="4"/>
      </c>
      <c r="AC151" s="68">
        <f t="shared" si="14"/>
      </c>
      <c r="AD151" s="68">
        <f t="shared" si="10"/>
      </c>
      <c r="AE151" s="68">
        <f t="shared" si="22"/>
      </c>
      <c r="AF151" s="68">
        <f t="shared" si="18"/>
      </c>
      <c r="AG151" s="68">
        <f t="shared" si="102"/>
      </c>
      <c r="AH151" s="68">
        <f t="shared" si="26"/>
      </c>
      <c r="AI151" s="68">
        <f t="shared" si="6"/>
      </c>
      <c r="AJ151" s="67">
        <v>82</v>
      </c>
      <c r="AK151" s="72">
        <v>11836</v>
      </c>
      <c r="AL151" s="72">
        <v>302</v>
      </c>
      <c r="AM151" s="72">
        <v>361</v>
      </c>
      <c r="AN151" s="72">
        <v>56</v>
      </c>
      <c r="AO151" s="73">
        <v>21</v>
      </c>
      <c r="AP151" s="67">
        <v>53</v>
      </c>
      <c r="AQ151" s="73">
        <v>71</v>
      </c>
      <c r="AR151" s="73">
        <v>2</v>
      </c>
      <c r="AS151" s="67">
        <v>3</v>
      </c>
      <c r="AT151" s="67">
        <v>2</v>
      </c>
      <c r="AU151" s="67">
        <v>10</v>
      </c>
      <c r="AV151" s="39"/>
      <c r="AW151" s="40"/>
      <c r="AX151" s="41">
        <f t="shared" si="278"/>
      </c>
    </row>
    <row hidden="true" r="152">
      <c r="A152" s="62"/>
      <c r="B152" s="73" t="s">
        <v>88</v>
      </c>
      <c r="C152" s="41" t="s">
        <v>60</v>
      </c>
      <c r="D152" s="73" t="s">
        <v>61</v>
      </c>
      <c r="E152" s="28" t="s">
        <v>64</v>
      </c>
      <c r="F152" s="63">
        <f t="shared" si="56"/>
      </c>
      <c r="G152" s="81">
        <v>1499.98</v>
      </c>
      <c r="H152" s="81">
        <v>912.47</v>
      </c>
      <c r="I152" s="64">
        <v>0</v>
      </c>
      <c r="J152" s="64">
        <v>1</v>
      </c>
      <c r="K152" s="64">
        <v>1221.7</v>
      </c>
      <c r="L152" s="64">
        <v>2</v>
      </c>
      <c r="M152" s="64">
        <v>2452.519999999999</v>
      </c>
      <c r="N152" s="67">
        <v>1</v>
      </c>
      <c r="O152" s="68">
        <f t="shared" si="24"/>
      </c>
      <c r="P152" s="67">
        <v>0</v>
      </c>
      <c r="Q152" s="68">
        <f t="shared" si="0"/>
      </c>
      <c r="R152" s="69">
        <f t="shared" si="132"/>
      </c>
      <c r="S152" s="70">
        <f t="shared" si="204"/>
      </c>
      <c r="T152" s="63">
        <f t="shared" si="12"/>
      </c>
      <c r="U152" s="63">
        <f t="shared" si="8"/>
      </c>
      <c r="V152" s="71">
        <f t="shared" si="20"/>
      </c>
      <c r="W152" s="67">
        <v>1</v>
      </c>
      <c r="X152" s="71">
        <f t="shared" si="16"/>
      </c>
      <c r="Y152" s="71">
        <f t="shared" si="248"/>
      </c>
      <c r="Z152" s="63">
        <f t="shared" si="100"/>
      </c>
      <c r="AA152" s="63">
        <f t="shared" si="2"/>
      </c>
      <c r="AB152" s="63">
        <f t="shared" si="4"/>
      </c>
      <c r="AC152" s="68">
        <f t="shared" si="14"/>
      </c>
      <c r="AD152" s="68">
        <f t="shared" si="10"/>
      </c>
      <c r="AE152" s="68">
        <f t="shared" si="22"/>
      </c>
      <c r="AF152" s="68">
        <f t="shared" si="18"/>
      </c>
      <c r="AG152" s="68">
        <f t="shared" si="102"/>
      </c>
      <c r="AH152" s="68">
        <f t="shared" si="26"/>
      </c>
      <c r="AI152" s="68">
        <f t="shared" si="6"/>
      </c>
      <c r="AJ152" s="67">
        <v>78</v>
      </c>
      <c r="AK152" s="72">
        <v>11065</v>
      </c>
      <c r="AL152" s="72">
        <v>198</v>
      </c>
      <c r="AM152" s="72">
        <v>198</v>
      </c>
      <c r="AN152" s="72">
        <v>62</v>
      </c>
      <c r="AO152" s="73">
        <v>21</v>
      </c>
      <c r="AP152" s="67">
        <v>57</v>
      </c>
      <c r="AQ152" s="73">
        <v>59</v>
      </c>
      <c r="AR152" s="73">
        <v>4</v>
      </c>
      <c r="AS152" s="67">
        <v>4</v>
      </c>
      <c r="AT152" s="67">
        <v>0</v>
      </c>
      <c r="AU152" s="67">
        <v>5</v>
      </c>
      <c r="AV152" s="39"/>
      <c r="AW152" s="40"/>
      <c r="AX152" s="41">
        <f t="shared" si="278"/>
      </c>
    </row>
    <row hidden="true" r="153">
      <c r="A153" s="62"/>
      <c r="B153" s="73" t="s">
        <v>88</v>
      </c>
      <c r="C153" s="41" t="s">
        <v>60</v>
      </c>
      <c r="D153" s="73" t="s">
        <v>61</v>
      </c>
      <c r="E153" s="41" t="s">
        <v>65</v>
      </c>
      <c r="F153" s="63">
        <f t="shared" si="56"/>
      </c>
      <c r="G153" s="81">
        <v>1477.36</v>
      </c>
      <c r="H153" s="81">
        <v>2086.48</v>
      </c>
      <c r="I153" s="64">
        <v>0</v>
      </c>
      <c r="J153" s="65">
        <v>0</v>
      </c>
      <c r="K153" s="65">
        <v>0</v>
      </c>
      <c r="L153" s="65">
        <v>4</v>
      </c>
      <c r="M153" s="65">
        <v>7170.75</v>
      </c>
      <c r="N153" s="67">
        <v>0</v>
      </c>
      <c r="O153" s="68">
        <f t="shared" si="24"/>
      </c>
      <c r="P153" s="67">
        <v>1</v>
      </c>
      <c r="Q153" s="68">
        <f t="shared" si="0"/>
      </c>
      <c r="R153" s="69">
        <f t="shared" si="132"/>
      </c>
      <c r="S153" s="70">
        <f t="shared" si="204"/>
      </c>
      <c r="T153" s="63">
        <f t="shared" si="12"/>
      </c>
      <c r="U153" s="63">
        <f t="shared" si="8"/>
      </c>
      <c r="V153" s="71">
        <f t="shared" si="20"/>
      </c>
      <c r="W153" s="67">
        <v>4</v>
      </c>
      <c r="X153" s="71">
        <f t="shared" si="16"/>
      </c>
      <c r="Y153" s="71">
        <f t="shared" si="248"/>
      </c>
      <c r="Z153" s="63">
        <f t="shared" si="100"/>
      </c>
      <c r="AA153" s="63">
        <f t="shared" si="2"/>
      </c>
      <c r="AB153" s="63">
        <f t="shared" si="4"/>
      </c>
      <c r="AC153" s="68">
        <f t="shared" si="14"/>
      </c>
      <c r="AD153" s="68">
        <f t="shared" si="10"/>
      </c>
      <c r="AE153" s="68">
        <f t="shared" si="22"/>
      </c>
      <c r="AF153" s="68">
        <f t="shared" si="18"/>
      </c>
      <c r="AG153" s="68">
        <f t="shared" si="102"/>
      </c>
      <c r="AH153" s="68">
        <f t="shared" si="26"/>
      </c>
      <c r="AI153" s="68">
        <f t="shared" si="6"/>
      </c>
      <c r="AJ153" s="67">
        <v>63</v>
      </c>
      <c r="AK153" s="72">
        <v>19651</v>
      </c>
      <c r="AL153" s="72">
        <v>394</v>
      </c>
      <c r="AM153" s="72">
        <v>419</v>
      </c>
      <c r="AN153" s="72">
        <v>79</v>
      </c>
      <c r="AO153" s="73">
        <v>36</v>
      </c>
      <c r="AP153" s="67">
        <v>117</v>
      </c>
      <c r="AQ153" s="73">
        <v>93</v>
      </c>
      <c r="AR153" s="73">
        <v>6</v>
      </c>
      <c r="AS153" s="67">
        <v>14</v>
      </c>
      <c r="AT153" s="67">
        <v>1</v>
      </c>
      <c r="AU153" s="67">
        <v>6</v>
      </c>
      <c r="AV153" s="39"/>
      <c r="AW153" s="40"/>
      <c r="AX153" s="41">
        <f t="shared" si="278"/>
      </c>
    </row>
    <row hidden="true" r="154">
      <c r="A154" s="62"/>
      <c r="B154" s="75" t="s">
        <v>66</v>
      </c>
      <c r="C154" s="75"/>
      <c r="D154" s="75"/>
      <c r="E154" s="75"/>
      <c r="F154" s="76">
        <f>SUM(F150:F153)</f>
      </c>
      <c r="G154" s="76">
        <f>SUM(G150:G153)</f>
      </c>
      <c r="H154" s="76">
        <f>SUM(H150:H153)</f>
      </c>
      <c r="I154" s="76">
        <f>SUM(I150:I153)</f>
      </c>
      <c r="J154" s="76">
        <f>SUM(J150:J153)</f>
      </c>
      <c r="K154" s="76">
        <f>SUM(K150:K153)</f>
      </c>
      <c r="L154" s="76">
        <f>SUM(L150:L153)</f>
      </c>
      <c r="M154" s="76">
        <f>SUM(M150:M153)</f>
      </c>
      <c r="N154" s="76">
        <f>SUM(N150:N153)</f>
      </c>
      <c r="O154" s="77">
        <f t="shared" si="24"/>
      </c>
      <c r="P154" s="76">
        <f>SUM(P150:P153)</f>
      </c>
      <c r="Q154" s="77">
        <f t="shared" si="0"/>
      </c>
      <c r="R154" s="76">
        <f>SUM(R150:R153)</f>
      </c>
      <c r="S154" s="76">
        <f>SUM(S150:S153)</f>
      </c>
      <c r="T154" s="76">
        <f t="shared" si="12"/>
      </c>
      <c r="U154" s="76">
        <f t="shared" si="8"/>
      </c>
      <c r="V154" s="76">
        <f t="shared" si="20"/>
      </c>
      <c r="W154" s="76">
        <f>SUM(W150:W153)</f>
      </c>
      <c r="X154" s="79">
        <f t="shared" si="16"/>
      </c>
      <c r="Y154" s="79">
        <f t="shared" si="248"/>
      </c>
      <c r="Z154" s="76">
        <f t="shared" si="100"/>
      </c>
      <c r="AA154" s="76">
        <f t="shared" si="2"/>
      </c>
      <c r="AB154" s="80">
        <f t="shared" si="4"/>
      </c>
      <c r="AC154" s="77">
        <f t="shared" si="14"/>
      </c>
      <c r="AD154" s="77">
        <f t="shared" si="10"/>
      </c>
      <c r="AE154" s="77">
        <f t="shared" si="22"/>
      </c>
      <c r="AF154" s="77">
        <f t="shared" si="18"/>
      </c>
      <c r="AG154" s="77">
        <f t="shared" si="102"/>
      </c>
      <c r="AH154" s="77">
        <f t="shared" si="26"/>
      </c>
      <c r="AI154" s="77">
        <f t="shared" si="6"/>
      </c>
      <c r="AJ154" s="78">
        <f>AVERAGE(AJ150:AJ153)</f>
      </c>
      <c r="AK154" s="76">
        <f>SUM(AK150:AK153)</f>
      </c>
      <c r="AL154" s="76">
        <f>SUM(AL150:AL153)</f>
      </c>
      <c r="AM154" s="76">
        <f>SUM(AM150:AM153)</f>
      </c>
      <c r="AN154" s="76">
        <f>SUM(AN150:AN153)</f>
      </c>
      <c r="AO154" s="76">
        <f>SUM(AO150:AO153)</f>
      </c>
      <c r="AP154" s="76">
        <f>SUM(AP150:AP153)</f>
      </c>
      <c r="AQ154" s="76">
        <f>SUM(AQ150:AQ153)</f>
      </c>
      <c r="AR154" s="76">
        <f>SUM(AR150:AR153)</f>
      </c>
      <c r="AS154" s="76">
        <f>SUM(AS150:AS153)</f>
      </c>
      <c r="AT154" s="76">
        <f>SUM(AT150:AT153)</f>
      </c>
      <c r="AU154" s="76">
        <f>SUM(AU150:AU153)</f>
      </c>
      <c r="AV154" s="39"/>
      <c r="AW154" s="48"/>
      <c r="AX154" s="76">
        <f>SUM(AX150:AX153)</f>
      </c>
    </row>
    <row hidden="true" r="155">
      <c r="A155" s="62"/>
      <c r="B155" s="73" t="s">
        <v>88</v>
      </c>
      <c r="C155" s="41" t="s">
        <v>60</v>
      </c>
      <c r="D155" s="41" t="s">
        <v>74</v>
      </c>
      <c r="E155" s="41" t="s">
        <v>68</v>
      </c>
      <c r="F155" s="63">
        <f t="shared" ref="F155:F158" si="57">G155+H155+I155</f>
      </c>
      <c r="G155" s="81">
        <v>1502.41</v>
      </c>
      <c r="H155" s="81">
        <v>1493.16</v>
      </c>
      <c r="I155" s="64">
        <v>0</v>
      </c>
      <c r="J155" s="65">
        <v>0</v>
      </c>
      <c r="K155" s="65">
        <v>0</v>
      </c>
      <c r="L155" s="65">
        <v>1</v>
      </c>
      <c r="M155" s="65">
        <v>1371.7999999999993</v>
      </c>
      <c r="N155" s="67">
        <v>0</v>
      </c>
      <c r="O155" s="68">
        <f t="shared" si="24"/>
      </c>
      <c r="P155" s="67">
        <v>0</v>
      </c>
      <c r="Q155" s="68">
        <f t="shared" si="0"/>
      </c>
      <c r="R155" s="69">
        <f t="shared" ref="R155:R158" si="133">J155+L155</f>
      </c>
      <c r="S155" s="70">
        <f t="shared" ref="S155:S158" si="205">K155+M155</f>
      </c>
      <c r="T155" s="63">
        <f t="shared" si="12"/>
      </c>
      <c r="U155" s="63">
        <f t="shared" si="8"/>
      </c>
      <c r="V155" s="71">
        <f t="shared" si="20"/>
      </c>
      <c r="W155" s="67">
        <v>1</v>
      </c>
      <c r="X155" s="71">
        <f t="shared" si="16"/>
      </c>
      <c r="Y155" s="71">
        <f t="shared" si="248"/>
      </c>
      <c r="Z155" s="63">
        <f t="shared" si="100"/>
      </c>
      <c r="AA155" s="63">
        <f t="shared" si="2"/>
      </c>
      <c r="AB155" s="63">
        <f t="shared" si="4"/>
      </c>
      <c r="AC155" s="68">
        <f t="shared" si="14"/>
      </c>
      <c r="AD155" s="68">
        <f t="shared" si="10"/>
      </c>
      <c r="AE155" s="68">
        <f t="shared" si="22"/>
      </c>
      <c r="AF155" s="68">
        <f t="shared" si="18"/>
      </c>
      <c r="AG155" s="68">
        <f t="shared" si="102"/>
      </c>
      <c r="AH155" s="68">
        <f t="shared" si="26"/>
      </c>
      <c r="AI155" s="68">
        <f t="shared" si="6"/>
      </c>
      <c r="AJ155" s="67">
        <v>99</v>
      </c>
      <c r="AK155" s="72">
        <v>17746</v>
      </c>
      <c r="AL155" s="72">
        <v>320</v>
      </c>
      <c r="AM155" s="72">
        <v>334</v>
      </c>
      <c r="AN155" s="72">
        <v>96</v>
      </c>
      <c r="AO155" s="73">
        <v>63</v>
      </c>
      <c r="AP155" s="67">
        <v>90</v>
      </c>
      <c r="AQ155" s="73">
        <v>71</v>
      </c>
      <c r="AR155" s="73">
        <v>2</v>
      </c>
      <c r="AS155" s="73">
        <v>4</v>
      </c>
      <c r="AT155" s="67">
        <v>1</v>
      </c>
      <c r="AU155" s="67">
        <v>5</v>
      </c>
      <c r="AV155" s="39"/>
      <c r="AW155" s="40"/>
      <c r="AX155" s="41">
        <f t="shared" ref="AX155:AX158" si="279">COUNT(AU155)</f>
      </c>
    </row>
    <row hidden="true" r="156">
      <c r="A156" s="62"/>
      <c r="B156" s="73" t="s">
        <v>88</v>
      </c>
      <c r="C156" s="41" t="s">
        <v>60</v>
      </c>
      <c r="D156" s="41" t="s">
        <v>74</v>
      </c>
      <c r="E156" s="41" t="s">
        <v>69</v>
      </c>
      <c r="F156" s="63">
        <f t="shared" si="57"/>
      </c>
      <c r="G156" s="81">
        <v>1449.57</v>
      </c>
      <c r="H156" s="81">
        <v>895.42</v>
      </c>
      <c r="I156" s="64">
        <v>0</v>
      </c>
      <c r="J156" s="65">
        <v>1</v>
      </c>
      <c r="K156" s="65">
        <v>1110.9999999999998</v>
      </c>
      <c r="L156" s="65">
        <v>0</v>
      </c>
      <c r="M156" s="65">
        <v>0</v>
      </c>
      <c r="N156" s="67">
        <v>0</v>
      </c>
      <c r="O156" s="68">
        <f t="shared" si="24"/>
      </c>
      <c r="P156" s="67">
        <v>0</v>
      </c>
      <c r="Q156" s="68">
        <f t="shared" si="0"/>
      </c>
      <c r="R156" s="69">
        <f t="shared" si="133"/>
      </c>
      <c r="S156" s="70">
        <f t="shared" si="205"/>
      </c>
      <c r="T156" s="63">
        <f t="shared" si="12"/>
      </c>
      <c r="U156" s="63">
        <f t="shared" si="8"/>
      </c>
      <c r="V156" s="71">
        <f t="shared" si="20"/>
      </c>
      <c r="W156" s="67">
        <v>1</v>
      </c>
      <c r="X156" s="71">
        <f t="shared" si="16"/>
      </c>
      <c r="Y156" s="71">
        <f t="shared" si="248"/>
      </c>
      <c r="Z156" s="63">
        <f t="shared" si="100"/>
      </c>
      <c r="AA156" s="63">
        <f t="shared" si="2"/>
      </c>
      <c r="AB156" s="63">
        <f t="shared" si="4"/>
      </c>
      <c r="AC156" s="68">
        <f t="shared" si="14"/>
      </c>
      <c r="AD156" s="68">
        <f t="shared" si="10"/>
      </c>
      <c r="AE156" s="68">
        <f t="shared" si="22"/>
      </c>
      <c r="AF156" s="68">
        <f t="shared" si="18"/>
      </c>
      <c r="AG156" s="68">
        <f t="shared" si="102"/>
      </c>
      <c r="AH156" s="68">
        <f t="shared" si="26"/>
      </c>
      <c r="AI156" s="68">
        <f t="shared" si="6"/>
      </c>
      <c r="AJ156" s="67">
        <v>79</v>
      </c>
      <c r="AK156" s="72">
        <v>12465</v>
      </c>
      <c r="AL156" s="72">
        <v>251</v>
      </c>
      <c r="AM156" s="72">
        <v>254</v>
      </c>
      <c r="AN156" s="72">
        <v>67</v>
      </c>
      <c r="AO156" s="73">
        <v>88</v>
      </c>
      <c r="AP156" s="67">
        <v>92</v>
      </c>
      <c r="AQ156" s="73">
        <v>60</v>
      </c>
      <c r="AR156" s="73">
        <v>5</v>
      </c>
      <c r="AS156" s="73">
        <v>9</v>
      </c>
      <c r="AT156" s="67">
        <v>0</v>
      </c>
      <c r="AU156" s="67">
        <v>1</v>
      </c>
      <c r="AV156" s="39"/>
      <c r="AW156" s="40"/>
      <c r="AX156" s="41">
        <f t="shared" si="279"/>
      </c>
    </row>
    <row hidden="true" r="157">
      <c r="A157" s="62"/>
      <c r="B157" s="73" t="s">
        <v>88</v>
      </c>
      <c r="C157" s="41" t="s">
        <v>60</v>
      </c>
      <c r="D157" s="41" t="s">
        <v>74</v>
      </c>
      <c r="E157" s="41" t="s">
        <v>70</v>
      </c>
      <c r="F157" s="63">
        <f t="shared" si="57"/>
      </c>
      <c r="G157" s="81">
        <v>1548.28</v>
      </c>
      <c r="H157" s="81">
        <v>2103.07</v>
      </c>
      <c r="I157" s="64">
        <v>0</v>
      </c>
      <c r="J157" s="65">
        <v>0</v>
      </c>
      <c r="K157" s="65">
        <v>0</v>
      </c>
      <c r="L157" s="65">
        <v>2</v>
      </c>
      <c r="M157" s="65">
        <v>2589.699999999999</v>
      </c>
      <c r="N157" s="67">
        <v>0</v>
      </c>
      <c r="O157" s="68">
        <f t="shared" si="24"/>
      </c>
      <c r="P157" s="67">
        <v>0</v>
      </c>
      <c r="Q157" s="68">
        <f t="shared" si="0"/>
      </c>
      <c r="R157" s="69">
        <f t="shared" si="133"/>
      </c>
      <c r="S157" s="70">
        <f t="shared" si="205"/>
      </c>
      <c r="T157" s="63">
        <f t="shared" si="12"/>
      </c>
      <c r="U157" s="63">
        <f t="shared" si="8"/>
      </c>
      <c r="V157" s="71">
        <f t="shared" si="20"/>
      </c>
      <c r="W157" s="67">
        <v>2</v>
      </c>
      <c r="X157" s="71">
        <f t="shared" si="16"/>
      </c>
      <c r="Y157" s="71">
        <f t="shared" si="248"/>
      </c>
      <c r="Z157" s="63">
        <f t="shared" si="100"/>
      </c>
      <c r="AA157" s="63">
        <f t="shared" si="2"/>
      </c>
      <c r="AB157" s="63">
        <f t="shared" si="4"/>
      </c>
      <c r="AC157" s="68">
        <f t="shared" si="14"/>
      </c>
      <c r="AD157" s="68">
        <f t="shared" si="10"/>
      </c>
      <c r="AE157" s="68">
        <f t="shared" si="22"/>
      </c>
      <c r="AF157" s="68">
        <f t="shared" si="18"/>
      </c>
      <c r="AG157" s="68">
        <f t="shared" si="102"/>
      </c>
      <c r="AH157" s="68">
        <f t="shared" si="26"/>
      </c>
      <c r="AI157" s="68">
        <f t="shared" si="6"/>
      </c>
      <c r="AJ157" s="67">
        <v>70</v>
      </c>
      <c r="AK157" s="72">
        <v>19133</v>
      </c>
      <c r="AL157" s="72">
        <v>423</v>
      </c>
      <c r="AM157" s="72">
        <v>483</v>
      </c>
      <c r="AN157" s="72">
        <v>70</v>
      </c>
      <c r="AO157" s="73">
        <v>34</v>
      </c>
      <c r="AP157" s="72">
        <v>87</v>
      </c>
      <c r="AQ157" s="73">
        <v>99</v>
      </c>
      <c r="AR157" s="73">
        <v>3</v>
      </c>
      <c r="AS157" s="72">
        <v>9</v>
      </c>
      <c r="AT157" s="72">
        <v>3</v>
      </c>
      <c r="AU157" s="72">
        <v>2</v>
      </c>
      <c r="AV157" s="39"/>
      <c r="AW157" s="40"/>
      <c r="AX157" s="41">
        <f t="shared" si="279"/>
      </c>
    </row>
    <row hidden="true" r="158">
      <c r="A158" s="62"/>
      <c r="B158" s="73" t="s">
        <v>87</v>
      </c>
      <c r="C158" s="41" t="s">
        <v>72</v>
      </c>
      <c r="D158" s="41" t="s">
        <v>74</v>
      </c>
      <c r="E158" s="41" t="s">
        <v>73</v>
      </c>
      <c r="F158" s="63">
        <f t="shared" si="57"/>
      </c>
      <c r="G158" s="81">
        <v>1492.76</v>
      </c>
      <c r="H158" s="81">
        <v>574.9</v>
      </c>
      <c r="I158" s="64">
        <v>0</v>
      </c>
      <c r="J158" s="65">
        <v>0</v>
      </c>
      <c r="K158" s="65">
        <v>0</v>
      </c>
      <c r="L158" s="65">
        <v>1</v>
      </c>
      <c r="M158" s="65">
        <v>2172.9400000000023</v>
      </c>
      <c r="N158" s="67">
        <v>1</v>
      </c>
      <c r="O158" s="68">
        <f t="shared" si="24"/>
      </c>
      <c r="P158" s="67">
        <v>1</v>
      </c>
      <c r="Q158" s="68">
        <f t="shared" si="0"/>
      </c>
      <c r="R158" s="69">
        <f t="shared" si="133"/>
      </c>
      <c r="S158" s="70">
        <f t="shared" si="205"/>
      </c>
      <c r="T158" s="63">
        <f t="shared" si="12"/>
      </c>
      <c r="U158" s="63">
        <f t="shared" si="8"/>
      </c>
      <c r="V158" s="71">
        <f t="shared" si="20"/>
      </c>
      <c r="W158" s="67">
        <v>1</v>
      </c>
      <c r="X158" s="71">
        <f t="shared" si="16"/>
      </c>
      <c r="Y158" s="71">
        <f t="shared" si="248"/>
      </c>
      <c r="Z158" s="63">
        <f t="shared" si="100"/>
      </c>
      <c r="AA158" s="63">
        <f t="shared" si="2"/>
      </c>
      <c r="AB158" s="63">
        <f t="shared" si="4"/>
      </c>
      <c r="AC158" s="68">
        <f t="shared" si="14"/>
      </c>
      <c r="AD158" s="68">
        <f t="shared" si="10"/>
      </c>
      <c r="AE158" s="68">
        <f t="shared" si="22"/>
      </c>
      <c r="AF158" s="68">
        <f t="shared" si="18"/>
      </c>
      <c r="AG158" s="68">
        <f t="shared" si="102"/>
      </c>
      <c r="AH158" s="68">
        <f t="shared" si="26"/>
      </c>
      <c r="AI158" s="68">
        <f t="shared" si="6"/>
      </c>
      <c r="AJ158" s="67">
        <v>71</v>
      </c>
      <c r="AK158" s="72">
        <v>12475</v>
      </c>
      <c r="AL158" s="72">
        <v>177</v>
      </c>
      <c r="AM158" s="67">
        <v>200</v>
      </c>
      <c r="AN158" s="67">
        <v>57</v>
      </c>
      <c r="AO158" s="73">
        <v>21</v>
      </c>
      <c r="AP158" s="67">
        <v>47</v>
      </c>
      <c r="AQ158" s="73">
        <v>51</v>
      </c>
      <c r="AR158" s="73">
        <v>1</v>
      </c>
      <c r="AS158" s="67">
        <v>2</v>
      </c>
      <c r="AT158" s="67">
        <v>0</v>
      </c>
      <c r="AU158" s="67">
        <v>3</v>
      </c>
      <c r="AV158" s="39"/>
      <c r="AW158" s="40"/>
      <c r="AX158" s="41">
        <f t="shared" si="279"/>
      </c>
    </row>
    <row hidden="true" r="159">
      <c r="A159" s="62"/>
      <c r="B159" s="75" t="s">
        <v>66</v>
      </c>
      <c r="C159" s="75"/>
      <c r="D159" s="75"/>
      <c r="E159" s="75"/>
      <c r="F159" s="76">
        <f>SUM(F155:F158)</f>
      </c>
      <c r="G159" s="76">
        <f>SUM(G155:G158)</f>
      </c>
      <c r="H159" s="76">
        <f>SUM(H155:H158)</f>
      </c>
      <c r="I159" s="76">
        <f>SUM(I155:I158)</f>
      </c>
      <c r="J159" s="76">
        <f>SUM(J155:J158)</f>
      </c>
      <c r="K159" s="76">
        <f>SUM(K155:K158)</f>
      </c>
      <c r="L159" s="76">
        <f>SUM(L155:L158)</f>
      </c>
      <c r="M159" s="76">
        <f>SUM(M155:M158)</f>
      </c>
      <c r="N159" s="76">
        <f>SUM(N155:N158)</f>
      </c>
      <c r="O159" s="77">
        <f t="shared" si="24"/>
      </c>
      <c r="P159" s="76">
        <f>SUM(P155:P158)</f>
      </c>
      <c r="Q159" s="77">
        <f t="shared" si="0"/>
      </c>
      <c r="R159" s="91">
        <f>SUM(R155:R158)</f>
      </c>
      <c r="S159" s="76">
        <f>SUM(S155:S158)</f>
      </c>
      <c r="T159" s="76">
        <f t="shared" si="12"/>
      </c>
      <c r="U159" s="76">
        <f t="shared" si="8"/>
      </c>
      <c r="V159" s="79">
        <f t="shared" si="20"/>
      </c>
      <c r="W159" s="76">
        <f>SUM(W155:W158)</f>
      </c>
      <c r="X159" s="79">
        <f t="shared" si="16"/>
      </c>
      <c r="Y159" s="79">
        <f t="shared" si="248"/>
      </c>
      <c r="Z159" s="76">
        <f t="shared" si="100"/>
      </c>
      <c r="AA159" s="76">
        <f t="shared" si="2"/>
      </c>
      <c r="AB159" s="80">
        <f t="shared" si="4"/>
      </c>
      <c r="AC159" s="77">
        <f t="shared" si="14"/>
      </c>
      <c r="AD159" s="77">
        <f t="shared" si="10"/>
      </c>
      <c r="AE159" s="77">
        <f t="shared" si="22"/>
      </c>
      <c r="AF159" s="82">
        <f t="shared" si="18"/>
      </c>
      <c r="AG159" s="77">
        <f t="shared" si="102"/>
      </c>
      <c r="AH159" s="77">
        <f t="shared" si="26"/>
      </c>
      <c r="AI159" s="77">
        <f t="shared" si="6"/>
      </c>
      <c r="AJ159" s="78">
        <f>AVERAGE(AJ155:AJ158)</f>
      </c>
      <c r="AK159" s="76">
        <f>SUM(AK155:AK158)</f>
      </c>
      <c r="AL159" s="76">
        <f>SUM(AL155:AL158)</f>
      </c>
      <c r="AM159" s="76">
        <f>SUM(AM155:AM158)</f>
      </c>
      <c r="AN159" s="76">
        <f>SUM(AN155:AN158)</f>
      </c>
      <c r="AO159" s="76">
        <f>SUM(AO155:AO158)</f>
      </c>
      <c r="AP159" s="76">
        <f>SUM(AP155:AP158)</f>
      </c>
      <c r="AQ159" s="76">
        <f>SUM(AQ155:AQ158)</f>
      </c>
      <c r="AR159" s="76">
        <f>SUM(AR155:AR158)</f>
      </c>
      <c r="AS159" s="76">
        <f>SUM(AS155:AS158)</f>
      </c>
      <c r="AT159" s="76">
        <f>SUM(AT155:AT158)</f>
      </c>
      <c r="AU159" s="76">
        <f>SUM(AU155:AU158)</f>
      </c>
      <c r="AV159" s="39"/>
      <c r="AW159" s="48"/>
      <c r="AX159" s="49">
        <f>SUM(AX155:AX158)</f>
      </c>
    </row>
    <row hidden="true" r="160">
      <c r="A160" s="62"/>
      <c r="B160" s="73" t="s">
        <v>87</v>
      </c>
      <c r="C160" s="41" t="s">
        <v>72</v>
      </c>
      <c r="D160" s="41" t="s">
        <v>67</v>
      </c>
      <c r="E160" s="41" t="s">
        <v>75</v>
      </c>
      <c r="F160" s="63">
        <f t="shared" ref="F160:F163" si="58">G160+H160+I160</f>
      </c>
      <c r="G160" s="81">
        <v>794.28</v>
      </c>
      <c r="H160" s="81">
        <v>1977.89</v>
      </c>
      <c r="I160" s="64">
        <v>0</v>
      </c>
      <c r="J160" s="65">
        <v>0</v>
      </c>
      <c r="K160" s="65">
        <v>0</v>
      </c>
      <c r="L160" s="65">
        <v>0</v>
      </c>
      <c r="M160" s="65">
        <v>0</v>
      </c>
      <c r="N160" s="67">
        <v>0</v>
      </c>
      <c r="O160" s="68">
        <f t="shared" si="24"/>
      </c>
      <c r="P160" s="67">
        <v>0</v>
      </c>
      <c r="Q160" s="68">
        <f t="shared" si="0"/>
      </c>
      <c r="R160" s="69">
        <f t="shared" ref="R160:R163" si="134">J160+L160</f>
      </c>
      <c r="S160" s="70">
        <f t="shared" ref="S160:S163" si="206">K160+M160</f>
      </c>
      <c r="T160" s="63">
        <f t="shared" si="12"/>
      </c>
      <c r="U160" s="63">
        <f t="shared" si="8"/>
      </c>
      <c r="V160" s="71">
        <f t="shared" si="20"/>
      </c>
      <c r="W160" s="67">
        <v>0</v>
      </c>
      <c r="X160" s="71">
        <f t="shared" si="16"/>
      </c>
      <c r="Y160" s="71">
        <f t="shared" si="248"/>
      </c>
      <c r="Z160" s="63">
        <f t="shared" si="100"/>
      </c>
      <c r="AA160" s="63">
        <f t="shared" si="2"/>
      </c>
      <c r="AB160" s="63">
        <f t="shared" si="4"/>
      </c>
      <c r="AC160" s="68">
        <f t="shared" si="14"/>
      </c>
      <c r="AD160" s="68">
        <f t="shared" si="10"/>
      </c>
      <c r="AE160" s="68">
        <f t="shared" si="22"/>
      </c>
      <c r="AF160" s="68">
        <f t="shared" si="18"/>
      </c>
      <c r="AG160" s="68">
        <f t="shared" si="102"/>
      </c>
      <c r="AH160" s="68">
        <f t="shared" si="26"/>
      </c>
      <c r="AI160" s="68">
        <f t="shared" si="6"/>
      </c>
      <c r="AJ160" s="67">
        <v>55</v>
      </c>
      <c r="AK160" s="72">
        <v>15303</v>
      </c>
      <c r="AL160" s="72">
        <v>268</v>
      </c>
      <c r="AM160" s="72">
        <v>291</v>
      </c>
      <c r="AN160" s="72">
        <v>60</v>
      </c>
      <c r="AO160" s="73">
        <v>36</v>
      </c>
      <c r="AP160" s="72">
        <v>60</v>
      </c>
      <c r="AQ160" s="41">
        <v>64</v>
      </c>
      <c r="AR160" s="73">
        <v>1</v>
      </c>
      <c r="AS160" s="73">
        <v>0</v>
      </c>
      <c r="AT160" s="67">
        <v>7</v>
      </c>
      <c r="AU160" s="67">
        <v>3</v>
      </c>
      <c r="AV160" s="39"/>
      <c r="AW160" s="40"/>
      <c r="AX160" s="41">
        <f t="shared" ref="AX160:AX163" si="280">COUNT(AU160)</f>
      </c>
    </row>
    <row hidden="true" r="161">
      <c r="A161" s="62"/>
      <c r="B161" s="73" t="s">
        <v>87</v>
      </c>
      <c r="C161" s="41" t="s">
        <v>72</v>
      </c>
      <c r="D161" s="41" t="s">
        <v>67</v>
      </c>
      <c r="E161" s="41" t="s">
        <v>76</v>
      </c>
      <c r="F161" s="63">
        <f t="shared" si="58"/>
      </c>
      <c r="G161" s="81">
        <v>1140.12</v>
      </c>
      <c r="H161" s="81">
        <v>1308.14</v>
      </c>
      <c r="I161" s="64">
        <v>0</v>
      </c>
      <c r="J161" s="64">
        <v>0</v>
      </c>
      <c r="K161" s="64">
        <v>0</v>
      </c>
      <c r="L161" s="65">
        <v>1</v>
      </c>
      <c r="M161" s="65">
        <v>1588.4000000000015</v>
      </c>
      <c r="N161" s="67">
        <v>0</v>
      </c>
      <c r="O161" s="68">
        <f t="shared" si="24"/>
      </c>
      <c r="P161" s="67">
        <v>0</v>
      </c>
      <c r="Q161" s="68">
        <f t="shared" si="0"/>
      </c>
      <c r="R161" s="69">
        <f t="shared" si="134"/>
      </c>
      <c r="S161" s="70">
        <f t="shared" si="206"/>
      </c>
      <c r="T161" s="63">
        <f t="shared" si="12"/>
      </c>
      <c r="U161" s="63">
        <f t="shared" si="8"/>
      </c>
      <c r="V161" s="71">
        <f t="shared" si="20"/>
      </c>
      <c r="W161" s="67">
        <v>1</v>
      </c>
      <c r="X161" s="71">
        <f t="shared" si="16"/>
      </c>
      <c r="Y161" s="71">
        <f t="shared" si="248"/>
      </c>
      <c r="Z161" s="63">
        <f t="shared" si="100"/>
      </c>
      <c r="AA161" s="63">
        <f t="shared" si="2"/>
      </c>
      <c r="AB161" s="63">
        <f t="shared" si="4"/>
      </c>
      <c r="AC161" s="68">
        <f t="shared" si="14"/>
      </c>
      <c r="AD161" s="68">
        <f t="shared" si="10"/>
      </c>
      <c r="AE161" s="68">
        <f t="shared" si="22"/>
      </c>
      <c r="AF161" s="68">
        <f t="shared" si="18"/>
      </c>
      <c r="AG161" s="68">
        <f t="shared" si="102"/>
      </c>
      <c r="AH161" s="68">
        <f t="shared" si="26"/>
      </c>
      <c r="AI161" s="68">
        <f t="shared" si="6"/>
      </c>
      <c r="AJ161" s="67">
        <v>44</v>
      </c>
      <c r="AK161" s="67">
        <v>14611</v>
      </c>
      <c r="AL161" s="72">
        <v>534</v>
      </c>
      <c r="AM161" s="72">
        <v>629</v>
      </c>
      <c r="AN161" s="72">
        <v>65</v>
      </c>
      <c r="AO161" s="73">
        <v>31</v>
      </c>
      <c r="AP161" s="67">
        <v>62</v>
      </c>
      <c r="AQ161" s="73">
        <v>65</v>
      </c>
      <c r="AR161" s="73">
        <v>3</v>
      </c>
      <c r="AS161" s="41">
        <v>2</v>
      </c>
      <c r="AT161" s="72">
        <v>0</v>
      </c>
      <c r="AU161" s="72">
        <v>2</v>
      </c>
      <c r="AV161" s="39"/>
      <c r="AW161" s="40"/>
      <c r="AX161" s="41">
        <f t="shared" si="280"/>
      </c>
    </row>
    <row hidden="true" r="162">
      <c r="A162" s="62"/>
      <c r="B162" s="73" t="s">
        <v>87</v>
      </c>
      <c r="C162" s="41" t="s">
        <v>72</v>
      </c>
      <c r="D162" s="41" t="s">
        <v>67</v>
      </c>
      <c r="E162" s="41" t="s">
        <v>77</v>
      </c>
      <c r="F162" s="63">
        <f t="shared" si="58"/>
      </c>
      <c r="G162" s="81">
        <v>1613.22</v>
      </c>
      <c r="H162" s="81">
        <v>1646.31</v>
      </c>
      <c r="I162" s="64">
        <v>0</v>
      </c>
      <c r="J162" s="65">
        <v>1</v>
      </c>
      <c r="K162" s="65">
        <v>1286</v>
      </c>
      <c r="L162" s="64">
        <v>2</v>
      </c>
      <c r="M162" s="64">
        <v>2211.8899999999994</v>
      </c>
      <c r="N162" s="67">
        <v>2</v>
      </c>
      <c r="O162" s="68">
        <f t="shared" si="24"/>
      </c>
      <c r="P162" s="67">
        <v>0</v>
      </c>
      <c r="Q162" s="68">
        <f t="shared" si="0"/>
      </c>
      <c r="R162" s="69">
        <f t="shared" si="134"/>
      </c>
      <c r="S162" s="70">
        <f t="shared" si="206"/>
      </c>
      <c r="T162" s="63">
        <f t="shared" si="12"/>
      </c>
      <c r="U162" s="63">
        <f t="shared" si="8"/>
      </c>
      <c r="V162" s="71">
        <f t="shared" si="20"/>
      </c>
      <c r="W162" s="67">
        <v>1</v>
      </c>
      <c r="X162" s="71">
        <f t="shared" si="16"/>
      </c>
      <c r="Y162" s="71">
        <f t="shared" si="248"/>
      </c>
      <c r="Z162" s="63">
        <f t="shared" si="100"/>
      </c>
      <c r="AA162" s="63">
        <f t="shared" si="2"/>
      </c>
      <c r="AB162" s="63">
        <f t="shared" si="4"/>
      </c>
      <c r="AC162" s="68">
        <f t="shared" si="14"/>
      </c>
      <c r="AD162" s="68">
        <f t="shared" si="10"/>
      </c>
      <c r="AE162" s="68">
        <f t="shared" si="22"/>
      </c>
      <c r="AF162" s="68">
        <f t="shared" si="18"/>
      </c>
      <c r="AG162" s="68">
        <f t="shared" si="102"/>
      </c>
      <c r="AH162" s="68">
        <f t="shared" si="26"/>
      </c>
      <c r="AI162" s="68">
        <f t="shared" si="6"/>
      </c>
      <c r="AJ162" s="67">
        <v>41</v>
      </c>
      <c r="AK162" s="72">
        <v>19245</v>
      </c>
      <c r="AL162" s="72">
        <v>675</v>
      </c>
      <c r="AM162" s="72">
        <v>763</v>
      </c>
      <c r="AN162" s="72">
        <v>79</v>
      </c>
      <c r="AO162" s="73">
        <v>18</v>
      </c>
      <c r="AP162" s="72">
        <v>63</v>
      </c>
      <c r="AQ162" s="41">
        <v>65</v>
      </c>
      <c r="AR162" s="73">
        <v>5</v>
      </c>
      <c r="AS162" s="67">
        <v>6</v>
      </c>
      <c r="AT162" s="67">
        <v>3</v>
      </c>
      <c r="AU162" s="67">
        <v>6</v>
      </c>
      <c r="AV162" s="39"/>
      <c r="AW162" s="40"/>
      <c r="AX162" s="41">
        <f t="shared" si="280"/>
      </c>
    </row>
    <row hidden="true" r="163">
      <c r="A163" s="62"/>
      <c r="B163" s="73" t="s">
        <v>87</v>
      </c>
      <c r="C163" s="41" t="s">
        <v>72</v>
      </c>
      <c r="D163" s="41" t="s">
        <v>67</v>
      </c>
      <c r="E163" s="41" t="s">
        <v>78</v>
      </c>
      <c r="F163" s="63">
        <f t="shared" si="58"/>
      </c>
      <c r="G163" s="81">
        <v>1754.94</v>
      </c>
      <c r="H163" s="81">
        <v>1479.41</v>
      </c>
      <c r="I163" s="64">
        <v>0</v>
      </c>
      <c r="J163" s="65">
        <v>0</v>
      </c>
      <c r="K163" s="64">
        <v>0</v>
      </c>
      <c r="L163" s="64">
        <v>4</v>
      </c>
      <c r="M163" s="64">
        <v>12037.839999999997</v>
      </c>
      <c r="N163" s="67">
        <v>1</v>
      </c>
      <c r="O163" s="68">
        <f t="shared" si="24"/>
      </c>
      <c r="P163" s="67">
        <v>1</v>
      </c>
      <c r="Q163" s="68">
        <f t="shared" si="0"/>
      </c>
      <c r="R163" s="69">
        <f t="shared" si="134"/>
      </c>
      <c r="S163" s="70">
        <f t="shared" si="206"/>
      </c>
      <c r="T163" s="63">
        <f t="shared" si="12"/>
      </c>
      <c r="U163" s="63">
        <f t="shared" si="8"/>
      </c>
      <c r="V163" s="71">
        <f t="shared" si="20"/>
      </c>
      <c r="W163" s="67">
        <v>3</v>
      </c>
      <c r="X163" s="71">
        <f t="shared" si="16"/>
      </c>
      <c r="Y163" s="71">
        <f t="shared" si="248"/>
      </c>
      <c r="Z163" s="63">
        <f t="shared" si="100"/>
      </c>
      <c r="AA163" s="63">
        <f t="shared" si="2"/>
      </c>
      <c r="AB163" s="63">
        <f t="shared" si="4"/>
      </c>
      <c r="AC163" s="68">
        <f t="shared" si="14"/>
      </c>
      <c r="AD163" s="68">
        <f t="shared" si="10"/>
      </c>
      <c r="AE163" s="68">
        <f t="shared" si="22"/>
      </c>
      <c r="AF163" s="68">
        <f t="shared" si="18"/>
      </c>
      <c r="AG163" s="68">
        <f t="shared" si="102"/>
      </c>
      <c r="AH163" s="68">
        <f t="shared" si="26"/>
      </c>
      <c r="AI163" s="68">
        <f t="shared" si="6"/>
      </c>
      <c r="AJ163" s="67">
        <v>47</v>
      </c>
      <c r="AK163" s="72">
        <v>20613</v>
      </c>
      <c r="AL163" s="72">
        <v>638</v>
      </c>
      <c r="AM163" s="72">
        <v>760</v>
      </c>
      <c r="AN163" s="72">
        <v>105</v>
      </c>
      <c r="AO163" s="73">
        <v>32</v>
      </c>
      <c r="AP163" s="72">
        <v>90</v>
      </c>
      <c r="AQ163" s="41">
        <v>101</v>
      </c>
      <c r="AR163" s="73">
        <v>6</v>
      </c>
      <c r="AS163" s="72">
        <v>8</v>
      </c>
      <c r="AT163" s="72">
        <v>3</v>
      </c>
      <c r="AU163" s="67">
        <v>15</v>
      </c>
      <c r="AV163" s="39"/>
      <c r="AW163" s="40"/>
      <c r="AX163" s="41">
        <f t="shared" si="280"/>
      </c>
    </row>
    <row hidden="true" r="164">
      <c r="A164" s="62"/>
      <c r="B164" s="75" t="s">
        <v>66</v>
      </c>
      <c r="C164" s="75"/>
      <c r="D164" s="75"/>
      <c r="E164" s="75"/>
      <c r="F164" s="76">
        <f>SUM(F160:F163)</f>
      </c>
      <c r="G164" s="76">
        <f>SUM(G160:G163)</f>
      </c>
      <c r="H164" s="76">
        <f>SUM(H160:H163)</f>
      </c>
      <c r="I164" s="76">
        <f>SUM(I160:I163)</f>
      </c>
      <c r="J164" s="76">
        <f>SUM(J160:J163)</f>
      </c>
      <c r="K164" s="76">
        <f>SUM(K160:K163)</f>
      </c>
      <c r="L164" s="76">
        <f>SUM(L160:L163)</f>
      </c>
      <c r="M164" s="76">
        <f>SUM(M160:M163)</f>
      </c>
      <c r="N164" s="76">
        <f>SUM(N160:N163)</f>
      </c>
      <c r="O164" s="77">
        <f t="shared" si="24"/>
      </c>
      <c r="P164" s="76">
        <f>SUM(P160:P163)</f>
      </c>
      <c r="Q164" s="77">
        <f t="shared" si="0"/>
      </c>
      <c r="R164" s="78">
        <f>SUM(R160:R163)</f>
      </c>
      <c r="S164" s="76">
        <f>SUM(S160:S163)</f>
      </c>
      <c r="T164" s="76">
        <f t="shared" si="12"/>
      </c>
      <c r="U164" s="76">
        <f t="shared" si="8"/>
      </c>
      <c r="V164" s="79">
        <f t="shared" si="20"/>
      </c>
      <c r="W164" s="76">
        <f>SUM(W160:W163)</f>
      </c>
      <c r="X164" s="79">
        <f t="shared" si="16"/>
      </c>
      <c r="Y164" s="79">
        <f t="shared" si="248"/>
      </c>
      <c r="Z164" s="76">
        <f t="shared" si="100"/>
      </c>
      <c r="AA164" s="76">
        <f t="shared" si="2"/>
      </c>
      <c r="AB164" s="80">
        <f t="shared" si="4"/>
      </c>
      <c r="AC164" s="77">
        <f t="shared" si="14"/>
      </c>
      <c r="AD164" s="77">
        <f t="shared" si="10"/>
      </c>
      <c r="AE164" s="77">
        <f t="shared" si="22"/>
      </c>
      <c r="AF164" s="82">
        <f t="shared" si="18"/>
      </c>
      <c r="AG164" s="77">
        <f t="shared" si="102"/>
      </c>
      <c r="AH164" s="77">
        <f t="shared" si="26"/>
      </c>
      <c r="AI164" s="77">
        <f t="shared" si="6"/>
      </c>
      <c r="AJ164" s="78">
        <f>AVERAGE(AJ160:AJ163)</f>
      </c>
      <c r="AK164" s="76">
        <f>SUM(AK160:AK163)</f>
      </c>
      <c r="AL164" s="76">
        <f>SUM(AL160:AL163)</f>
      </c>
      <c r="AM164" s="76">
        <f>SUM(AM160:AM163)</f>
      </c>
      <c r="AN164" s="76">
        <f>SUM(AN160:AN163)</f>
      </c>
      <c r="AO164" s="76">
        <f>SUM(AO160:AO163)</f>
      </c>
      <c r="AP164" s="76">
        <f>SUM(AP160:AP163)</f>
      </c>
      <c r="AQ164" s="76">
        <f>SUM(AQ160:AQ163)</f>
      </c>
      <c r="AR164" s="76">
        <f>SUM(AR160:AR163)</f>
      </c>
      <c r="AS164" s="76">
        <f>SUM(AS160:AS163)</f>
      </c>
      <c r="AT164" s="76">
        <f>SUM(AT160:AT163)</f>
      </c>
      <c r="AU164" s="76">
        <f>SUM(AU160:AU163)</f>
      </c>
      <c r="AV164" s="39"/>
      <c r="AW164" s="48"/>
      <c r="AX164" s="49">
        <f>SUM(AX160:AX163)</f>
      </c>
    </row>
    <row hidden="true" r="165">
      <c r="A165" s="62"/>
      <c r="B165" s="84" t="s">
        <v>84</v>
      </c>
      <c r="C165" s="84"/>
      <c r="D165" s="84"/>
      <c r="E165" s="84"/>
      <c r="F165" s="85">
        <f>F154+F159+F164</f>
      </c>
      <c r="G165" s="85">
        <f>G154+G159+G164</f>
      </c>
      <c r="H165" s="85">
        <f>H154+H159+H164</f>
      </c>
      <c r="I165" s="85">
        <f>I154+I159+I164</f>
      </c>
      <c r="J165" s="85">
        <f>J154+J159+J164</f>
      </c>
      <c r="K165" s="85">
        <f>K154+K159+K164</f>
      </c>
      <c r="L165" s="85">
        <f>L154+L159+L164</f>
      </c>
      <c r="M165" s="85">
        <f>M154+M159+M164</f>
      </c>
      <c r="N165" s="85">
        <f>N154+N159+N164</f>
      </c>
      <c r="O165" s="86">
        <f t="shared" si="24"/>
      </c>
      <c r="P165" s="85">
        <f>P154+P159+P164</f>
      </c>
      <c r="Q165" s="86">
        <f t="shared" si="0"/>
      </c>
      <c r="R165" s="85">
        <f>R154+R159+R164</f>
      </c>
      <c r="S165" s="85">
        <f>S154+S159+S164</f>
      </c>
      <c r="T165" s="85">
        <f t="shared" si="12"/>
      </c>
      <c r="U165" s="85">
        <f t="shared" si="8"/>
      </c>
      <c r="V165" s="88">
        <f t="shared" si="20"/>
      </c>
      <c r="W165" s="85">
        <f>W154+W159+W164</f>
      </c>
      <c r="X165" s="88">
        <f t="shared" si="16"/>
      </c>
      <c r="Y165" s="88">
        <f t="shared" si="248"/>
      </c>
      <c r="Z165" s="85">
        <f t="shared" si="100"/>
      </c>
      <c r="AA165" s="85">
        <f t="shared" si="2"/>
      </c>
      <c r="AB165" s="89">
        <f t="shared" si="4"/>
      </c>
      <c r="AC165" s="86">
        <f t="shared" si="14"/>
      </c>
      <c r="AD165" s="86">
        <f t="shared" si="10"/>
      </c>
      <c r="AE165" s="86">
        <f t="shared" si="22"/>
      </c>
      <c r="AF165" s="90">
        <f t="shared" si="18"/>
      </c>
      <c r="AG165" s="86">
        <f t="shared" si="102"/>
      </c>
      <c r="AH165" s="86">
        <f t="shared" si="26"/>
      </c>
      <c r="AI165" s="86">
        <f t="shared" si="6"/>
      </c>
      <c r="AJ165" s="87">
        <f>(AJ154+AJ159+AJ164)/3</f>
      </c>
      <c r="AK165" s="85">
        <f>AK154+AK159+AK164</f>
      </c>
      <c r="AL165" s="85">
        <f>AL154+AL159+AL164</f>
      </c>
      <c r="AM165" s="85">
        <f>AM154+AM159+AM164</f>
      </c>
      <c r="AN165" s="85">
        <f>AN154+AN159+AN164</f>
      </c>
      <c r="AO165" s="85">
        <f>AO154+AO159+AO164</f>
      </c>
      <c r="AP165" s="85">
        <f>AP154+AP159+AP164</f>
      </c>
      <c r="AQ165" s="85">
        <f>AQ154+AQ159+AQ164</f>
      </c>
      <c r="AR165" s="85">
        <f>AR154+AR159+AR164</f>
      </c>
      <c r="AS165" s="85">
        <f>AS154+AS159+AS164</f>
      </c>
      <c r="AT165" s="85">
        <f>AT154+AT159+AT164</f>
      </c>
      <c r="AU165" s="85">
        <f>AU154+AU159+AU164</f>
      </c>
      <c r="AV165" s="39"/>
      <c r="AW165" s="84">
        <f>AW154+AW159+AW164</f>
      </c>
      <c r="AX165" s="84">
        <f>AX154+AX159+AX164+AX165:AX164</f>
      </c>
    </row>
    <row hidden="true" r="166">
      <c r="A166" s="62">
        <v>46304</v>
      </c>
      <c r="B166" s="73" t="s">
        <v>88</v>
      </c>
      <c r="C166" s="41" t="s">
        <v>60</v>
      </c>
      <c r="D166" s="41" t="s">
        <v>74</v>
      </c>
      <c r="E166" s="28" t="s">
        <v>62</v>
      </c>
      <c r="F166" s="63">
        <f t="shared" ref="F166:F169" si="59">G166+H166+I166</f>
      </c>
      <c r="G166" s="81">
        <v>1874.62</v>
      </c>
      <c r="H166" s="81">
        <v>2000</v>
      </c>
      <c r="I166" s="64">
        <v>0</v>
      </c>
      <c r="J166" s="65">
        <v>1</v>
      </c>
      <c r="K166" s="66">
        <v>3681.25</v>
      </c>
      <c r="L166" s="65">
        <v>2</v>
      </c>
      <c r="M166" s="65">
        <v>4137</v>
      </c>
      <c r="N166" s="67">
        <v>0</v>
      </c>
      <c r="O166" s="68">
        <f t="shared" si="24"/>
      </c>
      <c r="P166" s="67">
        <v>0</v>
      </c>
      <c r="Q166" s="68">
        <f t="shared" si="0"/>
      </c>
      <c r="R166" s="69">
        <f t="shared" ref="R166:R169" si="135">J166+L166</f>
      </c>
      <c r="S166" s="70">
        <f t="shared" ref="S166:S169" si="207">K166+M166</f>
      </c>
      <c r="T166" s="63">
        <f t="shared" si="12"/>
      </c>
      <c r="U166" s="63">
        <f t="shared" si="8"/>
      </c>
      <c r="V166" s="71">
        <f t="shared" si="20"/>
      </c>
      <c r="W166" s="67">
        <v>3</v>
      </c>
      <c r="X166" s="71">
        <f t="shared" si="16"/>
      </c>
      <c r="Y166" s="71">
        <f t="shared" si="248"/>
      </c>
      <c r="Z166" s="63">
        <f t="shared" si="100"/>
      </c>
      <c r="AA166" s="63">
        <f t="shared" si="2"/>
      </c>
      <c r="AB166" s="63">
        <f t="shared" si="4"/>
      </c>
      <c r="AC166" s="68">
        <f t="shared" si="14"/>
      </c>
      <c r="AD166" s="68">
        <f t="shared" si="10"/>
      </c>
      <c r="AE166" s="68">
        <f t="shared" si="22"/>
      </c>
      <c r="AF166" s="68">
        <f t="shared" si="18"/>
      </c>
      <c r="AG166" s="68">
        <f t="shared" si="102"/>
      </c>
      <c r="AH166" s="68">
        <f t="shared" si="26"/>
      </c>
      <c r="AI166" s="68">
        <f t="shared" si="6"/>
      </c>
      <c r="AJ166" s="67">
        <v>110</v>
      </c>
      <c r="AK166" s="72">
        <v>15910</v>
      </c>
      <c r="AL166" s="72">
        <v>395</v>
      </c>
      <c r="AM166" s="72">
        <v>466</v>
      </c>
      <c r="AN166" s="72">
        <v>80</v>
      </c>
      <c r="AO166" s="73">
        <v>34</v>
      </c>
      <c r="AP166" s="73">
        <v>72</v>
      </c>
      <c r="AQ166" s="73">
        <v>87</v>
      </c>
      <c r="AR166" s="73">
        <v>3</v>
      </c>
      <c r="AS166" s="41">
        <v>5</v>
      </c>
      <c r="AT166" s="72">
        <v>4</v>
      </c>
      <c r="AU166" s="72">
        <v>4</v>
      </c>
      <c r="AV166" s="39"/>
      <c r="AW166" s="40"/>
      <c r="AX166" s="41">
        <f t="shared" ref="AX166:AX169" si="281">COUNT(AU166)</f>
      </c>
    </row>
    <row hidden="true" r="167">
      <c r="A167" s="62"/>
      <c r="B167" s="73" t="s">
        <v>88</v>
      </c>
      <c r="C167" s="41" t="s">
        <v>60</v>
      </c>
      <c r="D167" s="41" t="s">
        <v>74</v>
      </c>
      <c r="E167" s="28" t="s">
        <v>63</v>
      </c>
      <c r="F167" s="63">
        <f t="shared" si="59"/>
      </c>
      <c r="G167" s="81">
        <v>1153.63</v>
      </c>
      <c r="H167" s="81">
        <v>1500</v>
      </c>
      <c r="I167" s="64">
        <v>0</v>
      </c>
      <c r="J167" s="65">
        <v>2</v>
      </c>
      <c r="K167" s="65">
        <v>3443.5299999999997</v>
      </c>
      <c r="L167" s="65">
        <v>1</v>
      </c>
      <c r="M167" s="65">
        <v>4786.1</v>
      </c>
      <c r="N167" s="67">
        <v>2</v>
      </c>
      <c r="O167" s="68">
        <f t="shared" si="24"/>
      </c>
      <c r="P167" s="67">
        <v>1</v>
      </c>
      <c r="Q167" s="68">
        <f t="shared" si="0"/>
      </c>
      <c r="R167" s="69">
        <f t="shared" si="135"/>
      </c>
      <c r="S167" s="70">
        <f t="shared" si="207"/>
      </c>
      <c r="T167" s="63">
        <f t="shared" si="12"/>
      </c>
      <c r="U167" s="63">
        <f t="shared" si="8"/>
      </c>
      <c r="V167" s="71">
        <f t="shared" si="20"/>
      </c>
      <c r="W167" s="67">
        <v>2</v>
      </c>
      <c r="X167" s="71">
        <f t="shared" si="16"/>
      </c>
      <c r="Y167" s="71">
        <f t="shared" si="248"/>
      </c>
      <c r="Z167" s="63">
        <f t="shared" si="100"/>
      </c>
      <c r="AA167" s="63">
        <f t="shared" si="2"/>
      </c>
      <c r="AB167" s="63">
        <f t="shared" si="4"/>
      </c>
      <c r="AC167" s="68">
        <f t="shared" si="14"/>
      </c>
      <c r="AD167" s="68">
        <f t="shared" si="10"/>
      </c>
      <c r="AE167" s="68">
        <f t="shared" si="22"/>
      </c>
      <c r="AF167" s="68">
        <f t="shared" si="18"/>
      </c>
      <c r="AG167" s="68">
        <f t="shared" si="102"/>
      </c>
      <c r="AH167" s="68">
        <f t="shared" si="26"/>
      </c>
      <c r="AI167" s="68">
        <f t="shared" si="6"/>
      </c>
      <c r="AJ167" s="67">
        <v>73</v>
      </c>
      <c r="AK167" s="72">
        <v>10678</v>
      </c>
      <c r="AL167" s="72">
        <v>208</v>
      </c>
      <c r="AM167" s="72">
        <v>231</v>
      </c>
      <c r="AN167" s="72">
        <v>74</v>
      </c>
      <c r="AO167" s="73">
        <v>24</v>
      </c>
      <c r="AP167" s="67">
        <v>92</v>
      </c>
      <c r="AQ167" s="73">
        <v>52</v>
      </c>
      <c r="AR167" s="73">
        <v>7</v>
      </c>
      <c r="AS167" s="67">
        <v>4</v>
      </c>
      <c r="AT167" s="67">
        <v>1</v>
      </c>
      <c r="AU167" s="67">
        <v>4</v>
      </c>
      <c r="AV167" s="39"/>
      <c r="AW167" s="40"/>
      <c r="AX167" s="41">
        <f t="shared" si="281"/>
      </c>
    </row>
    <row hidden="true" r="168">
      <c r="A168" s="62"/>
      <c r="B168" s="73" t="s">
        <v>88</v>
      </c>
      <c r="C168" s="41" t="s">
        <v>60</v>
      </c>
      <c r="D168" s="41" t="s">
        <v>74</v>
      </c>
      <c r="E168" s="28" t="s">
        <v>64</v>
      </c>
      <c r="F168" s="63">
        <f t="shared" si="59"/>
      </c>
      <c r="G168" s="81">
        <v>1609.34</v>
      </c>
      <c r="H168" s="81">
        <v>1413.77</v>
      </c>
      <c r="I168" s="64">
        <v>0</v>
      </c>
      <c r="J168" s="64">
        <v>0</v>
      </c>
      <c r="K168" s="64">
        <v>0</v>
      </c>
      <c r="L168" s="64">
        <v>3</v>
      </c>
      <c r="M168" s="64">
        <v>19139.660000000003</v>
      </c>
      <c r="N168" s="67">
        <v>0</v>
      </c>
      <c r="O168" s="68">
        <f t="shared" si="24"/>
      </c>
      <c r="P168" s="67">
        <v>2</v>
      </c>
      <c r="Q168" s="68">
        <f t="shared" si="0"/>
      </c>
      <c r="R168" s="69">
        <f t="shared" si="135"/>
      </c>
      <c r="S168" s="70">
        <f t="shared" si="207"/>
      </c>
      <c r="T168" s="63">
        <f t="shared" si="12"/>
      </c>
      <c r="U168" s="63">
        <f t="shared" si="8"/>
      </c>
      <c r="V168" s="71">
        <f t="shared" si="20"/>
      </c>
      <c r="W168" s="67">
        <v>2</v>
      </c>
      <c r="X168" s="71">
        <f t="shared" si="16"/>
      </c>
      <c r="Y168" s="71">
        <f t="shared" si="248"/>
      </c>
      <c r="Z168" s="63">
        <f t="shared" si="100"/>
      </c>
      <c r="AA168" s="63">
        <f t="shared" si="2"/>
      </c>
      <c r="AB168" s="63">
        <f t="shared" si="4"/>
      </c>
      <c r="AC168" s="68">
        <f t="shared" si="14"/>
      </c>
      <c r="AD168" s="68">
        <f t="shared" si="10"/>
      </c>
      <c r="AE168" s="68">
        <f t="shared" si="22"/>
      </c>
      <c r="AF168" s="68">
        <f t="shared" si="18"/>
      </c>
      <c r="AG168" s="68">
        <f t="shared" si="102"/>
      </c>
      <c r="AH168" s="68">
        <f t="shared" si="26"/>
      </c>
      <c r="AI168" s="68">
        <f t="shared" si="6"/>
      </c>
      <c r="AJ168" s="67">
        <v>108</v>
      </c>
      <c r="AK168" s="72">
        <v>13633</v>
      </c>
      <c r="AL168" s="72">
        <v>309</v>
      </c>
      <c r="AM168" s="72">
        <v>376</v>
      </c>
      <c r="AN168" s="72">
        <v>79</v>
      </c>
      <c r="AO168" s="73">
        <v>25</v>
      </c>
      <c r="AP168" s="72">
        <v>133</v>
      </c>
      <c r="AQ168" s="41">
        <v>72</v>
      </c>
      <c r="AR168" s="73">
        <v>4</v>
      </c>
      <c r="AS168" s="67">
        <v>4</v>
      </c>
      <c r="AT168" s="67">
        <v>0</v>
      </c>
      <c r="AU168" s="67">
        <v>4</v>
      </c>
      <c r="AV168" s="39"/>
      <c r="AW168" s="40"/>
      <c r="AX168" s="41">
        <f t="shared" si="281"/>
      </c>
    </row>
    <row hidden="true" r="169">
      <c r="A169" s="62"/>
      <c r="B169" s="73" t="s">
        <v>88</v>
      </c>
      <c r="C169" s="41" t="s">
        <v>60</v>
      </c>
      <c r="D169" s="41" t="s">
        <v>74</v>
      </c>
      <c r="E169" s="41" t="s">
        <v>65</v>
      </c>
      <c r="F169" s="63">
        <f t="shared" si="59"/>
      </c>
      <c r="G169" s="81">
        <v>1362.41</v>
      </c>
      <c r="H169" s="81">
        <v>3568.32</v>
      </c>
      <c r="I169" s="65">
        <v>0</v>
      </c>
      <c r="J169" s="65">
        <v>1</v>
      </c>
      <c r="K169" s="65">
        <v>879</v>
      </c>
      <c r="L169" s="65">
        <v>8</v>
      </c>
      <c r="M169" s="65">
        <v>11482.380000000005</v>
      </c>
      <c r="N169" s="67">
        <v>4</v>
      </c>
      <c r="O169" s="68">
        <f t="shared" si="24"/>
      </c>
      <c r="P169" s="67">
        <v>1</v>
      </c>
      <c r="Q169" s="68">
        <f t="shared" si="0"/>
      </c>
      <c r="R169" s="69">
        <f t="shared" si="135"/>
      </c>
      <c r="S169" s="70">
        <f t="shared" si="207"/>
      </c>
      <c r="T169" s="63">
        <f t="shared" si="12"/>
      </c>
      <c r="U169" s="63">
        <f t="shared" si="8"/>
      </c>
      <c r="V169" s="71">
        <f t="shared" si="20"/>
      </c>
      <c r="W169" s="67">
        <v>7</v>
      </c>
      <c r="X169" s="71">
        <f t="shared" si="16"/>
      </c>
      <c r="Y169" s="71">
        <f t="shared" si="248"/>
      </c>
      <c r="Z169" s="63">
        <f t="shared" si="100"/>
      </c>
      <c r="AA169" s="63">
        <f t="shared" si="2"/>
      </c>
      <c r="AB169" s="63">
        <f t="shared" si="4"/>
      </c>
      <c r="AC169" s="68">
        <f t="shared" si="14"/>
      </c>
      <c r="AD169" s="68">
        <f t="shared" si="10"/>
      </c>
      <c r="AE169" s="68">
        <f t="shared" si="22"/>
      </c>
      <c r="AF169" s="68">
        <f t="shared" si="18"/>
      </c>
      <c r="AG169" s="68">
        <f t="shared" si="102"/>
      </c>
      <c r="AH169" s="68">
        <f t="shared" si="26"/>
      </c>
      <c r="AI169" s="68">
        <f t="shared" si="6"/>
      </c>
      <c r="AJ169" s="67">
        <v>102</v>
      </c>
      <c r="AK169" s="72">
        <v>24892</v>
      </c>
      <c r="AL169" s="72">
        <v>523</v>
      </c>
      <c r="AM169" s="72">
        <v>708</v>
      </c>
      <c r="AN169" s="72">
        <v>112</v>
      </c>
      <c r="AO169" s="73">
        <v>49</v>
      </c>
      <c r="AP169" s="72">
        <v>137</v>
      </c>
      <c r="AQ169" s="41">
        <v>134</v>
      </c>
      <c r="AR169" s="73">
        <v>11</v>
      </c>
      <c r="AS169" s="67">
        <v>16</v>
      </c>
      <c r="AT169" s="67">
        <v>4</v>
      </c>
      <c r="AU169" s="67">
        <v>10</v>
      </c>
      <c r="AV169" s="39"/>
      <c r="AW169" s="40"/>
      <c r="AX169" s="41">
        <f t="shared" si="281"/>
      </c>
    </row>
    <row hidden="true" r="170">
      <c r="A170" s="62"/>
      <c r="B170" s="75" t="s">
        <v>66</v>
      </c>
      <c r="C170" s="75"/>
      <c r="D170" s="75"/>
      <c r="E170" s="75"/>
      <c r="F170" s="76">
        <f>SUM(F166:F169)</f>
      </c>
      <c r="G170" s="76">
        <f>SUM(G166:G169)</f>
      </c>
      <c r="H170" s="76">
        <f>SUM(H166:H169)</f>
      </c>
      <c r="I170" s="76">
        <f>SUM(I166:I169)</f>
      </c>
      <c r="J170" s="76">
        <f>SUM(J166:J169)</f>
      </c>
      <c r="K170" s="76">
        <f>SUM(K166:K169)</f>
      </c>
      <c r="L170" s="76">
        <f>SUM(L166:L169)</f>
      </c>
      <c r="M170" s="76">
        <f>SUM(M166:M169)</f>
      </c>
      <c r="N170" s="76">
        <f>SUM(N166:N169)</f>
      </c>
      <c r="O170" s="77">
        <f t="shared" si="24"/>
      </c>
      <c r="P170" s="76">
        <f>SUM(P166:P169)</f>
      </c>
      <c r="Q170" s="77">
        <f t="shared" si="0"/>
      </c>
      <c r="R170" s="76">
        <f>SUM(R166:R169)</f>
      </c>
      <c r="S170" s="76">
        <f>SUM(S166:S169)</f>
      </c>
      <c r="T170" s="76">
        <f t="shared" si="12"/>
      </c>
      <c r="U170" s="76">
        <f t="shared" si="8"/>
      </c>
      <c r="V170" s="76">
        <f t="shared" si="20"/>
      </c>
      <c r="W170" s="76">
        <f>SUM(W166:W169)</f>
      </c>
      <c r="X170" s="79">
        <f t="shared" si="16"/>
      </c>
      <c r="Y170" s="79">
        <f t="shared" si="248"/>
      </c>
      <c r="Z170" s="76">
        <f t="shared" si="100"/>
      </c>
      <c r="AA170" s="76">
        <f t="shared" si="2"/>
      </c>
      <c r="AB170" s="80">
        <f t="shared" si="4"/>
      </c>
      <c r="AC170" s="77">
        <f t="shared" si="14"/>
      </c>
      <c r="AD170" s="77">
        <f t="shared" si="10"/>
      </c>
      <c r="AE170" s="77">
        <f t="shared" si="22"/>
      </c>
      <c r="AF170" s="77">
        <f t="shared" si="18"/>
      </c>
      <c r="AG170" s="77">
        <f t="shared" si="102"/>
      </c>
      <c r="AH170" s="77">
        <f t="shared" si="26"/>
      </c>
      <c r="AI170" s="77">
        <f t="shared" si="6"/>
      </c>
      <c r="AJ170" s="78">
        <f>AVERAGE(AJ166:AJ169)</f>
      </c>
      <c r="AK170" s="76">
        <f>SUM(AK166:AK169)</f>
      </c>
      <c r="AL170" s="76">
        <f>SUM(AL166:AL169)</f>
      </c>
      <c r="AM170" s="76">
        <f>SUM(AM166:AM169)</f>
      </c>
      <c r="AN170" s="76">
        <f>SUM(AN166:AN169)</f>
      </c>
      <c r="AO170" s="76">
        <f>SUM(AO166:AO169)</f>
      </c>
      <c r="AP170" s="76">
        <f>SUM(AP166:AP169)</f>
      </c>
      <c r="AQ170" s="76">
        <f>SUM(AQ166:AQ169)</f>
      </c>
      <c r="AR170" s="76">
        <f>SUM(AR166:AR169)</f>
      </c>
      <c r="AS170" s="76">
        <f>SUM(AS166:AS169)</f>
      </c>
      <c r="AT170" s="76">
        <f>SUM(AT166:AT169)</f>
      </c>
      <c r="AU170" s="76">
        <f>SUM(AU166:AU169)</f>
      </c>
      <c r="AV170" s="39"/>
      <c r="AW170" s="48"/>
      <c r="AX170" s="76">
        <f>SUM(AX166:AX169)</f>
      </c>
    </row>
    <row hidden="true" r="171">
      <c r="A171" s="62"/>
      <c r="B171" s="73" t="s">
        <v>88</v>
      </c>
      <c r="C171" s="41" t="s">
        <v>60</v>
      </c>
      <c r="D171" s="73" t="s">
        <v>67</v>
      </c>
      <c r="E171" s="41" t="s">
        <v>68</v>
      </c>
      <c r="F171" s="63">
        <f t="shared" ref="F171:F174" si="60">G171+H171+I171</f>
      </c>
      <c r="G171" s="81">
        <v>988.06</v>
      </c>
      <c r="H171" s="81">
        <v>3234.24</v>
      </c>
      <c r="I171" s="64">
        <v>0</v>
      </c>
      <c r="J171" s="65">
        <v>0</v>
      </c>
      <c r="K171" s="65">
        <v>0</v>
      </c>
      <c r="L171" s="65">
        <v>4</v>
      </c>
      <c r="M171" s="65">
        <v>31748.250000000007</v>
      </c>
      <c r="N171" s="67">
        <v>0</v>
      </c>
      <c r="O171" s="68">
        <f t="shared" si="24"/>
      </c>
      <c r="P171" s="67">
        <v>2</v>
      </c>
      <c r="Q171" s="68">
        <f t="shared" si="0"/>
      </c>
      <c r="R171" s="69">
        <f t="shared" ref="R171:R174" si="136">J171+L171</f>
      </c>
      <c r="S171" s="70">
        <f t="shared" ref="S171:S174" si="208">K171+M171</f>
      </c>
      <c r="T171" s="63">
        <f t="shared" si="12"/>
      </c>
      <c r="U171" s="63">
        <f t="shared" si="8"/>
      </c>
      <c r="V171" s="71">
        <f t="shared" si="20"/>
      </c>
      <c r="W171" s="67">
        <v>3</v>
      </c>
      <c r="X171" s="71">
        <f t="shared" si="16"/>
      </c>
      <c r="Y171" s="71">
        <f t="shared" si="248"/>
      </c>
      <c r="Z171" s="63">
        <f t="shared" si="100"/>
      </c>
      <c r="AA171" s="63">
        <f t="shared" si="2"/>
      </c>
      <c r="AB171" s="63">
        <f t="shared" si="4"/>
      </c>
      <c r="AC171" s="68">
        <f t="shared" si="14"/>
      </c>
      <c r="AD171" s="68">
        <f t="shared" si="10"/>
      </c>
      <c r="AE171" s="68">
        <f t="shared" si="22"/>
      </c>
      <c r="AF171" s="68">
        <f t="shared" si="18"/>
      </c>
      <c r="AG171" s="68">
        <f t="shared" si="102"/>
      </c>
      <c r="AH171" s="68">
        <f t="shared" si="26"/>
      </c>
      <c r="AI171" s="68">
        <f t="shared" si="6"/>
      </c>
      <c r="AJ171" s="67">
        <v>103</v>
      </c>
      <c r="AK171" s="72">
        <v>22229</v>
      </c>
      <c r="AL171" s="72">
        <v>243</v>
      </c>
      <c r="AM171" s="72">
        <v>265</v>
      </c>
      <c r="AN171" s="72">
        <v>90</v>
      </c>
      <c r="AO171" s="73">
        <v>30</v>
      </c>
      <c r="AP171" s="72">
        <v>110</v>
      </c>
      <c r="AQ171" s="41">
        <v>79</v>
      </c>
      <c r="AR171" s="73">
        <v>6</v>
      </c>
      <c r="AS171" s="73">
        <v>11</v>
      </c>
      <c r="AT171" s="67">
        <v>1</v>
      </c>
      <c r="AU171" s="67">
        <v>21</v>
      </c>
      <c r="AV171" s="39"/>
      <c r="AW171" s="40"/>
      <c r="AX171" s="41">
        <f t="shared" ref="AX171:AX174" si="282">COUNT(AU171)</f>
      </c>
    </row>
    <row hidden="true" r="172">
      <c r="A172" s="62"/>
      <c r="B172" s="73" t="s">
        <v>88</v>
      </c>
      <c r="C172" s="41" t="s">
        <v>60</v>
      </c>
      <c r="D172" s="73" t="s">
        <v>67</v>
      </c>
      <c r="E172" s="41" t="s">
        <v>69</v>
      </c>
      <c r="F172" s="63">
        <f t="shared" si="60"/>
      </c>
      <c r="G172" s="81">
        <v>599.01</v>
      </c>
      <c r="H172" s="81">
        <v>4255.54</v>
      </c>
      <c r="I172" s="64">
        <v>0</v>
      </c>
      <c r="J172" s="65">
        <v>1</v>
      </c>
      <c r="K172" s="65">
        <v>1157.4000000000005</v>
      </c>
      <c r="L172" s="65">
        <v>1</v>
      </c>
      <c r="M172" s="65">
        <v>2317.389999999985</v>
      </c>
      <c r="N172" s="67">
        <v>1</v>
      </c>
      <c r="O172" s="68">
        <f t="shared" si="24"/>
      </c>
      <c r="P172" s="67">
        <v>1</v>
      </c>
      <c r="Q172" s="68">
        <f t="shared" si="0"/>
      </c>
      <c r="R172" s="69">
        <f t="shared" si="136"/>
      </c>
      <c r="S172" s="70">
        <f t="shared" si="208"/>
      </c>
      <c r="T172" s="63">
        <f t="shared" si="12"/>
      </c>
      <c r="U172" s="63">
        <f t="shared" si="8"/>
      </c>
      <c r="V172" s="71">
        <f t="shared" si="20"/>
      </c>
      <c r="W172" s="67">
        <v>2</v>
      </c>
      <c r="X172" s="71">
        <f t="shared" si="16"/>
      </c>
      <c r="Y172" s="71">
        <f t="shared" si="248"/>
      </c>
      <c r="Z172" s="63">
        <f t="shared" si="100"/>
      </c>
      <c r="AA172" s="63">
        <f t="shared" si="2"/>
      </c>
      <c r="AB172" s="63">
        <f t="shared" si="4"/>
      </c>
      <c r="AC172" s="68">
        <f t="shared" si="14"/>
      </c>
      <c r="AD172" s="68">
        <f t="shared" si="10"/>
      </c>
      <c r="AE172" s="68">
        <f t="shared" si="22"/>
      </c>
      <c r="AF172" s="68">
        <f t="shared" si="18"/>
      </c>
      <c r="AG172" s="68">
        <f t="shared" si="102"/>
      </c>
      <c r="AH172" s="68">
        <f t="shared" si="26"/>
      </c>
      <c r="AI172" s="68">
        <f t="shared" si="6"/>
      </c>
      <c r="AJ172" s="67">
        <v>108</v>
      </c>
      <c r="AK172" s="72">
        <v>21578</v>
      </c>
      <c r="AL172" s="72">
        <v>260</v>
      </c>
      <c r="AM172" s="72">
        <v>278</v>
      </c>
      <c r="AN172" s="72">
        <v>90</v>
      </c>
      <c r="AO172" s="73">
        <v>27</v>
      </c>
      <c r="AP172" s="72">
        <v>108</v>
      </c>
      <c r="AQ172" s="41">
        <v>78</v>
      </c>
      <c r="AR172" s="73">
        <v>4</v>
      </c>
      <c r="AS172" s="73">
        <v>7</v>
      </c>
      <c r="AT172" s="67">
        <v>4</v>
      </c>
      <c r="AU172" s="67">
        <v>17</v>
      </c>
      <c r="AV172" s="39"/>
      <c r="AW172" s="40"/>
      <c r="AX172" s="41">
        <f t="shared" si="282"/>
      </c>
    </row>
    <row hidden="true" r="173">
      <c r="A173" s="62"/>
      <c r="B173" s="73" t="s">
        <v>88</v>
      </c>
      <c r="C173" s="41" t="s">
        <v>60</v>
      </c>
      <c r="D173" s="73" t="s">
        <v>67</v>
      </c>
      <c r="E173" s="41" t="s">
        <v>70</v>
      </c>
      <c r="F173" s="63">
        <f t="shared" si="60"/>
      </c>
      <c r="G173" s="81">
        <v>909.25</v>
      </c>
      <c r="H173" s="81">
        <v>2228.13</v>
      </c>
      <c r="I173" s="64">
        <v>0</v>
      </c>
      <c r="J173" s="65">
        <v>0</v>
      </c>
      <c r="K173" s="65">
        <v>0</v>
      </c>
      <c r="L173" s="65">
        <v>3</v>
      </c>
      <c r="M173" s="65">
        <v>8395.910000000003</v>
      </c>
      <c r="N173" s="67">
        <v>0</v>
      </c>
      <c r="O173" s="68">
        <f t="shared" si="24"/>
      </c>
      <c r="P173" s="67">
        <v>1</v>
      </c>
      <c r="Q173" s="68">
        <f t="shared" si="0"/>
      </c>
      <c r="R173" s="69">
        <f t="shared" si="136"/>
      </c>
      <c r="S173" s="70">
        <f t="shared" si="208"/>
      </c>
      <c r="T173" s="63">
        <f t="shared" si="12"/>
      </c>
      <c r="U173" s="63">
        <f t="shared" si="8"/>
      </c>
      <c r="V173" s="71">
        <f t="shared" si="20"/>
      </c>
      <c r="W173" s="67">
        <v>3</v>
      </c>
      <c r="X173" s="71">
        <f t="shared" si="16"/>
      </c>
      <c r="Y173" s="71">
        <f t="shared" si="248"/>
      </c>
      <c r="Z173" s="63">
        <f t="shared" si="100"/>
      </c>
      <c r="AA173" s="63">
        <f t="shared" si="2"/>
      </c>
      <c r="AB173" s="63">
        <f t="shared" si="4"/>
      </c>
      <c r="AC173" s="68">
        <f t="shared" si="14"/>
      </c>
      <c r="AD173" s="68">
        <f t="shared" si="10"/>
      </c>
      <c r="AE173" s="68">
        <f t="shared" si="22"/>
      </c>
      <c r="AF173" s="68">
        <f t="shared" si="18"/>
      </c>
      <c r="AG173" s="68">
        <f t="shared" si="102"/>
      </c>
      <c r="AH173" s="68">
        <f t="shared" si="26"/>
      </c>
      <c r="AI173" s="68">
        <f t="shared" si="6"/>
      </c>
      <c r="AJ173" s="67">
        <v>71</v>
      </c>
      <c r="AK173" s="72">
        <v>15317</v>
      </c>
      <c r="AL173" s="72">
        <v>229</v>
      </c>
      <c r="AM173" s="72">
        <v>241</v>
      </c>
      <c r="AN173" s="72">
        <v>80</v>
      </c>
      <c r="AO173" s="73">
        <v>28</v>
      </c>
      <c r="AP173" s="72">
        <v>106</v>
      </c>
      <c r="AQ173" s="73">
        <v>66</v>
      </c>
      <c r="AR173" s="73">
        <v>3</v>
      </c>
      <c r="AS173" s="72">
        <v>8</v>
      </c>
      <c r="AT173" s="72">
        <v>0</v>
      </c>
      <c r="AU173" s="72">
        <v>4</v>
      </c>
      <c r="AV173" s="39"/>
      <c r="AW173" s="40"/>
      <c r="AX173" s="41">
        <f t="shared" si="282"/>
      </c>
    </row>
    <row hidden="true" r="174">
      <c r="A174" s="62"/>
      <c r="B174" s="73" t="s">
        <v>87</v>
      </c>
      <c r="C174" s="41" t="s">
        <v>72</v>
      </c>
      <c r="D174" s="73" t="s">
        <v>67</v>
      </c>
      <c r="E174" s="41" t="s">
        <v>73</v>
      </c>
      <c r="F174" s="63">
        <f t="shared" si="60"/>
      </c>
      <c r="G174" s="81">
        <v>885.43</v>
      </c>
      <c r="H174" s="81">
        <v>2520.22</v>
      </c>
      <c r="I174" s="64">
        <v>0</v>
      </c>
      <c r="J174" s="65">
        <v>0</v>
      </c>
      <c r="K174" s="65">
        <v>0</v>
      </c>
      <c r="L174" s="65">
        <v>2</v>
      </c>
      <c r="M174" s="65">
        <v>4820.300000000003</v>
      </c>
      <c r="N174" s="67">
        <v>0</v>
      </c>
      <c r="O174" s="68">
        <f t="shared" si="24"/>
      </c>
      <c r="P174" s="67">
        <v>0</v>
      </c>
      <c r="Q174" s="68">
        <f t="shared" si="0"/>
      </c>
      <c r="R174" s="69">
        <f t="shared" si="136"/>
      </c>
      <c r="S174" s="70">
        <f t="shared" si="208"/>
      </c>
      <c r="T174" s="63">
        <f t="shared" si="12"/>
      </c>
      <c r="U174" s="63">
        <f t="shared" si="8"/>
      </c>
      <c r="V174" s="71">
        <f t="shared" si="20"/>
      </c>
      <c r="W174" s="67">
        <v>2</v>
      </c>
      <c r="X174" s="71">
        <f t="shared" si="16"/>
      </c>
      <c r="Y174" s="71">
        <f t="shared" si="248"/>
      </c>
      <c r="Z174" s="63">
        <f t="shared" si="100"/>
      </c>
      <c r="AA174" s="63">
        <f t="shared" si="2"/>
      </c>
      <c r="AB174" s="63">
        <f t="shared" si="4"/>
      </c>
      <c r="AC174" s="68">
        <f t="shared" si="14"/>
      </c>
      <c r="AD174" s="68">
        <f t="shared" si="10"/>
      </c>
      <c r="AE174" s="68">
        <f t="shared" si="22"/>
      </c>
      <c r="AF174" s="68">
        <f t="shared" si="18"/>
      </c>
      <c r="AG174" s="68">
        <f t="shared" si="102"/>
      </c>
      <c r="AH174" s="68">
        <f t="shared" si="26"/>
      </c>
      <c r="AI174" s="68">
        <f t="shared" si="6"/>
      </c>
      <c r="AJ174" s="67">
        <v>74</v>
      </c>
      <c r="AK174" s="72">
        <v>15456</v>
      </c>
      <c r="AL174" s="72">
        <v>250</v>
      </c>
      <c r="AM174" s="67">
        <v>276</v>
      </c>
      <c r="AN174" s="67">
        <v>60</v>
      </c>
      <c r="AO174" s="73">
        <v>29</v>
      </c>
      <c r="AP174" s="67">
        <v>88</v>
      </c>
      <c r="AQ174" s="73">
        <v>64</v>
      </c>
      <c r="AR174" s="73">
        <v>4</v>
      </c>
      <c r="AS174" s="67">
        <v>8</v>
      </c>
      <c r="AT174" s="67">
        <v>0</v>
      </c>
      <c r="AU174" s="67">
        <v>7</v>
      </c>
      <c r="AV174" s="39"/>
      <c r="AW174" s="40"/>
      <c r="AX174" s="41">
        <f t="shared" si="282"/>
      </c>
    </row>
    <row hidden="true" r="175">
      <c r="A175" s="62"/>
      <c r="B175" s="75" t="s">
        <v>66</v>
      </c>
      <c r="C175" s="75"/>
      <c r="D175" s="75"/>
      <c r="E175" s="75"/>
      <c r="F175" s="76">
        <f>SUM(F171:F174)</f>
      </c>
      <c r="G175" s="76">
        <f>SUM(G171:G174)</f>
      </c>
      <c r="H175" s="76">
        <f>SUM(H171:H174)</f>
      </c>
      <c r="I175" s="76">
        <f>SUM(I171:I174)</f>
      </c>
      <c r="J175" s="76">
        <f>SUM(J171:J174)</f>
      </c>
      <c r="K175" s="76">
        <f>SUM(K171:K174)</f>
      </c>
      <c r="L175" s="76">
        <f>SUM(L171:L174)</f>
      </c>
      <c r="M175" s="76">
        <f>SUM(M171:M174)</f>
      </c>
      <c r="N175" s="76">
        <f>SUM(N171:N174)</f>
      </c>
      <c r="O175" s="77">
        <f t="shared" si="24"/>
      </c>
      <c r="P175" s="76">
        <f>SUM(P171:P174)</f>
      </c>
      <c r="Q175" s="77">
        <f t="shared" si="0"/>
      </c>
      <c r="R175" s="91">
        <f>SUM(R171:R174)</f>
      </c>
      <c r="S175" s="76">
        <f>SUM(S171:S174)</f>
      </c>
      <c r="T175" s="76">
        <f t="shared" si="12"/>
      </c>
      <c r="U175" s="76">
        <f t="shared" si="8"/>
      </c>
      <c r="V175" s="79">
        <f t="shared" si="20"/>
      </c>
      <c r="W175" s="76">
        <f>SUM(W171:W174)</f>
      </c>
      <c r="X175" s="79">
        <f t="shared" si="16"/>
      </c>
      <c r="Y175" s="79">
        <f t="shared" si="248"/>
      </c>
      <c r="Z175" s="76">
        <f t="shared" si="100"/>
      </c>
      <c r="AA175" s="76">
        <f t="shared" si="2"/>
      </c>
      <c r="AB175" s="80">
        <f t="shared" si="4"/>
      </c>
      <c r="AC175" s="77">
        <f t="shared" si="14"/>
      </c>
      <c r="AD175" s="77">
        <f t="shared" si="10"/>
      </c>
      <c r="AE175" s="77">
        <f t="shared" si="22"/>
      </c>
      <c r="AF175" s="82">
        <f t="shared" si="18"/>
      </c>
      <c r="AG175" s="77">
        <f t="shared" si="102"/>
      </c>
      <c r="AH175" s="77">
        <f t="shared" si="26"/>
      </c>
      <c r="AI175" s="77">
        <f t="shared" si="6"/>
      </c>
      <c r="AJ175" s="78">
        <f>AVERAGE(AJ171:AJ174)</f>
      </c>
      <c r="AK175" s="76">
        <f>SUM(AK171:AK174)</f>
      </c>
      <c r="AL175" s="76">
        <f>SUM(AL171:AL174)</f>
      </c>
      <c r="AM175" s="76">
        <f>SUM(AM171:AM174)</f>
      </c>
      <c r="AN175" s="76">
        <f>SUM(AN171:AN174)</f>
      </c>
      <c r="AO175" s="76">
        <f>SUM(AO171:AO174)</f>
      </c>
      <c r="AP175" s="76">
        <f>SUM(AP171:AP174)</f>
      </c>
      <c r="AQ175" s="76">
        <f>SUM(AQ171:AQ174)</f>
      </c>
      <c r="AR175" s="76">
        <f>SUM(AR171:AR174)</f>
      </c>
      <c r="AS175" s="76">
        <f>SUM(AS171:AS174)</f>
      </c>
      <c r="AT175" s="76">
        <f>SUM(AT171:AT174)</f>
      </c>
      <c r="AU175" s="76">
        <f>SUM(AU171:AU174)</f>
      </c>
      <c r="AV175" s="39"/>
      <c r="AW175" s="48"/>
      <c r="AX175" s="49">
        <f>SUM(AX171:AX174)</f>
      </c>
    </row>
    <row hidden="true" r="176">
      <c r="A176" s="62"/>
      <c r="B176" s="73" t="s">
        <v>87</v>
      </c>
      <c r="C176" s="41" t="s">
        <v>72</v>
      </c>
      <c r="D176" s="73" t="s">
        <v>85</v>
      </c>
      <c r="E176" s="41" t="s">
        <v>75</v>
      </c>
      <c r="F176" s="63">
        <f t="shared" ref="F176:F179" si="61">G176+H176+I176</f>
      </c>
      <c r="G176" s="81">
        <v>618.25</v>
      </c>
      <c r="H176" s="81">
        <v>1948.01</v>
      </c>
      <c r="I176" s="64">
        <v>0</v>
      </c>
      <c r="J176" s="65">
        <v>1</v>
      </c>
      <c r="K176" s="65">
        <v>1055.4500000000007</v>
      </c>
      <c r="L176" s="65">
        <v>2</v>
      </c>
      <c r="M176" s="65">
        <v>2360.899999999994</v>
      </c>
      <c r="N176" s="67">
        <v>0</v>
      </c>
      <c r="O176" s="68">
        <f t="shared" si="24"/>
      </c>
      <c r="P176" s="67">
        <v>0</v>
      </c>
      <c r="Q176" s="68">
        <f t="shared" si="0"/>
      </c>
      <c r="R176" s="69">
        <f t="shared" ref="R176:R179" si="137">J176+L176</f>
      </c>
      <c r="S176" s="70">
        <f t="shared" ref="S176:S179" si="209">K176+M176</f>
      </c>
      <c r="T176" s="63">
        <f t="shared" si="12"/>
      </c>
      <c r="U176" s="63">
        <f t="shared" si="8"/>
      </c>
      <c r="V176" s="71">
        <f t="shared" si="20"/>
      </c>
      <c r="W176" s="67">
        <v>2</v>
      </c>
      <c r="X176" s="71">
        <f t="shared" si="16"/>
      </c>
      <c r="Y176" s="71">
        <f t="shared" si="248"/>
      </c>
      <c r="Z176" s="63">
        <f t="shared" si="100"/>
      </c>
      <c r="AA176" s="63">
        <f t="shared" si="2"/>
      </c>
      <c r="AB176" s="63">
        <f t="shared" si="4"/>
      </c>
      <c r="AC176" s="68">
        <f t="shared" si="14"/>
      </c>
      <c r="AD176" s="68">
        <f t="shared" si="10"/>
      </c>
      <c r="AE176" s="68">
        <f t="shared" si="22"/>
      </c>
      <c r="AF176" s="68">
        <f t="shared" si="18"/>
      </c>
      <c r="AG176" s="68">
        <f t="shared" si="102"/>
      </c>
      <c r="AH176" s="68">
        <f t="shared" si="26"/>
      </c>
      <c r="AI176" s="68">
        <f t="shared" si="6"/>
      </c>
      <c r="AJ176" s="67">
        <v>79</v>
      </c>
      <c r="AK176" s="72">
        <v>12337</v>
      </c>
      <c r="AL176" s="72">
        <v>262</v>
      </c>
      <c r="AM176" s="72">
        <v>314</v>
      </c>
      <c r="AN176" s="72">
        <v>67</v>
      </c>
      <c r="AO176" s="73">
        <v>20</v>
      </c>
      <c r="AP176" s="72">
        <v>98</v>
      </c>
      <c r="AQ176" s="41">
        <v>64</v>
      </c>
      <c r="AR176" s="73">
        <v>7</v>
      </c>
      <c r="AS176" s="41">
        <v>3</v>
      </c>
      <c r="AT176" s="72">
        <v>0</v>
      </c>
      <c r="AU176" s="72">
        <v>5</v>
      </c>
      <c r="AV176" s="39"/>
      <c r="AW176" s="40"/>
      <c r="AX176" s="41">
        <f t="shared" ref="AX176:AX179" si="283">COUNT(AU176)</f>
      </c>
    </row>
    <row hidden="true" r="177">
      <c r="A177" s="62"/>
      <c r="B177" s="73" t="s">
        <v>87</v>
      </c>
      <c r="C177" s="41" t="s">
        <v>72</v>
      </c>
      <c r="D177" s="73" t="s">
        <v>85</v>
      </c>
      <c r="E177" s="41" t="s">
        <v>76</v>
      </c>
      <c r="F177" s="63">
        <f t="shared" si="61"/>
      </c>
      <c r="G177" s="81">
        <v>674.9</v>
      </c>
      <c r="H177" s="81">
        <v>1793.98</v>
      </c>
      <c r="I177" s="64">
        <v>0</v>
      </c>
      <c r="J177" s="64">
        <v>0</v>
      </c>
      <c r="K177" s="64">
        <v>0</v>
      </c>
      <c r="L177" s="65">
        <v>1</v>
      </c>
      <c r="M177" s="65">
        <v>6045</v>
      </c>
      <c r="N177" s="67">
        <v>0</v>
      </c>
      <c r="O177" s="68">
        <f t="shared" si="24"/>
      </c>
      <c r="P177" s="67">
        <v>0</v>
      </c>
      <c r="Q177" s="68">
        <f t="shared" si="0"/>
      </c>
      <c r="R177" s="69">
        <f t="shared" si="137"/>
      </c>
      <c r="S177" s="70">
        <f t="shared" si="209"/>
      </c>
      <c r="T177" s="63">
        <f t="shared" si="12"/>
      </c>
      <c r="U177" s="63">
        <f t="shared" si="8"/>
      </c>
      <c r="V177" s="71">
        <f t="shared" si="20"/>
      </c>
      <c r="W177" s="67">
        <v>1</v>
      </c>
      <c r="X177" s="71">
        <f t="shared" si="16"/>
      </c>
      <c r="Y177" s="71">
        <f t="shared" si="248"/>
      </c>
      <c r="Z177" s="63">
        <f t="shared" si="100"/>
      </c>
      <c r="AA177" s="63">
        <f t="shared" si="2"/>
      </c>
      <c r="AB177" s="63">
        <f t="shared" si="4"/>
      </c>
      <c r="AC177" s="68">
        <f t="shared" si="14"/>
      </c>
      <c r="AD177" s="68">
        <f t="shared" si="10"/>
      </c>
      <c r="AE177" s="68">
        <f t="shared" si="22"/>
      </c>
      <c r="AF177" s="68">
        <f t="shared" si="18"/>
      </c>
      <c r="AG177" s="68">
        <f t="shared" si="102"/>
      </c>
      <c r="AH177" s="68">
        <f t="shared" si="26"/>
      </c>
      <c r="AI177" s="68">
        <f t="shared" si="6"/>
      </c>
      <c r="AJ177" s="67">
        <v>76</v>
      </c>
      <c r="AK177" s="67">
        <v>13118</v>
      </c>
      <c r="AL177" s="72">
        <v>276</v>
      </c>
      <c r="AM177" s="72">
        <v>322</v>
      </c>
      <c r="AN177" s="72">
        <v>61</v>
      </c>
      <c r="AO177" s="73">
        <v>21</v>
      </c>
      <c r="AP177" s="67">
        <v>62</v>
      </c>
      <c r="AQ177" s="73">
        <v>47</v>
      </c>
      <c r="AR177" s="73">
        <v>1</v>
      </c>
      <c r="AS177" s="41">
        <v>6</v>
      </c>
      <c r="AT177" s="72">
        <v>1</v>
      </c>
      <c r="AU177" s="72">
        <v>7</v>
      </c>
      <c r="AV177" s="39"/>
      <c r="AW177" s="40"/>
      <c r="AX177" s="41">
        <f t="shared" si="283"/>
      </c>
    </row>
    <row hidden="true" r="178">
      <c r="A178" s="62"/>
      <c r="B178" s="73" t="s">
        <v>87</v>
      </c>
      <c r="C178" s="41" t="s">
        <v>72</v>
      </c>
      <c r="D178" s="73" t="s">
        <v>85</v>
      </c>
      <c r="E178" s="41" t="s">
        <v>77</v>
      </c>
      <c r="F178" s="63">
        <f t="shared" si="61"/>
      </c>
      <c r="G178" s="81">
        <v>803.02</v>
      </c>
      <c r="H178" s="81">
        <v>2483.19</v>
      </c>
      <c r="I178" s="64">
        <v>0</v>
      </c>
      <c r="J178" s="65">
        <v>0</v>
      </c>
      <c r="K178" s="65">
        <v>0</v>
      </c>
      <c r="L178" s="64">
        <v>2</v>
      </c>
      <c r="M178" s="64">
        <v>14446.160000000003</v>
      </c>
      <c r="N178" s="67">
        <v>0</v>
      </c>
      <c r="O178" s="68">
        <f t="shared" si="24"/>
      </c>
      <c r="P178" s="67">
        <v>0</v>
      </c>
      <c r="Q178" s="68">
        <f t="shared" si="0"/>
      </c>
      <c r="R178" s="69">
        <f t="shared" si="137"/>
      </c>
      <c r="S178" s="70">
        <f t="shared" si="209"/>
      </c>
      <c r="T178" s="63">
        <f t="shared" si="12"/>
      </c>
      <c r="U178" s="63">
        <f t="shared" si="8"/>
      </c>
      <c r="V178" s="71">
        <f t="shared" si="20"/>
      </c>
      <c r="W178" s="67">
        <v>1</v>
      </c>
      <c r="X178" s="71">
        <f t="shared" si="16"/>
      </c>
      <c r="Y178" s="71">
        <f t="shared" si="248"/>
      </c>
      <c r="Z178" s="63">
        <f t="shared" si="100"/>
      </c>
      <c r="AA178" s="63">
        <f t="shared" si="2"/>
      </c>
      <c r="AB178" s="63">
        <f t="shared" si="4"/>
      </c>
      <c r="AC178" s="68">
        <f t="shared" si="14"/>
      </c>
      <c r="AD178" s="68">
        <f t="shared" si="10"/>
      </c>
      <c r="AE178" s="68">
        <f t="shared" si="22"/>
      </c>
      <c r="AF178" s="68">
        <f t="shared" si="18"/>
      </c>
      <c r="AG178" s="68">
        <f t="shared" si="102"/>
      </c>
      <c r="AH178" s="68">
        <f t="shared" si="26"/>
      </c>
      <c r="AI178" s="68">
        <f t="shared" si="6"/>
      </c>
      <c r="AJ178" s="67">
        <v>75</v>
      </c>
      <c r="AK178" s="72">
        <v>15340</v>
      </c>
      <c r="AL178" s="72">
        <v>379</v>
      </c>
      <c r="AM178" s="72">
        <v>434</v>
      </c>
      <c r="AN178" s="72">
        <v>84</v>
      </c>
      <c r="AO178" s="73">
        <v>21</v>
      </c>
      <c r="AP178" s="72">
        <v>73</v>
      </c>
      <c r="AQ178" s="41">
        <v>73</v>
      </c>
      <c r="AR178" s="73">
        <v>5</v>
      </c>
      <c r="AS178" s="67">
        <v>5</v>
      </c>
      <c r="AT178" s="72">
        <v>1</v>
      </c>
      <c r="AU178" s="72">
        <v>4</v>
      </c>
      <c r="AV178" s="39"/>
      <c r="AW178" s="40"/>
      <c r="AX178" s="41">
        <f t="shared" si="283"/>
      </c>
    </row>
    <row hidden="true" r="179">
      <c r="A179" s="62"/>
      <c r="B179" s="73" t="s">
        <v>87</v>
      </c>
      <c r="C179" s="41" t="s">
        <v>72</v>
      </c>
      <c r="D179" s="73" t="s">
        <v>85</v>
      </c>
      <c r="E179" s="41" t="s">
        <v>78</v>
      </c>
      <c r="F179" s="63">
        <f t="shared" si="61"/>
      </c>
      <c r="G179" s="81">
        <v>22.08</v>
      </c>
      <c r="H179" s="81">
        <v>3025.51</v>
      </c>
      <c r="I179" s="64">
        <v>0</v>
      </c>
      <c r="J179" s="65">
        <v>0</v>
      </c>
      <c r="K179" s="65">
        <v>0</v>
      </c>
      <c r="L179" s="64">
        <v>0</v>
      </c>
      <c r="M179" s="64">
        <v>0</v>
      </c>
      <c r="N179" s="67">
        <v>0</v>
      </c>
      <c r="O179" s="68">
        <f t="shared" si="24"/>
      </c>
      <c r="P179" s="67">
        <v>0</v>
      </c>
      <c r="Q179" s="68">
        <f t="shared" si="0"/>
      </c>
      <c r="R179" s="69">
        <f t="shared" si="137"/>
      </c>
      <c r="S179" s="70">
        <f t="shared" si="209"/>
      </c>
      <c r="T179" s="63">
        <f t="shared" si="12"/>
      </c>
      <c r="U179" s="63">
        <f t="shared" si="8"/>
      </c>
      <c r="V179" s="71">
        <f t="shared" si="20"/>
      </c>
      <c r="W179" s="67">
        <v>0</v>
      </c>
      <c r="X179" s="71">
        <f t="shared" si="16"/>
      </c>
      <c r="Y179" s="71">
        <f t="shared" si="248"/>
      </c>
      <c r="Z179" s="63">
        <f t="shared" si="100"/>
      </c>
      <c r="AA179" s="63">
        <f t="shared" si="2"/>
      </c>
      <c r="AB179" s="63">
        <f t="shared" si="4"/>
      </c>
      <c r="AC179" s="68">
        <f t="shared" si="14"/>
      </c>
      <c r="AD179" s="68">
        <f t="shared" si="10"/>
      </c>
      <c r="AE179" s="68">
        <f t="shared" si="22"/>
      </c>
      <c r="AF179" s="68">
        <f t="shared" si="18"/>
      </c>
      <c r="AG179" s="68">
        <f t="shared" si="102"/>
      </c>
      <c r="AH179" s="68">
        <f t="shared" si="26"/>
      </c>
      <c r="AI179" s="68">
        <f t="shared" si="6"/>
      </c>
      <c r="AJ179" s="67">
        <v>71</v>
      </c>
      <c r="AK179" s="72">
        <v>10831</v>
      </c>
      <c r="AL179" s="72">
        <v>276</v>
      </c>
      <c r="AM179" s="72">
        <v>310</v>
      </c>
      <c r="AN179" s="72">
        <v>62</v>
      </c>
      <c r="AO179" s="73">
        <v>19</v>
      </c>
      <c r="AP179" s="72">
        <v>36</v>
      </c>
      <c r="AQ179" s="41">
        <v>51</v>
      </c>
      <c r="AR179" s="73">
        <v>2</v>
      </c>
      <c r="AS179" s="72">
        <v>6</v>
      </c>
      <c r="AT179" s="72">
        <v>2</v>
      </c>
      <c r="AU179" s="72">
        <v>14</v>
      </c>
      <c r="AV179" s="39"/>
      <c r="AW179" s="40"/>
      <c r="AX179" s="41">
        <f t="shared" si="283"/>
      </c>
    </row>
    <row hidden="true" r="180">
      <c r="A180" s="62"/>
      <c r="B180" s="75" t="s">
        <v>66</v>
      </c>
      <c r="C180" s="75"/>
      <c r="D180" s="75"/>
      <c r="E180" s="75"/>
      <c r="F180" s="76">
        <f>SUM(F176:F179)</f>
      </c>
      <c r="G180" s="76">
        <f>SUM(G176:G179)</f>
      </c>
      <c r="H180" s="76">
        <f>SUM(H176:H179)</f>
      </c>
      <c r="I180" s="76">
        <f>SUM(I176:I179)</f>
      </c>
      <c r="J180" s="76">
        <f>SUM(J176:J179)</f>
      </c>
      <c r="K180" s="76">
        <f>SUM(K176:K179)</f>
      </c>
      <c r="L180" s="76">
        <f>SUM(L176:L179)</f>
      </c>
      <c r="M180" s="76">
        <f>SUM(M176:M179)</f>
      </c>
      <c r="N180" s="76">
        <f>SUM(N176:N179)</f>
      </c>
      <c r="O180" s="77">
        <f t="shared" si="24"/>
      </c>
      <c r="P180" s="76">
        <f>SUM(P176:P179)</f>
      </c>
      <c r="Q180" s="77">
        <f t="shared" si="0"/>
      </c>
      <c r="R180" s="78">
        <f>SUM(R176:R179)</f>
      </c>
      <c r="S180" s="76">
        <f>SUM(S176:S179)</f>
      </c>
      <c r="T180" s="76">
        <f t="shared" si="12"/>
      </c>
      <c r="U180" s="76">
        <f t="shared" si="8"/>
      </c>
      <c r="V180" s="79">
        <f t="shared" si="20"/>
      </c>
      <c r="W180" s="76">
        <f>SUM(W176:W179)</f>
      </c>
      <c r="X180" s="79">
        <f t="shared" si="16"/>
      </c>
      <c r="Y180" s="79">
        <f t="shared" si="248"/>
      </c>
      <c r="Z180" s="76">
        <f t="shared" si="100"/>
      </c>
      <c r="AA180" s="76">
        <f t="shared" si="2"/>
      </c>
      <c r="AB180" s="80">
        <f t="shared" si="4"/>
      </c>
      <c r="AC180" s="77">
        <f t="shared" si="14"/>
      </c>
      <c r="AD180" s="77">
        <f t="shared" si="10"/>
      </c>
      <c r="AE180" s="77">
        <f t="shared" si="22"/>
      </c>
      <c r="AF180" s="82">
        <f t="shared" si="18"/>
      </c>
      <c r="AG180" s="77">
        <f t="shared" si="102"/>
      </c>
      <c r="AH180" s="77">
        <f t="shared" si="26"/>
      </c>
      <c r="AI180" s="77">
        <f t="shared" si="6"/>
      </c>
      <c r="AJ180" s="78">
        <f>AVERAGE(AJ176:AJ179)</f>
      </c>
      <c r="AK180" s="76">
        <f>SUM(AK176:AK179)</f>
      </c>
      <c r="AL180" s="76">
        <f>SUM(AL176:AL179)</f>
      </c>
      <c r="AM180" s="76">
        <f>SUM(AM176:AM179)</f>
      </c>
      <c r="AN180" s="76">
        <f>SUM(AN176:AN179)</f>
      </c>
      <c r="AO180" s="76">
        <f>SUM(AO176:AO179)</f>
      </c>
      <c r="AP180" s="76">
        <f>SUM(AP176:AP179)</f>
      </c>
      <c r="AQ180" s="76">
        <f>SUM(AQ176:AQ179)</f>
      </c>
      <c r="AR180" s="76">
        <f>SUM(AR176:AR179)</f>
      </c>
      <c r="AS180" s="76">
        <f>SUM(AS176:AS179)</f>
      </c>
      <c r="AT180" s="76">
        <f>SUM(AT176:AT179)</f>
      </c>
      <c r="AU180" s="76">
        <f>SUM(AU176:AU179)</f>
      </c>
      <c r="AV180" s="39"/>
      <c r="AW180" s="48"/>
      <c r="AX180" s="49">
        <f>SUM(AX176:AX179)</f>
      </c>
    </row>
    <row hidden="true" r="181">
      <c r="A181" s="62"/>
      <c r="B181" s="73" t="s">
        <v>87</v>
      </c>
      <c r="C181" s="41" t="s">
        <v>72</v>
      </c>
      <c r="D181" s="73" t="s">
        <v>79</v>
      </c>
      <c r="E181" s="41" t="s">
        <v>80</v>
      </c>
      <c r="F181" s="63">
        <f t="shared" ref="F181:F184" si="62">G181+H181+I181</f>
      </c>
      <c r="G181" s="81">
        <v>1455.68</v>
      </c>
      <c r="H181" s="81">
        <v>1694.35</v>
      </c>
      <c r="I181" s="64">
        <v>0</v>
      </c>
      <c r="J181" s="64">
        <v>1</v>
      </c>
      <c r="K181" s="64">
        <v>3692.0099999999984</v>
      </c>
      <c r="L181" s="65">
        <v>3</v>
      </c>
      <c r="M181" s="65">
        <v>6582.779999999999</v>
      </c>
      <c r="N181" s="67">
        <v>3</v>
      </c>
      <c r="O181" s="68">
        <f t="shared" si="24"/>
      </c>
      <c r="P181" s="67">
        <v>2</v>
      </c>
      <c r="Q181" s="68">
        <f t="shared" si="0"/>
      </c>
      <c r="R181" s="83">
        <f t="shared" ref="R181:R184" si="138">J181+L181</f>
      </c>
      <c r="S181" s="70">
        <f t="shared" ref="S181:S184" si="210">K181+M181</f>
      </c>
      <c r="T181" s="63">
        <f t="shared" si="12"/>
      </c>
      <c r="U181" s="63">
        <f t="shared" si="8"/>
      </c>
      <c r="V181" s="71">
        <f t="shared" si="20"/>
      </c>
      <c r="W181" s="67">
        <v>4</v>
      </c>
      <c r="X181" s="71">
        <f t="shared" si="16"/>
      </c>
      <c r="Y181" s="71">
        <f t="shared" si="248"/>
      </c>
      <c r="Z181" s="63">
        <f t="shared" si="100"/>
      </c>
      <c r="AA181" s="63">
        <f t="shared" si="2"/>
      </c>
      <c r="AB181" s="63">
        <f t="shared" si="4"/>
      </c>
      <c r="AC181" s="68">
        <f t="shared" si="14"/>
      </c>
      <c r="AD181" s="68">
        <f t="shared" si="10"/>
      </c>
      <c r="AE181" s="68">
        <f t="shared" si="22"/>
      </c>
      <c r="AF181" s="68">
        <f t="shared" si="18"/>
      </c>
      <c r="AG181" s="68">
        <f t="shared" si="102"/>
      </c>
      <c r="AH181" s="68">
        <f t="shared" si="26"/>
      </c>
      <c r="AI181" s="68">
        <f t="shared" si="6"/>
      </c>
      <c r="AJ181" s="67">
        <v>72</v>
      </c>
      <c r="AK181" s="72">
        <v>14074</v>
      </c>
      <c r="AL181" s="72">
        <v>396</v>
      </c>
      <c r="AM181" s="72">
        <v>431</v>
      </c>
      <c r="AN181" s="72">
        <v>97</v>
      </c>
      <c r="AO181" s="73">
        <v>30</v>
      </c>
      <c r="AP181" s="72">
        <v>134</v>
      </c>
      <c r="AQ181" s="41">
        <v>93</v>
      </c>
      <c r="AR181" s="73">
        <v>5</v>
      </c>
      <c r="AS181" s="67">
        <v>8</v>
      </c>
      <c r="AT181" s="67">
        <v>0</v>
      </c>
      <c r="AU181" s="67">
        <v>5</v>
      </c>
      <c r="AV181" s="39"/>
      <c r="AW181" s="40"/>
      <c r="AX181" s="41">
        <f t="shared" ref="AX181:AX184" si="284">COUNT(AU181)</f>
      </c>
    </row>
    <row hidden="true" r="182">
      <c r="A182" s="62"/>
      <c r="B182" s="73" t="s">
        <v>87</v>
      </c>
      <c r="C182" s="41" t="s">
        <v>72</v>
      </c>
      <c r="D182" s="73" t="s">
        <v>79</v>
      </c>
      <c r="E182" s="41" t="s">
        <v>81</v>
      </c>
      <c r="F182" s="63">
        <f t="shared" si="62"/>
      </c>
      <c r="G182" s="81">
        <v>1939.02</v>
      </c>
      <c r="H182" s="81">
        <v>1426.97</v>
      </c>
      <c r="I182" s="64">
        <v>0</v>
      </c>
      <c r="J182" s="64">
        <v>0</v>
      </c>
      <c r="K182" s="64">
        <v>0</v>
      </c>
      <c r="L182" s="65">
        <v>5</v>
      </c>
      <c r="M182" s="65">
        <v>17954.62000000001</v>
      </c>
      <c r="N182" s="67">
        <v>0</v>
      </c>
      <c r="O182" s="68">
        <f t="shared" si="24"/>
      </c>
      <c r="P182" s="67">
        <v>3</v>
      </c>
      <c r="Q182" s="68">
        <f t="shared" si="0"/>
      </c>
      <c r="R182" s="83">
        <f t="shared" si="138"/>
      </c>
      <c r="S182" s="70">
        <f t="shared" si="210"/>
      </c>
      <c r="T182" s="63">
        <f t="shared" si="12"/>
      </c>
      <c r="U182" s="63">
        <f t="shared" si="8"/>
      </c>
      <c r="V182" s="71">
        <f t="shared" si="20"/>
      </c>
      <c r="W182" s="67">
        <v>5</v>
      </c>
      <c r="X182" s="71">
        <f t="shared" si="16"/>
      </c>
      <c r="Y182" s="71">
        <f t="shared" si="248"/>
      </c>
      <c r="Z182" s="63">
        <f t="shared" si="100"/>
      </c>
      <c r="AA182" s="63">
        <f t="shared" si="2"/>
      </c>
      <c r="AB182" s="63">
        <f t="shared" si="4"/>
      </c>
      <c r="AC182" s="68">
        <f t="shared" si="14"/>
      </c>
      <c r="AD182" s="68">
        <f t="shared" si="10"/>
      </c>
      <c r="AE182" s="68">
        <f t="shared" si="22"/>
      </c>
      <c r="AF182" s="68">
        <f t="shared" si="18"/>
      </c>
      <c r="AG182" s="68">
        <f t="shared" si="102"/>
      </c>
      <c r="AH182" s="68">
        <f t="shared" si="26"/>
      </c>
      <c r="AI182" s="68">
        <f t="shared" si="6"/>
      </c>
      <c r="AJ182" s="67">
        <v>72</v>
      </c>
      <c r="AK182" s="72">
        <v>18105</v>
      </c>
      <c r="AL182" s="72">
        <v>559</v>
      </c>
      <c r="AM182" s="72">
        <v>680</v>
      </c>
      <c r="AN182" s="72">
        <v>98</v>
      </c>
      <c r="AO182" s="73">
        <v>33</v>
      </c>
      <c r="AP182" s="72">
        <v>94</v>
      </c>
      <c r="AQ182" s="41">
        <v>101</v>
      </c>
      <c r="AR182" s="73">
        <v>6</v>
      </c>
      <c r="AS182" s="67">
        <v>6</v>
      </c>
      <c r="AT182" s="67">
        <v>0</v>
      </c>
      <c r="AU182" s="67">
        <v>2</v>
      </c>
      <c r="AV182" s="39"/>
      <c r="AW182" s="40"/>
      <c r="AX182" s="41">
        <f t="shared" si="284"/>
      </c>
    </row>
    <row hidden="true" r="183">
      <c r="A183" s="62"/>
      <c r="B183" s="73" t="s">
        <v>87</v>
      </c>
      <c r="C183" s="41" t="s">
        <v>72</v>
      </c>
      <c r="D183" s="73" t="s">
        <v>79</v>
      </c>
      <c r="E183" s="41" t="s">
        <v>82</v>
      </c>
      <c r="F183" s="63">
        <f t="shared" si="62"/>
      </c>
      <c r="G183" s="81">
        <v>105.3</v>
      </c>
      <c r="H183" s="81">
        <v>2621.58</v>
      </c>
      <c r="I183" s="64">
        <v>0</v>
      </c>
      <c r="J183" s="65">
        <v>0</v>
      </c>
      <c r="K183" s="65">
        <v>0</v>
      </c>
      <c r="L183" s="65">
        <v>5</v>
      </c>
      <c r="M183" s="65">
        <v>15564.359999999986</v>
      </c>
      <c r="N183" s="67">
        <v>1</v>
      </c>
      <c r="O183" s="68">
        <f t="shared" si="24"/>
      </c>
      <c r="P183" s="67">
        <v>1</v>
      </c>
      <c r="Q183" s="68">
        <f t="shared" si="0"/>
      </c>
      <c r="R183" s="83">
        <f t="shared" si="138"/>
      </c>
      <c r="S183" s="70">
        <f t="shared" si="210"/>
      </c>
      <c r="T183" s="63">
        <f t="shared" si="12"/>
      </c>
      <c r="U183" s="63">
        <f t="shared" si="8"/>
      </c>
      <c r="V183" s="71">
        <f t="shared" si="20"/>
      </c>
      <c r="W183" s="67">
        <v>4</v>
      </c>
      <c r="X183" s="71">
        <f t="shared" si="16"/>
      </c>
      <c r="Y183" s="71">
        <f t="shared" si="248"/>
      </c>
      <c r="Z183" s="63">
        <f t="shared" si="100"/>
      </c>
      <c r="AA183" s="63">
        <f t="shared" si="2"/>
      </c>
      <c r="AB183" s="63">
        <f t="shared" si="4"/>
      </c>
      <c r="AC183" s="68">
        <f t="shared" si="14"/>
      </c>
      <c r="AD183" s="68">
        <f t="shared" si="10"/>
      </c>
      <c r="AE183" s="68">
        <f t="shared" si="22"/>
      </c>
      <c r="AF183" s="68">
        <f t="shared" si="18"/>
      </c>
      <c r="AG183" s="68">
        <f t="shared" si="102"/>
      </c>
      <c r="AH183" s="68">
        <f t="shared" si="26"/>
      </c>
      <c r="AI183" s="68">
        <f t="shared" si="6"/>
      </c>
      <c r="AJ183" s="67">
        <v>90</v>
      </c>
      <c r="AK183" s="72">
        <v>12529</v>
      </c>
      <c r="AL183" s="72">
        <v>407</v>
      </c>
      <c r="AM183" s="72">
        <v>544</v>
      </c>
      <c r="AN183" s="72">
        <v>68</v>
      </c>
      <c r="AO183" s="73">
        <v>27</v>
      </c>
      <c r="AP183" s="72">
        <v>101</v>
      </c>
      <c r="AQ183" s="41">
        <v>94</v>
      </c>
      <c r="AR183" s="73">
        <v>5</v>
      </c>
      <c r="AS183" s="67">
        <v>12</v>
      </c>
      <c r="AT183" s="67">
        <v>1</v>
      </c>
      <c r="AU183" s="67">
        <v>3</v>
      </c>
      <c r="AV183" s="39"/>
      <c r="AW183" s="40"/>
      <c r="AX183" s="41">
        <f t="shared" si="284"/>
      </c>
    </row>
    <row hidden="true" r="184">
      <c r="A184" s="62"/>
      <c r="B184" s="73" t="s">
        <v>87</v>
      </c>
      <c r="C184" s="41" t="s">
        <v>72</v>
      </c>
      <c r="D184" s="73" t="s">
        <v>79</v>
      </c>
      <c r="E184" s="73" t="s">
        <v>83</v>
      </c>
      <c r="F184" s="63">
        <f t="shared" si="62"/>
      </c>
      <c r="G184" s="81">
        <v>403.86</v>
      </c>
      <c r="H184" s="81">
        <v>1500</v>
      </c>
      <c r="I184" s="64">
        <v>0</v>
      </c>
      <c r="J184" s="65">
        <v>2</v>
      </c>
      <c r="K184" s="65">
        <v>4476.710000000003</v>
      </c>
      <c r="L184" s="65">
        <v>1</v>
      </c>
      <c r="M184" s="65">
        <v>1538.0500000000175</v>
      </c>
      <c r="N184" s="67">
        <v>1</v>
      </c>
      <c r="O184" s="68">
        <f t="shared" si="24"/>
      </c>
      <c r="P184" s="67">
        <v>1</v>
      </c>
      <c r="Q184" s="68">
        <f t="shared" si="0"/>
      </c>
      <c r="R184" s="83">
        <f t="shared" si="138"/>
      </c>
      <c r="S184" s="70">
        <f t="shared" si="210"/>
      </c>
      <c r="T184" s="63">
        <f t="shared" si="12"/>
      </c>
      <c r="U184" s="63">
        <f t="shared" si="8"/>
      </c>
      <c r="V184" s="71">
        <f t="shared" si="20"/>
      </c>
      <c r="W184" s="67">
        <v>3</v>
      </c>
      <c r="X184" s="71">
        <f t="shared" si="16"/>
      </c>
      <c r="Y184" s="71">
        <f t="shared" si="248"/>
      </c>
      <c r="Z184" s="63">
        <f t="shared" si="100"/>
      </c>
      <c r="AA184" s="63">
        <f t="shared" si="2"/>
      </c>
      <c r="AB184" s="63">
        <f t="shared" si="4"/>
      </c>
      <c r="AC184" s="68">
        <f t="shared" si="14"/>
      </c>
      <c r="AD184" s="68">
        <f t="shared" si="10"/>
      </c>
      <c r="AE184" s="68">
        <f t="shared" si="22"/>
      </c>
      <c r="AF184" s="68">
        <f t="shared" si="18"/>
      </c>
      <c r="AG184" s="68">
        <f t="shared" si="102"/>
      </c>
      <c r="AH184" s="68">
        <f t="shared" si="26"/>
      </c>
      <c r="AI184" s="68">
        <f t="shared" si="6"/>
      </c>
      <c r="AJ184" s="67">
        <v>72</v>
      </c>
      <c r="AK184" s="72">
        <v>11757</v>
      </c>
      <c r="AL184" s="72">
        <v>425</v>
      </c>
      <c r="AM184" s="72">
        <v>472</v>
      </c>
      <c r="AN184" s="72">
        <v>62</v>
      </c>
      <c r="AO184" s="73">
        <v>31</v>
      </c>
      <c r="AP184" s="72">
        <v>114</v>
      </c>
      <c r="AQ184" s="41">
        <v>74</v>
      </c>
      <c r="AR184" s="73">
        <v>6</v>
      </c>
      <c r="AS184" s="67">
        <v>8</v>
      </c>
      <c r="AT184" s="67">
        <v>0</v>
      </c>
      <c r="AU184" s="67">
        <v>4</v>
      </c>
      <c r="AV184" s="39"/>
      <c r="AW184" s="40"/>
      <c r="AX184" s="41">
        <f t="shared" si="284"/>
      </c>
    </row>
    <row hidden="true" r="185">
      <c r="A185" s="62"/>
      <c r="B185" s="75" t="s">
        <v>66</v>
      </c>
      <c r="C185" s="75"/>
      <c r="D185" s="75"/>
      <c r="E185" s="75"/>
      <c r="F185" s="76">
        <f>SUM(F181:F184)</f>
      </c>
      <c r="G185" s="76">
        <f>SUM(G181:G184)</f>
      </c>
      <c r="H185" s="76">
        <f>SUM(H181:H184)</f>
      </c>
      <c r="I185" s="76">
        <f>SUM(I181:I184)</f>
      </c>
      <c r="J185" s="76">
        <f>SUM(J181:J184)</f>
      </c>
      <c r="K185" s="76">
        <f>SUM(K181:K184)</f>
      </c>
      <c r="L185" s="76">
        <f>SUM(L181:L184)</f>
      </c>
      <c r="M185" s="76">
        <f>SUM(M181:M184)</f>
      </c>
      <c r="N185" s="76">
        <f>SUM(N181:N184)</f>
      </c>
      <c r="O185" s="77">
        <f t="shared" si="24"/>
      </c>
      <c r="P185" s="76">
        <f>SUM(P181:P184)</f>
      </c>
      <c r="Q185" s="77">
        <f t="shared" si="0"/>
      </c>
      <c r="R185" s="91">
        <f>SUM(R181:R184)</f>
      </c>
      <c r="S185" s="76">
        <f>SUM(S181:S184)</f>
      </c>
      <c r="T185" s="79">
        <f t="shared" si="12"/>
      </c>
      <c r="U185" s="76">
        <f t="shared" si="8"/>
      </c>
      <c r="V185" s="79">
        <f t="shared" si="20"/>
      </c>
      <c r="W185" s="91">
        <f>SUM(W181:W184)</f>
      </c>
      <c r="X185" s="79">
        <f t="shared" si="16"/>
      </c>
      <c r="Y185" s="79">
        <f t="shared" si="248"/>
      </c>
      <c r="Z185" s="76">
        <f t="shared" si="100"/>
      </c>
      <c r="AA185" s="76">
        <f t="shared" si="2"/>
      </c>
      <c r="AB185" s="80">
        <f t="shared" si="4"/>
      </c>
      <c r="AC185" s="77">
        <f t="shared" si="14"/>
      </c>
      <c r="AD185" s="77">
        <f t="shared" si="10"/>
      </c>
      <c r="AE185" s="77">
        <f t="shared" si="22"/>
      </c>
      <c r="AF185" s="82">
        <f t="shared" si="18"/>
      </c>
      <c r="AG185" s="77">
        <f t="shared" si="102"/>
      </c>
      <c r="AH185" s="77">
        <f t="shared" si="26"/>
      </c>
      <c r="AI185" s="77">
        <f t="shared" si="6"/>
      </c>
      <c r="AJ185" s="78">
        <f>AVERAGE(AJ181:AJ184)</f>
      </c>
      <c r="AK185" s="76">
        <f>SUM(AK181:AK184)</f>
      </c>
      <c r="AL185" s="76">
        <f>SUM(AL181:AL184)</f>
      </c>
      <c r="AM185" s="76">
        <f>SUM(AM181:AM184)</f>
      </c>
      <c r="AN185" s="76">
        <f>SUM(AN181:AN184)</f>
      </c>
      <c r="AO185" s="76">
        <f>SUM(AO181:AO184)</f>
      </c>
      <c r="AP185" s="76">
        <f>SUM(AP181:AP184)</f>
      </c>
      <c r="AQ185" s="76">
        <f>SUM(AQ181:AQ184)</f>
      </c>
      <c r="AR185" s="76">
        <f>SUM(AR181:AR184)</f>
      </c>
      <c r="AS185" s="76">
        <f>SUM(AS181:AS184)</f>
      </c>
      <c r="AT185" s="76">
        <f>SUM(AT181:AT184)</f>
      </c>
      <c r="AU185" s="76">
        <f>SUM(AU181:AU184)</f>
      </c>
      <c r="AV185" s="39"/>
      <c r="AW185" s="48"/>
      <c r="AX185" s="49">
        <f>SUM(AX181:AX184)</f>
      </c>
    </row>
    <row hidden="true" r="186">
      <c r="A186" s="62"/>
      <c r="B186" s="84" t="s">
        <v>84</v>
      </c>
      <c r="C186" s="84"/>
      <c r="D186" s="84"/>
      <c r="E186" s="84"/>
      <c r="F186" s="85">
        <f>F170+F175+F180+F185</f>
      </c>
      <c r="G186" s="85">
        <f>G170+G175+G180+G185</f>
      </c>
      <c r="H186" s="85">
        <f>H170+H175+H180+H185</f>
      </c>
      <c r="I186" s="85">
        <f>I170+I175+I180+I185</f>
      </c>
      <c r="J186" s="85">
        <f>J170+J175+J180+J185</f>
      </c>
      <c r="K186" s="85">
        <f>K170+K175+K180+K185</f>
      </c>
      <c r="L186" s="85">
        <f>L170+L175+L180+L185</f>
      </c>
      <c r="M186" s="85">
        <f>M170+M175+M180+M185</f>
      </c>
      <c r="N186" s="85">
        <f>N170+N175+N180+N185</f>
      </c>
      <c r="O186" s="86">
        <f t="shared" si="24"/>
      </c>
      <c r="P186" s="84">
        <f>P170+P175+P180+P185</f>
      </c>
      <c r="Q186" s="86">
        <f t="shared" si="0"/>
      </c>
      <c r="R186" s="87">
        <f>R170+R175+R180+R185</f>
      </c>
      <c r="S186" s="85">
        <f>S170+S175+S180+S185</f>
      </c>
      <c r="T186" s="85">
        <f t="shared" si="12"/>
      </c>
      <c r="U186" s="85">
        <f t="shared" si="8"/>
      </c>
      <c r="V186" s="88">
        <f t="shared" si="20"/>
      </c>
      <c r="W186" s="84">
        <f>W170+W175+W180+W185</f>
      </c>
      <c r="X186" s="88">
        <f t="shared" si="16"/>
      </c>
      <c r="Y186" s="88">
        <f t="shared" si="248"/>
      </c>
      <c r="Z186" s="85">
        <f t="shared" si="100"/>
      </c>
      <c r="AA186" s="85">
        <f t="shared" si="2"/>
      </c>
      <c r="AB186" s="89">
        <f t="shared" si="4"/>
      </c>
      <c r="AC186" s="86">
        <f t="shared" si="14"/>
      </c>
      <c r="AD186" s="86">
        <f t="shared" si="10"/>
      </c>
      <c r="AE186" s="86">
        <f t="shared" si="22"/>
      </c>
      <c r="AF186" s="90">
        <f t="shared" si="18"/>
      </c>
      <c r="AG186" s="86">
        <f t="shared" si="102"/>
      </c>
      <c r="AH186" s="86">
        <f t="shared" si="26"/>
      </c>
      <c r="AI186" s="86">
        <f t="shared" si="6"/>
      </c>
      <c r="AJ186" s="87">
        <f>(AJ170+AJ175+AJ180+AJ185)/4</f>
      </c>
      <c r="AK186" s="84">
        <f>AK170+AK175+AK180+AK185</f>
      </c>
      <c r="AL186" s="84">
        <f>AL170+AL175+AL180+AL185</f>
      </c>
      <c r="AM186" s="84">
        <f>AM170+AM175+AM180+AM185</f>
      </c>
      <c r="AN186" s="84">
        <f>AN170+AN175+AN180+AN185</f>
      </c>
      <c r="AO186" s="84">
        <f>AO170+AO175+AO180+AO185</f>
      </c>
      <c r="AP186" s="84">
        <f>AP170+AP175+AP180+AP185</f>
      </c>
      <c r="AQ186" s="84">
        <f>AQ170+AQ175+AQ180+AQ185</f>
      </c>
      <c r="AR186" s="84">
        <f>AR170+AR175+AR180+AR185</f>
      </c>
      <c r="AS186" s="84">
        <f>AS170+AS175+AS180+AS185</f>
      </c>
      <c r="AT186" s="84">
        <f>AT170+AT175+AT180+AT185</f>
      </c>
      <c r="AU186" s="84">
        <f>AU170+AU175+AU180+AU185</f>
      </c>
      <c r="AV186" s="39"/>
      <c r="AW186" s="84">
        <f>AW170+AW175+AW180</f>
      </c>
      <c r="AX186" s="84">
        <f>AX170+AX175+AX180+AX185</f>
      </c>
    </row>
    <row hidden="true" r="187">
      <c r="A187" s="62">
        <v>46305</v>
      </c>
      <c r="B187" s="73" t="s">
        <v>89</v>
      </c>
      <c r="C187" s="41" t="s">
        <v>60</v>
      </c>
      <c r="D187" s="73" t="s">
        <v>61</v>
      </c>
      <c r="E187" s="28" t="s">
        <v>62</v>
      </c>
      <c r="F187" s="63">
        <f t="shared" ref="F187:F190" si="63">G187+H187+I187</f>
      </c>
      <c r="G187" s="63">
        <v>2096.14</v>
      </c>
      <c r="H187" s="63">
        <v>1500</v>
      </c>
      <c r="I187" s="65">
        <v>0</v>
      </c>
      <c r="J187" s="65">
        <v>3</v>
      </c>
      <c r="K187" s="66">
        <v>4758.26</v>
      </c>
      <c r="L187" s="65">
        <v>2</v>
      </c>
      <c r="M187" s="65">
        <v>11542.04</v>
      </c>
      <c r="N187" s="67">
        <v>3</v>
      </c>
      <c r="O187" s="68">
        <f t="shared" si="24"/>
      </c>
      <c r="P187" s="67">
        <v>2</v>
      </c>
      <c r="Q187" s="68">
        <f t="shared" si="0"/>
      </c>
      <c r="R187" s="69">
        <f t="shared" ref="R187:R190" si="139">J187+L187</f>
      </c>
      <c r="S187" s="70">
        <f t="shared" ref="S187:S190" si="211">K187+M187</f>
      </c>
      <c r="T187" s="63">
        <f t="shared" si="12"/>
      </c>
      <c r="U187" s="63">
        <f t="shared" si="8"/>
      </c>
      <c r="V187" s="71">
        <f t="shared" si="20"/>
      </c>
      <c r="W187" s="67">
        <v>3</v>
      </c>
      <c r="X187" s="71">
        <f t="shared" si="16"/>
      </c>
      <c r="Y187" s="71">
        <f t="shared" si="248"/>
      </c>
      <c r="Z187" s="63">
        <f t="shared" si="100"/>
      </c>
      <c r="AA187" s="63">
        <f t="shared" si="2"/>
      </c>
      <c r="AB187" s="63">
        <f t="shared" si="4"/>
      </c>
      <c r="AC187" s="68">
        <f t="shared" si="14"/>
      </c>
      <c r="AD187" s="68">
        <f t="shared" si="10"/>
      </c>
      <c r="AE187" s="68">
        <f t="shared" si="22"/>
      </c>
      <c r="AF187" s="68">
        <f t="shared" si="18"/>
      </c>
      <c r="AG187" s="68">
        <f t="shared" si="102"/>
      </c>
      <c r="AH187" s="68">
        <f t="shared" si="26"/>
      </c>
      <c r="AI187" s="68">
        <f t="shared" si="6"/>
      </c>
      <c r="AJ187" s="67">
        <v>84</v>
      </c>
      <c r="AK187" s="72">
        <v>14373</v>
      </c>
      <c r="AL187" s="72">
        <v>366</v>
      </c>
      <c r="AM187" s="72">
        <v>437</v>
      </c>
      <c r="AN187" s="72">
        <v>88</v>
      </c>
      <c r="AO187" s="73">
        <v>28</v>
      </c>
      <c r="AP187" s="41">
        <v>69</v>
      </c>
      <c r="AQ187" s="41">
        <v>101</v>
      </c>
      <c r="AR187" s="73">
        <v>6</v>
      </c>
      <c r="AS187" s="41">
        <v>2</v>
      </c>
      <c r="AT187" s="72">
        <v>3</v>
      </c>
      <c r="AU187" s="72">
        <v>4</v>
      </c>
      <c r="AV187" s="39"/>
      <c r="AW187" s="40"/>
      <c r="AX187" s="41">
        <f t="shared" ref="AX187:AX190" si="285">COUNT(AU187)</f>
      </c>
    </row>
    <row hidden="true" r="188">
      <c r="A188" s="74"/>
      <c r="B188" s="73" t="s">
        <v>89</v>
      </c>
      <c r="C188" s="41" t="s">
        <v>60</v>
      </c>
      <c r="D188" s="73" t="s">
        <v>61</v>
      </c>
      <c r="E188" s="28" t="s">
        <v>63</v>
      </c>
      <c r="F188" s="63">
        <f t="shared" si="63"/>
      </c>
      <c r="G188" s="63">
        <v>1500</v>
      </c>
      <c r="H188" s="63">
        <v>1618.46</v>
      </c>
      <c r="I188" s="65">
        <v>0</v>
      </c>
      <c r="J188" s="65">
        <v>1</v>
      </c>
      <c r="K188" s="65">
        <v>986</v>
      </c>
      <c r="L188" s="65">
        <v>1</v>
      </c>
      <c r="M188" s="65">
        <v>1371.7999999999993</v>
      </c>
      <c r="N188" s="67">
        <v>0</v>
      </c>
      <c r="O188" s="68">
        <f t="shared" si="24"/>
      </c>
      <c r="P188" s="67">
        <v>0</v>
      </c>
      <c r="Q188" s="68">
        <f t="shared" si="0"/>
      </c>
      <c r="R188" s="69">
        <f t="shared" si="139"/>
      </c>
      <c r="S188" s="70">
        <f t="shared" si="211"/>
      </c>
      <c r="T188" s="63">
        <f t="shared" si="12"/>
      </c>
      <c r="U188" s="63">
        <f t="shared" si="8"/>
      </c>
      <c r="V188" s="71">
        <f t="shared" si="20"/>
      </c>
      <c r="W188" s="67">
        <v>2</v>
      </c>
      <c r="X188" s="71">
        <f t="shared" si="16"/>
      </c>
      <c r="Y188" s="71">
        <f t="shared" si="248"/>
      </c>
      <c r="Z188" s="63">
        <f t="shared" si="100"/>
      </c>
      <c r="AA188" s="63">
        <f t="shared" si="2"/>
      </c>
      <c r="AB188" s="63">
        <f t="shared" si="4"/>
      </c>
      <c r="AC188" s="68">
        <f t="shared" si="14"/>
      </c>
      <c r="AD188" s="68">
        <f t="shared" si="10"/>
      </c>
      <c r="AE188" s="68">
        <f t="shared" si="22"/>
      </c>
      <c r="AF188" s="68">
        <f t="shared" si="18"/>
      </c>
      <c r="AG188" s="68">
        <f t="shared" si="102"/>
      </c>
      <c r="AH188" s="68">
        <f t="shared" si="26"/>
      </c>
      <c r="AI188" s="68">
        <f t="shared" si="6"/>
      </c>
      <c r="AJ188" s="67">
        <v>85</v>
      </c>
      <c r="AK188" s="72">
        <v>10734</v>
      </c>
      <c r="AL188" s="72">
        <v>214</v>
      </c>
      <c r="AM188" s="72">
        <v>227</v>
      </c>
      <c r="AN188" s="72">
        <v>66</v>
      </c>
      <c r="AO188" s="73">
        <v>30</v>
      </c>
      <c r="AP188" s="72">
        <v>69</v>
      </c>
      <c r="AQ188" s="41">
        <v>50</v>
      </c>
      <c r="AR188" s="73">
        <v>3</v>
      </c>
      <c r="AS188" s="72">
        <v>5</v>
      </c>
      <c r="AT188" s="72">
        <v>0</v>
      </c>
      <c r="AU188" s="72">
        <v>5</v>
      </c>
      <c r="AV188" s="39"/>
      <c r="AW188" s="40"/>
      <c r="AX188" s="41">
        <f t="shared" si="285"/>
      </c>
    </row>
    <row hidden="true" r="189">
      <c r="A189" s="74"/>
      <c r="B189" s="73" t="s">
        <v>89</v>
      </c>
      <c r="C189" s="41" t="s">
        <v>60</v>
      </c>
      <c r="D189" s="73" t="s">
        <v>61</v>
      </c>
      <c r="E189" s="28" t="s">
        <v>64</v>
      </c>
      <c r="F189" s="63">
        <f t="shared" si="63"/>
      </c>
      <c r="G189" s="63">
        <v>979.81</v>
      </c>
      <c r="H189" s="63">
        <v>2018.37</v>
      </c>
      <c r="I189" s="65">
        <v>0</v>
      </c>
      <c r="J189" s="65">
        <v>2</v>
      </c>
      <c r="K189" s="65">
        <v>3333.6499999999996</v>
      </c>
      <c r="L189" s="65">
        <v>4</v>
      </c>
      <c r="M189" s="65">
        <v>8291.240000000002</v>
      </c>
      <c r="N189" s="67">
        <v>2</v>
      </c>
      <c r="O189" s="68">
        <f t="shared" si="24"/>
      </c>
      <c r="P189" s="67">
        <v>1</v>
      </c>
      <c r="Q189" s="68">
        <f t="shared" si="0"/>
      </c>
      <c r="R189" s="69">
        <f t="shared" si="139"/>
      </c>
      <c r="S189" s="70">
        <f t="shared" si="211"/>
      </c>
      <c r="T189" s="63">
        <f t="shared" si="12"/>
      </c>
      <c r="U189" s="63">
        <f t="shared" si="8"/>
      </c>
      <c r="V189" s="71">
        <f t="shared" si="20"/>
      </c>
      <c r="W189" s="67">
        <v>3</v>
      </c>
      <c r="X189" s="71">
        <f t="shared" si="16"/>
      </c>
      <c r="Y189" s="71">
        <f t="shared" si="248"/>
      </c>
      <c r="Z189" s="63">
        <f t="shared" si="100"/>
      </c>
      <c r="AA189" s="63">
        <f t="shared" si="2"/>
      </c>
      <c r="AB189" s="63">
        <f t="shared" si="4"/>
      </c>
      <c r="AC189" s="68">
        <f t="shared" si="14"/>
      </c>
      <c r="AD189" s="68">
        <f t="shared" si="10"/>
      </c>
      <c r="AE189" s="68">
        <f t="shared" si="22"/>
      </c>
      <c r="AF189" s="68">
        <f t="shared" si="18"/>
      </c>
      <c r="AG189" s="68">
        <f t="shared" si="102"/>
      </c>
      <c r="AH189" s="68">
        <f t="shared" si="26"/>
      </c>
      <c r="AI189" s="68">
        <f t="shared" si="6"/>
      </c>
      <c r="AJ189" s="67">
        <v>83</v>
      </c>
      <c r="AK189" s="72">
        <v>11187</v>
      </c>
      <c r="AL189" s="72">
        <v>326</v>
      </c>
      <c r="AM189" s="72">
        <v>361</v>
      </c>
      <c r="AN189" s="72">
        <v>73</v>
      </c>
      <c r="AO189" s="73">
        <v>29</v>
      </c>
      <c r="AP189" s="72">
        <v>117</v>
      </c>
      <c r="AQ189" s="41">
        <v>75</v>
      </c>
      <c r="AR189" s="73">
        <v>7</v>
      </c>
      <c r="AS189" s="72">
        <v>6</v>
      </c>
      <c r="AT189" s="72">
        <v>0</v>
      </c>
      <c r="AU189" s="72">
        <v>3</v>
      </c>
      <c r="AV189" s="39"/>
      <c r="AW189" s="40"/>
      <c r="AX189" s="41">
        <f t="shared" si="285"/>
      </c>
    </row>
    <row hidden="true" r="190">
      <c r="A190" s="74"/>
      <c r="B190" s="73" t="s">
        <v>89</v>
      </c>
      <c r="C190" s="41" t="s">
        <v>60</v>
      </c>
      <c r="D190" s="73" t="s">
        <v>61</v>
      </c>
      <c r="E190" s="41" t="s">
        <v>65</v>
      </c>
      <c r="F190" s="63">
        <f t="shared" si="63"/>
      </c>
      <c r="G190" s="63">
        <v>2294.32</v>
      </c>
      <c r="H190" s="63">
        <v>1840.62</v>
      </c>
      <c r="I190" s="65">
        <v>0</v>
      </c>
      <c r="J190" s="65">
        <v>0</v>
      </c>
      <c r="K190" s="65">
        <v>0</v>
      </c>
      <c r="L190" s="65">
        <v>1</v>
      </c>
      <c r="M190" s="65">
        <v>2712.25</v>
      </c>
      <c r="N190" s="67">
        <v>0</v>
      </c>
      <c r="O190" s="68">
        <f t="shared" si="24"/>
      </c>
      <c r="P190" s="67">
        <v>0</v>
      </c>
      <c r="Q190" s="68">
        <f t="shared" si="0"/>
      </c>
      <c r="R190" s="69">
        <f t="shared" si="139"/>
      </c>
      <c r="S190" s="70">
        <f t="shared" si="211"/>
      </c>
      <c r="T190" s="63">
        <f t="shared" si="12"/>
      </c>
      <c r="U190" s="63">
        <f t="shared" si="8"/>
      </c>
      <c r="V190" s="71">
        <f t="shared" si="20"/>
      </c>
      <c r="W190" s="67">
        <v>0</v>
      </c>
      <c r="X190" s="71">
        <f t="shared" si="16"/>
      </c>
      <c r="Y190" s="71">
        <f t="shared" si="248"/>
      </c>
      <c r="Z190" s="63">
        <f t="shared" si="100"/>
      </c>
      <c r="AA190" s="63">
        <f t="shared" si="2"/>
      </c>
      <c r="AB190" s="63">
        <f t="shared" si="4"/>
      </c>
      <c r="AC190" s="68">
        <f t="shared" si="14"/>
      </c>
      <c r="AD190" s="68">
        <f t="shared" si="10"/>
      </c>
      <c r="AE190" s="68">
        <f t="shared" si="22"/>
      </c>
      <c r="AF190" s="68">
        <f t="shared" si="18"/>
      </c>
      <c r="AG190" s="68">
        <f t="shared" si="102"/>
      </c>
      <c r="AH190" s="68">
        <f t="shared" si="26"/>
      </c>
      <c r="AI190" s="68">
        <f t="shared" si="6"/>
      </c>
      <c r="AJ190" s="67">
        <v>76</v>
      </c>
      <c r="AK190" s="72">
        <v>21387</v>
      </c>
      <c r="AL190" s="72">
        <v>576</v>
      </c>
      <c r="AM190" s="72">
        <v>740</v>
      </c>
      <c r="AN190" s="72">
        <v>107</v>
      </c>
      <c r="AO190" s="73">
        <v>22</v>
      </c>
      <c r="AP190" s="72">
        <v>64</v>
      </c>
      <c r="AQ190" s="41">
        <v>102</v>
      </c>
      <c r="AR190" s="73">
        <v>1</v>
      </c>
      <c r="AS190" s="72">
        <v>7</v>
      </c>
      <c r="AT190" s="72">
        <v>2</v>
      </c>
      <c r="AU190" s="72">
        <v>6</v>
      </c>
      <c r="AV190" s="39"/>
      <c r="AW190" s="40"/>
      <c r="AX190" s="41">
        <f t="shared" si="285"/>
      </c>
    </row>
    <row hidden="true" r="191">
      <c r="A191" s="74"/>
      <c r="B191" s="75" t="s">
        <v>66</v>
      </c>
      <c r="C191" s="75"/>
      <c r="D191" s="75"/>
      <c r="E191" s="75"/>
      <c r="F191" s="76">
        <f>SUM(F187:F190)</f>
      </c>
      <c r="G191" s="76">
        <f>SUM(G187:G190)</f>
      </c>
      <c r="H191" s="76">
        <f>SUM(H187:H190)</f>
      </c>
      <c r="I191" s="76">
        <f>SUM(I187:I190)</f>
      </c>
      <c r="J191" s="76">
        <f>SUM(J187:J190)</f>
      </c>
      <c r="K191" s="76">
        <f>SUM(K187:K190)</f>
      </c>
      <c r="L191" s="76">
        <f>SUM(L187:L190)</f>
      </c>
      <c r="M191" s="76">
        <f>SUM(M187:M190)</f>
      </c>
      <c r="N191" s="76">
        <f>SUM(N187:N190)</f>
      </c>
      <c r="O191" s="77">
        <f t="shared" si="24"/>
      </c>
      <c r="P191" s="76">
        <f>SUM(P187:P190)</f>
      </c>
      <c r="Q191" s="77">
        <f t="shared" si="0"/>
      </c>
      <c r="R191" s="76">
        <f>SUM(R187:R190)</f>
      </c>
      <c r="S191" s="76">
        <f>SUM(S187:S190)</f>
      </c>
      <c r="T191" s="76">
        <f t="shared" si="12"/>
      </c>
      <c r="U191" s="76">
        <f t="shared" si="8"/>
      </c>
      <c r="V191" s="76">
        <f t="shared" si="20"/>
      </c>
      <c r="W191" s="76">
        <f>SUM(W187:W190)</f>
      </c>
      <c r="X191" s="79">
        <f t="shared" si="16"/>
      </c>
      <c r="Y191" s="79">
        <f t="shared" si="248"/>
      </c>
      <c r="Z191" s="76">
        <f t="shared" si="100"/>
      </c>
      <c r="AA191" s="76">
        <f t="shared" si="2"/>
      </c>
      <c r="AB191" s="80">
        <f t="shared" si="4"/>
      </c>
      <c r="AC191" s="77">
        <f t="shared" si="14"/>
      </c>
      <c r="AD191" s="77">
        <f t="shared" si="10"/>
      </c>
      <c r="AE191" s="77">
        <f t="shared" si="22"/>
      </c>
      <c r="AF191" s="77">
        <f t="shared" si="18"/>
      </c>
      <c r="AG191" s="77">
        <f t="shared" si="102"/>
      </c>
      <c r="AH191" s="77">
        <f t="shared" si="26"/>
      </c>
      <c r="AI191" s="77">
        <f t="shared" si="6"/>
      </c>
      <c r="AJ191" s="78">
        <f>AVERAGE(AJ187:AJ190)</f>
      </c>
      <c r="AK191" s="76">
        <f>SUM(AK187:AK190)</f>
      </c>
      <c r="AL191" s="76">
        <f>SUM(AL187:AL190)</f>
      </c>
      <c r="AM191" s="76">
        <f>SUM(AM187:AM190)</f>
      </c>
      <c r="AN191" s="76">
        <f>SUM(AN187:AN190)</f>
      </c>
      <c r="AO191" s="76">
        <f>SUM(AO187:AO190)</f>
      </c>
      <c r="AP191" s="76">
        <f>SUM(AP187:AP190)</f>
      </c>
      <c r="AQ191" s="76">
        <f>SUM(AQ187:AQ190)</f>
      </c>
      <c r="AR191" s="76">
        <f>SUM(AR187:AR190)</f>
      </c>
      <c r="AS191" s="76">
        <f>SUM(AS187:AS190)</f>
      </c>
      <c r="AT191" s="76">
        <f>SUM(AT187:AT190)</f>
      </c>
      <c r="AU191" s="76">
        <f>SUM(AU187:AU190)</f>
      </c>
      <c r="AV191" s="39"/>
      <c r="AW191" s="48"/>
      <c r="AX191" s="76">
        <f>SUM(AX187:AX190)</f>
      </c>
    </row>
    <row hidden="true" r="192">
      <c r="A192" s="74"/>
      <c r="B192" s="73" t="s">
        <v>89</v>
      </c>
      <c r="C192" s="41" t="s">
        <v>60</v>
      </c>
      <c r="D192" s="41" t="s">
        <v>74</v>
      </c>
      <c r="E192" s="41" t="s">
        <v>68</v>
      </c>
      <c r="F192" s="63">
        <f t="shared" ref="F192:F195" si="64">G192+H192+I192</f>
      </c>
      <c r="G192" s="63">
        <v>1719.11</v>
      </c>
      <c r="H192" s="63">
        <v>1666.82</v>
      </c>
      <c r="I192" s="65">
        <v>0</v>
      </c>
      <c r="J192" s="65">
        <v>1</v>
      </c>
      <c r="K192" s="65">
        <v>1553.25</v>
      </c>
      <c r="L192" s="65">
        <v>6</v>
      </c>
      <c r="M192" s="65">
        <v>16820.729999999996</v>
      </c>
      <c r="N192" s="67">
        <v>4</v>
      </c>
      <c r="O192" s="68">
        <f t="shared" si="24"/>
      </c>
      <c r="P192" s="67">
        <v>1</v>
      </c>
      <c r="Q192" s="68">
        <f t="shared" si="0"/>
      </c>
      <c r="R192" s="69">
        <f t="shared" ref="R192:R195" si="140">J192+L192</f>
      </c>
      <c r="S192" s="70">
        <f t="shared" ref="S192:S195" si="212">K192+M192</f>
      </c>
      <c r="T192" s="63">
        <f t="shared" si="12"/>
      </c>
      <c r="U192" s="63">
        <f t="shared" si="8"/>
      </c>
      <c r="V192" s="71">
        <f t="shared" si="20"/>
      </c>
      <c r="W192" s="67">
        <v>5</v>
      </c>
      <c r="X192" s="71">
        <f t="shared" si="16"/>
      </c>
      <c r="Y192" s="71">
        <f t="shared" si="248"/>
      </c>
      <c r="Z192" s="63">
        <f t="shared" si="100"/>
      </c>
      <c r="AA192" s="63">
        <f t="shared" si="2"/>
      </c>
      <c r="AB192" s="63">
        <f t="shared" si="4"/>
      </c>
      <c r="AC192" s="68">
        <f t="shared" si="14"/>
      </c>
      <c r="AD192" s="68">
        <f t="shared" si="10"/>
      </c>
      <c r="AE192" s="68">
        <f t="shared" si="22"/>
      </c>
      <c r="AF192" s="68">
        <f t="shared" si="18"/>
      </c>
      <c r="AG192" s="68">
        <f t="shared" si="102"/>
      </c>
      <c r="AH192" s="68">
        <f t="shared" si="26"/>
      </c>
      <c r="AI192" s="68">
        <f t="shared" si="6"/>
      </c>
      <c r="AJ192" s="67">
        <v>84</v>
      </c>
      <c r="AK192" s="72">
        <v>15897</v>
      </c>
      <c r="AL192" s="72">
        <v>418</v>
      </c>
      <c r="AM192" s="72">
        <v>564</v>
      </c>
      <c r="AN192" s="72">
        <v>97</v>
      </c>
      <c r="AO192" s="73">
        <v>36</v>
      </c>
      <c r="AP192" s="72">
        <v>155</v>
      </c>
      <c r="AQ192" s="41">
        <v>104</v>
      </c>
      <c r="AR192" s="73">
        <v>7</v>
      </c>
      <c r="AS192" s="41">
        <v>4</v>
      </c>
      <c r="AT192" s="72">
        <v>2</v>
      </c>
      <c r="AU192" s="72">
        <v>6</v>
      </c>
      <c r="AV192" s="39"/>
      <c r="AW192" s="40"/>
      <c r="AX192" s="41">
        <f t="shared" ref="AX192:AX195" si="286">COUNT(AU192)</f>
      </c>
    </row>
    <row hidden="true" r="193">
      <c r="A193" s="74"/>
      <c r="B193" s="73" t="s">
        <v>89</v>
      </c>
      <c r="C193" s="41" t="s">
        <v>60</v>
      </c>
      <c r="D193" s="41" t="s">
        <v>74</v>
      </c>
      <c r="E193" s="41" t="s">
        <v>69</v>
      </c>
      <c r="F193" s="63">
        <f t="shared" si="64"/>
      </c>
      <c r="G193" s="63">
        <v>1753.92</v>
      </c>
      <c r="H193" s="63">
        <v>1612.21</v>
      </c>
      <c r="I193" s="65">
        <v>0</v>
      </c>
      <c r="J193" s="65">
        <v>2</v>
      </c>
      <c r="K193" s="65">
        <v>3048.0499999999993</v>
      </c>
      <c r="L193" s="65">
        <v>3</v>
      </c>
      <c r="M193" s="65">
        <v>7811.570000000007</v>
      </c>
      <c r="N193" s="67">
        <v>1</v>
      </c>
      <c r="O193" s="68">
        <f t="shared" si="24"/>
      </c>
      <c r="P193" s="67">
        <v>0</v>
      </c>
      <c r="Q193" s="68">
        <f t="shared" si="0"/>
      </c>
      <c r="R193" s="69">
        <f t="shared" si="140"/>
      </c>
      <c r="S193" s="70">
        <f t="shared" si="212"/>
      </c>
      <c r="T193" s="63">
        <f t="shared" si="12"/>
      </c>
      <c r="U193" s="63">
        <f t="shared" si="8"/>
      </c>
      <c r="V193" s="71">
        <f t="shared" si="20"/>
      </c>
      <c r="W193" s="67">
        <v>4</v>
      </c>
      <c r="X193" s="71">
        <f t="shared" si="16"/>
      </c>
      <c r="Y193" s="71">
        <f t="shared" si="248"/>
      </c>
      <c r="Z193" s="63">
        <f t="shared" si="100"/>
      </c>
      <c r="AA193" s="63">
        <f t="shared" si="2"/>
      </c>
      <c r="AB193" s="63">
        <f t="shared" si="4"/>
      </c>
      <c r="AC193" s="68">
        <f t="shared" si="14"/>
      </c>
      <c r="AD193" s="68">
        <f t="shared" si="10"/>
      </c>
      <c r="AE193" s="68">
        <f t="shared" si="22"/>
      </c>
      <c r="AF193" s="68">
        <f t="shared" si="18"/>
      </c>
      <c r="AG193" s="68">
        <f t="shared" si="102"/>
      </c>
      <c r="AH193" s="68">
        <f t="shared" si="26"/>
      </c>
      <c r="AI193" s="68">
        <f t="shared" si="6"/>
      </c>
      <c r="AJ193" s="67">
        <v>83</v>
      </c>
      <c r="AK193" s="72">
        <v>14349</v>
      </c>
      <c r="AL193" s="72">
        <v>303</v>
      </c>
      <c r="AM193" s="72">
        <v>360</v>
      </c>
      <c r="AN193" s="72">
        <v>92</v>
      </c>
      <c r="AO193" s="73">
        <v>30</v>
      </c>
      <c r="AP193" s="72">
        <v>104</v>
      </c>
      <c r="AQ193" s="41">
        <v>79</v>
      </c>
      <c r="AR193" s="73">
        <v>6</v>
      </c>
      <c r="AS193" s="41">
        <v>10</v>
      </c>
      <c r="AT193" s="72">
        <v>0</v>
      </c>
      <c r="AU193" s="72">
        <v>3</v>
      </c>
      <c r="AV193" s="39"/>
      <c r="AW193" s="40"/>
      <c r="AX193" s="41">
        <f t="shared" si="286"/>
      </c>
    </row>
    <row hidden="true" r="194">
      <c r="A194" s="74"/>
      <c r="B194" s="73" t="s">
        <v>89</v>
      </c>
      <c r="C194" s="41" t="s">
        <v>60</v>
      </c>
      <c r="D194" s="41" t="s">
        <v>74</v>
      </c>
      <c r="E194" s="41" t="s">
        <v>70</v>
      </c>
      <c r="F194" s="63">
        <f t="shared" si="64"/>
      </c>
      <c r="G194" s="81">
        <v>2238.14</v>
      </c>
      <c r="H194" s="81">
        <v>1640.56</v>
      </c>
      <c r="I194" s="65">
        <v>0</v>
      </c>
      <c r="J194" s="65">
        <v>0</v>
      </c>
      <c r="K194" s="65">
        <v>0</v>
      </c>
      <c r="L194" s="65">
        <v>1</v>
      </c>
      <c r="M194" s="65">
        <v>4125.659999999996</v>
      </c>
      <c r="N194" s="67">
        <v>0</v>
      </c>
      <c r="O194" s="68">
        <f t="shared" si="24"/>
      </c>
      <c r="P194" s="67">
        <v>1</v>
      </c>
      <c r="Q194" s="68">
        <f t="shared" si="0"/>
      </c>
      <c r="R194" s="69">
        <f t="shared" si="140"/>
      </c>
      <c r="S194" s="70">
        <f t="shared" si="212"/>
      </c>
      <c r="T194" s="63">
        <f t="shared" si="12"/>
      </c>
      <c r="U194" s="63">
        <f t="shared" si="8"/>
      </c>
      <c r="V194" s="71">
        <f t="shared" si="20"/>
      </c>
      <c r="W194" s="67">
        <v>1</v>
      </c>
      <c r="X194" s="71">
        <f t="shared" si="16"/>
      </c>
      <c r="Y194" s="71">
        <f t="shared" si="248"/>
      </c>
      <c r="Z194" s="63">
        <f t="shared" si="100"/>
      </c>
      <c r="AA194" s="63">
        <f t="shared" si="2"/>
      </c>
      <c r="AB194" s="63">
        <f t="shared" si="4"/>
      </c>
      <c r="AC194" s="68">
        <f t="shared" si="14"/>
      </c>
      <c r="AD194" s="68">
        <f t="shared" si="10"/>
      </c>
      <c r="AE194" s="68">
        <f t="shared" si="22"/>
      </c>
      <c r="AF194" s="68">
        <f t="shared" si="18"/>
      </c>
      <c r="AG194" s="68">
        <f t="shared" si="102"/>
      </c>
      <c r="AH194" s="68">
        <f t="shared" si="26"/>
      </c>
      <c r="AI194" s="68">
        <f t="shared" si="6"/>
      </c>
      <c r="AJ194" s="67">
        <v>77</v>
      </c>
      <c r="AK194" s="72">
        <v>19789</v>
      </c>
      <c r="AL194" s="72">
        <v>486</v>
      </c>
      <c r="AM194" s="72">
        <v>591</v>
      </c>
      <c r="AN194" s="72">
        <v>89</v>
      </c>
      <c r="AO194" s="73">
        <v>32</v>
      </c>
      <c r="AP194" s="72">
        <v>101</v>
      </c>
      <c r="AQ194" s="41">
        <v>67</v>
      </c>
      <c r="AR194" s="73">
        <v>3</v>
      </c>
      <c r="AS194" s="72">
        <v>4</v>
      </c>
      <c r="AT194" s="72">
        <v>0</v>
      </c>
      <c r="AU194" s="72">
        <v>7</v>
      </c>
      <c r="AV194" s="39"/>
      <c r="AW194" s="40"/>
      <c r="AX194" s="41">
        <f t="shared" si="286"/>
      </c>
    </row>
    <row hidden="true" r="195">
      <c r="A195" s="74"/>
      <c r="B195" s="41" t="s">
        <v>87</v>
      </c>
      <c r="C195" s="41" t="s">
        <v>72</v>
      </c>
      <c r="D195" s="41" t="s">
        <v>74</v>
      </c>
      <c r="E195" s="41" t="s">
        <v>73</v>
      </c>
      <c r="F195" s="63">
        <f t="shared" si="64"/>
      </c>
      <c r="G195" s="81">
        <v>1706.88</v>
      </c>
      <c r="H195" s="81">
        <v>1188.11</v>
      </c>
      <c r="I195" s="65">
        <v>0</v>
      </c>
      <c r="J195" s="65">
        <v>2</v>
      </c>
      <c r="K195" s="65">
        <v>2110.9000000000015</v>
      </c>
      <c r="L195" s="65">
        <v>1</v>
      </c>
      <c r="M195" s="65">
        <v>2033.9500000000044</v>
      </c>
      <c r="N195" s="67">
        <v>0</v>
      </c>
      <c r="O195" s="68">
        <f t="shared" si="24"/>
      </c>
      <c r="P195" s="67">
        <v>0</v>
      </c>
      <c r="Q195" s="68">
        <f t="shared" si="0"/>
      </c>
      <c r="R195" s="69">
        <f t="shared" si="140"/>
      </c>
      <c r="S195" s="70">
        <f t="shared" si="212"/>
      </c>
      <c r="T195" s="63">
        <f t="shared" si="12"/>
      </c>
      <c r="U195" s="63">
        <f t="shared" si="8"/>
      </c>
      <c r="V195" s="71">
        <f t="shared" si="20"/>
      </c>
      <c r="W195" s="67">
        <v>2</v>
      </c>
      <c r="X195" s="71">
        <f t="shared" si="16"/>
      </c>
      <c r="Y195" s="71">
        <f t="shared" si="248"/>
      </c>
      <c r="Z195" s="63">
        <f t="shared" si="100"/>
      </c>
      <c r="AA195" s="63">
        <f t="shared" si="2"/>
      </c>
      <c r="AB195" s="63">
        <f t="shared" si="4"/>
      </c>
      <c r="AC195" s="68">
        <f t="shared" si="14"/>
      </c>
      <c r="AD195" s="68">
        <f t="shared" si="10"/>
      </c>
      <c r="AE195" s="68">
        <f t="shared" si="22"/>
      </c>
      <c r="AF195" s="68">
        <f t="shared" si="18"/>
      </c>
      <c r="AG195" s="68">
        <f t="shared" si="102"/>
      </c>
      <c r="AH195" s="68">
        <f t="shared" si="26"/>
      </c>
      <c r="AI195" s="68">
        <f t="shared" si="6"/>
      </c>
      <c r="AJ195" s="67">
        <v>74</v>
      </c>
      <c r="AK195" s="72">
        <v>16793</v>
      </c>
      <c r="AL195" s="72">
        <v>504</v>
      </c>
      <c r="AM195" s="72">
        <v>674</v>
      </c>
      <c r="AN195" s="72">
        <v>76</v>
      </c>
      <c r="AO195" s="73">
        <v>30</v>
      </c>
      <c r="AP195" s="72">
        <v>65</v>
      </c>
      <c r="AQ195" s="41">
        <v>83</v>
      </c>
      <c r="AR195" s="73">
        <v>4</v>
      </c>
      <c r="AS195" s="67">
        <v>0</v>
      </c>
      <c r="AT195" s="67">
        <v>1</v>
      </c>
      <c r="AU195" s="67">
        <v>7</v>
      </c>
      <c r="AV195" s="39"/>
      <c r="AW195" s="40"/>
      <c r="AX195" s="41">
        <f t="shared" si="286"/>
      </c>
    </row>
    <row hidden="true" r="196">
      <c r="A196" s="74"/>
      <c r="B196" s="75" t="s">
        <v>66</v>
      </c>
      <c r="C196" s="75"/>
      <c r="D196" s="75"/>
      <c r="E196" s="75"/>
      <c r="F196" s="76">
        <f>SUM(F192:F195)</f>
      </c>
      <c r="G196" s="76">
        <f>SUM(G192:G195)</f>
      </c>
      <c r="H196" s="76">
        <f>SUM(H192:H195)</f>
      </c>
      <c r="I196" s="76">
        <f>SUM(I192:I195)</f>
      </c>
      <c r="J196" s="76">
        <f>SUM(J192:J195)</f>
      </c>
      <c r="K196" s="76">
        <f>SUM(K192:K195)</f>
      </c>
      <c r="L196" s="76">
        <f>SUM(L192:L195)</f>
      </c>
      <c r="M196" s="76">
        <f>SUM(M192:M195)</f>
      </c>
      <c r="N196" s="76">
        <f>SUM(N192:N195)</f>
      </c>
      <c r="O196" s="77">
        <f t="shared" si="24"/>
      </c>
      <c r="P196" s="76">
        <f>SUM(P192:P195)</f>
      </c>
      <c r="Q196" s="77">
        <f t="shared" si="0"/>
      </c>
      <c r="R196" s="91">
        <f>SUM(R192:R195)</f>
      </c>
      <c r="S196" s="76">
        <f>SUM(S192:S195)</f>
      </c>
      <c r="T196" s="76">
        <f t="shared" si="12"/>
      </c>
      <c r="U196" s="76">
        <f t="shared" si="8"/>
      </c>
      <c r="V196" s="79">
        <f t="shared" si="20"/>
      </c>
      <c r="W196" s="76">
        <f>SUM(W192:W195)</f>
      </c>
      <c r="X196" s="79">
        <f t="shared" si="16"/>
      </c>
      <c r="Y196" s="79">
        <f t="shared" si="248"/>
      </c>
      <c r="Z196" s="76">
        <f t="shared" si="100"/>
      </c>
      <c r="AA196" s="76">
        <f t="shared" si="2"/>
      </c>
      <c r="AB196" s="80">
        <f t="shared" si="4"/>
      </c>
      <c r="AC196" s="77">
        <f t="shared" si="14"/>
      </c>
      <c r="AD196" s="77">
        <f t="shared" si="10"/>
      </c>
      <c r="AE196" s="77">
        <f t="shared" si="22"/>
      </c>
      <c r="AF196" s="82">
        <f t="shared" si="18"/>
      </c>
      <c r="AG196" s="77">
        <f t="shared" si="102"/>
      </c>
      <c r="AH196" s="77">
        <f t="shared" si="26"/>
      </c>
      <c r="AI196" s="77">
        <f t="shared" si="6"/>
      </c>
      <c r="AJ196" s="78">
        <f>AVERAGE(AJ192:AJ195)</f>
      </c>
      <c r="AK196" s="76">
        <f>SUM(AK192:AK195)</f>
      </c>
      <c r="AL196" s="76">
        <f>SUM(AL192:AL195)</f>
      </c>
      <c r="AM196" s="76">
        <f>SUM(AM192:AM195)</f>
      </c>
      <c r="AN196" s="76">
        <f>SUM(AN192:AN195)</f>
      </c>
      <c r="AO196" s="76">
        <f>SUM(AO192:AO195)</f>
      </c>
      <c r="AP196" s="76">
        <f>SUM(AP192:AP195)</f>
      </c>
      <c r="AQ196" s="76">
        <f>SUM(AQ192:AQ195)</f>
      </c>
      <c r="AR196" s="76">
        <f>SUM(AR192:AR195)</f>
      </c>
      <c r="AS196" s="76">
        <f>SUM(AS192:AS195)</f>
      </c>
      <c r="AT196" s="76">
        <f>SUM(AT192:AT195)</f>
      </c>
      <c r="AU196" s="76">
        <f>SUM(AU192:AU195)</f>
      </c>
      <c r="AV196" s="39"/>
      <c r="AW196" s="48"/>
      <c r="AX196" s="49">
        <f>SUM(AX192:AX195)</f>
      </c>
    </row>
    <row hidden="true" r="197">
      <c r="A197" s="74"/>
      <c r="B197" s="41" t="s">
        <v>87</v>
      </c>
      <c r="C197" s="41" t="s">
        <v>72</v>
      </c>
      <c r="D197" s="41" t="s">
        <v>67</v>
      </c>
      <c r="E197" s="41" t="s">
        <v>75</v>
      </c>
      <c r="F197" s="63">
        <f t="shared" ref="F197:F200" si="65">G197+H197+I197</f>
      </c>
      <c r="G197" s="81">
        <v>1813.88</v>
      </c>
      <c r="H197" s="81">
        <v>1029.74</v>
      </c>
      <c r="I197" s="65">
        <v>0</v>
      </c>
      <c r="J197" s="65">
        <v>0</v>
      </c>
      <c r="K197" s="65">
        <v>0</v>
      </c>
      <c r="L197" s="65">
        <v>2</v>
      </c>
      <c r="M197" s="65">
        <v>3251.8499999999913</v>
      </c>
      <c r="N197" s="67">
        <v>0</v>
      </c>
      <c r="O197" s="68">
        <f t="shared" si="24"/>
      </c>
      <c r="P197" s="67">
        <v>0</v>
      </c>
      <c r="Q197" s="68">
        <f t="shared" si="0"/>
      </c>
      <c r="R197" s="83">
        <f t="shared" ref="R197:R200" si="141">J197+L197</f>
      </c>
      <c r="S197" s="70">
        <f t="shared" ref="S197:S200" si="213">K197+M197</f>
      </c>
      <c r="T197" s="63">
        <f t="shared" si="12"/>
      </c>
      <c r="U197" s="63">
        <f t="shared" si="8"/>
      </c>
      <c r="V197" s="71">
        <f t="shared" si="20"/>
      </c>
      <c r="W197" s="67">
        <v>0</v>
      </c>
      <c r="X197" s="71">
        <f t="shared" si="16"/>
      </c>
      <c r="Y197" s="71">
        <f t="shared" si="248"/>
      </c>
      <c r="Z197" s="63">
        <f t="shared" si="100"/>
      </c>
      <c r="AA197" s="63">
        <f t="shared" si="2"/>
      </c>
      <c r="AB197" s="63">
        <f t="shared" si="4"/>
      </c>
      <c r="AC197" s="68">
        <f t="shared" si="14"/>
      </c>
      <c r="AD197" s="68">
        <f t="shared" si="10"/>
      </c>
      <c r="AE197" s="68">
        <f t="shared" si="22"/>
      </c>
      <c r="AF197" s="68">
        <f t="shared" si="18"/>
      </c>
      <c r="AG197" s="68">
        <f t="shared" si="102"/>
      </c>
      <c r="AH197" s="68">
        <f t="shared" si="26"/>
      </c>
      <c r="AI197" s="68">
        <f t="shared" si="6"/>
      </c>
      <c r="AJ197" s="67">
        <v>71</v>
      </c>
      <c r="AK197" s="72">
        <v>14933</v>
      </c>
      <c r="AL197" s="72">
        <v>433</v>
      </c>
      <c r="AM197" s="72">
        <v>555</v>
      </c>
      <c r="AN197" s="72">
        <v>56</v>
      </c>
      <c r="AO197" s="73">
        <v>26</v>
      </c>
      <c r="AP197" s="72">
        <v>74</v>
      </c>
      <c r="AQ197" s="41">
        <v>63</v>
      </c>
      <c r="AR197" s="73">
        <v>4</v>
      </c>
      <c r="AS197" s="41">
        <v>3</v>
      </c>
      <c r="AT197" s="72">
        <v>1</v>
      </c>
      <c r="AU197" s="72">
        <v>3</v>
      </c>
      <c r="AV197" s="39"/>
      <c r="AW197" s="40"/>
      <c r="AX197" s="41">
        <f t="shared" ref="AX197:AX200" si="287">COUNT(AU197)</f>
      </c>
    </row>
    <row hidden="true" r="198">
      <c r="A198" s="74"/>
      <c r="B198" s="41" t="s">
        <v>87</v>
      </c>
      <c r="C198" s="41" t="s">
        <v>72</v>
      </c>
      <c r="D198" s="41" t="s">
        <v>67</v>
      </c>
      <c r="E198" s="41" t="s">
        <v>76</v>
      </c>
      <c r="F198" s="63">
        <f t="shared" si="65"/>
      </c>
      <c r="G198" s="81">
        <v>1901.51</v>
      </c>
      <c r="H198" s="81">
        <v>762.38</v>
      </c>
      <c r="I198" s="65">
        <v>0</v>
      </c>
      <c r="J198" s="65">
        <v>1</v>
      </c>
      <c r="K198" s="65">
        <v>1055.4500000000007</v>
      </c>
      <c r="L198" s="65">
        <v>0</v>
      </c>
      <c r="M198" s="65">
        <v>0</v>
      </c>
      <c r="N198" s="67">
        <v>0</v>
      </c>
      <c r="O198" s="68">
        <f t="shared" si="24"/>
      </c>
      <c r="P198" s="67">
        <v>0</v>
      </c>
      <c r="Q198" s="68">
        <f t="shared" si="0"/>
      </c>
      <c r="R198" s="83">
        <f t="shared" si="141"/>
      </c>
      <c r="S198" s="70">
        <f t="shared" si="213"/>
      </c>
      <c r="T198" s="63">
        <f t="shared" si="12"/>
      </c>
      <c r="U198" s="63">
        <f t="shared" si="8"/>
      </c>
      <c r="V198" s="71">
        <f t="shared" si="20"/>
      </c>
      <c r="W198" s="67">
        <v>1</v>
      </c>
      <c r="X198" s="71">
        <f t="shared" si="16"/>
      </c>
      <c r="Y198" s="71">
        <f t="shared" si="248"/>
      </c>
      <c r="Z198" s="63">
        <f t="shared" si="100"/>
      </c>
      <c r="AA198" s="63">
        <f t="shared" si="2"/>
      </c>
      <c r="AB198" s="63">
        <f t="shared" si="4"/>
      </c>
      <c r="AC198" s="68">
        <f t="shared" si="14"/>
      </c>
      <c r="AD198" s="68">
        <f t="shared" si="10"/>
      </c>
      <c r="AE198" s="68">
        <f t="shared" si="22"/>
      </c>
      <c r="AF198" s="68">
        <f t="shared" si="18"/>
      </c>
      <c r="AG198" s="68">
        <f t="shared" si="102"/>
      </c>
      <c r="AH198" s="68">
        <f t="shared" si="26"/>
      </c>
      <c r="AI198" s="68">
        <f t="shared" si="6"/>
      </c>
      <c r="AJ198" s="67">
        <v>68</v>
      </c>
      <c r="AK198" s="72">
        <v>14946</v>
      </c>
      <c r="AL198" s="72">
        <v>505</v>
      </c>
      <c r="AM198" s="72">
        <v>638</v>
      </c>
      <c r="AN198" s="72">
        <v>75</v>
      </c>
      <c r="AO198" s="73">
        <v>24</v>
      </c>
      <c r="AP198" s="72">
        <v>48</v>
      </c>
      <c r="AQ198" s="41">
        <v>81</v>
      </c>
      <c r="AR198" s="73">
        <v>2</v>
      </c>
      <c r="AS198" s="73">
        <v>1</v>
      </c>
      <c r="AT198" s="67">
        <v>1</v>
      </c>
      <c r="AU198" s="67">
        <v>3</v>
      </c>
      <c r="AV198" s="39"/>
      <c r="AW198" s="40"/>
      <c r="AX198" s="41">
        <f t="shared" si="287"/>
      </c>
    </row>
    <row hidden="true" r="199">
      <c r="A199" s="74"/>
      <c r="B199" s="41" t="s">
        <v>87</v>
      </c>
      <c r="C199" s="41" t="s">
        <v>72</v>
      </c>
      <c r="D199" s="41" t="s">
        <v>67</v>
      </c>
      <c r="E199" s="41" t="s">
        <v>77</v>
      </c>
      <c r="F199" s="63">
        <f t="shared" si="65"/>
      </c>
      <c r="G199" s="81">
        <v>2126.32</v>
      </c>
      <c r="H199" s="81">
        <v>1291.76</v>
      </c>
      <c r="I199" s="65">
        <v>0</v>
      </c>
      <c r="J199" s="65">
        <v>1</v>
      </c>
      <c r="K199" s="65">
        <v>1111</v>
      </c>
      <c r="L199" s="65">
        <v>1</v>
      </c>
      <c r="M199" s="65">
        <v>1830.560000000005</v>
      </c>
      <c r="N199" s="67">
        <v>1</v>
      </c>
      <c r="O199" s="68">
        <f t="shared" si="24"/>
      </c>
      <c r="P199" s="67">
        <v>0</v>
      </c>
      <c r="Q199" s="68">
        <f t="shared" si="0"/>
      </c>
      <c r="R199" s="83">
        <f t="shared" si="141"/>
      </c>
      <c r="S199" s="70">
        <f t="shared" si="213"/>
      </c>
      <c r="T199" s="63">
        <f t="shared" si="12"/>
      </c>
      <c r="U199" s="63">
        <f t="shared" si="8"/>
      </c>
      <c r="V199" s="71">
        <f t="shared" si="20"/>
      </c>
      <c r="W199" s="67">
        <v>1</v>
      </c>
      <c r="X199" s="71">
        <f t="shared" si="16"/>
      </c>
      <c r="Y199" s="71">
        <f t="shared" si="248"/>
      </c>
      <c r="Z199" s="63">
        <f t="shared" si="100"/>
      </c>
      <c r="AA199" s="63">
        <f t="shared" si="2"/>
      </c>
      <c r="AB199" s="63">
        <f t="shared" si="4"/>
      </c>
      <c r="AC199" s="68">
        <f t="shared" si="14"/>
      </c>
      <c r="AD199" s="68">
        <f t="shared" si="10"/>
      </c>
      <c r="AE199" s="68">
        <f t="shared" si="22"/>
      </c>
      <c r="AF199" s="68">
        <f t="shared" si="18"/>
      </c>
      <c r="AG199" s="68">
        <f t="shared" si="102"/>
      </c>
      <c r="AH199" s="68">
        <f t="shared" si="26"/>
      </c>
      <c r="AI199" s="68">
        <f t="shared" si="6"/>
      </c>
      <c r="AJ199" s="67">
        <v>66</v>
      </c>
      <c r="AK199" s="72">
        <v>17638</v>
      </c>
      <c r="AL199" s="72">
        <v>677</v>
      </c>
      <c r="AM199" s="72">
        <v>869</v>
      </c>
      <c r="AN199" s="72">
        <v>94</v>
      </c>
      <c r="AO199" s="73">
        <v>35</v>
      </c>
      <c r="AP199" s="67">
        <v>81</v>
      </c>
      <c r="AQ199" s="73">
        <v>88</v>
      </c>
      <c r="AR199" s="73">
        <v>3</v>
      </c>
      <c r="AS199" s="67">
        <v>9</v>
      </c>
      <c r="AT199" s="67">
        <v>1</v>
      </c>
      <c r="AU199" s="67">
        <v>5</v>
      </c>
      <c r="AV199" s="39"/>
      <c r="AW199" s="40"/>
      <c r="AX199" s="41">
        <f t="shared" si="287"/>
      </c>
    </row>
    <row hidden="true" r="200">
      <c r="A200" s="74"/>
      <c r="B200" s="41" t="s">
        <v>87</v>
      </c>
      <c r="C200" s="41" t="s">
        <v>72</v>
      </c>
      <c r="D200" s="41" t="s">
        <v>67</v>
      </c>
      <c r="E200" s="41" t="s">
        <v>78</v>
      </c>
      <c r="F200" s="63">
        <f t="shared" si="65"/>
      </c>
      <c r="G200" s="81">
        <f>1676.9+240.64</f>
      </c>
      <c r="H200" s="63">
        <f>1512+348.45</f>
      </c>
      <c r="I200" s="65">
        <v>0</v>
      </c>
      <c r="J200" s="65">
        <v>0</v>
      </c>
      <c r="K200" s="65">
        <v>0</v>
      </c>
      <c r="L200" s="65">
        <v>3</v>
      </c>
      <c r="M200" s="65">
        <v>10186.409999999996</v>
      </c>
      <c r="N200" s="67">
        <v>1</v>
      </c>
      <c r="O200" s="68">
        <f t="shared" si="24"/>
      </c>
      <c r="P200" s="67">
        <v>2</v>
      </c>
      <c r="Q200" s="68">
        <f t="shared" si="0"/>
      </c>
      <c r="R200" s="83">
        <f t="shared" si="141"/>
      </c>
      <c r="S200" s="70">
        <f t="shared" si="213"/>
      </c>
      <c r="T200" s="63">
        <f t="shared" si="12"/>
      </c>
      <c r="U200" s="63">
        <f t="shared" si="8"/>
      </c>
      <c r="V200" s="71">
        <f t="shared" si="20"/>
      </c>
      <c r="W200" s="67">
        <v>2</v>
      </c>
      <c r="X200" s="71">
        <f t="shared" si="16"/>
      </c>
      <c r="Y200" s="71">
        <f t="shared" si="248"/>
      </c>
      <c r="Z200" s="63">
        <f t="shared" si="100"/>
      </c>
      <c r="AA200" s="63">
        <f t="shared" si="2"/>
      </c>
      <c r="AB200" s="63">
        <f t="shared" si="4"/>
      </c>
      <c r="AC200" s="68">
        <f t="shared" si="14"/>
      </c>
      <c r="AD200" s="68">
        <f t="shared" si="10"/>
      </c>
      <c r="AE200" s="68">
        <f t="shared" si="22"/>
      </c>
      <c r="AF200" s="68">
        <f t="shared" si="18"/>
      </c>
      <c r="AG200" s="68">
        <f t="shared" si="102"/>
      </c>
      <c r="AH200" s="68">
        <f t="shared" si="26"/>
      </c>
      <c r="AI200" s="68">
        <f t="shared" si="6"/>
      </c>
      <c r="AJ200" s="67">
        <v>61</v>
      </c>
      <c r="AK200" s="72">
        <v>15322</v>
      </c>
      <c r="AL200" s="72">
        <v>3566</v>
      </c>
      <c r="AM200" s="72">
        <v>762</v>
      </c>
      <c r="AN200" s="72">
        <v>183</v>
      </c>
      <c r="AO200" s="73">
        <v>15</v>
      </c>
      <c r="AP200" s="72">
        <v>102</v>
      </c>
      <c r="AQ200" s="41">
        <v>100</v>
      </c>
      <c r="AR200" s="73">
        <v>3</v>
      </c>
      <c r="AS200" s="72">
        <v>17</v>
      </c>
      <c r="AT200" s="72">
        <v>0</v>
      </c>
      <c r="AU200" s="72">
        <v>3</v>
      </c>
      <c r="AV200" s="39"/>
      <c r="AW200" s="40"/>
      <c r="AX200" s="41">
        <f t="shared" si="287"/>
      </c>
    </row>
    <row hidden="true" r="201">
      <c r="A201" s="74"/>
      <c r="B201" s="75" t="s">
        <v>66</v>
      </c>
      <c r="C201" s="75"/>
      <c r="D201" s="75"/>
      <c r="E201" s="75"/>
      <c r="F201" s="76">
        <f>SUM(F197:F200)</f>
      </c>
      <c r="G201" s="76">
        <f>SUM(G197:G200)</f>
      </c>
      <c r="H201" s="76">
        <f>SUM(H197:H200)</f>
      </c>
      <c r="I201" s="76">
        <f>SUM(I197:I200)</f>
      </c>
      <c r="J201" s="76">
        <f>SUM(J197:J200)</f>
      </c>
      <c r="K201" s="76">
        <f>SUM(K197:K200)</f>
      </c>
      <c r="L201" s="76">
        <f>SUM(L197:L200)</f>
      </c>
      <c r="M201" s="76">
        <f>SUM(M197:M200)</f>
      </c>
      <c r="N201" s="76">
        <f>SUM(N197:N200)</f>
      </c>
      <c r="O201" s="77">
        <f t="shared" si="24"/>
      </c>
      <c r="P201" s="76">
        <f>SUM(P197:P200)</f>
      </c>
      <c r="Q201" s="77">
        <f t="shared" si="0"/>
      </c>
      <c r="R201" s="91">
        <f>SUM(R197:R200)</f>
      </c>
      <c r="S201" s="76">
        <f>SUM(S197:S200)</f>
      </c>
      <c r="T201" s="79">
        <f t="shared" si="12"/>
      </c>
      <c r="U201" s="76">
        <f t="shared" si="8"/>
      </c>
      <c r="V201" s="79">
        <f t="shared" si="20"/>
      </c>
      <c r="W201" s="91">
        <f>SUM(W197:W200)</f>
      </c>
      <c r="X201" s="79">
        <f t="shared" si="16"/>
      </c>
      <c r="Y201" s="79">
        <f t="shared" si="248"/>
      </c>
      <c r="Z201" s="76">
        <f t="shared" si="100"/>
      </c>
      <c r="AA201" s="76">
        <f t="shared" si="2"/>
      </c>
      <c r="AB201" s="80">
        <f t="shared" si="4"/>
      </c>
      <c r="AC201" s="77">
        <f t="shared" si="14"/>
      </c>
      <c r="AD201" s="77">
        <f t="shared" si="10"/>
      </c>
      <c r="AE201" s="77">
        <f t="shared" si="22"/>
      </c>
      <c r="AF201" s="82">
        <f t="shared" si="18"/>
      </c>
      <c r="AG201" s="77">
        <f t="shared" si="102"/>
      </c>
      <c r="AH201" s="77">
        <f t="shared" si="26"/>
      </c>
      <c r="AI201" s="77">
        <f t="shared" si="6"/>
      </c>
      <c r="AJ201" s="78">
        <f>AVERAGE(AJ197:AJ200)</f>
      </c>
      <c r="AK201" s="76">
        <f>SUM(AK197:AK200)</f>
      </c>
      <c r="AL201" s="76">
        <f>SUM(AL197:AL200)</f>
      </c>
      <c r="AM201" s="76">
        <f>SUM(AM197:AM200)</f>
      </c>
      <c r="AN201" s="76">
        <f>SUM(AN197:AN200)</f>
      </c>
      <c r="AO201" s="76">
        <f>SUM(AO197:AO200)</f>
      </c>
      <c r="AP201" s="76">
        <f>SUM(AP197:AP200)</f>
      </c>
      <c r="AQ201" s="76">
        <f>SUM(AQ197:AQ200)</f>
      </c>
      <c r="AR201" s="76">
        <f>SUM(AR197:AR200)</f>
      </c>
      <c r="AS201" s="76">
        <f>SUM(AS197:AS200)</f>
      </c>
      <c r="AT201" s="76">
        <f>SUM(AT197:AT200)</f>
      </c>
      <c r="AU201" s="76">
        <f>SUM(AU197:AU200)</f>
      </c>
      <c r="AV201" s="39"/>
      <c r="AW201" s="48"/>
      <c r="AX201" s="49">
        <f>SUM(AX197:AX200)</f>
      </c>
    </row>
    <row hidden="true" r="202">
      <c r="A202" s="74"/>
      <c r="B202" s="84" t="s">
        <v>84</v>
      </c>
      <c r="C202" s="84"/>
      <c r="D202" s="84"/>
      <c r="E202" s="84"/>
      <c r="F202" s="85">
        <f>F191+F196+F201</f>
      </c>
      <c r="G202" s="85">
        <f>G191+G196+G201</f>
      </c>
      <c r="H202" s="85">
        <f>H191+H196+H201</f>
      </c>
      <c r="I202" s="85">
        <f>I191+I196+I201</f>
      </c>
      <c r="J202" s="85">
        <f>J191+J196+J201</f>
      </c>
      <c r="K202" s="85">
        <f>K191+K196+K201</f>
      </c>
      <c r="L202" s="85">
        <f>L191+L196+L201</f>
      </c>
      <c r="M202" s="85">
        <f>M191+M196+M201</f>
      </c>
      <c r="N202" s="85">
        <f>N191+N196+N201</f>
      </c>
      <c r="O202" s="86">
        <f t="shared" si="24"/>
      </c>
      <c r="P202" s="85">
        <f>P191+P196+P201</f>
      </c>
      <c r="Q202" s="86">
        <f t="shared" si="0"/>
      </c>
      <c r="R202" s="85">
        <f>R191+R196+R201</f>
      </c>
      <c r="S202" s="85">
        <f>S191+S196+S201</f>
      </c>
      <c r="T202" s="85">
        <f t="shared" si="12"/>
      </c>
      <c r="U202" s="85">
        <f t="shared" si="8"/>
      </c>
      <c r="V202" s="88">
        <f t="shared" si="20"/>
      </c>
      <c r="W202" s="84">
        <f>W191+W196+W201</f>
      </c>
      <c r="X202" s="88">
        <f t="shared" si="16"/>
      </c>
      <c r="Y202" s="88">
        <f t="shared" si="248"/>
      </c>
      <c r="Z202" s="85">
        <f t="shared" si="100"/>
      </c>
      <c r="AA202" s="85">
        <f t="shared" si="2"/>
      </c>
      <c r="AB202" s="89">
        <f t="shared" si="4"/>
      </c>
      <c r="AC202" s="86">
        <f t="shared" si="14"/>
      </c>
      <c r="AD202" s="86">
        <f t="shared" si="10"/>
      </c>
      <c r="AE202" s="86">
        <f t="shared" si="22"/>
      </c>
      <c r="AF202" s="90">
        <f t="shared" si="18"/>
      </c>
      <c r="AG202" s="86">
        <f t="shared" si="102"/>
      </c>
      <c r="AH202" s="86">
        <f t="shared" si="26"/>
      </c>
      <c r="AI202" s="86">
        <f t="shared" si="6"/>
      </c>
      <c r="AJ202" s="85">
        <f>AJ191+AJ196+AJ201</f>
      </c>
      <c r="AK202" s="85">
        <f>AK191+AK196+AK201</f>
      </c>
      <c r="AL202" s="85">
        <f>AL191+AL196+AL201</f>
      </c>
      <c r="AM202" s="85">
        <f>AM191+AM196+AM201</f>
      </c>
      <c r="AN202" s="85">
        <f>AN191+AN196+AN201</f>
      </c>
      <c r="AO202" s="85">
        <f>AO191+AO196+AO201</f>
      </c>
      <c r="AP202" s="85">
        <f>AP191+AP196+AP201</f>
      </c>
      <c r="AQ202" s="85">
        <f>AQ191+AQ196+AQ201</f>
      </c>
      <c r="AR202" s="85">
        <f>AR191+AR196+AR201</f>
      </c>
      <c r="AS202" s="85">
        <f>AS191+AS196+AS201</f>
      </c>
      <c r="AT202" s="85">
        <f>AT191+AT196+AT201</f>
      </c>
      <c r="AU202" s="85">
        <f>AU191+AU196+AU201</f>
      </c>
      <c r="AV202" s="39"/>
      <c r="AW202" s="85">
        <f>AW191+AW196+AW201</f>
      </c>
      <c r="AX202" s="85">
        <f>AX191+AX196+AX201</f>
      </c>
    </row>
    <row hidden="true" r="203">
      <c r="A203" s="62">
        <v>46306</v>
      </c>
      <c r="B203" s="73" t="s">
        <v>90</v>
      </c>
      <c r="C203" s="41" t="s">
        <v>60</v>
      </c>
      <c r="D203" s="41" t="s">
        <v>74</v>
      </c>
      <c r="E203" s="28" t="s">
        <v>62</v>
      </c>
      <c r="F203" s="63">
        <f t="shared" ref="F203:F206" si="66">G203+H203+I203</f>
      </c>
      <c r="G203" s="81">
        <v>1500</v>
      </c>
      <c r="H203" s="81">
        <v>1500</v>
      </c>
      <c r="I203" s="64">
        <v>0</v>
      </c>
      <c r="J203" s="65">
        <v>0</v>
      </c>
      <c r="K203" s="66">
        <v>0</v>
      </c>
      <c r="L203" s="65">
        <v>5</v>
      </c>
      <c r="M203" s="65">
        <v>9716.81</v>
      </c>
      <c r="N203" s="67">
        <v>3</v>
      </c>
      <c r="O203" s="68">
        <f t="shared" si="24"/>
      </c>
      <c r="P203" s="67">
        <v>1</v>
      </c>
      <c r="Q203" s="68">
        <f t="shared" si="0"/>
      </c>
      <c r="R203" s="69">
        <f t="shared" ref="R203:R206" si="142">J203+L203</f>
      </c>
      <c r="S203" s="70">
        <f t="shared" ref="S203:S206" si="214">K203+M203</f>
      </c>
      <c r="T203" s="63">
        <f t="shared" si="12"/>
      </c>
      <c r="U203" s="63">
        <f t="shared" si="8"/>
      </c>
      <c r="V203" s="71">
        <f t="shared" si="20"/>
      </c>
      <c r="W203" s="67">
        <v>5</v>
      </c>
      <c r="X203" s="71">
        <f t="shared" si="16"/>
      </c>
      <c r="Y203" s="71">
        <f t="shared" si="248"/>
      </c>
      <c r="Z203" s="63">
        <f t="shared" si="100"/>
      </c>
      <c r="AA203" s="63">
        <f t="shared" si="2"/>
      </c>
      <c r="AB203" s="63">
        <f t="shared" si="4"/>
      </c>
      <c r="AC203" s="68">
        <f t="shared" si="14"/>
      </c>
      <c r="AD203" s="68">
        <f t="shared" si="10"/>
      </c>
      <c r="AE203" s="68">
        <f t="shared" si="22"/>
      </c>
      <c r="AF203" s="68">
        <f t="shared" si="18"/>
      </c>
      <c r="AG203" s="68">
        <f t="shared" si="102"/>
      </c>
      <c r="AH203" s="68">
        <f t="shared" si="26"/>
      </c>
      <c r="AI203" s="68">
        <f t="shared" si="6"/>
      </c>
      <c r="AJ203" s="67">
        <v>83</v>
      </c>
      <c r="AK203" s="72">
        <v>13254</v>
      </c>
      <c r="AL203" s="72">
        <v>306</v>
      </c>
      <c r="AM203" s="72">
        <v>371</v>
      </c>
      <c r="AN203" s="72">
        <v>68</v>
      </c>
      <c r="AO203" s="73">
        <v>38</v>
      </c>
      <c r="AP203" s="73">
        <v>72</v>
      </c>
      <c r="AQ203" s="73">
        <v>65</v>
      </c>
      <c r="AR203" s="73">
        <v>5</v>
      </c>
      <c r="AS203" s="73">
        <v>6</v>
      </c>
      <c r="AT203" s="72">
        <v>1</v>
      </c>
      <c r="AU203" s="72">
        <v>1</v>
      </c>
      <c r="AV203" s="39"/>
      <c r="AW203" s="40"/>
      <c r="AX203" s="41">
        <f t="shared" ref="AX203:AX206" si="288">COUNT(AU203)</f>
      </c>
    </row>
    <row hidden="true" r="204">
      <c r="A204" s="62"/>
      <c r="B204" s="73" t="s">
        <v>90</v>
      </c>
      <c r="C204" s="41" t="s">
        <v>60</v>
      </c>
      <c r="D204" s="41" t="s">
        <v>74</v>
      </c>
      <c r="E204" s="28" t="s">
        <v>63</v>
      </c>
      <c r="F204" s="63">
        <f t="shared" si="66"/>
      </c>
      <c r="G204" s="81">
        <v>1487.41</v>
      </c>
      <c r="H204" s="81">
        <v>1500</v>
      </c>
      <c r="I204" s="64">
        <v>0</v>
      </c>
      <c r="J204" s="65">
        <v>2</v>
      </c>
      <c r="K204" s="65">
        <v>3205.6499999999996</v>
      </c>
      <c r="L204" s="65">
        <v>2</v>
      </c>
      <c r="M204" s="65">
        <v>4746.200000000001</v>
      </c>
      <c r="N204" s="67">
        <v>0</v>
      </c>
      <c r="O204" s="68">
        <f t="shared" si="24"/>
      </c>
      <c r="P204" s="67">
        <v>1</v>
      </c>
      <c r="Q204" s="68">
        <f t="shared" si="0"/>
      </c>
      <c r="R204" s="69">
        <f t="shared" si="142"/>
      </c>
      <c r="S204" s="70">
        <f t="shared" si="214"/>
      </c>
      <c r="T204" s="63">
        <f t="shared" si="12"/>
      </c>
      <c r="U204" s="63">
        <f t="shared" si="8"/>
      </c>
      <c r="V204" s="71">
        <f t="shared" si="20"/>
      </c>
      <c r="W204" s="67">
        <v>4</v>
      </c>
      <c r="X204" s="71">
        <f t="shared" si="16"/>
      </c>
      <c r="Y204" s="71">
        <f t="shared" si="248"/>
      </c>
      <c r="Z204" s="63">
        <f t="shared" si="100"/>
      </c>
      <c r="AA204" s="63">
        <f t="shared" si="2"/>
      </c>
      <c r="AB204" s="63">
        <f t="shared" si="4"/>
      </c>
      <c r="AC204" s="68">
        <f t="shared" si="14"/>
      </c>
      <c r="AD204" s="68">
        <f t="shared" si="10"/>
      </c>
      <c r="AE204" s="68">
        <f t="shared" si="22"/>
      </c>
      <c r="AF204" s="68">
        <f t="shared" si="18"/>
      </c>
      <c r="AG204" s="68">
        <f t="shared" si="102"/>
      </c>
      <c r="AH204" s="68">
        <f t="shared" si="26"/>
      </c>
      <c r="AI204" s="68">
        <f t="shared" si="6"/>
      </c>
      <c r="AJ204" s="67">
        <v>90</v>
      </c>
      <c r="AK204" s="72">
        <v>11225</v>
      </c>
      <c r="AL204" s="72">
        <v>241</v>
      </c>
      <c r="AM204" s="72">
        <v>241</v>
      </c>
      <c r="AN204" s="72">
        <v>69</v>
      </c>
      <c r="AO204" s="73">
        <v>23</v>
      </c>
      <c r="AP204" s="67">
        <v>65</v>
      </c>
      <c r="AQ204" s="73">
        <v>51</v>
      </c>
      <c r="AR204" s="73">
        <v>6</v>
      </c>
      <c r="AS204" s="67">
        <v>3</v>
      </c>
      <c r="AT204" s="67">
        <v>1</v>
      </c>
      <c r="AU204" s="67">
        <v>7</v>
      </c>
      <c r="AV204" s="39"/>
      <c r="AW204" s="40"/>
      <c r="AX204" s="41">
        <f t="shared" si="288"/>
      </c>
    </row>
    <row hidden="true" r="205">
      <c r="A205" s="62"/>
      <c r="B205" s="73" t="s">
        <v>90</v>
      </c>
      <c r="C205" s="41" t="s">
        <v>60</v>
      </c>
      <c r="D205" s="41" t="s">
        <v>74</v>
      </c>
      <c r="E205" s="28" t="s">
        <v>64</v>
      </c>
      <c r="F205" s="63">
        <f t="shared" si="66"/>
      </c>
      <c r="G205" s="81">
        <v>1379.85</v>
      </c>
      <c r="H205" s="81">
        <v>1500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7">
        <v>0</v>
      </c>
      <c r="O205" s="68">
        <f t="shared" si="24"/>
      </c>
      <c r="P205" s="67">
        <v>0</v>
      </c>
      <c r="Q205" s="68">
        <f t="shared" si="0"/>
      </c>
      <c r="R205" s="69">
        <f t="shared" si="142"/>
      </c>
      <c r="S205" s="70">
        <f t="shared" si="214"/>
      </c>
      <c r="T205" s="63">
        <f t="shared" si="12"/>
      </c>
      <c r="U205" s="63">
        <f t="shared" si="8"/>
      </c>
      <c r="V205" s="71">
        <f t="shared" si="20"/>
      </c>
      <c r="W205" s="67">
        <v>0</v>
      </c>
      <c r="X205" s="71">
        <f t="shared" si="16"/>
      </c>
      <c r="Y205" s="71">
        <f t="shared" si="248"/>
      </c>
      <c r="Z205" s="63">
        <f t="shared" si="100"/>
      </c>
      <c r="AA205" s="63">
        <f t="shared" si="2"/>
      </c>
      <c r="AB205" s="63">
        <f t="shared" si="4"/>
      </c>
      <c r="AC205" s="68">
        <f t="shared" si="14"/>
      </c>
      <c r="AD205" s="68">
        <f t="shared" si="10"/>
      </c>
      <c r="AE205" s="68">
        <f t="shared" si="22"/>
      </c>
      <c r="AF205" s="68">
        <f t="shared" si="18"/>
      </c>
      <c r="AG205" s="68">
        <f t="shared" si="102"/>
      </c>
      <c r="AH205" s="68">
        <f t="shared" si="26"/>
      </c>
      <c r="AI205" s="68">
        <f t="shared" si="6"/>
      </c>
      <c r="AJ205" s="67">
        <v>84</v>
      </c>
      <c r="AK205" s="72">
        <v>14285</v>
      </c>
      <c r="AL205" s="72">
        <v>340</v>
      </c>
      <c r="AM205" s="72">
        <v>482</v>
      </c>
      <c r="AN205" s="72">
        <v>64</v>
      </c>
      <c r="AO205" s="73">
        <v>18</v>
      </c>
      <c r="AP205" s="72">
        <v>101</v>
      </c>
      <c r="AQ205" s="41">
        <v>80</v>
      </c>
      <c r="AR205" s="73">
        <v>2</v>
      </c>
      <c r="AS205" s="67">
        <v>8</v>
      </c>
      <c r="AT205" s="67">
        <v>1</v>
      </c>
      <c r="AU205" s="67">
        <v>10</v>
      </c>
      <c r="AV205" s="39"/>
      <c r="AW205" s="40"/>
      <c r="AX205" s="41">
        <f t="shared" si="288"/>
      </c>
    </row>
    <row hidden="true" r="206">
      <c r="A206" s="62"/>
      <c r="B206" s="73" t="s">
        <v>90</v>
      </c>
      <c r="C206" s="41" t="s">
        <v>60</v>
      </c>
      <c r="D206" s="41" t="s">
        <v>74</v>
      </c>
      <c r="E206" s="41" t="s">
        <v>65</v>
      </c>
      <c r="F206" s="63">
        <f t="shared" si="66"/>
      </c>
      <c r="G206" s="81">
        <v>900.87</v>
      </c>
      <c r="H206" s="81">
        <v>1875.01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7">
        <v>0</v>
      </c>
      <c r="O206" s="68">
        <f t="shared" si="24"/>
      </c>
      <c r="P206" s="67">
        <v>0</v>
      </c>
      <c r="Q206" s="68">
        <f t="shared" si="0"/>
      </c>
      <c r="R206" s="69">
        <f t="shared" si="142"/>
      </c>
      <c r="S206" s="70">
        <f t="shared" si="214"/>
      </c>
      <c r="T206" s="63">
        <f t="shared" si="12"/>
      </c>
      <c r="U206" s="63">
        <f t="shared" si="8"/>
      </c>
      <c r="V206" s="71">
        <f t="shared" si="20"/>
      </c>
      <c r="W206" s="67">
        <v>0</v>
      </c>
      <c r="X206" s="71">
        <f t="shared" si="16"/>
      </c>
      <c r="Y206" s="71">
        <f t="shared" si="248"/>
      </c>
      <c r="Z206" s="63">
        <f t="shared" si="100"/>
      </c>
      <c r="AA206" s="63">
        <f t="shared" si="2"/>
      </c>
      <c r="AB206" s="63">
        <f t="shared" si="4"/>
      </c>
      <c r="AC206" s="68">
        <f t="shared" si="14"/>
      </c>
      <c r="AD206" s="68">
        <f t="shared" si="10"/>
      </c>
      <c r="AE206" s="68">
        <f t="shared" si="22"/>
      </c>
      <c r="AF206" s="68">
        <f t="shared" si="18"/>
      </c>
      <c r="AG206" s="68">
        <f t="shared" si="102"/>
      </c>
      <c r="AH206" s="68">
        <f t="shared" si="26"/>
      </c>
      <c r="AI206" s="68">
        <f t="shared" si="6"/>
      </c>
      <c r="AJ206" s="67">
        <v>74</v>
      </c>
      <c r="AK206" s="72">
        <v>13612</v>
      </c>
      <c r="AL206" s="72">
        <v>270</v>
      </c>
      <c r="AM206" s="72">
        <v>353</v>
      </c>
      <c r="AN206" s="72">
        <v>67</v>
      </c>
      <c r="AO206" s="73">
        <v>23</v>
      </c>
      <c r="AP206" s="72">
        <v>65</v>
      </c>
      <c r="AQ206" s="41">
        <v>65</v>
      </c>
      <c r="AR206" s="73">
        <v>0</v>
      </c>
      <c r="AS206" s="67">
        <v>3</v>
      </c>
      <c r="AT206" s="67">
        <v>0</v>
      </c>
      <c r="AU206" s="67">
        <v>5</v>
      </c>
      <c r="AV206" s="39"/>
      <c r="AW206" s="40"/>
      <c r="AX206" s="41">
        <f t="shared" si="288"/>
      </c>
    </row>
    <row hidden="true" r="207">
      <c r="A207" s="62"/>
      <c r="B207" s="75" t="s">
        <v>66</v>
      </c>
      <c r="C207" s="75"/>
      <c r="D207" s="75"/>
      <c r="E207" s="75"/>
      <c r="F207" s="76">
        <f>SUM(F203:F206)</f>
      </c>
      <c r="G207" s="76">
        <f>SUM(G203:G206)</f>
      </c>
      <c r="H207" s="76">
        <f>SUM(H203:H206)</f>
      </c>
      <c r="I207" s="76">
        <f>SUM(I203:I206)</f>
      </c>
      <c r="J207" s="76">
        <f>SUM(J203:J206)</f>
      </c>
      <c r="K207" s="76">
        <f>SUM(K203:K206)</f>
      </c>
      <c r="L207" s="76">
        <f>SUM(L203:L206)</f>
      </c>
      <c r="M207" s="76">
        <f>SUM(M203:M206)</f>
      </c>
      <c r="N207" s="76">
        <f>SUM(N203:N206)</f>
      </c>
      <c r="O207" s="77">
        <f t="shared" si="24"/>
      </c>
      <c r="P207" s="76">
        <f>SUM(P203:P206)</f>
      </c>
      <c r="Q207" s="77">
        <f t="shared" si="0"/>
      </c>
      <c r="R207" s="76">
        <f>SUM(R203:R206)</f>
      </c>
      <c r="S207" s="76">
        <f>SUM(S203:S206)</f>
      </c>
      <c r="T207" s="76">
        <f t="shared" si="12"/>
      </c>
      <c r="U207" s="76">
        <f t="shared" si="8"/>
      </c>
      <c r="V207" s="76">
        <f t="shared" si="20"/>
      </c>
      <c r="W207" s="91">
        <f>SUM(W203:W206)</f>
      </c>
      <c r="X207" s="79">
        <f t="shared" si="16"/>
      </c>
      <c r="Y207" s="79">
        <f t="shared" si="248"/>
      </c>
      <c r="Z207" s="76">
        <f t="shared" si="100"/>
      </c>
      <c r="AA207" s="76">
        <f t="shared" si="2"/>
      </c>
      <c r="AB207" s="80">
        <f t="shared" si="4"/>
      </c>
      <c r="AC207" s="77">
        <f t="shared" si="14"/>
      </c>
      <c r="AD207" s="77">
        <f t="shared" si="10"/>
      </c>
      <c r="AE207" s="77">
        <f t="shared" si="22"/>
      </c>
      <c r="AF207" s="77">
        <f t="shared" si="18"/>
      </c>
      <c r="AG207" s="77">
        <f t="shared" si="102"/>
      </c>
      <c r="AH207" s="77">
        <f t="shared" si="26"/>
      </c>
      <c r="AI207" s="77">
        <f t="shared" si="6"/>
      </c>
      <c r="AJ207" s="78">
        <f>AVERAGE(AJ203:AJ206)</f>
      </c>
      <c r="AK207" s="76">
        <f>SUM(AK203:AK206)</f>
      </c>
      <c r="AL207" s="76">
        <f>SUM(AL203:AL206)</f>
      </c>
      <c r="AM207" s="76">
        <f>SUM(AM203:AM206)</f>
      </c>
      <c r="AN207" s="76">
        <f>SUM(AN203:AN206)</f>
      </c>
      <c r="AO207" s="76">
        <f>SUM(AO203:AO206)</f>
      </c>
      <c r="AP207" s="76">
        <f>SUM(AP203:AP206)</f>
      </c>
      <c r="AQ207" s="76">
        <f>SUM(AQ203:AQ206)</f>
      </c>
      <c r="AR207" s="76">
        <f>SUM(AR203:AR206)</f>
      </c>
      <c r="AS207" s="76">
        <f>SUM(AS203:AS206)</f>
      </c>
      <c r="AT207" s="76">
        <f>SUM(AT203:AT206)</f>
      </c>
      <c r="AU207" s="76">
        <f>SUM(AU203:AU206)</f>
      </c>
      <c r="AV207" s="39"/>
      <c r="AW207" s="48"/>
      <c r="AX207" s="76">
        <f>SUM(AX203:AX206)</f>
      </c>
    </row>
    <row hidden="true" r="208">
      <c r="A208" s="62"/>
      <c r="B208" s="73" t="s">
        <v>90</v>
      </c>
      <c r="C208" s="41" t="s">
        <v>60</v>
      </c>
      <c r="D208" s="73" t="s">
        <v>61</v>
      </c>
      <c r="E208" s="41" t="s">
        <v>68</v>
      </c>
      <c r="F208" s="63">
        <f t="shared" ref="F208:F211" si="67">G208+H208+I208</f>
      </c>
      <c r="G208" s="81">
        <v>563.94</v>
      </c>
      <c r="H208" s="81">
        <v>2965.99</v>
      </c>
      <c r="I208" s="64">
        <v>0</v>
      </c>
      <c r="J208" s="65">
        <v>0</v>
      </c>
      <c r="K208" s="65">
        <v>0</v>
      </c>
      <c r="L208" s="65">
        <v>0</v>
      </c>
      <c r="M208" s="65">
        <v>0</v>
      </c>
      <c r="N208" s="67">
        <v>0</v>
      </c>
      <c r="O208" s="68">
        <f t="shared" si="24"/>
      </c>
      <c r="P208" s="67">
        <v>0</v>
      </c>
      <c r="Q208" s="68">
        <f t="shared" si="0"/>
      </c>
      <c r="R208" s="69">
        <f t="shared" ref="R208:R211" si="143">J208+L208</f>
      </c>
      <c r="S208" s="70">
        <f t="shared" ref="S208:S211" si="215">K208+M208</f>
      </c>
      <c r="T208" s="63">
        <f t="shared" si="12"/>
      </c>
      <c r="U208" s="63">
        <f t="shared" si="8"/>
      </c>
      <c r="V208" s="71">
        <f t="shared" si="20"/>
      </c>
      <c r="W208" s="67">
        <v>0</v>
      </c>
      <c r="X208" s="71">
        <f t="shared" si="16"/>
      </c>
      <c r="Y208" s="71">
        <f t="shared" si="248"/>
      </c>
      <c r="Z208" s="63">
        <f t="shared" si="100"/>
      </c>
      <c r="AA208" s="63">
        <f t="shared" si="2"/>
      </c>
      <c r="AB208" s="63">
        <f t="shared" si="4"/>
      </c>
      <c r="AC208" s="68">
        <f t="shared" si="14"/>
      </c>
      <c r="AD208" s="68">
        <f t="shared" si="10"/>
      </c>
      <c r="AE208" s="68">
        <f t="shared" si="22"/>
      </c>
      <c r="AF208" s="68">
        <f t="shared" si="18"/>
      </c>
      <c r="AG208" s="68">
        <f t="shared" si="102"/>
      </c>
      <c r="AH208" s="68">
        <f t="shared" si="26"/>
      </c>
      <c r="AI208" s="68">
        <f t="shared" si="6"/>
      </c>
      <c r="AJ208" s="67">
        <v>77</v>
      </c>
      <c r="AK208" s="72">
        <v>17603</v>
      </c>
      <c r="AL208" s="72">
        <v>272</v>
      </c>
      <c r="AM208" s="72">
        <v>312</v>
      </c>
      <c r="AN208" s="72">
        <v>90</v>
      </c>
      <c r="AO208" s="73">
        <v>11</v>
      </c>
      <c r="AP208" s="72">
        <v>32</v>
      </c>
      <c r="AQ208" s="41">
        <v>69</v>
      </c>
      <c r="AR208" s="73">
        <v>0</v>
      </c>
      <c r="AS208" s="73">
        <v>4</v>
      </c>
      <c r="AT208" s="67">
        <v>0</v>
      </c>
      <c r="AU208" s="67">
        <v>19</v>
      </c>
      <c r="AV208" s="39"/>
      <c r="AW208" s="40"/>
      <c r="AX208" s="41">
        <f t="shared" ref="AX208:AX211" si="289">COUNT(AU208)</f>
      </c>
    </row>
    <row hidden="true" r="209">
      <c r="A209" s="62"/>
      <c r="B209" s="73" t="s">
        <v>90</v>
      </c>
      <c r="C209" s="41" t="s">
        <v>60</v>
      </c>
      <c r="D209" s="73" t="s">
        <v>61</v>
      </c>
      <c r="E209" s="41" t="s">
        <v>69</v>
      </c>
      <c r="F209" s="63">
        <f t="shared" si="67"/>
      </c>
      <c r="G209" s="81">
        <v>947.12</v>
      </c>
      <c r="H209" s="81">
        <v>3054.35</v>
      </c>
      <c r="I209" s="64">
        <v>0</v>
      </c>
      <c r="J209" s="65">
        <v>1</v>
      </c>
      <c r="K209" s="65">
        <v>1553.25</v>
      </c>
      <c r="L209" s="65">
        <v>0</v>
      </c>
      <c r="M209" s="65">
        <v>0</v>
      </c>
      <c r="N209" s="67">
        <v>0</v>
      </c>
      <c r="O209" s="68">
        <f t="shared" si="24"/>
      </c>
      <c r="P209" s="67">
        <v>0</v>
      </c>
      <c r="Q209" s="68">
        <f t="shared" si="0"/>
      </c>
      <c r="R209" s="69">
        <f t="shared" si="143"/>
      </c>
      <c r="S209" s="70">
        <f t="shared" si="215"/>
      </c>
      <c r="T209" s="63">
        <f t="shared" si="12"/>
      </c>
      <c r="U209" s="63">
        <f t="shared" si="8"/>
      </c>
      <c r="V209" s="71">
        <f t="shared" si="20"/>
      </c>
      <c r="W209" s="67">
        <v>1</v>
      </c>
      <c r="X209" s="71">
        <f t="shared" si="16"/>
      </c>
      <c r="Y209" s="71">
        <f t="shared" si="248"/>
      </c>
      <c r="Z209" s="63">
        <f t="shared" si="100"/>
      </c>
      <c r="AA209" s="63">
        <f t="shared" si="2"/>
      </c>
      <c r="AB209" s="63">
        <f t="shared" si="4"/>
      </c>
      <c r="AC209" s="68">
        <f t="shared" si="14"/>
      </c>
      <c r="AD209" s="68">
        <f t="shared" si="10"/>
      </c>
      <c r="AE209" s="68">
        <f t="shared" si="22"/>
      </c>
      <c r="AF209" s="68">
        <f t="shared" si="18"/>
      </c>
      <c r="AG209" s="68">
        <f t="shared" si="102"/>
      </c>
      <c r="AH209" s="68">
        <f t="shared" si="26"/>
      </c>
      <c r="AI209" s="68">
        <f t="shared" si="6"/>
      </c>
      <c r="AJ209" s="67">
        <v>55</v>
      </c>
      <c r="AK209" s="72">
        <v>15580</v>
      </c>
      <c r="AL209" s="72">
        <v>368</v>
      </c>
      <c r="AM209" s="72">
        <v>491</v>
      </c>
      <c r="AN209" s="72">
        <v>86</v>
      </c>
      <c r="AO209" s="73">
        <v>33</v>
      </c>
      <c r="AP209" s="73">
        <v>106</v>
      </c>
      <c r="AQ209" s="72">
        <v>81</v>
      </c>
      <c r="AR209" s="73">
        <v>2</v>
      </c>
      <c r="AS209" s="41">
        <v>6</v>
      </c>
      <c r="AT209" s="73">
        <v>2</v>
      </c>
      <c r="AU209" s="73">
        <v>18</v>
      </c>
      <c r="AV209" s="39"/>
      <c r="AW209" s="40"/>
      <c r="AX209" s="41">
        <f t="shared" si="289"/>
      </c>
    </row>
    <row hidden="true" r="210">
      <c r="A210" s="62"/>
      <c r="B210" s="73" t="s">
        <v>90</v>
      </c>
      <c r="C210" s="41" t="s">
        <v>60</v>
      </c>
      <c r="D210" s="73" t="s">
        <v>61</v>
      </c>
      <c r="E210" s="41" t="s">
        <v>70</v>
      </c>
      <c r="F210" s="63">
        <f t="shared" si="67"/>
      </c>
      <c r="G210" s="81">
        <v>879.66</v>
      </c>
      <c r="H210" s="81">
        <v>2266.34</v>
      </c>
      <c r="I210" s="64">
        <v>0</v>
      </c>
      <c r="J210" s="65">
        <v>1</v>
      </c>
      <c r="K210" s="65">
        <v>1065.33</v>
      </c>
      <c r="L210" s="65">
        <v>3</v>
      </c>
      <c r="M210" s="65">
        <v>5682.24</v>
      </c>
      <c r="N210" s="67">
        <v>3</v>
      </c>
      <c r="O210" s="68">
        <f t="shared" si="24"/>
      </c>
      <c r="P210" s="67">
        <v>0</v>
      </c>
      <c r="Q210" s="68">
        <f t="shared" si="0"/>
      </c>
      <c r="R210" s="69">
        <f t="shared" si="143"/>
      </c>
      <c r="S210" s="70">
        <f t="shared" si="215"/>
      </c>
      <c r="T210" s="63">
        <f t="shared" si="12"/>
      </c>
      <c r="U210" s="63">
        <f t="shared" si="8"/>
      </c>
      <c r="V210" s="71">
        <f t="shared" si="20"/>
      </c>
      <c r="W210" s="67">
        <v>1</v>
      </c>
      <c r="X210" s="71">
        <f t="shared" si="16"/>
      </c>
      <c r="Y210" s="71">
        <f t="shared" si="248"/>
      </c>
      <c r="Z210" s="63">
        <f t="shared" si="100"/>
      </c>
      <c r="AA210" s="63">
        <f t="shared" si="2"/>
      </c>
      <c r="AB210" s="63">
        <f t="shared" si="4"/>
      </c>
      <c r="AC210" s="68">
        <f t="shared" si="14"/>
      </c>
      <c r="AD210" s="68">
        <f t="shared" si="10"/>
      </c>
      <c r="AE210" s="68">
        <f t="shared" si="22"/>
      </c>
      <c r="AF210" s="68">
        <f t="shared" si="18"/>
      </c>
      <c r="AG210" s="68">
        <f t="shared" si="102"/>
      </c>
      <c r="AH210" s="68">
        <f t="shared" si="26"/>
      </c>
      <c r="AI210" s="68">
        <f t="shared" si="6"/>
      </c>
      <c r="AJ210" s="67">
        <v>46</v>
      </c>
      <c r="AK210" s="72">
        <v>13030</v>
      </c>
      <c r="AL210" s="72">
        <v>342</v>
      </c>
      <c r="AM210" s="72">
        <v>485</v>
      </c>
      <c r="AN210" s="72">
        <v>79</v>
      </c>
      <c r="AO210" s="73">
        <v>20</v>
      </c>
      <c r="AP210" s="72">
        <v>52</v>
      </c>
      <c r="AQ210" s="73">
        <v>61</v>
      </c>
      <c r="AR210" s="73">
        <v>4</v>
      </c>
      <c r="AS210" s="72">
        <v>5</v>
      </c>
      <c r="AT210" s="72">
        <v>0</v>
      </c>
      <c r="AU210" s="72">
        <v>7</v>
      </c>
      <c r="AV210" s="39"/>
      <c r="AW210" s="40"/>
      <c r="AX210" s="41">
        <f t="shared" si="289"/>
      </c>
    </row>
    <row hidden="true" r="211">
      <c r="A211" s="62"/>
      <c r="B211" s="73" t="s">
        <v>87</v>
      </c>
      <c r="C211" s="41" t="s">
        <v>72</v>
      </c>
      <c r="D211" s="73" t="s">
        <v>61</v>
      </c>
      <c r="E211" s="41" t="s">
        <v>73</v>
      </c>
      <c r="F211" s="63">
        <f t="shared" si="67"/>
      </c>
      <c r="G211" s="81">
        <v>694.47</v>
      </c>
      <c r="H211" s="81">
        <v>2202.05</v>
      </c>
      <c r="I211" s="64">
        <v>0</v>
      </c>
      <c r="J211" s="65">
        <v>0</v>
      </c>
      <c r="K211" s="65">
        <v>0</v>
      </c>
      <c r="L211" s="65">
        <v>2</v>
      </c>
      <c r="M211" s="65">
        <v>3315.9500000000007</v>
      </c>
      <c r="N211" s="67">
        <v>0</v>
      </c>
      <c r="O211" s="68">
        <f t="shared" si="24"/>
      </c>
      <c r="P211" s="67">
        <v>0</v>
      </c>
      <c r="Q211" s="68">
        <f t="shared" si="0"/>
      </c>
      <c r="R211" s="69">
        <f t="shared" si="143"/>
      </c>
      <c r="S211" s="70">
        <f t="shared" si="215"/>
      </c>
      <c r="T211" s="63">
        <f t="shared" si="12"/>
      </c>
      <c r="U211" s="63">
        <f t="shared" si="8"/>
      </c>
      <c r="V211" s="71">
        <f t="shared" si="20"/>
      </c>
      <c r="W211" s="67">
        <v>1</v>
      </c>
      <c r="X211" s="71">
        <f t="shared" si="16"/>
      </c>
      <c r="Y211" s="71">
        <f t="shared" si="248"/>
      </c>
      <c r="Z211" s="63">
        <f t="shared" si="100"/>
      </c>
      <c r="AA211" s="63">
        <f t="shared" si="2"/>
      </c>
      <c r="AB211" s="63">
        <f t="shared" si="4"/>
      </c>
      <c r="AC211" s="68">
        <f t="shared" si="14"/>
      </c>
      <c r="AD211" s="68">
        <f t="shared" si="10"/>
      </c>
      <c r="AE211" s="68">
        <f t="shared" si="22"/>
      </c>
      <c r="AF211" s="68">
        <f t="shared" si="18"/>
      </c>
      <c r="AG211" s="68">
        <f t="shared" si="102"/>
      </c>
      <c r="AH211" s="68">
        <f t="shared" si="26"/>
      </c>
      <c r="AI211" s="68">
        <f t="shared" si="6"/>
      </c>
      <c r="AJ211" s="67">
        <v>57</v>
      </c>
      <c r="AK211" s="72">
        <v>12236</v>
      </c>
      <c r="AL211" s="72">
        <v>276</v>
      </c>
      <c r="AM211" s="67">
        <v>416</v>
      </c>
      <c r="AN211" s="67">
        <v>71</v>
      </c>
      <c r="AO211" s="73">
        <v>23</v>
      </c>
      <c r="AP211" s="67">
        <v>59</v>
      </c>
      <c r="AQ211" s="73">
        <v>65</v>
      </c>
      <c r="AR211" s="73">
        <v>4</v>
      </c>
      <c r="AS211" s="67">
        <v>1</v>
      </c>
      <c r="AT211" s="67">
        <v>2</v>
      </c>
      <c r="AU211" s="67">
        <v>5</v>
      </c>
      <c r="AV211" s="39"/>
      <c r="AW211" s="40"/>
      <c r="AX211" s="41">
        <f t="shared" si="289"/>
      </c>
    </row>
    <row hidden="true" r="212">
      <c r="A212" s="62"/>
      <c r="B212" s="75" t="s">
        <v>66</v>
      </c>
      <c r="C212" s="75"/>
      <c r="D212" s="75"/>
      <c r="E212" s="75"/>
      <c r="F212" s="76">
        <f>SUM(F208:F211)</f>
      </c>
      <c r="G212" s="76">
        <f>SUM(G208:G211)</f>
      </c>
      <c r="H212" s="76">
        <f>SUM(H208:H211)</f>
      </c>
      <c r="I212" s="76">
        <f>SUM(I208:I211)</f>
      </c>
      <c r="J212" s="76">
        <f>SUM(J208:J211)</f>
      </c>
      <c r="K212" s="76">
        <f>SUM(K208:K211)</f>
      </c>
      <c r="L212" s="76">
        <f>SUM(L208:L211)</f>
      </c>
      <c r="M212" s="76">
        <f>SUM(M208:M211)</f>
      </c>
      <c r="N212" s="76">
        <f>SUM(N208:N211)</f>
      </c>
      <c r="O212" s="77">
        <f t="shared" si="24"/>
      </c>
      <c r="P212" s="76">
        <f>SUM(P208:P211)</f>
      </c>
      <c r="Q212" s="77">
        <f t="shared" si="0"/>
      </c>
      <c r="R212" s="91">
        <f>SUM(R208:R211)</f>
      </c>
      <c r="S212" s="76">
        <f>SUM(S208:S211)</f>
      </c>
      <c r="T212" s="76">
        <f t="shared" si="12"/>
      </c>
      <c r="U212" s="76">
        <f t="shared" si="8"/>
      </c>
      <c r="V212" s="79">
        <f t="shared" si="20"/>
      </c>
      <c r="W212" s="91">
        <f>SUM(W208:W211)</f>
      </c>
      <c r="X212" s="79">
        <f t="shared" si="16"/>
      </c>
      <c r="Y212" s="79">
        <f t="shared" si="248"/>
      </c>
      <c r="Z212" s="76">
        <f t="shared" si="100"/>
      </c>
      <c r="AA212" s="76">
        <f t="shared" si="2"/>
      </c>
      <c r="AB212" s="80">
        <f t="shared" si="4"/>
      </c>
      <c r="AC212" s="77">
        <f t="shared" si="14"/>
      </c>
      <c r="AD212" s="77">
        <f t="shared" si="10"/>
      </c>
      <c r="AE212" s="77">
        <f t="shared" si="22"/>
      </c>
      <c r="AF212" s="82">
        <f t="shared" si="18"/>
      </c>
      <c r="AG212" s="77">
        <f t="shared" si="102"/>
      </c>
      <c r="AH212" s="77">
        <f t="shared" si="26"/>
      </c>
      <c r="AI212" s="77">
        <f t="shared" si="6"/>
      </c>
      <c r="AJ212" s="78">
        <f>AVERAGE(AJ208:AJ211)</f>
      </c>
      <c r="AK212" s="76">
        <f>SUM(AK208:AK211)</f>
      </c>
      <c r="AL212" s="76">
        <f>SUM(AL208:AL211)</f>
      </c>
      <c r="AM212" s="76">
        <f>SUM(AM208:AM211)</f>
      </c>
      <c r="AN212" s="76">
        <f>SUM(AN208:AN211)</f>
      </c>
      <c r="AO212" s="76">
        <f>SUM(AO208:AO211)</f>
      </c>
      <c r="AP212" s="76">
        <f>SUM(AP208:AP211)</f>
      </c>
      <c r="AQ212" s="76">
        <f>SUM(AQ208:AQ211)</f>
      </c>
      <c r="AR212" s="76">
        <f>SUM(AR208:AR211)</f>
      </c>
      <c r="AS212" s="76">
        <f>SUM(AS208:AS211)</f>
      </c>
      <c r="AT212" s="76">
        <f>SUM(AT208:AT211)</f>
      </c>
      <c r="AU212" s="76">
        <f>SUM(AU208:AU211)</f>
      </c>
      <c r="AV212" s="39"/>
      <c r="AW212" s="48"/>
      <c r="AX212" s="49">
        <f>SUM(AX208:AX211)</f>
      </c>
    </row>
    <row hidden="true" r="213">
      <c r="A213" s="62"/>
      <c r="B213" s="73" t="s">
        <v>87</v>
      </c>
      <c r="C213" s="41" t="s">
        <v>72</v>
      </c>
      <c r="D213" s="73" t="s">
        <v>85</v>
      </c>
      <c r="E213" s="41" t="s">
        <v>75</v>
      </c>
      <c r="F213" s="63">
        <f t="shared" ref="F213:F216" si="68">G213+H213+I213</f>
      </c>
      <c r="G213" s="81">
        <v>620.23</v>
      </c>
      <c r="H213" s="81">
        <v>1001.85</v>
      </c>
      <c r="I213" s="64">
        <v>0</v>
      </c>
      <c r="J213" s="64">
        <v>0</v>
      </c>
      <c r="K213" s="64">
        <v>0</v>
      </c>
      <c r="L213" s="65">
        <v>1</v>
      </c>
      <c r="M213" s="65">
        <v>1429.5600000000013</v>
      </c>
      <c r="N213" s="67">
        <v>1</v>
      </c>
      <c r="O213" s="68">
        <f t="shared" si="24"/>
      </c>
      <c r="P213" s="67">
        <v>0</v>
      </c>
      <c r="Q213" s="68">
        <f t="shared" si="0"/>
      </c>
      <c r="R213" s="83">
        <f t="shared" ref="R213:R216" si="144">J213+L213</f>
      </c>
      <c r="S213" s="70">
        <f t="shared" ref="S213:S216" si="216">K213+M213</f>
      </c>
      <c r="T213" s="63">
        <f t="shared" si="12"/>
      </c>
      <c r="U213" s="63">
        <f t="shared" si="8"/>
      </c>
      <c r="V213" s="71">
        <f t="shared" si="20"/>
      </c>
      <c r="W213" s="67">
        <v>1</v>
      </c>
      <c r="X213" s="71">
        <f t="shared" si="16"/>
      </c>
      <c r="Y213" s="71">
        <f t="shared" si="248"/>
      </c>
      <c r="Z213" s="63">
        <f t="shared" si="100"/>
      </c>
      <c r="AA213" s="63">
        <f t="shared" si="2"/>
      </c>
      <c r="AB213" s="63">
        <f t="shared" si="4"/>
      </c>
      <c r="AC213" s="68">
        <f t="shared" si="14"/>
      </c>
      <c r="AD213" s="68">
        <f t="shared" si="10"/>
      </c>
      <c r="AE213" s="68">
        <f t="shared" si="22"/>
      </c>
      <c r="AF213" s="68">
        <f t="shared" si="18"/>
      </c>
      <c r="AG213" s="68">
        <f t="shared" si="102"/>
      </c>
      <c r="AH213" s="68">
        <f t="shared" si="26"/>
      </c>
      <c r="AI213" s="68">
        <f t="shared" si="6"/>
      </c>
      <c r="AJ213" s="67">
        <v>65</v>
      </c>
      <c r="AK213" s="72">
        <v>7973</v>
      </c>
      <c r="AL213" s="72">
        <v>200</v>
      </c>
      <c r="AM213" s="72">
        <v>332</v>
      </c>
      <c r="AN213" s="72">
        <v>56</v>
      </c>
      <c r="AO213" s="73">
        <v>18</v>
      </c>
      <c r="AP213" s="72">
        <v>66</v>
      </c>
      <c r="AQ213" s="41">
        <v>46</v>
      </c>
      <c r="AR213" s="73">
        <v>1</v>
      </c>
      <c r="AS213" s="67">
        <v>4</v>
      </c>
      <c r="AT213" s="67">
        <v>0</v>
      </c>
      <c r="AU213" s="67">
        <v>1</v>
      </c>
      <c r="AV213" s="39"/>
      <c r="AW213" s="40"/>
      <c r="AX213" s="41">
        <f t="shared" ref="AX213:AX216" si="290">COUNT(AU213)</f>
      </c>
    </row>
    <row hidden="true" r="214">
      <c r="A214" s="62"/>
      <c r="B214" s="73" t="s">
        <v>87</v>
      </c>
      <c r="C214" s="41" t="s">
        <v>72</v>
      </c>
      <c r="D214" s="73" t="s">
        <v>85</v>
      </c>
      <c r="E214" s="41" t="s">
        <v>76</v>
      </c>
      <c r="F214" s="63">
        <f t="shared" si="68"/>
      </c>
      <c r="G214" s="81">
        <v>386.82</v>
      </c>
      <c r="H214" s="81">
        <v>994.26</v>
      </c>
      <c r="I214" s="64">
        <v>0</v>
      </c>
      <c r="J214" s="64">
        <v>1</v>
      </c>
      <c r="K214" s="64">
        <v>936.6999999999998</v>
      </c>
      <c r="L214" s="65">
        <v>3</v>
      </c>
      <c r="M214" s="65">
        <v>5964.0999999999985</v>
      </c>
      <c r="N214" s="67">
        <v>0</v>
      </c>
      <c r="O214" s="68">
        <f t="shared" si="24"/>
      </c>
      <c r="P214" s="67">
        <v>0</v>
      </c>
      <c r="Q214" s="68">
        <f t="shared" si="0"/>
      </c>
      <c r="R214" s="83">
        <f t="shared" si="144"/>
      </c>
      <c r="S214" s="70">
        <f t="shared" si="216"/>
      </c>
      <c r="T214" s="63">
        <f t="shared" si="12"/>
      </c>
      <c r="U214" s="63">
        <f t="shared" si="8"/>
      </c>
      <c r="V214" s="71">
        <f t="shared" si="20"/>
      </c>
      <c r="W214" s="67">
        <v>2</v>
      </c>
      <c r="X214" s="71">
        <f t="shared" si="16"/>
      </c>
      <c r="Y214" s="71">
        <f t="shared" si="248"/>
      </c>
      <c r="Z214" s="63">
        <f t="shared" si="100"/>
      </c>
      <c r="AA214" s="63">
        <f t="shared" si="2"/>
      </c>
      <c r="AB214" s="63">
        <f t="shared" si="4"/>
      </c>
      <c r="AC214" s="68">
        <f t="shared" si="14"/>
      </c>
      <c r="AD214" s="68">
        <f t="shared" si="10"/>
      </c>
      <c r="AE214" s="68">
        <f t="shared" si="22"/>
      </c>
      <c r="AF214" s="68">
        <f t="shared" si="18"/>
      </c>
      <c r="AG214" s="68">
        <f t="shared" si="102"/>
      </c>
      <c r="AH214" s="68">
        <f t="shared" si="26"/>
      </c>
      <c r="AI214" s="68">
        <f t="shared" si="6"/>
      </c>
      <c r="AJ214" s="67">
        <v>60</v>
      </c>
      <c r="AK214" s="72">
        <v>9168</v>
      </c>
      <c r="AL214" s="72">
        <v>216</v>
      </c>
      <c r="AM214" s="72">
        <v>353</v>
      </c>
      <c r="AN214" s="72">
        <v>39</v>
      </c>
      <c r="AO214" s="73">
        <v>19</v>
      </c>
      <c r="AP214" s="72">
        <v>38</v>
      </c>
      <c r="AQ214" s="41">
        <v>45</v>
      </c>
      <c r="AR214" s="73">
        <v>6</v>
      </c>
      <c r="AS214" s="67">
        <v>3</v>
      </c>
      <c r="AT214" s="67">
        <v>1</v>
      </c>
      <c r="AU214" s="67">
        <v>3</v>
      </c>
      <c r="AV214" s="39"/>
      <c r="AW214" s="40"/>
      <c r="AX214" s="41">
        <f t="shared" si="290"/>
      </c>
    </row>
    <row hidden="true" r="215">
      <c r="A215" s="62"/>
      <c r="B215" s="73" t="s">
        <v>87</v>
      </c>
      <c r="C215" s="41" t="s">
        <v>72</v>
      </c>
      <c r="D215" s="73" t="s">
        <v>85</v>
      </c>
      <c r="E215" s="41" t="s">
        <v>77</v>
      </c>
      <c r="F215" s="63">
        <f t="shared" si="68"/>
      </c>
      <c r="G215" s="81">
        <v>417.68</v>
      </c>
      <c r="H215" s="81">
        <v>1264.77</v>
      </c>
      <c r="I215" s="64">
        <v>0</v>
      </c>
      <c r="J215" s="65">
        <v>0</v>
      </c>
      <c r="K215" s="65">
        <v>0</v>
      </c>
      <c r="L215" s="65">
        <v>2</v>
      </c>
      <c r="M215" s="65">
        <v>6105.6500000000015</v>
      </c>
      <c r="N215" s="67">
        <v>0</v>
      </c>
      <c r="O215" s="68">
        <f t="shared" si="24"/>
      </c>
      <c r="P215" s="67">
        <v>0</v>
      </c>
      <c r="Q215" s="68">
        <f t="shared" si="0"/>
      </c>
      <c r="R215" s="83">
        <f t="shared" si="144"/>
      </c>
      <c r="S215" s="70">
        <f t="shared" si="216"/>
      </c>
      <c r="T215" s="63">
        <f t="shared" si="12"/>
      </c>
      <c r="U215" s="63">
        <f t="shared" si="8"/>
      </c>
      <c r="V215" s="71">
        <f t="shared" si="20"/>
      </c>
      <c r="W215" s="67">
        <v>1</v>
      </c>
      <c r="X215" s="71">
        <f t="shared" si="16"/>
      </c>
      <c r="Y215" s="71">
        <f t="shared" si="248"/>
      </c>
      <c r="Z215" s="63">
        <f t="shared" si="100"/>
      </c>
      <c r="AA215" s="63">
        <f t="shared" si="2"/>
      </c>
      <c r="AB215" s="63">
        <f t="shared" si="4"/>
      </c>
      <c r="AC215" s="68">
        <f t="shared" si="14"/>
      </c>
      <c r="AD215" s="68">
        <f t="shared" si="10"/>
      </c>
      <c r="AE215" s="68">
        <f t="shared" si="22"/>
      </c>
      <c r="AF215" s="68">
        <f t="shared" si="18"/>
      </c>
      <c r="AG215" s="68">
        <f t="shared" si="102"/>
      </c>
      <c r="AH215" s="68">
        <f t="shared" si="26"/>
      </c>
      <c r="AI215" s="68">
        <f t="shared" si="6"/>
      </c>
      <c r="AJ215" s="67">
        <v>64</v>
      </c>
      <c r="AK215" s="72">
        <v>8613</v>
      </c>
      <c r="AL215" s="72">
        <v>257</v>
      </c>
      <c r="AM215" s="72">
        <v>387</v>
      </c>
      <c r="AN215" s="72">
        <v>44</v>
      </c>
      <c r="AO215" s="73">
        <v>16</v>
      </c>
      <c r="AP215" s="72">
        <v>55</v>
      </c>
      <c r="AQ215" s="41">
        <v>56</v>
      </c>
      <c r="AR215" s="73">
        <v>3</v>
      </c>
      <c r="AS215" s="67">
        <v>5</v>
      </c>
      <c r="AT215" s="67">
        <v>0</v>
      </c>
      <c r="AU215" s="67">
        <v>5</v>
      </c>
      <c r="AV215" s="39"/>
      <c r="AW215" s="40"/>
      <c r="AX215" s="41">
        <f t="shared" si="290"/>
      </c>
    </row>
    <row hidden="true" r="216">
      <c r="A216" s="62"/>
      <c r="B216" s="73" t="s">
        <v>87</v>
      </c>
      <c r="C216" s="41" t="s">
        <v>72</v>
      </c>
      <c r="D216" s="73" t="s">
        <v>85</v>
      </c>
      <c r="E216" s="73" t="s">
        <v>78</v>
      </c>
      <c r="F216" s="63">
        <f t="shared" si="68"/>
      </c>
      <c r="G216" s="81">
        <v>554.31</v>
      </c>
      <c r="H216" s="81">
        <v>1534.02</v>
      </c>
      <c r="I216" s="64">
        <v>0</v>
      </c>
      <c r="J216" s="65">
        <v>3</v>
      </c>
      <c r="K216" s="65">
        <v>10309.75</v>
      </c>
      <c r="L216" s="65">
        <v>1</v>
      </c>
      <c r="M216" s="65">
        <v>1085.8499999999985</v>
      </c>
      <c r="N216" s="67">
        <v>1</v>
      </c>
      <c r="O216" s="68">
        <f t="shared" si="24"/>
      </c>
      <c r="P216" s="67">
        <v>3</v>
      </c>
      <c r="Q216" s="68">
        <f t="shared" si="0"/>
      </c>
      <c r="R216" s="83">
        <f t="shared" si="144"/>
      </c>
      <c r="S216" s="70">
        <f t="shared" si="216"/>
      </c>
      <c r="T216" s="63">
        <f t="shared" si="12"/>
      </c>
      <c r="U216" s="63">
        <f t="shared" si="8"/>
      </c>
      <c r="V216" s="71">
        <f t="shared" si="20"/>
      </c>
      <c r="W216" s="67">
        <v>3</v>
      </c>
      <c r="X216" s="71">
        <f t="shared" si="16"/>
      </c>
      <c r="Y216" s="71">
        <f t="shared" si="248"/>
      </c>
      <c r="Z216" s="63">
        <f t="shared" si="100"/>
      </c>
      <c r="AA216" s="63">
        <f t="shared" si="2"/>
      </c>
      <c r="AB216" s="63">
        <f t="shared" si="4"/>
      </c>
      <c r="AC216" s="68">
        <f t="shared" si="14"/>
      </c>
      <c r="AD216" s="68">
        <f t="shared" si="10"/>
      </c>
      <c r="AE216" s="68">
        <f t="shared" si="22"/>
      </c>
      <c r="AF216" s="68">
        <f t="shared" si="18"/>
      </c>
      <c r="AG216" s="68">
        <f t="shared" si="102"/>
      </c>
      <c r="AH216" s="68">
        <f t="shared" si="26"/>
      </c>
      <c r="AI216" s="68">
        <f t="shared" si="6"/>
      </c>
      <c r="AJ216" s="67">
        <v>68</v>
      </c>
      <c r="AK216" s="72">
        <v>9248</v>
      </c>
      <c r="AL216" s="72">
        <v>251</v>
      </c>
      <c r="AM216" s="72">
        <v>406</v>
      </c>
      <c r="AN216" s="72">
        <v>70</v>
      </c>
      <c r="AO216" s="73">
        <v>19</v>
      </c>
      <c r="AP216" s="72">
        <v>75</v>
      </c>
      <c r="AQ216" s="41">
        <v>73</v>
      </c>
      <c r="AR216" s="73">
        <v>5</v>
      </c>
      <c r="AS216" s="67">
        <v>4</v>
      </c>
      <c r="AT216" s="67">
        <v>0</v>
      </c>
      <c r="AU216" s="67">
        <v>3</v>
      </c>
      <c r="AV216" s="39"/>
      <c r="AW216" s="40"/>
      <c r="AX216" s="41">
        <f t="shared" si="290"/>
      </c>
    </row>
    <row hidden="true" r="217">
      <c r="A217" s="62"/>
      <c r="B217" s="75" t="s">
        <v>66</v>
      </c>
      <c r="C217" s="75"/>
      <c r="D217" s="75"/>
      <c r="E217" s="75"/>
      <c r="F217" s="76">
        <f>SUM(F213:F216)</f>
      </c>
      <c r="G217" s="76">
        <f>SUM(G213:G216)</f>
      </c>
      <c r="H217" s="76">
        <f>SUM(H213:H216)</f>
      </c>
      <c r="I217" s="76">
        <f>SUM(I213:I216)</f>
      </c>
      <c r="J217" s="76">
        <f>SUM(J213:J216)</f>
      </c>
      <c r="K217" s="76">
        <f>SUM(K213:K216)</f>
      </c>
      <c r="L217" s="76">
        <f>SUM(L213:L216)</f>
      </c>
      <c r="M217" s="76">
        <f>SUM(M213:M216)</f>
      </c>
      <c r="N217" s="76">
        <f>SUM(N213:N216)</f>
      </c>
      <c r="O217" s="77">
        <f t="shared" si="24"/>
      </c>
      <c r="P217" s="76">
        <f>SUM(P213:P216)</f>
      </c>
      <c r="Q217" s="77">
        <f t="shared" si="0"/>
      </c>
      <c r="R217" s="91">
        <f>SUM(R213:R216)</f>
      </c>
      <c r="S217" s="76">
        <f>SUM(S213:S216)</f>
      </c>
      <c r="T217" s="79">
        <f t="shared" si="12"/>
      </c>
      <c r="U217" s="76">
        <f t="shared" si="8"/>
      </c>
      <c r="V217" s="79">
        <f t="shared" si="20"/>
      </c>
      <c r="W217" s="91">
        <f>SUM(W213:W216)</f>
      </c>
      <c r="X217" s="79">
        <f t="shared" si="16"/>
      </c>
      <c r="Y217" s="79">
        <f t="shared" si="248"/>
      </c>
      <c r="Z217" s="76">
        <f t="shared" si="100"/>
      </c>
      <c r="AA217" s="76">
        <f t="shared" si="2"/>
      </c>
      <c r="AB217" s="80">
        <f t="shared" si="4"/>
      </c>
      <c r="AC217" s="77">
        <f t="shared" si="14"/>
      </c>
      <c r="AD217" s="77">
        <f t="shared" si="10"/>
      </c>
      <c r="AE217" s="77">
        <f t="shared" si="22"/>
      </c>
      <c r="AF217" s="82">
        <f t="shared" si="18"/>
      </c>
      <c r="AG217" s="77">
        <f t="shared" si="102"/>
      </c>
      <c r="AH217" s="77">
        <f t="shared" si="26"/>
      </c>
      <c r="AI217" s="77">
        <f t="shared" si="6"/>
      </c>
      <c r="AJ217" s="78">
        <f>AVERAGE(AJ213:AJ216)</f>
      </c>
      <c r="AK217" s="76">
        <f>SUM(AK213:AK216)</f>
      </c>
      <c r="AL217" s="76">
        <f>SUM(AL213:AL216)</f>
      </c>
      <c r="AM217" s="76">
        <f>SUM(AM213:AM216)</f>
      </c>
      <c r="AN217" s="76">
        <f>SUM(AN213:AN216)</f>
      </c>
      <c r="AO217" s="76">
        <f>SUM(AO213:AO216)</f>
      </c>
      <c r="AP217" s="76">
        <f>SUM(AP213:AP216)</f>
      </c>
      <c r="AQ217" s="76">
        <f>SUM(AQ213:AQ216)</f>
      </c>
      <c r="AR217" s="76">
        <f>SUM(AR213:AR216)</f>
      </c>
      <c r="AS217" s="76">
        <f>SUM(AS213:AS216)</f>
      </c>
      <c r="AT217" s="76">
        <f>SUM(AT213:AT216)</f>
      </c>
      <c r="AU217" s="76">
        <f>SUM(AU213:AU216)</f>
      </c>
      <c r="AV217" s="39"/>
      <c r="AW217" s="48"/>
      <c r="AX217" s="49">
        <f>SUM(AX213:AX216)</f>
      </c>
    </row>
    <row hidden="true" r="218">
      <c r="A218" s="62"/>
      <c r="B218" s="84" t="s">
        <v>84</v>
      </c>
      <c r="C218" s="84"/>
      <c r="D218" s="84"/>
      <c r="E218" s="84"/>
      <c r="F218" s="85">
        <f>F207+F212+F217</f>
      </c>
      <c r="G218" s="85">
        <f>G207+G212+G217</f>
      </c>
      <c r="H218" s="85">
        <f>H207+H212+H217</f>
      </c>
      <c r="I218" s="85">
        <f>I207+I212+I217</f>
      </c>
      <c r="J218" s="85">
        <f>J207+J212+J217</f>
      </c>
      <c r="K218" s="85">
        <f>K207+K212+K217</f>
      </c>
      <c r="L218" s="85">
        <f>L207+L212+L217</f>
      </c>
      <c r="M218" s="85">
        <f>M207+M212+M217</f>
      </c>
      <c r="N218" s="85">
        <f>N207+N212+N217</f>
      </c>
      <c r="O218" s="86">
        <f t="shared" si="24"/>
      </c>
      <c r="P218" s="85">
        <f>P207+P212+P217</f>
      </c>
      <c r="Q218" s="86">
        <f t="shared" si="0"/>
      </c>
      <c r="R218" s="85">
        <f>R207+R212+R217</f>
      </c>
      <c r="S218" s="85">
        <f>S207+S212+S217</f>
      </c>
      <c r="T218" s="85">
        <f t="shared" si="12"/>
      </c>
      <c r="U218" s="85">
        <f t="shared" si="8"/>
      </c>
      <c r="V218" s="88">
        <f t="shared" si="20"/>
      </c>
      <c r="W218" s="85">
        <f>W207+W212+W217</f>
      </c>
      <c r="X218" s="88">
        <f t="shared" si="16"/>
      </c>
      <c r="Y218" s="88">
        <f t="shared" si="248"/>
      </c>
      <c r="Z218" s="85">
        <f t="shared" si="100"/>
      </c>
      <c r="AA218" s="85">
        <f t="shared" si="2"/>
      </c>
      <c r="AB218" s="89">
        <f t="shared" si="4"/>
      </c>
      <c r="AC218" s="86">
        <f t="shared" si="14"/>
      </c>
      <c r="AD218" s="86">
        <f t="shared" si="10"/>
      </c>
      <c r="AE218" s="86">
        <f t="shared" si="22"/>
      </c>
      <c r="AF218" s="90">
        <f t="shared" si="18"/>
      </c>
      <c r="AG218" s="86">
        <f t="shared" si="102"/>
      </c>
      <c r="AH218" s="86">
        <f t="shared" si="26"/>
      </c>
      <c r="AI218" s="86">
        <f t="shared" si="6"/>
      </c>
      <c r="AJ218" s="85">
        <f>AJ207+AJ212+AJ217</f>
      </c>
      <c r="AK218" s="85">
        <f>AK207+AK212+AK217</f>
      </c>
      <c r="AL218" s="85">
        <f>AL207+AL212+AL217</f>
      </c>
      <c r="AM218" s="85">
        <f>AM207+AM212+AM217</f>
      </c>
      <c r="AN218" s="85">
        <f>AN207+AN212+AN217</f>
      </c>
      <c r="AO218" s="85">
        <f>AO207+AO212+AO217</f>
      </c>
      <c r="AP218" s="85">
        <f>AP207+AP212+AP217</f>
      </c>
      <c r="AQ218" s="85">
        <f>AQ207+AQ212+AQ217</f>
      </c>
      <c r="AR218" s="85">
        <f>AR207+AR212+AR217</f>
      </c>
      <c r="AS218" s="85">
        <f>AS207+AS212+AS217</f>
      </c>
      <c r="AT218" s="85">
        <f>AT207+AT212+AT217</f>
      </c>
      <c r="AU218" s="85">
        <f>AU207+AU212+AU217</f>
      </c>
      <c r="AV218" s="39"/>
      <c r="AW218" s="84">
        <f>AW207+AW212</f>
      </c>
      <c r="AX218" s="84">
        <f>AX207+AX212+AX217</f>
      </c>
    </row>
    <row hidden="true" r="219">
      <c r="A219" s="62">
        <v>46307</v>
      </c>
      <c r="B219" s="73" t="s">
        <v>88</v>
      </c>
      <c r="C219" s="41" t="s">
        <v>60</v>
      </c>
      <c r="D219" s="41" t="s">
        <v>74</v>
      </c>
      <c r="E219" s="28" t="s">
        <v>62</v>
      </c>
      <c r="F219" s="63">
        <f t="shared" ref="F219:F222" si="69">G219+H219+I219</f>
      </c>
      <c r="G219" s="81">
        <v>1030.75</v>
      </c>
      <c r="H219" s="81">
        <v>2206.54</v>
      </c>
      <c r="I219" s="64">
        <v>0</v>
      </c>
      <c r="J219" s="65">
        <v>0</v>
      </c>
      <c r="K219" s="66">
        <v>0</v>
      </c>
      <c r="L219" s="65">
        <v>0</v>
      </c>
      <c r="M219" s="65">
        <v>0</v>
      </c>
      <c r="N219" s="67">
        <v>0</v>
      </c>
      <c r="O219" s="68">
        <f t="shared" si="24"/>
      </c>
      <c r="P219" s="67">
        <v>0</v>
      </c>
      <c r="Q219" s="68">
        <f t="shared" si="0"/>
      </c>
      <c r="R219" s="69">
        <f t="shared" ref="R219:R222" si="145">J219+L219</f>
      </c>
      <c r="S219" s="70">
        <f t="shared" ref="S219:S222" si="217">K219+M219</f>
      </c>
      <c r="T219" s="63">
        <f t="shared" si="12"/>
      </c>
      <c r="U219" s="63">
        <f t="shared" si="8"/>
      </c>
      <c r="V219" s="71">
        <f t="shared" si="20"/>
      </c>
      <c r="W219" s="67">
        <v>0</v>
      </c>
      <c r="X219" s="71">
        <f t="shared" si="16"/>
      </c>
      <c r="Y219" s="71">
        <f t="shared" si="248"/>
      </c>
      <c r="Z219" s="63">
        <f t="shared" si="100"/>
      </c>
      <c r="AA219" s="63">
        <f t="shared" si="2"/>
      </c>
      <c r="AB219" s="63">
        <f t="shared" si="4"/>
      </c>
      <c r="AC219" s="68">
        <f t="shared" si="14"/>
      </c>
      <c r="AD219" s="68">
        <f t="shared" si="10"/>
      </c>
      <c r="AE219" s="68">
        <f t="shared" si="22"/>
      </c>
      <c r="AF219" s="68">
        <f t="shared" si="18"/>
      </c>
      <c r="AG219" s="68">
        <f t="shared" si="102"/>
      </c>
      <c r="AH219" s="68">
        <f t="shared" si="26"/>
      </c>
      <c r="AI219" s="68">
        <f t="shared" si="6"/>
      </c>
      <c r="AJ219" s="67">
        <v>41</v>
      </c>
      <c r="AK219" s="72">
        <v>12628</v>
      </c>
      <c r="AL219" s="72">
        <v>332</v>
      </c>
      <c r="AM219" s="72">
        <v>447</v>
      </c>
      <c r="AN219" s="72">
        <v>74</v>
      </c>
      <c r="AO219" s="73">
        <v>21</v>
      </c>
      <c r="AP219" s="73">
        <v>63</v>
      </c>
      <c r="AQ219" s="73">
        <v>73</v>
      </c>
      <c r="AR219" s="73">
        <v>1</v>
      </c>
      <c r="AS219" s="73">
        <v>12</v>
      </c>
      <c r="AT219" s="67">
        <v>1</v>
      </c>
      <c r="AU219" s="67">
        <v>8</v>
      </c>
      <c r="AV219" s="39"/>
      <c r="AW219" s="40"/>
      <c r="AX219" s="41">
        <f t="shared" ref="AX219:AX222" si="291">COUNT(AU219)</f>
      </c>
    </row>
    <row hidden="true" r="220">
      <c r="A220" s="62"/>
      <c r="B220" s="73" t="s">
        <v>88</v>
      </c>
      <c r="C220" s="41" t="s">
        <v>60</v>
      </c>
      <c r="D220" s="41" t="s">
        <v>74</v>
      </c>
      <c r="E220" s="28" t="s">
        <v>63</v>
      </c>
      <c r="F220" s="63">
        <f t="shared" si="69"/>
      </c>
      <c r="G220" s="81">
        <v>1442.54</v>
      </c>
      <c r="H220" s="81">
        <v>2107.12</v>
      </c>
      <c r="I220" s="64">
        <v>0</v>
      </c>
      <c r="J220" s="65">
        <v>2</v>
      </c>
      <c r="K220" s="65">
        <v>2158.4</v>
      </c>
      <c r="L220" s="65">
        <v>3</v>
      </c>
      <c r="M220" s="65">
        <v>7793.23</v>
      </c>
      <c r="N220" s="67">
        <v>0</v>
      </c>
      <c r="O220" s="68">
        <f t="shared" si="24"/>
      </c>
      <c r="P220" s="67">
        <v>1</v>
      </c>
      <c r="Q220" s="68">
        <f t="shared" si="0"/>
      </c>
      <c r="R220" s="69">
        <f t="shared" si="145"/>
      </c>
      <c r="S220" s="70">
        <f t="shared" si="217"/>
      </c>
      <c r="T220" s="63">
        <f t="shared" si="12"/>
      </c>
      <c r="U220" s="63">
        <f t="shared" si="8"/>
      </c>
      <c r="V220" s="71">
        <f t="shared" si="20"/>
      </c>
      <c r="W220" s="67">
        <v>5</v>
      </c>
      <c r="X220" s="71">
        <f t="shared" si="16"/>
      </c>
      <c r="Y220" s="71">
        <f t="shared" si="248"/>
      </c>
      <c r="Z220" s="63">
        <f t="shared" si="100"/>
      </c>
      <c r="AA220" s="63">
        <f t="shared" si="2"/>
      </c>
      <c r="AB220" s="63">
        <f t="shared" si="4"/>
      </c>
      <c r="AC220" s="68">
        <f t="shared" si="14"/>
      </c>
      <c r="AD220" s="68">
        <f t="shared" si="10"/>
      </c>
      <c r="AE220" s="68">
        <f t="shared" si="22"/>
      </c>
      <c r="AF220" s="68">
        <f t="shared" si="18"/>
      </c>
      <c r="AG220" s="68">
        <f t="shared" si="102"/>
      </c>
      <c r="AH220" s="68">
        <f t="shared" si="26"/>
      </c>
      <c r="AI220" s="68">
        <f t="shared" si="6"/>
      </c>
      <c r="AJ220" s="67">
        <v>50</v>
      </c>
      <c r="AK220" s="72">
        <v>14957</v>
      </c>
      <c r="AL220" s="72">
        <v>321</v>
      </c>
      <c r="AM220" s="72">
        <v>469</v>
      </c>
      <c r="AN220" s="72">
        <v>88</v>
      </c>
      <c r="AO220" s="73">
        <v>29</v>
      </c>
      <c r="AP220" s="67">
        <v>121</v>
      </c>
      <c r="AQ220" s="73">
        <v>79</v>
      </c>
      <c r="AR220" s="73">
        <v>6</v>
      </c>
      <c r="AS220" s="67">
        <v>7</v>
      </c>
      <c r="AT220" s="67">
        <v>0</v>
      </c>
      <c r="AU220" s="67">
        <v>6</v>
      </c>
      <c r="AV220" s="39"/>
      <c r="AW220" s="40"/>
      <c r="AX220" s="41">
        <f t="shared" si="291"/>
      </c>
    </row>
    <row hidden="true" r="221">
      <c r="A221" s="62"/>
      <c r="B221" s="73" t="s">
        <v>88</v>
      </c>
      <c r="C221" s="41" t="s">
        <v>60</v>
      </c>
      <c r="D221" s="41" t="s">
        <v>74</v>
      </c>
      <c r="E221" s="28" t="s">
        <v>64</v>
      </c>
      <c r="F221" s="63">
        <f t="shared" si="69"/>
      </c>
      <c r="G221" s="81">
        <v>1372.25</v>
      </c>
      <c r="H221" s="81">
        <v>2046.17</v>
      </c>
      <c r="I221" s="64">
        <v>0</v>
      </c>
      <c r="J221" s="64">
        <v>0</v>
      </c>
      <c r="K221" s="64">
        <v>0</v>
      </c>
      <c r="L221" s="64">
        <v>1</v>
      </c>
      <c r="M221" s="64">
        <v>1299.6000000000004</v>
      </c>
      <c r="N221" s="67">
        <v>1</v>
      </c>
      <c r="O221" s="68">
        <f t="shared" si="24"/>
      </c>
      <c r="P221" s="67">
        <v>0</v>
      </c>
      <c r="Q221" s="68">
        <f t="shared" si="0"/>
      </c>
      <c r="R221" s="69">
        <f t="shared" si="145"/>
      </c>
      <c r="S221" s="70">
        <f t="shared" si="217"/>
      </c>
      <c r="T221" s="63">
        <f t="shared" si="12"/>
      </c>
      <c r="U221" s="63">
        <f t="shared" si="8"/>
      </c>
      <c r="V221" s="71">
        <f t="shared" si="20"/>
      </c>
      <c r="W221" s="67">
        <v>0</v>
      </c>
      <c r="X221" s="71">
        <f t="shared" si="16"/>
      </c>
      <c r="Y221" s="71">
        <f t="shared" si="248"/>
      </c>
      <c r="Z221" s="63">
        <f t="shared" si="100"/>
      </c>
      <c r="AA221" s="63">
        <f t="shared" si="2"/>
      </c>
      <c r="AB221" s="63">
        <f t="shared" si="4"/>
      </c>
      <c r="AC221" s="68">
        <f t="shared" si="14"/>
      </c>
      <c r="AD221" s="68">
        <f t="shared" si="10"/>
      </c>
      <c r="AE221" s="68">
        <f t="shared" si="22"/>
      </c>
      <c r="AF221" s="68">
        <f t="shared" si="18"/>
      </c>
      <c r="AG221" s="68">
        <f t="shared" si="102"/>
      </c>
      <c r="AH221" s="68">
        <f t="shared" si="26"/>
      </c>
      <c r="AI221" s="68">
        <f t="shared" si="6"/>
      </c>
      <c r="AJ221" s="67">
        <v>55</v>
      </c>
      <c r="AK221" s="72">
        <v>15445</v>
      </c>
      <c r="AL221" s="72">
        <v>378</v>
      </c>
      <c r="AM221" s="72">
        <v>510</v>
      </c>
      <c r="AN221" s="72">
        <v>106</v>
      </c>
      <c r="AO221" s="73">
        <v>38</v>
      </c>
      <c r="AP221" s="72">
        <v>104</v>
      </c>
      <c r="AQ221" s="41">
        <v>96</v>
      </c>
      <c r="AR221" s="73">
        <v>2</v>
      </c>
      <c r="AS221" s="67">
        <v>6</v>
      </c>
      <c r="AT221" s="67">
        <v>4</v>
      </c>
      <c r="AU221" s="67">
        <v>7</v>
      </c>
      <c r="AV221" s="39"/>
      <c r="AW221" s="40"/>
      <c r="AX221" s="41">
        <f t="shared" si="291"/>
      </c>
    </row>
    <row hidden="true" r="222">
      <c r="A222" s="62"/>
      <c r="B222" s="73" t="s">
        <v>88</v>
      </c>
      <c r="C222" s="41" t="s">
        <v>60</v>
      </c>
      <c r="D222" s="41" t="s">
        <v>74</v>
      </c>
      <c r="E222" s="41" t="s">
        <v>65</v>
      </c>
      <c r="F222" s="63">
        <f t="shared" si="69"/>
      </c>
      <c r="G222" s="81">
        <v>1366.72</v>
      </c>
      <c r="H222" s="81">
        <v>902.69</v>
      </c>
      <c r="I222" s="65">
        <v>0</v>
      </c>
      <c r="J222" s="65">
        <v>0</v>
      </c>
      <c r="K222" s="65">
        <v>0</v>
      </c>
      <c r="L222" s="65">
        <v>1</v>
      </c>
      <c r="M222" s="65">
        <v>1830.5599999999995</v>
      </c>
      <c r="N222" s="67">
        <v>1</v>
      </c>
      <c r="O222" s="68">
        <f t="shared" si="24"/>
      </c>
      <c r="P222" s="67">
        <v>0</v>
      </c>
      <c r="Q222" s="68">
        <f t="shared" si="0"/>
      </c>
      <c r="R222" s="69">
        <f t="shared" si="145"/>
      </c>
      <c r="S222" s="70">
        <f t="shared" si="217"/>
      </c>
      <c r="T222" s="63">
        <f t="shared" si="12"/>
      </c>
      <c r="U222" s="63">
        <f t="shared" si="8"/>
      </c>
      <c r="V222" s="71">
        <f t="shared" si="20"/>
      </c>
      <c r="W222" s="67">
        <v>1</v>
      </c>
      <c r="X222" s="71">
        <f t="shared" si="16"/>
      </c>
      <c r="Y222" s="71">
        <f t="shared" si="248"/>
      </c>
      <c r="Z222" s="63">
        <f t="shared" si="100"/>
      </c>
      <c r="AA222" s="63">
        <f t="shared" si="2"/>
      </c>
      <c r="AB222" s="63">
        <f t="shared" si="4"/>
      </c>
      <c r="AC222" s="68">
        <f t="shared" si="14"/>
      </c>
      <c r="AD222" s="68">
        <f t="shared" si="10"/>
      </c>
      <c r="AE222" s="68">
        <f t="shared" si="22"/>
      </c>
      <c r="AF222" s="68">
        <f t="shared" si="18"/>
      </c>
      <c r="AG222" s="68">
        <f t="shared" si="102"/>
      </c>
      <c r="AH222" s="68">
        <f t="shared" si="26"/>
      </c>
      <c r="AI222" s="68">
        <f t="shared" si="6"/>
      </c>
      <c r="AJ222" s="67">
        <v>52</v>
      </c>
      <c r="AK222" s="72">
        <v>13167</v>
      </c>
      <c r="AL222" s="72">
        <v>333</v>
      </c>
      <c r="AM222" s="72">
        <v>461</v>
      </c>
      <c r="AN222" s="72">
        <v>86</v>
      </c>
      <c r="AO222" s="73">
        <v>22</v>
      </c>
      <c r="AP222" s="72">
        <v>44</v>
      </c>
      <c r="AQ222" s="41">
        <v>68</v>
      </c>
      <c r="AR222" s="73">
        <v>2</v>
      </c>
      <c r="AS222" s="67">
        <v>6</v>
      </c>
      <c r="AT222" s="67">
        <v>2</v>
      </c>
      <c r="AU222" s="67">
        <v>4</v>
      </c>
      <c r="AV222" s="39"/>
      <c r="AW222" s="40"/>
      <c r="AX222" s="41">
        <f t="shared" si="291"/>
      </c>
    </row>
    <row hidden="true" r="223">
      <c r="A223" s="62"/>
      <c r="B223" s="75" t="s">
        <v>66</v>
      </c>
      <c r="C223" s="75"/>
      <c r="D223" s="75"/>
      <c r="E223" s="75"/>
      <c r="F223" s="76">
        <f>SUM(F219:F222)</f>
      </c>
      <c r="G223" s="76">
        <f>SUM(G219:G222)</f>
      </c>
      <c r="H223" s="76">
        <f>SUM(H219:H222)</f>
      </c>
      <c r="I223" s="76">
        <f>SUM(I219:I222)</f>
      </c>
      <c r="J223" s="76">
        <f>SUM(J219:J222)</f>
      </c>
      <c r="K223" s="76">
        <f>SUM(K219:K222)</f>
      </c>
      <c r="L223" s="76">
        <f>SUM(L219:L222)</f>
      </c>
      <c r="M223" s="76">
        <f>SUM(M219:M222)</f>
      </c>
      <c r="N223" s="76">
        <f>SUM(N219:N222)</f>
      </c>
      <c r="O223" s="77">
        <f t="shared" si="24"/>
      </c>
      <c r="P223" s="76">
        <f>SUM(P219:P222)</f>
      </c>
      <c r="Q223" s="77">
        <f t="shared" si="0"/>
      </c>
      <c r="R223" s="76">
        <f>SUM(R219:R222)</f>
      </c>
      <c r="S223" s="76">
        <f>SUM(S219:S222)</f>
      </c>
      <c r="T223" s="76">
        <f t="shared" si="12"/>
      </c>
      <c r="U223" s="76">
        <f t="shared" si="8"/>
      </c>
      <c r="V223" s="76">
        <f t="shared" si="20"/>
      </c>
      <c r="W223" s="76">
        <f>SUM(W219:W222)</f>
      </c>
      <c r="X223" s="79">
        <f t="shared" si="16"/>
      </c>
      <c r="Y223" s="79">
        <f t="shared" si="248"/>
      </c>
      <c r="Z223" s="76">
        <f t="shared" si="100"/>
      </c>
      <c r="AA223" s="76">
        <f t="shared" si="2"/>
      </c>
      <c r="AB223" s="80">
        <f t="shared" si="4"/>
      </c>
      <c r="AC223" s="77">
        <f t="shared" si="14"/>
      </c>
      <c r="AD223" s="77">
        <f t="shared" si="10"/>
      </c>
      <c r="AE223" s="77">
        <f t="shared" si="22"/>
      </c>
      <c r="AF223" s="77">
        <f t="shared" si="18"/>
      </c>
      <c r="AG223" s="77">
        <f t="shared" si="102"/>
      </c>
      <c r="AH223" s="77">
        <f t="shared" si="26"/>
      </c>
      <c r="AI223" s="77">
        <f t="shared" si="6"/>
      </c>
      <c r="AJ223" s="78">
        <f>AVERAGE(AJ219:AJ222)</f>
      </c>
      <c r="AK223" s="76">
        <f>SUM(AK219:AK222)</f>
      </c>
      <c r="AL223" s="76">
        <f>SUM(AL219:AL222)</f>
      </c>
      <c r="AM223" s="76">
        <f>SUM(AM219:AM222)</f>
      </c>
      <c r="AN223" s="76">
        <f>SUM(AN219:AN222)</f>
      </c>
      <c r="AO223" s="76">
        <f>SUM(AO219:AO222)</f>
      </c>
      <c r="AP223" s="76">
        <f>SUM(AP219:AP222)</f>
      </c>
      <c r="AQ223" s="76">
        <f>SUM(AQ219:AQ222)</f>
      </c>
      <c r="AR223" s="76">
        <f>SUM(AR219:AR222)</f>
      </c>
      <c r="AS223" s="76">
        <f>SUM(AS219:AS222)</f>
      </c>
      <c r="AT223" s="76">
        <f>SUM(AT219:AT222)</f>
      </c>
      <c r="AU223" s="76">
        <f>SUM(AU219:AU222)</f>
      </c>
      <c r="AV223" s="39"/>
      <c r="AW223" s="48"/>
      <c r="AX223" s="76">
        <f>SUM(AX219:AX222)</f>
      </c>
    </row>
    <row hidden="true" r="224">
      <c r="A224" s="62"/>
      <c r="B224" s="73" t="s">
        <v>88</v>
      </c>
      <c r="C224" s="41" t="s">
        <v>60</v>
      </c>
      <c r="D224" s="73" t="s">
        <v>79</v>
      </c>
      <c r="E224" s="41" t="s">
        <v>68</v>
      </c>
      <c r="F224" s="63">
        <f t="shared" ref="F224:F227" si="70">G224+H224+I224</f>
      </c>
      <c r="G224" s="81">
        <v>956.65</v>
      </c>
      <c r="H224" s="81">
        <v>621.72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7">
        <v>0</v>
      </c>
      <c r="O224" s="68">
        <f t="shared" si="24"/>
      </c>
      <c r="P224" s="67">
        <v>0</v>
      </c>
      <c r="Q224" s="68">
        <f t="shared" si="0"/>
      </c>
      <c r="R224" s="69">
        <f t="shared" ref="R224:R227" si="146">J224+L224</f>
      </c>
      <c r="S224" s="70">
        <f t="shared" ref="S224:S227" si="218">K224+M224</f>
      </c>
      <c r="T224" s="63">
        <f t="shared" si="12"/>
      </c>
      <c r="U224" s="63">
        <f t="shared" si="8"/>
      </c>
      <c r="V224" s="71">
        <f t="shared" si="20"/>
      </c>
      <c r="W224" s="67">
        <v>0</v>
      </c>
      <c r="X224" s="71">
        <f t="shared" si="16"/>
      </c>
      <c r="Y224" s="71">
        <f t="shared" si="248"/>
      </c>
      <c r="Z224" s="63">
        <f t="shared" si="100"/>
      </c>
      <c r="AA224" s="63">
        <f t="shared" si="2"/>
      </c>
      <c r="AB224" s="63">
        <f t="shared" si="4"/>
      </c>
      <c r="AC224" s="68">
        <f t="shared" si="14"/>
      </c>
      <c r="AD224" s="68">
        <f t="shared" si="10"/>
      </c>
      <c r="AE224" s="68">
        <f t="shared" si="22"/>
      </c>
      <c r="AF224" s="68">
        <f t="shared" si="18"/>
      </c>
      <c r="AG224" s="68">
        <f t="shared" si="102"/>
      </c>
      <c r="AH224" s="68">
        <f t="shared" si="26"/>
      </c>
      <c r="AI224" s="68">
        <f t="shared" si="6"/>
      </c>
      <c r="AJ224" s="67">
        <v>54</v>
      </c>
      <c r="AK224" s="72">
        <v>9139</v>
      </c>
      <c r="AL224" s="72">
        <v>274</v>
      </c>
      <c r="AM224" s="72">
        <v>391</v>
      </c>
      <c r="AN224" s="72">
        <v>67</v>
      </c>
      <c r="AO224" s="73">
        <v>17</v>
      </c>
      <c r="AP224" s="72">
        <v>41</v>
      </c>
      <c r="AQ224" s="41">
        <v>66</v>
      </c>
      <c r="AR224" s="73">
        <v>1</v>
      </c>
      <c r="AS224" s="73">
        <v>4</v>
      </c>
      <c r="AT224" s="67">
        <v>2</v>
      </c>
      <c r="AU224" s="67">
        <v>0</v>
      </c>
      <c r="AV224" s="39"/>
      <c r="AW224" s="40"/>
      <c r="AX224" s="41">
        <f t="shared" ref="AX224:AX227" si="292">COUNT(AU224)</f>
      </c>
    </row>
    <row hidden="true" r="225">
      <c r="A225" s="62"/>
      <c r="B225" s="73" t="s">
        <v>88</v>
      </c>
      <c r="C225" s="41" t="s">
        <v>60</v>
      </c>
      <c r="D225" s="73" t="s">
        <v>79</v>
      </c>
      <c r="E225" s="41" t="s">
        <v>69</v>
      </c>
      <c r="F225" s="63">
        <f t="shared" si="70"/>
      </c>
      <c r="G225" s="81">
        <v>905.21</v>
      </c>
      <c r="H225" s="81">
        <v>522.6</v>
      </c>
      <c r="I225" s="64">
        <v>0</v>
      </c>
      <c r="J225" s="65">
        <v>1</v>
      </c>
      <c r="K225" s="65">
        <v>1471.5</v>
      </c>
      <c r="L225" s="65">
        <v>2</v>
      </c>
      <c r="M225" s="65">
        <v>5058.75</v>
      </c>
      <c r="N225" s="67">
        <v>1</v>
      </c>
      <c r="O225" s="68">
        <f t="shared" si="24"/>
      </c>
      <c r="P225" s="67">
        <v>0</v>
      </c>
      <c r="Q225" s="68">
        <f t="shared" si="0"/>
      </c>
      <c r="R225" s="69">
        <f t="shared" si="146"/>
      </c>
      <c r="S225" s="70">
        <f t="shared" si="218"/>
      </c>
      <c r="T225" s="63">
        <f t="shared" si="12"/>
      </c>
      <c r="U225" s="63">
        <f t="shared" si="8"/>
      </c>
      <c r="V225" s="71">
        <f t="shared" si="20"/>
      </c>
      <c r="W225" s="67">
        <v>2</v>
      </c>
      <c r="X225" s="71">
        <f t="shared" si="16"/>
      </c>
      <c r="Y225" s="71">
        <f t="shared" si="248"/>
      </c>
      <c r="Z225" s="63">
        <f t="shared" si="100"/>
      </c>
      <c r="AA225" s="63">
        <f t="shared" si="2"/>
      </c>
      <c r="AB225" s="63">
        <f t="shared" si="4"/>
      </c>
      <c r="AC225" s="68">
        <f t="shared" si="14"/>
      </c>
      <c r="AD225" s="68">
        <f t="shared" si="10"/>
      </c>
      <c r="AE225" s="68">
        <f t="shared" si="22"/>
      </c>
      <c r="AF225" s="68">
        <f t="shared" si="18"/>
      </c>
      <c r="AG225" s="68">
        <f t="shared" si="102"/>
      </c>
      <c r="AH225" s="68">
        <f t="shared" si="26"/>
      </c>
      <c r="AI225" s="68">
        <f t="shared" si="6"/>
      </c>
      <c r="AJ225" s="67">
        <v>57</v>
      </c>
      <c r="AK225" s="72">
        <v>7120</v>
      </c>
      <c r="AL225" s="72">
        <v>236</v>
      </c>
      <c r="AM225" s="72">
        <v>399</v>
      </c>
      <c r="AN225" s="72">
        <v>48</v>
      </c>
      <c r="AO225" s="73">
        <v>17</v>
      </c>
      <c r="AP225" s="72">
        <v>46</v>
      </c>
      <c r="AQ225" s="41">
        <v>54</v>
      </c>
      <c r="AR225" s="73">
        <v>4</v>
      </c>
      <c r="AS225" s="73">
        <v>4</v>
      </c>
      <c r="AT225" s="67">
        <v>1</v>
      </c>
      <c r="AU225" s="67">
        <v>2</v>
      </c>
      <c r="AV225" s="39"/>
      <c r="AW225" s="40"/>
      <c r="AX225" s="41">
        <f t="shared" si="292"/>
      </c>
    </row>
    <row hidden="true" r="226">
      <c r="A226" s="62"/>
      <c r="B226" s="73" t="s">
        <v>88</v>
      </c>
      <c r="C226" s="41" t="s">
        <v>60</v>
      </c>
      <c r="D226" s="73" t="s">
        <v>79</v>
      </c>
      <c r="E226" s="41" t="s">
        <v>70</v>
      </c>
      <c r="F226" s="63">
        <f t="shared" si="70"/>
      </c>
      <c r="G226" s="81">
        <v>803.5</v>
      </c>
      <c r="H226" s="81">
        <v>1553.17</v>
      </c>
      <c r="I226" s="64">
        <v>0</v>
      </c>
      <c r="J226" s="65">
        <v>0</v>
      </c>
      <c r="K226" s="65">
        <v>0</v>
      </c>
      <c r="L226" s="65">
        <v>2</v>
      </c>
      <c r="M226" s="65">
        <v>3342.0599999999977</v>
      </c>
      <c r="N226" s="67">
        <v>2</v>
      </c>
      <c r="O226" s="68">
        <f t="shared" si="24"/>
      </c>
      <c r="P226" s="67">
        <v>0</v>
      </c>
      <c r="Q226" s="68">
        <f t="shared" si="0"/>
      </c>
      <c r="R226" s="69">
        <f t="shared" si="146"/>
      </c>
      <c r="S226" s="70">
        <f t="shared" si="218"/>
      </c>
      <c r="T226" s="63">
        <f t="shared" si="12"/>
      </c>
      <c r="U226" s="63">
        <f t="shared" si="8"/>
      </c>
      <c r="V226" s="71">
        <f t="shared" si="20"/>
      </c>
      <c r="W226" s="67">
        <v>1</v>
      </c>
      <c r="X226" s="71">
        <f t="shared" si="16"/>
      </c>
      <c r="Y226" s="71">
        <f t="shared" si="248"/>
      </c>
      <c r="Z226" s="63">
        <f t="shared" si="100"/>
      </c>
      <c r="AA226" s="63">
        <f t="shared" si="2"/>
      </c>
      <c r="AB226" s="63">
        <f t="shared" si="4"/>
      </c>
      <c r="AC226" s="68">
        <f t="shared" si="14"/>
      </c>
      <c r="AD226" s="68">
        <f t="shared" si="10"/>
      </c>
      <c r="AE226" s="68">
        <f t="shared" si="22"/>
      </c>
      <c r="AF226" s="68">
        <f t="shared" si="18"/>
      </c>
      <c r="AG226" s="68">
        <f t="shared" si="102"/>
      </c>
      <c r="AH226" s="68">
        <f t="shared" si="26"/>
      </c>
      <c r="AI226" s="68">
        <f t="shared" si="6"/>
      </c>
      <c r="AJ226" s="67">
        <v>61</v>
      </c>
      <c r="AK226" s="72">
        <v>9425</v>
      </c>
      <c r="AL226" s="72">
        <v>261</v>
      </c>
      <c r="AM226" s="72">
        <v>422</v>
      </c>
      <c r="AN226" s="72">
        <v>64</v>
      </c>
      <c r="AO226" s="73">
        <v>35</v>
      </c>
      <c r="AP226" s="72">
        <v>70</v>
      </c>
      <c r="AQ226" s="73">
        <v>58</v>
      </c>
      <c r="AR226" s="73">
        <v>2</v>
      </c>
      <c r="AS226" s="72">
        <v>0</v>
      </c>
      <c r="AT226" s="72">
        <v>0</v>
      </c>
      <c r="AU226" s="72">
        <v>5</v>
      </c>
      <c r="AV226" s="39"/>
      <c r="AW226" s="40"/>
      <c r="AX226" s="41">
        <f t="shared" si="292"/>
      </c>
    </row>
    <row hidden="true" r="227">
      <c r="A227" s="62"/>
      <c r="B227" s="73" t="s">
        <v>91</v>
      </c>
      <c r="C227" s="41" t="s">
        <v>72</v>
      </c>
      <c r="D227" s="73" t="s">
        <v>79</v>
      </c>
      <c r="E227" s="41" t="s">
        <v>73</v>
      </c>
      <c r="F227" s="63">
        <f t="shared" si="70"/>
      </c>
      <c r="G227" s="81">
        <v>920.21</v>
      </c>
      <c r="H227" s="81">
        <v>960.63</v>
      </c>
      <c r="I227" s="64">
        <v>0</v>
      </c>
      <c r="J227" s="65">
        <v>0</v>
      </c>
      <c r="K227" s="65">
        <v>0</v>
      </c>
      <c r="L227" s="65">
        <v>2</v>
      </c>
      <c r="M227" s="65">
        <v>3032.4000000000015</v>
      </c>
      <c r="N227" s="67">
        <v>0</v>
      </c>
      <c r="O227" s="68">
        <f t="shared" si="24"/>
      </c>
      <c r="P227" s="67">
        <v>0</v>
      </c>
      <c r="Q227" s="68">
        <f t="shared" si="0"/>
      </c>
      <c r="R227" s="69">
        <f t="shared" si="146"/>
      </c>
      <c r="S227" s="70">
        <f t="shared" si="218"/>
      </c>
      <c r="T227" s="63">
        <f t="shared" si="12"/>
      </c>
      <c r="U227" s="63">
        <f t="shared" si="8"/>
      </c>
      <c r="V227" s="71">
        <f t="shared" si="20"/>
      </c>
      <c r="W227" s="67">
        <v>1</v>
      </c>
      <c r="X227" s="71">
        <f t="shared" si="16"/>
      </c>
      <c r="Y227" s="71">
        <f t="shared" si="248"/>
      </c>
      <c r="Z227" s="63">
        <f t="shared" si="100"/>
      </c>
      <c r="AA227" s="63">
        <f t="shared" si="2"/>
      </c>
      <c r="AB227" s="63">
        <f t="shared" si="4"/>
      </c>
      <c r="AC227" s="68">
        <f t="shared" si="14"/>
      </c>
      <c r="AD227" s="68">
        <f t="shared" si="10"/>
      </c>
      <c r="AE227" s="68">
        <f t="shared" si="22"/>
      </c>
      <c r="AF227" s="68">
        <f t="shared" si="18"/>
      </c>
      <c r="AG227" s="68">
        <f t="shared" si="102"/>
      </c>
      <c r="AH227" s="68">
        <f t="shared" si="26"/>
      </c>
      <c r="AI227" s="68">
        <f t="shared" si="6"/>
      </c>
      <c r="AJ227" s="67">
        <v>60</v>
      </c>
      <c r="AK227" s="72">
        <v>10251</v>
      </c>
      <c r="AL227" s="72">
        <v>224</v>
      </c>
      <c r="AM227" s="67">
        <v>378</v>
      </c>
      <c r="AN227" s="67">
        <v>50</v>
      </c>
      <c r="AO227" s="73">
        <v>18</v>
      </c>
      <c r="AP227" s="67">
        <v>61</v>
      </c>
      <c r="AQ227" s="73">
        <v>55</v>
      </c>
      <c r="AR227" s="73">
        <v>3</v>
      </c>
      <c r="AS227" s="67">
        <v>3</v>
      </c>
      <c r="AT227" s="67">
        <v>0</v>
      </c>
      <c r="AU227" s="67">
        <v>6</v>
      </c>
      <c r="AV227" s="39"/>
      <c r="AW227" s="40"/>
      <c r="AX227" s="41">
        <f t="shared" si="292"/>
      </c>
    </row>
    <row hidden="true" r="228">
      <c r="A228" s="62"/>
      <c r="B228" s="75" t="s">
        <v>66</v>
      </c>
      <c r="C228" s="75"/>
      <c r="D228" s="75"/>
      <c r="E228" s="75"/>
      <c r="F228" s="76">
        <f>SUM(F224:F227)</f>
      </c>
      <c r="G228" s="76">
        <f>SUM(G224:G227)</f>
      </c>
      <c r="H228" s="76">
        <f>SUM(H224:H227)</f>
      </c>
      <c r="I228" s="76">
        <f>SUM(I224:I227)</f>
      </c>
      <c r="J228" s="76">
        <f>SUM(J224:J227)</f>
      </c>
      <c r="K228" s="76">
        <f>SUM(K224:K227)</f>
      </c>
      <c r="L228" s="76">
        <f>SUM(L224:L227)</f>
      </c>
      <c r="M228" s="76">
        <f>SUM(M224:M227)</f>
      </c>
      <c r="N228" s="76">
        <f>SUM(N224:N227)</f>
      </c>
      <c r="O228" s="77">
        <f t="shared" si="24"/>
      </c>
      <c r="P228" s="76">
        <f>SUM(P224:P227)</f>
      </c>
      <c r="Q228" s="77">
        <f t="shared" si="0"/>
      </c>
      <c r="R228" s="91">
        <f>SUM(R224:R227)</f>
      </c>
      <c r="S228" s="76">
        <f>SUM(S224:S227)</f>
      </c>
      <c r="T228" s="76">
        <f t="shared" si="12"/>
      </c>
      <c r="U228" s="76">
        <f t="shared" si="8"/>
      </c>
      <c r="V228" s="79">
        <f t="shared" si="20"/>
      </c>
      <c r="W228" s="76">
        <f>SUM(W224:W227)</f>
      </c>
      <c r="X228" s="79">
        <f t="shared" si="16"/>
      </c>
      <c r="Y228" s="79">
        <f t="shared" si="248"/>
      </c>
      <c r="Z228" s="76">
        <f t="shared" si="100"/>
      </c>
      <c r="AA228" s="76">
        <f t="shared" si="2"/>
      </c>
      <c r="AB228" s="80">
        <f t="shared" si="4"/>
      </c>
      <c r="AC228" s="77">
        <f t="shared" si="14"/>
      </c>
      <c r="AD228" s="77">
        <f t="shared" si="10"/>
      </c>
      <c r="AE228" s="77">
        <f t="shared" si="22"/>
      </c>
      <c r="AF228" s="82">
        <f t="shared" si="18"/>
      </c>
      <c r="AG228" s="77">
        <f t="shared" si="102"/>
      </c>
      <c r="AH228" s="77">
        <f t="shared" si="26"/>
      </c>
      <c r="AI228" s="77">
        <f t="shared" si="6"/>
      </c>
      <c r="AJ228" s="78">
        <f>AVERAGE(AJ224:AJ227)</f>
      </c>
      <c r="AK228" s="76">
        <f>SUM(AK224:AK227)</f>
      </c>
      <c r="AL228" s="76">
        <f>SUM(AL224:AL227)</f>
      </c>
      <c r="AM228" s="76">
        <f>SUM(AM224:AM227)</f>
      </c>
      <c r="AN228" s="76">
        <f>SUM(AN224:AN227)</f>
      </c>
      <c r="AO228" s="76">
        <f>SUM(AO224:AO227)</f>
      </c>
      <c r="AP228" s="76">
        <f>SUM(AP224:AP227)</f>
      </c>
      <c r="AQ228" s="76">
        <f>SUM(AQ224:AQ227)</f>
      </c>
      <c r="AR228" s="76">
        <f>SUM(AR224:AR227)</f>
      </c>
      <c r="AS228" s="76">
        <f>SUM(AS224:AS227)</f>
      </c>
      <c r="AT228" s="76">
        <f>SUM(AT224:AT227)</f>
      </c>
      <c r="AU228" s="76">
        <f>SUM(AU224:AU227)</f>
      </c>
      <c r="AV228" s="39"/>
      <c r="AW228" s="48"/>
      <c r="AX228" s="49">
        <f>SUM(AX224:AX227)</f>
      </c>
    </row>
    <row hidden="true" r="229">
      <c r="A229" s="62"/>
      <c r="B229" s="73" t="s">
        <v>91</v>
      </c>
      <c r="C229" s="41" t="s">
        <v>72</v>
      </c>
      <c r="D229" s="73" t="s">
        <v>85</v>
      </c>
      <c r="E229" s="41" t="s">
        <v>75</v>
      </c>
      <c r="F229" s="63">
        <f t="shared" ref="F229:F232" si="71">G229+H229+I229</f>
      </c>
      <c r="G229" s="81">
        <v>927.16</v>
      </c>
      <c r="H229" s="81">
        <v>449.85</v>
      </c>
      <c r="I229" s="64">
        <v>0</v>
      </c>
      <c r="J229" s="65">
        <v>1</v>
      </c>
      <c r="K229" s="65">
        <v>3199.4099999999994</v>
      </c>
      <c r="L229" s="65">
        <v>0</v>
      </c>
      <c r="M229" s="65">
        <v>0</v>
      </c>
      <c r="N229" s="67">
        <v>1</v>
      </c>
      <c r="O229" s="68">
        <f t="shared" si="24"/>
      </c>
      <c r="P229" s="67">
        <v>0</v>
      </c>
      <c r="Q229" s="68">
        <f t="shared" si="0"/>
      </c>
      <c r="R229" s="69">
        <f t="shared" ref="R229:R232" si="147">J229+L229</f>
      </c>
      <c r="S229" s="70">
        <f t="shared" ref="S229:S232" si="219">K229+M229</f>
      </c>
      <c r="T229" s="63">
        <f t="shared" si="12"/>
      </c>
      <c r="U229" s="63">
        <f t="shared" si="8"/>
      </c>
      <c r="V229" s="71">
        <f t="shared" si="20"/>
      </c>
      <c r="W229" s="67">
        <v>1</v>
      </c>
      <c r="X229" s="71">
        <f t="shared" si="16"/>
      </c>
      <c r="Y229" s="71">
        <f t="shared" si="248"/>
      </c>
      <c r="Z229" s="63">
        <f t="shared" si="100"/>
      </c>
      <c r="AA229" s="63">
        <f t="shared" si="2"/>
      </c>
      <c r="AB229" s="63">
        <f t="shared" si="4"/>
      </c>
      <c r="AC229" s="68">
        <f t="shared" si="14"/>
      </c>
      <c r="AD229" s="68">
        <f t="shared" si="10"/>
      </c>
      <c r="AE229" s="68">
        <f t="shared" si="22"/>
      </c>
      <c r="AF229" s="68">
        <f t="shared" si="18"/>
      </c>
      <c r="AG229" s="68">
        <f t="shared" si="102"/>
      </c>
      <c r="AH229" s="68">
        <f t="shared" si="26"/>
      </c>
      <c r="AI229" s="68">
        <f t="shared" si="6"/>
      </c>
      <c r="AJ229" s="67">
        <v>59</v>
      </c>
      <c r="AK229" s="72">
        <v>8619</v>
      </c>
      <c r="AL229" s="72">
        <v>259</v>
      </c>
      <c r="AM229" s="72">
        <v>380</v>
      </c>
      <c r="AN229" s="72">
        <v>63</v>
      </c>
      <c r="AO229" s="73">
        <v>15</v>
      </c>
      <c r="AP229" s="72">
        <v>26</v>
      </c>
      <c r="AQ229" s="41">
        <v>51</v>
      </c>
      <c r="AR229" s="73">
        <v>1</v>
      </c>
      <c r="AS229" s="41">
        <v>5</v>
      </c>
      <c r="AT229" s="72">
        <v>0</v>
      </c>
      <c r="AU229" s="72">
        <v>4</v>
      </c>
      <c r="AV229" s="39"/>
      <c r="AW229" s="40"/>
      <c r="AX229" s="41">
        <f t="shared" ref="AX229:AX232" si="293">COUNT(AU229)</f>
      </c>
    </row>
    <row hidden="true" r="230">
      <c r="A230" s="62"/>
      <c r="B230" s="73" t="s">
        <v>91</v>
      </c>
      <c r="C230" s="41" t="s">
        <v>72</v>
      </c>
      <c r="D230" s="73" t="s">
        <v>85</v>
      </c>
      <c r="E230" s="41" t="s">
        <v>76</v>
      </c>
      <c r="F230" s="63">
        <f t="shared" si="71"/>
      </c>
      <c r="G230" s="81">
        <v>1009.8</v>
      </c>
      <c r="H230" s="81">
        <v>241.87</v>
      </c>
      <c r="I230" s="64">
        <v>0</v>
      </c>
      <c r="J230" s="64">
        <v>0</v>
      </c>
      <c r="K230" s="64">
        <v>0</v>
      </c>
      <c r="L230" s="65">
        <v>0</v>
      </c>
      <c r="M230" s="65">
        <v>0</v>
      </c>
      <c r="N230" s="67">
        <v>0</v>
      </c>
      <c r="O230" s="68">
        <f t="shared" si="24"/>
      </c>
      <c r="P230" s="67">
        <v>0</v>
      </c>
      <c r="Q230" s="68">
        <f t="shared" si="0"/>
      </c>
      <c r="R230" s="69">
        <f t="shared" si="147"/>
      </c>
      <c r="S230" s="70">
        <f t="shared" si="219"/>
      </c>
      <c r="T230" s="63">
        <f t="shared" si="12"/>
      </c>
      <c r="U230" s="63">
        <f t="shared" si="8"/>
      </c>
      <c r="V230" s="71">
        <f t="shared" si="20"/>
      </c>
      <c r="W230" s="67">
        <v>0</v>
      </c>
      <c r="X230" s="71">
        <f t="shared" si="16"/>
      </c>
      <c r="Y230" s="71">
        <f t="shared" si="248"/>
      </c>
      <c r="Z230" s="63">
        <f t="shared" si="100"/>
      </c>
      <c r="AA230" s="63">
        <f t="shared" si="2"/>
      </c>
      <c r="AB230" s="63">
        <f t="shared" si="4"/>
      </c>
      <c r="AC230" s="68">
        <f t="shared" si="14"/>
      </c>
      <c r="AD230" s="68">
        <f t="shared" si="10"/>
      </c>
      <c r="AE230" s="68">
        <f t="shared" si="22"/>
      </c>
      <c r="AF230" s="68">
        <f t="shared" si="18"/>
      </c>
      <c r="AG230" s="68">
        <f t="shared" si="102"/>
      </c>
      <c r="AH230" s="68">
        <f t="shared" si="26"/>
      </c>
      <c r="AI230" s="68">
        <f t="shared" si="6"/>
      </c>
      <c r="AJ230" s="67">
        <v>58</v>
      </c>
      <c r="AK230" s="67">
        <v>8979</v>
      </c>
      <c r="AL230" s="72">
        <v>224</v>
      </c>
      <c r="AM230" s="72">
        <v>405</v>
      </c>
      <c r="AN230" s="72">
        <v>35</v>
      </c>
      <c r="AO230" s="73">
        <v>17</v>
      </c>
      <c r="AP230" s="67">
        <v>37</v>
      </c>
      <c r="AQ230" s="73">
        <v>28</v>
      </c>
      <c r="AR230" s="73">
        <v>4</v>
      </c>
      <c r="AS230" s="41">
        <v>4</v>
      </c>
      <c r="AT230" s="72">
        <v>0</v>
      </c>
      <c r="AU230" s="72">
        <v>0</v>
      </c>
      <c r="AV230" s="39"/>
      <c r="AW230" s="40"/>
      <c r="AX230" s="41">
        <f t="shared" si="293"/>
      </c>
    </row>
    <row hidden="true" r="231">
      <c r="A231" s="62"/>
      <c r="B231" s="73" t="s">
        <v>91</v>
      </c>
      <c r="C231" s="41" t="s">
        <v>72</v>
      </c>
      <c r="D231" s="73" t="s">
        <v>85</v>
      </c>
      <c r="E231" s="41" t="s">
        <v>77</v>
      </c>
      <c r="F231" s="63">
        <f t="shared" si="71"/>
      </c>
      <c r="G231" s="81">
        <v>1118.77</v>
      </c>
      <c r="H231" s="81">
        <v>196.23</v>
      </c>
      <c r="I231" s="64">
        <v>0</v>
      </c>
      <c r="J231" s="65">
        <v>0</v>
      </c>
      <c r="K231" s="65">
        <v>0</v>
      </c>
      <c r="L231" s="64">
        <v>0</v>
      </c>
      <c r="M231" s="64">
        <v>0</v>
      </c>
      <c r="N231" s="67">
        <v>0</v>
      </c>
      <c r="O231" s="68">
        <f t="shared" si="24"/>
      </c>
      <c r="P231" s="67">
        <v>0</v>
      </c>
      <c r="Q231" s="68">
        <f t="shared" si="0"/>
      </c>
      <c r="R231" s="69">
        <f t="shared" si="147"/>
      </c>
      <c r="S231" s="70">
        <f t="shared" si="219"/>
      </c>
      <c r="T231" s="63">
        <f t="shared" si="12"/>
      </c>
      <c r="U231" s="63">
        <f t="shared" si="8"/>
      </c>
      <c r="V231" s="71">
        <f t="shared" si="20"/>
      </c>
      <c r="W231" s="67">
        <v>0</v>
      </c>
      <c r="X231" s="71">
        <f t="shared" si="16"/>
      </c>
      <c r="Y231" s="71">
        <f t="shared" si="248"/>
      </c>
      <c r="Z231" s="63">
        <f t="shared" si="100"/>
      </c>
      <c r="AA231" s="63">
        <f t="shared" si="2"/>
      </c>
      <c r="AB231" s="63">
        <f t="shared" si="4"/>
      </c>
      <c r="AC231" s="68">
        <f t="shared" si="14"/>
      </c>
      <c r="AD231" s="68">
        <f t="shared" si="10"/>
      </c>
      <c r="AE231" s="68">
        <f t="shared" si="22"/>
      </c>
      <c r="AF231" s="68">
        <f t="shared" si="18"/>
      </c>
      <c r="AG231" s="68">
        <f t="shared" si="102"/>
      </c>
      <c r="AH231" s="68">
        <f t="shared" si="26"/>
      </c>
      <c r="AI231" s="68">
        <f t="shared" si="6"/>
      </c>
      <c r="AJ231" s="67">
        <v>58</v>
      </c>
      <c r="AK231" s="72">
        <v>9218</v>
      </c>
      <c r="AL231" s="72">
        <v>281</v>
      </c>
      <c r="AM231" s="72">
        <v>450</v>
      </c>
      <c r="AN231" s="72">
        <v>71</v>
      </c>
      <c r="AO231" s="73">
        <v>26</v>
      </c>
      <c r="AP231" s="72">
        <v>43</v>
      </c>
      <c r="AQ231" s="41">
        <v>64</v>
      </c>
      <c r="AR231" s="73">
        <v>1</v>
      </c>
      <c r="AS231" s="67">
        <v>2</v>
      </c>
      <c r="AT231" s="72">
        <v>1</v>
      </c>
      <c r="AU231" s="72">
        <v>0</v>
      </c>
      <c r="AV231" s="39"/>
      <c r="AW231" s="40"/>
      <c r="AX231" s="41">
        <f t="shared" si="293"/>
      </c>
    </row>
    <row hidden="true" r="232">
      <c r="A232" s="62"/>
      <c r="B232" s="73" t="s">
        <v>91</v>
      </c>
      <c r="C232" s="41" t="s">
        <v>72</v>
      </c>
      <c r="D232" s="73" t="s">
        <v>85</v>
      </c>
      <c r="E232" s="41" t="s">
        <v>78</v>
      </c>
      <c r="F232" s="63">
        <f t="shared" si="71"/>
      </c>
      <c r="G232" s="81">
        <v>742.12</v>
      </c>
      <c r="H232" s="81">
        <v>238.6</v>
      </c>
      <c r="I232" s="64">
        <v>0</v>
      </c>
      <c r="J232" s="65">
        <v>0</v>
      </c>
      <c r="K232" s="65">
        <v>0</v>
      </c>
      <c r="L232" s="64">
        <v>1</v>
      </c>
      <c r="M232" s="64">
        <v>2876</v>
      </c>
      <c r="N232" s="67">
        <v>0</v>
      </c>
      <c r="O232" s="68">
        <f t="shared" si="24"/>
      </c>
      <c r="P232" s="67">
        <v>0</v>
      </c>
      <c r="Q232" s="68">
        <f t="shared" si="0"/>
      </c>
      <c r="R232" s="69">
        <f t="shared" si="147"/>
      </c>
      <c r="S232" s="70">
        <f t="shared" si="219"/>
      </c>
      <c r="T232" s="63">
        <f t="shared" si="12"/>
      </c>
      <c r="U232" s="63">
        <f t="shared" si="8"/>
      </c>
      <c r="V232" s="71">
        <f t="shared" si="20"/>
      </c>
      <c r="W232" s="67">
        <v>1</v>
      </c>
      <c r="X232" s="71">
        <f t="shared" si="16"/>
      </c>
      <c r="Y232" s="71">
        <f t="shared" si="248"/>
      </c>
      <c r="Z232" s="63">
        <f t="shared" si="100"/>
      </c>
      <c r="AA232" s="63">
        <f t="shared" si="2"/>
      </c>
      <c r="AB232" s="63">
        <f t="shared" si="4"/>
      </c>
      <c r="AC232" s="68">
        <f t="shared" si="14"/>
      </c>
      <c r="AD232" s="68">
        <f t="shared" si="10"/>
      </c>
      <c r="AE232" s="68">
        <f t="shared" si="22"/>
      </c>
      <c r="AF232" s="68">
        <f t="shared" si="18"/>
      </c>
      <c r="AG232" s="68">
        <f t="shared" si="102"/>
      </c>
      <c r="AH232" s="68">
        <f t="shared" si="26"/>
      </c>
      <c r="AI232" s="68">
        <f t="shared" si="6"/>
      </c>
      <c r="AJ232" s="67">
        <v>60</v>
      </c>
      <c r="AK232" s="72">
        <v>7579</v>
      </c>
      <c r="AL232" s="72">
        <v>186</v>
      </c>
      <c r="AM232" s="72">
        <v>288</v>
      </c>
      <c r="AN232" s="72">
        <v>57</v>
      </c>
      <c r="AO232" s="73">
        <v>18</v>
      </c>
      <c r="AP232" s="72">
        <v>49</v>
      </c>
      <c r="AQ232" s="41">
        <v>43</v>
      </c>
      <c r="AR232" s="73">
        <v>1</v>
      </c>
      <c r="AS232" s="72">
        <v>3</v>
      </c>
      <c r="AT232" s="72">
        <v>0</v>
      </c>
      <c r="AU232" s="72">
        <v>0</v>
      </c>
      <c r="AV232" s="39"/>
      <c r="AW232" s="40"/>
      <c r="AX232" s="41">
        <f t="shared" si="293"/>
      </c>
    </row>
    <row hidden="true" r="233">
      <c r="A233" s="62"/>
      <c r="B233" s="75" t="s">
        <v>66</v>
      </c>
      <c r="C233" s="75"/>
      <c r="D233" s="75"/>
      <c r="E233" s="75"/>
      <c r="F233" s="76">
        <f>SUM(F229:F232)</f>
      </c>
      <c r="G233" s="76">
        <f>SUM(G229:G232)</f>
      </c>
      <c r="H233" s="76">
        <f>SUM(H229:H232)</f>
      </c>
      <c r="I233" s="76">
        <f>SUM(I229:I232)</f>
      </c>
      <c r="J233" s="76">
        <f>SUM(J229:J232)</f>
      </c>
      <c r="K233" s="76">
        <f>SUM(K229:K232)</f>
      </c>
      <c r="L233" s="76">
        <f>SUM(L229:L232)</f>
      </c>
      <c r="M233" s="76">
        <f>SUM(M229:M232)</f>
      </c>
      <c r="N233" s="76">
        <f>SUM(N229:N232)</f>
      </c>
      <c r="O233" s="77">
        <f t="shared" si="24"/>
      </c>
      <c r="P233" s="76">
        <f>SUM(P229:P232)</f>
      </c>
      <c r="Q233" s="77">
        <f t="shared" si="0"/>
      </c>
      <c r="R233" s="78">
        <f>SUM(R229:R232)</f>
      </c>
      <c r="S233" s="76">
        <f>SUM(S229:S232)</f>
      </c>
      <c r="T233" s="76">
        <f t="shared" si="12"/>
      </c>
      <c r="U233" s="76">
        <f t="shared" si="8"/>
      </c>
      <c r="V233" s="79">
        <f t="shared" si="20"/>
      </c>
      <c r="W233" s="76">
        <f>SUM(W229:W232)</f>
      </c>
      <c r="X233" s="79">
        <f t="shared" si="16"/>
      </c>
      <c r="Y233" s="79">
        <f t="shared" si="248"/>
      </c>
      <c r="Z233" s="76">
        <f t="shared" si="100"/>
      </c>
      <c r="AA233" s="76">
        <f t="shared" si="2"/>
      </c>
      <c r="AB233" s="80">
        <f t="shared" si="4"/>
      </c>
      <c r="AC233" s="77">
        <f t="shared" si="14"/>
      </c>
      <c r="AD233" s="77">
        <f t="shared" si="10"/>
      </c>
      <c r="AE233" s="77">
        <f t="shared" si="22"/>
      </c>
      <c r="AF233" s="82">
        <f t="shared" si="18"/>
      </c>
      <c r="AG233" s="77">
        <f t="shared" si="102"/>
      </c>
      <c r="AH233" s="77">
        <f t="shared" si="26"/>
      </c>
      <c r="AI233" s="77">
        <f t="shared" si="6"/>
      </c>
      <c r="AJ233" s="78">
        <f>AVERAGE(AJ229:AJ232)</f>
      </c>
      <c r="AK233" s="76">
        <f>SUM(AK229:AK232)</f>
      </c>
      <c r="AL233" s="76">
        <f>SUM(AL229:AL232)</f>
      </c>
      <c r="AM233" s="76">
        <f>SUM(AM229:AM232)</f>
      </c>
      <c r="AN233" s="76">
        <f>SUM(AN229:AN232)</f>
      </c>
      <c r="AO233" s="76">
        <f>SUM(AO229:AO232)</f>
      </c>
      <c r="AP233" s="76">
        <f>SUM(AP229:AP232)</f>
      </c>
      <c r="AQ233" s="76">
        <f>SUM(AQ229:AQ232)</f>
      </c>
      <c r="AR233" s="76">
        <f>SUM(AR229:AR232)</f>
      </c>
      <c r="AS233" s="76">
        <f>SUM(AS229:AS232)</f>
      </c>
      <c r="AT233" s="76">
        <f>SUM(AT229:AT232)</f>
      </c>
      <c r="AU233" s="76">
        <f>SUM(AU229:AU232)</f>
      </c>
      <c r="AV233" s="39"/>
      <c r="AW233" s="48"/>
      <c r="AX233" s="49">
        <f>SUM(AX229:AX232)</f>
      </c>
    </row>
    <row hidden="true" r="234">
      <c r="A234" s="62"/>
      <c r="B234" s="84" t="s">
        <v>84</v>
      </c>
      <c r="C234" s="84"/>
      <c r="D234" s="84"/>
      <c r="E234" s="84"/>
      <c r="F234" s="85">
        <f>F233+F228+F223</f>
      </c>
      <c r="G234" s="85">
        <f>G233+G228+G223</f>
      </c>
      <c r="H234" s="85">
        <f>H233+H228+H223</f>
      </c>
      <c r="I234" s="85">
        <f>I233+I228+I223</f>
      </c>
      <c r="J234" s="85">
        <f>J233+J228+J223</f>
      </c>
      <c r="K234" s="85">
        <f>K233+K228+K223</f>
      </c>
      <c r="L234" s="85">
        <f>L233+L228+L223</f>
      </c>
      <c r="M234" s="85">
        <f>M233+M228+M223</f>
      </c>
      <c r="N234" s="85">
        <f>N233+N228+N223</f>
      </c>
      <c r="O234" s="86">
        <f t="shared" si="24"/>
      </c>
      <c r="P234" s="85">
        <f>P233+P228+P223</f>
      </c>
      <c r="Q234" s="86">
        <f t="shared" si="0"/>
      </c>
      <c r="R234" s="85">
        <f>R233+R228+R223</f>
      </c>
      <c r="S234" s="85">
        <f>S233+S228+S223</f>
      </c>
      <c r="T234" s="85">
        <f t="shared" si="12"/>
      </c>
      <c r="U234" s="85">
        <f t="shared" si="8"/>
      </c>
      <c r="V234" s="88">
        <f t="shared" si="20"/>
      </c>
      <c r="W234" s="85">
        <f>W233+W228+W223</f>
      </c>
      <c r="X234" s="88">
        <f t="shared" si="16"/>
      </c>
      <c r="Y234" s="88">
        <f t="shared" si="248"/>
      </c>
      <c r="Z234" s="85">
        <f t="shared" si="100"/>
      </c>
      <c r="AA234" s="85">
        <f t="shared" si="2"/>
      </c>
      <c r="AB234" s="89">
        <f t="shared" si="4"/>
      </c>
      <c r="AC234" s="86">
        <f t="shared" si="14"/>
      </c>
      <c r="AD234" s="86">
        <f t="shared" si="10"/>
      </c>
      <c r="AE234" s="86">
        <f t="shared" si="22"/>
      </c>
      <c r="AF234" s="90">
        <f t="shared" si="18"/>
      </c>
      <c r="AG234" s="86">
        <f t="shared" si="102"/>
      </c>
      <c r="AH234" s="86">
        <f t="shared" si="26"/>
      </c>
      <c r="AI234" s="86">
        <f t="shared" si="6"/>
      </c>
      <c r="AJ234" s="87">
        <f>(AJ233+AJ228+AJ223)/3</f>
      </c>
      <c r="AK234" s="85">
        <f>AK233+AK228+AK223</f>
      </c>
      <c r="AL234" s="85">
        <f>AL233+AL228+AL223</f>
      </c>
      <c r="AM234" s="85">
        <f>AM233+AM228+AM223</f>
      </c>
      <c r="AN234" s="85">
        <f>AN233+AN228+AN223</f>
      </c>
      <c r="AO234" s="85">
        <f>AO233+AO228+AO223</f>
      </c>
      <c r="AP234" s="85">
        <f>AP233+AP228+AP223</f>
      </c>
      <c r="AQ234" s="85">
        <f>AQ233+AQ228+AQ223</f>
      </c>
      <c r="AR234" s="85">
        <f>AR233+AR228+AR223</f>
      </c>
      <c r="AS234" s="85">
        <f>AS233+AS228+AS223</f>
      </c>
      <c r="AT234" s="85">
        <f>AT233+AT228+AT223</f>
      </c>
      <c r="AU234" s="85">
        <f>AU233+AU228+AU223</f>
      </c>
      <c r="AV234" s="39"/>
      <c r="AW234" s="84">
        <f>AW223+AW228+AW233</f>
      </c>
      <c r="AX234" s="85">
        <f>AX233+AX228+AX223</f>
      </c>
    </row>
    <row hidden="true" r="235">
      <c r="A235" s="62">
        <v>46308</v>
      </c>
      <c r="B235" s="73" t="s">
        <v>88</v>
      </c>
      <c r="C235" s="41" t="s">
        <v>60</v>
      </c>
      <c r="D235" s="73" t="s">
        <v>61</v>
      </c>
      <c r="E235" s="28" t="s">
        <v>62</v>
      </c>
      <c r="F235" s="63">
        <f t="shared" ref="F235:F238" si="72">G235+H235+I235</f>
      </c>
      <c r="G235" s="81">
        <v>1717.01</v>
      </c>
      <c r="H235" s="81">
        <v>920.58</v>
      </c>
      <c r="I235" s="64">
        <v>0</v>
      </c>
      <c r="J235" s="65">
        <v>1</v>
      </c>
      <c r="K235" s="66">
        <v>1055.45</v>
      </c>
      <c r="L235" s="65">
        <v>4</v>
      </c>
      <c r="M235" s="65">
        <v>4873.41</v>
      </c>
      <c r="N235" s="67">
        <v>1</v>
      </c>
      <c r="O235" s="68">
        <f t="shared" si="24"/>
      </c>
      <c r="P235" s="67">
        <v>1</v>
      </c>
      <c r="Q235" s="68">
        <f t="shared" si="0"/>
      </c>
      <c r="R235" s="69">
        <f t="shared" ref="R235:R238" si="148">J235+L235</f>
      </c>
      <c r="S235" s="70">
        <f t="shared" ref="S235:S238" si="220">K235+M235</f>
      </c>
      <c r="T235" s="63">
        <f t="shared" si="12"/>
      </c>
      <c r="U235" s="63">
        <f t="shared" si="8"/>
      </c>
      <c r="V235" s="71">
        <f t="shared" si="20"/>
      </c>
      <c r="W235" s="67">
        <v>3</v>
      </c>
      <c r="X235" s="71">
        <f t="shared" si="16"/>
      </c>
      <c r="Y235" s="71">
        <f t="shared" si="248"/>
      </c>
      <c r="Z235" s="63">
        <f t="shared" si="100"/>
      </c>
      <c r="AA235" s="63">
        <f t="shared" si="2"/>
      </c>
      <c r="AB235" s="63">
        <f t="shared" si="4"/>
      </c>
      <c r="AC235" s="68">
        <f t="shared" si="14"/>
      </c>
      <c r="AD235" s="68">
        <f t="shared" si="10"/>
      </c>
      <c r="AE235" s="68">
        <f t="shared" si="22"/>
      </c>
      <c r="AF235" s="68">
        <f t="shared" si="18"/>
      </c>
      <c r="AG235" s="68">
        <f t="shared" si="102"/>
      </c>
      <c r="AH235" s="68">
        <f t="shared" si="26"/>
      </c>
      <c r="AI235" s="68">
        <f t="shared" si="6"/>
      </c>
      <c r="AJ235" s="67">
        <v>72</v>
      </c>
      <c r="AK235" s="72">
        <v>11086</v>
      </c>
      <c r="AL235" s="72">
        <v>354</v>
      </c>
      <c r="AM235" s="72">
        <v>430</v>
      </c>
      <c r="AN235" s="72">
        <v>99</v>
      </c>
      <c r="AO235" s="73">
        <v>31</v>
      </c>
      <c r="AP235" s="73">
        <v>98</v>
      </c>
      <c r="AQ235" s="73">
        <v>87</v>
      </c>
      <c r="AR235" s="73">
        <v>6</v>
      </c>
      <c r="AS235" s="73">
        <v>3</v>
      </c>
      <c r="AT235" s="67">
        <v>0</v>
      </c>
      <c r="AU235" s="67">
        <v>2</v>
      </c>
      <c r="AV235" s="39"/>
      <c r="AW235" s="40"/>
      <c r="AX235" s="41">
        <f t="shared" ref="AX235:AX238" si="294">COUNT(AU235)</f>
      </c>
    </row>
    <row hidden="true" r="236">
      <c r="A236" s="62"/>
      <c r="B236" s="73" t="s">
        <v>88</v>
      </c>
      <c r="C236" s="41" t="s">
        <v>60</v>
      </c>
      <c r="D236" s="73" t="s">
        <v>61</v>
      </c>
      <c r="E236" s="28" t="s">
        <v>63</v>
      </c>
      <c r="F236" s="63">
        <f t="shared" si="72"/>
      </c>
      <c r="G236" s="81">
        <v>1760.88</v>
      </c>
      <c r="H236" s="81">
        <v>1030.61</v>
      </c>
      <c r="I236" s="64">
        <v>0</v>
      </c>
      <c r="J236" s="65">
        <v>1</v>
      </c>
      <c r="K236" s="65">
        <v>1055.45</v>
      </c>
      <c r="L236" s="65">
        <v>3</v>
      </c>
      <c r="M236" s="65">
        <v>4332</v>
      </c>
      <c r="N236" s="67">
        <v>0</v>
      </c>
      <c r="O236" s="68">
        <f t="shared" si="24"/>
      </c>
      <c r="P236" s="67">
        <v>1</v>
      </c>
      <c r="Q236" s="68">
        <f t="shared" si="0"/>
      </c>
      <c r="R236" s="69">
        <f t="shared" si="148"/>
      </c>
      <c r="S236" s="70">
        <f t="shared" si="220"/>
      </c>
      <c r="T236" s="63">
        <f t="shared" si="12"/>
      </c>
      <c r="U236" s="63">
        <f t="shared" si="8"/>
      </c>
      <c r="V236" s="71">
        <f t="shared" si="20"/>
      </c>
      <c r="W236" s="67">
        <v>2</v>
      </c>
      <c r="X236" s="71">
        <f t="shared" si="16"/>
      </c>
      <c r="Y236" s="71">
        <f t="shared" si="248"/>
      </c>
      <c r="Z236" s="63">
        <f t="shared" si="100"/>
      </c>
      <c r="AA236" s="63">
        <f t="shared" si="2"/>
      </c>
      <c r="AB236" s="63">
        <f t="shared" si="4"/>
      </c>
      <c r="AC236" s="68">
        <f t="shared" si="14"/>
      </c>
      <c r="AD236" s="68">
        <f t="shared" si="10"/>
      </c>
      <c r="AE236" s="68">
        <f t="shared" si="22"/>
      </c>
      <c r="AF236" s="68">
        <f t="shared" si="18"/>
      </c>
      <c r="AG236" s="68">
        <f t="shared" si="102"/>
      </c>
      <c r="AH236" s="68">
        <f t="shared" si="26"/>
      </c>
      <c r="AI236" s="68">
        <f t="shared" si="6"/>
      </c>
      <c r="AJ236" s="67">
        <v>79</v>
      </c>
      <c r="AK236" s="72">
        <v>11389</v>
      </c>
      <c r="AL236" s="72">
        <v>345</v>
      </c>
      <c r="AM236" s="72">
        <v>452</v>
      </c>
      <c r="AN236" s="72">
        <v>65</v>
      </c>
      <c r="AO236" s="73">
        <v>32</v>
      </c>
      <c r="AP236" s="67">
        <v>101</v>
      </c>
      <c r="AQ236" s="73">
        <v>76</v>
      </c>
      <c r="AR236" s="73">
        <v>5</v>
      </c>
      <c r="AS236" s="67">
        <v>3</v>
      </c>
      <c r="AT236" s="67">
        <v>0</v>
      </c>
      <c r="AU236" s="67">
        <v>1</v>
      </c>
      <c r="AV236" s="39"/>
      <c r="AW236" s="40"/>
      <c r="AX236" s="41">
        <f t="shared" si="294"/>
      </c>
    </row>
    <row hidden="true" r="237">
      <c r="A237" s="62"/>
      <c r="B237" s="73" t="s">
        <v>88</v>
      </c>
      <c r="C237" s="41" t="s">
        <v>60</v>
      </c>
      <c r="D237" s="73" t="s">
        <v>61</v>
      </c>
      <c r="E237" s="28" t="s">
        <v>64</v>
      </c>
      <c r="F237" s="63">
        <f t="shared" si="72"/>
      </c>
      <c r="G237" s="81">
        <v>1807.57</v>
      </c>
      <c r="H237" s="81">
        <v>736.48</v>
      </c>
      <c r="I237" s="64">
        <v>0</v>
      </c>
      <c r="J237" s="64">
        <v>1</v>
      </c>
      <c r="K237" s="64">
        <v>3746.61</v>
      </c>
      <c r="L237" s="64">
        <v>1</v>
      </c>
      <c r="M237" s="64">
        <v>2033.9500000000007</v>
      </c>
      <c r="N237" s="67">
        <v>0</v>
      </c>
      <c r="O237" s="68">
        <f t="shared" si="24"/>
      </c>
      <c r="P237" s="67">
        <v>1</v>
      </c>
      <c r="Q237" s="68">
        <f t="shared" si="0"/>
      </c>
      <c r="R237" s="69">
        <f t="shared" si="148"/>
      </c>
      <c r="S237" s="70">
        <f t="shared" si="220"/>
      </c>
      <c r="T237" s="63">
        <f t="shared" si="12"/>
      </c>
      <c r="U237" s="63">
        <f t="shared" si="8"/>
      </c>
      <c r="V237" s="71">
        <f t="shared" si="20"/>
      </c>
      <c r="W237" s="67">
        <v>2</v>
      </c>
      <c r="X237" s="71">
        <f t="shared" si="16"/>
      </c>
      <c r="Y237" s="71">
        <f t="shared" si="248"/>
      </c>
      <c r="Z237" s="63">
        <f t="shared" si="100"/>
      </c>
      <c r="AA237" s="63">
        <f t="shared" si="2"/>
      </c>
      <c r="AB237" s="63">
        <f t="shared" si="4"/>
      </c>
      <c r="AC237" s="68">
        <f t="shared" si="14"/>
      </c>
      <c r="AD237" s="68">
        <f t="shared" si="10"/>
      </c>
      <c r="AE237" s="68">
        <f t="shared" si="22"/>
      </c>
      <c r="AF237" s="68">
        <f t="shared" si="18"/>
      </c>
      <c r="AG237" s="68">
        <f t="shared" si="102"/>
      </c>
      <c r="AH237" s="68">
        <f t="shared" si="26"/>
      </c>
      <c r="AI237" s="68">
        <f t="shared" si="6"/>
      </c>
      <c r="AJ237" s="67">
        <v>70</v>
      </c>
      <c r="AK237" s="72">
        <v>12462</v>
      </c>
      <c r="AL237" s="72">
        <v>381</v>
      </c>
      <c r="AM237" s="72">
        <v>438</v>
      </c>
      <c r="AN237" s="72">
        <v>78</v>
      </c>
      <c r="AO237" s="73">
        <v>23</v>
      </c>
      <c r="AP237" s="72">
        <v>52</v>
      </c>
      <c r="AQ237" s="41">
        <v>86</v>
      </c>
      <c r="AR237" s="73">
        <v>3</v>
      </c>
      <c r="AS237" s="67">
        <v>7</v>
      </c>
      <c r="AT237" s="67">
        <v>0</v>
      </c>
      <c r="AU237" s="67">
        <v>1</v>
      </c>
      <c r="AV237" s="39"/>
      <c r="AW237" s="40"/>
      <c r="AX237" s="41">
        <f t="shared" si="294"/>
      </c>
    </row>
    <row hidden="true" r="238">
      <c r="A238" s="62"/>
      <c r="B238" s="73" t="s">
        <v>88</v>
      </c>
      <c r="C238" s="41" t="s">
        <v>60</v>
      </c>
      <c r="D238" s="73" t="s">
        <v>61</v>
      </c>
      <c r="E238" s="41" t="s">
        <v>65</v>
      </c>
      <c r="F238" s="63">
        <f t="shared" si="72"/>
      </c>
      <c r="G238" s="81">
        <v>1619.34</v>
      </c>
      <c r="H238" s="81">
        <v>892.08</v>
      </c>
      <c r="I238" s="65">
        <v>0</v>
      </c>
      <c r="J238" s="65">
        <v>2</v>
      </c>
      <c r="K238" s="65">
        <v>1890.5</v>
      </c>
      <c r="L238" s="65">
        <v>0</v>
      </c>
      <c r="M238" s="65">
        <v>0</v>
      </c>
      <c r="N238" s="67">
        <v>0</v>
      </c>
      <c r="O238" s="68">
        <f t="shared" si="24"/>
      </c>
      <c r="P238" s="67">
        <v>0</v>
      </c>
      <c r="Q238" s="68">
        <f t="shared" si="0"/>
      </c>
      <c r="R238" s="69">
        <f t="shared" si="148"/>
      </c>
      <c r="S238" s="70">
        <f t="shared" si="220"/>
      </c>
      <c r="T238" s="63">
        <f t="shared" si="12"/>
      </c>
      <c r="U238" s="63">
        <f t="shared" si="8"/>
      </c>
      <c r="V238" s="71">
        <f t="shared" si="20"/>
      </c>
      <c r="W238" s="67">
        <v>2</v>
      </c>
      <c r="X238" s="71">
        <f t="shared" si="16"/>
      </c>
      <c r="Y238" s="71">
        <f t="shared" si="248"/>
      </c>
      <c r="Z238" s="63">
        <f t="shared" si="100"/>
      </c>
      <c r="AA238" s="63">
        <f t="shared" si="2"/>
      </c>
      <c r="AB238" s="63">
        <f t="shared" si="4"/>
      </c>
      <c r="AC238" s="68">
        <f t="shared" si="14"/>
      </c>
      <c r="AD238" s="68">
        <f t="shared" si="10"/>
      </c>
      <c r="AE238" s="68">
        <f t="shared" si="22"/>
      </c>
      <c r="AF238" s="68">
        <f t="shared" si="18"/>
      </c>
      <c r="AG238" s="68">
        <f t="shared" si="102"/>
      </c>
      <c r="AH238" s="68">
        <f t="shared" si="26"/>
      </c>
      <c r="AI238" s="68">
        <f t="shared" si="6"/>
      </c>
      <c r="AJ238" s="67">
        <v>70</v>
      </c>
      <c r="AK238" s="72">
        <v>12840</v>
      </c>
      <c r="AL238" s="72">
        <v>381</v>
      </c>
      <c r="AM238" s="72">
        <v>462</v>
      </c>
      <c r="AN238" s="72">
        <v>86</v>
      </c>
      <c r="AO238" s="73">
        <v>35</v>
      </c>
      <c r="AP238" s="72">
        <v>76</v>
      </c>
      <c r="AQ238" s="41">
        <v>88</v>
      </c>
      <c r="AR238" s="73">
        <v>3</v>
      </c>
      <c r="AS238" s="67">
        <v>11</v>
      </c>
      <c r="AT238" s="67">
        <v>0</v>
      </c>
      <c r="AU238" s="67">
        <v>1</v>
      </c>
      <c r="AV238" s="39"/>
      <c r="AW238" s="40"/>
      <c r="AX238" s="41">
        <f t="shared" si="294"/>
      </c>
    </row>
    <row hidden="true" r="239">
      <c r="A239" s="62"/>
      <c r="B239" s="75" t="s">
        <v>66</v>
      </c>
      <c r="C239" s="75"/>
      <c r="D239" s="75"/>
      <c r="E239" s="75"/>
      <c r="F239" s="76">
        <f>SUM(F235:F238)</f>
      </c>
      <c r="G239" s="76">
        <f>SUM(G235:G238)</f>
      </c>
      <c r="H239" s="76">
        <f>SUM(H235:H238)</f>
      </c>
      <c r="I239" s="76">
        <f>SUM(I235:I238)</f>
      </c>
      <c r="J239" s="76">
        <f>SUM(J235:J238)</f>
      </c>
      <c r="K239" s="76">
        <f>SUM(K235:K238)</f>
      </c>
      <c r="L239" s="76">
        <f>SUM(L235:L238)</f>
      </c>
      <c r="M239" s="76">
        <f>SUM(M235:M238)</f>
      </c>
      <c r="N239" s="76">
        <f>SUM(N235:N238)</f>
      </c>
      <c r="O239" s="77">
        <f t="shared" si="24"/>
      </c>
      <c r="P239" s="76">
        <f>SUM(P235:P238)</f>
      </c>
      <c r="Q239" s="77">
        <f t="shared" si="0"/>
      </c>
      <c r="R239" s="76">
        <f>SUM(R235:R238)</f>
      </c>
      <c r="S239" s="76">
        <f>SUM(S235:S238)</f>
      </c>
      <c r="T239" s="76">
        <f t="shared" si="12"/>
      </c>
      <c r="U239" s="76">
        <f t="shared" si="8"/>
      </c>
      <c r="V239" s="76">
        <f t="shared" si="20"/>
      </c>
      <c r="W239" s="76">
        <f>SUM(W235:W238)</f>
      </c>
      <c r="X239" s="79">
        <f t="shared" si="16"/>
      </c>
      <c r="Y239" s="79">
        <f t="shared" si="248"/>
      </c>
      <c r="Z239" s="76">
        <f t="shared" si="100"/>
      </c>
      <c r="AA239" s="76">
        <f t="shared" si="2"/>
      </c>
      <c r="AB239" s="80">
        <f t="shared" si="4"/>
      </c>
      <c r="AC239" s="77">
        <f t="shared" si="14"/>
      </c>
      <c r="AD239" s="77">
        <f t="shared" si="10"/>
      </c>
      <c r="AE239" s="77">
        <f t="shared" si="22"/>
      </c>
      <c r="AF239" s="77">
        <f t="shared" si="18"/>
      </c>
      <c r="AG239" s="77">
        <f t="shared" si="102"/>
      </c>
      <c r="AH239" s="77">
        <f t="shared" si="26"/>
      </c>
      <c r="AI239" s="77">
        <f t="shared" si="6"/>
      </c>
      <c r="AJ239" s="78">
        <f>AVERAGE(AJ235:AJ238)</f>
      </c>
      <c r="AK239" s="76">
        <f>SUM(AK235:AK238)</f>
      </c>
      <c r="AL239" s="76">
        <f>SUM(AL235:AL238)</f>
      </c>
      <c r="AM239" s="76">
        <f>SUM(AM235:AM238)</f>
      </c>
      <c r="AN239" s="76">
        <f>SUM(AN235:AN238)</f>
      </c>
      <c r="AO239" s="76">
        <f>SUM(AO235:AO238)</f>
      </c>
      <c r="AP239" s="76">
        <f>SUM(AP235:AP238)</f>
      </c>
      <c r="AQ239" s="76">
        <f>SUM(AQ235:AQ238)</f>
      </c>
      <c r="AR239" s="76">
        <f>SUM(AR235:AR238)</f>
      </c>
      <c r="AS239" s="76">
        <f>SUM(AS235:AS238)</f>
      </c>
      <c r="AT239" s="76">
        <f>SUM(AT235:AT238)</f>
      </c>
      <c r="AU239" s="76">
        <f>SUM(AU235:AU238)</f>
      </c>
      <c r="AV239" s="39"/>
      <c r="AW239" s="48"/>
      <c r="AX239" s="76">
        <f>SUM(AX235:AX238)</f>
      </c>
    </row>
    <row hidden="true" r="240">
      <c r="A240" s="62"/>
      <c r="B240" s="73" t="s">
        <v>88</v>
      </c>
      <c r="C240" s="41" t="s">
        <v>60</v>
      </c>
      <c r="D240" s="41" t="s">
        <v>74</v>
      </c>
      <c r="E240" s="41" t="s">
        <v>68</v>
      </c>
      <c r="F240" s="63">
        <f t="shared" ref="F240:F243" si="73">G240+H240+I240</f>
      </c>
      <c r="G240" s="81">
        <v>985.99</v>
      </c>
      <c r="H240" s="81">
        <v>1017.24</v>
      </c>
      <c r="I240" s="64">
        <v>0</v>
      </c>
      <c r="J240" s="64">
        <v>1</v>
      </c>
      <c r="K240" s="64">
        <v>1221.7000000000007</v>
      </c>
      <c r="L240" s="64">
        <v>0</v>
      </c>
      <c r="M240" s="64">
        <v>0</v>
      </c>
      <c r="N240" s="67">
        <v>0</v>
      </c>
      <c r="O240" s="68">
        <f t="shared" si="24"/>
      </c>
      <c r="P240" s="67">
        <v>0</v>
      </c>
      <c r="Q240" s="68">
        <f t="shared" si="0"/>
      </c>
      <c r="R240" s="69">
        <f t="shared" ref="R240:R243" si="149">J240+L240</f>
      </c>
      <c r="S240" s="70">
        <f t="shared" ref="S240:S243" si="221">K240+M240</f>
      </c>
      <c r="T240" s="63">
        <f t="shared" si="12"/>
      </c>
      <c r="U240" s="63">
        <f t="shared" si="8"/>
      </c>
      <c r="V240" s="71">
        <f t="shared" si="20"/>
      </c>
      <c r="W240" s="67">
        <v>1</v>
      </c>
      <c r="X240" s="71">
        <f t="shared" si="16"/>
      </c>
      <c r="Y240" s="71">
        <f t="shared" si="248"/>
      </c>
      <c r="Z240" s="63">
        <f t="shared" si="100"/>
      </c>
      <c r="AA240" s="63">
        <f t="shared" si="2"/>
      </c>
      <c r="AB240" s="63">
        <f t="shared" si="4"/>
      </c>
      <c r="AC240" s="68">
        <f t="shared" si="14"/>
      </c>
      <c r="AD240" s="68">
        <f t="shared" si="10"/>
      </c>
      <c r="AE240" s="68">
        <f t="shared" si="22"/>
      </c>
      <c r="AF240" s="68">
        <f t="shared" si="18"/>
      </c>
      <c r="AG240" s="68">
        <f t="shared" si="102"/>
      </c>
      <c r="AH240" s="68">
        <f t="shared" si="26"/>
      </c>
      <c r="AI240" s="68">
        <f t="shared" si="6"/>
      </c>
      <c r="AJ240" s="67">
        <v>70</v>
      </c>
      <c r="AK240" s="72">
        <v>9384</v>
      </c>
      <c r="AL240" s="72">
        <v>234</v>
      </c>
      <c r="AM240" s="72">
        <v>376</v>
      </c>
      <c r="AN240" s="72">
        <v>50</v>
      </c>
      <c r="AO240" s="73">
        <v>24</v>
      </c>
      <c r="AP240" s="72">
        <v>64</v>
      </c>
      <c r="AQ240" s="41">
        <v>67</v>
      </c>
      <c r="AR240" s="73">
        <v>1</v>
      </c>
      <c r="AS240" s="73">
        <v>4</v>
      </c>
      <c r="AT240" s="67">
        <v>0</v>
      </c>
      <c r="AU240" s="67">
        <v>0</v>
      </c>
      <c r="AV240" s="39"/>
      <c r="AW240" s="40"/>
      <c r="AX240" s="41">
        <f t="shared" ref="AX240:AX243" si="295">COUNT(AU240)</f>
      </c>
    </row>
    <row hidden="true" r="241">
      <c r="A241" s="62"/>
      <c r="B241" s="73" t="s">
        <v>88</v>
      </c>
      <c r="C241" s="41" t="s">
        <v>60</v>
      </c>
      <c r="D241" s="41" t="s">
        <v>74</v>
      </c>
      <c r="E241" s="41" t="s">
        <v>69</v>
      </c>
      <c r="F241" s="63">
        <f t="shared" si="73"/>
      </c>
      <c r="G241" s="81">
        <v>807.99</v>
      </c>
      <c r="H241" s="81">
        <v>850.64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7">
        <v>0</v>
      </c>
      <c r="O241" s="68">
        <f t="shared" si="24"/>
      </c>
      <c r="P241" s="67">
        <v>0</v>
      </c>
      <c r="Q241" s="68">
        <f t="shared" si="0"/>
      </c>
      <c r="R241" s="69">
        <f t="shared" si="149"/>
      </c>
      <c r="S241" s="70">
        <f t="shared" si="221"/>
      </c>
      <c r="T241" s="63">
        <f t="shared" si="12"/>
      </c>
      <c r="U241" s="63">
        <f t="shared" si="8"/>
      </c>
      <c r="V241" s="71">
        <f t="shared" si="20"/>
      </c>
      <c r="W241" s="67">
        <v>0</v>
      </c>
      <c r="X241" s="71">
        <f t="shared" si="16"/>
      </c>
      <c r="Y241" s="71">
        <f t="shared" si="248"/>
      </c>
      <c r="Z241" s="63">
        <f t="shared" si="100"/>
      </c>
      <c r="AA241" s="63">
        <f t="shared" si="2"/>
      </c>
      <c r="AB241" s="63">
        <f t="shared" si="4"/>
      </c>
      <c r="AC241" s="68">
        <f t="shared" si="14"/>
      </c>
      <c r="AD241" s="68">
        <f t="shared" si="10"/>
      </c>
      <c r="AE241" s="68">
        <f t="shared" si="22"/>
      </c>
      <c r="AF241" s="68">
        <f t="shared" si="18"/>
      </c>
      <c r="AG241" s="68">
        <f t="shared" si="102"/>
      </c>
      <c r="AH241" s="68">
        <f t="shared" si="26"/>
      </c>
      <c r="AI241" s="68">
        <f t="shared" si="6"/>
      </c>
      <c r="AJ241" s="67">
        <v>68</v>
      </c>
      <c r="AK241" s="72">
        <v>7972</v>
      </c>
      <c r="AL241" s="72">
        <v>180</v>
      </c>
      <c r="AM241" s="72">
        <v>344</v>
      </c>
      <c r="AN241" s="72">
        <v>48</v>
      </c>
      <c r="AO241" s="73">
        <v>16</v>
      </c>
      <c r="AP241" s="72">
        <v>43</v>
      </c>
      <c r="AQ241" s="41">
        <v>42</v>
      </c>
      <c r="AR241" s="73">
        <v>0</v>
      </c>
      <c r="AS241" s="73">
        <v>2</v>
      </c>
      <c r="AT241" s="67">
        <v>3</v>
      </c>
      <c r="AU241" s="67">
        <v>1</v>
      </c>
      <c r="AV241" s="39"/>
      <c r="AW241" s="40"/>
      <c r="AX241" s="41">
        <f t="shared" si="295"/>
      </c>
    </row>
    <row hidden="true" r="242">
      <c r="A242" s="62"/>
      <c r="B242" s="73" t="s">
        <v>88</v>
      </c>
      <c r="C242" s="41" t="s">
        <v>60</v>
      </c>
      <c r="D242" s="41" t="s">
        <v>74</v>
      </c>
      <c r="E242" s="41" t="s">
        <v>70</v>
      </c>
      <c r="F242" s="63">
        <f t="shared" si="73"/>
      </c>
      <c r="G242" s="81">
        <v>1252.29</v>
      </c>
      <c r="H242" s="81">
        <v>1149.23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7">
        <v>0</v>
      </c>
      <c r="O242" s="68">
        <f t="shared" si="24"/>
      </c>
      <c r="P242" s="67">
        <v>0</v>
      </c>
      <c r="Q242" s="68">
        <f t="shared" si="0"/>
      </c>
      <c r="R242" s="69">
        <f t="shared" si="149"/>
      </c>
      <c r="S242" s="70">
        <f t="shared" si="221"/>
      </c>
      <c r="T242" s="63">
        <f t="shared" si="12"/>
      </c>
      <c r="U242" s="63">
        <f t="shared" si="8"/>
      </c>
      <c r="V242" s="71">
        <f t="shared" si="20"/>
      </c>
      <c r="W242" s="67">
        <v>0</v>
      </c>
      <c r="X242" s="71">
        <f t="shared" si="16"/>
      </c>
      <c r="Y242" s="71">
        <f t="shared" si="248"/>
      </c>
      <c r="Z242" s="63">
        <f t="shared" si="100"/>
      </c>
      <c r="AA242" s="63">
        <f t="shared" si="2"/>
      </c>
      <c r="AB242" s="63">
        <f t="shared" si="4"/>
      </c>
      <c r="AC242" s="68">
        <f t="shared" si="14"/>
      </c>
      <c r="AD242" s="68">
        <f t="shared" si="10"/>
      </c>
      <c r="AE242" s="68">
        <f t="shared" si="22"/>
      </c>
      <c r="AF242" s="68">
        <f t="shared" si="18"/>
      </c>
      <c r="AG242" s="68">
        <f t="shared" si="102"/>
      </c>
      <c r="AH242" s="68">
        <f t="shared" si="26"/>
      </c>
      <c r="AI242" s="68">
        <f t="shared" si="6"/>
      </c>
      <c r="AJ242" s="67">
        <v>43</v>
      </c>
      <c r="AK242" s="72">
        <v>12020</v>
      </c>
      <c r="AL242" s="72">
        <v>243</v>
      </c>
      <c r="AM242" s="72">
        <v>428</v>
      </c>
      <c r="AN242" s="72">
        <v>55</v>
      </c>
      <c r="AO242" s="73">
        <v>26</v>
      </c>
      <c r="AP242" s="72">
        <v>85</v>
      </c>
      <c r="AQ242" s="73">
        <v>45</v>
      </c>
      <c r="AR242" s="73">
        <v>0</v>
      </c>
      <c r="AS242" s="72">
        <v>7</v>
      </c>
      <c r="AT242" s="72">
        <v>2</v>
      </c>
      <c r="AU242" s="72">
        <v>7</v>
      </c>
      <c r="AV242" s="39"/>
      <c r="AW242" s="40"/>
      <c r="AX242" s="41">
        <f t="shared" si="295"/>
      </c>
    </row>
    <row hidden="true" r="243">
      <c r="A243" s="62"/>
      <c r="B243" s="73" t="s">
        <v>71</v>
      </c>
      <c r="C243" s="41" t="s">
        <v>72</v>
      </c>
      <c r="D243" s="41" t="s">
        <v>74</v>
      </c>
      <c r="E243" s="41" t="s">
        <v>73</v>
      </c>
      <c r="F243" s="63">
        <f t="shared" si="73"/>
      </c>
      <c r="G243" s="81">
        <v>1254.17</v>
      </c>
      <c r="H243" s="81">
        <v>819.58</v>
      </c>
      <c r="I243" s="64">
        <v>0</v>
      </c>
      <c r="J243" s="65">
        <v>1</v>
      </c>
      <c r="K243" s="65">
        <v>3420.8599999999988</v>
      </c>
      <c r="L243" s="65">
        <v>0</v>
      </c>
      <c r="M243" s="65">
        <v>0</v>
      </c>
      <c r="N243" s="67">
        <v>0</v>
      </c>
      <c r="O243" s="68">
        <f t="shared" si="24"/>
      </c>
      <c r="P243" s="67">
        <v>1</v>
      </c>
      <c r="Q243" s="68">
        <f t="shared" si="0"/>
      </c>
      <c r="R243" s="69">
        <f t="shared" si="149"/>
      </c>
      <c r="S243" s="70">
        <f t="shared" si="221"/>
      </c>
      <c r="T243" s="63">
        <f t="shared" si="12"/>
      </c>
      <c r="U243" s="63">
        <f t="shared" si="8"/>
      </c>
      <c r="V243" s="71">
        <f t="shared" si="20"/>
      </c>
      <c r="W243" s="67">
        <v>1</v>
      </c>
      <c r="X243" s="71">
        <f t="shared" si="16"/>
      </c>
      <c r="Y243" s="71">
        <f t="shared" si="248"/>
      </c>
      <c r="Z243" s="63">
        <f t="shared" si="100"/>
      </c>
      <c r="AA243" s="63">
        <f t="shared" si="2"/>
      </c>
      <c r="AB243" s="63">
        <f t="shared" si="4"/>
      </c>
      <c r="AC243" s="68">
        <f t="shared" si="14"/>
      </c>
      <c r="AD243" s="68">
        <f t="shared" si="10"/>
      </c>
      <c r="AE243" s="68">
        <f t="shared" si="22"/>
      </c>
      <c r="AF243" s="68">
        <f t="shared" si="18"/>
      </c>
      <c r="AG243" s="68">
        <f t="shared" si="102"/>
      </c>
      <c r="AH243" s="68">
        <f t="shared" si="26"/>
      </c>
      <c r="AI243" s="68">
        <f t="shared" si="6"/>
      </c>
      <c r="AJ243" s="67">
        <v>45</v>
      </c>
      <c r="AK243" s="72">
        <v>11663</v>
      </c>
      <c r="AL243" s="72">
        <v>263</v>
      </c>
      <c r="AM243" s="67">
        <v>474</v>
      </c>
      <c r="AN243" s="67">
        <v>66</v>
      </c>
      <c r="AO243" s="73">
        <v>26</v>
      </c>
      <c r="AP243" s="67">
        <v>101</v>
      </c>
      <c r="AQ243" s="73">
        <v>59</v>
      </c>
      <c r="AR243" s="73">
        <v>2</v>
      </c>
      <c r="AS243" s="67">
        <v>4</v>
      </c>
      <c r="AT243" s="67">
        <v>0</v>
      </c>
      <c r="AU243" s="67">
        <v>2</v>
      </c>
      <c r="AV243" s="39"/>
      <c r="AW243" s="40"/>
      <c r="AX243" s="41">
        <f t="shared" si="295"/>
      </c>
    </row>
    <row hidden="true" r="244">
      <c r="A244" s="62"/>
      <c r="B244" s="75" t="s">
        <v>66</v>
      </c>
      <c r="C244" s="75"/>
      <c r="D244" s="75"/>
      <c r="E244" s="75"/>
      <c r="F244" s="76">
        <f>SUM(F240:F243)</f>
      </c>
      <c r="G244" s="76">
        <f>SUM(G240:G243)</f>
      </c>
      <c r="H244" s="76">
        <f>SUM(H240:H243)</f>
      </c>
      <c r="I244" s="76">
        <f>SUM(I240:I243)</f>
      </c>
      <c r="J244" s="76">
        <f>SUM(J240:J243)</f>
      </c>
      <c r="K244" s="76">
        <f>SUM(K240:K243)</f>
      </c>
      <c r="L244" s="76">
        <f>SUM(L240:L243)</f>
      </c>
      <c r="M244" s="76">
        <f>SUM(M240:M243)</f>
      </c>
      <c r="N244" s="76">
        <f>SUM(N240:N243)</f>
      </c>
      <c r="O244" s="77">
        <f t="shared" si="24"/>
      </c>
      <c r="P244" s="76">
        <f>SUM(P240:P243)</f>
      </c>
      <c r="Q244" s="77">
        <f t="shared" si="0"/>
      </c>
      <c r="R244" s="91">
        <f>SUM(R240:R243)</f>
      </c>
      <c r="S244" s="76">
        <f>SUM(S240:S243)</f>
      </c>
      <c r="T244" s="76">
        <f t="shared" si="12"/>
      </c>
      <c r="U244" s="76">
        <f t="shared" si="8"/>
      </c>
      <c r="V244" s="79">
        <f t="shared" si="20"/>
      </c>
      <c r="W244" s="76">
        <f>SUM(W240:W243)</f>
      </c>
      <c r="X244" s="79">
        <f t="shared" si="16"/>
      </c>
      <c r="Y244" s="79">
        <f t="shared" si="248"/>
      </c>
      <c r="Z244" s="76">
        <f t="shared" si="100"/>
      </c>
      <c r="AA244" s="76">
        <f t="shared" si="2"/>
      </c>
      <c r="AB244" s="80">
        <f t="shared" si="4"/>
      </c>
      <c r="AC244" s="77">
        <f t="shared" si="14"/>
      </c>
      <c r="AD244" s="77">
        <f t="shared" si="10"/>
      </c>
      <c r="AE244" s="77">
        <f t="shared" si="22"/>
      </c>
      <c r="AF244" s="82">
        <f t="shared" si="18"/>
      </c>
      <c r="AG244" s="77">
        <f t="shared" si="102"/>
      </c>
      <c r="AH244" s="77">
        <f t="shared" si="26"/>
      </c>
      <c r="AI244" s="77">
        <f t="shared" si="6"/>
      </c>
      <c r="AJ244" s="78">
        <f>AVERAGE(AJ240:AJ243)</f>
      </c>
      <c r="AK244" s="76">
        <f>SUM(AK240:AK243)</f>
      </c>
      <c r="AL244" s="76">
        <f>SUM(AL240:AL243)</f>
      </c>
      <c r="AM244" s="76">
        <f>SUM(AM240:AM243)</f>
      </c>
      <c r="AN244" s="76">
        <f>SUM(AN240:AN243)</f>
      </c>
      <c r="AO244" s="76">
        <f>SUM(AO240:AO243)</f>
      </c>
      <c r="AP244" s="76">
        <f>SUM(AP240:AP243)</f>
      </c>
      <c r="AQ244" s="76">
        <f>SUM(AQ240:AQ243)</f>
      </c>
      <c r="AR244" s="76">
        <f>SUM(AR240:AR243)</f>
      </c>
      <c r="AS244" s="76">
        <f>SUM(AS240:AS243)</f>
      </c>
      <c r="AT244" s="76">
        <f>SUM(AT240:AT243)</f>
      </c>
      <c r="AU244" s="76">
        <f>SUM(AU240:AU243)</f>
      </c>
      <c r="AV244" s="39"/>
      <c r="AW244" s="48"/>
      <c r="AX244" s="49">
        <f>SUM(AX240:AX243)</f>
      </c>
    </row>
    <row hidden="true" r="245">
      <c r="A245" s="62"/>
      <c r="B245" s="73" t="s">
        <v>71</v>
      </c>
      <c r="C245" s="41" t="s">
        <v>72</v>
      </c>
      <c r="D245" s="73" t="s">
        <v>85</v>
      </c>
      <c r="E245" s="41" t="s">
        <v>75</v>
      </c>
      <c r="F245" s="63">
        <f t="shared" ref="F245:F247" si="74">G245+H245+I245</f>
      </c>
      <c r="G245" s="81">
        <v>904.96</v>
      </c>
      <c r="H245" s="81">
        <v>926.07</v>
      </c>
      <c r="I245" s="64">
        <v>0</v>
      </c>
      <c r="J245" s="65">
        <v>1</v>
      </c>
      <c r="K245" s="65">
        <v>3696.4500000000007</v>
      </c>
      <c r="L245" s="65">
        <v>1</v>
      </c>
      <c r="M245" s="65">
        <v>1299.6000000000004</v>
      </c>
      <c r="N245" s="67">
        <v>1</v>
      </c>
      <c r="O245" s="68">
        <f t="shared" si="24"/>
      </c>
      <c r="P245" s="67">
        <v>0</v>
      </c>
      <c r="Q245" s="68">
        <f t="shared" si="0"/>
      </c>
      <c r="R245" s="69">
        <f t="shared" ref="R245:R247" si="150">J245+L245</f>
      </c>
      <c r="S245" s="70">
        <f t="shared" ref="S245:S247" si="222">K245+M245</f>
      </c>
      <c r="T245" s="63">
        <f t="shared" si="12"/>
      </c>
      <c r="U245" s="63">
        <f t="shared" si="8"/>
      </c>
      <c r="V245" s="71">
        <f t="shared" si="20"/>
      </c>
      <c r="W245" s="67">
        <v>2</v>
      </c>
      <c r="X245" s="71">
        <f t="shared" si="16"/>
      </c>
      <c r="Y245" s="71">
        <f t="shared" si="248"/>
      </c>
      <c r="Z245" s="63">
        <f t="shared" si="100"/>
      </c>
      <c r="AA245" s="63">
        <f t="shared" si="2"/>
      </c>
      <c r="AB245" s="63">
        <f t="shared" si="4"/>
      </c>
      <c r="AC245" s="68">
        <f t="shared" si="14"/>
      </c>
      <c r="AD245" s="68">
        <f t="shared" si="10"/>
      </c>
      <c r="AE245" s="68">
        <f t="shared" si="22"/>
      </c>
      <c r="AF245" s="68">
        <f t="shared" si="18"/>
      </c>
      <c r="AG245" s="68">
        <f t="shared" si="102"/>
      </c>
      <c r="AH245" s="68">
        <f t="shared" si="26"/>
      </c>
      <c r="AI245" s="68">
        <f t="shared" si="6"/>
      </c>
      <c r="AJ245" s="67">
        <v>49</v>
      </c>
      <c r="AK245" s="72">
        <v>11285</v>
      </c>
      <c r="AL245" s="72">
        <v>257</v>
      </c>
      <c r="AM245" s="72">
        <v>442</v>
      </c>
      <c r="AN245" s="72">
        <v>50</v>
      </c>
      <c r="AO245" s="73">
        <v>18</v>
      </c>
      <c r="AP245" s="72">
        <v>52</v>
      </c>
      <c r="AQ245" s="41">
        <v>45</v>
      </c>
      <c r="AR245" s="73">
        <v>2</v>
      </c>
      <c r="AS245" s="73">
        <v>5</v>
      </c>
      <c r="AT245" s="67">
        <v>0</v>
      </c>
      <c r="AU245" s="67">
        <v>6</v>
      </c>
      <c r="AV245" s="39"/>
      <c r="AW245" s="40"/>
      <c r="AX245" s="41">
        <f t="shared" ref="AX245:AX247" si="296">COUNT(AU245)</f>
      </c>
    </row>
    <row hidden="true" r="246">
      <c r="A246" s="62"/>
      <c r="B246" s="73" t="s">
        <v>71</v>
      </c>
      <c r="C246" s="41" t="s">
        <v>72</v>
      </c>
      <c r="D246" s="73" t="s">
        <v>85</v>
      </c>
      <c r="E246" s="41" t="s">
        <v>76</v>
      </c>
      <c r="F246" s="63">
        <f t="shared" si="74"/>
      </c>
      <c r="G246" s="81">
        <v>768.93</v>
      </c>
      <c r="H246" s="81">
        <v>2433.83</v>
      </c>
      <c r="I246" s="64">
        <v>0</v>
      </c>
      <c r="J246" s="64">
        <v>0</v>
      </c>
      <c r="K246" s="64">
        <v>0</v>
      </c>
      <c r="L246" s="65">
        <v>2</v>
      </c>
      <c r="M246" s="65">
        <v>5171.33</v>
      </c>
      <c r="N246" s="67">
        <v>0</v>
      </c>
      <c r="O246" s="68">
        <f t="shared" si="24"/>
      </c>
      <c r="P246" s="67">
        <v>2</v>
      </c>
      <c r="Q246" s="68">
        <f t="shared" si="0"/>
      </c>
      <c r="R246" s="69">
        <f t="shared" si="150"/>
      </c>
      <c r="S246" s="70">
        <f t="shared" si="222"/>
      </c>
      <c r="T246" s="63">
        <f t="shared" si="12"/>
      </c>
      <c r="U246" s="63">
        <f t="shared" si="8"/>
      </c>
      <c r="V246" s="71">
        <f t="shared" si="20"/>
      </c>
      <c r="W246" s="67">
        <v>2</v>
      </c>
      <c r="X246" s="71">
        <f t="shared" si="16"/>
      </c>
      <c r="Y246" s="71">
        <f t="shared" si="248"/>
      </c>
      <c r="Z246" s="63">
        <f t="shared" si="100"/>
      </c>
      <c r="AA246" s="63">
        <f t="shared" si="2"/>
      </c>
      <c r="AB246" s="63">
        <f t="shared" si="4"/>
      </c>
      <c r="AC246" s="68">
        <f t="shared" si="14"/>
      </c>
      <c r="AD246" s="68">
        <f t="shared" si="10"/>
      </c>
      <c r="AE246" s="68">
        <f t="shared" si="22"/>
      </c>
      <c r="AF246" s="68">
        <f t="shared" si="18"/>
      </c>
      <c r="AG246" s="68">
        <f t="shared" si="102"/>
      </c>
      <c r="AH246" s="68">
        <f t="shared" si="26"/>
      </c>
      <c r="AI246" s="68">
        <f t="shared" si="6"/>
      </c>
      <c r="AJ246" s="67">
        <v>59</v>
      </c>
      <c r="AK246" s="67">
        <v>18859</v>
      </c>
      <c r="AL246" s="72">
        <v>335</v>
      </c>
      <c r="AM246" s="72">
        <v>559</v>
      </c>
      <c r="AN246" s="72">
        <v>94</v>
      </c>
      <c r="AO246" s="73">
        <v>26</v>
      </c>
      <c r="AP246" s="67">
        <v>81</v>
      </c>
      <c r="AQ246" s="73">
        <v>91</v>
      </c>
      <c r="AR246" s="73">
        <v>4</v>
      </c>
      <c r="AS246" s="73">
        <v>5</v>
      </c>
      <c r="AT246" s="67">
        <v>1</v>
      </c>
      <c r="AU246" s="67">
        <v>11</v>
      </c>
      <c r="AV246" s="39"/>
      <c r="AW246" s="40"/>
      <c r="AX246" s="41">
        <f t="shared" si="296"/>
      </c>
    </row>
    <row hidden="true" r="247">
      <c r="A247" s="62"/>
      <c r="B247" s="73" t="s">
        <v>71</v>
      </c>
      <c r="C247" s="41" t="s">
        <v>72</v>
      </c>
      <c r="D247" s="73" t="s">
        <v>85</v>
      </c>
      <c r="E247" s="41" t="s">
        <v>77</v>
      </c>
      <c r="F247" s="63">
        <f t="shared" si="74"/>
      </c>
      <c r="G247" s="81">
        <v>798.12</v>
      </c>
      <c r="H247" s="81">
        <v>5230.8</v>
      </c>
      <c r="I247" s="64">
        <v>0</v>
      </c>
      <c r="J247" s="65">
        <v>3</v>
      </c>
      <c r="K247" s="65">
        <v>4238.0999999999985</v>
      </c>
      <c r="L247" s="64">
        <v>4</v>
      </c>
      <c r="M247" s="64">
        <v>7797.449999999997</v>
      </c>
      <c r="N247" s="67">
        <v>0</v>
      </c>
      <c r="O247" s="68">
        <f t="shared" si="24"/>
      </c>
      <c r="P247" s="67">
        <v>1</v>
      </c>
      <c r="Q247" s="68">
        <f t="shared" si="0"/>
      </c>
      <c r="R247" s="69">
        <f t="shared" si="150"/>
      </c>
      <c r="S247" s="70">
        <f t="shared" si="222"/>
      </c>
      <c r="T247" s="63">
        <f t="shared" si="12"/>
      </c>
      <c r="U247" s="63">
        <f t="shared" si="8"/>
      </c>
      <c r="V247" s="71">
        <f t="shared" si="20"/>
      </c>
      <c r="W247" s="67">
        <v>5</v>
      </c>
      <c r="X247" s="71">
        <f t="shared" si="16"/>
      </c>
      <c r="Y247" s="71">
        <f t="shared" si="248"/>
      </c>
      <c r="Z247" s="63">
        <f t="shared" si="100"/>
      </c>
      <c r="AA247" s="63">
        <f t="shared" si="2"/>
      </c>
      <c r="AB247" s="63">
        <f t="shared" si="4"/>
      </c>
      <c r="AC247" s="68">
        <f t="shared" si="14"/>
      </c>
      <c r="AD247" s="68">
        <f t="shared" si="10"/>
      </c>
      <c r="AE247" s="68">
        <f t="shared" si="22"/>
      </c>
      <c r="AF247" s="68">
        <f t="shared" si="18"/>
      </c>
      <c r="AG247" s="68">
        <f t="shared" si="102"/>
      </c>
      <c r="AH247" s="68">
        <f t="shared" si="26"/>
      </c>
      <c r="AI247" s="68">
        <f t="shared" si="6"/>
      </c>
      <c r="AJ247" s="67">
        <v>61</v>
      </c>
      <c r="AK247" s="72">
        <v>38982</v>
      </c>
      <c r="AL247" s="72">
        <v>543</v>
      </c>
      <c r="AM247" s="72">
        <v>808</v>
      </c>
      <c r="AN247" s="72">
        <v>142</v>
      </c>
      <c r="AO247" s="73">
        <v>51</v>
      </c>
      <c r="AP247" s="72">
        <v>113</v>
      </c>
      <c r="AQ247" s="41">
        <v>135</v>
      </c>
      <c r="AR247" s="73">
        <v>8</v>
      </c>
      <c r="AS247" s="67">
        <v>13</v>
      </c>
      <c r="AT247" s="67">
        <v>1</v>
      </c>
      <c r="AU247" s="67">
        <v>18</v>
      </c>
      <c r="AV247" s="39"/>
      <c r="AW247" s="40"/>
      <c r="AX247" s="41">
        <f t="shared" si="296"/>
      </c>
    </row>
    <row hidden="true" r="248">
      <c r="A248" s="62"/>
      <c r="B248" s="75" t="s">
        <v>66</v>
      </c>
      <c r="C248" s="75"/>
      <c r="D248" s="75"/>
      <c r="E248" s="75"/>
      <c r="F248" s="76">
        <f>SUM(F245:F247)</f>
      </c>
      <c r="G248" s="76">
        <f>SUM(G245:G247)</f>
      </c>
      <c r="H248" s="76">
        <f>SUM(H245:H247)</f>
      </c>
      <c r="I248" s="76">
        <f>SUM(I245:I247)</f>
      </c>
      <c r="J248" s="76">
        <f>SUM(J245:J247)</f>
      </c>
      <c r="K248" s="76">
        <f>SUM(K245:K247)</f>
      </c>
      <c r="L248" s="76">
        <f>SUM(L245:L247)</f>
      </c>
      <c r="M248" s="76">
        <f>SUM(M245:M247)</f>
      </c>
      <c r="N248" s="76">
        <f>SUM(N245:N247)</f>
      </c>
      <c r="O248" s="77">
        <f t="shared" si="24"/>
      </c>
      <c r="P248" s="76">
        <f>SUM(P245:P247)</f>
      </c>
      <c r="Q248" s="77">
        <f t="shared" si="0"/>
      </c>
      <c r="R248" s="78">
        <f>SUM(R245:R247)</f>
      </c>
      <c r="S248" s="76">
        <f>SUM(S245:S247)</f>
      </c>
      <c r="T248" s="76">
        <f t="shared" si="12"/>
      </c>
      <c r="U248" s="76">
        <f t="shared" si="8"/>
      </c>
      <c r="V248" s="79">
        <f t="shared" si="20"/>
      </c>
      <c r="W248" s="76">
        <f>SUM(W245:W247)</f>
      </c>
      <c r="X248" s="79">
        <f t="shared" si="16"/>
      </c>
      <c r="Y248" s="79">
        <f t="shared" si="248"/>
      </c>
      <c r="Z248" s="76">
        <f t="shared" si="100"/>
      </c>
      <c r="AA248" s="76">
        <f t="shared" si="2"/>
      </c>
      <c r="AB248" s="80">
        <f t="shared" si="4"/>
      </c>
      <c r="AC248" s="77">
        <f t="shared" si="14"/>
      </c>
      <c r="AD248" s="77">
        <f t="shared" si="10"/>
      </c>
      <c r="AE248" s="77">
        <f t="shared" si="22"/>
      </c>
      <c r="AF248" s="82">
        <f t="shared" si="18"/>
      </c>
      <c r="AG248" s="77">
        <f t="shared" si="102"/>
      </c>
      <c r="AH248" s="77">
        <f t="shared" si="26"/>
      </c>
      <c r="AI248" s="77">
        <f t="shared" si="6"/>
      </c>
      <c r="AJ248" s="78">
        <f>AVERAGE(AJ245:AJ247)</f>
      </c>
      <c r="AK248" s="76">
        <f>SUM(AK245:AK247)</f>
      </c>
      <c r="AL248" s="76">
        <f>SUM(AL245:AL247)</f>
      </c>
      <c r="AM248" s="76">
        <f>SUM(AM245:AM247)</f>
      </c>
      <c r="AN248" s="76">
        <f>SUM(AN245:AN247)</f>
      </c>
      <c r="AO248" s="76">
        <f>SUM(AO245:AO247)</f>
      </c>
      <c r="AP248" s="76">
        <f>SUM(AP245:AP247)</f>
      </c>
      <c r="AQ248" s="76">
        <f>SUM(AQ245:AQ247)</f>
      </c>
      <c r="AR248" s="76">
        <f>SUM(AR245:AR247)</f>
      </c>
      <c r="AS248" s="76">
        <f>SUM(AS245:AS247)</f>
      </c>
      <c r="AT248" s="76">
        <f>SUM(AT245:AT247)</f>
      </c>
      <c r="AU248" s="76">
        <f>SUM(AU245:AU247)</f>
      </c>
      <c r="AV248" s="39"/>
      <c r="AW248" s="48"/>
      <c r="AX248" s="49">
        <f>SUM(AX245:AX247)</f>
      </c>
    </row>
    <row customHeight="true" hidden="true" ht="16.071428571428573" r="249">
      <c r="A249" s="62"/>
      <c r="B249" s="73" t="s">
        <v>71</v>
      </c>
      <c r="C249" s="41" t="s">
        <v>72</v>
      </c>
      <c r="D249" s="73" t="s">
        <v>79</v>
      </c>
      <c r="E249" s="73" t="s">
        <v>78</v>
      </c>
      <c r="F249" s="63">
        <f t="shared" ref="F249:F251" si="75">G249+H249+I249</f>
      </c>
      <c r="G249" s="81">
        <v>526.69</v>
      </c>
      <c r="H249" s="81">
        <v>2430.83</v>
      </c>
      <c r="I249" s="64">
        <v>0</v>
      </c>
      <c r="J249" s="65">
        <v>2</v>
      </c>
      <c r="K249" s="65">
        <v>4285.100000000002</v>
      </c>
      <c r="L249" s="65">
        <v>4</v>
      </c>
      <c r="M249" s="65">
        <v>6845.9000000000015</v>
      </c>
      <c r="N249" s="67">
        <v>2</v>
      </c>
      <c r="O249" s="68">
        <f t="shared" si="24"/>
      </c>
      <c r="P249" s="67">
        <v>1</v>
      </c>
      <c r="Q249" s="68">
        <f t="shared" si="0"/>
      </c>
      <c r="R249" s="69">
        <f t="shared" ref="R249:R251" si="151">J249+L249</f>
      </c>
      <c r="S249" s="70">
        <f t="shared" ref="S249:S251" si="223">K249+M249</f>
      </c>
      <c r="T249" s="63">
        <f t="shared" si="12"/>
      </c>
      <c r="U249" s="63">
        <f t="shared" si="8"/>
      </c>
      <c r="V249" s="71">
        <f t="shared" si="20"/>
      </c>
      <c r="W249" s="67">
        <v>2</v>
      </c>
      <c r="X249" s="71">
        <f t="shared" si="16"/>
      </c>
      <c r="Y249" s="71">
        <f t="shared" si="248"/>
      </c>
      <c r="Z249" s="63">
        <f t="shared" si="100"/>
      </c>
      <c r="AA249" s="63">
        <f t="shared" si="2"/>
      </c>
      <c r="AB249" s="63">
        <f t="shared" si="4"/>
      </c>
      <c r="AC249" s="68">
        <f t="shared" si="14"/>
      </c>
      <c r="AD249" s="68">
        <f t="shared" si="10"/>
      </c>
      <c r="AE249" s="68">
        <f t="shared" si="22"/>
      </c>
      <c r="AF249" s="68">
        <f t="shared" si="18"/>
      </c>
      <c r="AG249" s="68">
        <f t="shared" si="102"/>
      </c>
      <c r="AH249" s="68">
        <f t="shared" si="26"/>
      </c>
      <c r="AI249" s="68">
        <f t="shared" si="6"/>
      </c>
      <c r="AJ249" s="67">
        <v>70</v>
      </c>
      <c r="AK249" s="72">
        <v>22497</v>
      </c>
      <c r="AL249" s="72">
        <v>285</v>
      </c>
      <c r="AM249" s="72">
        <v>393</v>
      </c>
      <c r="AN249" s="72">
        <v>98</v>
      </c>
      <c r="AO249" s="73">
        <v>21</v>
      </c>
      <c r="AP249" s="72">
        <v>74</v>
      </c>
      <c r="AQ249" s="41">
        <v>82</v>
      </c>
      <c r="AR249" s="73">
        <v>8</v>
      </c>
      <c r="AS249" s="73">
        <v>4</v>
      </c>
      <c r="AT249" s="67">
        <v>0</v>
      </c>
      <c r="AU249" s="67">
        <v>10</v>
      </c>
      <c r="AV249" s="39"/>
      <c r="AW249" s="40"/>
      <c r="AX249" s="41">
        <f t="shared" ref="AX249:AX251" si="297">COUNT(AU249)</f>
      </c>
    </row>
    <row customHeight="true" hidden="true" ht="16.071428571428573" r="250">
      <c r="A250" s="62"/>
      <c r="B250" s="73" t="s">
        <v>71</v>
      </c>
      <c r="C250" s="41" t="s">
        <v>72</v>
      </c>
      <c r="D250" s="73" t="s">
        <v>79</v>
      </c>
      <c r="E250" s="73" t="s">
        <v>80</v>
      </c>
      <c r="F250" s="63">
        <f t="shared" si="75"/>
      </c>
      <c r="G250" s="81">
        <v>693.18</v>
      </c>
      <c r="H250" s="81">
        <v>2409.78</v>
      </c>
      <c r="I250" s="64">
        <v>0</v>
      </c>
      <c r="J250" s="64">
        <v>0</v>
      </c>
      <c r="K250" s="64">
        <v>0</v>
      </c>
      <c r="L250" s="65">
        <v>2</v>
      </c>
      <c r="M250" s="65">
        <v>1977.6200000000026</v>
      </c>
      <c r="N250" s="67">
        <v>2</v>
      </c>
      <c r="O250" s="68">
        <f t="shared" si="24"/>
      </c>
      <c r="P250" s="67">
        <v>0</v>
      </c>
      <c r="Q250" s="68">
        <f t="shared" si="0"/>
      </c>
      <c r="R250" s="69">
        <f t="shared" si="151"/>
      </c>
      <c r="S250" s="70">
        <f t="shared" si="223"/>
      </c>
      <c r="T250" s="63">
        <f t="shared" si="12"/>
      </c>
      <c r="U250" s="63">
        <f t="shared" si="8"/>
      </c>
      <c r="V250" s="71">
        <f t="shared" si="20"/>
      </c>
      <c r="W250" s="67">
        <v>1</v>
      </c>
      <c r="X250" s="71">
        <f t="shared" si="16"/>
      </c>
      <c r="Y250" s="71">
        <f t="shared" si="248"/>
      </c>
      <c r="Z250" s="63">
        <f t="shared" si="100"/>
      </c>
      <c r="AA250" s="63">
        <f t="shared" si="2"/>
      </c>
      <c r="AB250" s="63">
        <f t="shared" si="4"/>
      </c>
      <c r="AC250" s="68">
        <f t="shared" si="14"/>
      </c>
      <c r="AD250" s="68">
        <f t="shared" si="10"/>
      </c>
      <c r="AE250" s="68">
        <f t="shared" si="22"/>
      </c>
      <c r="AF250" s="68">
        <f t="shared" si="18"/>
      </c>
      <c r="AG250" s="68">
        <f t="shared" si="102"/>
      </c>
      <c r="AH250" s="68">
        <f t="shared" si="26"/>
      </c>
      <c r="AI250" s="68">
        <f t="shared" si="6"/>
      </c>
      <c r="AJ250" s="67">
        <v>75</v>
      </c>
      <c r="AK250" s="67">
        <v>18221</v>
      </c>
      <c r="AL250" s="72">
        <v>298</v>
      </c>
      <c r="AM250" s="72">
        <v>369</v>
      </c>
      <c r="AN250" s="72">
        <v>116</v>
      </c>
      <c r="AO250" s="73">
        <v>29</v>
      </c>
      <c r="AP250" s="67">
        <v>86</v>
      </c>
      <c r="AQ250" s="73">
        <v>84</v>
      </c>
      <c r="AR250" s="73">
        <v>3</v>
      </c>
      <c r="AS250" s="41">
        <v>9</v>
      </c>
      <c r="AT250" s="72">
        <v>1</v>
      </c>
      <c r="AU250" s="72">
        <v>8</v>
      </c>
      <c r="AV250" s="39"/>
      <c r="AW250" s="40"/>
      <c r="AX250" s="41">
        <f t="shared" si="297"/>
      </c>
    </row>
    <row customHeight="true" hidden="true" ht="16.071428571428573" r="251">
      <c r="A251" s="62"/>
      <c r="B251" s="73" t="s">
        <v>71</v>
      </c>
      <c r="C251" s="41" t="s">
        <v>72</v>
      </c>
      <c r="D251" s="73" t="s">
        <v>79</v>
      </c>
      <c r="E251" s="73" t="s">
        <v>81</v>
      </c>
      <c r="F251" s="63">
        <f t="shared" si="75"/>
      </c>
      <c r="G251" s="81">
        <v>904.14</v>
      </c>
      <c r="H251" s="81">
        <f>1564.63+0.03</f>
      </c>
      <c r="I251" s="64">
        <v>0</v>
      </c>
      <c r="J251" s="65">
        <v>0</v>
      </c>
      <c r="K251" s="65">
        <v>0</v>
      </c>
      <c r="L251" s="64">
        <v>2</v>
      </c>
      <c r="M251" s="64">
        <v>4899.909999999996</v>
      </c>
      <c r="N251" s="67">
        <v>0</v>
      </c>
      <c r="O251" s="68">
        <f t="shared" si="24"/>
      </c>
      <c r="P251" s="67">
        <v>0</v>
      </c>
      <c r="Q251" s="68">
        <f t="shared" si="0"/>
      </c>
      <c r="R251" s="69">
        <f t="shared" si="151"/>
      </c>
      <c r="S251" s="70">
        <f t="shared" si="223"/>
      </c>
      <c r="T251" s="63">
        <f t="shared" si="12"/>
      </c>
      <c r="U251" s="63">
        <f t="shared" si="8"/>
      </c>
      <c r="V251" s="71">
        <f t="shared" si="20"/>
      </c>
      <c r="W251" s="67">
        <v>0</v>
      </c>
      <c r="X251" s="71">
        <f t="shared" si="16"/>
      </c>
      <c r="Y251" s="71">
        <f t="shared" si="248"/>
      </c>
      <c r="Z251" s="63">
        <f t="shared" si="100"/>
      </c>
      <c r="AA251" s="63">
        <f t="shared" si="2"/>
      </c>
      <c r="AB251" s="63">
        <f t="shared" si="4"/>
      </c>
      <c r="AC251" s="68">
        <f t="shared" si="14"/>
      </c>
      <c r="AD251" s="68">
        <f t="shared" si="10"/>
      </c>
      <c r="AE251" s="68">
        <f t="shared" si="22"/>
      </c>
      <c r="AF251" s="68">
        <f t="shared" si="18"/>
      </c>
      <c r="AG251" s="68">
        <f t="shared" si="102"/>
      </c>
      <c r="AH251" s="68">
        <f t="shared" si="26"/>
      </c>
      <c r="AI251" s="68">
        <f t="shared" si="6"/>
      </c>
      <c r="AJ251" s="67">
        <v>73</v>
      </c>
      <c r="AK251" s="72">
        <v>16140</v>
      </c>
      <c r="AL251" s="72">
        <v>321</v>
      </c>
      <c r="AM251" s="72">
        <v>425</v>
      </c>
      <c r="AN251" s="72">
        <v>97</v>
      </c>
      <c r="AO251" s="73">
        <v>13</v>
      </c>
      <c r="AP251" s="72">
        <v>38</v>
      </c>
      <c r="AQ251" s="41">
        <v>84</v>
      </c>
      <c r="AR251" s="73">
        <v>3</v>
      </c>
      <c r="AS251" s="67">
        <v>8</v>
      </c>
      <c r="AT251" s="67">
        <v>3</v>
      </c>
      <c r="AU251" s="67">
        <v>4</v>
      </c>
      <c r="AV251" s="39"/>
      <c r="AW251" s="40"/>
      <c r="AX251" s="41">
        <f t="shared" si="297"/>
      </c>
    </row>
    <row customHeight="true" hidden="true" ht="16.071428571428573" r="252">
      <c r="A252" s="62"/>
      <c r="B252" s="75" t="s">
        <v>66</v>
      </c>
      <c r="C252" s="75"/>
      <c r="D252" s="75"/>
      <c r="E252" s="75"/>
      <c r="F252" s="76">
        <f>SUM(F249:F251)</f>
      </c>
      <c r="G252" s="76">
        <f>SUM(G249:G251)</f>
      </c>
      <c r="H252" s="76">
        <f>SUM(H249:H251)</f>
      </c>
      <c r="I252" s="76">
        <f>SUM(I249:I251)</f>
      </c>
      <c r="J252" s="76">
        <f>SUM(J249:J251)</f>
      </c>
      <c r="K252" s="76">
        <f>SUM(K249:K251)</f>
      </c>
      <c r="L252" s="76">
        <f>SUM(L249:L251)</f>
      </c>
      <c r="M252" s="76">
        <f>SUM(M249:M251)</f>
      </c>
      <c r="N252" s="76">
        <f>SUM(N249:N251)</f>
      </c>
      <c r="O252" s="77">
        <f t="shared" si="24"/>
      </c>
      <c r="P252" s="76">
        <f>SUM(P249:P251)</f>
      </c>
      <c r="Q252" s="77">
        <f t="shared" si="0"/>
      </c>
      <c r="R252" s="76">
        <f>SUM(R249:R251)</f>
      </c>
      <c r="S252" s="76">
        <f>SUM(S249:S251)</f>
      </c>
      <c r="T252" s="76">
        <f t="shared" si="12"/>
      </c>
      <c r="U252" s="76">
        <f t="shared" si="8"/>
      </c>
      <c r="V252" s="79">
        <f t="shared" si="20"/>
      </c>
      <c r="W252" s="76">
        <f>SUM(W249:W251)</f>
      </c>
      <c r="X252" s="79">
        <f t="shared" si="16"/>
      </c>
      <c r="Y252" s="79">
        <f t="shared" si="248"/>
      </c>
      <c r="Z252" s="76">
        <f t="shared" si="100"/>
      </c>
      <c r="AA252" s="76">
        <f t="shared" si="2"/>
      </c>
      <c r="AB252" s="80">
        <f t="shared" si="4"/>
      </c>
      <c r="AC252" s="77">
        <f t="shared" si="14"/>
      </c>
      <c r="AD252" s="77">
        <f t="shared" si="10"/>
      </c>
      <c r="AE252" s="77">
        <f t="shared" si="22"/>
      </c>
      <c r="AF252" s="82">
        <f t="shared" si="18"/>
      </c>
      <c r="AG252" s="77">
        <f t="shared" si="102"/>
      </c>
      <c r="AH252" s="77">
        <f t="shared" si="26"/>
      </c>
      <c r="AI252" s="77">
        <f t="shared" si="6"/>
      </c>
      <c r="AJ252" s="78">
        <f>AVERAGE(AJ249:AJ251)</f>
      </c>
      <c r="AK252" s="76">
        <f>SUM(AK249:AK251)</f>
      </c>
      <c r="AL252" s="76">
        <f>SUM(AL249:AL251)</f>
      </c>
      <c r="AM252" s="76">
        <f>SUM(AM249:AM251)</f>
      </c>
      <c r="AN252" s="76">
        <f>SUM(AN249:AN251)</f>
      </c>
      <c r="AO252" s="76">
        <f>SUM(AO249:AO251)</f>
      </c>
      <c r="AP252" s="76">
        <f>SUM(AP249:AP251)</f>
      </c>
      <c r="AQ252" s="76">
        <f>SUM(AQ249:AQ251)</f>
      </c>
      <c r="AR252" s="76">
        <f>SUM(AR249:AR251)</f>
      </c>
      <c r="AS252" s="76">
        <f>SUM(AS249:AS251)</f>
      </c>
      <c r="AT252" s="76">
        <f>SUM(AT249:AT251)</f>
      </c>
      <c r="AU252" s="76">
        <f>SUM(AU249:AU251)</f>
      </c>
      <c r="AV252" s="76"/>
      <c r="AW252" s="76"/>
      <c r="AX252" s="76">
        <f>SUM(AX249:AX251)</f>
      </c>
    </row>
    <row hidden="true" r="253">
      <c r="A253" s="62"/>
      <c r="B253" s="84" t="s">
        <v>84</v>
      </c>
      <c r="C253" s="84"/>
      <c r="D253" s="84"/>
      <c r="E253" s="84"/>
      <c r="F253" s="85">
        <f>F248+F244+F239+F252</f>
      </c>
      <c r="G253" s="85">
        <f>G248+G244+G239+G252</f>
      </c>
      <c r="H253" s="85">
        <f>H248+H244+H239+H252</f>
      </c>
      <c r="I253" s="85">
        <f>I248+I244+I239+I252</f>
      </c>
      <c r="J253" s="85">
        <f>J248+J244+J239+J252</f>
      </c>
      <c r="K253" s="85">
        <f>K248+K244+K239+K252</f>
      </c>
      <c r="L253" s="85">
        <f>L248+L244+L239+L252</f>
      </c>
      <c r="M253" s="85">
        <f>M248+M244+M239+M252</f>
      </c>
      <c r="N253" s="85">
        <f>N248+N244+N239+N252</f>
      </c>
      <c r="O253" s="86">
        <f t="shared" si="24"/>
      </c>
      <c r="P253" s="85">
        <f>P248+P244+P239+P252</f>
      </c>
      <c r="Q253" s="86">
        <f t="shared" si="0"/>
      </c>
      <c r="R253" s="85">
        <f>R248+R244+R239+R252</f>
      </c>
      <c r="S253" s="85">
        <f>S248+S244+S239+S252</f>
      </c>
      <c r="T253" s="85">
        <f t="shared" si="12"/>
      </c>
      <c r="U253" s="85">
        <f t="shared" si="8"/>
      </c>
      <c r="V253" s="88">
        <f t="shared" si="20"/>
      </c>
      <c r="W253" s="85">
        <f>W248+W244+W239+W252</f>
      </c>
      <c r="X253" s="88">
        <f t="shared" si="16"/>
      </c>
      <c r="Y253" s="88">
        <f t="shared" si="248"/>
      </c>
      <c r="Z253" s="85">
        <f t="shared" si="100"/>
      </c>
      <c r="AA253" s="85">
        <f t="shared" si="2"/>
      </c>
      <c r="AB253" s="89">
        <f t="shared" si="4"/>
      </c>
      <c r="AC253" s="86">
        <f t="shared" si="14"/>
      </c>
      <c r="AD253" s="86">
        <f t="shared" si="10"/>
      </c>
      <c r="AE253" s="86">
        <f t="shared" si="22"/>
      </c>
      <c r="AF253" s="90">
        <f t="shared" si="18"/>
      </c>
      <c r="AG253" s="86">
        <f t="shared" si="102"/>
      </c>
      <c r="AH253" s="86">
        <f t="shared" si="26"/>
      </c>
      <c r="AI253" s="86">
        <f t="shared" si="6"/>
      </c>
      <c r="AJ253" s="87">
        <f>(AJ248+AJ244+AJ239+AJ252)/4</f>
      </c>
      <c r="AK253" s="85">
        <f>AK248+AK244+AK239+AK252</f>
      </c>
      <c r="AL253" s="85">
        <f>AL248+AL244+AL239+AL252</f>
      </c>
      <c r="AM253" s="85">
        <f>AM248+AM244+AM239+AM252</f>
      </c>
      <c r="AN253" s="85">
        <f>AN248+AN244+AN239+AN252</f>
      </c>
      <c r="AO253" s="85">
        <f>AO248+AO244+AO239+AO252</f>
      </c>
      <c r="AP253" s="85">
        <f>AP248+AP244+AP239+AP252</f>
      </c>
      <c r="AQ253" s="85">
        <f>AQ248+AQ244+AQ239+AQ252</f>
      </c>
      <c r="AR253" s="85">
        <f>AR248+AR244+AR239+AR252</f>
      </c>
      <c r="AS253" s="85">
        <f>AS248+AS244+AS239+AS252</f>
      </c>
      <c r="AT253" s="85">
        <f>AT248+AT244+AT239+AT252</f>
      </c>
      <c r="AU253" s="85">
        <f>AU248+AU244+AU239+AU252</f>
      </c>
      <c r="AV253" s="39"/>
      <c r="AW253" s="84">
        <f>AW239+AW244+AW248+AW252</f>
      </c>
      <c r="AX253" s="84">
        <f>AX239+AX244+AX248+AX252</f>
      </c>
    </row>
    <row hidden="true" r="254">
      <c r="A254" s="62">
        <v>46309</v>
      </c>
      <c r="B254" s="73" t="s">
        <v>88</v>
      </c>
      <c r="C254" s="41" t="s">
        <v>60</v>
      </c>
      <c r="D254" s="41" t="s">
        <v>74</v>
      </c>
      <c r="E254" s="28" t="s">
        <v>62</v>
      </c>
      <c r="F254" s="63">
        <f t="shared" ref="F254:F257" si="76">G254+H254+I254</f>
      </c>
      <c r="G254" s="81">
        <v>1053</v>
      </c>
      <c r="H254" s="81">
        <v>1982.27</v>
      </c>
      <c r="I254" s="64">
        <v>0</v>
      </c>
      <c r="J254" s="65">
        <v>0</v>
      </c>
      <c r="K254" s="66">
        <v>0</v>
      </c>
      <c r="L254" s="65">
        <v>3</v>
      </c>
      <c r="M254" s="65">
        <v>9220.61</v>
      </c>
      <c r="N254" s="67">
        <v>1</v>
      </c>
      <c r="O254" s="68">
        <f t="shared" si="24"/>
      </c>
      <c r="P254" s="67">
        <v>1</v>
      </c>
      <c r="Q254" s="68">
        <f t="shared" si="0"/>
      </c>
      <c r="R254" s="69">
        <f t="shared" ref="R254:R257" si="152">J254+L254</f>
      </c>
      <c r="S254" s="70">
        <f t="shared" ref="S254:S257" si="224">K254+M254</f>
      </c>
      <c r="T254" s="63">
        <f t="shared" si="12"/>
      </c>
      <c r="U254" s="63">
        <f t="shared" si="8"/>
      </c>
      <c r="V254" s="71">
        <f t="shared" si="20"/>
      </c>
      <c r="W254" s="67">
        <v>3</v>
      </c>
      <c r="X254" s="71">
        <f t="shared" si="16"/>
      </c>
      <c r="Y254" s="71">
        <f t="shared" si="248"/>
      </c>
      <c r="Z254" s="63">
        <f t="shared" si="100"/>
      </c>
      <c r="AA254" s="63">
        <f t="shared" si="2"/>
      </c>
      <c r="AB254" s="63">
        <f t="shared" si="4"/>
      </c>
      <c r="AC254" s="68">
        <f t="shared" si="14"/>
      </c>
      <c r="AD254" s="68">
        <f t="shared" si="10"/>
      </c>
      <c r="AE254" s="68">
        <f t="shared" si="22"/>
      </c>
      <c r="AF254" s="68">
        <f t="shared" si="18"/>
      </c>
      <c r="AG254" s="68">
        <f t="shared" si="102"/>
      </c>
      <c r="AH254" s="68">
        <f t="shared" si="26"/>
      </c>
      <c r="AI254" s="68">
        <f t="shared" si="6"/>
      </c>
      <c r="AJ254" s="67">
        <v>58</v>
      </c>
      <c r="AK254" s="72">
        <v>13201</v>
      </c>
      <c r="AL254" s="72">
        <v>331</v>
      </c>
      <c r="AM254" s="72">
        <v>422</v>
      </c>
      <c r="AN254" s="72">
        <v>78</v>
      </c>
      <c r="AO254" s="73">
        <v>26</v>
      </c>
      <c r="AP254" s="73">
        <v>82</v>
      </c>
      <c r="AQ254" s="73">
        <v>74</v>
      </c>
      <c r="AR254" s="73">
        <v>4</v>
      </c>
      <c r="AS254" s="73">
        <v>6</v>
      </c>
      <c r="AT254" s="67">
        <v>2</v>
      </c>
      <c r="AU254" s="67">
        <v>7</v>
      </c>
      <c r="AV254" s="39"/>
      <c r="AW254" s="40"/>
      <c r="AX254" s="41">
        <f t="shared" ref="AX254:AX257" si="298">COUNT(AU254)</f>
      </c>
    </row>
    <row hidden="true" r="255">
      <c r="A255" s="62"/>
      <c r="B255" s="73" t="s">
        <v>88</v>
      </c>
      <c r="C255" s="41" t="s">
        <v>60</v>
      </c>
      <c r="D255" s="41" t="s">
        <v>74</v>
      </c>
      <c r="E255" s="28" t="s">
        <v>63</v>
      </c>
      <c r="F255" s="63">
        <f t="shared" si="76"/>
      </c>
      <c r="G255" s="81">
        <v>1404.18</v>
      </c>
      <c r="H255" s="81">
        <v>2518.92</v>
      </c>
      <c r="I255" s="64">
        <v>0</v>
      </c>
      <c r="J255" s="65">
        <v>0</v>
      </c>
      <c r="K255" s="65">
        <v>0</v>
      </c>
      <c r="L255" s="65">
        <v>6</v>
      </c>
      <c r="M255" s="65">
        <v>11363.899999999998</v>
      </c>
      <c r="N255" s="67">
        <v>0</v>
      </c>
      <c r="O255" s="68">
        <f t="shared" si="24"/>
      </c>
      <c r="P255" s="67">
        <v>0</v>
      </c>
      <c r="Q255" s="68">
        <f t="shared" si="0"/>
      </c>
      <c r="R255" s="69">
        <f t="shared" si="152"/>
      </c>
      <c r="S255" s="70">
        <f t="shared" si="224"/>
      </c>
      <c r="T255" s="63">
        <f t="shared" si="12"/>
      </c>
      <c r="U255" s="63">
        <f t="shared" si="8"/>
      </c>
      <c r="V255" s="71">
        <f t="shared" si="20"/>
      </c>
      <c r="W255" s="67">
        <v>6</v>
      </c>
      <c r="X255" s="71">
        <f t="shared" si="16"/>
      </c>
      <c r="Y255" s="71">
        <f t="shared" si="248"/>
      </c>
      <c r="Z255" s="63">
        <f t="shared" si="100"/>
      </c>
      <c r="AA255" s="63">
        <f t="shared" si="2"/>
      </c>
      <c r="AB255" s="63">
        <f t="shared" si="4"/>
      </c>
      <c r="AC255" s="68">
        <f t="shared" si="14"/>
      </c>
      <c r="AD255" s="68">
        <f t="shared" si="10"/>
      </c>
      <c r="AE255" s="68">
        <f t="shared" si="22"/>
      </c>
      <c r="AF255" s="68">
        <f t="shared" si="18"/>
      </c>
      <c r="AG255" s="68">
        <f t="shared" si="102"/>
      </c>
      <c r="AH255" s="68">
        <f t="shared" si="26"/>
      </c>
      <c r="AI255" s="68">
        <f t="shared" si="6"/>
      </c>
      <c r="AJ255" s="67">
        <v>67</v>
      </c>
      <c r="AK255" s="72">
        <v>14821</v>
      </c>
      <c r="AL255" s="72">
        <v>383</v>
      </c>
      <c r="AM255" s="72">
        <v>538</v>
      </c>
      <c r="AN255" s="72">
        <v>88</v>
      </c>
      <c r="AO255" s="73">
        <v>31</v>
      </c>
      <c r="AP255" s="67">
        <v>101</v>
      </c>
      <c r="AQ255" s="73">
        <v>102</v>
      </c>
      <c r="AR255" s="73">
        <v>9</v>
      </c>
      <c r="AS255" s="67">
        <v>10</v>
      </c>
      <c r="AT255" s="67">
        <v>2</v>
      </c>
      <c r="AU255" s="67">
        <v>6</v>
      </c>
      <c r="AV255" s="39"/>
      <c r="AW255" s="40"/>
      <c r="AX255" s="41">
        <f t="shared" si="298"/>
      </c>
    </row>
    <row hidden="true" r="256">
      <c r="A256" s="62"/>
      <c r="B256" s="73" t="s">
        <v>88</v>
      </c>
      <c r="C256" s="41" t="s">
        <v>60</v>
      </c>
      <c r="D256" s="41" t="s">
        <v>74</v>
      </c>
      <c r="E256" s="28" t="s">
        <v>64</v>
      </c>
      <c r="F256" s="63">
        <f t="shared" si="76"/>
      </c>
      <c r="G256" s="81">
        <v>1319.28</v>
      </c>
      <c r="H256" s="81">
        <v>2491.24</v>
      </c>
      <c r="I256" s="64">
        <v>0</v>
      </c>
      <c r="J256" s="64">
        <v>2</v>
      </c>
      <c r="K256" s="64">
        <v>2383.9300000000003</v>
      </c>
      <c r="L256" s="64">
        <v>4</v>
      </c>
      <c r="M256" s="64">
        <v>10924.529999999999</v>
      </c>
      <c r="N256" s="67">
        <v>2</v>
      </c>
      <c r="O256" s="68">
        <f t="shared" si="24"/>
      </c>
      <c r="P256" s="67">
        <v>0</v>
      </c>
      <c r="Q256" s="68">
        <f t="shared" si="0"/>
      </c>
      <c r="R256" s="69">
        <f t="shared" si="152"/>
      </c>
      <c r="S256" s="70">
        <f t="shared" si="224"/>
      </c>
      <c r="T256" s="63">
        <f t="shared" si="12"/>
      </c>
      <c r="U256" s="63">
        <f t="shared" si="8"/>
      </c>
      <c r="V256" s="71">
        <f t="shared" si="20"/>
      </c>
      <c r="W256" s="67">
        <v>5</v>
      </c>
      <c r="X256" s="71">
        <f t="shared" si="16"/>
      </c>
      <c r="Y256" s="71">
        <f t="shared" si="248"/>
      </c>
      <c r="Z256" s="63">
        <f t="shared" si="100"/>
      </c>
      <c r="AA256" s="63">
        <f t="shared" si="2"/>
      </c>
      <c r="AB256" s="63">
        <f t="shared" si="4"/>
      </c>
      <c r="AC256" s="68">
        <f t="shared" si="14"/>
      </c>
      <c r="AD256" s="68">
        <f t="shared" si="10"/>
      </c>
      <c r="AE256" s="68">
        <f t="shared" si="22"/>
      </c>
      <c r="AF256" s="68">
        <f t="shared" si="18"/>
      </c>
      <c r="AG256" s="68">
        <f t="shared" si="102"/>
      </c>
      <c r="AH256" s="68">
        <f t="shared" si="26"/>
      </c>
      <c r="AI256" s="68">
        <f t="shared" si="6"/>
      </c>
      <c r="AJ256" s="67">
        <v>78</v>
      </c>
      <c r="AK256" s="72">
        <v>18982</v>
      </c>
      <c r="AL256" s="72">
        <v>370</v>
      </c>
      <c r="AM256" s="72">
        <v>536</v>
      </c>
      <c r="AN256" s="72">
        <v>82</v>
      </c>
      <c r="AO256" s="73">
        <v>47</v>
      </c>
      <c r="AP256" s="72">
        <v>154</v>
      </c>
      <c r="AQ256" s="41">
        <v>107</v>
      </c>
      <c r="AR256" s="73">
        <v>7</v>
      </c>
      <c r="AS256" s="67">
        <v>12</v>
      </c>
      <c r="AT256" s="67">
        <v>1</v>
      </c>
      <c r="AU256" s="67">
        <v>1</v>
      </c>
      <c r="AV256" s="39"/>
      <c r="AW256" s="40"/>
      <c r="AX256" s="41">
        <f t="shared" si="298"/>
      </c>
    </row>
    <row hidden="true" r="257">
      <c r="A257" s="62"/>
      <c r="B257" s="73" t="s">
        <v>88</v>
      </c>
      <c r="C257" s="41" t="s">
        <v>60</v>
      </c>
      <c r="D257" s="41" t="s">
        <v>74</v>
      </c>
      <c r="E257" s="41" t="s">
        <v>65</v>
      </c>
      <c r="F257" s="63">
        <f t="shared" si="76"/>
      </c>
      <c r="G257" s="81">
        <v>1308.2</v>
      </c>
      <c r="H257" s="81">
        <v>2799.6</v>
      </c>
      <c r="I257" s="65">
        <v>0</v>
      </c>
      <c r="J257" s="65">
        <v>3</v>
      </c>
      <c r="K257" s="65">
        <v>2999.3499999999995</v>
      </c>
      <c r="L257" s="65">
        <v>3</v>
      </c>
      <c r="M257" s="65">
        <v>6954.950000000001</v>
      </c>
      <c r="N257" s="67">
        <v>3</v>
      </c>
      <c r="O257" s="68">
        <f t="shared" si="24"/>
      </c>
      <c r="P257" s="67">
        <v>0</v>
      </c>
      <c r="Q257" s="68">
        <f t="shared" si="0"/>
      </c>
      <c r="R257" s="69">
        <f t="shared" si="152"/>
      </c>
      <c r="S257" s="70">
        <f t="shared" si="224"/>
      </c>
      <c r="T257" s="63">
        <f t="shared" si="12"/>
      </c>
      <c r="U257" s="63">
        <f t="shared" si="8"/>
      </c>
      <c r="V257" s="71">
        <f t="shared" si="20"/>
      </c>
      <c r="W257" s="67">
        <v>4</v>
      </c>
      <c r="X257" s="71">
        <f t="shared" si="16"/>
      </c>
      <c r="Y257" s="71">
        <f t="shared" si="248"/>
      </c>
      <c r="Z257" s="63">
        <f t="shared" si="100"/>
      </c>
      <c r="AA257" s="63">
        <f t="shared" si="2"/>
      </c>
      <c r="AB257" s="63">
        <f t="shared" si="4"/>
      </c>
      <c r="AC257" s="68">
        <f t="shared" si="14"/>
      </c>
      <c r="AD257" s="68">
        <f t="shared" si="10"/>
      </c>
      <c r="AE257" s="68">
        <f t="shared" si="22"/>
      </c>
      <c r="AF257" s="68">
        <f t="shared" si="18"/>
      </c>
      <c r="AG257" s="68">
        <f t="shared" si="102"/>
      </c>
      <c r="AH257" s="68">
        <f t="shared" si="26"/>
      </c>
      <c r="AI257" s="68">
        <f t="shared" si="6"/>
      </c>
      <c r="AJ257" s="67">
        <v>77</v>
      </c>
      <c r="AK257" s="72">
        <v>24525</v>
      </c>
      <c r="AL257" s="72">
        <v>482</v>
      </c>
      <c r="AM257" s="72">
        <v>676</v>
      </c>
      <c r="AN257" s="72">
        <v>113</v>
      </c>
      <c r="AO257" s="73">
        <v>39</v>
      </c>
      <c r="AP257" s="72">
        <v>75</v>
      </c>
      <c r="AQ257" s="41">
        <v>105</v>
      </c>
      <c r="AR257" s="73">
        <v>8</v>
      </c>
      <c r="AS257" s="67">
        <v>9</v>
      </c>
      <c r="AT257" s="67">
        <v>0</v>
      </c>
      <c r="AU257" s="67">
        <v>7</v>
      </c>
      <c r="AV257" s="39"/>
      <c r="AW257" s="40"/>
      <c r="AX257" s="41">
        <f t="shared" si="298"/>
      </c>
    </row>
    <row hidden="true" r="258">
      <c r="A258" s="62"/>
      <c r="B258" s="75" t="s">
        <v>66</v>
      </c>
      <c r="C258" s="75"/>
      <c r="D258" s="75"/>
      <c r="E258" s="75"/>
      <c r="F258" s="76">
        <f>SUM(F254:F257)</f>
      </c>
      <c r="G258" s="76">
        <f>SUM(G254:G257)</f>
      </c>
      <c r="H258" s="76">
        <f>SUM(H254:H257)</f>
      </c>
      <c r="I258" s="76">
        <f>SUM(I254:I257)</f>
      </c>
      <c r="J258" s="76">
        <f>SUM(J254:J257)</f>
      </c>
      <c r="K258" s="76">
        <f>SUM(K254:K257)</f>
      </c>
      <c r="L258" s="76">
        <f>SUM(L254:L257)</f>
      </c>
      <c r="M258" s="76">
        <f>SUM(M254:M257)</f>
      </c>
      <c r="N258" s="76">
        <f>SUM(N254:N257)</f>
      </c>
      <c r="O258" s="77">
        <f t="shared" si="24"/>
      </c>
      <c r="P258" s="76">
        <f>SUM(P254:P257)</f>
      </c>
      <c r="Q258" s="77">
        <f t="shared" si="0"/>
      </c>
      <c r="R258" s="76">
        <f>SUM(R254:R257)</f>
      </c>
      <c r="S258" s="76">
        <f>SUM(S254:S257)</f>
      </c>
      <c r="T258" s="76">
        <f t="shared" si="12"/>
      </c>
      <c r="U258" s="76">
        <f t="shared" si="8"/>
      </c>
      <c r="V258" s="76">
        <f t="shared" si="20"/>
      </c>
      <c r="W258" s="76">
        <f>SUM(W254:W257)</f>
      </c>
      <c r="X258" s="79">
        <f t="shared" si="16"/>
      </c>
      <c r="Y258" s="79">
        <f t="shared" si="248"/>
      </c>
      <c r="Z258" s="76">
        <f t="shared" si="100"/>
      </c>
      <c r="AA258" s="76">
        <f t="shared" si="2"/>
      </c>
      <c r="AB258" s="80">
        <f t="shared" si="4"/>
      </c>
      <c r="AC258" s="77">
        <f t="shared" si="14"/>
      </c>
      <c r="AD258" s="77">
        <f t="shared" si="10"/>
      </c>
      <c r="AE258" s="77">
        <f t="shared" si="22"/>
      </c>
      <c r="AF258" s="77">
        <f t="shared" si="18"/>
      </c>
      <c r="AG258" s="77">
        <f t="shared" si="102"/>
      </c>
      <c r="AH258" s="77">
        <f t="shared" si="26"/>
      </c>
      <c r="AI258" s="77">
        <f t="shared" si="6"/>
      </c>
      <c r="AJ258" s="78">
        <f>AVERAGE(AJ254:AJ257)</f>
      </c>
      <c r="AK258" s="76">
        <f>SUM(AK254:AK257)</f>
      </c>
      <c r="AL258" s="76">
        <f>SUM(AL254:AL257)</f>
      </c>
      <c r="AM258" s="76">
        <f>SUM(AM254:AM257)</f>
      </c>
      <c r="AN258" s="76">
        <f>SUM(AN254:AN257)</f>
      </c>
      <c r="AO258" s="76">
        <f>SUM(AO254:AO257)</f>
      </c>
      <c r="AP258" s="76">
        <f>SUM(AP254:AP257)</f>
      </c>
      <c r="AQ258" s="76">
        <f>SUM(AQ254:AQ257)</f>
      </c>
      <c r="AR258" s="76">
        <f>SUM(AR254:AR257)</f>
      </c>
      <c r="AS258" s="76">
        <f>SUM(AS254:AS257)</f>
      </c>
      <c r="AT258" s="76">
        <f>SUM(AT254:AT257)</f>
      </c>
      <c r="AU258" s="76">
        <f>SUM(AU254:AU257)</f>
      </c>
      <c r="AV258" s="39"/>
      <c r="AW258" s="48"/>
      <c r="AX258" s="76">
        <f>SUM(AX254:AX257)</f>
      </c>
    </row>
    <row hidden="true" r="259">
      <c r="A259" s="62"/>
      <c r="B259" s="73" t="s">
        <v>88</v>
      </c>
      <c r="C259" s="41" t="s">
        <v>60</v>
      </c>
      <c r="D259" s="73" t="s">
        <v>61</v>
      </c>
      <c r="E259" s="41" t="s">
        <v>68</v>
      </c>
      <c r="F259" s="63">
        <f t="shared" ref="F259:F262" si="77">G259+H259+I259</f>
      </c>
      <c r="G259" s="81">
        <v>1344.4</v>
      </c>
      <c r="H259" s="81">
        <v>3588.89</v>
      </c>
      <c r="I259" s="64">
        <v>0</v>
      </c>
      <c r="J259" s="64">
        <v>0</v>
      </c>
      <c r="K259" s="64">
        <v>0</v>
      </c>
      <c r="L259" s="64">
        <v>5</v>
      </c>
      <c r="M259" s="64">
        <v>9745.510000000002</v>
      </c>
      <c r="N259" s="67">
        <v>1</v>
      </c>
      <c r="O259" s="68">
        <f t="shared" si="24"/>
      </c>
      <c r="P259" s="67">
        <v>1</v>
      </c>
      <c r="Q259" s="68">
        <f t="shared" si="0"/>
      </c>
      <c r="R259" s="69">
        <f t="shared" ref="R259:R262" si="153">J259+L259</f>
      </c>
      <c r="S259" s="70">
        <f t="shared" ref="S259:S262" si="225">K259+M259</f>
      </c>
      <c r="T259" s="63">
        <f t="shared" si="12"/>
      </c>
      <c r="U259" s="63">
        <f t="shared" si="8"/>
      </c>
      <c r="V259" s="71">
        <f t="shared" si="20"/>
      </c>
      <c r="W259" s="67">
        <v>5</v>
      </c>
      <c r="X259" s="71">
        <f t="shared" si="16"/>
      </c>
      <c r="Y259" s="71">
        <f t="shared" si="248"/>
      </c>
      <c r="Z259" s="63">
        <f t="shared" si="100"/>
      </c>
      <c r="AA259" s="63">
        <f t="shared" si="2"/>
      </c>
      <c r="AB259" s="63">
        <f t="shared" si="4"/>
      </c>
      <c r="AC259" s="68">
        <f t="shared" si="14"/>
      </c>
      <c r="AD259" s="68">
        <f t="shared" si="10"/>
      </c>
      <c r="AE259" s="68">
        <f t="shared" si="22"/>
      </c>
      <c r="AF259" s="68">
        <f t="shared" si="18"/>
      </c>
      <c r="AG259" s="68">
        <f t="shared" si="102"/>
      </c>
      <c r="AH259" s="68">
        <f t="shared" si="26"/>
      </c>
      <c r="AI259" s="68">
        <f t="shared" si="6"/>
      </c>
      <c r="AJ259" s="67">
        <v>81</v>
      </c>
      <c r="AK259" s="72">
        <v>28306</v>
      </c>
      <c r="AL259" s="72">
        <v>552</v>
      </c>
      <c r="AM259" s="72">
        <v>761</v>
      </c>
      <c r="AN259" s="72">
        <v>149</v>
      </c>
      <c r="AO259" s="73">
        <v>42</v>
      </c>
      <c r="AP259" s="72">
        <v>179</v>
      </c>
      <c r="AQ259" s="41">
        <v>135</v>
      </c>
      <c r="AR259" s="73">
        <v>8</v>
      </c>
      <c r="AS259" s="73">
        <v>8</v>
      </c>
      <c r="AT259" s="67">
        <v>2</v>
      </c>
      <c r="AU259" s="67">
        <v>15</v>
      </c>
      <c r="AV259" s="39"/>
      <c r="AW259" s="40"/>
      <c r="AX259" s="41">
        <f t="shared" ref="AX259:AX262" si="299">COUNT(AU259)</f>
      </c>
    </row>
    <row hidden="true" r="260">
      <c r="A260" s="62"/>
      <c r="B260" s="73" t="s">
        <v>88</v>
      </c>
      <c r="C260" s="41" t="s">
        <v>60</v>
      </c>
      <c r="D260" s="73" t="s">
        <v>61</v>
      </c>
      <c r="E260" s="41" t="s">
        <v>69</v>
      </c>
      <c r="F260" s="63">
        <f t="shared" si="77"/>
      </c>
      <c r="G260" s="81">
        <v>1045.86</v>
      </c>
      <c r="H260" s="81">
        <v>1273.4</v>
      </c>
      <c r="I260" s="64">
        <v>0</v>
      </c>
      <c r="J260" s="64">
        <v>1</v>
      </c>
      <c r="K260" s="64">
        <v>1564.6500000000005</v>
      </c>
      <c r="L260" s="64">
        <v>2</v>
      </c>
      <c r="M260" s="64">
        <v>3236.649999999994</v>
      </c>
      <c r="N260" s="67">
        <v>0</v>
      </c>
      <c r="O260" s="68">
        <f t="shared" si="24"/>
      </c>
      <c r="P260" s="67">
        <v>0</v>
      </c>
      <c r="Q260" s="68">
        <f t="shared" si="0"/>
      </c>
      <c r="R260" s="69">
        <f t="shared" si="153"/>
      </c>
      <c r="S260" s="70">
        <f t="shared" si="225"/>
      </c>
      <c r="T260" s="63">
        <f t="shared" si="12"/>
      </c>
      <c r="U260" s="63">
        <f t="shared" si="8"/>
      </c>
      <c r="V260" s="71">
        <f t="shared" si="20"/>
      </c>
      <c r="W260" s="67">
        <v>3</v>
      </c>
      <c r="X260" s="71">
        <f t="shared" si="16"/>
      </c>
      <c r="Y260" s="71">
        <f t="shared" si="248"/>
      </c>
      <c r="Z260" s="63">
        <f t="shared" si="100"/>
      </c>
      <c r="AA260" s="63">
        <f t="shared" si="2"/>
      </c>
      <c r="AB260" s="63">
        <f t="shared" si="4"/>
      </c>
      <c r="AC260" s="68">
        <f t="shared" si="14"/>
      </c>
      <c r="AD260" s="68">
        <f t="shared" si="10"/>
      </c>
      <c r="AE260" s="68">
        <f t="shared" si="22"/>
      </c>
      <c r="AF260" s="68">
        <f t="shared" si="18"/>
      </c>
      <c r="AG260" s="68">
        <f t="shared" si="102"/>
      </c>
      <c r="AH260" s="68">
        <f t="shared" si="26"/>
      </c>
      <c r="AI260" s="68">
        <f t="shared" si="6"/>
      </c>
      <c r="AJ260" s="67">
        <v>80</v>
      </c>
      <c r="AK260" s="72">
        <v>15355</v>
      </c>
      <c r="AL260" s="72">
        <v>267</v>
      </c>
      <c r="AM260" s="72">
        <v>419</v>
      </c>
      <c r="AN260" s="72">
        <v>68</v>
      </c>
      <c r="AO260" s="73">
        <v>21</v>
      </c>
      <c r="AP260" s="72">
        <v>57</v>
      </c>
      <c r="AQ260" s="41">
        <v>70</v>
      </c>
      <c r="AR260" s="73">
        <v>4</v>
      </c>
      <c r="AS260" s="73">
        <v>3</v>
      </c>
      <c r="AT260" s="67">
        <v>0</v>
      </c>
      <c r="AU260" s="67">
        <v>7</v>
      </c>
      <c r="AV260" s="39"/>
      <c r="AW260" s="40"/>
      <c r="AX260" s="41">
        <f t="shared" si="299"/>
      </c>
    </row>
    <row hidden="true" r="261">
      <c r="A261" s="62"/>
      <c r="B261" s="73" t="s">
        <v>88</v>
      </c>
      <c r="C261" s="41" t="s">
        <v>60</v>
      </c>
      <c r="D261" s="73" t="s">
        <v>61</v>
      </c>
      <c r="E261" s="41" t="s">
        <v>70</v>
      </c>
      <c r="F261" s="63">
        <f t="shared" si="77"/>
      </c>
      <c r="G261" s="81">
        <v>975.26</v>
      </c>
      <c r="H261" s="81">
        <v>2827.3</v>
      </c>
      <c r="I261" s="64">
        <v>0</v>
      </c>
      <c r="J261" s="64">
        <v>0</v>
      </c>
      <c r="K261" s="64">
        <v>0</v>
      </c>
      <c r="L261" s="64">
        <v>1</v>
      </c>
      <c r="M261" s="64">
        <v>1672</v>
      </c>
      <c r="N261" s="67">
        <v>0</v>
      </c>
      <c r="O261" s="68">
        <f t="shared" si="24"/>
      </c>
      <c r="P261" s="67">
        <v>0</v>
      </c>
      <c r="Q261" s="68">
        <f t="shared" si="0"/>
      </c>
      <c r="R261" s="69">
        <f t="shared" si="153"/>
      </c>
      <c r="S261" s="70">
        <f t="shared" si="225"/>
      </c>
      <c r="T261" s="63">
        <f t="shared" si="12"/>
      </c>
      <c r="U261" s="63">
        <f t="shared" si="8"/>
      </c>
      <c r="V261" s="71">
        <f t="shared" si="20"/>
      </c>
      <c r="W261" s="67">
        <v>1</v>
      </c>
      <c r="X261" s="71">
        <f t="shared" si="16"/>
      </c>
      <c r="Y261" s="71">
        <f t="shared" si="248"/>
      </c>
      <c r="Z261" s="63">
        <f t="shared" si="100"/>
      </c>
      <c r="AA261" s="63">
        <f t="shared" si="2"/>
      </c>
      <c r="AB261" s="63">
        <f t="shared" si="4"/>
      </c>
      <c r="AC261" s="68">
        <f t="shared" si="14"/>
      </c>
      <c r="AD261" s="68">
        <f t="shared" si="10"/>
      </c>
      <c r="AE261" s="68">
        <f t="shared" si="22"/>
      </c>
      <c r="AF261" s="68">
        <f t="shared" si="18"/>
      </c>
      <c r="AG261" s="68">
        <f t="shared" si="102"/>
      </c>
      <c r="AH261" s="68">
        <f t="shared" si="26"/>
      </c>
      <c r="AI261" s="68">
        <f t="shared" si="6"/>
      </c>
      <c r="AJ261" s="67">
        <v>79</v>
      </c>
      <c r="AK261" s="72">
        <v>16473</v>
      </c>
      <c r="AL261" s="72">
        <v>316</v>
      </c>
      <c r="AM261" s="72">
        <v>450</v>
      </c>
      <c r="AN261" s="72">
        <v>79</v>
      </c>
      <c r="AO261" s="73">
        <v>28</v>
      </c>
      <c r="AP261" s="72">
        <v>75</v>
      </c>
      <c r="AQ261" s="73">
        <v>81</v>
      </c>
      <c r="AR261" s="73">
        <v>3</v>
      </c>
      <c r="AS261" s="73">
        <v>3</v>
      </c>
      <c r="AT261" s="67">
        <v>0</v>
      </c>
      <c r="AU261" s="67">
        <v>7</v>
      </c>
      <c r="AV261" s="39"/>
      <c r="AW261" s="40"/>
      <c r="AX261" s="41">
        <f t="shared" si="299"/>
      </c>
    </row>
    <row hidden="true" r="262">
      <c r="A262" s="62"/>
      <c r="B262" s="73" t="s">
        <v>71</v>
      </c>
      <c r="C262" s="41" t="s">
        <v>72</v>
      </c>
      <c r="D262" s="73" t="s">
        <v>61</v>
      </c>
      <c r="E262" s="41" t="s">
        <v>73</v>
      </c>
      <c r="F262" s="63">
        <f t="shared" si="77"/>
      </c>
      <c r="G262" s="81">
        <v>954.41</v>
      </c>
      <c r="H262" s="81">
        <v>2340.3</v>
      </c>
      <c r="I262" s="64">
        <v>0</v>
      </c>
      <c r="J262" s="65">
        <v>0</v>
      </c>
      <c r="K262" s="65">
        <v>0</v>
      </c>
      <c r="L262" s="65">
        <v>1</v>
      </c>
      <c r="M262" s="65">
        <v>1085.8500000000058</v>
      </c>
      <c r="N262" s="67">
        <v>0</v>
      </c>
      <c r="O262" s="68">
        <f t="shared" si="24"/>
      </c>
      <c r="P262" s="67">
        <v>0</v>
      </c>
      <c r="Q262" s="68">
        <f t="shared" si="0"/>
      </c>
      <c r="R262" s="69">
        <f t="shared" si="153"/>
      </c>
      <c r="S262" s="70">
        <f t="shared" si="225"/>
      </c>
      <c r="T262" s="63">
        <f t="shared" si="12"/>
      </c>
      <c r="U262" s="63">
        <f t="shared" si="8"/>
      </c>
      <c r="V262" s="71">
        <f t="shared" si="20"/>
      </c>
      <c r="W262" s="67">
        <v>0</v>
      </c>
      <c r="X262" s="71">
        <f t="shared" si="16"/>
      </c>
      <c r="Y262" s="71">
        <f t="shared" si="248"/>
      </c>
      <c r="Z262" s="63">
        <f t="shared" si="100"/>
      </c>
      <c r="AA262" s="63">
        <f t="shared" si="2"/>
      </c>
      <c r="AB262" s="63">
        <f t="shared" si="4"/>
      </c>
      <c r="AC262" s="68">
        <f t="shared" si="14"/>
      </c>
      <c r="AD262" s="68">
        <f t="shared" si="10"/>
      </c>
      <c r="AE262" s="68">
        <f t="shared" si="22"/>
      </c>
      <c r="AF262" s="68">
        <f t="shared" si="18"/>
      </c>
      <c r="AG262" s="68">
        <f t="shared" si="102"/>
      </c>
      <c r="AH262" s="68">
        <f t="shared" si="26"/>
      </c>
      <c r="AI262" s="68">
        <f t="shared" si="6"/>
      </c>
      <c r="AJ262" s="67">
        <v>79</v>
      </c>
      <c r="AK262" s="72">
        <v>15294</v>
      </c>
      <c r="AL262" s="72">
        <v>301</v>
      </c>
      <c r="AM262" s="67">
        <v>401</v>
      </c>
      <c r="AN262" s="67">
        <v>66</v>
      </c>
      <c r="AO262" s="73">
        <v>17</v>
      </c>
      <c r="AP262" s="67">
        <v>45</v>
      </c>
      <c r="AQ262" s="73">
        <v>71</v>
      </c>
      <c r="AR262" s="73">
        <v>1</v>
      </c>
      <c r="AS262" s="67">
        <v>9</v>
      </c>
      <c r="AT262" s="67">
        <v>0</v>
      </c>
      <c r="AU262" s="67">
        <v>5</v>
      </c>
      <c r="AV262" s="39"/>
      <c r="AW262" s="40"/>
      <c r="AX262" s="41">
        <f t="shared" si="299"/>
      </c>
    </row>
    <row hidden="true" r="263">
      <c r="A263" s="62"/>
      <c r="B263" s="75" t="s">
        <v>66</v>
      </c>
      <c r="C263" s="75"/>
      <c r="D263" s="75"/>
      <c r="E263" s="75"/>
      <c r="F263" s="76">
        <f>SUM(F259:F262)</f>
      </c>
      <c r="G263" s="76">
        <f>SUM(G259:G262)</f>
      </c>
      <c r="H263" s="76">
        <f>SUM(H259:H262)</f>
      </c>
      <c r="I263" s="76">
        <f>SUM(I259:I262)</f>
      </c>
      <c r="J263" s="76">
        <f>SUM(J259:J262)</f>
      </c>
      <c r="K263" s="76">
        <f>SUM(K259:K262)</f>
      </c>
      <c r="L263" s="76">
        <f>SUM(L259:L262)</f>
      </c>
      <c r="M263" s="76">
        <f>SUM(M259:M262)</f>
      </c>
      <c r="N263" s="76">
        <f>SUM(N259:N262)</f>
      </c>
      <c r="O263" s="77">
        <f t="shared" si="24"/>
      </c>
      <c r="P263" s="76">
        <f>SUM(P259:P262)</f>
      </c>
      <c r="Q263" s="77">
        <f t="shared" si="0"/>
      </c>
      <c r="R263" s="91">
        <f>SUM(R259:R262)</f>
      </c>
      <c r="S263" s="76">
        <f>SUM(S259:S262)</f>
      </c>
      <c r="T263" s="76">
        <f t="shared" si="12"/>
      </c>
      <c r="U263" s="76">
        <f t="shared" si="8"/>
      </c>
      <c r="V263" s="79">
        <f t="shared" si="20"/>
      </c>
      <c r="W263" s="76">
        <f>SUM(W259:W262)</f>
      </c>
      <c r="X263" s="79">
        <f t="shared" si="16"/>
      </c>
      <c r="Y263" s="79">
        <f t="shared" si="248"/>
      </c>
      <c r="Z263" s="76">
        <f t="shared" si="100"/>
      </c>
      <c r="AA263" s="76">
        <f t="shared" si="2"/>
      </c>
      <c r="AB263" s="80">
        <f t="shared" si="4"/>
      </c>
      <c r="AC263" s="77">
        <f t="shared" si="14"/>
      </c>
      <c r="AD263" s="77">
        <f t="shared" si="10"/>
      </c>
      <c r="AE263" s="77">
        <f t="shared" si="22"/>
      </c>
      <c r="AF263" s="82">
        <f t="shared" si="18"/>
      </c>
      <c r="AG263" s="77">
        <f t="shared" si="102"/>
      </c>
      <c r="AH263" s="77">
        <f t="shared" si="26"/>
      </c>
      <c r="AI263" s="77">
        <f t="shared" si="6"/>
      </c>
      <c r="AJ263" s="78">
        <f>AVERAGE(AJ259:AJ262)</f>
      </c>
      <c r="AK263" s="76">
        <f>SUM(AK259:AK262)</f>
      </c>
      <c r="AL263" s="76">
        <f>SUM(AL259:AL262)</f>
      </c>
      <c r="AM263" s="76">
        <f>SUM(AM259:AM262)</f>
      </c>
      <c r="AN263" s="76">
        <f>SUM(AN259:AN262)</f>
      </c>
      <c r="AO263" s="76">
        <f>SUM(AO259:AO262)</f>
      </c>
      <c r="AP263" s="76">
        <f>SUM(AP259:AP262)</f>
      </c>
      <c r="AQ263" s="76">
        <f>SUM(AQ259:AQ262)</f>
      </c>
      <c r="AR263" s="76">
        <f>SUM(AR259:AR262)</f>
      </c>
      <c r="AS263" s="76">
        <f>SUM(AS259:AS262)</f>
      </c>
      <c r="AT263" s="76">
        <f>SUM(AT259:AT262)</f>
      </c>
      <c r="AU263" s="76">
        <f>SUM(AU259:AU262)</f>
      </c>
      <c r="AV263" s="39"/>
      <c r="AW263" s="48"/>
      <c r="AX263" s="49">
        <f>SUM(AX259:AX262)</f>
      </c>
    </row>
    <row hidden="true" r="264">
      <c r="A264" s="62"/>
      <c r="B264" s="73" t="s">
        <v>71</v>
      </c>
      <c r="C264" s="41" t="s">
        <v>72</v>
      </c>
      <c r="D264" s="73" t="s">
        <v>67</v>
      </c>
      <c r="E264" s="41" t="s">
        <v>75</v>
      </c>
      <c r="F264" s="63">
        <f t="shared" ref="F264:F267" si="78">G264+H264+I264</f>
      </c>
      <c r="G264" s="81">
        <v>1324.52</v>
      </c>
      <c r="H264" s="81">
        <v>1312.49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7">
        <v>0</v>
      </c>
      <c r="O264" s="68">
        <f t="shared" si="24"/>
      </c>
      <c r="P264" s="67">
        <v>0</v>
      </c>
      <c r="Q264" s="68">
        <f t="shared" si="0"/>
      </c>
      <c r="R264" s="69">
        <f t="shared" ref="R264:R267" si="154">J264+L264</f>
      </c>
      <c r="S264" s="70">
        <f t="shared" ref="S264:S267" si="226">K264+M264</f>
      </c>
      <c r="T264" s="63">
        <f t="shared" si="12"/>
      </c>
      <c r="U264" s="63">
        <f t="shared" si="8"/>
      </c>
      <c r="V264" s="71">
        <f t="shared" si="20"/>
      </c>
      <c r="W264" s="67">
        <v>0</v>
      </c>
      <c r="X264" s="71">
        <f t="shared" si="16"/>
      </c>
      <c r="Y264" s="71">
        <f t="shared" si="248"/>
      </c>
      <c r="Z264" s="63">
        <f t="shared" si="100"/>
      </c>
      <c r="AA264" s="63">
        <f t="shared" si="2"/>
      </c>
      <c r="AB264" s="63">
        <f t="shared" si="4"/>
      </c>
      <c r="AC264" s="68">
        <f t="shared" si="14"/>
      </c>
      <c r="AD264" s="68">
        <f t="shared" si="10"/>
      </c>
      <c r="AE264" s="68">
        <f t="shared" si="22"/>
      </c>
      <c r="AF264" s="68">
        <f t="shared" si="18"/>
      </c>
      <c r="AG264" s="68">
        <f t="shared" si="102"/>
      </c>
      <c r="AH264" s="68">
        <f t="shared" si="26"/>
      </c>
      <c r="AI264" s="68">
        <f t="shared" si="6"/>
      </c>
      <c r="AJ264" s="67">
        <v>78</v>
      </c>
      <c r="AK264" s="72">
        <v>13199</v>
      </c>
      <c r="AL264" s="72">
        <v>342</v>
      </c>
      <c r="AM264" s="72">
        <v>442</v>
      </c>
      <c r="AN264" s="72">
        <v>89</v>
      </c>
      <c r="AO264" s="73">
        <v>25</v>
      </c>
      <c r="AP264" s="72">
        <v>56</v>
      </c>
      <c r="AQ264" s="41">
        <v>89</v>
      </c>
      <c r="AR264" s="73">
        <v>0</v>
      </c>
      <c r="AS264" s="73">
        <v>8</v>
      </c>
      <c r="AT264" s="67">
        <v>1</v>
      </c>
      <c r="AU264" s="67">
        <v>1</v>
      </c>
      <c r="AV264" s="39"/>
      <c r="AW264" s="40"/>
      <c r="AX264" s="41">
        <f t="shared" ref="AX264:AX267" si="300">COUNT(AU264)</f>
      </c>
    </row>
    <row hidden="true" r="265">
      <c r="A265" s="62"/>
      <c r="B265" s="73" t="s">
        <v>71</v>
      </c>
      <c r="C265" s="41" t="s">
        <v>72</v>
      </c>
      <c r="D265" s="73" t="s">
        <v>67</v>
      </c>
      <c r="E265" s="41" t="s">
        <v>76</v>
      </c>
      <c r="F265" s="63">
        <f t="shared" si="78"/>
      </c>
      <c r="G265" s="81">
        <v>1873.22</v>
      </c>
      <c r="H265" s="81">
        <v>1083.79</v>
      </c>
      <c r="I265" s="64">
        <v>0</v>
      </c>
      <c r="J265" s="64">
        <v>0</v>
      </c>
      <c r="K265" s="64">
        <v>0</v>
      </c>
      <c r="L265" s="65">
        <v>2</v>
      </c>
      <c r="M265" s="65">
        <v>4252.580000000002</v>
      </c>
      <c r="N265" s="67">
        <v>1</v>
      </c>
      <c r="O265" s="68">
        <f t="shared" si="24"/>
      </c>
      <c r="P265" s="67">
        <v>1</v>
      </c>
      <c r="Q265" s="68">
        <f t="shared" si="0"/>
      </c>
      <c r="R265" s="69">
        <f t="shared" si="154"/>
      </c>
      <c r="S265" s="70">
        <f t="shared" si="226"/>
      </c>
      <c r="T265" s="63">
        <f t="shared" si="12"/>
      </c>
      <c r="U265" s="63">
        <f t="shared" si="8"/>
      </c>
      <c r="V265" s="71">
        <f t="shared" si="20"/>
      </c>
      <c r="W265" s="67">
        <v>2</v>
      </c>
      <c r="X265" s="71">
        <f t="shared" si="16"/>
      </c>
      <c r="Y265" s="71">
        <f t="shared" si="248"/>
      </c>
      <c r="Z265" s="63">
        <f t="shared" si="100"/>
      </c>
      <c r="AA265" s="63">
        <f t="shared" si="2"/>
      </c>
      <c r="AB265" s="63">
        <f t="shared" si="4"/>
      </c>
      <c r="AC265" s="68">
        <f t="shared" si="14"/>
      </c>
      <c r="AD265" s="68">
        <f t="shared" si="10"/>
      </c>
      <c r="AE265" s="68">
        <f t="shared" si="22"/>
      </c>
      <c r="AF265" s="68">
        <f t="shared" si="18"/>
      </c>
      <c r="AG265" s="68">
        <f t="shared" si="102"/>
      </c>
      <c r="AH265" s="68">
        <f t="shared" si="26"/>
      </c>
      <c r="AI265" s="68">
        <f t="shared" si="6"/>
      </c>
      <c r="AJ265" s="67">
        <v>37</v>
      </c>
      <c r="AK265" s="67">
        <v>14274</v>
      </c>
      <c r="AL265" s="72">
        <v>398</v>
      </c>
      <c r="AM265" s="72">
        <v>514</v>
      </c>
      <c r="AN265" s="72">
        <v>47</v>
      </c>
      <c r="AO265" s="73">
        <v>17</v>
      </c>
      <c r="AP265" s="67">
        <v>76</v>
      </c>
      <c r="AQ265" s="73">
        <v>60</v>
      </c>
      <c r="AR265" s="73">
        <v>3</v>
      </c>
      <c r="AS265" s="73">
        <v>4</v>
      </c>
      <c r="AT265" s="67">
        <v>0</v>
      </c>
      <c r="AU265" s="67">
        <v>3</v>
      </c>
      <c r="AV265" s="39"/>
      <c r="AW265" s="40"/>
      <c r="AX265" s="41">
        <f t="shared" si="300"/>
      </c>
    </row>
    <row hidden="true" r="266">
      <c r="A266" s="62"/>
      <c r="B266" s="73" t="s">
        <v>71</v>
      </c>
      <c r="C266" s="41" t="s">
        <v>72</v>
      </c>
      <c r="D266" s="73" t="s">
        <v>67</v>
      </c>
      <c r="E266" s="41" t="s">
        <v>77</v>
      </c>
      <c r="F266" s="63">
        <f t="shared" si="78"/>
      </c>
      <c r="G266" s="81">
        <v>1540.27</v>
      </c>
      <c r="H266" s="81">
        <v>1664.96</v>
      </c>
      <c r="I266" s="64">
        <v>0</v>
      </c>
      <c r="J266" s="65">
        <v>1</v>
      </c>
      <c r="K266" s="65">
        <v>4679.369999999999</v>
      </c>
      <c r="L266" s="64">
        <v>2</v>
      </c>
      <c r="M266" s="64">
        <v>2801.3600000000006</v>
      </c>
      <c r="N266" s="67">
        <v>2</v>
      </c>
      <c r="O266" s="68">
        <f t="shared" si="24"/>
      </c>
      <c r="P266" s="67">
        <v>1</v>
      </c>
      <c r="Q266" s="68">
        <f t="shared" si="0"/>
      </c>
      <c r="R266" s="69">
        <f t="shared" si="154"/>
      </c>
      <c r="S266" s="70">
        <f t="shared" si="226"/>
      </c>
      <c r="T266" s="63">
        <f t="shared" si="12"/>
      </c>
      <c r="U266" s="63">
        <f t="shared" si="8"/>
      </c>
      <c r="V266" s="71">
        <f t="shared" si="20"/>
      </c>
      <c r="W266" s="67">
        <v>3</v>
      </c>
      <c r="X266" s="71">
        <f t="shared" si="16"/>
      </c>
      <c r="Y266" s="71">
        <f t="shared" si="248"/>
      </c>
      <c r="Z266" s="63">
        <f t="shared" si="100"/>
      </c>
      <c r="AA266" s="63">
        <f t="shared" si="2"/>
      </c>
      <c r="AB266" s="63">
        <f t="shared" si="4"/>
      </c>
      <c r="AC266" s="68">
        <f t="shared" si="14"/>
      </c>
      <c r="AD266" s="68">
        <f t="shared" si="10"/>
      </c>
      <c r="AE266" s="68">
        <f t="shared" si="22"/>
      </c>
      <c r="AF266" s="68">
        <f t="shared" si="18"/>
      </c>
      <c r="AG266" s="68">
        <f t="shared" si="102"/>
      </c>
      <c r="AH266" s="68">
        <f t="shared" si="26"/>
      </c>
      <c r="AI266" s="68">
        <f t="shared" si="6"/>
      </c>
      <c r="AJ266" s="67">
        <v>48</v>
      </c>
      <c r="AK266" s="72">
        <v>18728</v>
      </c>
      <c r="AL266" s="72">
        <v>526</v>
      </c>
      <c r="AM266" s="72">
        <v>733</v>
      </c>
      <c r="AN266" s="72">
        <v>100</v>
      </c>
      <c r="AO266" s="73">
        <v>38</v>
      </c>
      <c r="AP266" s="72">
        <v>112</v>
      </c>
      <c r="AQ266" s="41">
        <v>117</v>
      </c>
      <c r="AR266" s="73">
        <v>3</v>
      </c>
      <c r="AS266" s="67">
        <v>9</v>
      </c>
      <c r="AT266" s="67">
        <v>1</v>
      </c>
      <c r="AU266" s="67">
        <v>8</v>
      </c>
      <c r="AV266" s="39"/>
      <c r="AW266" s="40"/>
      <c r="AX266" s="41">
        <f t="shared" si="300"/>
      </c>
    </row>
    <row customHeight="true" hidden="true" ht="16.071428571428573" r="267">
      <c r="A267" s="62"/>
      <c r="B267" s="73" t="s">
        <v>71</v>
      </c>
      <c r="C267" s="41" t="s">
        <v>72</v>
      </c>
      <c r="D267" s="73" t="s">
        <v>67</v>
      </c>
      <c r="E267" s="73" t="s">
        <v>78</v>
      </c>
      <c r="F267" s="63">
        <f t="shared" si="78"/>
      </c>
      <c r="G267" s="81">
        <v>999.92</v>
      </c>
      <c r="H267" s="81">
        <v>2312.02</v>
      </c>
      <c r="I267" s="64">
        <v>0</v>
      </c>
      <c r="J267" s="65">
        <v>1</v>
      </c>
      <c r="K267" s="65">
        <v>803.7000000000007</v>
      </c>
      <c r="L267" s="64">
        <v>0</v>
      </c>
      <c r="M267" s="64">
        <v>0</v>
      </c>
      <c r="N267" s="67">
        <v>0</v>
      </c>
      <c r="O267" s="68">
        <f t="shared" si="24"/>
      </c>
      <c r="P267" s="67">
        <v>0</v>
      </c>
      <c r="Q267" s="68">
        <f t="shared" si="0"/>
      </c>
      <c r="R267" s="69">
        <f t="shared" si="154"/>
      </c>
      <c r="S267" s="70">
        <f t="shared" si="226"/>
      </c>
      <c r="T267" s="63">
        <f t="shared" si="12"/>
      </c>
      <c r="U267" s="63">
        <f t="shared" si="8"/>
      </c>
      <c r="V267" s="71">
        <f t="shared" si="20"/>
      </c>
      <c r="W267" s="67">
        <v>1</v>
      </c>
      <c r="X267" s="71">
        <f t="shared" si="16"/>
      </c>
      <c r="Y267" s="71">
        <f t="shared" si="248"/>
      </c>
      <c r="Z267" s="63">
        <f t="shared" si="100"/>
      </c>
      <c r="AA267" s="63">
        <f t="shared" si="2"/>
      </c>
      <c r="AB267" s="63">
        <f t="shared" si="4"/>
      </c>
      <c r="AC267" s="68">
        <f t="shared" si="14"/>
      </c>
      <c r="AD267" s="68">
        <f t="shared" si="10"/>
      </c>
      <c r="AE267" s="68">
        <f t="shared" si="22"/>
      </c>
      <c r="AF267" s="68">
        <f t="shared" si="18"/>
      </c>
      <c r="AG267" s="68">
        <f t="shared" si="102"/>
      </c>
      <c r="AH267" s="68">
        <f t="shared" si="26"/>
      </c>
      <c r="AI267" s="68">
        <f t="shared" si="6"/>
      </c>
      <c r="AJ267" s="67">
        <v>52</v>
      </c>
      <c r="AK267" s="72">
        <v>16833</v>
      </c>
      <c r="AL267" s="72">
        <v>394</v>
      </c>
      <c r="AM267" s="72">
        <v>507</v>
      </c>
      <c r="AN267" s="72">
        <v>89</v>
      </c>
      <c r="AO267" s="73">
        <v>36</v>
      </c>
      <c r="AP267" s="72">
        <v>81</v>
      </c>
      <c r="AQ267" s="41">
        <v>98</v>
      </c>
      <c r="AR267" s="73">
        <v>1</v>
      </c>
      <c r="AS267" s="67">
        <v>7</v>
      </c>
      <c r="AT267" s="67">
        <v>0</v>
      </c>
      <c r="AU267" s="67">
        <v>6</v>
      </c>
      <c r="AV267" s="39"/>
      <c r="AW267" s="40"/>
      <c r="AX267" s="41">
        <f t="shared" si="300"/>
      </c>
    </row>
    <row hidden="true" r="268">
      <c r="A268" s="62"/>
      <c r="B268" s="75" t="s">
        <v>66</v>
      </c>
      <c r="C268" s="75"/>
      <c r="D268" s="75"/>
      <c r="E268" s="75"/>
      <c r="F268" s="76">
        <f>SUM(F264:F267)</f>
      </c>
      <c r="G268" s="76">
        <f>SUM(G264:G267)</f>
      </c>
      <c r="H268" s="76">
        <f>SUM(H264:H267)</f>
      </c>
      <c r="I268" s="76">
        <f>SUM(I264:I267)</f>
      </c>
      <c r="J268" s="76">
        <f>SUM(J264:J267)</f>
      </c>
      <c r="K268" s="76">
        <f>SUM(K264:K267)</f>
      </c>
      <c r="L268" s="76">
        <f>SUM(L264:L267)</f>
      </c>
      <c r="M268" s="76">
        <f>SUM(M264:M267)</f>
      </c>
      <c r="N268" s="76">
        <f>SUM(N264:N267)</f>
      </c>
      <c r="O268" s="77">
        <f t="shared" si="24"/>
      </c>
      <c r="P268" s="76">
        <f>SUM(P264:P267)</f>
      </c>
      <c r="Q268" s="77">
        <f t="shared" si="0"/>
      </c>
      <c r="R268" s="78">
        <f>SUM(R264:R267)</f>
      </c>
      <c r="S268" s="78">
        <f>SUM(S264:S267)</f>
      </c>
      <c r="T268" s="76">
        <f t="shared" si="12"/>
      </c>
      <c r="U268" s="76">
        <f t="shared" si="8"/>
      </c>
      <c r="V268" s="79">
        <f t="shared" si="20"/>
      </c>
      <c r="W268" s="76">
        <f>SUM(W264:W267)</f>
      </c>
      <c r="X268" s="79">
        <f t="shared" si="16"/>
      </c>
      <c r="Y268" s="79">
        <f t="shared" si="248"/>
      </c>
      <c r="Z268" s="76">
        <f t="shared" si="100"/>
      </c>
      <c r="AA268" s="76">
        <f t="shared" si="2"/>
      </c>
      <c r="AB268" s="80">
        <f t="shared" si="4"/>
      </c>
      <c r="AC268" s="77">
        <f t="shared" si="14"/>
      </c>
      <c r="AD268" s="77">
        <f t="shared" si="10"/>
      </c>
      <c r="AE268" s="77">
        <f t="shared" si="22"/>
      </c>
      <c r="AF268" s="82">
        <f t="shared" si="18"/>
      </c>
      <c r="AG268" s="77">
        <f t="shared" si="102"/>
      </c>
      <c r="AH268" s="77">
        <f t="shared" si="26"/>
      </c>
      <c r="AI268" s="77">
        <f t="shared" si="6"/>
      </c>
      <c r="AJ268" s="78">
        <f>AVERAGE(AJ264:AJ267)</f>
      </c>
      <c r="AK268" s="76">
        <f>SUM(AK264:AK267)</f>
      </c>
      <c r="AL268" s="76">
        <f>SUM(AL264:AL267)</f>
      </c>
      <c r="AM268" s="76">
        <f>SUM(AM264:AM267)</f>
      </c>
      <c r="AN268" s="76">
        <f>SUM(AN264:AN267)</f>
      </c>
      <c r="AO268" s="76">
        <f>SUM(AO264:AO267)</f>
      </c>
      <c r="AP268" s="76">
        <f>SUM(AP264:AP267)</f>
      </c>
      <c r="AQ268" s="76">
        <f>SUM(AQ264:AQ267)</f>
      </c>
      <c r="AR268" s="76">
        <f>SUM(AR264:AR267)</f>
      </c>
      <c r="AS268" s="76">
        <f>SUM(AS264:AS267)</f>
      </c>
      <c r="AT268" s="76">
        <f>SUM(AT264:AT267)</f>
      </c>
      <c r="AU268" s="76">
        <f>SUM(AU264:AU267)</f>
      </c>
      <c r="AV268" s="39"/>
      <c r="AW268" s="48"/>
      <c r="AX268" s="49">
        <f>SUM(AX264:AX267)</f>
      </c>
    </row>
    <row hidden="true" r="269">
      <c r="A269" s="62"/>
      <c r="B269" s="73" t="s">
        <v>71</v>
      </c>
      <c r="C269" s="41" t="s">
        <v>72</v>
      </c>
      <c r="D269" s="73" t="s">
        <v>79</v>
      </c>
      <c r="E269" s="73" t="s">
        <v>80</v>
      </c>
      <c r="F269" s="63">
        <f t="shared" ref="F269:F270" si="79">G269+H269+I269</f>
      </c>
      <c r="G269" s="81">
        <v>1280.38</v>
      </c>
      <c r="H269" s="81">
        <v>2476.7</v>
      </c>
      <c r="I269" s="64">
        <v>0</v>
      </c>
      <c r="J269" s="65">
        <v>1</v>
      </c>
      <c r="K269" s="65">
        <v>949.9099999999999</v>
      </c>
      <c r="L269" s="65">
        <v>2</v>
      </c>
      <c r="M269" s="65">
        <v>4902.949999999997</v>
      </c>
      <c r="N269" s="67">
        <v>1</v>
      </c>
      <c r="O269" s="68">
        <f t="shared" si="24"/>
      </c>
      <c r="P269" s="67">
        <v>0</v>
      </c>
      <c r="Q269" s="68">
        <f t="shared" si="0"/>
      </c>
      <c r="R269" s="69">
        <f t="shared" ref="R269:R270" si="155">J269+L269</f>
      </c>
      <c r="S269" s="70">
        <f t="shared" ref="S269:S270" si="227">K269+M269</f>
      </c>
      <c r="T269" s="63">
        <f t="shared" si="12"/>
      </c>
      <c r="U269" s="63">
        <f t="shared" si="8"/>
      </c>
      <c r="V269" s="71">
        <f t="shared" si="20"/>
      </c>
      <c r="W269" s="67">
        <v>3</v>
      </c>
      <c r="X269" s="71">
        <f t="shared" si="16"/>
      </c>
      <c r="Y269" s="71">
        <f t="shared" si="248"/>
      </c>
      <c r="Z269" s="63">
        <f t="shared" si="100"/>
      </c>
      <c r="AA269" s="63">
        <f t="shared" si="2"/>
      </c>
      <c r="AB269" s="63">
        <f t="shared" si="4"/>
      </c>
      <c r="AC269" s="68">
        <f t="shared" si="14"/>
      </c>
      <c r="AD269" s="68">
        <f t="shared" si="10"/>
      </c>
      <c r="AE269" s="68">
        <f t="shared" si="22"/>
      </c>
      <c r="AF269" s="68">
        <f t="shared" si="18"/>
      </c>
      <c r="AG269" s="68">
        <f t="shared" si="102"/>
      </c>
      <c r="AH269" s="68">
        <f t="shared" si="26"/>
      </c>
      <c r="AI269" s="68">
        <f t="shared" si="6"/>
      </c>
      <c r="AJ269" s="67">
        <v>60</v>
      </c>
      <c r="AK269" s="72">
        <v>18788</v>
      </c>
      <c r="AL269" s="72">
        <v>437</v>
      </c>
      <c r="AM269" s="72">
        <v>576</v>
      </c>
      <c r="AN269" s="72">
        <v>106</v>
      </c>
      <c r="AO269" s="73">
        <v>33</v>
      </c>
      <c r="AP269" s="72">
        <v>122</v>
      </c>
      <c r="AQ269" s="41">
        <v>113</v>
      </c>
      <c r="AR269" s="73">
        <v>5</v>
      </c>
      <c r="AS269" s="73">
        <v>10</v>
      </c>
      <c r="AT269" s="67">
        <v>0</v>
      </c>
      <c r="AU269" s="67">
        <v>4</v>
      </c>
      <c r="AV269" s="39"/>
      <c r="AW269" s="40"/>
      <c r="AX269" s="41">
        <f t="shared" ref="AX269:AX270" si="301">COUNT(AU269)</f>
      </c>
    </row>
    <row hidden="true" r="270">
      <c r="A270" s="62"/>
      <c r="B270" s="73" t="s">
        <v>71</v>
      </c>
      <c r="C270" s="41" t="s">
        <v>72</v>
      </c>
      <c r="D270" s="73" t="s">
        <v>79</v>
      </c>
      <c r="E270" s="73" t="s">
        <v>81</v>
      </c>
      <c r="F270" s="63">
        <f t="shared" si="79"/>
      </c>
      <c r="G270" s="81">
        <v>949.34</v>
      </c>
      <c r="H270" s="81">
        <v>3058.31</v>
      </c>
      <c r="I270" s="64">
        <v>0</v>
      </c>
      <c r="J270" s="64">
        <v>0</v>
      </c>
      <c r="K270" s="64">
        <v>0</v>
      </c>
      <c r="L270" s="65">
        <v>4</v>
      </c>
      <c r="M270" s="65">
        <v>14053.169999999998</v>
      </c>
      <c r="N270" s="67">
        <v>1</v>
      </c>
      <c r="O270" s="68">
        <f t="shared" si="24"/>
      </c>
      <c r="P270" s="67">
        <v>1</v>
      </c>
      <c r="Q270" s="68">
        <f t="shared" si="0"/>
      </c>
      <c r="R270" s="69">
        <f t="shared" si="155"/>
      </c>
      <c r="S270" s="70">
        <f t="shared" si="227"/>
      </c>
      <c r="T270" s="63">
        <f t="shared" si="12"/>
      </c>
      <c r="U270" s="63">
        <f t="shared" si="8"/>
      </c>
      <c r="V270" s="71">
        <f t="shared" si="20"/>
      </c>
      <c r="W270" s="67">
        <v>2</v>
      </c>
      <c r="X270" s="71">
        <f t="shared" si="16"/>
      </c>
      <c r="Y270" s="71">
        <f t="shared" si="248"/>
      </c>
      <c r="Z270" s="63">
        <f t="shared" si="100"/>
      </c>
      <c r="AA270" s="63">
        <f t="shared" si="2"/>
      </c>
      <c r="AB270" s="63">
        <f t="shared" si="4"/>
      </c>
      <c r="AC270" s="68">
        <f t="shared" si="14"/>
      </c>
      <c r="AD270" s="68">
        <f t="shared" si="10"/>
      </c>
      <c r="AE270" s="68">
        <f t="shared" si="22"/>
      </c>
      <c r="AF270" s="68">
        <f t="shared" si="18"/>
      </c>
      <c r="AG270" s="68">
        <f t="shared" si="102"/>
      </c>
      <c r="AH270" s="68">
        <f t="shared" si="26"/>
      </c>
      <c r="AI270" s="68">
        <f t="shared" si="6"/>
      </c>
      <c r="AJ270" s="67">
        <v>67</v>
      </c>
      <c r="AK270" s="67">
        <v>20523</v>
      </c>
      <c r="AL270" s="72">
        <v>415</v>
      </c>
      <c r="AM270" s="72">
        <v>498</v>
      </c>
      <c r="AN270" s="72">
        <v>103</v>
      </c>
      <c r="AO270" s="73">
        <v>35</v>
      </c>
      <c r="AP270" s="67">
        <v>107</v>
      </c>
      <c r="AQ270" s="73">
        <v>109</v>
      </c>
      <c r="AR270" s="73">
        <v>5</v>
      </c>
      <c r="AS270" s="73">
        <v>7</v>
      </c>
      <c r="AT270" s="67">
        <v>3</v>
      </c>
      <c r="AU270" s="67">
        <v>5</v>
      </c>
      <c r="AV270" s="39"/>
      <c r="AW270" s="40"/>
      <c r="AX270" s="41">
        <f t="shared" si="301"/>
      </c>
    </row>
    <row hidden="true" r="271">
      <c r="A271" s="62"/>
      <c r="B271" s="75" t="s">
        <v>66</v>
      </c>
      <c r="C271" s="75"/>
      <c r="D271" s="75"/>
      <c r="E271" s="75"/>
      <c r="F271" s="76">
        <f>SUM(F269:F270)</f>
      </c>
      <c r="G271" s="76">
        <f>SUM(G269:G270)</f>
      </c>
      <c r="H271" s="76">
        <f>SUM(H269:H270)</f>
      </c>
      <c r="I271" s="76">
        <f>SUM(I269:I270)</f>
      </c>
      <c r="J271" s="76">
        <f>SUM(J269:J270)</f>
      </c>
      <c r="K271" s="76">
        <f>SUM(K269:K270)</f>
      </c>
      <c r="L271" s="76">
        <f>SUM(L269:L270)</f>
      </c>
      <c r="M271" s="76">
        <f>SUM(M269:M270)</f>
      </c>
      <c r="N271" s="76">
        <f>SUM(N269:N270)</f>
      </c>
      <c r="O271" s="77">
        <f t="shared" si="24"/>
      </c>
      <c r="P271" s="76">
        <f>SUM(P269:P270)</f>
      </c>
      <c r="Q271" s="77">
        <f t="shared" si="0"/>
      </c>
      <c r="R271" s="76">
        <f>SUM(R269:R270)</f>
      </c>
      <c r="S271" s="76">
        <f>SUM(S269:S270)</f>
      </c>
      <c r="T271" s="76">
        <f t="shared" si="12"/>
      </c>
      <c r="U271" s="76">
        <f t="shared" si="8"/>
      </c>
      <c r="V271" s="79">
        <f t="shared" si="20"/>
      </c>
      <c r="W271" s="76">
        <f>SUM(W269:W270)</f>
      </c>
      <c r="X271" s="79">
        <f t="shared" si="16"/>
      </c>
      <c r="Y271" s="79">
        <f t="shared" si="248"/>
      </c>
      <c r="Z271" s="76">
        <f t="shared" si="100"/>
      </c>
      <c r="AA271" s="76">
        <f t="shared" si="2"/>
      </c>
      <c r="AB271" s="80">
        <f t="shared" si="4"/>
      </c>
      <c r="AC271" s="77">
        <f t="shared" si="14"/>
      </c>
      <c r="AD271" s="77">
        <f t="shared" si="10"/>
      </c>
      <c r="AE271" s="77">
        <f t="shared" si="22"/>
      </c>
      <c r="AF271" s="82">
        <f t="shared" si="18"/>
      </c>
      <c r="AG271" s="77">
        <f t="shared" si="102"/>
      </c>
      <c r="AH271" s="77">
        <f t="shared" si="26"/>
      </c>
      <c r="AI271" s="77">
        <f t="shared" si="6"/>
      </c>
      <c r="AJ271" s="78">
        <f>AVERAGE(AJ269:AJ270)</f>
      </c>
      <c r="AK271" s="76">
        <f>SUM(AK269:AK270)</f>
      </c>
      <c r="AL271" s="76">
        <f>SUM(AL269:AL270)</f>
      </c>
      <c r="AM271" s="76">
        <f>SUM(AM269:AM270)</f>
      </c>
      <c r="AN271" s="76">
        <f>SUM(AN269:AN270)</f>
      </c>
      <c r="AO271" s="76">
        <f>SUM(AO269:AO270)</f>
      </c>
      <c r="AP271" s="76">
        <f>SUM(AP269:AP270)</f>
      </c>
      <c r="AQ271" s="76">
        <f>SUM(AQ269:AQ270)</f>
      </c>
      <c r="AR271" s="76">
        <f>SUM(AR269:AR270)</f>
      </c>
      <c r="AS271" s="76">
        <f>SUM(AS269:AS270)</f>
      </c>
      <c r="AT271" s="76">
        <f>SUM(AT269:AT270)</f>
      </c>
      <c r="AU271" s="76">
        <f>SUM(AU269:AU270)</f>
      </c>
      <c r="AV271" s="76"/>
      <c r="AW271" s="76"/>
      <c r="AX271" s="76">
        <f>SUM(AX269:AX270)</f>
      </c>
    </row>
    <row hidden="true" r="272">
      <c r="A272" s="62"/>
      <c r="B272" s="84" t="s">
        <v>84</v>
      </c>
      <c r="C272" s="84"/>
      <c r="D272" s="84"/>
      <c r="E272" s="84"/>
      <c r="F272" s="85">
        <f>F268+F263+F258+F271</f>
      </c>
      <c r="G272" s="85">
        <f>G268+G263+G258+G271</f>
      </c>
      <c r="H272" s="85">
        <f>H268+H263+H258+H271</f>
      </c>
      <c r="I272" s="85">
        <f>I268+I263+I258+I271</f>
      </c>
      <c r="J272" s="85">
        <f>J268+J263+J258+J271</f>
      </c>
      <c r="K272" s="85">
        <f>K268+K263+K258+K271</f>
      </c>
      <c r="L272" s="85">
        <f>L268+L263+L258+L271</f>
      </c>
      <c r="M272" s="85">
        <f>M268+M263+M258+M271</f>
      </c>
      <c r="N272" s="85">
        <f>N268+N263+N258+N271</f>
      </c>
      <c r="O272" s="86">
        <f t="shared" si="24"/>
      </c>
      <c r="P272" s="85">
        <f>P268+P263+P258+P271</f>
      </c>
      <c r="Q272" s="86">
        <f t="shared" si="0"/>
      </c>
      <c r="R272" s="85">
        <f>R268+R263+R258+R271</f>
      </c>
      <c r="S272" s="85">
        <f>S268+S263+S258+S271</f>
      </c>
      <c r="T272" s="85">
        <f t="shared" si="12"/>
      </c>
      <c r="U272" s="85">
        <f t="shared" si="8"/>
      </c>
      <c r="V272" s="88">
        <f t="shared" si="20"/>
      </c>
      <c r="W272" s="85">
        <f>W268+W263+W258+W271</f>
      </c>
      <c r="X272" s="88">
        <f t="shared" si="16"/>
      </c>
      <c r="Y272" s="88">
        <f t="shared" si="248"/>
      </c>
      <c r="Z272" s="85">
        <f t="shared" si="100"/>
      </c>
      <c r="AA272" s="85">
        <f t="shared" si="2"/>
      </c>
      <c r="AB272" s="89">
        <f t="shared" si="4"/>
      </c>
      <c r="AC272" s="86">
        <f t="shared" si="14"/>
      </c>
      <c r="AD272" s="86">
        <f t="shared" si="10"/>
      </c>
      <c r="AE272" s="86">
        <f t="shared" si="22"/>
      </c>
      <c r="AF272" s="90">
        <f t="shared" si="18"/>
      </c>
      <c r="AG272" s="86">
        <f t="shared" si="102"/>
      </c>
      <c r="AH272" s="86">
        <f t="shared" si="26"/>
      </c>
      <c r="AI272" s="86">
        <f t="shared" si="6"/>
      </c>
      <c r="AJ272" s="87">
        <f>(AJ268+AJ263+AJ258+AJ271)/4</f>
      </c>
      <c r="AK272" s="85">
        <f>AK268+AK263+AK258+AK271</f>
      </c>
      <c r="AL272" s="85">
        <f>AL268+AL263+AL258+AL271</f>
      </c>
      <c r="AM272" s="85">
        <f>AM268+AM263+AM258+AM271</f>
      </c>
      <c r="AN272" s="85">
        <f>AN268+AN263+AN258+AN271</f>
      </c>
      <c r="AO272" s="85">
        <f>AO268+AO263+AO258+AO271</f>
      </c>
      <c r="AP272" s="85">
        <f>AP268+AP263+AP258+AP271</f>
      </c>
      <c r="AQ272" s="85">
        <f>AQ268+AQ263+AQ258+AQ271</f>
      </c>
      <c r="AR272" s="85">
        <f>AR268+AR263+AR258+AR271</f>
      </c>
      <c r="AS272" s="85">
        <f>AS268+AS263+AS258+AS271</f>
      </c>
      <c r="AT272" s="85">
        <f>AT268+AT263+AT258+AT271</f>
      </c>
      <c r="AU272" s="85">
        <f>AU268+AU263+AU258+AU271</f>
      </c>
      <c r="AV272" s="39"/>
      <c r="AW272" s="84">
        <f>AW258+AW263+AW268+AW271</f>
      </c>
      <c r="AX272" s="84">
        <f>AX258+AX263+AX268+AX271</f>
      </c>
    </row>
    <row hidden="true" r="273">
      <c r="A273" s="62">
        <v>46310</v>
      </c>
      <c r="B273" s="73" t="s">
        <v>88</v>
      </c>
      <c r="C273" s="41" t="s">
        <v>60</v>
      </c>
      <c r="D273" s="73" t="s">
        <v>61</v>
      </c>
      <c r="E273" s="28" t="s">
        <v>62</v>
      </c>
      <c r="F273" s="63">
        <f t="shared" ref="F273:F276" si="80">G273+H273+I273</f>
      </c>
      <c r="G273" s="81">
        <v>1082.43</v>
      </c>
      <c r="H273" s="81">
        <v>2763.69</v>
      </c>
      <c r="I273" s="64">
        <v>0</v>
      </c>
      <c r="J273" s="65">
        <v>1</v>
      </c>
      <c r="K273" s="66">
        <v>1055.45</v>
      </c>
      <c r="L273" s="65">
        <v>3</v>
      </c>
      <c r="M273" s="65">
        <v>5632.24</v>
      </c>
      <c r="N273" s="67">
        <v>0</v>
      </c>
      <c r="O273" s="68">
        <f t="shared" si="24"/>
      </c>
      <c r="P273" s="67">
        <v>1</v>
      </c>
      <c r="Q273" s="68">
        <f t="shared" si="0"/>
      </c>
      <c r="R273" s="69">
        <f t="shared" ref="R273:R276" si="156">J273+L273</f>
      </c>
      <c r="S273" s="70">
        <f t="shared" ref="S273:S276" si="228">K273+M273</f>
      </c>
      <c r="T273" s="63">
        <f t="shared" si="12"/>
      </c>
      <c r="U273" s="63">
        <f t="shared" si="8"/>
      </c>
      <c r="V273" s="71">
        <f t="shared" si="20"/>
      </c>
      <c r="W273" s="67">
        <v>4</v>
      </c>
      <c r="X273" s="71">
        <f t="shared" si="16"/>
      </c>
      <c r="Y273" s="71">
        <f t="shared" si="248"/>
      </c>
      <c r="Z273" s="63">
        <f t="shared" si="100"/>
      </c>
      <c r="AA273" s="63">
        <f t="shared" si="2"/>
      </c>
      <c r="AB273" s="63">
        <f t="shared" si="4"/>
      </c>
      <c r="AC273" s="68">
        <f t="shared" si="14"/>
      </c>
      <c r="AD273" s="68">
        <f t="shared" si="10"/>
      </c>
      <c r="AE273" s="68">
        <f t="shared" si="22"/>
      </c>
      <c r="AF273" s="68">
        <f t="shared" si="18"/>
      </c>
      <c r="AG273" s="68">
        <f t="shared" si="102"/>
      </c>
      <c r="AH273" s="68">
        <f t="shared" si="26"/>
      </c>
      <c r="AI273" s="68">
        <f t="shared" si="6"/>
      </c>
      <c r="AJ273" s="67">
        <v>89</v>
      </c>
      <c r="AK273" s="72">
        <v>12840</v>
      </c>
      <c r="AL273" s="72">
        <v>347</v>
      </c>
      <c r="AM273" s="72">
        <v>436</v>
      </c>
      <c r="AN273" s="72">
        <v>84</v>
      </c>
      <c r="AO273" s="73">
        <v>34</v>
      </c>
      <c r="AP273" s="73">
        <v>119</v>
      </c>
      <c r="AQ273" s="73">
        <v>100</v>
      </c>
      <c r="AR273" s="73">
        <v>4</v>
      </c>
      <c r="AS273" s="73">
        <v>5</v>
      </c>
      <c r="AT273" s="67">
        <v>1</v>
      </c>
      <c r="AU273" s="67">
        <v>4</v>
      </c>
      <c r="AV273" s="39"/>
      <c r="AW273" s="40"/>
      <c r="AX273" s="41">
        <f t="shared" ref="AX273:AX276" si="302">COUNT(AU273)</f>
      </c>
    </row>
    <row hidden="true" r="274">
      <c r="A274" s="62"/>
      <c r="B274" s="73" t="s">
        <v>88</v>
      </c>
      <c r="C274" s="41" t="s">
        <v>60</v>
      </c>
      <c r="D274" s="73" t="s">
        <v>61</v>
      </c>
      <c r="E274" s="28" t="s">
        <v>63</v>
      </c>
      <c r="F274" s="63">
        <f t="shared" si="80"/>
      </c>
      <c r="G274" s="81">
        <v>848.43</v>
      </c>
      <c r="H274" s="81">
        <v>1762.9</v>
      </c>
      <c r="I274" s="64">
        <v>0</v>
      </c>
      <c r="J274" s="65">
        <v>0</v>
      </c>
      <c r="K274" s="65">
        <v>0</v>
      </c>
      <c r="L274" s="65">
        <v>1</v>
      </c>
      <c r="M274" s="65">
        <v>5742.75</v>
      </c>
      <c r="N274" s="67">
        <v>0</v>
      </c>
      <c r="O274" s="68">
        <f t="shared" si="24"/>
      </c>
      <c r="P274" s="67">
        <v>0</v>
      </c>
      <c r="Q274" s="68">
        <f t="shared" si="0"/>
      </c>
      <c r="R274" s="69">
        <f t="shared" si="156"/>
      </c>
      <c r="S274" s="70">
        <f t="shared" si="228"/>
      </c>
      <c r="T274" s="63">
        <f t="shared" si="12"/>
      </c>
      <c r="U274" s="63">
        <f t="shared" si="8"/>
      </c>
      <c r="V274" s="71">
        <f t="shared" si="20"/>
      </c>
      <c r="W274" s="67">
        <v>1</v>
      </c>
      <c r="X274" s="71">
        <f t="shared" si="16"/>
      </c>
      <c r="Y274" s="71">
        <f t="shared" si="248"/>
      </c>
      <c r="Z274" s="63">
        <f t="shared" si="100"/>
      </c>
      <c r="AA274" s="63">
        <f t="shared" si="2"/>
      </c>
      <c r="AB274" s="63">
        <f t="shared" si="4"/>
      </c>
      <c r="AC274" s="68">
        <f t="shared" si="14"/>
      </c>
      <c r="AD274" s="68">
        <f t="shared" si="10"/>
      </c>
      <c r="AE274" s="68">
        <f t="shared" si="22"/>
      </c>
      <c r="AF274" s="68">
        <f t="shared" si="18"/>
      </c>
      <c r="AG274" s="68">
        <f t="shared" si="102"/>
      </c>
      <c r="AH274" s="68">
        <f t="shared" si="26"/>
      </c>
      <c r="AI274" s="68">
        <f t="shared" si="6"/>
      </c>
      <c r="AJ274" s="67">
        <v>81</v>
      </c>
      <c r="AK274" s="72">
        <v>10962</v>
      </c>
      <c r="AL274" s="72">
        <v>295</v>
      </c>
      <c r="AM274" s="72">
        <v>440</v>
      </c>
      <c r="AN274" s="72">
        <v>70</v>
      </c>
      <c r="AO274" s="73">
        <v>23</v>
      </c>
      <c r="AP274" s="67">
        <v>53</v>
      </c>
      <c r="AQ274" s="73">
        <v>69</v>
      </c>
      <c r="AR274" s="73">
        <v>2</v>
      </c>
      <c r="AS274" s="67">
        <v>4</v>
      </c>
      <c r="AT274" s="67">
        <v>1</v>
      </c>
      <c r="AU274" s="67">
        <v>4</v>
      </c>
      <c r="AV274" s="39"/>
      <c r="AW274" s="40"/>
      <c r="AX274" s="41">
        <f t="shared" si="302"/>
      </c>
    </row>
    <row hidden="true" r="275">
      <c r="A275" s="62"/>
      <c r="B275" s="73" t="s">
        <v>88</v>
      </c>
      <c r="C275" s="41" t="s">
        <v>60</v>
      </c>
      <c r="D275" s="73" t="s">
        <v>61</v>
      </c>
      <c r="E275" s="28" t="s">
        <v>64</v>
      </c>
      <c r="F275" s="63">
        <f t="shared" si="80"/>
      </c>
      <c r="G275" s="81">
        <v>780.44</v>
      </c>
      <c r="H275" s="81">
        <v>810.27</v>
      </c>
      <c r="I275" s="64">
        <v>0</v>
      </c>
      <c r="J275" s="64">
        <v>0</v>
      </c>
      <c r="K275" s="64">
        <v>0</v>
      </c>
      <c r="L275" s="64">
        <v>1</v>
      </c>
      <c r="M275" s="64">
        <v>2441.0300000000007</v>
      </c>
      <c r="N275" s="67">
        <v>1</v>
      </c>
      <c r="O275" s="68">
        <f t="shared" si="24"/>
      </c>
      <c r="P275" s="67">
        <v>0</v>
      </c>
      <c r="Q275" s="68">
        <f t="shared" si="0"/>
      </c>
      <c r="R275" s="69">
        <f t="shared" si="156"/>
      </c>
      <c r="S275" s="70">
        <f t="shared" si="228"/>
      </c>
      <c r="T275" s="63">
        <f t="shared" si="12"/>
      </c>
      <c r="U275" s="63">
        <f t="shared" si="8"/>
      </c>
      <c r="V275" s="71">
        <f t="shared" si="20"/>
      </c>
      <c r="W275" s="67">
        <v>1</v>
      </c>
      <c r="X275" s="71">
        <f t="shared" si="16"/>
      </c>
      <c r="Y275" s="71">
        <f t="shared" si="248"/>
      </c>
      <c r="Z275" s="63">
        <f t="shared" si="100"/>
      </c>
      <c r="AA275" s="63">
        <f t="shared" si="2"/>
      </c>
      <c r="AB275" s="63">
        <f t="shared" si="4"/>
      </c>
      <c r="AC275" s="68">
        <f t="shared" si="14"/>
      </c>
      <c r="AD275" s="68">
        <f t="shared" si="10"/>
      </c>
      <c r="AE275" s="68">
        <f t="shared" si="22"/>
      </c>
      <c r="AF275" s="68">
        <f t="shared" si="18"/>
      </c>
      <c r="AG275" s="68">
        <f t="shared" si="102"/>
      </c>
      <c r="AH275" s="68">
        <f t="shared" si="26"/>
      </c>
      <c r="AI275" s="68">
        <f t="shared" si="6"/>
      </c>
      <c r="AJ275" s="67">
        <v>75</v>
      </c>
      <c r="AK275" s="72">
        <v>7139</v>
      </c>
      <c r="AL275" s="72">
        <v>219</v>
      </c>
      <c r="AM275" s="72">
        <v>366</v>
      </c>
      <c r="AN275" s="72">
        <v>29</v>
      </c>
      <c r="AO275" s="73">
        <v>15</v>
      </c>
      <c r="AP275" s="72">
        <v>25</v>
      </c>
      <c r="AQ275" s="41">
        <v>46</v>
      </c>
      <c r="AR275" s="73">
        <v>1</v>
      </c>
      <c r="AS275" s="67">
        <v>1</v>
      </c>
      <c r="AT275" s="67">
        <v>1</v>
      </c>
      <c r="AU275" s="67">
        <v>7</v>
      </c>
      <c r="AV275" s="39"/>
      <c r="AW275" s="40"/>
      <c r="AX275" s="41">
        <f t="shared" si="302"/>
      </c>
    </row>
    <row hidden="true" r="276">
      <c r="A276" s="62"/>
      <c r="B276" s="73" t="s">
        <v>88</v>
      </c>
      <c r="C276" s="41" t="s">
        <v>60</v>
      </c>
      <c r="D276" s="73" t="s">
        <v>61</v>
      </c>
      <c r="E276" s="41" t="s">
        <v>65</v>
      </c>
      <c r="F276" s="63">
        <f t="shared" si="80"/>
      </c>
      <c r="G276" s="81">
        <v>1072.84</v>
      </c>
      <c r="H276" s="81">
        <v>1086.65</v>
      </c>
      <c r="I276" s="65">
        <v>0</v>
      </c>
      <c r="J276" s="65">
        <v>0</v>
      </c>
      <c r="K276" s="65">
        <v>0</v>
      </c>
      <c r="L276" s="65">
        <v>1</v>
      </c>
      <c r="M276" s="65">
        <v>1371.7999999999993</v>
      </c>
      <c r="N276" s="67">
        <v>0</v>
      </c>
      <c r="O276" s="68">
        <f t="shared" si="24"/>
      </c>
      <c r="P276" s="67">
        <v>0</v>
      </c>
      <c r="Q276" s="68">
        <f t="shared" si="0"/>
      </c>
      <c r="R276" s="69">
        <f t="shared" si="156"/>
      </c>
      <c r="S276" s="70">
        <f t="shared" si="228"/>
      </c>
      <c r="T276" s="63">
        <f t="shared" si="12"/>
      </c>
      <c r="U276" s="63">
        <f t="shared" si="8"/>
      </c>
      <c r="V276" s="71">
        <f t="shared" si="20"/>
      </c>
      <c r="W276" s="67">
        <v>1</v>
      </c>
      <c r="X276" s="71">
        <f t="shared" si="16"/>
      </c>
      <c r="Y276" s="71">
        <f t="shared" si="248"/>
      </c>
      <c r="Z276" s="63">
        <f t="shared" si="100"/>
      </c>
      <c r="AA276" s="63">
        <f t="shared" si="2"/>
      </c>
      <c r="AB276" s="63">
        <f t="shared" si="4"/>
      </c>
      <c r="AC276" s="68">
        <f t="shared" si="14"/>
      </c>
      <c r="AD276" s="68">
        <f t="shared" si="10"/>
      </c>
      <c r="AE276" s="68">
        <f t="shared" si="22"/>
      </c>
      <c r="AF276" s="68">
        <f t="shared" si="18"/>
      </c>
      <c r="AG276" s="68">
        <f t="shared" si="102"/>
      </c>
      <c r="AH276" s="68">
        <f t="shared" si="26"/>
      </c>
      <c r="AI276" s="68">
        <f t="shared" si="6"/>
      </c>
      <c r="AJ276" s="67">
        <v>50</v>
      </c>
      <c r="AK276" s="72">
        <v>9750</v>
      </c>
      <c r="AL276" s="72">
        <v>244</v>
      </c>
      <c r="AM276" s="72">
        <v>387</v>
      </c>
      <c r="AN276" s="72">
        <v>50</v>
      </c>
      <c r="AO276" s="73">
        <v>26</v>
      </c>
      <c r="AP276" s="72">
        <v>44</v>
      </c>
      <c r="AQ276" s="41">
        <v>57</v>
      </c>
      <c r="AR276" s="73">
        <v>2</v>
      </c>
      <c r="AS276" s="67">
        <v>4</v>
      </c>
      <c r="AT276" s="67">
        <v>1</v>
      </c>
      <c r="AU276" s="67">
        <v>3</v>
      </c>
      <c r="AV276" s="39"/>
      <c r="AW276" s="40"/>
      <c r="AX276" s="41">
        <f t="shared" si="302"/>
      </c>
    </row>
    <row hidden="true" r="277">
      <c r="A277" s="62"/>
      <c r="B277" s="75" t="s">
        <v>66</v>
      </c>
      <c r="C277" s="75"/>
      <c r="D277" s="75"/>
      <c r="E277" s="75"/>
      <c r="F277" s="76">
        <f>SUM(F273:F276)</f>
      </c>
      <c r="G277" s="76">
        <f>SUM(G273:G276)</f>
      </c>
      <c r="H277" s="76">
        <f>SUM(H273:H276)</f>
      </c>
      <c r="I277" s="76">
        <f>SUM(I273:I276)</f>
      </c>
      <c r="J277" s="76">
        <f>SUM(J273:J276)</f>
      </c>
      <c r="K277" s="76">
        <f>SUM(K273:K276)</f>
      </c>
      <c r="L277" s="76">
        <f>SUM(L273:L276)</f>
      </c>
      <c r="M277" s="76">
        <f>SUM(M273:M276)</f>
      </c>
      <c r="N277" s="76">
        <f>SUM(N273:N276)</f>
      </c>
      <c r="O277" s="77">
        <f t="shared" si="24"/>
      </c>
      <c r="P277" s="76">
        <f>SUM(P273:P276)</f>
      </c>
      <c r="Q277" s="77">
        <f t="shared" si="0"/>
      </c>
      <c r="R277" s="76">
        <f>SUM(R273:R276)</f>
      </c>
      <c r="S277" s="76">
        <f>SUM(S273:S276)</f>
      </c>
      <c r="T277" s="76">
        <f t="shared" si="12"/>
      </c>
      <c r="U277" s="76">
        <f t="shared" si="8"/>
      </c>
      <c r="V277" s="76">
        <f t="shared" si="20"/>
      </c>
      <c r="W277" s="76">
        <f>SUM(W273:W276)</f>
      </c>
      <c r="X277" s="79">
        <f t="shared" si="16"/>
      </c>
      <c r="Y277" s="79">
        <f t="shared" si="248"/>
      </c>
      <c r="Z277" s="76">
        <f t="shared" si="100"/>
      </c>
      <c r="AA277" s="76">
        <f t="shared" si="2"/>
      </c>
      <c r="AB277" s="80">
        <f t="shared" si="4"/>
      </c>
      <c r="AC277" s="77">
        <f t="shared" si="14"/>
      </c>
      <c r="AD277" s="77">
        <f t="shared" si="10"/>
      </c>
      <c r="AE277" s="77">
        <f t="shared" si="22"/>
      </c>
      <c r="AF277" s="77">
        <f t="shared" si="18"/>
      </c>
      <c r="AG277" s="77">
        <f t="shared" si="102"/>
      </c>
      <c r="AH277" s="77">
        <f t="shared" si="26"/>
      </c>
      <c r="AI277" s="77">
        <f t="shared" si="6"/>
      </c>
      <c r="AJ277" s="78">
        <f>AVERAGE(AJ273:AJ276)</f>
      </c>
      <c r="AK277" s="76">
        <f>SUM(AK273:AK276)</f>
      </c>
      <c r="AL277" s="76">
        <f>SUM(AL273:AL276)</f>
      </c>
      <c r="AM277" s="76">
        <f>SUM(AM273:AM276)</f>
      </c>
      <c r="AN277" s="76">
        <f>SUM(AN273:AN276)</f>
      </c>
      <c r="AO277" s="76">
        <f>SUM(AO273:AO276)</f>
      </c>
      <c r="AP277" s="76">
        <f>SUM(AP273:AP276)</f>
      </c>
      <c r="AQ277" s="76">
        <f>SUM(AQ273:AQ276)</f>
      </c>
      <c r="AR277" s="76">
        <f>SUM(AR273:AR276)</f>
      </c>
      <c r="AS277" s="76">
        <f>SUM(AS273:AS276)</f>
      </c>
      <c r="AT277" s="76">
        <f>SUM(AT273:AT276)</f>
      </c>
      <c r="AU277" s="76">
        <f>SUM(AU273:AU276)</f>
      </c>
      <c r="AV277" s="39"/>
      <c r="AW277" s="48"/>
      <c r="AX277" s="76">
        <f>SUM(AX273:AX276)</f>
      </c>
    </row>
    <row hidden="true" r="278">
      <c r="A278" s="62"/>
      <c r="B278" s="73" t="s">
        <v>88</v>
      </c>
      <c r="C278" s="41" t="s">
        <v>60</v>
      </c>
      <c r="D278" s="73" t="s">
        <v>67</v>
      </c>
      <c r="E278" s="41" t="s">
        <v>68</v>
      </c>
      <c r="F278" s="63">
        <f t="shared" ref="F278:F281" si="81">G278+H278+I278</f>
      </c>
      <c r="G278" s="81">
        <v>1070.94</v>
      </c>
      <c r="H278" s="81">
        <v>583.97</v>
      </c>
      <c r="I278" s="64">
        <v>327.43</v>
      </c>
      <c r="J278" s="64">
        <v>0</v>
      </c>
      <c r="K278" s="64">
        <v>0</v>
      </c>
      <c r="L278" s="64">
        <v>1</v>
      </c>
      <c r="M278" s="64">
        <v>2033.9500000000007</v>
      </c>
      <c r="N278" s="67">
        <v>0</v>
      </c>
      <c r="O278" s="68">
        <f t="shared" si="24"/>
      </c>
      <c r="P278" s="67">
        <v>0</v>
      </c>
      <c r="Q278" s="68">
        <f t="shared" si="0"/>
      </c>
      <c r="R278" s="69">
        <f t="shared" ref="R278:R281" si="157">J278+L278</f>
      </c>
      <c r="S278" s="70">
        <f t="shared" ref="S278:S281" si="229">K278+M278</f>
      </c>
      <c r="T278" s="63">
        <f t="shared" si="12"/>
      </c>
      <c r="U278" s="63">
        <f t="shared" si="8"/>
      </c>
      <c r="V278" s="71">
        <f t="shared" si="20"/>
      </c>
      <c r="W278" s="67">
        <v>0</v>
      </c>
      <c r="X278" s="71">
        <f t="shared" si="16"/>
      </c>
      <c r="Y278" s="71">
        <f t="shared" si="248"/>
      </c>
      <c r="Z278" s="63">
        <f t="shared" si="100"/>
      </c>
      <c r="AA278" s="63">
        <f t="shared" si="2"/>
      </c>
      <c r="AB278" s="63">
        <f t="shared" si="4"/>
      </c>
      <c r="AC278" s="68">
        <f t="shared" si="14"/>
      </c>
      <c r="AD278" s="68">
        <f t="shared" si="10"/>
      </c>
      <c r="AE278" s="68">
        <f t="shared" si="22"/>
      </c>
      <c r="AF278" s="68">
        <f t="shared" si="18"/>
      </c>
      <c r="AG278" s="68">
        <f t="shared" si="102"/>
      </c>
      <c r="AH278" s="68">
        <f t="shared" si="26"/>
      </c>
      <c r="AI278" s="68">
        <f t="shared" si="6"/>
      </c>
      <c r="AJ278" s="67">
        <v>56</v>
      </c>
      <c r="AK278" s="72">
        <v>9546</v>
      </c>
      <c r="AL278" s="72">
        <v>316</v>
      </c>
      <c r="AM278" s="72">
        <v>507</v>
      </c>
      <c r="AN278" s="72">
        <v>50</v>
      </c>
      <c r="AO278" s="73">
        <v>19</v>
      </c>
      <c r="AP278" s="72">
        <v>55</v>
      </c>
      <c r="AQ278" s="41">
        <v>78</v>
      </c>
      <c r="AR278" s="73">
        <v>2</v>
      </c>
      <c r="AS278" s="73">
        <v>4</v>
      </c>
      <c r="AT278" s="67">
        <v>1</v>
      </c>
      <c r="AU278" s="67">
        <v>4</v>
      </c>
      <c r="AV278" s="39"/>
      <c r="AW278" s="40"/>
      <c r="AX278" s="41">
        <f t="shared" ref="AX278:AX281" si="303">COUNT(AU278)</f>
      </c>
    </row>
    <row hidden="true" r="279">
      <c r="A279" s="62"/>
      <c r="B279" s="73" t="s">
        <v>88</v>
      </c>
      <c r="C279" s="41" t="s">
        <v>60</v>
      </c>
      <c r="D279" s="73" t="s">
        <v>67</v>
      </c>
      <c r="E279" s="41" t="s">
        <v>69</v>
      </c>
      <c r="F279" s="63">
        <f t="shared" si="81"/>
      </c>
      <c r="G279" s="81">
        <v>1024.6</v>
      </c>
      <c r="H279" s="81">
        <v>0</v>
      </c>
      <c r="I279" s="64">
        <v>1854.22</v>
      </c>
      <c r="J279" s="64">
        <v>0</v>
      </c>
      <c r="K279" s="64">
        <v>0</v>
      </c>
      <c r="L279" s="64">
        <v>0</v>
      </c>
      <c r="M279" s="64">
        <v>0</v>
      </c>
      <c r="N279" s="67">
        <v>0</v>
      </c>
      <c r="O279" s="68">
        <f t="shared" si="24"/>
      </c>
      <c r="P279" s="67">
        <v>0</v>
      </c>
      <c r="Q279" s="68">
        <f t="shared" si="0"/>
      </c>
      <c r="R279" s="69">
        <f t="shared" si="157"/>
      </c>
      <c r="S279" s="70">
        <f t="shared" si="229"/>
      </c>
      <c r="T279" s="63">
        <f t="shared" si="12"/>
      </c>
      <c r="U279" s="63">
        <f t="shared" si="8"/>
      </c>
      <c r="V279" s="71">
        <f t="shared" si="20"/>
      </c>
      <c r="W279" s="67">
        <v>1</v>
      </c>
      <c r="X279" s="71">
        <f t="shared" si="16"/>
      </c>
      <c r="Y279" s="71">
        <f t="shared" si="248"/>
      </c>
      <c r="Z279" s="63">
        <f t="shared" si="100"/>
      </c>
      <c r="AA279" s="63">
        <f t="shared" si="2"/>
      </c>
      <c r="AB279" s="63">
        <f t="shared" si="4"/>
      </c>
      <c r="AC279" s="68">
        <f t="shared" si="14"/>
      </c>
      <c r="AD279" s="68">
        <f t="shared" si="10"/>
      </c>
      <c r="AE279" s="68">
        <f t="shared" si="22"/>
      </c>
      <c r="AF279" s="68">
        <f t="shared" si="18"/>
      </c>
      <c r="AG279" s="68">
        <f t="shared" si="102"/>
      </c>
      <c r="AH279" s="68">
        <f t="shared" si="26"/>
      </c>
      <c r="AI279" s="68">
        <f t="shared" si="6"/>
      </c>
      <c r="AJ279" s="67">
        <v>61</v>
      </c>
      <c r="AK279" s="72">
        <v>12487</v>
      </c>
      <c r="AL279" s="72">
        <v>318</v>
      </c>
      <c r="AM279" s="72">
        <v>457</v>
      </c>
      <c r="AN279" s="72">
        <v>73</v>
      </c>
      <c r="AO279" s="73">
        <v>22</v>
      </c>
      <c r="AP279" s="72">
        <v>58</v>
      </c>
      <c r="AQ279" s="41">
        <v>73</v>
      </c>
      <c r="AR279" s="73">
        <v>3</v>
      </c>
      <c r="AS279" s="73">
        <v>10</v>
      </c>
      <c r="AT279" s="67">
        <v>0</v>
      </c>
      <c r="AU279" s="67">
        <v>10</v>
      </c>
      <c r="AV279" s="39"/>
      <c r="AW279" s="40"/>
      <c r="AX279" s="41">
        <f t="shared" si="303"/>
      </c>
    </row>
    <row hidden="true" r="280">
      <c r="A280" s="62"/>
      <c r="B280" s="73" t="s">
        <v>88</v>
      </c>
      <c r="C280" s="41" t="s">
        <v>60</v>
      </c>
      <c r="D280" s="73" t="s">
        <v>67</v>
      </c>
      <c r="E280" s="41" t="s">
        <v>70</v>
      </c>
      <c r="F280" s="63">
        <f t="shared" si="81"/>
      </c>
      <c r="G280" s="81">
        <v>1078.85</v>
      </c>
      <c r="H280" s="81">
        <v>0</v>
      </c>
      <c r="I280" s="64">
        <v>1376.59</v>
      </c>
      <c r="J280" s="64">
        <v>0</v>
      </c>
      <c r="K280" s="64">
        <v>0</v>
      </c>
      <c r="L280" s="64">
        <v>0</v>
      </c>
      <c r="M280" s="64">
        <v>0</v>
      </c>
      <c r="N280" s="67">
        <v>0</v>
      </c>
      <c r="O280" s="68">
        <f t="shared" si="24"/>
      </c>
      <c r="P280" s="67">
        <v>0</v>
      </c>
      <c r="Q280" s="68">
        <f t="shared" si="0"/>
      </c>
      <c r="R280" s="69">
        <f t="shared" si="157"/>
      </c>
      <c r="S280" s="70">
        <f t="shared" si="229"/>
      </c>
      <c r="T280" s="63">
        <f t="shared" si="12"/>
      </c>
      <c r="U280" s="63">
        <f t="shared" si="8"/>
      </c>
      <c r="V280" s="71">
        <f t="shared" si="20"/>
      </c>
      <c r="W280" s="67">
        <v>0</v>
      </c>
      <c r="X280" s="71">
        <f t="shared" si="16"/>
      </c>
      <c r="Y280" s="71">
        <f t="shared" si="248"/>
      </c>
      <c r="Z280" s="63">
        <f t="shared" si="100"/>
      </c>
      <c r="AA280" s="63">
        <f t="shared" si="2"/>
      </c>
      <c r="AB280" s="63">
        <f t="shared" si="4"/>
      </c>
      <c r="AC280" s="68">
        <f t="shared" si="14"/>
      </c>
      <c r="AD280" s="68">
        <f t="shared" si="10"/>
      </c>
      <c r="AE280" s="68">
        <f t="shared" si="22"/>
      </c>
      <c r="AF280" s="68">
        <f t="shared" si="18"/>
      </c>
      <c r="AG280" s="68">
        <f t="shared" si="102"/>
      </c>
      <c r="AH280" s="68">
        <f t="shared" si="26"/>
      </c>
      <c r="AI280" s="68">
        <f t="shared" si="6"/>
      </c>
      <c r="AJ280" s="67">
        <v>58</v>
      </c>
      <c r="AK280" s="72">
        <v>10590</v>
      </c>
      <c r="AL280" s="72">
        <v>253</v>
      </c>
      <c r="AM280" s="72">
        <v>423</v>
      </c>
      <c r="AN280" s="72">
        <v>49</v>
      </c>
      <c r="AO280" s="73">
        <v>19</v>
      </c>
      <c r="AP280" s="72">
        <v>38</v>
      </c>
      <c r="AQ280" s="73">
        <v>60</v>
      </c>
      <c r="AR280" s="73">
        <v>1</v>
      </c>
      <c r="AS280" s="67">
        <v>2</v>
      </c>
      <c r="AT280" s="67">
        <v>0</v>
      </c>
      <c r="AU280" s="67">
        <v>3</v>
      </c>
      <c r="AV280" s="39"/>
      <c r="AW280" s="40"/>
      <c r="AX280" s="41">
        <f t="shared" si="303"/>
      </c>
    </row>
    <row hidden="true" r="281">
      <c r="A281" s="62"/>
      <c r="B281" s="73" t="s">
        <v>71</v>
      </c>
      <c r="C281" s="41" t="s">
        <v>72</v>
      </c>
      <c r="D281" s="73" t="s">
        <v>67</v>
      </c>
      <c r="E281" s="41" t="s">
        <v>73</v>
      </c>
      <c r="F281" s="63">
        <f t="shared" si="81"/>
      </c>
      <c r="G281" s="81">
        <v>961.93</v>
      </c>
      <c r="H281" s="81">
        <v>0</v>
      </c>
      <c r="I281" s="64">
        <v>1205.74</v>
      </c>
      <c r="J281" s="65">
        <v>1</v>
      </c>
      <c r="K281" s="65">
        <v>4506.71</v>
      </c>
      <c r="L281" s="65">
        <v>2</v>
      </c>
      <c r="M281" s="65">
        <v>10682</v>
      </c>
      <c r="N281" s="67">
        <v>0</v>
      </c>
      <c r="O281" s="68">
        <f t="shared" si="24"/>
      </c>
      <c r="P281" s="67">
        <v>2</v>
      </c>
      <c r="Q281" s="68">
        <f t="shared" si="0"/>
      </c>
      <c r="R281" s="69">
        <f t="shared" si="157"/>
      </c>
      <c r="S281" s="70">
        <f t="shared" si="229"/>
      </c>
      <c r="T281" s="63">
        <f t="shared" si="12"/>
      </c>
      <c r="U281" s="63">
        <f t="shared" si="8"/>
      </c>
      <c r="V281" s="71">
        <f t="shared" si="20"/>
      </c>
      <c r="W281" s="67">
        <v>3</v>
      </c>
      <c r="X281" s="71">
        <f t="shared" si="16"/>
      </c>
      <c r="Y281" s="71">
        <f t="shared" si="248"/>
      </c>
      <c r="Z281" s="63">
        <f t="shared" si="100"/>
      </c>
      <c r="AA281" s="63">
        <f t="shared" si="2"/>
      </c>
      <c r="AB281" s="63">
        <f t="shared" si="4"/>
      </c>
      <c r="AC281" s="68">
        <f t="shared" si="14"/>
      </c>
      <c r="AD281" s="68">
        <f t="shared" si="10"/>
      </c>
      <c r="AE281" s="68">
        <f t="shared" si="22"/>
      </c>
      <c r="AF281" s="68">
        <f t="shared" si="18"/>
      </c>
      <c r="AG281" s="68">
        <f t="shared" si="102"/>
      </c>
      <c r="AH281" s="68">
        <f t="shared" si="26"/>
      </c>
      <c r="AI281" s="68">
        <f t="shared" si="6"/>
      </c>
      <c r="AJ281" s="67">
        <v>59</v>
      </c>
      <c r="AK281" s="72">
        <v>10794</v>
      </c>
      <c r="AL281" s="72">
        <v>266</v>
      </c>
      <c r="AM281" s="67">
        <v>407</v>
      </c>
      <c r="AN281" s="67">
        <v>65</v>
      </c>
      <c r="AO281" s="73">
        <v>17</v>
      </c>
      <c r="AP281" s="67">
        <v>88</v>
      </c>
      <c r="AQ281" s="73">
        <v>74</v>
      </c>
      <c r="AR281" s="73">
        <v>4</v>
      </c>
      <c r="AS281" s="67">
        <v>2</v>
      </c>
      <c r="AT281" s="67">
        <v>1</v>
      </c>
      <c r="AU281" s="67">
        <v>2</v>
      </c>
      <c r="AV281" s="39"/>
      <c r="AW281" s="40"/>
      <c r="AX281" s="41">
        <f t="shared" si="303"/>
      </c>
    </row>
    <row hidden="true" r="282">
      <c r="A282" s="62"/>
      <c r="B282" s="75" t="s">
        <v>66</v>
      </c>
      <c r="C282" s="75"/>
      <c r="D282" s="75"/>
      <c r="E282" s="75"/>
      <c r="F282" s="76">
        <f>SUM(F278:F281)</f>
      </c>
      <c r="G282" s="76">
        <f>SUM(G278:G281)</f>
      </c>
      <c r="H282" s="76">
        <f>SUM(H278:H281)</f>
      </c>
      <c r="I282" s="76">
        <f>SUM(I278:I281)</f>
      </c>
      <c r="J282" s="76">
        <f>SUM(J278:J281)</f>
      </c>
      <c r="K282" s="76">
        <f>SUM(K278:K281)</f>
      </c>
      <c r="L282" s="76">
        <f>SUM(L278:L281)</f>
      </c>
      <c r="M282" s="76">
        <f>SUM(M278:M281)</f>
      </c>
      <c r="N282" s="76">
        <f>SUM(N278:N281)</f>
      </c>
      <c r="O282" s="77">
        <f t="shared" si="24"/>
      </c>
      <c r="P282" s="76">
        <f>SUM(P278:P281)</f>
      </c>
      <c r="Q282" s="77">
        <f t="shared" si="0"/>
      </c>
      <c r="R282" s="91">
        <f>SUM(R278:R281)</f>
      </c>
      <c r="S282" s="76">
        <f>SUM(S278:S281)</f>
      </c>
      <c r="T282" s="76">
        <f t="shared" si="12"/>
      </c>
      <c r="U282" s="76">
        <f t="shared" si="8"/>
      </c>
      <c r="V282" s="79">
        <f t="shared" si="20"/>
      </c>
      <c r="W282" s="76">
        <f>SUM(W278:W281)</f>
      </c>
      <c r="X282" s="79">
        <f t="shared" si="16"/>
      </c>
      <c r="Y282" s="79">
        <f t="shared" si="248"/>
      </c>
      <c r="Z282" s="76">
        <f t="shared" si="100"/>
      </c>
      <c r="AA282" s="76">
        <f t="shared" si="2"/>
      </c>
      <c r="AB282" s="80">
        <f t="shared" si="4"/>
      </c>
      <c r="AC282" s="77">
        <f t="shared" si="14"/>
      </c>
      <c r="AD282" s="77">
        <f t="shared" si="10"/>
      </c>
      <c r="AE282" s="77">
        <f t="shared" si="22"/>
      </c>
      <c r="AF282" s="82">
        <f t="shared" si="18"/>
      </c>
      <c r="AG282" s="77">
        <f t="shared" si="102"/>
      </c>
      <c r="AH282" s="77">
        <f t="shared" si="26"/>
      </c>
      <c r="AI282" s="77">
        <f t="shared" si="6"/>
      </c>
      <c r="AJ282" s="78">
        <f>AVERAGE(AJ278:AJ281)</f>
      </c>
      <c r="AK282" s="76">
        <f>SUM(AK278:AK281)</f>
      </c>
      <c r="AL282" s="76">
        <f>SUM(AL278:AL281)</f>
      </c>
      <c r="AM282" s="76">
        <f>SUM(AM278:AM281)</f>
      </c>
      <c r="AN282" s="76">
        <f>SUM(AN278:AN281)</f>
      </c>
      <c r="AO282" s="76">
        <f>SUM(AO278:AO281)</f>
      </c>
      <c r="AP282" s="76">
        <f>SUM(AP278:AP281)</f>
      </c>
      <c r="AQ282" s="76">
        <f>SUM(AQ278:AQ281)</f>
      </c>
      <c r="AR282" s="76">
        <f>SUM(AR278:AR281)</f>
      </c>
      <c r="AS282" s="76">
        <f>SUM(AS278:AS281)</f>
      </c>
      <c r="AT282" s="76">
        <f>SUM(AT278:AT281)</f>
      </c>
      <c r="AU282" s="76">
        <f>SUM(AU278:AU281)</f>
      </c>
      <c r="AV282" s="39"/>
      <c r="AW282" s="48"/>
      <c r="AX282" s="49">
        <f>SUM(AX278:AX281)</f>
      </c>
    </row>
    <row hidden="true" r="283">
      <c r="A283" s="62"/>
      <c r="B283" s="73" t="s">
        <v>71</v>
      </c>
      <c r="C283" s="41" t="s">
        <v>72</v>
      </c>
      <c r="D283" s="73" t="s">
        <v>79</v>
      </c>
      <c r="E283" s="41" t="s">
        <v>75</v>
      </c>
      <c r="F283" s="63">
        <f t="shared" ref="F283:F285" si="82">G283+H283+I283</f>
      </c>
      <c r="G283" s="81">
        <v>674.35</v>
      </c>
      <c r="H283" s="81">
        <v>0</v>
      </c>
      <c r="I283" s="64">
        <v>1521.67</v>
      </c>
      <c r="J283" s="65">
        <v>0</v>
      </c>
      <c r="K283" s="65">
        <v>0</v>
      </c>
      <c r="L283" s="65">
        <v>4</v>
      </c>
      <c r="M283" s="65">
        <v>11240.500000000004</v>
      </c>
      <c r="N283" s="67">
        <v>2</v>
      </c>
      <c r="O283" s="68">
        <f t="shared" si="24"/>
      </c>
      <c r="P283" s="67">
        <v>1</v>
      </c>
      <c r="Q283" s="68">
        <f t="shared" si="0"/>
      </c>
      <c r="R283" s="69">
        <f t="shared" ref="R283:R285" si="158">J283+L283</f>
      </c>
      <c r="S283" s="70">
        <f t="shared" ref="S283:S285" si="230">K283+M283</f>
      </c>
      <c r="T283" s="63">
        <f t="shared" si="12"/>
      </c>
      <c r="U283" s="63">
        <f t="shared" si="8"/>
      </c>
      <c r="V283" s="71">
        <f t="shared" si="20"/>
      </c>
      <c r="W283" s="67">
        <v>2</v>
      </c>
      <c r="X283" s="71">
        <f t="shared" si="16"/>
      </c>
      <c r="Y283" s="71">
        <f t="shared" si="248"/>
      </c>
      <c r="Z283" s="63">
        <f t="shared" si="100"/>
      </c>
      <c r="AA283" s="63">
        <f t="shared" si="2"/>
      </c>
      <c r="AB283" s="63">
        <f t="shared" si="4"/>
      </c>
      <c r="AC283" s="68">
        <f t="shared" si="14"/>
      </c>
      <c r="AD283" s="68">
        <f t="shared" si="10"/>
      </c>
      <c r="AE283" s="68">
        <f t="shared" si="22"/>
      </c>
      <c r="AF283" s="68">
        <f t="shared" si="18"/>
      </c>
      <c r="AG283" s="68">
        <f t="shared" si="102"/>
      </c>
      <c r="AH283" s="68">
        <f t="shared" si="26"/>
      </c>
      <c r="AI283" s="68">
        <f t="shared" si="6"/>
      </c>
      <c r="AJ283" s="67">
        <v>60</v>
      </c>
      <c r="AK283" s="72">
        <v>10534</v>
      </c>
      <c r="AL283" s="72">
        <v>246</v>
      </c>
      <c r="AM283" s="72">
        <v>387</v>
      </c>
      <c r="AN283" s="72">
        <v>63</v>
      </c>
      <c r="AO283" s="73">
        <v>21</v>
      </c>
      <c r="AP283" s="72">
        <v>63</v>
      </c>
      <c r="AQ283" s="41">
        <v>63</v>
      </c>
      <c r="AR283" s="73">
        <v>6</v>
      </c>
      <c r="AS283" s="73">
        <v>4</v>
      </c>
      <c r="AT283" s="67">
        <v>0</v>
      </c>
      <c r="AU283" s="67">
        <v>5</v>
      </c>
      <c r="AV283" s="39"/>
      <c r="AW283" s="40"/>
      <c r="AX283" s="41">
        <f t="shared" ref="AX283:AX285" si="304">COUNT(AU283)</f>
      </c>
    </row>
    <row hidden="true" r="284">
      <c r="A284" s="62"/>
      <c r="B284" s="73" t="s">
        <v>71</v>
      </c>
      <c r="C284" s="41" t="s">
        <v>72</v>
      </c>
      <c r="D284" s="73" t="s">
        <v>79</v>
      </c>
      <c r="E284" s="41" t="s">
        <v>76</v>
      </c>
      <c r="F284" s="63">
        <f t="shared" si="82"/>
      </c>
      <c r="G284" s="81">
        <v>554.54</v>
      </c>
      <c r="H284" s="81">
        <v>0</v>
      </c>
      <c r="I284" s="64">
        <v>1167.11</v>
      </c>
      <c r="J284" s="64">
        <v>0</v>
      </c>
      <c r="K284" s="64">
        <v>0</v>
      </c>
      <c r="L284" s="65">
        <v>0</v>
      </c>
      <c r="M284" s="65">
        <v>0</v>
      </c>
      <c r="N284" s="67">
        <v>0</v>
      </c>
      <c r="O284" s="68">
        <f t="shared" si="24"/>
      </c>
      <c r="P284" s="67">
        <v>0</v>
      </c>
      <c r="Q284" s="68">
        <f t="shared" si="0"/>
      </c>
      <c r="R284" s="69">
        <f t="shared" si="158"/>
      </c>
      <c r="S284" s="70">
        <f t="shared" si="230"/>
      </c>
      <c r="T284" s="63">
        <f t="shared" si="12"/>
      </c>
      <c r="U284" s="63">
        <f t="shared" si="8"/>
      </c>
      <c r="V284" s="71">
        <f t="shared" si="20"/>
      </c>
      <c r="W284" s="67">
        <v>0</v>
      </c>
      <c r="X284" s="71">
        <f t="shared" si="16"/>
      </c>
      <c r="Y284" s="71">
        <f t="shared" si="248"/>
      </c>
      <c r="Z284" s="63">
        <f t="shared" si="100"/>
      </c>
      <c r="AA284" s="63">
        <f t="shared" si="2"/>
      </c>
      <c r="AB284" s="63">
        <f t="shared" si="4"/>
      </c>
      <c r="AC284" s="68">
        <f t="shared" si="14"/>
      </c>
      <c r="AD284" s="68">
        <f t="shared" si="10"/>
      </c>
      <c r="AE284" s="68">
        <f t="shared" si="22"/>
      </c>
      <c r="AF284" s="68">
        <f t="shared" si="18"/>
      </c>
      <c r="AG284" s="68">
        <f t="shared" si="102"/>
      </c>
      <c r="AH284" s="68">
        <f t="shared" si="26"/>
      </c>
      <c r="AI284" s="68">
        <f t="shared" si="6"/>
      </c>
      <c r="AJ284" s="67">
        <v>61</v>
      </c>
      <c r="AK284" s="67">
        <v>8755</v>
      </c>
      <c r="AL284" s="72">
        <v>229</v>
      </c>
      <c r="AM284" s="72">
        <v>366</v>
      </c>
      <c r="AN284" s="72">
        <v>49</v>
      </c>
      <c r="AO284" s="73">
        <v>18</v>
      </c>
      <c r="AP284" s="67">
        <v>58</v>
      </c>
      <c r="AQ284" s="73">
        <v>66</v>
      </c>
      <c r="AR284" s="73">
        <v>1</v>
      </c>
      <c r="AS284" s="73">
        <v>6</v>
      </c>
      <c r="AT284" s="67">
        <v>1</v>
      </c>
      <c r="AU284" s="67">
        <v>3</v>
      </c>
      <c r="AV284" s="39"/>
      <c r="AW284" s="40"/>
      <c r="AX284" s="41">
        <f t="shared" si="304"/>
      </c>
    </row>
    <row hidden="true" r="285">
      <c r="A285" s="62"/>
      <c r="B285" s="73" t="s">
        <v>71</v>
      </c>
      <c r="C285" s="41" t="s">
        <v>72</v>
      </c>
      <c r="D285" s="73" t="s">
        <v>79</v>
      </c>
      <c r="E285" s="41" t="s">
        <v>77</v>
      </c>
      <c r="F285" s="63">
        <f t="shared" si="82"/>
      </c>
      <c r="G285" s="81">
        <v>687.09</v>
      </c>
      <c r="H285" s="81">
        <v>0</v>
      </c>
      <c r="I285" s="64">
        <v>931.53</v>
      </c>
      <c r="J285" s="65">
        <v>0</v>
      </c>
      <c r="K285" s="65">
        <v>0</v>
      </c>
      <c r="L285" s="64">
        <v>2</v>
      </c>
      <c r="M285" s="64">
        <v>5936.639999999999</v>
      </c>
      <c r="N285" s="67">
        <v>1</v>
      </c>
      <c r="O285" s="68">
        <f t="shared" si="24"/>
      </c>
      <c r="P285" s="67">
        <v>1</v>
      </c>
      <c r="Q285" s="68">
        <f t="shared" si="0"/>
      </c>
      <c r="R285" s="69">
        <f t="shared" si="158"/>
      </c>
      <c r="S285" s="70">
        <f t="shared" si="230"/>
      </c>
      <c r="T285" s="63">
        <f t="shared" si="12"/>
      </c>
      <c r="U285" s="63">
        <f t="shared" si="8"/>
      </c>
      <c r="V285" s="71">
        <f t="shared" si="20"/>
      </c>
      <c r="W285" s="67">
        <v>2</v>
      </c>
      <c r="X285" s="71">
        <f t="shared" si="16"/>
      </c>
      <c r="Y285" s="71">
        <f t="shared" si="248"/>
      </c>
      <c r="Z285" s="63">
        <f t="shared" si="100"/>
      </c>
      <c r="AA285" s="63">
        <f t="shared" si="2"/>
      </c>
      <c r="AB285" s="63">
        <f t="shared" si="4"/>
      </c>
      <c r="AC285" s="68">
        <f t="shared" si="14"/>
      </c>
      <c r="AD285" s="68">
        <f t="shared" si="10"/>
      </c>
      <c r="AE285" s="68">
        <f t="shared" si="22"/>
      </c>
      <c r="AF285" s="68">
        <f t="shared" si="18"/>
      </c>
      <c r="AG285" s="68">
        <f t="shared" si="102"/>
      </c>
      <c r="AH285" s="68">
        <f t="shared" si="26"/>
      </c>
      <c r="AI285" s="68">
        <f t="shared" si="6"/>
      </c>
      <c r="AJ285" s="67">
        <v>63</v>
      </c>
      <c r="AK285" s="72">
        <v>8305</v>
      </c>
      <c r="AL285" s="72">
        <v>216</v>
      </c>
      <c r="AM285" s="72">
        <v>374</v>
      </c>
      <c r="AN285" s="72">
        <v>36</v>
      </c>
      <c r="AO285" s="73">
        <v>18</v>
      </c>
      <c r="AP285" s="72">
        <v>63</v>
      </c>
      <c r="AQ285" s="41">
        <v>58</v>
      </c>
      <c r="AR285" s="73">
        <v>4</v>
      </c>
      <c r="AS285" s="67">
        <v>4</v>
      </c>
      <c r="AT285" s="67">
        <v>1</v>
      </c>
      <c r="AU285" s="67">
        <v>3</v>
      </c>
      <c r="AV285" s="39"/>
      <c r="AW285" s="40"/>
      <c r="AX285" s="41">
        <f t="shared" si="304"/>
      </c>
    </row>
    <row hidden="true" r="286">
      <c r="A286" s="62"/>
      <c r="B286" s="75" t="s">
        <v>66</v>
      </c>
      <c r="C286" s="75"/>
      <c r="D286" s="75"/>
      <c r="E286" s="75"/>
      <c r="F286" s="76">
        <f>SUM(F283:F285)</f>
      </c>
      <c r="G286" s="76">
        <f>SUM(G283:G285)</f>
      </c>
      <c r="H286" s="76">
        <f>SUM(H283:H285)</f>
      </c>
      <c r="I286" s="76">
        <f>SUM(I283:I285)</f>
      </c>
      <c r="J286" s="76">
        <f>SUM(J283:J285)</f>
      </c>
      <c r="K286" s="76">
        <f>SUM(K283:K285)</f>
      </c>
      <c r="L286" s="76">
        <f>SUM(L283:L285)</f>
      </c>
      <c r="M286" s="76">
        <f>SUM(M283:M285)</f>
      </c>
      <c r="N286" s="76">
        <f>SUM(N283:N285)</f>
      </c>
      <c r="O286" s="77">
        <f t="shared" si="24"/>
      </c>
      <c r="P286" s="76">
        <f>SUM(P283:P285)</f>
      </c>
      <c r="Q286" s="77">
        <f t="shared" si="0"/>
      </c>
      <c r="R286" s="78">
        <f>SUM(R283:R285)</f>
      </c>
      <c r="S286" s="76">
        <f>SUM(S283:S285)</f>
      </c>
      <c r="T286" s="76">
        <f t="shared" si="12"/>
      </c>
      <c r="U286" s="76">
        <f t="shared" si="8"/>
      </c>
      <c r="V286" s="79">
        <f t="shared" si="20"/>
      </c>
      <c r="W286" s="76">
        <f>SUM(W283:W285)</f>
      </c>
      <c r="X286" s="79">
        <f t="shared" si="16"/>
      </c>
      <c r="Y286" s="79">
        <f t="shared" si="248"/>
      </c>
      <c r="Z286" s="76">
        <f t="shared" si="100"/>
      </c>
      <c r="AA286" s="76">
        <f t="shared" si="2"/>
      </c>
      <c r="AB286" s="80">
        <f t="shared" si="4"/>
      </c>
      <c r="AC286" s="77">
        <f t="shared" si="14"/>
      </c>
      <c r="AD286" s="77">
        <f t="shared" si="10"/>
      </c>
      <c r="AE286" s="77">
        <f t="shared" si="22"/>
      </c>
      <c r="AF286" s="82">
        <f t="shared" si="18"/>
      </c>
      <c r="AG286" s="77">
        <f t="shared" si="102"/>
      </c>
      <c r="AH286" s="77">
        <f t="shared" si="26"/>
      </c>
      <c r="AI286" s="77">
        <f t="shared" si="6"/>
      </c>
      <c r="AJ286" s="78">
        <f>AVERAGE(AJ283:AJ285)</f>
      </c>
      <c r="AK286" s="76">
        <f>SUM(AK283:AK285)</f>
      </c>
      <c r="AL286" s="76">
        <f>SUM(AL283:AL285)</f>
      </c>
      <c r="AM286" s="76">
        <f>SUM(AM283:AM285)</f>
      </c>
      <c r="AN286" s="76">
        <f>SUM(AN283:AN285)</f>
      </c>
      <c r="AO286" s="76">
        <f>SUM(AO283:AO285)</f>
      </c>
      <c r="AP286" s="76">
        <f>SUM(AP283:AP285)</f>
      </c>
      <c r="AQ286" s="76">
        <f>SUM(AQ283:AQ285)</f>
      </c>
      <c r="AR286" s="76">
        <f>SUM(AR283:AR285)</f>
      </c>
      <c r="AS286" s="76">
        <f>SUM(AS283:AS285)</f>
      </c>
      <c r="AT286" s="76">
        <f>SUM(AT283:AT285)</f>
      </c>
      <c r="AU286" s="76">
        <f>SUM(AU283:AU285)</f>
      </c>
      <c r="AV286" s="39"/>
      <c r="AW286" s="48"/>
      <c r="AX286" s="49">
        <f>SUM(AX283:AX285)</f>
      </c>
    </row>
    <row hidden="true" r="287">
      <c r="A287" s="62"/>
      <c r="B287" s="73" t="s">
        <v>71</v>
      </c>
      <c r="C287" s="41" t="s">
        <v>72</v>
      </c>
      <c r="D287" s="73" t="s">
        <v>85</v>
      </c>
      <c r="E287" s="73" t="s">
        <v>78</v>
      </c>
      <c r="F287" s="63">
        <f t="shared" ref="F287:F289" si="83">G287+H287+I287</f>
      </c>
      <c r="G287" s="81">
        <v>632.94</v>
      </c>
      <c r="H287" s="81">
        <v>0</v>
      </c>
      <c r="I287" s="64">
        <v>1424.48</v>
      </c>
      <c r="J287" s="65">
        <v>0</v>
      </c>
      <c r="K287" s="65">
        <v>0</v>
      </c>
      <c r="L287" s="65">
        <v>0</v>
      </c>
      <c r="M287" s="65">
        <v>0</v>
      </c>
      <c r="N287" s="67">
        <v>0</v>
      </c>
      <c r="O287" s="68">
        <f t="shared" si="24"/>
      </c>
      <c r="P287" s="67">
        <v>0</v>
      </c>
      <c r="Q287" s="68">
        <f t="shared" si="0"/>
      </c>
      <c r="R287" s="69">
        <f t="shared" ref="R287:R289" si="159">J287+L287</f>
      </c>
      <c r="S287" s="70">
        <f t="shared" ref="S287:S289" si="231">K287+M287</f>
      </c>
      <c r="T287" s="63">
        <f t="shared" si="12"/>
      </c>
      <c r="U287" s="63">
        <f t="shared" si="8"/>
      </c>
      <c r="V287" s="71">
        <f t="shared" si="20"/>
      </c>
      <c r="W287" s="67">
        <v>0</v>
      </c>
      <c r="X287" s="71">
        <f t="shared" si="16"/>
      </c>
      <c r="Y287" s="71">
        <f t="shared" si="248"/>
      </c>
      <c r="Z287" s="63">
        <f t="shared" si="100"/>
      </c>
      <c r="AA287" s="63">
        <f t="shared" si="2"/>
      </c>
      <c r="AB287" s="63">
        <f t="shared" si="4"/>
      </c>
      <c r="AC287" s="68">
        <f t="shared" si="14"/>
      </c>
      <c r="AD287" s="68">
        <f t="shared" si="10"/>
      </c>
      <c r="AE287" s="68">
        <f t="shared" si="22"/>
      </c>
      <c r="AF287" s="68">
        <f t="shared" si="18"/>
      </c>
      <c r="AG287" s="68">
        <f t="shared" si="102"/>
      </c>
      <c r="AH287" s="68">
        <f t="shared" si="26"/>
      </c>
      <c r="AI287" s="68">
        <f t="shared" si="6"/>
      </c>
      <c r="AJ287" s="67">
        <v>65</v>
      </c>
      <c r="AK287" s="72">
        <v>9887</v>
      </c>
      <c r="AL287" s="72">
        <v>221</v>
      </c>
      <c r="AM287" s="72">
        <v>348</v>
      </c>
      <c r="AN287" s="72">
        <v>58</v>
      </c>
      <c r="AO287" s="73">
        <v>26</v>
      </c>
      <c r="AP287" s="72">
        <v>77</v>
      </c>
      <c r="AQ287" s="41">
        <v>55</v>
      </c>
      <c r="AR287" s="73">
        <v>0</v>
      </c>
      <c r="AS287" s="73">
        <v>3</v>
      </c>
      <c r="AT287" s="67">
        <v>0</v>
      </c>
      <c r="AU287" s="67">
        <v>3</v>
      </c>
      <c r="AV287" s="39"/>
      <c r="AW287" s="40"/>
      <c r="AX287" s="41">
        <f t="shared" ref="AX287:AX289" si="305">COUNT(AU287)</f>
      </c>
    </row>
    <row hidden="true" r="288">
      <c r="A288" s="62"/>
      <c r="B288" s="73" t="s">
        <v>71</v>
      </c>
      <c r="C288" s="41" t="s">
        <v>72</v>
      </c>
      <c r="D288" s="73" t="s">
        <v>85</v>
      </c>
      <c r="E288" s="73" t="s">
        <v>80</v>
      </c>
      <c r="F288" s="63">
        <f t="shared" si="83"/>
      </c>
      <c r="G288" s="81">
        <v>811.47</v>
      </c>
      <c r="H288" s="81">
        <v>0</v>
      </c>
      <c r="I288" s="64">
        <v>1523.35</v>
      </c>
      <c r="J288" s="64">
        <v>0</v>
      </c>
      <c r="K288" s="64">
        <v>0</v>
      </c>
      <c r="L288" s="65">
        <v>0</v>
      </c>
      <c r="M288" s="65">
        <v>0</v>
      </c>
      <c r="N288" s="67">
        <v>0</v>
      </c>
      <c r="O288" s="68">
        <f t="shared" si="24"/>
      </c>
      <c r="P288" s="67">
        <v>0</v>
      </c>
      <c r="Q288" s="68">
        <f t="shared" si="0"/>
      </c>
      <c r="R288" s="69">
        <f t="shared" si="159"/>
      </c>
      <c r="S288" s="70">
        <f t="shared" si="231"/>
      </c>
      <c r="T288" s="63">
        <f t="shared" si="12"/>
      </c>
      <c r="U288" s="63">
        <f t="shared" si="8"/>
      </c>
      <c r="V288" s="71">
        <f t="shared" si="20"/>
      </c>
      <c r="W288" s="67">
        <v>0</v>
      </c>
      <c r="X288" s="71">
        <f t="shared" si="16"/>
      </c>
      <c r="Y288" s="71">
        <f t="shared" si="248"/>
      </c>
      <c r="Z288" s="63">
        <f t="shared" si="100"/>
      </c>
      <c r="AA288" s="63">
        <f t="shared" si="2"/>
      </c>
      <c r="AB288" s="63">
        <f t="shared" si="4"/>
      </c>
      <c r="AC288" s="68">
        <f t="shared" si="14"/>
      </c>
      <c r="AD288" s="68">
        <f t="shared" si="10"/>
      </c>
      <c r="AE288" s="68">
        <f t="shared" si="22"/>
      </c>
      <c r="AF288" s="68">
        <f t="shared" si="18"/>
      </c>
      <c r="AG288" s="68">
        <f t="shared" si="102"/>
      </c>
      <c r="AH288" s="68">
        <f t="shared" si="26"/>
      </c>
      <c r="AI288" s="68">
        <f t="shared" si="6"/>
      </c>
      <c r="AJ288" s="67">
        <v>39</v>
      </c>
      <c r="AK288" s="67">
        <v>10879</v>
      </c>
      <c r="AL288" s="72">
        <v>231</v>
      </c>
      <c r="AM288" s="72">
        <v>320</v>
      </c>
      <c r="AN288" s="72">
        <v>41</v>
      </c>
      <c r="AO288" s="73">
        <v>13</v>
      </c>
      <c r="AP288" s="67">
        <v>30</v>
      </c>
      <c r="AQ288" s="73">
        <v>48</v>
      </c>
      <c r="AR288" s="73">
        <v>0</v>
      </c>
      <c r="AS288" s="73">
        <v>2</v>
      </c>
      <c r="AT288" s="67">
        <v>1</v>
      </c>
      <c r="AU288" s="67">
        <v>1</v>
      </c>
      <c r="AV288" s="39"/>
      <c r="AW288" s="40"/>
      <c r="AX288" s="41">
        <f t="shared" si="305"/>
      </c>
    </row>
    <row hidden="true" r="289">
      <c r="A289" s="62"/>
      <c r="B289" s="73" t="s">
        <v>71</v>
      </c>
      <c r="C289" s="41" t="s">
        <v>72</v>
      </c>
      <c r="D289" s="73" t="s">
        <v>85</v>
      </c>
      <c r="E289" s="73" t="s">
        <v>81</v>
      </c>
      <c r="F289" s="63">
        <f t="shared" si="83"/>
      </c>
      <c r="G289" s="81">
        <v>565.47</v>
      </c>
      <c r="H289" s="81">
        <v>0</v>
      </c>
      <c r="I289" s="64">
        <v>596.66</v>
      </c>
      <c r="J289" s="65">
        <v>2</v>
      </c>
      <c r="K289" s="65">
        <v>1779.7299999999996</v>
      </c>
      <c r="L289" s="64">
        <v>1</v>
      </c>
      <c r="M289" s="64">
        <v>1096.1100000000006</v>
      </c>
      <c r="N289" s="67">
        <v>2</v>
      </c>
      <c r="O289" s="68">
        <f t="shared" si="24"/>
      </c>
      <c r="P289" s="67">
        <v>0</v>
      </c>
      <c r="Q289" s="68">
        <f t="shared" si="0"/>
      </c>
      <c r="R289" s="69">
        <f t="shared" si="159"/>
      </c>
      <c r="S289" s="70">
        <f t="shared" si="231"/>
      </c>
      <c r="T289" s="63">
        <f t="shared" si="12"/>
      </c>
      <c r="U289" s="63">
        <f t="shared" si="8"/>
      </c>
      <c r="V289" s="71">
        <f t="shared" si="20"/>
      </c>
      <c r="W289" s="67">
        <v>2</v>
      </c>
      <c r="X289" s="71">
        <f t="shared" si="16"/>
      </c>
      <c r="Y289" s="71">
        <f t="shared" si="248"/>
      </c>
      <c r="Z289" s="63">
        <f t="shared" si="100"/>
      </c>
      <c r="AA289" s="63">
        <f t="shared" si="2"/>
      </c>
      <c r="AB289" s="63">
        <f t="shared" si="4"/>
      </c>
      <c r="AC289" s="68">
        <f t="shared" si="14"/>
      </c>
      <c r="AD289" s="68">
        <f t="shared" si="10"/>
      </c>
      <c r="AE289" s="68">
        <f t="shared" si="22"/>
      </c>
      <c r="AF289" s="68">
        <f t="shared" si="18"/>
      </c>
      <c r="AG289" s="68">
        <f t="shared" si="102"/>
      </c>
      <c r="AH289" s="68">
        <f t="shared" si="26"/>
      </c>
      <c r="AI289" s="68">
        <f t="shared" si="6"/>
      </c>
      <c r="AJ289" s="67">
        <v>68</v>
      </c>
      <c r="AK289" s="72">
        <v>6561</v>
      </c>
      <c r="AL289" s="72">
        <v>164</v>
      </c>
      <c r="AM289" s="72">
        <v>236</v>
      </c>
      <c r="AN289" s="72">
        <v>43</v>
      </c>
      <c r="AO289" s="73">
        <v>16</v>
      </c>
      <c r="AP289" s="72">
        <v>110</v>
      </c>
      <c r="AQ289" s="41">
        <v>50</v>
      </c>
      <c r="AR289" s="73">
        <v>4</v>
      </c>
      <c r="AS289" s="67">
        <v>3</v>
      </c>
      <c r="AT289" s="67">
        <v>1</v>
      </c>
      <c r="AU289" s="67">
        <v>1</v>
      </c>
      <c r="AV289" s="39"/>
      <c r="AW289" s="40"/>
      <c r="AX289" s="41">
        <f t="shared" si="305"/>
      </c>
    </row>
    <row hidden="true" r="290">
      <c r="A290" s="62"/>
      <c r="B290" s="75" t="s">
        <v>66</v>
      </c>
      <c r="C290" s="75"/>
      <c r="D290" s="75"/>
      <c r="E290" s="75"/>
      <c r="F290" s="76">
        <f>SUM(F287:F289)</f>
      </c>
      <c r="G290" s="76">
        <f>SUM(G287:G289)</f>
      </c>
      <c r="H290" s="76">
        <f>SUM(H287:H289)</f>
      </c>
      <c r="I290" s="76">
        <f>SUM(I287:I289)</f>
      </c>
      <c r="J290" s="76">
        <f>SUM(J287:J289)</f>
      </c>
      <c r="K290" s="76">
        <f>SUM(K287:K289)</f>
      </c>
      <c r="L290" s="76">
        <f>SUM(L287:L289)</f>
      </c>
      <c r="M290" s="76">
        <f>SUM(M287:M289)</f>
      </c>
      <c r="N290" s="76">
        <f>SUM(N287:N289)</f>
      </c>
      <c r="O290" s="77">
        <f t="shared" si="24"/>
      </c>
      <c r="P290" s="76">
        <f>SUM(P287:P289)</f>
      </c>
      <c r="Q290" s="77">
        <f t="shared" si="0"/>
      </c>
      <c r="R290" s="76">
        <f>SUM(R287:R289)</f>
      </c>
      <c r="S290" s="76">
        <f>SUM(S287:S289)</f>
      </c>
      <c r="T290" s="76">
        <f t="shared" si="12"/>
      </c>
      <c r="U290" s="76">
        <f t="shared" si="8"/>
      </c>
      <c r="V290" s="79">
        <f t="shared" si="20"/>
      </c>
      <c r="W290" s="76">
        <f>SUM(W287:W289)</f>
      </c>
      <c r="X290" s="79">
        <f t="shared" si="16"/>
      </c>
      <c r="Y290" s="79">
        <f t="shared" si="248"/>
      </c>
      <c r="Z290" s="76">
        <f t="shared" si="100"/>
      </c>
      <c r="AA290" s="76">
        <f t="shared" si="2"/>
      </c>
      <c r="AB290" s="80">
        <f t="shared" si="4"/>
      </c>
      <c r="AC290" s="77">
        <f t="shared" si="14"/>
      </c>
      <c r="AD290" s="77">
        <f t="shared" si="10"/>
      </c>
      <c r="AE290" s="77">
        <f t="shared" si="22"/>
      </c>
      <c r="AF290" s="82">
        <f t="shared" si="18"/>
      </c>
      <c r="AG290" s="77">
        <f t="shared" si="102"/>
      </c>
      <c r="AH290" s="77">
        <f t="shared" si="26"/>
      </c>
      <c r="AI290" s="77">
        <f t="shared" si="6"/>
      </c>
      <c r="AJ290" s="78">
        <f>AVERAGE(AJ287:AJ289)</f>
      </c>
      <c r="AK290" s="76">
        <f>SUM(AK287:AK289)</f>
      </c>
      <c r="AL290" s="76">
        <f>SUM(AL287:AL289)</f>
      </c>
      <c r="AM290" s="76">
        <f>SUM(AM287:AM289)</f>
      </c>
      <c r="AN290" s="76">
        <f>SUM(AN287:AN289)</f>
      </c>
      <c r="AO290" s="76">
        <f>SUM(AO287:AO289)</f>
      </c>
      <c r="AP290" s="76">
        <f>SUM(AP287:AP289)</f>
      </c>
      <c r="AQ290" s="76">
        <f>SUM(AQ287:AQ289)</f>
      </c>
      <c r="AR290" s="76">
        <f>SUM(AR287:AR289)</f>
      </c>
      <c r="AS290" s="76">
        <f>SUM(AS287:AS289)</f>
      </c>
      <c r="AT290" s="76">
        <f>SUM(AT287:AT289)</f>
      </c>
      <c r="AU290" s="76">
        <f>SUM(AU287:AU289)</f>
      </c>
      <c r="AV290" s="76"/>
      <c r="AW290" s="76"/>
      <c r="AX290" s="76">
        <f>SUM(AX287:AX289)</f>
      </c>
    </row>
    <row hidden="true" r="291">
      <c r="A291" s="62"/>
      <c r="B291" s="84" t="s">
        <v>84</v>
      </c>
      <c r="C291" s="84"/>
      <c r="D291" s="84"/>
      <c r="E291" s="84"/>
      <c r="F291" s="85">
        <f>F286+F282+F277+F290</f>
      </c>
      <c r="G291" s="85">
        <f>G286+G282+G277+G290</f>
      </c>
      <c r="H291" s="85">
        <f>H286+H282+H277+H290</f>
      </c>
      <c r="I291" s="85">
        <f>I286+I282+I277+I290</f>
      </c>
      <c r="J291" s="85">
        <f>J286+J282+J277+J290</f>
      </c>
      <c r="K291" s="85">
        <f>K286+K282+K277+K290</f>
      </c>
      <c r="L291" s="85">
        <f>L286+L282+L277+L290</f>
      </c>
      <c r="M291" s="85">
        <f>M286+M282+M277+M290</f>
      </c>
      <c r="N291" s="85">
        <f>N286+N282+N277+N290</f>
      </c>
      <c r="O291" s="86">
        <f t="shared" si="24"/>
      </c>
      <c r="P291" s="85">
        <f>P286+P282+P277+P290</f>
      </c>
      <c r="Q291" s="86">
        <f t="shared" si="0"/>
      </c>
      <c r="R291" s="85">
        <f>R286+R282+R277+R290</f>
      </c>
      <c r="S291" s="85">
        <f>S286+S282+S277+S290</f>
      </c>
      <c r="T291" s="85">
        <f t="shared" si="12"/>
      </c>
      <c r="U291" s="85">
        <f t="shared" si="8"/>
      </c>
      <c r="V291" s="88">
        <f t="shared" si="20"/>
      </c>
      <c r="W291" s="85">
        <f>W286+W282+W277+W290</f>
      </c>
      <c r="X291" s="88">
        <f t="shared" si="16"/>
      </c>
      <c r="Y291" s="88">
        <f t="shared" si="248"/>
      </c>
      <c r="Z291" s="85">
        <f t="shared" si="100"/>
      </c>
      <c r="AA291" s="85">
        <f t="shared" si="2"/>
      </c>
      <c r="AB291" s="89">
        <f t="shared" si="4"/>
      </c>
      <c r="AC291" s="86">
        <f t="shared" si="14"/>
      </c>
      <c r="AD291" s="86">
        <f t="shared" si="10"/>
      </c>
      <c r="AE291" s="86">
        <f t="shared" si="22"/>
      </c>
      <c r="AF291" s="90">
        <f t="shared" si="18"/>
      </c>
      <c r="AG291" s="86">
        <f t="shared" si="102"/>
      </c>
      <c r="AH291" s="86">
        <f t="shared" si="26"/>
      </c>
      <c r="AI291" s="86">
        <f t="shared" si="6"/>
      </c>
      <c r="AJ291" s="87">
        <f>(AJ286+AJ282+AJ277+AJ290)/4</f>
      </c>
      <c r="AK291" s="85">
        <f>AK286+AK282+AK277+AK290</f>
      </c>
      <c r="AL291" s="85">
        <f>AL286+AL282+AL277+AL290</f>
      </c>
      <c r="AM291" s="85">
        <f>AM286+AM282+AM277+AM290</f>
      </c>
      <c r="AN291" s="85">
        <f>AN286+AN282+AN277+AN290</f>
      </c>
      <c r="AO291" s="85">
        <f>AO286+AO282+AO277+AO290</f>
      </c>
      <c r="AP291" s="85">
        <f>AP286+AP282+AP277+AP290</f>
      </c>
      <c r="AQ291" s="85">
        <f>AQ286+AQ282+AQ277+AQ290</f>
      </c>
      <c r="AR291" s="85">
        <f>AR286+AR282+AR277+AR290</f>
      </c>
      <c r="AS291" s="85">
        <f>AS286+AS282+AS277+AS290</f>
      </c>
      <c r="AT291" s="85">
        <f>AT286+AT282+AT277+AT290</f>
      </c>
      <c r="AU291" s="85">
        <f>AU286+AU282+AU277+AU290</f>
      </c>
      <c r="AV291" s="39"/>
      <c r="AW291" s="84">
        <f>AW277+AW282+AW286+AW290</f>
      </c>
      <c r="AX291" s="84">
        <f>AX277+AX282+AX286+AX290</f>
      </c>
    </row>
    <row hidden="true" r="292">
      <c r="A292" s="62">
        <v>46311</v>
      </c>
      <c r="B292" s="73" t="s">
        <v>88</v>
      </c>
      <c r="C292" s="41" t="s">
        <v>60</v>
      </c>
      <c r="D292" s="73" t="s">
        <v>79</v>
      </c>
      <c r="E292" s="28" t="s">
        <v>62</v>
      </c>
      <c r="F292" s="63">
        <f t="shared" ref="F292:F295" si="84">G292+H292+I292</f>
      </c>
      <c r="G292" s="81">
        <v>726.26</v>
      </c>
      <c r="H292" s="81">
        <v>0</v>
      </c>
      <c r="I292" s="64">
        <v>1157.76</v>
      </c>
      <c r="J292" s="65">
        <v>0</v>
      </c>
      <c r="K292" s="66">
        <v>0</v>
      </c>
      <c r="L292" s="65">
        <v>1</v>
      </c>
      <c r="M292" s="65">
        <v>2033.95</v>
      </c>
      <c r="N292" s="67">
        <v>0</v>
      </c>
      <c r="O292" s="68">
        <f t="shared" si="24"/>
      </c>
      <c r="P292" s="67">
        <v>0</v>
      </c>
      <c r="Q292" s="68">
        <f t="shared" si="0"/>
      </c>
      <c r="R292" s="69">
        <f t="shared" ref="R292:R295" si="160">J292+L292</f>
      </c>
      <c r="S292" s="70">
        <f t="shared" ref="S292:S295" si="232">K292+M292</f>
      </c>
      <c r="T292" s="63">
        <f t="shared" si="12"/>
      </c>
      <c r="U292" s="63">
        <f t="shared" si="8"/>
      </c>
      <c r="V292" s="71">
        <f t="shared" si="20"/>
      </c>
      <c r="W292" s="67">
        <v>0</v>
      </c>
      <c r="X292" s="71">
        <f t="shared" si="16"/>
      </c>
      <c r="Y292" s="71">
        <f t="shared" si="248"/>
      </c>
      <c r="Z292" s="63">
        <f t="shared" si="100"/>
      </c>
      <c r="AA292" s="63">
        <f t="shared" si="2"/>
      </c>
      <c r="AB292" s="63">
        <f t="shared" si="4"/>
      </c>
      <c r="AC292" s="68">
        <f t="shared" si="14"/>
      </c>
      <c r="AD292" s="68">
        <f t="shared" si="10"/>
      </c>
      <c r="AE292" s="68">
        <f t="shared" si="22"/>
      </c>
      <c r="AF292" s="68">
        <f t="shared" si="18"/>
      </c>
      <c r="AG292" s="68">
        <f t="shared" si="102"/>
      </c>
      <c r="AH292" s="68">
        <f t="shared" si="26"/>
      </c>
      <c r="AI292" s="68">
        <f t="shared" si="6"/>
      </c>
      <c r="AJ292" s="67">
        <v>76</v>
      </c>
      <c r="AK292" s="72">
        <v>6676</v>
      </c>
      <c r="AL292" s="72">
        <v>177</v>
      </c>
      <c r="AM292" s="72">
        <v>262</v>
      </c>
      <c r="AN292" s="72">
        <v>45</v>
      </c>
      <c r="AO292" s="73">
        <v>13</v>
      </c>
      <c r="AP292" s="73">
        <v>31</v>
      </c>
      <c r="AQ292" s="73">
        <v>41</v>
      </c>
      <c r="AR292" s="73">
        <v>4</v>
      </c>
      <c r="AS292" s="73">
        <v>6</v>
      </c>
      <c r="AT292" s="67">
        <v>0</v>
      </c>
      <c r="AU292" s="67">
        <v>0</v>
      </c>
      <c r="AV292" s="39"/>
      <c r="AW292" s="40"/>
      <c r="AX292" s="41">
        <f t="shared" ref="AX292:AX295" si="306">COUNT(AU292)</f>
      </c>
    </row>
    <row hidden="true" r="293">
      <c r="A293" s="62"/>
      <c r="B293" s="73" t="s">
        <v>88</v>
      </c>
      <c r="C293" s="41" t="s">
        <v>60</v>
      </c>
      <c r="D293" s="73" t="s">
        <v>79</v>
      </c>
      <c r="E293" s="28" t="s">
        <v>63</v>
      </c>
      <c r="F293" s="63">
        <f t="shared" si="84"/>
      </c>
      <c r="G293" s="81">
        <v>688.26</v>
      </c>
      <c r="H293" s="81">
        <v>0</v>
      </c>
      <c r="I293" s="64">
        <v>1891.22</v>
      </c>
      <c r="J293" s="65">
        <v>1</v>
      </c>
      <c r="K293" s="65">
        <v>1779.74</v>
      </c>
      <c r="L293" s="65">
        <v>2</v>
      </c>
      <c r="M293" s="65">
        <v>3405.75</v>
      </c>
      <c r="N293" s="67">
        <v>0</v>
      </c>
      <c r="O293" s="68">
        <f t="shared" si="24"/>
      </c>
      <c r="P293" s="67">
        <v>1</v>
      </c>
      <c r="Q293" s="68">
        <f t="shared" si="0"/>
      </c>
      <c r="R293" s="69">
        <f t="shared" si="160"/>
      </c>
      <c r="S293" s="70">
        <f t="shared" si="232"/>
      </c>
      <c r="T293" s="63">
        <f t="shared" si="12"/>
      </c>
      <c r="U293" s="63">
        <f t="shared" si="8"/>
      </c>
      <c r="V293" s="71">
        <f t="shared" si="20"/>
      </c>
      <c r="W293" s="67">
        <v>3</v>
      </c>
      <c r="X293" s="71">
        <f t="shared" si="16"/>
      </c>
      <c r="Y293" s="71">
        <f t="shared" si="248"/>
      </c>
      <c r="Z293" s="63">
        <f t="shared" si="100"/>
      </c>
      <c r="AA293" s="63">
        <f t="shared" si="2"/>
      </c>
      <c r="AB293" s="63">
        <f t="shared" si="4"/>
      </c>
      <c r="AC293" s="68">
        <f t="shared" si="14"/>
      </c>
      <c r="AD293" s="68">
        <f t="shared" si="10"/>
      </c>
      <c r="AE293" s="68">
        <f t="shared" si="22"/>
      </c>
      <c r="AF293" s="68">
        <f t="shared" si="18"/>
      </c>
      <c r="AG293" s="68">
        <f t="shared" si="102"/>
      </c>
      <c r="AH293" s="68">
        <f t="shared" si="26"/>
      </c>
      <c r="AI293" s="68">
        <f t="shared" si="6"/>
      </c>
      <c r="AJ293" s="67">
        <v>79</v>
      </c>
      <c r="AK293" s="72">
        <v>8382</v>
      </c>
      <c r="AL293" s="72">
        <v>205</v>
      </c>
      <c r="AM293" s="72">
        <v>272</v>
      </c>
      <c r="AN293" s="72">
        <v>58</v>
      </c>
      <c r="AO293" s="73">
        <v>24</v>
      </c>
      <c r="AP293" s="67">
        <v>73</v>
      </c>
      <c r="AQ293" s="73">
        <v>50</v>
      </c>
      <c r="AR293" s="73">
        <v>3</v>
      </c>
      <c r="AS293" s="67">
        <v>4</v>
      </c>
      <c r="AT293" s="67">
        <v>1</v>
      </c>
      <c r="AU293" s="67">
        <v>4</v>
      </c>
      <c r="AV293" s="39"/>
      <c r="AW293" s="40"/>
      <c r="AX293" s="41">
        <f t="shared" si="306"/>
      </c>
    </row>
    <row hidden="true" r="294">
      <c r="A294" s="62"/>
      <c r="B294" s="73" t="s">
        <v>88</v>
      </c>
      <c r="C294" s="41" t="s">
        <v>60</v>
      </c>
      <c r="D294" s="73" t="s">
        <v>79</v>
      </c>
      <c r="E294" s="28" t="s">
        <v>64</v>
      </c>
      <c r="F294" s="63">
        <f t="shared" si="84"/>
      </c>
      <c r="G294" s="81">
        <v>885.77</v>
      </c>
      <c r="H294" s="81">
        <v>0</v>
      </c>
      <c r="I294" s="64">
        <v>1593.08</v>
      </c>
      <c r="J294" s="64">
        <v>2</v>
      </c>
      <c r="K294" s="64">
        <v>2774.9500000000007</v>
      </c>
      <c r="L294" s="64">
        <v>4</v>
      </c>
      <c r="M294" s="64">
        <v>10610.61</v>
      </c>
      <c r="N294" s="67">
        <v>1</v>
      </c>
      <c r="O294" s="68">
        <f t="shared" si="24"/>
      </c>
      <c r="P294" s="67">
        <v>1</v>
      </c>
      <c r="Q294" s="68">
        <f t="shared" si="0"/>
      </c>
      <c r="R294" s="69">
        <f t="shared" si="160"/>
      </c>
      <c r="S294" s="70">
        <f t="shared" si="232"/>
      </c>
      <c r="T294" s="63">
        <f t="shared" si="12"/>
      </c>
      <c r="U294" s="63">
        <f t="shared" si="8"/>
      </c>
      <c r="V294" s="71">
        <f t="shared" si="20"/>
      </c>
      <c r="W294" s="67">
        <v>4</v>
      </c>
      <c r="X294" s="71">
        <f t="shared" si="16"/>
      </c>
      <c r="Y294" s="71">
        <f t="shared" si="248"/>
      </c>
      <c r="Z294" s="63">
        <f t="shared" si="100"/>
      </c>
      <c r="AA294" s="63">
        <f t="shared" si="2"/>
      </c>
      <c r="AB294" s="63">
        <f t="shared" si="4"/>
      </c>
      <c r="AC294" s="68">
        <f t="shared" si="14"/>
      </c>
      <c r="AD294" s="68">
        <f t="shared" si="10"/>
      </c>
      <c r="AE294" s="68">
        <f t="shared" si="22"/>
      </c>
      <c r="AF294" s="68">
        <f t="shared" si="18"/>
      </c>
      <c r="AG294" s="68">
        <f t="shared" si="102"/>
      </c>
      <c r="AH294" s="68">
        <f t="shared" si="26"/>
      </c>
      <c r="AI294" s="68">
        <f t="shared" si="6"/>
      </c>
      <c r="AJ294" s="67">
        <v>83</v>
      </c>
      <c r="AK294" s="72">
        <v>10233</v>
      </c>
      <c r="AL294" s="72">
        <v>260</v>
      </c>
      <c r="AM294" s="72">
        <v>334</v>
      </c>
      <c r="AN294" s="72">
        <v>69</v>
      </c>
      <c r="AO294" s="73">
        <v>23</v>
      </c>
      <c r="AP294" s="72">
        <v>56</v>
      </c>
      <c r="AQ294" s="41">
        <v>61</v>
      </c>
      <c r="AR294" s="73">
        <v>6</v>
      </c>
      <c r="AS294" s="67">
        <v>11</v>
      </c>
      <c r="AT294" s="67">
        <v>1</v>
      </c>
      <c r="AU294" s="67">
        <v>1</v>
      </c>
      <c r="AV294" s="39"/>
      <c r="AW294" s="40"/>
      <c r="AX294" s="41">
        <f t="shared" si="306"/>
      </c>
    </row>
    <row hidden="true" r="295">
      <c r="A295" s="62"/>
      <c r="B295" s="73" t="s">
        <v>88</v>
      </c>
      <c r="C295" s="41" t="s">
        <v>60</v>
      </c>
      <c r="D295" s="73" t="s">
        <v>79</v>
      </c>
      <c r="E295" s="41" t="s">
        <v>65</v>
      </c>
      <c r="F295" s="63">
        <f t="shared" si="84"/>
      </c>
      <c r="G295" s="81">
        <v>1050.76</v>
      </c>
      <c r="H295" s="81">
        <v>0</v>
      </c>
      <c r="I295" s="65">
        <v>2100.88</v>
      </c>
      <c r="J295" s="65">
        <v>0</v>
      </c>
      <c r="K295" s="65">
        <v>0</v>
      </c>
      <c r="L295" s="65">
        <v>4</v>
      </c>
      <c r="M295" s="65">
        <v>7007.009999999995</v>
      </c>
      <c r="N295" s="67">
        <v>0</v>
      </c>
      <c r="O295" s="68">
        <f t="shared" si="24"/>
      </c>
      <c r="P295" s="67">
        <v>1</v>
      </c>
      <c r="Q295" s="68">
        <f t="shared" si="0"/>
      </c>
      <c r="R295" s="69">
        <f t="shared" si="160"/>
      </c>
      <c r="S295" s="70">
        <f t="shared" si="232"/>
      </c>
      <c r="T295" s="63">
        <f t="shared" si="12"/>
      </c>
      <c r="U295" s="63">
        <f t="shared" si="8"/>
      </c>
      <c r="V295" s="71">
        <f t="shared" si="20"/>
      </c>
      <c r="W295" s="67">
        <v>2</v>
      </c>
      <c r="X295" s="71">
        <f t="shared" si="16"/>
      </c>
      <c r="Y295" s="71">
        <f t="shared" si="248"/>
      </c>
      <c r="Z295" s="63">
        <f t="shared" si="100"/>
      </c>
      <c r="AA295" s="63">
        <f t="shared" si="2"/>
      </c>
      <c r="AB295" s="63">
        <f t="shared" si="4"/>
      </c>
      <c r="AC295" s="68">
        <f t="shared" si="14"/>
      </c>
      <c r="AD295" s="68">
        <f t="shared" si="10"/>
      </c>
      <c r="AE295" s="68">
        <f t="shared" si="22"/>
      </c>
      <c r="AF295" s="68">
        <f t="shared" si="18"/>
      </c>
      <c r="AG295" s="68">
        <f t="shared" si="102"/>
      </c>
      <c r="AH295" s="68">
        <f t="shared" si="26"/>
      </c>
      <c r="AI295" s="68">
        <f t="shared" si="6"/>
      </c>
      <c r="AJ295" s="67">
        <v>85</v>
      </c>
      <c r="AK295" s="72">
        <v>12470</v>
      </c>
      <c r="AL295" s="72">
        <v>277</v>
      </c>
      <c r="AM295" s="72">
        <v>371</v>
      </c>
      <c r="AN295" s="72">
        <v>68</v>
      </c>
      <c r="AO295" s="73">
        <v>30</v>
      </c>
      <c r="AP295" s="72">
        <v>117</v>
      </c>
      <c r="AQ295" s="41">
        <v>77</v>
      </c>
      <c r="AR295" s="73">
        <v>4</v>
      </c>
      <c r="AS295" s="67">
        <v>3</v>
      </c>
      <c r="AT295" s="67">
        <v>1</v>
      </c>
      <c r="AU295" s="67">
        <v>3</v>
      </c>
      <c r="AV295" s="39"/>
      <c r="AW295" s="40"/>
      <c r="AX295" s="41">
        <f t="shared" si="306"/>
      </c>
    </row>
    <row hidden="true" r="296">
      <c r="A296" s="62"/>
      <c r="B296" s="75" t="s">
        <v>66</v>
      </c>
      <c r="C296" s="75"/>
      <c r="D296" s="75"/>
      <c r="E296" s="75"/>
      <c r="F296" s="76">
        <f>SUM(F292:F295)</f>
      </c>
      <c r="G296" s="76">
        <f>SUM(G292:G295)</f>
      </c>
      <c r="H296" s="76">
        <f>SUM(H292:H295)</f>
      </c>
      <c r="I296" s="76">
        <f>SUM(I292:I295)</f>
      </c>
      <c r="J296" s="76">
        <f>SUM(J292:J295)</f>
      </c>
      <c r="K296" s="76">
        <f>SUM(K292:K295)</f>
      </c>
      <c r="L296" s="76">
        <f>SUM(L292:L295)</f>
      </c>
      <c r="M296" s="76">
        <f>SUM(M292:M295)</f>
      </c>
      <c r="N296" s="76">
        <f>SUM(N292:N295)</f>
      </c>
      <c r="O296" s="77">
        <f t="shared" si="24"/>
      </c>
      <c r="P296" s="76">
        <f>SUM(P292:P295)</f>
      </c>
      <c r="Q296" s="77">
        <f t="shared" si="0"/>
      </c>
      <c r="R296" s="76">
        <f>SUM(R292:R295)</f>
      </c>
      <c r="S296" s="76">
        <f>SUM(S292:S295)</f>
      </c>
      <c r="T296" s="76">
        <f t="shared" si="12"/>
      </c>
      <c r="U296" s="76">
        <f t="shared" si="8"/>
      </c>
      <c r="V296" s="76">
        <f t="shared" si="20"/>
      </c>
      <c r="W296" s="76">
        <f>SUM(W292:W295)</f>
      </c>
      <c r="X296" s="79">
        <f t="shared" si="16"/>
      </c>
      <c r="Y296" s="79">
        <f t="shared" si="248"/>
      </c>
      <c r="Z296" s="76">
        <f t="shared" si="100"/>
      </c>
      <c r="AA296" s="76">
        <f t="shared" si="2"/>
      </c>
      <c r="AB296" s="80">
        <f t="shared" si="4"/>
      </c>
      <c r="AC296" s="77">
        <f t="shared" si="14"/>
      </c>
      <c r="AD296" s="77">
        <f t="shared" si="10"/>
      </c>
      <c r="AE296" s="77">
        <f t="shared" si="22"/>
      </c>
      <c r="AF296" s="77">
        <f t="shared" si="18"/>
      </c>
      <c r="AG296" s="77">
        <f t="shared" si="102"/>
      </c>
      <c r="AH296" s="77">
        <f t="shared" si="26"/>
      </c>
      <c r="AI296" s="77">
        <f t="shared" si="6"/>
      </c>
      <c r="AJ296" s="78">
        <f>AVERAGE(AJ292:AJ295)</f>
      </c>
      <c r="AK296" s="76">
        <f>SUM(AK292:AK295)</f>
      </c>
      <c r="AL296" s="76">
        <f>SUM(AL292:AL295)</f>
      </c>
      <c r="AM296" s="76">
        <f>SUM(AM292:AM295)</f>
      </c>
      <c r="AN296" s="76">
        <f>SUM(AN292:AN295)</f>
      </c>
      <c r="AO296" s="76">
        <f>SUM(AO292:AO295)</f>
      </c>
      <c r="AP296" s="76">
        <f>SUM(AP292:AP295)</f>
      </c>
      <c r="AQ296" s="76">
        <f>SUM(AQ292:AQ295)</f>
      </c>
      <c r="AR296" s="76">
        <f>SUM(AR292:AR295)</f>
      </c>
      <c r="AS296" s="76">
        <f>SUM(AS292:AS295)</f>
      </c>
      <c r="AT296" s="76">
        <f>SUM(AT292:AT295)</f>
      </c>
      <c r="AU296" s="76">
        <f>SUM(AU292:AU295)</f>
      </c>
      <c r="AV296" s="39"/>
      <c r="AW296" s="48"/>
      <c r="AX296" s="76">
        <f>SUM(AX292:AX295)</f>
      </c>
    </row>
    <row hidden="true" r="297">
      <c r="A297" s="62"/>
      <c r="B297" s="73" t="s">
        <v>88</v>
      </c>
      <c r="C297" s="41" t="s">
        <v>60</v>
      </c>
      <c r="D297" s="73" t="s">
        <v>61</v>
      </c>
      <c r="E297" s="41" t="s">
        <v>68</v>
      </c>
      <c r="F297" s="63">
        <f t="shared" ref="F297:F300" si="85">G297+H297+I297</f>
      </c>
      <c r="G297" s="81">
        <v>698.22</v>
      </c>
      <c r="H297" s="81">
        <v>0</v>
      </c>
      <c r="I297" s="64">
        <v>1751.38</v>
      </c>
      <c r="J297" s="64">
        <v>0</v>
      </c>
      <c r="K297" s="64">
        <v>0</v>
      </c>
      <c r="L297" s="64">
        <v>1</v>
      </c>
      <c r="M297" s="64">
        <v>1429.5600000000013</v>
      </c>
      <c r="N297" s="67">
        <v>0</v>
      </c>
      <c r="O297" s="68">
        <f t="shared" si="24"/>
      </c>
      <c r="P297" s="67">
        <v>0</v>
      </c>
      <c r="Q297" s="68">
        <f t="shared" si="0"/>
      </c>
      <c r="R297" s="69">
        <f t="shared" ref="R297:R300" si="161">J297+L297</f>
      </c>
      <c r="S297" s="70">
        <f t="shared" ref="S297:S300" si="233">K297+M297</f>
      </c>
      <c r="T297" s="63">
        <f t="shared" si="12"/>
      </c>
      <c r="U297" s="63">
        <f t="shared" si="8"/>
      </c>
      <c r="V297" s="71">
        <f t="shared" si="20"/>
      </c>
      <c r="W297" s="67">
        <v>1</v>
      </c>
      <c r="X297" s="71">
        <f t="shared" si="16"/>
      </c>
      <c r="Y297" s="71">
        <f t="shared" si="248"/>
      </c>
      <c r="Z297" s="63">
        <f t="shared" si="100"/>
      </c>
      <c r="AA297" s="63">
        <f t="shared" si="2"/>
      </c>
      <c r="AB297" s="63">
        <f t="shared" si="4"/>
      </c>
      <c r="AC297" s="68">
        <f t="shared" si="14"/>
      </c>
      <c r="AD297" s="68">
        <f t="shared" si="10"/>
      </c>
      <c r="AE297" s="68">
        <f t="shared" si="22"/>
      </c>
      <c r="AF297" s="68">
        <f t="shared" si="18"/>
      </c>
      <c r="AG297" s="68">
        <f t="shared" si="102"/>
      </c>
      <c r="AH297" s="68">
        <f t="shared" si="26"/>
      </c>
      <c r="AI297" s="68">
        <f t="shared" si="6"/>
      </c>
      <c r="AJ297" s="67">
        <v>80</v>
      </c>
      <c r="AK297" s="72">
        <v>9911</v>
      </c>
      <c r="AL297" s="72">
        <v>253</v>
      </c>
      <c r="AM297" s="72">
        <v>365</v>
      </c>
      <c r="AN297" s="72">
        <v>58</v>
      </c>
      <c r="AO297" s="73">
        <v>18</v>
      </c>
      <c r="AP297" s="72">
        <v>73</v>
      </c>
      <c r="AQ297" s="41">
        <v>58</v>
      </c>
      <c r="AR297" s="73">
        <v>2</v>
      </c>
      <c r="AS297" s="73">
        <v>6</v>
      </c>
      <c r="AT297" s="67">
        <v>3</v>
      </c>
      <c r="AU297" s="67">
        <v>2</v>
      </c>
      <c r="AV297" s="39"/>
      <c r="AW297" s="40"/>
      <c r="AX297" s="41">
        <f t="shared" ref="AX297:AX300" si="307">COUNT(AU297)</f>
      </c>
    </row>
    <row hidden="true" r="298">
      <c r="A298" s="62"/>
      <c r="B298" s="73" t="s">
        <v>88</v>
      </c>
      <c r="C298" s="41" t="s">
        <v>60</v>
      </c>
      <c r="D298" s="73" t="s">
        <v>61</v>
      </c>
      <c r="E298" s="41" t="s">
        <v>69</v>
      </c>
      <c r="F298" s="63">
        <f t="shared" si="85"/>
      </c>
      <c r="G298" s="81">
        <v>593.5</v>
      </c>
      <c r="H298" s="81">
        <v>0</v>
      </c>
      <c r="I298" s="64">
        <v>1634.84</v>
      </c>
      <c r="J298" s="64">
        <v>1</v>
      </c>
      <c r="K298" s="64">
        <v>1099.5299999999997</v>
      </c>
      <c r="L298" s="64">
        <v>1</v>
      </c>
      <c r="M298" s="64">
        <v>6338.399999999998</v>
      </c>
      <c r="N298" s="67">
        <v>1</v>
      </c>
      <c r="O298" s="68">
        <f t="shared" si="24"/>
      </c>
      <c r="P298" s="67">
        <v>0</v>
      </c>
      <c r="Q298" s="68">
        <f t="shared" si="0"/>
      </c>
      <c r="R298" s="69">
        <f t="shared" si="161"/>
      </c>
      <c r="S298" s="70">
        <f t="shared" si="233"/>
      </c>
      <c r="T298" s="63">
        <f t="shared" si="12"/>
      </c>
      <c r="U298" s="63">
        <f t="shared" si="8"/>
      </c>
      <c r="V298" s="71">
        <f t="shared" si="20"/>
      </c>
      <c r="W298" s="67">
        <v>2</v>
      </c>
      <c r="X298" s="71">
        <f t="shared" si="16"/>
      </c>
      <c r="Y298" s="71">
        <f t="shared" si="248"/>
      </c>
      <c r="Z298" s="63">
        <f t="shared" si="100"/>
      </c>
      <c r="AA298" s="63">
        <f t="shared" si="2"/>
      </c>
      <c r="AB298" s="63">
        <f t="shared" si="4"/>
      </c>
      <c r="AC298" s="68">
        <f t="shared" si="14"/>
      </c>
      <c r="AD298" s="68">
        <f t="shared" si="10"/>
      </c>
      <c r="AE298" s="68">
        <f t="shared" si="22"/>
      </c>
      <c r="AF298" s="68">
        <f t="shared" si="18"/>
      </c>
      <c r="AG298" s="68">
        <f t="shared" si="102"/>
      </c>
      <c r="AH298" s="68">
        <f t="shared" si="26"/>
      </c>
      <c r="AI298" s="68">
        <f t="shared" si="6"/>
      </c>
      <c r="AJ298" s="67">
        <v>78</v>
      </c>
      <c r="AK298" s="72">
        <v>9727</v>
      </c>
      <c r="AL298" s="72">
        <v>214</v>
      </c>
      <c r="AM298" s="72">
        <v>304</v>
      </c>
      <c r="AN298" s="72">
        <v>49</v>
      </c>
      <c r="AO298" s="73">
        <v>21</v>
      </c>
      <c r="AP298" s="72">
        <v>65</v>
      </c>
      <c r="AQ298" s="41">
        <v>51</v>
      </c>
      <c r="AR298" s="73">
        <v>5</v>
      </c>
      <c r="AS298" s="73">
        <v>4</v>
      </c>
      <c r="AT298" s="67">
        <v>0</v>
      </c>
      <c r="AU298" s="67">
        <v>8</v>
      </c>
      <c r="AV298" s="39"/>
      <c r="AW298" s="40"/>
      <c r="AX298" s="41">
        <f t="shared" si="307"/>
      </c>
    </row>
    <row hidden="true" r="299">
      <c r="A299" s="62"/>
      <c r="B299" s="73" t="s">
        <v>88</v>
      </c>
      <c r="C299" s="41" t="s">
        <v>60</v>
      </c>
      <c r="D299" s="73" t="s">
        <v>61</v>
      </c>
      <c r="E299" s="41" t="s">
        <v>70</v>
      </c>
      <c r="F299" s="63">
        <f t="shared" si="85"/>
      </c>
      <c r="G299" s="81">
        <v>602.83</v>
      </c>
      <c r="H299" s="81">
        <v>0</v>
      </c>
      <c r="I299" s="64">
        <v>1717.74</v>
      </c>
      <c r="J299" s="64">
        <v>0</v>
      </c>
      <c r="K299" s="64">
        <v>0</v>
      </c>
      <c r="L299" s="64">
        <v>0</v>
      </c>
      <c r="M299" s="64">
        <v>0</v>
      </c>
      <c r="N299" s="67">
        <v>0</v>
      </c>
      <c r="O299" s="68">
        <f t="shared" si="24"/>
      </c>
      <c r="P299" s="67">
        <v>0</v>
      </c>
      <c r="Q299" s="68">
        <f t="shared" si="0"/>
      </c>
      <c r="R299" s="69">
        <f t="shared" si="161"/>
      </c>
      <c r="S299" s="70">
        <f t="shared" si="233"/>
      </c>
      <c r="T299" s="63">
        <f t="shared" si="12"/>
      </c>
      <c r="U299" s="63">
        <f t="shared" si="8"/>
      </c>
      <c r="V299" s="71">
        <f t="shared" si="20"/>
      </c>
      <c r="W299" s="67">
        <v>0</v>
      </c>
      <c r="X299" s="71">
        <f t="shared" si="16"/>
      </c>
      <c r="Y299" s="71">
        <f t="shared" si="248"/>
      </c>
      <c r="Z299" s="63">
        <f t="shared" si="100"/>
      </c>
      <c r="AA299" s="63">
        <f t="shared" si="2"/>
      </c>
      <c r="AB299" s="63">
        <f t="shared" si="4"/>
      </c>
      <c r="AC299" s="68">
        <f t="shared" si="14"/>
      </c>
      <c r="AD299" s="68">
        <f t="shared" si="10"/>
      </c>
      <c r="AE299" s="68">
        <f t="shared" si="22"/>
      </c>
      <c r="AF299" s="68">
        <f t="shared" si="18"/>
      </c>
      <c r="AG299" s="68">
        <f t="shared" si="102"/>
      </c>
      <c r="AH299" s="68">
        <f t="shared" si="26"/>
      </c>
      <c r="AI299" s="68">
        <f t="shared" si="6"/>
      </c>
      <c r="AJ299" s="67">
        <v>80</v>
      </c>
      <c r="AK299" s="72">
        <v>11043</v>
      </c>
      <c r="AL299" s="72">
        <v>231</v>
      </c>
      <c r="AM299" s="72">
        <v>342</v>
      </c>
      <c r="AN299" s="72">
        <v>64</v>
      </c>
      <c r="AO299" s="73">
        <v>21</v>
      </c>
      <c r="AP299" s="72">
        <v>52</v>
      </c>
      <c r="AQ299" s="73">
        <v>66</v>
      </c>
      <c r="AR299" s="73">
        <v>2</v>
      </c>
      <c r="AS299" s="67">
        <v>8</v>
      </c>
      <c r="AT299" s="67">
        <v>0</v>
      </c>
      <c r="AU299" s="67">
        <v>4</v>
      </c>
      <c r="AV299" s="39"/>
      <c r="AW299" s="40"/>
      <c r="AX299" s="41">
        <f t="shared" si="307"/>
      </c>
    </row>
    <row hidden="true" r="300">
      <c r="A300" s="62"/>
      <c r="B300" s="73" t="s">
        <v>71</v>
      </c>
      <c r="C300" s="41" t="s">
        <v>72</v>
      </c>
      <c r="D300" s="73" t="s">
        <v>61</v>
      </c>
      <c r="E300" s="41" t="s">
        <v>73</v>
      </c>
      <c r="F300" s="63">
        <f t="shared" si="85"/>
      </c>
      <c r="G300" s="81">
        <v>583.97</v>
      </c>
      <c r="H300" s="81">
        <v>0</v>
      </c>
      <c r="I300" s="64">
        <v>1278.48</v>
      </c>
      <c r="J300" s="65">
        <v>2</v>
      </c>
      <c r="K300" s="65">
        <v>2955.2700000000013</v>
      </c>
      <c r="L300" s="65">
        <v>2</v>
      </c>
      <c r="M300" s="65">
        <v>3570.5600000000013</v>
      </c>
      <c r="N300" s="67">
        <v>2</v>
      </c>
      <c r="O300" s="68">
        <f t="shared" si="24"/>
      </c>
      <c r="P300" s="67">
        <v>1</v>
      </c>
      <c r="Q300" s="68">
        <f t="shared" si="0"/>
      </c>
      <c r="R300" s="69">
        <f t="shared" si="161"/>
      </c>
      <c r="S300" s="70">
        <f t="shared" si="233"/>
      </c>
      <c r="T300" s="63">
        <f t="shared" si="12"/>
      </c>
      <c r="U300" s="63">
        <f t="shared" si="8"/>
      </c>
      <c r="V300" s="71">
        <f t="shared" si="20"/>
      </c>
      <c r="W300" s="67">
        <v>2</v>
      </c>
      <c r="X300" s="71">
        <f t="shared" si="16"/>
      </c>
      <c r="Y300" s="71">
        <f t="shared" si="248"/>
      </c>
      <c r="Z300" s="63">
        <f t="shared" si="100"/>
      </c>
      <c r="AA300" s="63">
        <f t="shared" si="2"/>
      </c>
      <c r="AB300" s="63">
        <f t="shared" si="4"/>
      </c>
      <c r="AC300" s="68">
        <f t="shared" si="14"/>
      </c>
      <c r="AD300" s="68">
        <f t="shared" si="10"/>
      </c>
      <c r="AE300" s="68">
        <f t="shared" si="22"/>
      </c>
      <c r="AF300" s="68">
        <f t="shared" si="18"/>
      </c>
      <c r="AG300" s="68">
        <f t="shared" si="102"/>
      </c>
      <c r="AH300" s="68">
        <f t="shared" si="26"/>
      </c>
      <c r="AI300" s="68">
        <f t="shared" si="6"/>
      </c>
      <c r="AJ300" s="67">
        <v>82</v>
      </c>
      <c r="AK300" s="72">
        <v>10331</v>
      </c>
      <c r="AL300" s="72">
        <v>247</v>
      </c>
      <c r="AM300" s="67">
        <v>360</v>
      </c>
      <c r="AN300" s="67">
        <v>56</v>
      </c>
      <c r="AO300" s="73">
        <v>18</v>
      </c>
      <c r="AP300" s="67">
        <v>77</v>
      </c>
      <c r="AQ300" s="73">
        <v>62</v>
      </c>
      <c r="AR300" s="73">
        <v>6</v>
      </c>
      <c r="AS300" s="67">
        <v>6</v>
      </c>
      <c r="AT300" s="67">
        <v>0</v>
      </c>
      <c r="AU300" s="67">
        <v>0</v>
      </c>
      <c r="AV300" s="39"/>
      <c r="AW300" s="40"/>
      <c r="AX300" s="41">
        <f t="shared" si="307"/>
      </c>
    </row>
    <row hidden="true" r="301">
      <c r="A301" s="62"/>
      <c r="B301" s="75" t="s">
        <v>66</v>
      </c>
      <c r="C301" s="75"/>
      <c r="D301" s="75"/>
      <c r="E301" s="75"/>
      <c r="F301" s="76">
        <f>SUM(F297:F300)</f>
      </c>
      <c r="G301" s="76">
        <f>SUM(G297:G300)</f>
      </c>
      <c r="H301" s="76">
        <f>SUM(H297:H300)</f>
      </c>
      <c r="I301" s="76">
        <f>SUM(I297:I300)</f>
      </c>
      <c r="J301" s="76">
        <f>SUM(J297:J300)</f>
      </c>
      <c r="K301" s="76">
        <f>SUM(K297:K300)</f>
      </c>
      <c r="L301" s="76">
        <f>SUM(L297:L300)</f>
      </c>
      <c r="M301" s="76">
        <f>SUM(M297:M300)</f>
      </c>
      <c r="N301" s="76">
        <f>SUM(N297:N300)</f>
      </c>
      <c r="O301" s="77">
        <f t="shared" si="24"/>
      </c>
      <c r="P301" s="76">
        <f>SUM(P297:P300)</f>
      </c>
      <c r="Q301" s="77">
        <f t="shared" si="0"/>
      </c>
      <c r="R301" s="91">
        <f>SUM(R297:R300)</f>
      </c>
      <c r="S301" s="76">
        <f>SUM(S297:S300)</f>
      </c>
      <c r="T301" s="76">
        <f t="shared" si="12"/>
      </c>
      <c r="U301" s="76">
        <f t="shared" si="8"/>
      </c>
      <c r="V301" s="79">
        <f t="shared" si="20"/>
      </c>
      <c r="W301" s="76">
        <f>SUM(W297:W300)</f>
      </c>
      <c r="X301" s="79">
        <f t="shared" si="16"/>
      </c>
      <c r="Y301" s="79">
        <f t="shared" si="248"/>
      </c>
      <c r="Z301" s="76">
        <f t="shared" si="100"/>
      </c>
      <c r="AA301" s="76">
        <f t="shared" si="2"/>
      </c>
      <c r="AB301" s="80">
        <f t="shared" si="4"/>
      </c>
      <c r="AC301" s="77">
        <f t="shared" si="14"/>
      </c>
      <c r="AD301" s="77">
        <f t="shared" si="10"/>
      </c>
      <c r="AE301" s="77">
        <f t="shared" si="22"/>
      </c>
      <c r="AF301" s="82">
        <f t="shared" si="18"/>
      </c>
      <c r="AG301" s="77">
        <f t="shared" si="102"/>
      </c>
      <c r="AH301" s="77">
        <f t="shared" si="26"/>
      </c>
      <c r="AI301" s="77">
        <f t="shared" si="6"/>
      </c>
      <c r="AJ301" s="78">
        <f>AVERAGE(AJ297:AJ300)</f>
      </c>
      <c r="AK301" s="76">
        <f>SUM(AK297:AK300)</f>
      </c>
      <c r="AL301" s="76">
        <f>SUM(AL297:AL300)</f>
      </c>
      <c r="AM301" s="76">
        <f>SUM(AM297:AM300)</f>
      </c>
      <c r="AN301" s="76">
        <f>SUM(AN297:AN300)</f>
      </c>
      <c r="AO301" s="76">
        <f>SUM(AO297:AO300)</f>
      </c>
      <c r="AP301" s="76">
        <f>SUM(AP297:AP300)</f>
      </c>
      <c r="AQ301" s="76">
        <f>SUM(AQ297:AQ300)</f>
      </c>
      <c r="AR301" s="76">
        <f>SUM(AR297:AR300)</f>
      </c>
      <c r="AS301" s="76">
        <f>SUM(AS297:AS300)</f>
      </c>
      <c r="AT301" s="76">
        <f>SUM(AT297:AT300)</f>
      </c>
      <c r="AU301" s="76">
        <f>SUM(AU297:AU300)</f>
      </c>
      <c r="AV301" s="39"/>
      <c r="AW301" s="48"/>
      <c r="AX301" s="49">
        <f>SUM(AX297:AX300)</f>
      </c>
    </row>
    <row hidden="true" r="302">
      <c r="A302" s="62"/>
      <c r="B302" s="73" t="s">
        <v>71</v>
      </c>
      <c r="C302" s="41" t="s">
        <v>72</v>
      </c>
      <c r="D302" s="73" t="s">
        <v>74</v>
      </c>
      <c r="E302" s="41" t="s">
        <v>75</v>
      </c>
      <c r="F302" s="63">
        <f t="shared" ref="F302:F304" si="86">G302+H302+I302</f>
      </c>
      <c r="G302" s="81">
        <v>646.18</v>
      </c>
      <c r="H302" s="81">
        <v>0</v>
      </c>
      <c r="I302" s="64">
        <v>820.67</v>
      </c>
      <c r="J302" s="65">
        <v>1</v>
      </c>
      <c r="K302" s="65">
        <v>1286</v>
      </c>
      <c r="L302" s="65">
        <v>2</v>
      </c>
      <c r="M302" s="65">
        <v>5157.270000000004</v>
      </c>
      <c r="N302" s="67">
        <v>1</v>
      </c>
      <c r="O302" s="68">
        <f t="shared" si="24"/>
      </c>
      <c r="P302" s="67">
        <v>0</v>
      </c>
      <c r="Q302" s="68">
        <f t="shared" si="0"/>
      </c>
      <c r="R302" s="69">
        <f t="shared" ref="R302:R304" si="162">J302+L302</f>
      </c>
      <c r="S302" s="70">
        <f t="shared" ref="S302:S304" si="234">K302+M302</f>
      </c>
      <c r="T302" s="63">
        <f t="shared" si="12"/>
      </c>
      <c r="U302" s="63">
        <f t="shared" si="8"/>
      </c>
      <c r="V302" s="71">
        <f t="shared" si="20"/>
      </c>
      <c r="W302" s="67">
        <v>2</v>
      </c>
      <c r="X302" s="71">
        <f t="shared" si="16"/>
      </c>
      <c r="Y302" s="71">
        <f t="shared" si="248"/>
      </c>
      <c r="Z302" s="63">
        <f t="shared" si="100"/>
      </c>
      <c r="AA302" s="63">
        <f t="shared" si="2"/>
      </c>
      <c r="AB302" s="63">
        <f t="shared" si="4"/>
      </c>
      <c r="AC302" s="68">
        <f t="shared" si="14"/>
      </c>
      <c r="AD302" s="68">
        <f t="shared" si="10"/>
      </c>
      <c r="AE302" s="68">
        <f t="shared" si="22"/>
      </c>
      <c r="AF302" s="68">
        <f t="shared" si="18"/>
      </c>
      <c r="AG302" s="68">
        <f t="shared" si="102"/>
      </c>
      <c r="AH302" s="68">
        <f t="shared" si="26"/>
      </c>
      <c r="AI302" s="68">
        <f t="shared" si="6"/>
      </c>
      <c r="AJ302" s="67">
        <v>82</v>
      </c>
      <c r="AK302" s="72">
        <v>7815</v>
      </c>
      <c r="AL302" s="72">
        <v>186</v>
      </c>
      <c r="AM302" s="72">
        <v>310</v>
      </c>
      <c r="AN302" s="72">
        <v>41</v>
      </c>
      <c r="AO302" s="73">
        <v>17</v>
      </c>
      <c r="AP302" s="72">
        <v>74</v>
      </c>
      <c r="AQ302" s="41">
        <v>44</v>
      </c>
      <c r="AR302" s="73">
        <v>3</v>
      </c>
      <c r="AS302" s="73">
        <v>9</v>
      </c>
      <c r="AT302" s="67">
        <v>1</v>
      </c>
      <c r="AU302" s="67">
        <v>1</v>
      </c>
      <c r="AV302" s="39"/>
      <c r="AW302" s="40"/>
      <c r="AX302" s="41">
        <f t="shared" ref="AX302:AX304" si="308">COUNT(AU302)</f>
      </c>
    </row>
    <row hidden="true" r="303">
      <c r="A303" s="62"/>
      <c r="B303" s="73" t="s">
        <v>71</v>
      </c>
      <c r="C303" s="41" t="s">
        <v>72</v>
      </c>
      <c r="D303" s="73" t="s">
        <v>74</v>
      </c>
      <c r="E303" s="41" t="s">
        <v>76</v>
      </c>
      <c r="F303" s="63">
        <f t="shared" si="86"/>
      </c>
      <c r="G303" s="81">
        <v>747.47</v>
      </c>
      <c r="H303" s="81">
        <v>0</v>
      </c>
      <c r="I303" s="64">
        <v>918.3</v>
      </c>
      <c r="J303" s="64">
        <v>1</v>
      </c>
      <c r="K303" s="64">
        <v>1055.4500000000007</v>
      </c>
      <c r="L303" s="65">
        <v>0</v>
      </c>
      <c r="M303" s="65">
        <v>0</v>
      </c>
      <c r="N303" s="67">
        <v>0</v>
      </c>
      <c r="O303" s="68">
        <f t="shared" si="24"/>
      </c>
      <c r="P303" s="67">
        <v>0</v>
      </c>
      <c r="Q303" s="68">
        <f t="shared" si="0"/>
      </c>
      <c r="R303" s="69">
        <f t="shared" si="162"/>
      </c>
      <c r="S303" s="70">
        <f t="shared" si="234"/>
      </c>
      <c r="T303" s="63">
        <f t="shared" si="12"/>
      </c>
      <c r="U303" s="63">
        <f t="shared" si="8"/>
      </c>
      <c r="V303" s="71">
        <f t="shared" si="20"/>
      </c>
      <c r="W303" s="67">
        <v>1</v>
      </c>
      <c r="X303" s="71">
        <f t="shared" si="16"/>
      </c>
      <c r="Y303" s="71">
        <f t="shared" si="248"/>
      </c>
      <c r="Z303" s="63">
        <f t="shared" si="100"/>
      </c>
      <c r="AA303" s="63">
        <f t="shared" si="2"/>
      </c>
      <c r="AB303" s="63">
        <f t="shared" si="4"/>
      </c>
      <c r="AC303" s="68">
        <f t="shared" si="14"/>
      </c>
      <c r="AD303" s="68">
        <f t="shared" si="10"/>
      </c>
      <c r="AE303" s="68">
        <f t="shared" si="22"/>
      </c>
      <c r="AF303" s="68">
        <f t="shared" si="18"/>
      </c>
      <c r="AG303" s="68">
        <f t="shared" si="102"/>
      </c>
      <c r="AH303" s="68">
        <f t="shared" si="26"/>
      </c>
      <c r="AI303" s="68">
        <f t="shared" si="6"/>
      </c>
      <c r="AJ303" s="67">
        <v>78</v>
      </c>
      <c r="AK303" s="67">
        <v>8540</v>
      </c>
      <c r="AL303" s="72">
        <v>219</v>
      </c>
      <c r="AM303" s="72">
        <v>386</v>
      </c>
      <c r="AN303" s="72">
        <v>33</v>
      </c>
      <c r="AO303" s="73">
        <v>14</v>
      </c>
      <c r="AP303" s="67">
        <v>39</v>
      </c>
      <c r="AQ303" s="73">
        <v>44</v>
      </c>
      <c r="AR303" s="73">
        <v>1</v>
      </c>
      <c r="AS303" s="73">
        <v>3</v>
      </c>
      <c r="AT303" s="67">
        <v>1</v>
      </c>
      <c r="AU303" s="67">
        <v>0</v>
      </c>
      <c r="AV303" s="39"/>
      <c r="AW303" s="40"/>
      <c r="AX303" s="41">
        <f t="shared" si="308"/>
      </c>
    </row>
    <row hidden="true" r="304">
      <c r="A304" s="62"/>
      <c r="B304" s="73" t="s">
        <v>71</v>
      </c>
      <c r="C304" s="41" t="s">
        <v>72</v>
      </c>
      <c r="D304" s="73" t="s">
        <v>74</v>
      </c>
      <c r="E304" s="41" t="s">
        <v>77</v>
      </c>
      <c r="F304" s="63">
        <f t="shared" si="86"/>
      </c>
      <c r="G304" s="81">
        <v>893.62</v>
      </c>
      <c r="H304" s="81">
        <v>0</v>
      </c>
      <c r="I304" s="64">
        <v>1266.06</v>
      </c>
      <c r="J304" s="65">
        <v>0</v>
      </c>
      <c r="K304" s="65">
        <v>0</v>
      </c>
      <c r="L304" s="64">
        <v>3</v>
      </c>
      <c r="M304" s="64">
        <v>4069.6699999999983</v>
      </c>
      <c r="N304" s="67">
        <v>2</v>
      </c>
      <c r="O304" s="68">
        <f t="shared" si="24"/>
      </c>
      <c r="P304" s="67">
        <v>0</v>
      </c>
      <c r="Q304" s="68">
        <f t="shared" si="0"/>
      </c>
      <c r="R304" s="69">
        <f t="shared" si="162"/>
      </c>
      <c r="S304" s="70">
        <f t="shared" si="234"/>
      </c>
      <c r="T304" s="63">
        <f t="shared" si="12"/>
      </c>
      <c r="U304" s="63">
        <f t="shared" si="8"/>
      </c>
      <c r="V304" s="71">
        <f t="shared" si="20"/>
      </c>
      <c r="W304" s="67">
        <v>3</v>
      </c>
      <c r="X304" s="71">
        <f t="shared" si="16"/>
      </c>
      <c r="Y304" s="71">
        <f t="shared" si="248"/>
      </c>
      <c r="Z304" s="63">
        <f t="shared" si="100"/>
      </c>
      <c r="AA304" s="63">
        <f t="shared" si="2"/>
      </c>
      <c r="AB304" s="63">
        <f t="shared" si="4"/>
      </c>
      <c r="AC304" s="68">
        <f t="shared" si="14"/>
      </c>
      <c r="AD304" s="68">
        <f t="shared" si="10"/>
      </c>
      <c r="AE304" s="68">
        <f t="shared" si="22"/>
      </c>
      <c r="AF304" s="68">
        <f t="shared" si="18"/>
      </c>
      <c r="AG304" s="68">
        <f t="shared" si="102"/>
      </c>
      <c r="AH304" s="68">
        <f t="shared" si="26"/>
      </c>
      <c r="AI304" s="68">
        <f t="shared" si="6"/>
      </c>
      <c r="AJ304" s="67">
        <v>74</v>
      </c>
      <c r="AK304" s="72">
        <v>11036</v>
      </c>
      <c r="AL304" s="72">
        <v>300</v>
      </c>
      <c r="AM304" s="72">
        <v>454</v>
      </c>
      <c r="AN304" s="72">
        <v>50</v>
      </c>
      <c r="AO304" s="73">
        <v>22</v>
      </c>
      <c r="AP304" s="72">
        <v>57</v>
      </c>
      <c r="AQ304" s="41">
        <v>60</v>
      </c>
      <c r="AR304" s="73">
        <v>4</v>
      </c>
      <c r="AS304" s="67">
        <v>1</v>
      </c>
      <c r="AT304" s="67">
        <v>0</v>
      </c>
      <c r="AU304" s="67">
        <v>2</v>
      </c>
      <c r="AV304" s="39"/>
      <c r="AW304" s="40"/>
      <c r="AX304" s="41">
        <f t="shared" si="308"/>
      </c>
    </row>
    <row hidden="true" r="305">
      <c r="A305" s="62"/>
      <c r="B305" s="75" t="s">
        <v>66</v>
      </c>
      <c r="C305" s="75"/>
      <c r="D305" s="75"/>
      <c r="E305" s="75"/>
      <c r="F305" s="76">
        <f>SUM(F302:F304)</f>
      </c>
      <c r="G305" s="76">
        <f>SUM(G302:G304)</f>
      </c>
      <c r="H305" s="76">
        <f>SUM(H302:H304)</f>
      </c>
      <c r="I305" s="76">
        <f>SUM(I302:I304)</f>
      </c>
      <c r="J305" s="76">
        <f>SUM(J302:J304)</f>
      </c>
      <c r="K305" s="76">
        <f>SUM(K302:K304)</f>
      </c>
      <c r="L305" s="76">
        <f>SUM(L302:L304)</f>
      </c>
      <c r="M305" s="76">
        <f>SUM(M302:M304)</f>
      </c>
      <c r="N305" s="76">
        <f>SUM(N302:N304)</f>
      </c>
      <c r="O305" s="77">
        <f t="shared" si="24"/>
      </c>
      <c r="P305" s="76">
        <f>SUM(P302:P304)</f>
      </c>
      <c r="Q305" s="77">
        <f t="shared" si="0"/>
      </c>
      <c r="R305" s="78">
        <f>SUM(R302:R304)</f>
      </c>
      <c r="S305" s="76">
        <f>SUM(S302:S304)</f>
      </c>
      <c r="T305" s="76">
        <f t="shared" si="12"/>
      </c>
      <c r="U305" s="76">
        <f t="shared" si="8"/>
      </c>
      <c r="V305" s="79">
        <f t="shared" si="20"/>
      </c>
      <c r="W305" s="76">
        <f>SUM(W302:W304)</f>
      </c>
      <c r="X305" s="79">
        <f t="shared" si="16"/>
      </c>
      <c r="Y305" s="79">
        <f t="shared" si="248"/>
      </c>
      <c r="Z305" s="76">
        <f t="shared" si="100"/>
      </c>
      <c r="AA305" s="76">
        <f t="shared" si="2"/>
      </c>
      <c r="AB305" s="80">
        <f t="shared" si="4"/>
      </c>
      <c r="AC305" s="77">
        <f t="shared" si="14"/>
      </c>
      <c r="AD305" s="77">
        <f t="shared" si="10"/>
      </c>
      <c r="AE305" s="77">
        <f t="shared" si="22"/>
      </c>
      <c r="AF305" s="82">
        <f t="shared" si="18"/>
      </c>
      <c r="AG305" s="77">
        <f t="shared" si="102"/>
      </c>
      <c r="AH305" s="77">
        <f t="shared" si="26"/>
      </c>
      <c r="AI305" s="77">
        <f t="shared" si="6"/>
      </c>
      <c r="AJ305" s="78">
        <f>AVERAGE(AJ302:AJ304)</f>
      </c>
      <c r="AK305" s="76">
        <f>SUM(AK302:AK304)</f>
      </c>
      <c r="AL305" s="76">
        <f>SUM(AL302:AL304)</f>
      </c>
      <c r="AM305" s="76">
        <f>SUM(AM302:AM304)</f>
      </c>
      <c r="AN305" s="76">
        <f>SUM(AN302:AN304)</f>
      </c>
      <c r="AO305" s="76">
        <f>SUM(AO302:AO304)</f>
      </c>
      <c r="AP305" s="76">
        <f>SUM(AP302:AP304)</f>
      </c>
      <c r="AQ305" s="76">
        <f>SUM(AQ302:AQ304)</f>
      </c>
      <c r="AR305" s="76">
        <f>SUM(AR302:AR304)</f>
      </c>
      <c r="AS305" s="76">
        <f>SUM(AS302:AS304)</f>
      </c>
      <c r="AT305" s="76">
        <f>SUM(AT302:AT304)</f>
      </c>
      <c r="AU305" s="76">
        <f>SUM(AU302:AU304)</f>
      </c>
      <c r="AV305" s="39"/>
      <c r="AW305" s="48"/>
      <c r="AX305" s="49">
        <f>SUM(AX302:AX304)</f>
      </c>
    </row>
    <row hidden="true" r="306">
      <c r="A306" s="62"/>
      <c r="B306" s="73" t="s">
        <v>71</v>
      </c>
      <c r="C306" s="41" t="s">
        <v>72</v>
      </c>
      <c r="D306" s="73" t="s">
        <v>85</v>
      </c>
      <c r="E306" s="73" t="s">
        <v>78</v>
      </c>
      <c r="F306" s="63">
        <f t="shared" ref="F306:F308" si="87">G306+H306+I306</f>
      </c>
      <c r="G306" s="81">
        <v>982.83</v>
      </c>
      <c r="H306" s="81">
        <v>0</v>
      </c>
      <c r="I306" s="64">
        <v>1400.06</v>
      </c>
      <c r="J306" s="65">
        <v>0</v>
      </c>
      <c r="K306" s="65">
        <v>0</v>
      </c>
      <c r="L306" s="65">
        <v>1</v>
      </c>
      <c r="M306" s="65">
        <v>1217.9000000000015</v>
      </c>
      <c r="N306" s="67">
        <v>0</v>
      </c>
      <c r="O306" s="68">
        <f t="shared" si="24"/>
      </c>
      <c r="P306" s="67">
        <v>0</v>
      </c>
      <c r="Q306" s="68">
        <f t="shared" si="0"/>
      </c>
      <c r="R306" s="69">
        <f t="shared" ref="R306:R308" si="163">J306+L306</f>
      </c>
      <c r="S306" s="70">
        <f t="shared" ref="S306:S308" si="235">K306+M306</f>
      </c>
      <c r="T306" s="63">
        <f t="shared" si="12"/>
      </c>
      <c r="U306" s="63">
        <f t="shared" si="8"/>
      </c>
      <c r="V306" s="71">
        <f t="shared" si="20"/>
      </c>
      <c r="W306" s="67">
        <v>1</v>
      </c>
      <c r="X306" s="71">
        <f t="shared" si="16"/>
      </c>
      <c r="Y306" s="71">
        <f t="shared" si="248"/>
      </c>
      <c r="Z306" s="63">
        <f t="shared" si="100"/>
      </c>
      <c r="AA306" s="63">
        <f t="shared" si="2"/>
      </c>
      <c r="AB306" s="63">
        <f t="shared" si="4"/>
      </c>
      <c r="AC306" s="68">
        <f t="shared" si="14"/>
      </c>
      <c r="AD306" s="68">
        <f t="shared" si="10"/>
      </c>
      <c r="AE306" s="68">
        <f t="shared" si="22"/>
      </c>
      <c r="AF306" s="68">
        <f t="shared" si="18"/>
      </c>
      <c r="AG306" s="68">
        <f t="shared" si="102"/>
      </c>
      <c r="AH306" s="68">
        <f t="shared" si="26"/>
      </c>
      <c r="AI306" s="68">
        <f t="shared" si="6"/>
      </c>
      <c r="AJ306" s="67">
        <v>74</v>
      </c>
      <c r="AK306" s="72">
        <v>13319</v>
      </c>
      <c r="AL306" s="72">
        <v>337</v>
      </c>
      <c r="AM306" s="72">
        <v>509</v>
      </c>
      <c r="AN306" s="72">
        <v>65</v>
      </c>
      <c r="AO306" s="73">
        <v>31</v>
      </c>
      <c r="AP306" s="72">
        <v>72</v>
      </c>
      <c r="AQ306" s="41">
        <v>77</v>
      </c>
      <c r="AR306" s="73">
        <v>2</v>
      </c>
      <c r="AS306" s="73">
        <v>3</v>
      </c>
      <c r="AT306" s="67">
        <v>0</v>
      </c>
      <c r="AU306" s="67">
        <v>4</v>
      </c>
      <c r="AV306" s="39"/>
      <c r="AW306" s="40"/>
      <c r="AX306" s="41">
        <f t="shared" ref="AX306:AX308" si="309">COUNT(AU306)</f>
      </c>
    </row>
    <row hidden="true" r="307">
      <c r="A307" s="62"/>
      <c r="B307" s="73" t="s">
        <v>71</v>
      </c>
      <c r="C307" s="41" t="s">
        <v>72</v>
      </c>
      <c r="D307" s="73" t="s">
        <v>85</v>
      </c>
      <c r="E307" s="73" t="s">
        <v>80</v>
      </c>
      <c r="F307" s="63">
        <f t="shared" si="87"/>
      </c>
      <c r="G307" s="81">
        <v>1567.59</v>
      </c>
      <c r="H307" s="81">
        <v>0</v>
      </c>
      <c r="I307" s="64">
        <v>1821.38</v>
      </c>
      <c r="J307" s="64">
        <v>0</v>
      </c>
      <c r="K307" s="64">
        <v>0</v>
      </c>
      <c r="L307" s="65">
        <v>2</v>
      </c>
      <c r="M307" s="65">
        <v>2542.949999999997</v>
      </c>
      <c r="N307" s="67">
        <v>0</v>
      </c>
      <c r="O307" s="68">
        <f t="shared" si="24"/>
      </c>
      <c r="P307" s="67">
        <v>0</v>
      </c>
      <c r="Q307" s="68">
        <f t="shared" si="0"/>
      </c>
      <c r="R307" s="69">
        <f t="shared" si="163"/>
      </c>
      <c r="S307" s="70">
        <f t="shared" si="235"/>
      </c>
      <c r="T307" s="63">
        <f t="shared" si="12"/>
      </c>
      <c r="U307" s="63">
        <f t="shared" si="8"/>
      </c>
      <c r="V307" s="71">
        <f t="shared" si="20"/>
      </c>
      <c r="W307" s="67">
        <v>1</v>
      </c>
      <c r="X307" s="71">
        <f t="shared" si="16"/>
      </c>
      <c r="Y307" s="71">
        <f t="shared" si="248"/>
      </c>
      <c r="Z307" s="63">
        <f t="shared" si="100"/>
      </c>
      <c r="AA307" s="63">
        <f t="shared" si="2"/>
      </c>
      <c r="AB307" s="63">
        <f t="shared" si="4"/>
      </c>
      <c r="AC307" s="68">
        <f t="shared" si="14"/>
      </c>
      <c r="AD307" s="68">
        <f t="shared" si="10"/>
      </c>
      <c r="AE307" s="68">
        <f t="shared" si="22"/>
      </c>
      <c r="AF307" s="68">
        <f t="shared" si="18"/>
      </c>
      <c r="AG307" s="68">
        <f t="shared" si="102"/>
      </c>
      <c r="AH307" s="68">
        <f t="shared" si="26"/>
      </c>
      <c r="AI307" s="68">
        <f t="shared" si="6"/>
      </c>
      <c r="AJ307" s="67">
        <v>74</v>
      </c>
      <c r="AK307" s="67">
        <v>16644</v>
      </c>
      <c r="AL307" s="72">
        <v>469</v>
      </c>
      <c r="AM307" s="72">
        <v>688</v>
      </c>
      <c r="AN307" s="72">
        <v>85</v>
      </c>
      <c r="AO307" s="73">
        <v>34</v>
      </c>
      <c r="AP307" s="67">
        <v>130</v>
      </c>
      <c r="AQ307" s="73">
        <v>105</v>
      </c>
      <c r="AR307" s="73">
        <v>3</v>
      </c>
      <c r="AS307" s="73">
        <v>11</v>
      </c>
      <c r="AT307" s="67">
        <v>1</v>
      </c>
      <c r="AU307" s="67">
        <v>6</v>
      </c>
      <c r="AV307" s="39"/>
      <c r="AW307" s="40"/>
      <c r="AX307" s="41">
        <f t="shared" si="309"/>
      </c>
    </row>
    <row hidden="true" r="308">
      <c r="A308" s="62"/>
      <c r="B308" s="73" t="s">
        <v>71</v>
      </c>
      <c r="C308" s="41" t="s">
        <v>72</v>
      </c>
      <c r="D308" s="73" t="s">
        <v>85</v>
      </c>
      <c r="E308" s="73" t="s">
        <v>81</v>
      </c>
      <c r="F308" s="63">
        <f t="shared" si="87"/>
      </c>
      <c r="G308" s="81">
        <v>886.66</v>
      </c>
      <c r="H308" s="81">
        <v>0</v>
      </c>
      <c r="I308" s="64">
        <v>771.24</v>
      </c>
      <c r="J308" s="65">
        <v>0</v>
      </c>
      <c r="K308" s="65">
        <v>0</v>
      </c>
      <c r="L308" s="64">
        <v>1</v>
      </c>
      <c r="M308" s="64">
        <v>1429.560000000005</v>
      </c>
      <c r="N308" s="67">
        <v>1</v>
      </c>
      <c r="O308" s="68">
        <f t="shared" si="24"/>
      </c>
      <c r="P308" s="67">
        <v>0</v>
      </c>
      <c r="Q308" s="68">
        <f t="shared" si="0"/>
      </c>
      <c r="R308" s="69">
        <f t="shared" si="163"/>
      </c>
      <c r="S308" s="70">
        <f t="shared" si="235"/>
      </c>
      <c r="T308" s="63">
        <f t="shared" si="12"/>
      </c>
      <c r="U308" s="63">
        <f t="shared" si="8"/>
      </c>
      <c r="V308" s="71">
        <f t="shared" si="20"/>
      </c>
      <c r="W308" s="67">
        <v>1</v>
      </c>
      <c r="X308" s="71">
        <f t="shared" si="16"/>
      </c>
      <c r="Y308" s="71">
        <f t="shared" si="248"/>
      </c>
      <c r="Z308" s="63">
        <f t="shared" si="100"/>
      </c>
      <c r="AA308" s="63">
        <f t="shared" si="2"/>
      </c>
      <c r="AB308" s="63">
        <f t="shared" si="4"/>
      </c>
      <c r="AC308" s="68">
        <f t="shared" si="14"/>
      </c>
      <c r="AD308" s="68">
        <f t="shared" si="10"/>
      </c>
      <c r="AE308" s="68">
        <f t="shared" si="22"/>
      </c>
      <c r="AF308" s="68">
        <f t="shared" si="18"/>
      </c>
      <c r="AG308" s="68">
        <f t="shared" si="102"/>
      </c>
      <c r="AH308" s="68">
        <f t="shared" si="26"/>
      </c>
      <c r="AI308" s="68">
        <f t="shared" si="6"/>
      </c>
      <c r="AJ308" s="67">
        <v>77</v>
      </c>
      <c r="AK308" s="72">
        <v>10666</v>
      </c>
      <c r="AL308" s="72">
        <v>300</v>
      </c>
      <c r="AM308" s="72">
        <v>423</v>
      </c>
      <c r="AN308" s="72">
        <v>66</v>
      </c>
      <c r="AO308" s="73">
        <v>19</v>
      </c>
      <c r="AP308" s="72">
        <v>96</v>
      </c>
      <c r="AQ308" s="41">
        <v>85</v>
      </c>
      <c r="AR308" s="73">
        <v>3</v>
      </c>
      <c r="AS308" s="67">
        <v>13</v>
      </c>
      <c r="AT308" s="67">
        <v>4</v>
      </c>
      <c r="AU308" s="67">
        <v>1</v>
      </c>
      <c r="AV308" s="39"/>
      <c r="AW308" s="40"/>
      <c r="AX308" s="41">
        <f t="shared" si="309"/>
      </c>
    </row>
    <row hidden="true" r="309">
      <c r="A309" s="62"/>
      <c r="B309" s="75" t="s">
        <v>66</v>
      </c>
      <c r="C309" s="75"/>
      <c r="D309" s="75"/>
      <c r="E309" s="75"/>
      <c r="F309" s="76">
        <f>SUM(F306:F308)</f>
      </c>
      <c r="G309" s="76">
        <f>SUM(G306:G308)</f>
      </c>
      <c r="H309" s="76">
        <f>SUM(H306:H308)</f>
      </c>
      <c r="I309" s="76">
        <f>SUM(I306:I308)</f>
      </c>
      <c r="J309" s="76">
        <f>SUM(J306:J308)</f>
      </c>
      <c r="K309" s="76">
        <f>SUM(K306:K308)</f>
      </c>
      <c r="L309" s="76">
        <f>SUM(L306:L308)</f>
      </c>
      <c r="M309" s="76">
        <f>SUM(M306:M308)</f>
      </c>
      <c r="N309" s="76">
        <f>SUM(N306:N308)</f>
      </c>
      <c r="O309" s="77">
        <f t="shared" si="24"/>
      </c>
      <c r="P309" s="76">
        <f>SUM(P306:P308)</f>
      </c>
      <c r="Q309" s="77">
        <f t="shared" si="0"/>
      </c>
      <c r="R309" s="76">
        <f>SUM(R306:R308)</f>
      </c>
      <c r="S309" s="76">
        <f>SUM(S306:S308)</f>
      </c>
      <c r="T309" s="76">
        <f t="shared" si="12"/>
      </c>
      <c r="U309" s="76">
        <f t="shared" si="8"/>
      </c>
      <c r="V309" s="79">
        <f t="shared" si="20"/>
      </c>
      <c r="W309" s="76">
        <f>SUM(W306:W308)</f>
      </c>
      <c r="X309" s="79">
        <f t="shared" si="16"/>
      </c>
      <c r="Y309" s="79">
        <f t="shared" si="248"/>
      </c>
      <c r="Z309" s="76">
        <f t="shared" si="100"/>
      </c>
      <c r="AA309" s="76">
        <f t="shared" si="2"/>
      </c>
      <c r="AB309" s="80">
        <f t="shared" si="4"/>
      </c>
      <c r="AC309" s="77">
        <f t="shared" si="14"/>
      </c>
      <c r="AD309" s="77">
        <f t="shared" si="10"/>
      </c>
      <c r="AE309" s="77">
        <f t="shared" si="22"/>
      </c>
      <c r="AF309" s="82">
        <f t="shared" si="18"/>
      </c>
      <c r="AG309" s="77">
        <f t="shared" si="102"/>
      </c>
      <c r="AH309" s="77">
        <f t="shared" si="26"/>
      </c>
      <c r="AI309" s="77">
        <f t="shared" si="6"/>
      </c>
      <c r="AJ309" s="78">
        <f>AVERAGE(AJ306:AJ308)</f>
      </c>
      <c r="AK309" s="76">
        <f>SUM(AK306:AK308)</f>
      </c>
      <c r="AL309" s="76">
        <f>SUM(AL306:AL308)</f>
      </c>
      <c r="AM309" s="76">
        <f>SUM(AM306:AM308)</f>
      </c>
      <c r="AN309" s="76">
        <f>SUM(AN306:AN308)</f>
      </c>
      <c r="AO309" s="76">
        <f>SUM(AO306:AO308)</f>
      </c>
      <c r="AP309" s="76">
        <f>SUM(AP306:AP308)</f>
      </c>
      <c r="AQ309" s="76">
        <f>SUM(AQ306:AQ308)</f>
      </c>
      <c r="AR309" s="76">
        <f>SUM(AR306:AR308)</f>
      </c>
      <c r="AS309" s="76">
        <f>SUM(AS306:AS308)</f>
      </c>
      <c r="AT309" s="76">
        <f>SUM(AT306:AT308)</f>
      </c>
      <c r="AU309" s="76">
        <f>SUM(AU306:AU308)</f>
      </c>
      <c r="AV309" s="76"/>
      <c r="AW309" s="76"/>
      <c r="AX309" s="76">
        <f>SUM(AX306:AX308)</f>
      </c>
    </row>
    <row hidden="true" r="310">
      <c r="A310" s="62"/>
      <c r="B310" s="84" t="s">
        <v>84</v>
      </c>
      <c r="C310" s="84"/>
      <c r="D310" s="84"/>
      <c r="E310" s="84"/>
      <c r="F310" s="85">
        <f>F305+F301+F296+F309</f>
      </c>
      <c r="G310" s="85">
        <f>G305+G301+G296+G309</f>
      </c>
      <c r="H310" s="85">
        <f>H305+H301+H296+H309</f>
      </c>
      <c r="I310" s="85">
        <f>I305+I301+I296+I309</f>
      </c>
      <c r="J310" s="85">
        <f>J305+J301+J296+J309</f>
      </c>
      <c r="K310" s="85">
        <f>K305+K301+K296+K309</f>
      </c>
      <c r="L310" s="85">
        <f>L305+L301+L296+L309</f>
      </c>
      <c r="M310" s="85">
        <f>M305+M301+M296+M309</f>
      </c>
      <c r="N310" s="85">
        <f>N305+N301+N296+N309</f>
      </c>
      <c r="O310" s="86">
        <f t="shared" si="24"/>
      </c>
      <c r="P310" s="85">
        <f>P305+P301+P296+P309</f>
      </c>
      <c r="Q310" s="86">
        <f t="shared" si="0"/>
      </c>
      <c r="R310" s="85">
        <f>R305+R301+R296+R309</f>
      </c>
      <c r="S310" s="85">
        <f>S305+S301+S296+S309</f>
      </c>
      <c r="T310" s="85">
        <f t="shared" si="12"/>
      </c>
      <c r="U310" s="85">
        <f t="shared" si="8"/>
      </c>
      <c r="V310" s="88">
        <f t="shared" si="20"/>
      </c>
      <c r="W310" s="85">
        <f>W305+W301+W296+W309</f>
      </c>
      <c r="X310" s="88">
        <f t="shared" si="16"/>
      </c>
      <c r="Y310" s="88">
        <f t="shared" si="248"/>
      </c>
      <c r="Z310" s="85">
        <f t="shared" si="100"/>
      </c>
      <c r="AA310" s="85">
        <f t="shared" si="2"/>
      </c>
      <c r="AB310" s="89">
        <f t="shared" si="4"/>
      </c>
      <c r="AC310" s="86">
        <f t="shared" si="14"/>
      </c>
      <c r="AD310" s="86">
        <f t="shared" si="10"/>
      </c>
      <c r="AE310" s="86">
        <f t="shared" si="22"/>
      </c>
      <c r="AF310" s="90">
        <f t="shared" si="18"/>
      </c>
      <c r="AG310" s="86">
        <f t="shared" si="102"/>
      </c>
      <c r="AH310" s="86">
        <f t="shared" si="26"/>
      </c>
      <c r="AI310" s="86">
        <f t="shared" si="6"/>
      </c>
      <c r="AJ310" s="87">
        <f>(AJ305+AJ301+AJ296+AJ309)/4</f>
      </c>
      <c r="AK310" s="85">
        <f>AK305+AK301+AK296+AK309</f>
      </c>
      <c r="AL310" s="85">
        <f>AL305+AL301+AL296+AL309</f>
      </c>
      <c r="AM310" s="85">
        <f>AM305+AM301+AM296+AM309</f>
      </c>
      <c r="AN310" s="85">
        <f>AN305+AN301+AN296+AN309</f>
      </c>
      <c r="AO310" s="85">
        <f>AO305+AO301+AO296+AO309</f>
      </c>
      <c r="AP310" s="85">
        <f>AP305+AP301+AP296+AP309</f>
      </c>
      <c r="AQ310" s="85">
        <f>AQ305+AQ301+AQ296+AQ309</f>
      </c>
      <c r="AR310" s="85">
        <f>AR305+AR301+AR296+AR309</f>
      </c>
      <c r="AS310" s="85">
        <f>AS305+AS301+AS296+AS309</f>
      </c>
      <c r="AT310" s="85">
        <f>AT305+AT301+AT296+AT309</f>
      </c>
      <c r="AU310" s="85">
        <f>AU305+AU301+AU296+AU309</f>
      </c>
      <c r="AV310" s="39"/>
      <c r="AW310" s="84">
        <f>AW296+AW301+AW305+AW309</f>
      </c>
      <c r="AX310" s="84">
        <f>AX296+AX301+AX305+AX309</f>
      </c>
    </row>
    <row hidden="true" r="311">
      <c r="A311" s="62">
        <v>46312</v>
      </c>
      <c r="B311" s="73" t="s">
        <v>92</v>
      </c>
      <c r="C311" s="41" t="s">
        <v>60</v>
      </c>
      <c r="D311" s="73" t="s">
        <v>74</v>
      </c>
      <c r="E311" s="28" t="s">
        <v>62</v>
      </c>
      <c r="F311" s="63">
        <f t="shared" ref="F311:F314" si="88">G311+H311+I311</f>
      </c>
      <c r="G311" s="81">
        <v>747.72</v>
      </c>
      <c r="H311" s="81">
        <v>0</v>
      </c>
      <c r="I311" s="64">
        <v>1577.58</v>
      </c>
      <c r="J311" s="65">
        <v>0</v>
      </c>
      <c r="K311" s="92">
        <v>0</v>
      </c>
      <c r="L311" s="65">
        <v>3</v>
      </c>
      <c r="M311" s="65">
        <v>8480.880000000001</v>
      </c>
      <c r="N311" s="67">
        <v>2</v>
      </c>
      <c r="O311" s="68">
        <f t="shared" si="24"/>
      </c>
      <c r="P311" s="67">
        <v>0</v>
      </c>
      <c r="Q311" s="68">
        <f t="shared" si="0"/>
      </c>
      <c r="R311" s="69">
        <f t="shared" ref="R311:R314" si="164">J311+L311</f>
      </c>
      <c r="S311" s="70">
        <f t="shared" ref="S311:S314" si="236">K311+M311</f>
      </c>
      <c r="T311" s="63">
        <f t="shared" si="12"/>
      </c>
      <c r="U311" s="63">
        <f t="shared" si="8"/>
      </c>
      <c r="V311" s="71">
        <f t="shared" si="20"/>
      </c>
      <c r="W311" s="67">
        <v>2</v>
      </c>
      <c r="X311" s="71">
        <f t="shared" si="16"/>
      </c>
      <c r="Y311" s="71">
        <f t="shared" si="248"/>
      </c>
      <c r="Z311" s="63">
        <f t="shared" si="100"/>
      </c>
      <c r="AA311" s="63">
        <f t="shared" si="2"/>
      </c>
      <c r="AB311" s="63">
        <f t="shared" si="4"/>
      </c>
      <c r="AC311" s="68">
        <f t="shared" si="14"/>
      </c>
      <c r="AD311" s="68">
        <f t="shared" si="10"/>
      </c>
      <c r="AE311" s="68">
        <f t="shared" si="22"/>
      </c>
      <c r="AF311" s="68">
        <f t="shared" si="18"/>
      </c>
      <c r="AG311" s="68">
        <f t="shared" si="102"/>
      </c>
      <c r="AH311" s="68">
        <f t="shared" si="26"/>
      </c>
      <c r="AI311" s="68">
        <f t="shared" si="6"/>
      </c>
      <c r="AJ311" s="67">
        <v>89</v>
      </c>
      <c r="AK311" s="72">
        <v>8570</v>
      </c>
      <c r="AL311" s="72">
        <v>212</v>
      </c>
      <c r="AM311" s="72">
        <v>337</v>
      </c>
      <c r="AN311" s="72">
        <v>51</v>
      </c>
      <c r="AO311" s="93">
        <v>18</v>
      </c>
      <c r="AP311" s="26">
        <v>48</v>
      </c>
      <c r="AQ311" s="94">
        <v>66</v>
      </c>
      <c r="AR311" s="73">
        <v>5</v>
      </c>
      <c r="AS311" s="73">
        <v>5</v>
      </c>
      <c r="AT311" s="67">
        <v>1</v>
      </c>
      <c r="AU311" s="67">
        <v>5</v>
      </c>
      <c r="AV311" s="39"/>
      <c r="AW311" s="40"/>
      <c r="AX311" s="41">
        <f t="shared" ref="AX311:AX314" si="310">COUNT(AU311)</f>
      </c>
    </row>
    <row hidden="true" r="312">
      <c r="A312" s="62"/>
      <c r="B312" s="73" t="s">
        <v>92</v>
      </c>
      <c r="C312" s="41" t="s">
        <v>60</v>
      </c>
      <c r="D312" s="73" t="s">
        <v>74</v>
      </c>
      <c r="E312" s="28" t="s">
        <v>63</v>
      </c>
      <c r="F312" s="63">
        <f t="shared" si="88"/>
      </c>
      <c r="G312" s="81">
        <v>829.4</v>
      </c>
      <c r="H312" s="81">
        <v>0</v>
      </c>
      <c r="I312" s="64">
        <v>2076.08</v>
      </c>
      <c r="J312" s="95">
        <v>0</v>
      </c>
      <c r="K312" s="96">
        <v>0</v>
      </c>
      <c r="L312" s="97">
        <v>4</v>
      </c>
      <c r="M312" s="65">
        <v>10307.310000000001</v>
      </c>
      <c r="N312" s="67">
        <v>0</v>
      </c>
      <c r="O312" s="68">
        <f t="shared" si="24"/>
      </c>
      <c r="P312" s="67">
        <v>2</v>
      </c>
      <c r="Q312" s="68">
        <f t="shared" si="0"/>
      </c>
      <c r="R312" s="69">
        <f t="shared" si="164"/>
      </c>
      <c r="S312" s="70">
        <f t="shared" si="236"/>
      </c>
      <c r="T312" s="63">
        <f t="shared" si="12"/>
      </c>
      <c r="U312" s="63">
        <f t="shared" si="8"/>
      </c>
      <c r="V312" s="71">
        <f t="shared" si="20"/>
      </c>
      <c r="W312" s="67">
        <v>3</v>
      </c>
      <c r="X312" s="71">
        <f t="shared" si="16"/>
      </c>
      <c r="Y312" s="71">
        <f t="shared" si="248"/>
      </c>
      <c r="Z312" s="63">
        <f t="shared" si="100"/>
      </c>
      <c r="AA312" s="63">
        <f t="shared" si="2"/>
      </c>
      <c r="AB312" s="63">
        <f t="shared" si="4"/>
      </c>
      <c r="AC312" s="68">
        <f t="shared" si="14"/>
      </c>
      <c r="AD312" s="68">
        <f t="shared" si="10"/>
      </c>
      <c r="AE312" s="68">
        <f t="shared" si="22"/>
      </c>
      <c r="AF312" s="68">
        <f t="shared" si="18"/>
      </c>
      <c r="AG312" s="68">
        <f t="shared" si="102"/>
      </c>
      <c r="AH312" s="68">
        <f t="shared" si="26"/>
      </c>
      <c r="AI312" s="68">
        <f t="shared" si="6"/>
      </c>
      <c r="AJ312" s="67">
        <v>92</v>
      </c>
      <c r="AK312" s="72">
        <v>9699</v>
      </c>
      <c r="AL312" s="72">
        <v>273</v>
      </c>
      <c r="AM312" s="72">
        <v>404</v>
      </c>
      <c r="AN312" s="72">
        <v>52</v>
      </c>
      <c r="AO312" s="73">
        <v>18</v>
      </c>
      <c r="AP312" s="98">
        <v>91</v>
      </c>
      <c r="AQ312" s="73">
        <v>57</v>
      </c>
      <c r="AR312" s="73">
        <v>5</v>
      </c>
      <c r="AS312" s="67">
        <v>9</v>
      </c>
      <c r="AT312" s="67">
        <v>0</v>
      </c>
      <c r="AU312" s="67">
        <v>5</v>
      </c>
      <c r="AV312" s="39"/>
      <c r="AW312" s="40"/>
      <c r="AX312" s="41">
        <f t="shared" si="310"/>
      </c>
    </row>
    <row hidden="true" r="313">
      <c r="A313" s="62"/>
      <c r="B313" s="73" t="s">
        <v>92</v>
      </c>
      <c r="C313" s="41" t="s">
        <v>60</v>
      </c>
      <c r="D313" s="73" t="s">
        <v>74</v>
      </c>
      <c r="E313" s="28" t="s">
        <v>64</v>
      </c>
      <c r="F313" s="63">
        <f t="shared" si="88"/>
      </c>
      <c r="G313" s="99">
        <v>1381.07</v>
      </c>
      <c r="H313" s="81">
        <v>0</v>
      </c>
      <c r="I313" s="64">
        <v>1219.94</v>
      </c>
      <c r="J313" s="64">
        <v>0</v>
      </c>
      <c r="K313" s="100">
        <v>0</v>
      </c>
      <c r="L313" s="64">
        <v>1</v>
      </c>
      <c r="M313" s="64">
        <v>1371.7999999999993</v>
      </c>
      <c r="N313" s="67">
        <v>0</v>
      </c>
      <c r="O313" s="68">
        <f t="shared" si="24"/>
      </c>
      <c r="P313" s="67">
        <v>0</v>
      </c>
      <c r="Q313" s="68">
        <f t="shared" si="0"/>
      </c>
      <c r="R313" s="69">
        <f t="shared" si="164"/>
      </c>
      <c r="S313" s="70">
        <f t="shared" si="236"/>
      </c>
      <c r="T313" s="63">
        <f t="shared" si="12"/>
      </c>
      <c r="U313" s="63">
        <f t="shared" si="8"/>
      </c>
      <c r="V313" s="71">
        <f t="shared" si="20"/>
      </c>
      <c r="W313" s="67">
        <v>1</v>
      </c>
      <c r="X313" s="71">
        <f t="shared" si="16"/>
      </c>
      <c r="Y313" s="71">
        <f t="shared" si="248"/>
      </c>
      <c r="Z313" s="63">
        <f t="shared" si="100"/>
      </c>
      <c r="AA313" s="63">
        <f t="shared" si="2"/>
      </c>
      <c r="AB313" s="63">
        <f t="shared" si="4"/>
      </c>
      <c r="AC313" s="68">
        <f t="shared" si="14"/>
      </c>
      <c r="AD313" s="68">
        <f t="shared" si="10"/>
      </c>
      <c r="AE313" s="68">
        <f t="shared" si="22"/>
      </c>
      <c r="AF313" s="68">
        <f t="shared" si="18"/>
      </c>
      <c r="AG313" s="68">
        <f t="shared" si="102"/>
      </c>
      <c r="AH313" s="68">
        <f t="shared" si="26"/>
      </c>
      <c r="AI313" s="68">
        <f t="shared" si="6"/>
      </c>
      <c r="AJ313" s="67">
        <v>81</v>
      </c>
      <c r="AK313" s="72">
        <v>11135</v>
      </c>
      <c r="AL313" s="72">
        <v>299</v>
      </c>
      <c r="AM313" s="72">
        <v>411</v>
      </c>
      <c r="AN313" s="72">
        <v>49</v>
      </c>
      <c r="AO313" s="73">
        <v>18</v>
      </c>
      <c r="AP313" s="72">
        <v>53</v>
      </c>
      <c r="AQ313" s="41">
        <v>53</v>
      </c>
      <c r="AR313" s="73">
        <v>2</v>
      </c>
      <c r="AS313" s="67">
        <v>3</v>
      </c>
      <c r="AT313" s="67">
        <v>0</v>
      </c>
      <c r="AU313" s="67">
        <v>3</v>
      </c>
      <c r="AV313" s="39"/>
      <c r="AW313" s="40"/>
      <c r="AX313" s="41">
        <f t="shared" si="310"/>
      </c>
    </row>
    <row hidden="true" r="314">
      <c r="A314" s="62"/>
      <c r="B314" s="73" t="s">
        <v>92</v>
      </c>
      <c r="C314" s="41" t="s">
        <v>60</v>
      </c>
      <c r="D314" s="73" t="s">
        <v>74</v>
      </c>
      <c r="E314" s="41" t="s">
        <v>65</v>
      </c>
      <c r="F314" s="101">
        <f t="shared" si="88"/>
      </c>
      <c r="G314" s="30">
        <v>1053.62</v>
      </c>
      <c r="H314" s="102">
        <v>0</v>
      </c>
      <c r="I314" s="65">
        <v>928.95</v>
      </c>
      <c r="J314" s="65">
        <v>0</v>
      </c>
      <c r="K314" s="65">
        <v>0</v>
      </c>
      <c r="L314" s="65">
        <v>2</v>
      </c>
      <c r="M314" s="65">
        <v>8256.45</v>
      </c>
      <c r="N314" s="67">
        <v>0</v>
      </c>
      <c r="O314" s="68">
        <f t="shared" si="24"/>
      </c>
      <c r="P314" s="67">
        <v>0</v>
      </c>
      <c r="Q314" s="68">
        <f t="shared" si="0"/>
      </c>
      <c r="R314" s="69">
        <f t="shared" si="164"/>
      </c>
      <c r="S314" s="70">
        <f t="shared" si="236"/>
      </c>
      <c r="T314" s="63">
        <f t="shared" si="12"/>
      </c>
      <c r="U314" s="63">
        <f t="shared" si="8"/>
      </c>
      <c r="V314" s="71">
        <f t="shared" si="20"/>
      </c>
      <c r="W314" s="67">
        <v>2</v>
      </c>
      <c r="X314" s="71">
        <f t="shared" si="16"/>
      </c>
      <c r="Y314" s="71">
        <f t="shared" si="248"/>
      </c>
      <c r="Z314" s="63">
        <f t="shared" si="100"/>
      </c>
      <c r="AA314" s="63">
        <f t="shared" si="2"/>
      </c>
      <c r="AB314" s="63">
        <f t="shared" si="4"/>
      </c>
      <c r="AC314" s="68">
        <f t="shared" si="14"/>
      </c>
      <c r="AD314" s="68">
        <f t="shared" si="10"/>
      </c>
      <c r="AE314" s="68">
        <f t="shared" si="22"/>
      </c>
      <c r="AF314" s="68">
        <f t="shared" si="18"/>
      </c>
      <c r="AG314" s="68">
        <f t="shared" si="102"/>
      </c>
      <c r="AH314" s="68">
        <f t="shared" si="26"/>
      </c>
      <c r="AI314" s="68">
        <f t="shared" si="6"/>
      </c>
      <c r="AJ314" s="67">
        <v>77</v>
      </c>
      <c r="AK314" s="72">
        <v>9323</v>
      </c>
      <c r="AL314" s="72">
        <v>306</v>
      </c>
      <c r="AM314" s="72">
        <v>405</v>
      </c>
      <c r="AN314" s="72">
        <v>60</v>
      </c>
      <c r="AO314" s="73">
        <v>18</v>
      </c>
      <c r="AP314" s="72">
        <v>88</v>
      </c>
      <c r="AQ314" s="41">
        <v>59</v>
      </c>
      <c r="AR314" s="73">
        <v>3</v>
      </c>
      <c r="AS314" s="67">
        <v>3</v>
      </c>
      <c r="AT314" s="67">
        <v>0</v>
      </c>
      <c r="AU314" s="67">
        <v>5</v>
      </c>
      <c r="AV314" s="39"/>
      <c r="AW314" s="40"/>
      <c r="AX314" s="41">
        <f t="shared" si="310"/>
      </c>
    </row>
    <row hidden="true" r="315">
      <c r="A315" s="62"/>
      <c r="B315" s="75" t="s">
        <v>66</v>
      </c>
      <c r="C315" s="75"/>
      <c r="D315" s="75"/>
      <c r="E315" s="75"/>
      <c r="F315" s="76">
        <f>SUM(F311:F314)</f>
      </c>
      <c r="G315" s="103">
        <f>SUM(G311:G314)</f>
      </c>
      <c r="H315" s="76">
        <f>SUM(H311:H314)</f>
      </c>
      <c r="I315" s="76">
        <f>SUM(I311:I314)</f>
      </c>
      <c r="J315" s="76">
        <f>SUM(J311:J314)</f>
      </c>
      <c r="K315" s="76">
        <f>SUM(K311:K314)</f>
      </c>
      <c r="L315" s="76">
        <f>SUM(L311:L314)</f>
      </c>
      <c r="M315" s="76">
        <f>SUM(M311:M314)</f>
      </c>
      <c r="N315" s="76">
        <f>SUM(N311:N314)</f>
      </c>
      <c r="O315" s="77">
        <f t="shared" si="24"/>
      </c>
      <c r="P315" s="76">
        <f>SUM(P311:P314)</f>
      </c>
      <c r="Q315" s="77">
        <f t="shared" si="0"/>
      </c>
      <c r="R315" s="76">
        <f>SUM(R311:R314)</f>
      </c>
      <c r="S315" s="76">
        <f>SUM(S311:S314)</f>
      </c>
      <c r="T315" s="76">
        <f t="shared" si="12"/>
      </c>
      <c r="U315" s="76">
        <f t="shared" si="8"/>
      </c>
      <c r="V315" s="76">
        <f t="shared" si="20"/>
      </c>
      <c r="W315" s="76">
        <f>SUM(W311:W314)</f>
      </c>
      <c r="X315" s="79">
        <f t="shared" si="16"/>
      </c>
      <c r="Y315" s="79">
        <f t="shared" si="248"/>
      </c>
      <c r="Z315" s="76">
        <f t="shared" si="100"/>
      </c>
      <c r="AA315" s="76">
        <f t="shared" si="2"/>
      </c>
      <c r="AB315" s="80">
        <f t="shared" si="4"/>
      </c>
      <c r="AC315" s="77">
        <f t="shared" si="14"/>
      </c>
      <c r="AD315" s="77">
        <f t="shared" si="10"/>
      </c>
      <c r="AE315" s="77">
        <f t="shared" si="22"/>
      </c>
      <c r="AF315" s="77">
        <f t="shared" si="18"/>
      </c>
      <c r="AG315" s="77">
        <f t="shared" si="102"/>
      </c>
      <c r="AH315" s="77">
        <f t="shared" si="26"/>
      </c>
      <c r="AI315" s="77">
        <f t="shared" si="6"/>
      </c>
      <c r="AJ315" s="78">
        <f>AVERAGE(AJ311:AJ314)</f>
      </c>
      <c r="AK315" s="76">
        <f>SUM(AK311:AK314)</f>
      </c>
      <c r="AL315" s="76">
        <f>SUM(AL311:AL314)</f>
      </c>
      <c r="AM315" s="76">
        <f>SUM(AM311:AM314)</f>
      </c>
      <c r="AN315" s="76">
        <f>SUM(AN311:AN314)</f>
      </c>
      <c r="AO315" s="76">
        <f>SUM(AO311:AO314)</f>
      </c>
      <c r="AP315" s="76">
        <f>SUM(AP311:AP314)</f>
      </c>
      <c r="AQ315" s="76">
        <f>SUM(AQ311:AQ314)</f>
      </c>
      <c r="AR315" s="76">
        <f>SUM(AR311:AR314)</f>
      </c>
      <c r="AS315" s="76">
        <f>SUM(AS311:AS314)</f>
      </c>
      <c r="AT315" s="76">
        <f>SUM(AT311:AT314)</f>
      </c>
      <c r="AU315" s="76">
        <f>SUM(AU311:AU314)</f>
      </c>
      <c r="AV315" s="39"/>
      <c r="AW315" s="48"/>
      <c r="AX315" s="76">
        <f>SUM(AX311:AX314)</f>
      </c>
    </row>
    <row hidden="true" r="316">
      <c r="A316" s="62"/>
      <c r="B316" s="73" t="s">
        <v>92</v>
      </c>
      <c r="C316" s="41" t="s">
        <v>60</v>
      </c>
      <c r="D316" s="73" t="s">
        <v>61</v>
      </c>
      <c r="E316" s="41" t="s">
        <v>68</v>
      </c>
      <c r="F316" s="63">
        <f t="shared" ref="F316:F319" si="89">G316+H316+I316</f>
      </c>
      <c r="G316" s="81">
        <v>750.2</v>
      </c>
      <c r="H316" s="81">
        <v>0</v>
      </c>
      <c r="I316" s="64">
        <v>936.79</v>
      </c>
      <c r="J316" s="64">
        <v>0</v>
      </c>
      <c r="K316" s="64">
        <v>0</v>
      </c>
      <c r="L316" s="64">
        <v>1</v>
      </c>
      <c r="M316" s="64">
        <v>1371.7999999999993</v>
      </c>
      <c r="N316" s="67">
        <v>0</v>
      </c>
      <c r="O316" s="68">
        <f t="shared" si="24"/>
      </c>
      <c r="P316" s="67">
        <v>0</v>
      </c>
      <c r="Q316" s="68">
        <f t="shared" si="0"/>
      </c>
      <c r="R316" s="69">
        <f t="shared" ref="R316:R319" si="165">J316+L316</f>
      </c>
      <c r="S316" s="70">
        <f t="shared" ref="S316:S319" si="237">K316+M316</f>
      </c>
      <c r="T316" s="63">
        <f t="shared" si="12"/>
      </c>
      <c r="U316" s="63">
        <f t="shared" si="8"/>
      </c>
      <c r="V316" s="71">
        <f t="shared" si="20"/>
      </c>
      <c r="W316" s="67">
        <v>1</v>
      </c>
      <c r="X316" s="71">
        <f t="shared" si="16"/>
      </c>
      <c r="Y316" s="71">
        <f t="shared" si="248"/>
      </c>
      <c r="Z316" s="63">
        <f t="shared" si="100"/>
      </c>
      <c r="AA316" s="63">
        <f t="shared" si="2"/>
      </c>
      <c r="AB316" s="63">
        <f t="shared" si="4"/>
      </c>
      <c r="AC316" s="68">
        <f t="shared" si="14"/>
      </c>
      <c r="AD316" s="68">
        <f t="shared" si="10"/>
      </c>
      <c r="AE316" s="68">
        <f t="shared" si="22"/>
      </c>
      <c r="AF316" s="68">
        <f t="shared" si="18"/>
      </c>
      <c r="AG316" s="68">
        <f t="shared" si="102"/>
      </c>
      <c r="AH316" s="68">
        <f t="shared" si="26"/>
      </c>
      <c r="AI316" s="68">
        <f t="shared" si="6"/>
      </c>
      <c r="AJ316" s="67">
        <v>74</v>
      </c>
      <c r="AK316" s="72">
        <v>7076</v>
      </c>
      <c r="AL316" s="72">
        <v>224</v>
      </c>
      <c r="AM316" s="72">
        <v>368</v>
      </c>
      <c r="AN316" s="72">
        <v>51</v>
      </c>
      <c r="AO316" s="73">
        <v>23</v>
      </c>
      <c r="AP316" s="72">
        <v>66</v>
      </c>
      <c r="AQ316" s="41">
        <v>55</v>
      </c>
      <c r="AR316" s="73">
        <v>2</v>
      </c>
      <c r="AS316" s="73">
        <v>3</v>
      </c>
      <c r="AT316" s="67">
        <v>0</v>
      </c>
      <c r="AU316" s="67">
        <v>0</v>
      </c>
      <c r="AV316" s="39"/>
      <c r="AW316" s="40"/>
      <c r="AX316" s="41">
        <f t="shared" ref="AX316:AX319" si="311">COUNT(AU316)</f>
      </c>
    </row>
    <row hidden="true" r="317">
      <c r="A317" s="62"/>
      <c r="B317" s="73" t="s">
        <v>92</v>
      </c>
      <c r="C317" s="41" t="s">
        <v>60</v>
      </c>
      <c r="D317" s="73" t="s">
        <v>61</v>
      </c>
      <c r="E317" s="41" t="s">
        <v>69</v>
      </c>
      <c r="F317" s="63">
        <f t="shared" si="89"/>
      </c>
      <c r="G317" s="81">
        <v>672.78</v>
      </c>
      <c r="H317" s="81">
        <v>0</v>
      </c>
      <c r="I317" s="64">
        <v>650.05</v>
      </c>
      <c r="J317" s="64">
        <v>0</v>
      </c>
      <c r="K317" s="64">
        <v>0</v>
      </c>
      <c r="L317" s="64">
        <v>1</v>
      </c>
      <c r="M317" s="64">
        <v>977.2700000000004</v>
      </c>
      <c r="N317" s="67">
        <v>1</v>
      </c>
      <c r="O317" s="68">
        <f t="shared" si="24"/>
      </c>
      <c r="P317" s="67">
        <v>0</v>
      </c>
      <c r="Q317" s="68">
        <f t="shared" si="0"/>
      </c>
      <c r="R317" s="69">
        <f t="shared" si="165"/>
      </c>
      <c r="S317" s="70">
        <f t="shared" si="237"/>
      </c>
      <c r="T317" s="63">
        <f t="shared" si="12"/>
      </c>
      <c r="U317" s="63">
        <f t="shared" si="8"/>
      </c>
      <c r="V317" s="71">
        <f t="shared" si="20"/>
      </c>
      <c r="W317" s="67">
        <v>1</v>
      </c>
      <c r="X317" s="71">
        <f t="shared" si="16"/>
      </c>
      <c r="Y317" s="71">
        <f t="shared" si="248"/>
      </c>
      <c r="Z317" s="63">
        <f t="shared" si="100"/>
      </c>
      <c r="AA317" s="63">
        <f t="shared" si="2"/>
      </c>
      <c r="AB317" s="63">
        <f t="shared" si="4"/>
      </c>
      <c r="AC317" s="68">
        <f t="shared" si="14"/>
      </c>
      <c r="AD317" s="68">
        <f t="shared" si="10"/>
      </c>
      <c r="AE317" s="68">
        <f t="shared" si="22"/>
      </c>
      <c r="AF317" s="68">
        <f t="shared" si="18"/>
      </c>
      <c r="AG317" s="68">
        <f t="shared" si="102"/>
      </c>
      <c r="AH317" s="68">
        <f t="shared" si="26"/>
      </c>
      <c r="AI317" s="68">
        <f t="shared" si="6"/>
      </c>
      <c r="AJ317" s="67">
        <v>76</v>
      </c>
      <c r="AK317" s="72">
        <v>5874</v>
      </c>
      <c r="AL317" s="72">
        <v>195</v>
      </c>
      <c r="AM317" s="72">
        <v>321</v>
      </c>
      <c r="AN317" s="72">
        <v>45</v>
      </c>
      <c r="AO317" s="73">
        <v>16</v>
      </c>
      <c r="AP317" s="72">
        <v>59</v>
      </c>
      <c r="AQ317" s="41">
        <v>49</v>
      </c>
      <c r="AR317" s="73">
        <v>2</v>
      </c>
      <c r="AS317" s="73">
        <v>1</v>
      </c>
      <c r="AT317" s="67">
        <v>0</v>
      </c>
      <c r="AU317" s="67">
        <v>1</v>
      </c>
      <c r="AV317" s="39"/>
      <c r="AW317" s="40"/>
      <c r="AX317" s="41">
        <f t="shared" si="311"/>
      </c>
    </row>
    <row hidden="true" r="318">
      <c r="A318" s="62"/>
      <c r="B318" s="73" t="s">
        <v>92</v>
      </c>
      <c r="C318" s="41" t="s">
        <v>60</v>
      </c>
      <c r="D318" s="73" t="s">
        <v>61</v>
      </c>
      <c r="E318" s="41" t="s">
        <v>70</v>
      </c>
      <c r="F318" s="63">
        <f t="shared" si="89"/>
      </c>
      <c r="G318" s="81">
        <v>652.45</v>
      </c>
      <c r="H318" s="81">
        <v>0</v>
      </c>
      <c r="I318" s="64">
        <v>1604.81</v>
      </c>
      <c r="J318" s="64">
        <v>0</v>
      </c>
      <c r="K318" s="64">
        <v>0</v>
      </c>
      <c r="L318" s="64">
        <v>2</v>
      </c>
      <c r="M318" s="64">
        <v>4271.590000000004</v>
      </c>
      <c r="N318" s="67">
        <v>2</v>
      </c>
      <c r="O318" s="68">
        <f t="shared" si="24"/>
      </c>
      <c r="P318" s="67">
        <v>0</v>
      </c>
      <c r="Q318" s="68">
        <f t="shared" si="0"/>
      </c>
      <c r="R318" s="69">
        <f t="shared" si="165"/>
      </c>
      <c r="S318" s="70">
        <f t="shared" si="237"/>
      </c>
      <c r="T318" s="63">
        <f t="shared" si="12"/>
      </c>
      <c r="U318" s="63">
        <f t="shared" si="8"/>
      </c>
      <c r="V318" s="71">
        <f t="shared" si="20"/>
      </c>
      <c r="W318" s="67">
        <v>2</v>
      </c>
      <c r="X318" s="71">
        <f t="shared" si="16"/>
      </c>
      <c r="Y318" s="71">
        <f t="shared" si="248"/>
      </c>
      <c r="Z318" s="63">
        <f t="shared" si="100"/>
      </c>
      <c r="AA318" s="63">
        <f t="shared" si="2"/>
      </c>
      <c r="AB318" s="63">
        <f t="shared" si="4"/>
      </c>
      <c r="AC318" s="68">
        <f t="shared" si="14"/>
      </c>
      <c r="AD318" s="68">
        <f t="shared" si="10"/>
      </c>
      <c r="AE318" s="68">
        <f t="shared" si="22"/>
      </c>
      <c r="AF318" s="68">
        <f t="shared" si="18"/>
      </c>
      <c r="AG318" s="68">
        <f t="shared" si="102"/>
      </c>
      <c r="AH318" s="68">
        <f t="shared" si="26"/>
      </c>
      <c r="AI318" s="68">
        <f t="shared" si="6"/>
      </c>
      <c r="AJ318" s="67">
        <v>79</v>
      </c>
      <c r="AK318" s="72">
        <v>7776</v>
      </c>
      <c r="AL318" s="72">
        <v>207</v>
      </c>
      <c r="AM318" s="72">
        <v>324</v>
      </c>
      <c r="AN318" s="72">
        <v>65</v>
      </c>
      <c r="AO318" s="73">
        <v>21</v>
      </c>
      <c r="AP318" s="72">
        <v>56</v>
      </c>
      <c r="AQ318" s="73">
        <v>57</v>
      </c>
      <c r="AR318" s="73">
        <v>3</v>
      </c>
      <c r="AS318" s="67">
        <v>2</v>
      </c>
      <c r="AT318" s="67">
        <v>2</v>
      </c>
      <c r="AU318" s="67">
        <v>2</v>
      </c>
      <c r="AV318" s="39"/>
      <c r="AW318" s="40"/>
      <c r="AX318" s="41">
        <f t="shared" si="311"/>
      </c>
    </row>
    <row hidden="true" r="319">
      <c r="A319" s="62"/>
      <c r="B319" s="73" t="s">
        <v>71</v>
      </c>
      <c r="C319" s="41" t="s">
        <v>72</v>
      </c>
      <c r="D319" s="73" t="s">
        <v>61</v>
      </c>
      <c r="E319" s="41" t="s">
        <v>73</v>
      </c>
      <c r="F319" s="63">
        <f t="shared" si="89"/>
      </c>
      <c r="G319" s="81">
        <v>656.05</v>
      </c>
      <c r="H319" s="81">
        <v>0</v>
      </c>
      <c r="I319" s="64">
        <v>2658.99</v>
      </c>
      <c r="J319" s="65">
        <v>0</v>
      </c>
      <c r="K319" s="65">
        <v>0</v>
      </c>
      <c r="L319" s="65">
        <v>2</v>
      </c>
      <c r="M319" s="65">
        <v>4915.279999999999</v>
      </c>
      <c r="N319" s="67">
        <v>2</v>
      </c>
      <c r="O319" s="68">
        <f t="shared" si="24"/>
      </c>
      <c r="P319" s="67">
        <v>0</v>
      </c>
      <c r="Q319" s="68">
        <f t="shared" si="0"/>
      </c>
      <c r="R319" s="69">
        <f t="shared" si="165"/>
      </c>
      <c r="S319" s="70">
        <f t="shared" si="237"/>
      </c>
      <c r="T319" s="63">
        <f t="shared" si="12"/>
      </c>
      <c r="U319" s="63">
        <f t="shared" si="8"/>
      </c>
      <c r="V319" s="71">
        <f t="shared" si="20"/>
      </c>
      <c r="W319" s="67">
        <v>2</v>
      </c>
      <c r="X319" s="71">
        <f t="shared" si="16"/>
      </c>
      <c r="Y319" s="71">
        <f t="shared" si="248"/>
      </c>
      <c r="Z319" s="63">
        <f t="shared" si="100"/>
      </c>
      <c r="AA319" s="63">
        <f t="shared" si="2"/>
      </c>
      <c r="AB319" s="63">
        <f t="shared" si="4"/>
      </c>
      <c r="AC319" s="68">
        <f t="shared" si="14"/>
      </c>
      <c r="AD319" s="68">
        <f t="shared" si="10"/>
      </c>
      <c r="AE319" s="68">
        <f t="shared" si="22"/>
      </c>
      <c r="AF319" s="68">
        <f t="shared" si="18"/>
      </c>
      <c r="AG319" s="68">
        <f t="shared" si="102"/>
      </c>
      <c r="AH319" s="68">
        <f t="shared" si="26"/>
      </c>
      <c r="AI319" s="68">
        <f t="shared" si="6"/>
      </c>
      <c r="AJ319" s="67">
        <v>79</v>
      </c>
      <c r="AK319" s="72">
        <v>12334</v>
      </c>
      <c r="AL319" s="72">
        <v>246</v>
      </c>
      <c r="AM319" s="67">
        <v>406</v>
      </c>
      <c r="AN319" s="67">
        <v>68</v>
      </c>
      <c r="AO319" s="73">
        <v>20</v>
      </c>
      <c r="AP319" s="67">
        <v>84</v>
      </c>
      <c r="AQ319" s="73">
        <v>70</v>
      </c>
      <c r="AR319" s="73">
        <v>2</v>
      </c>
      <c r="AS319" s="67">
        <v>5</v>
      </c>
      <c r="AT319" s="67">
        <v>0</v>
      </c>
      <c r="AU319" s="67">
        <v>6</v>
      </c>
      <c r="AV319" s="39"/>
      <c r="AW319" s="40"/>
      <c r="AX319" s="41">
        <f t="shared" si="311"/>
      </c>
    </row>
    <row hidden="true" r="320">
      <c r="A320" s="62"/>
      <c r="B320" s="75" t="s">
        <v>66</v>
      </c>
      <c r="C320" s="75"/>
      <c r="D320" s="75"/>
      <c r="E320" s="75"/>
      <c r="F320" s="76">
        <f>SUM(F316:F319)</f>
      </c>
      <c r="G320" s="76">
        <f>SUM(G316:G319)</f>
      </c>
      <c r="H320" s="76">
        <f>SUM(H316:H319)</f>
      </c>
      <c r="I320" s="76">
        <f>SUM(I316:I319)</f>
      </c>
      <c r="J320" s="76">
        <f>SUM(J316:J319)</f>
      </c>
      <c r="K320" s="76">
        <f>SUM(K316:K319)</f>
      </c>
      <c r="L320" s="76">
        <f>SUM(L316:L319)</f>
      </c>
      <c r="M320" s="76">
        <f>SUM(M316:M319)</f>
      </c>
      <c r="N320" s="76">
        <f>SUM(N316:N319)</f>
      </c>
      <c r="O320" s="77">
        <f t="shared" si="24"/>
      </c>
      <c r="P320" s="76">
        <f>SUM(P316:P319)</f>
      </c>
      <c r="Q320" s="77">
        <f t="shared" si="0"/>
      </c>
      <c r="R320" s="91">
        <f>SUM(R316:R319)</f>
      </c>
      <c r="S320" s="76">
        <f>SUM(S316:S319)</f>
      </c>
      <c r="T320" s="76">
        <f t="shared" si="12"/>
      </c>
      <c r="U320" s="76">
        <f t="shared" si="8"/>
      </c>
      <c r="V320" s="79">
        <f t="shared" si="20"/>
      </c>
      <c r="W320" s="76">
        <f>SUM(W316:W319)</f>
      </c>
      <c r="X320" s="79">
        <f t="shared" si="16"/>
      </c>
      <c r="Y320" s="79">
        <f t="shared" si="248"/>
      </c>
      <c r="Z320" s="76">
        <f t="shared" si="100"/>
      </c>
      <c r="AA320" s="76">
        <f t="shared" si="2"/>
      </c>
      <c r="AB320" s="80">
        <f t="shared" si="4"/>
      </c>
      <c r="AC320" s="77">
        <f t="shared" si="14"/>
      </c>
      <c r="AD320" s="77">
        <f t="shared" si="10"/>
      </c>
      <c r="AE320" s="77">
        <f t="shared" si="22"/>
      </c>
      <c r="AF320" s="82">
        <f t="shared" si="18"/>
      </c>
      <c r="AG320" s="77">
        <f t="shared" si="102"/>
      </c>
      <c r="AH320" s="77">
        <f t="shared" si="26"/>
      </c>
      <c r="AI320" s="77">
        <f t="shared" si="6"/>
      </c>
      <c r="AJ320" s="78">
        <f>AVERAGE(AJ316:AJ319)</f>
      </c>
      <c r="AK320" s="76">
        <f>SUM(AK316:AK319)</f>
      </c>
      <c r="AL320" s="76">
        <f>SUM(AL316:AL319)</f>
      </c>
      <c r="AM320" s="76">
        <f>SUM(AM316:AM319)</f>
      </c>
      <c r="AN320" s="76">
        <f>SUM(AN316:AN319)</f>
      </c>
      <c r="AO320" s="76">
        <f>SUM(AO316:AO319)</f>
      </c>
      <c r="AP320" s="76">
        <f>SUM(AP316:AP319)</f>
      </c>
      <c r="AQ320" s="76">
        <f>SUM(AQ316:AQ319)</f>
      </c>
      <c r="AR320" s="76">
        <f>SUM(AR316:AR319)</f>
      </c>
      <c r="AS320" s="76">
        <f>SUM(AS316:AS319)</f>
      </c>
      <c r="AT320" s="76">
        <f>SUM(AT316:AT319)</f>
      </c>
      <c r="AU320" s="76">
        <f>SUM(AU316:AU319)</f>
      </c>
      <c r="AV320" s="39"/>
      <c r="AW320" s="48"/>
      <c r="AX320" s="49">
        <f>SUM(AX316:AX319)</f>
      </c>
    </row>
    <row hidden="true" r="321">
      <c r="A321" s="62"/>
      <c r="B321" s="73" t="s">
        <v>71</v>
      </c>
      <c r="C321" s="41" t="s">
        <v>72</v>
      </c>
      <c r="D321" s="73" t="s">
        <v>79</v>
      </c>
      <c r="E321" s="41" t="s">
        <v>75</v>
      </c>
      <c r="F321" s="63">
        <f t="shared" ref="F321:F323" si="90">G321+H321+I321</f>
      </c>
      <c r="G321" s="81">
        <v>545.38</v>
      </c>
      <c r="H321" s="81">
        <v>0</v>
      </c>
      <c r="I321" s="64">
        <v>2686.89</v>
      </c>
      <c r="J321" s="65">
        <v>1</v>
      </c>
      <c r="K321" s="65">
        <v>1221.7</v>
      </c>
      <c r="L321" s="65">
        <v>2</v>
      </c>
      <c r="M321" s="65">
        <v>2195.1699999999983</v>
      </c>
      <c r="N321" s="67">
        <v>1</v>
      </c>
      <c r="O321" s="68">
        <f t="shared" si="24"/>
      </c>
      <c r="P321" s="67">
        <v>0</v>
      </c>
      <c r="Q321" s="68">
        <f t="shared" si="0"/>
      </c>
      <c r="R321" s="69">
        <f t="shared" ref="R321:R323" si="166">J321+L321</f>
      </c>
      <c r="S321" s="70">
        <f t="shared" ref="S321:S323" si="238">K321+M321</f>
      </c>
      <c r="T321" s="63">
        <f t="shared" si="12"/>
      </c>
      <c r="U321" s="63">
        <f t="shared" si="8"/>
      </c>
      <c r="V321" s="71">
        <f t="shared" si="20"/>
      </c>
      <c r="W321" s="67">
        <v>2</v>
      </c>
      <c r="X321" s="71">
        <f t="shared" si="16"/>
      </c>
      <c r="Y321" s="71">
        <f t="shared" si="248"/>
      </c>
      <c r="Z321" s="63">
        <f t="shared" si="100"/>
      </c>
      <c r="AA321" s="63">
        <f t="shared" si="2"/>
      </c>
      <c r="AB321" s="63">
        <f t="shared" si="4"/>
      </c>
      <c r="AC321" s="68">
        <f t="shared" si="14"/>
      </c>
      <c r="AD321" s="68">
        <f t="shared" si="10"/>
      </c>
      <c r="AE321" s="68">
        <f t="shared" si="22"/>
      </c>
      <c r="AF321" s="68">
        <f t="shared" si="18"/>
      </c>
      <c r="AG321" s="68">
        <f t="shared" si="102"/>
      </c>
      <c r="AH321" s="68">
        <f t="shared" si="26"/>
      </c>
      <c r="AI321" s="68">
        <f t="shared" si="6"/>
      </c>
      <c r="AJ321" s="67">
        <v>81</v>
      </c>
      <c r="AK321" s="72">
        <v>13160</v>
      </c>
      <c r="AL321" s="72">
        <v>280</v>
      </c>
      <c r="AM321" s="72">
        <v>406</v>
      </c>
      <c r="AN321" s="72">
        <v>75</v>
      </c>
      <c r="AO321" s="73">
        <v>29</v>
      </c>
      <c r="AP321" s="72">
        <v>74</v>
      </c>
      <c r="AQ321" s="41">
        <v>79</v>
      </c>
      <c r="AR321" s="73">
        <v>4</v>
      </c>
      <c r="AS321" s="73">
        <v>4</v>
      </c>
      <c r="AT321" s="67">
        <v>0</v>
      </c>
      <c r="AU321" s="67">
        <v>13</v>
      </c>
      <c r="AV321" s="39"/>
      <c r="AW321" s="40"/>
      <c r="AX321" s="41">
        <f t="shared" ref="AX321:AX323" si="312">COUNT(AU321)</f>
      </c>
    </row>
    <row hidden="true" r="322">
      <c r="A322" s="62"/>
      <c r="B322" s="73" t="s">
        <v>71</v>
      </c>
      <c r="C322" s="41" t="s">
        <v>72</v>
      </c>
      <c r="D322" s="73" t="s">
        <v>79</v>
      </c>
      <c r="E322" s="41" t="s">
        <v>76</v>
      </c>
      <c r="F322" s="63">
        <f t="shared" si="90"/>
      </c>
      <c r="G322" s="81">
        <v>376.16</v>
      </c>
      <c r="H322" s="81">
        <v>0</v>
      </c>
      <c r="I322" s="64">
        <v>1562.73</v>
      </c>
      <c r="J322" s="64">
        <v>1</v>
      </c>
      <c r="K322" s="64">
        <v>2086.2</v>
      </c>
      <c r="L322" s="65">
        <v>1</v>
      </c>
      <c r="M322" s="65">
        <v>1429.5599999999977</v>
      </c>
      <c r="N322" s="67">
        <v>1</v>
      </c>
      <c r="O322" s="68">
        <f t="shared" si="24"/>
      </c>
      <c r="P322" s="67">
        <v>0</v>
      </c>
      <c r="Q322" s="68">
        <f t="shared" si="0"/>
      </c>
      <c r="R322" s="69">
        <f t="shared" si="166"/>
      </c>
      <c r="S322" s="70">
        <f t="shared" si="238"/>
      </c>
      <c r="T322" s="63">
        <f t="shared" si="12"/>
      </c>
      <c r="U322" s="63">
        <f t="shared" si="8"/>
      </c>
      <c r="V322" s="71">
        <f t="shared" si="20"/>
      </c>
      <c r="W322" s="67">
        <v>1</v>
      </c>
      <c r="X322" s="71">
        <f t="shared" si="16"/>
      </c>
      <c r="Y322" s="71">
        <f t="shared" si="248"/>
      </c>
      <c r="Z322" s="63">
        <f t="shared" si="100"/>
      </c>
      <c r="AA322" s="63">
        <f t="shared" si="2"/>
      </c>
      <c r="AB322" s="63">
        <f t="shared" si="4"/>
      </c>
      <c r="AC322" s="68">
        <f t="shared" si="14"/>
      </c>
      <c r="AD322" s="68">
        <f t="shared" si="10"/>
      </c>
      <c r="AE322" s="68">
        <f t="shared" si="22"/>
      </c>
      <c r="AF322" s="68">
        <f t="shared" si="18"/>
      </c>
      <c r="AG322" s="68">
        <f t="shared" si="102"/>
      </c>
      <c r="AH322" s="68">
        <f t="shared" si="26"/>
      </c>
      <c r="AI322" s="68">
        <f t="shared" si="6"/>
      </c>
      <c r="AJ322" s="67">
        <v>82</v>
      </c>
      <c r="AK322" s="67">
        <v>9046</v>
      </c>
      <c r="AL322" s="72">
        <v>188</v>
      </c>
      <c r="AM322" s="72">
        <v>316</v>
      </c>
      <c r="AN322" s="72">
        <v>49</v>
      </c>
      <c r="AO322" s="73">
        <v>19</v>
      </c>
      <c r="AP322" s="67">
        <v>63</v>
      </c>
      <c r="AQ322" s="73">
        <v>54</v>
      </c>
      <c r="AR322" s="73">
        <v>2</v>
      </c>
      <c r="AS322" s="73">
        <v>4</v>
      </c>
      <c r="AT322" s="67">
        <v>1</v>
      </c>
      <c r="AU322" s="67">
        <v>6</v>
      </c>
      <c r="AV322" s="39"/>
      <c r="AW322" s="40"/>
      <c r="AX322" s="41">
        <f t="shared" si="312"/>
      </c>
    </row>
    <row hidden="true" r="323">
      <c r="A323" s="62"/>
      <c r="B323" s="73" t="s">
        <v>71</v>
      </c>
      <c r="C323" s="41" t="s">
        <v>72</v>
      </c>
      <c r="D323" s="73" t="s">
        <v>79</v>
      </c>
      <c r="E323" s="41" t="s">
        <v>77</v>
      </c>
      <c r="F323" s="63">
        <f t="shared" si="90"/>
      </c>
      <c r="G323" s="81">
        <v>799.75</v>
      </c>
      <c r="H323" s="81">
        <v>0</v>
      </c>
      <c r="I323" s="64">
        <v>1784.07</v>
      </c>
      <c r="J323" s="65">
        <v>1</v>
      </c>
      <c r="K323" s="65">
        <v>843.0299999999997</v>
      </c>
      <c r="L323" s="64">
        <v>3</v>
      </c>
      <c r="M323" s="64">
        <v>9241.120000000003</v>
      </c>
      <c r="N323" s="67">
        <v>2</v>
      </c>
      <c r="O323" s="68">
        <f t="shared" si="24"/>
      </c>
      <c r="P323" s="67">
        <v>1</v>
      </c>
      <c r="Q323" s="68">
        <f t="shared" si="0"/>
      </c>
      <c r="R323" s="69">
        <f t="shared" si="166"/>
      </c>
      <c r="S323" s="70">
        <f t="shared" si="238"/>
      </c>
      <c r="T323" s="63">
        <f t="shared" si="12"/>
      </c>
      <c r="U323" s="63">
        <f t="shared" si="8"/>
      </c>
      <c r="V323" s="71">
        <f t="shared" si="20"/>
      </c>
      <c r="W323" s="67">
        <v>3</v>
      </c>
      <c r="X323" s="71">
        <f t="shared" si="16"/>
      </c>
      <c r="Y323" s="71">
        <f t="shared" si="248"/>
      </c>
      <c r="Z323" s="63">
        <f t="shared" si="100"/>
      </c>
      <c r="AA323" s="63">
        <f t="shared" si="2"/>
      </c>
      <c r="AB323" s="63">
        <f t="shared" si="4"/>
      </c>
      <c r="AC323" s="68">
        <f t="shared" si="14"/>
      </c>
      <c r="AD323" s="68">
        <f t="shared" si="10"/>
      </c>
      <c r="AE323" s="68">
        <f t="shared" si="22"/>
      </c>
      <c r="AF323" s="68">
        <f t="shared" si="18"/>
      </c>
      <c r="AG323" s="68">
        <f t="shared" si="102"/>
      </c>
      <c r="AH323" s="68">
        <f t="shared" si="26"/>
      </c>
      <c r="AI323" s="68">
        <f t="shared" si="6"/>
      </c>
      <c r="AJ323" s="67">
        <v>54</v>
      </c>
      <c r="AK323" s="72">
        <v>12616</v>
      </c>
      <c r="AL323" s="72">
        <v>306</v>
      </c>
      <c r="AM323" s="72">
        <v>457</v>
      </c>
      <c r="AN323" s="72">
        <v>51</v>
      </c>
      <c r="AO323" s="73">
        <v>18</v>
      </c>
      <c r="AP323" s="72">
        <v>103</v>
      </c>
      <c r="AQ323" s="41">
        <v>61</v>
      </c>
      <c r="AR323" s="73">
        <v>4</v>
      </c>
      <c r="AS323" s="67">
        <v>4</v>
      </c>
      <c r="AT323" s="67">
        <v>0</v>
      </c>
      <c r="AU323" s="67">
        <v>2</v>
      </c>
      <c r="AV323" s="39"/>
      <c r="AW323" s="40"/>
      <c r="AX323" s="41">
        <f t="shared" si="312"/>
      </c>
    </row>
    <row hidden="true" r="324">
      <c r="A324" s="62"/>
      <c r="B324" s="75" t="s">
        <v>66</v>
      </c>
      <c r="C324" s="75"/>
      <c r="D324" s="75"/>
      <c r="E324" s="75"/>
      <c r="F324" s="76">
        <f>SUM(F321:F323)</f>
      </c>
      <c r="G324" s="76">
        <f>SUM(G321:G323)</f>
      </c>
      <c r="H324" s="76">
        <f>SUM(H321:H323)</f>
      </c>
      <c r="I324" s="76">
        <f>SUM(I321:I323)</f>
      </c>
      <c r="J324" s="76">
        <f>SUM(J321:J323)</f>
      </c>
      <c r="K324" s="76">
        <f>SUM(K321:K323)</f>
      </c>
      <c r="L324" s="76">
        <f>SUM(L321:L323)</f>
      </c>
      <c r="M324" s="76">
        <f>SUM(M321:M323)</f>
      </c>
      <c r="N324" s="76">
        <f>SUM(N321:N323)</f>
      </c>
      <c r="O324" s="77">
        <f t="shared" si="24"/>
      </c>
      <c r="P324" s="76">
        <f>SUM(P321:P323)</f>
      </c>
      <c r="Q324" s="77">
        <f t="shared" si="0"/>
      </c>
      <c r="R324" s="78">
        <f>SUM(R321:R323)</f>
      </c>
      <c r="S324" s="76">
        <f>SUM(S321:S323)</f>
      </c>
      <c r="T324" s="76">
        <f t="shared" si="12"/>
      </c>
      <c r="U324" s="76">
        <f t="shared" si="8"/>
      </c>
      <c r="V324" s="79">
        <f t="shared" si="20"/>
      </c>
      <c r="W324" s="76">
        <f>SUM(W321:W323)</f>
      </c>
      <c r="X324" s="79">
        <f t="shared" si="16"/>
      </c>
      <c r="Y324" s="79">
        <f t="shared" si="248"/>
      </c>
      <c r="Z324" s="76">
        <f t="shared" si="100"/>
      </c>
      <c r="AA324" s="76">
        <f t="shared" si="2"/>
      </c>
      <c r="AB324" s="80">
        <f t="shared" si="4"/>
      </c>
      <c r="AC324" s="77">
        <f t="shared" si="14"/>
      </c>
      <c r="AD324" s="77">
        <f t="shared" si="10"/>
      </c>
      <c r="AE324" s="77">
        <f t="shared" si="22"/>
      </c>
      <c r="AF324" s="82">
        <f t="shared" si="18"/>
      </c>
      <c r="AG324" s="77">
        <f t="shared" si="102"/>
      </c>
      <c r="AH324" s="77">
        <f t="shared" si="26"/>
      </c>
      <c r="AI324" s="77">
        <f t="shared" si="6"/>
      </c>
      <c r="AJ324" s="78">
        <f>AVERAGE(AJ321:AJ323)</f>
      </c>
      <c r="AK324" s="76">
        <f>SUM(AK321:AK323)</f>
      </c>
      <c r="AL324" s="76">
        <f>SUM(AL321:AL323)</f>
      </c>
      <c r="AM324" s="76">
        <f>SUM(AM321:AM323)</f>
      </c>
      <c r="AN324" s="76">
        <f>SUM(AN321:AN323)</f>
      </c>
      <c r="AO324" s="76">
        <f>SUM(AO321:AO323)</f>
      </c>
      <c r="AP324" s="76">
        <f>SUM(AP321:AP323)</f>
      </c>
      <c r="AQ324" s="76">
        <f>SUM(AQ321:AQ323)</f>
      </c>
      <c r="AR324" s="76">
        <f>SUM(AR321:AR323)</f>
      </c>
      <c r="AS324" s="76">
        <f>SUM(AS321:AS323)</f>
      </c>
      <c r="AT324" s="76">
        <f>SUM(AT321:AT323)</f>
      </c>
      <c r="AU324" s="76">
        <f>SUM(AU321:AU323)</f>
      </c>
      <c r="AV324" s="39"/>
      <c r="AW324" s="48"/>
      <c r="AX324" s="49">
        <f>SUM(AX321:AX323)</f>
      </c>
    </row>
    <row hidden="true" r="325">
      <c r="A325" s="62"/>
      <c r="B325" s="73" t="s">
        <v>71</v>
      </c>
      <c r="C325" s="41" t="s">
        <v>72</v>
      </c>
      <c r="D325" s="73" t="s">
        <v>67</v>
      </c>
      <c r="E325" s="73" t="s">
        <v>78</v>
      </c>
      <c r="F325" s="63">
        <f t="shared" ref="F325:F327" si="91">G325+H325+I325</f>
      </c>
      <c r="G325" s="81">
        <v>1192.81</v>
      </c>
      <c r="H325" s="81">
        <v>0</v>
      </c>
      <c r="I325" s="64">
        <v>3073.47</v>
      </c>
      <c r="J325" s="65">
        <v>0</v>
      </c>
      <c r="K325" s="65">
        <v>0</v>
      </c>
      <c r="L325" s="65">
        <v>2</v>
      </c>
      <c r="M325" s="65">
        <v>10251.64</v>
      </c>
      <c r="N325" s="67">
        <v>0</v>
      </c>
      <c r="O325" s="68">
        <f t="shared" si="24"/>
      </c>
      <c r="P325" s="67">
        <v>1</v>
      </c>
      <c r="Q325" s="68">
        <f t="shared" si="0"/>
      </c>
      <c r="R325" s="69">
        <f t="shared" ref="R325:R327" si="167">J325+L325</f>
      </c>
      <c r="S325" s="70">
        <f t="shared" ref="S325:S327" si="239">K325+M325</f>
      </c>
      <c r="T325" s="63">
        <f t="shared" si="12"/>
      </c>
      <c r="U325" s="63">
        <f t="shared" si="8"/>
      </c>
      <c r="V325" s="71">
        <f t="shared" si="20"/>
      </c>
      <c r="W325" s="67">
        <v>2</v>
      </c>
      <c r="X325" s="71">
        <f t="shared" si="16"/>
      </c>
      <c r="Y325" s="71">
        <f t="shared" si="248"/>
      </c>
      <c r="Z325" s="63">
        <f t="shared" si="100"/>
      </c>
      <c r="AA325" s="63">
        <f t="shared" si="2"/>
      </c>
      <c r="AB325" s="63">
        <f t="shared" si="4"/>
      </c>
      <c r="AC325" s="68">
        <f t="shared" si="14"/>
      </c>
      <c r="AD325" s="68">
        <f t="shared" si="10"/>
      </c>
      <c r="AE325" s="68">
        <f t="shared" si="22"/>
      </c>
      <c r="AF325" s="68">
        <f t="shared" si="18"/>
      </c>
      <c r="AG325" s="68">
        <f t="shared" si="102"/>
      </c>
      <c r="AH325" s="68">
        <f t="shared" si="26"/>
      </c>
      <c r="AI325" s="68">
        <f t="shared" si="6"/>
      </c>
      <c r="AJ325" s="67">
        <v>64</v>
      </c>
      <c r="AK325" s="72">
        <v>18444</v>
      </c>
      <c r="AL325" s="72">
        <v>438</v>
      </c>
      <c r="AM325" s="72">
        <v>647</v>
      </c>
      <c r="AN325" s="72">
        <v>89</v>
      </c>
      <c r="AO325" s="73">
        <v>41</v>
      </c>
      <c r="AP325" s="72">
        <v>99</v>
      </c>
      <c r="AQ325" s="41">
        <v>100</v>
      </c>
      <c r="AR325" s="73">
        <v>3</v>
      </c>
      <c r="AS325" s="73">
        <v>8</v>
      </c>
      <c r="AT325" s="67">
        <v>2</v>
      </c>
      <c r="AU325" s="67">
        <v>6</v>
      </c>
      <c r="AV325" s="39"/>
      <c r="AW325" s="40"/>
      <c r="AX325" s="41">
        <f t="shared" ref="AX325:AX327" si="313">COUNT(AU325)</f>
      </c>
    </row>
    <row hidden="true" r="326">
      <c r="A326" s="62"/>
      <c r="B326" s="73" t="s">
        <v>71</v>
      </c>
      <c r="C326" s="41" t="s">
        <v>72</v>
      </c>
      <c r="D326" s="73" t="s">
        <v>67</v>
      </c>
      <c r="E326" s="73" t="s">
        <v>80</v>
      </c>
      <c r="F326" s="63">
        <f t="shared" si="91"/>
      </c>
      <c r="G326" s="81">
        <v>1156.18</v>
      </c>
      <c r="H326" s="81">
        <v>0</v>
      </c>
      <c r="I326" s="64">
        <v>5114.77</v>
      </c>
      <c r="J326" s="64">
        <v>2</v>
      </c>
      <c r="K326" s="64">
        <v>5472.95</v>
      </c>
      <c r="L326" s="65">
        <v>4</v>
      </c>
      <c r="M326" s="65">
        <v>9765.05000000001</v>
      </c>
      <c r="N326" s="67">
        <v>0</v>
      </c>
      <c r="O326" s="68">
        <f t="shared" si="24"/>
      </c>
      <c r="P326" s="67">
        <v>0</v>
      </c>
      <c r="Q326" s="68">
        <f t="shared" si="0"/>
      </c>
      <c r="R326" s="69">
        <f t="shared" si="167"/>
      </c>
      <c r="S326" s="70">
        <f t="shared" si="239"/>
      </c>
      <c r="T326" s="63">
        <f t="shared" si="12"/>
      </c>
      <c r="U326" s="63">
        <f t="shared" si="8"/>
      </c>
      <c r="V326" s="71">
        <f t="shared" si="20"/>
      </c>
      <c r="W326" s="67">
        <v>6</v>
      </c>
      <c r="X326" s="71">
        <f t="shared" si="16"/>
      </c>
      <c r="Y326" s="71">
        <f t="shared" si="248"/>
      </c>
      <c r="Z326" s="63">
        <f t="shared" si="100"/>
      </c>
      <c r="AA326" s="63">
        <f t="shared" si="2"/>
      </c>
      <c r="AB326" s="63">
        <f t="shared" si="4"/>
      </c>
      <c r="AC326" s="68">
        <f t="shared" si="14"/>
      </c>
      <c r="AD326" s="68">
        <f t="shared" si="10"/>
      </c>
      <c r="AE326" s="68">
        <f t="shared" si="22"/>
      </c>
      <c r="AF326" s="68">
        <f t="shared" si="18"/>
      </c>
      <c r="AG326" s="68">
        <f t="shared" si="102"/>
      </c>
      <c r="AH326" s="68">
        <f t="shared" si="26"/>
      </c>
      <c r="AI326" s="68">
        <f t="shared" si="6"/>
      </c>
      <c r="AJ326" s="67">
        <v>69</v>
      </c>
      <c r="AK326" s="67">
        <v>24814</v>
      </c>
      <c r="AL326" s="72">
        <v>581</v>
      </c>
      <c r="AM326" s="72">
        <v>817</v>
      </c>
      <c r="AN326" s="72">
        <v>149</v>
      </c>
      <c r="AO326" s="73">
        <v>55</v>
      </c>
      <c r="AP326" s="67">
        <v>124</v>
      </c>
      <c r="AQ326" s="73">
        <v>150</v>
      </c>
      <c r="AR326" s="73">
        <v>8</v>
      </c>
      <c r="AS326" s="73">
        <v>9</v>
      </c>
      <c r="AT326" s="67">
        <v>2</v>
      </c>
      <c r="AU326" s="67">
        <v>15</v>
      </c>
      <c r="AV326" s="39"/>
      <c r="AW326" s="40"/>
      <c r="AX326" s="41">
        <f t="shared" si="313"/>
      </c>
    </row>
    <row hidden="true" r="327">
      <c r="A327" s="62"/>
      <c r="B327" s="73" t="s">
        <v>71</v>
      </c>
      <c r="C327" s="41" t="s">
        <v>72</v>
      </c>
      <c r="D327" s="73" t="s">
        <v>67</v>
      </c>
      <c r="E327" s="73" t="s">
        <v>81</v>
      </c>
      <c r="F327" s="63">
        <f t="shared" si="91"/>
      </c>
      <c r="G327" s="81">
        <v>454.78</v>
      </c>
      <c r="H327" s="81">
        <v>0</v>
      </c>
      <c r="I327" s="64">
        <v>3228.24</v>
      </c>
      <c r="J327" s="65">
        <v>0</v>
      </c>
      <c r="K327" s="65">
        <v>0</v>
      </c>
      <c r="L327" s="64">
        <v>2</v>
      </c>
      <c r="M327" s="64">
        <v>2977.399999999994</v>
      </c>
      <c r="N327" s="67">
        <v>0</v>
      </c>
      <c r="O327" s="68">
        <f t="shared" si="24"/>
      </c>
      <c r="P327" s="67">
        <v>0</v>
      </c>
      <c r="Q327" s="68">
        <f t="shared" si="0"/>
      </c>
      <c r="R327" s="69">
        <f t="shared" si="167"/>
      </c>
      <c r="S327" s="70">
        <f t="shared" si="239"/>
      </c>
      <c r="T327" s="63">
        <f t="shared" si="12"/>
      </c>
      <c r="U327" s="63">
        <f t="shared" si="8"/>
      </c>
      <c r="V327" s="71">
        <f t="shared" si="20"/>
      </c>
      <c r="W327" s="67">
        <v>2</v>
      </c>
      <c r="X327" s="71">
        <f t="shared" si="16"/>
      </c>
      <c r="Y327" s="71">
        <f t="shared" si="248"/>
      </c>
      <c r="Z327" s="63">
        <f t="shared" si="100"/>
      </c>
      <c r="AA327" s="63">
        <f t="shared" si="2"/>
      </c>
      <c r="AB327" s="63">
        <f t="shared" si="4"/>
      </c>
      <c r="AC327" s="68">
        <f t="shared" si="14"/>
      </c>
      <c r="AD327" s="68">
        <f t="shared" si="10"/>
      </c>
      <c r="AE327" s="68">
        <f t="shared" si="22"/>
      </c>
      <c r="AF327" s="68">
        <f t="shared" si="18"/>
      </c>
      <c r="AG327" s="68">
        <f t="shared" si="102"/>
      </c>
      <c r="AH327" s="68">
        <f t="shared" si="26"/>
      </c>
      <c r="AI327" s="68">
        <f t="shared" si="6"/>
      </c>
      <c r="AJ327" s="67">
        <v>72</v>
      </c>
      <c r="AK327" s="72">
        <v>15579</v>
      </c>
      <c r="AL327" s="72">
        <v>323</v>
      </c>
      <c r="AM327" s="72">
        <v>479</v>
      </c>
      <c r="AN327" s="72">
        <v>100</v>
      </c>
      <c r="AO327" s="73">
        <v>29</v>
      </c>
      <c r="AP327" s="72">
        <v>97</v>
      </c>
      <c r="AQ327" s="41">
        <v>90</v>
      </c>
      <c r="AR327" s="73">
        <v>3</v>
      </c>
      <c r="AS327" s="67">
        <v>10</v>
      </c>
      <c r="AT327" s="67">
        <v>1</v>
      </c>
      <c r="AU327" s="67">
        <v>23</v>
      </c>
      <c r="AV327" s="39"/>
      <c r="AW327" s="40"/>
      <c r="AX327" s="41">
        <f t="shared" si="313"/>
      </c>
    </row>
    <row hidden="true" r="328">
      <c r="A328" s="62"/>
      <c r="B328" s="75" t="s">
        <v>66</v>
      </c>
      <c r="C328" s="75"/>
      <c r="D328" s="75"/>
      <c r="E328" s="75"/>
      <c r="F328" s="76">
        <f>SUM(F325:F327)</f>
      </c>
      <c r="G328" s="76">
        <f>SUM(G325:G327)</f>
      </c>
      <c r="H328" s="76">
        <f>SUM(H325:H327)</f>
      </c>
      <c r="I328" s="76">
        <f>SUM(I325:I327)</f>
      </c>
      <c r="J328" s="76">
        <f>SUM(J325:J327)</f>
      </c>
      <c r="K328" s="76">
        <f>SUM(K325:K327)</f>
      </c>
      <c r="L328" s="76">
        <f>SUM(L325:L327)</f>
      </c>
      <c r="M328" s="76">
        <f>SUM(M325:M327)</f>
      </c>
      <c r="N328" s="76">
        <f>SUM(N325:N327)</f>
      </c>
      <c r="O328" s="77">
        <f t="shared" si="24"/>
      </c>
      <c r="P328" s="76">
        <f>SUM(P325:P327)</f>
      </c>
      <c r="Q328" s="77">
        <f t="shared" si="0"/>
      </c>
      <c r="R328" s="76">
        <f>SUM(R325:R327)</f>
      </c>
      <c r="S328" s="76">
        <f>SUM(S325:S327)</f>
      </c>
      <c r="T328" s="76">
        <f t="shared" si="12"/>
      </c>
      <c r="U328" s="76">
        <f t="shared" si="8"/>
      </c>
      <c r="V328" s="79">
        <f t="shared" si="20"/>
      </c>
      <c r="W328" s="76">
        <f>SUM(W325:W327)</f>
      </c>
      <c r="X328" s="79">
        <f t="shared" si="16"/>
      </c>
      <c r="Y328" s="79">
        <f t="shared" si="248"/>
      </c>
      <c r="Z328" s="76">
        <f t="shared" si="100"/>
      </c>
      <c r="AA328" s="76">
        <f t="shared" si="2"/>
      </c>
      <c r="AB328" s="80">
        <f t="shared" si="4"/>
      </c>
      <c r="AC328" s="77">
        <f t="shared" si="14"/>
      </c>
      <c r="AD328" s="77">
        <f t="shared" si="10"/>
      </c>
      <c r="AE328" s="77">
        <f t="shared" si="22"/>
      </c>
      <c r="AF328" s="82">
        <f t="shared" si="18"/>
      </c>
      <c r="AG328" s="77">
        <f t="shared" si="102"/>
      </c>
      <c r="AH328" s="77">
        <f t="shared" si="26"/>
      </c>
      <c r="AI328" s="77">
        <f t="shared" si="6"/>
      </c>
      <c r="AJ328" s="78">
        <f>AVERAGE(AJ325:AJ327)</f>
      </c>
      <c r="AK328" s="76">
        <f>SUM(AK325:AK327)</f>
      </c>
      <c r="AL328" s="76">
        <f>SUM(AL325:AL327)</f>
      </c>
      <c r="AM328" s="76">
        <f>SUM(AM325:AM327)</f>
      </c>
      <c r="AN328" s="76">
        <f>SUM(AN325:AN327)</f>
      </c>
      <c r="AO328" s="76">
        <f>SUM(AO325:AO327)</f>
      </c>
      <c r="AP328" s="76">
        <f>SUM(AP325:AP327)</f>
      </c>
      <c r="AQ328" s="76">
        <f>SUM(AQ325:AQ327)</f>
      </c>
      <c r="AR328" s="76">
        <f>SUM(AR325:AR327)</f>
      </c>
      <c r="AS328" s="76">
        <f>SUM(AS325:AS327)</f>
      </c>
      <c r="AT328" s="76">
        <f>SUM(AT325:AT327)</f>
      </c>
      <c r="AU328" s="76">
        <f>SUM(AU325:AU327)</f>
      </c>
      <c r="AV328" s="76"/>
      <c r="AW328" s="76"/>
      <c r="AX328" s="76">
        <f>SUM(AX325:AX327)</f>
      </c>
    </row>
    <row hidden="true" r="329">
      <c r="A329" s="62"/>
      <c r="B329" s="84" t="s">
        <v>84</v>
      </c>
      <c r="C329" s="84"/>
      <c r="D329" s="84"/>
      <c r="E329" s="84"/>
      <c r="F329" s="85">
        <f>F324+F320+F315+F328</f>
      </c>
      <c r="G329" s="85">
        <f>G324+G320+G315+G328</f>
      </c>
      <c r="H329" s="85">
        <f>H324+H320+H315+H328</f>
      </c>
      <c r="I329" s="85">
        <f>I324+I320+I315+I328</f>
      </c>
      <c r="J329" s="85">
        <f>J324+J320+J315+J328</f>
      </c>
      <c r="K329" s="85">
        <f>K324+K320+K315+K328</f>
      </c>
      <c r="L329" s="85">
        <f>L324+L320+L315+L328</f>
      </c>
      <c r="M329" s="85">
        <f>M324+M320+M315+M328</f>
      </c>
      <c r="N329" s="85">
        <f>N324+N320+N315+N328</f>
      </c>
      <c r="O329" s="86">
        <f t="shared" si="24"/>
      </c>
      <c r="P329" s="85">
        <f>P324+P320+P315+P328</f>
      </c>
      <c r="Q329" s="86">
        <f t="shared" si="0"/>
      </c>
      <c r="R329" s="85">
        <f>R324+R320+R315+R328</f>
      </c>
      <c r="S329" s="85">
        <f>S324+S320+S315+S328</f>
      </c>
      <c r="T329" s="85">
        <f t="shared" si="12"/>
      </c>
      <c r="U329" s="85">
        <f t="shared" si="8"/>
      </c>
      <c r="V329" s="88">
        <f t="shared" si="20"/>
      </c>
      <c r="W329" s="85">
        <f>W324+W320+W315+W328</f>
      </c>
      <c r="X329" s="88">
        <f t="shared" si="16"/>
      </c>
      <c r="Y329" s="88">
        <f t="shared" si="248"/>
      </c>
      <c r="Z329" s="85">
        <f t="shared" si="100"/>
      </c>
      <c r="AA329" s="85">
        <f t="shared" si="2"/>
      </c>
      <c r="AB329" s="89">
        <f t="shared" si="4"/>
      </c>
      <c r="AC329" s="86">
        <f t="shared" si="14"/>
      </c>
      <c r="AD329" s="86">
        <f t="shared" si="10"/>
      </c>
      <c r="AE329" s="86">
        <f t="shared" si="22"/>
      </c>
      <c r="AF329" s="90">
        <f t="shared" si="18"/>
      </c>
      <c r="AG329" s="86">
        <f t="shared" si="102"/>
      </c>
      <c r="AH329" s="86">
        <f t="shared" si="26"/>
      </c>
      <c r="AI329" s="86">
        <f t="shared" si="6"/>
      </c>
      <c r="AJ329" s="87">
        <f>(AJ324+AJ320+AJ315+AJ328)/4</f>
      </c>
      <c r="AK329" s="85">
        <f>AK324+AK320+AK315+AK328</f>
      </c>
      <c r="AL329" s="85">
        <f>AL324+AL320+AL315+AL328</f>
      </c>
      <c r="AM329" s="85">
        <f>AM324+AM320+AM315+AM328</f>
      </c>
      <c r="AN329" s="85">
        <f>AN324+AN320+AN315+AN328</f>
      </c>
      <c r="AO329" s="85">
        <f>AO324+AO320+AO315+AO328</f>
      </c>
      <c r="AP329" s="85">
        <f>AP324+AP320+AP315+AP328</f>
      </c>
      <c r="AQ329" s="85">
        <f>AQ324+AQ320+AQ315+AQ328</f>
      </c>
      <c r="AR329" s="85">
        <f>AR324+AR320+AR315+AR328</f>
      </c>
      <c r="AS329" s="85">
        <f>AS324+AS320+AS315+AS328</f>
      </c>
      <c r="AT329" s="85">
        <f>AT324+AT320+AT315+AT328</f>
      </c>
      <c r="AU329" s="85">
        <f>AU324+AU320+AU315+AU328</f>
      </c>
      <c r="AV329" s="39"/>
      <c r="AW329" s="84">
        <f>AW315+AW320+AW324+AW328</f>
      </c>
      <c r="AX329" s="84">
        <f>AX315+AX320+AX324+AX328</f>
      </c>
    </row>
    <row r="330">
      <c r="A330" s="62">
        <v>46313</v>
      </c>
      <c r="B330" s="73" t="s">
        <v>92</v>
      </c>
      <c r="C330" s="41" t="s">
        <v>60</v>
      </c>
      <c r="D330" s="73" t="s">
        <v>79</v>
      </c>
      <c r="E330" s="28" t="s">
        <v>62</v>
      </c>
      <c r="F330" s="63">
        <f t="shared" ref="F330:F333" si="92">G330+H330+I330</f>
      </c>
      <c r="G330" s="81">
        <v>892.78</v>
      </c>
      <c r="H330" s="81">
        <v>0</v>
      </c>
      <c r="I330" s="64">
        <v>2958.62</v>
      </c>
      <c r="J330" s="65">
        <v>2</v>
      </c>
      <c r="K330" s="92">
        <v>5392.1</v>
      </c>
      <c r="L330" s="65">
        <v>3</v>
      </c>
      <c r="M330" s="65">
        <v>8839.44</v>
      </c>
      <c r="N330" s="67">
        <v>1</v>
      </c>
      <c r="O330" s="68">
        <f t="shared" si="24"/>
      </c>
      <c r="P330" s="67">
        <v>1</v>
      </c>
      <c r="Q330" s="68">
        <f t="shared" si="0"/>
      </c>
      <c r="R330" s="69">
        <f t="shared" ref="R330:R333" si="168">J330+L330</f>
      </c>
      <c r="S330" s="70">
        <f t="shared" ref="S330:S333" si="240">K330+M330</f>
      </c>
      <c r="T330" s="63">
        <f t="shared" si="12"/>
      </c>
      <c r="U330" s="63">
        <f t="shared" si="8"/>
      </c>
      <c r="V330" s="71">
        <f t="shared" si="20"/>
      </c>
      <c r="W330" s="67">
        <v>4</v>
      </c>
      <c r="X330" s="71">
        <f t="shared" si="16"/>
      </c>
      <c r="Y330" s="71">
        <f t="shared" si="248"/>
      </c>
      <c r="Z330" s="63">
        <f t="shared" si="100"/>
      </c>
      <c r="AA330" s="63">
        <f t="shared" si="2"/>
      </c>
      <c r="AB330" s="63">
        <f t="shared" si="4"/>
      </c>
      <c r="AC330" s="68">
        <f t="shared" si="14"/>
      </c>
      <c r="AD330" s="68">
        <f t="shared" si="10"/>
      </c>
      <c r="AE330" s="68">
        <f t="shared" si="22"/>
      </c>
      <c r="AF330" s="68">
        <f t="shared" si="18"/>
      </c>
      <c r="AG330" s="68">
        <f t="shared" si="102"/>
      </c>
      <c r="AH330" s="68">
        <f t="shared" si="26"/>
      </c>
      <c r="AI330" s="68">
        <f t="shared" si="6"/>
      </c>
      <c r="AJ330" s="67">
        <v>59</v>
      </c>
      <c r="AK330" s="72">
        <v>13504</v>
      </c>
      <c r="AL330" s="72">
        <v>295</v>
      </c>
      <c r="AM330" s="72">
        <v>439</v>
      </c>
      <c r="AN330" s="72">
        <v>64</v>
      </c>
      <c r="AO330" s="93">
        <v>23</v>
      </c>
      <c r="AP330" s="26">
        <v>67</v>
      </c>
      <c r="AQ330" s="94">
        <v>67</v>
      </c>
      <c r="AR330" s="73">
        <v>6</v>
      </c>
      <c r="AS330" s="73">
        <v>2</v>
      </c>
      <c r="AT330" s="67">
        <v>2</v>
      </c>
      <c r="AU330" s="67">
        <v>8</v>
      </c>
      <c r="AV330" s="39"/>
      <c r="AW330" s="40"/>
      <c r="AX330" s="41">
        <f t="shared" ref="AX330:AX333" si="314">COUNT(AU330)</f>
      </c>
    </row>
    <row r="331">
      <c r="A331" s="62"/>
      <c r="B331" s="73" t="s">
        <v>92</v>
      </c>
      <c r="C331" s="41" t="s">
        <v>60</v>
      </c>
      <c r="D331" s="73" t="s">
        <v>79</v>
      </c>
      <c r="E331" s="28" t="s">
        <v>63</v>
      </c>
      <c r="F331" s="63">
        <f t="shared" si="92"/>
      </c>
      <c r="G331" s="81">
        <v>1094.48</v>
      </c>
      <c r="H331" s="81">
        <v>0</v>
      </c>
      <c r="I331" s="64">
        <v>2564.79</v>
      </c>
      <c r="J331" s="95">
        <v>2</v>
      </c>
      <c r="K331" s="96">
        <v>3097</v>
      </c>
      <c r="L331" s="97">
        <v>0</v>
      </c>
      <c r="M331" s="65">
        <v>0</v>
      </c>
      <c r="N331" s="67">
        <v>0</v>
      </c>
      <c r="O331" s="68">
        <f t="shared" si="24"/>
      </c>
      <c r="P331" s="67">
        <v>0</v>
      </c>
      <c r="Q331" s="68">
        <f t="shared" si="0"/>
      </c>
      <c r="R331" s="69">
        <f t="shared" si="168"/>
      </c>
      <c r="S331" s="70">
        <f t="shared" si="240"/>
      </c>
      <c r="T331" s="63">
        <f t="shared" si="12"/>
      </c>
      <c r="U331" s="63">
        <f t="shared" si="8"/>
      </c>
      <c r="V331" s="71">
        <f t="shared" si="20"/>
      </c>
      <c r="W331" s="67">
        <v>2</v>
      </c>
      <c r="X331" s="71">
        <f t="shared" si="16"/>
      </c>
      <c r="Y331" s="71">
        <f t="shared" si="248"/>
      </c>
      <c r="Z331" s="63">
        <f t="shared" si="100"/>
      </c>
      <c r="AA331" s="63">
        <f t="shared" si="2"/>
      </c>
      <c r="AB331" s="63">
        <f t="shared" si="4"/>
      </c>
      <c r="AC331" s="68">
        <f t="shared" si="14"/>
      </c>
      <c r="AD331" s="68">
        <f t="shared" si="10"/>
      </c>
      <c r="AE331" s="68">
        <f t="shared" si="22"/>
      </c>
      <c r="AF331" s="68">
        <f t="shared" si="18"/>
      </c>
      <c r="AG331" s="68">
        <f t="shared" si="102"/>
      </c>
      <c r="AH331" s="68">
        <f t="shared" si="26"/>
      </c>
      <c r="AI331" s="68">
        <f t="shared" si="6"/>
      </c>
      <c r="AJ331" s="67">
        <v>70</v>
      </c>
      <c r="AK331" s="72">
        <v>13917</v>
      </c>
      <c r="AL331" s="72">
        <v>380</v>
      </c>
      <c r="AM331" s="72">
        <v>517</v>
      </c>
      <c r="AN331" s="72">
        <v>76</v>
      </c>
      <c r="AO331" s="73">
        <v>32</v>
      </c>
      <c r="AP331" s="98">
        <v>111</v>
      </c>
      <c r="AQ331" s="73">
        <v>97</v>
      </c>
      <c r="AR331" s="73">
        <v>2</v>
      </c>
      <c r="AS331" s="67">
        <v>11</v>
      </c>
      <c r="AT331" s="67">
        <v>3</v>
      </c>
      <c r="AU331" s="67">
        <v>7</v>
      </c>
      <c r="AV331" s="39"/>
      <c r="AW331" s="40"/>
      <c r="AX331" s="41">
        <f t="shared" si="314"/>
      </c>
    </row>
    <row r="332">
      <c r="A332" s="62"/>
      <c r="B332" s="73" t="s">
        <v>92</v>
      </c>
      <c r="C332" s="41" t="s">
        <v>60</v>
      </c>
      <c r="D332" s="73" t="s">
        <v>79</v>
      </c>
      <c r="E332" s="28" t="s">
        <v>64</v>
      </c>
      <c r="F332" s="63">
        <f t="shared" si="92"/>
      </c>
      <c r="G332" s="99">
        <v>749.25</v>
      </c>
      <c r="H332" s="81">
        <v>0</v>
      </c>
      <c r="I332" s="64">
        <v>2590.01</v>
      </c>
      <c r="J332" s="64">
        <v>1</v>
      </c>
      <c r="K332" s="100">
        <v>846</v>
      </c>
      <c r="L332" s="64">
        <v>2</v>
      </c>
      <c r="M332" s="64">
        <v>2435.7999999999993</v>
      </c>
      <c r="N332" s="67">
        <v>0</v>
      </c>
      <c r="O332" s="68">
        <f t="shared" si="24"/>
      </c>
      <c r="P332" s="67">
        <v>0</v>
      </c>
      <c r="Q332" s="68">
        <f t="shared" si="0"/>
      </c>
      <c r="R332" s="69">
        <f t="shared" si="168"/>
      </c>
      <c r="S332" s="70">
        <f t="shared" si="240"/>
      </c>
      <c r="T332" s="63">
        <f t="shared" si="12"/>
      </c>
      <c r="U332" s="63">
        <f t="shared" si="8"/>
      </c>
      <c r="V332" s="71">
        <f t="shared" si="20"/>
      </c>
      <c r="W332" s="67">
        <v>3</v>
      </c>
      <c r="X332" s="71">
        <f t="shared" si="16"/>
      </c>
      <c r="Y332" s="71">
        <f t="shared" si="248"/>
      </c>
      <c r="Z332" s="63">
        <f t="shared" si="100"/>
      </c>
      <c r="AA332" s="63">
        <f t="shared" si="2"/>
      </c>
      <c r="AB332" s="63">
        <f t="shared" si="4"/>
      </c>
      <c r="AC332" s="68">
        <f t="shared" si="14"/>
      </c>
      <c r="AD332" s="68">
        <f t="shared" si="10"/>
      </c>
      <c r="AE332" s="68">
        <f t="shared" si="22"/>
      </c>
      <c r="AF332" s="68">
        <f t="shared" si="18"/>
      </c>
      <c r="AG332" s="68">
        <f t="shared" si="102"/>
      </c>
      <c r="AH332" s="68">
        <f t="shared" si="26"/>
      </c>
      <c r="AI332" s="68">
        <f t="shared" si="6"/>
      </c>
      <c r="AJ332" s="67">
        <v>67</v>
      </c>
      <c r="AK332" s="72">
        <v>12484</v>
      </c>
      <c r="AL332" s="72">
        <v>375</v>
      </c>
      <c r="AM332" s="72">
        <v>480</v>
      </c>
      <c r="AN332" s="72">
        <v>82</v>
      </c>
      <c r="AO332" s="73">
        <v>28</v>
      </c>
      <c r="AP332" s="72">
        <v>75</v>
      </c>
      <c r="AQ332" s="41">
        <v>87</v>
      </c>
      <c r="AR332" s="73">
        <v>6</v>
      </c>
      <c r="AS332" s="67">
        <v>8</v>
      </c>
      <c r="AT332" s="67">
        <v>1</v>
      </c>
      <c r="AU332" s="67">
        <v>6</v>
      </c>
      <c r="AV332" s="39"/>
      <c r="AW332" s="40"/>
      <c r="AX332" s="41">
        <f t="shared" si="314"/>
      </c>
    </row>
    <row r="333">
      <c r="A333" s="62"/>
      <c r="B333" s="73" t="s">
        <v>92</v>
      </c>
      <c r="C333" s="41" t="s">
        <v>60</v>
      </c>
      <c r="D333" s="73" t="s">
        <v>79</v>
      </c>
      <c r="E333" s="41" t="s">
        <v>65</v>
      </c>
      <c r="F333" s="101">
        <f t="shared" si="92"/>
      </c>
      <c r="G333" s="30">
        <v>565.88</v>
      </c>
      <c r="H333" s="102">
        <v>0</v>
      </c>
      <c r="I333" s="65">
        <v>3353.96</v>
      </c>
      <c r="J333" s="65">
        <v>0</v>
      </c>
      <c r="K333" s="65">
        <v>0</v>
      </c>
      <c r="L333" s="65">
        <v>1</v>
      </c>
      <c r="M333" s="65">
        <v>1085.8500000000004</v>
      </c>
      <c r="N333" s="67">
        <v>0</v>
      </c>
      <c r="O333" s="68">
        <f t="shared" si="24"/>
      </c>
      <c r="P333" s="67">
        <v>0</v>
      </c>
      <c r="Q333" s="68">
        <f t="shared" si="0"/>
      </c>
      <c r="R333" s="69">
        <f t="shared" si="168"/>
      </c>
      <c r="S333" s="70">
        <f t="shared" si="240"/>
      </c>
      <c r="T333" s="63">
        <f t="shared" si="12"/>
      </c>
      <c r="U333" s="63">
        <f t="shared" si="8"/>
      </c>
      <c r="V333" s="71">
        <f t="shared" si="20"/>
      </c>
      <c r="W333" s="67">
        <v>1</v>
      </c>
      <c r="X333" s="71">
        <f t="shared" si="16"/>
      </c>
      <c r="Y333" s="71">
        <f t="shared" si="248"/>
      </c>
      <c r="Z333" s="63">
        <f t="shared" si="100"/>
      </c>
      <c r="AA333" s="63">
        <f t="shared" si="2"/>
      </c>
      <c r="AB333" s="63">
        <f t="shared" si="4"/>
      </c>
      <c r="AC333" s="68">
        <f t="shared" si="14"/>
      </c>
      <c r="AD333" s="68">
        <f t="shared" si="10"/>
      </c>
      <c r="AE333" s="68">
        <f t="shared" si="22"/>
      </c>
      <c r="AF333" s="68">
        <f t="shared" si="18"/>
      </c>
      <c r="AG333" s="68">
        <f t="shared" si="102"/>
      </c>
      <c r="AH333" s="68">
        <f t="shared" si="26"/>
      </c>
      <c r="AI333" s="68">
        <f t="shared" si="6"/>
      </c>
      <c r="AJ333" s="67">
        <v>65</v>
      </c>
      <c r="AK333" s="72">
        <v>14784</v>
      </c>
      <c r="AL333" s="72">
        <v>388</v>
      </c>
      <c r="AM333" s="72">
        <v>515</v>
      </c>
      <c r="AN333" s="72">
        <v>78</v>
      </c>
      <c r="AO333" s="73">
        <v>23</v>
      </c>
      <c r="AP333" s="72">
        <v>80</v>
      </c>
      <c r="AQ333" s="41">
        <v>82</v>
      </c>
      <c r="AR333" s="73">
        <v>2</v>
      </c>
      <c r="AS333" s="67">
        <v>7</v>
      </c>
      <c r="AT333" s="67">
        <v>2</v>
      </c>
      <c r="AU333" s="67">
        <v>8</v>
      </c>
      <c r="AV333" s="39"/>
      <c r="AW333" s="40"/>
      <c r="AX333" s="41">
        <f t="shared" si="314"/>
      </c>
    </row>
    <row r="334">
      <c r="A334" s="62"/>
      <c r="B334" s="75" t="s">
        <v>66</v>
      </c>
      <c r="C334" s="75"/>
      <c r="D334" s="75"/>
      <c r="E334" s="75"/>
      <c r="F334" s="76">
        <f>SUM(F330:F333)</f>
      </c>
      <c r="G334" s="103">
        <f>SUM(G330:G333)</f>
      </c>
      <c r="H334" s="76">
        <f>SUM(H330:H333)</f>
      </c>
      <c r="I334" s="76">
        <f>SUM(I330:I333)</f>
      </c>
      <c r="J334" s="76">
        <f>SUM(J330:J333)</f>
      </c>
      <c r="K334" s="76">
        <f>SUM(K330:K333)</f>
      </c>
      <c r="L334" s="76">
        <f>SUM(L330:L333)</f>
      </c>
      <c r="M334" s="76">
        <f>SUM(M330:M333)</f>
      </c>
      <c r="N334" s="76">
        <f>SUM(N330:N333)</f>
      </c>
      <c r="O334" s="77">
        <f t="shared" si="24"/>
      </c>
      <c r="P334" s="76">
        <f>SUM(P330:P333)</f>
      </c>
      <c r="Q334" s="77">
        <f t="shared" si="0"/>
      </c>
      <c r="R334" s="76">
        <f>SUM(R330:R333)</f>
      </c>
      <c r="S334" s="76">
        <f>SUM(S330:S333)</f>
      </c>
      <c r="T334" s="76">
        <f t="shared" si="12"/>
      </c>
      <c r="U334" s="76">
        <f t="shared" si="8"/>
      </c>
      <c r="V334" s="76">
        <f t="shared" si="20"/>
      </c>
      <c r="W334" s="76">
        <f>SUM(W330:W333)</f>
      </c>
      <c r="X334" s="79">
        <f t="shared" si="16"/>
      </c>
      <c r="Y334" s="79">
        <f t="shared" si="248"/>
      </c>
      <c r="Z334" s="76">
        <f t="shared" si="100"/>
      </c>
      <c r="AA334" s="76">
        <f t="shared" si="2"/>
      </c>
      <c r="AB334" s="80">
        <f t="shared" si="4"/>
      </c>
      <c r="AC334" s="77">
        <f t="shared" si="14"/>
      </c>
      <c r="AD334" s="77">
        <f t="shared" si="10"/>
      </c>
      <c r="AE334" s="77">
        <f t="shared" si="22"/>
      </c>
      <c r="AF334" s="77">
        <f t="shared" si="18"/>
      </c>
      <c r="AG334" s="77">
        <f t="shared" si="102"/>
      </c>
      <c r="AH334" s="77">
        <f t="shared" si="26"/>
      </c>
      <c r="AI334" s="77">
        <f t="shared" si="6"/>
      </c>
      <c r="AJ334" s="78">
        <f>AVERAGE(AJ330:AJ333)</f>
      </c>
      <c r="AK334" s="76">
        <f>SUM(AK330:AK333)</f>
      </c>
      <c r="AL334" s="76">
        <f>SUM(AL330:AL333)</f>
      </c>
      <c r="AM334" s="76">
        <f>SUM(AM330:AM333)</f>
      </c>
      <c r="AN334" s="76">
        <f>SUM(AN330:AN333)</f>
      </c>
      <c r="AO334" s="76">
        <f>SUM(AO330:AO333)</f>
      </c>
      <c r="AP334" s="76">
        <f>SUM(AP330:AP333)</f>
      </c>
      <c r="AQ334" s="76">
        <f>SUM(AQ330:AQ333)</f>
      </c>
      <c r="AR334" s="76">
        <f>SUM(AR330:AR333)</f>
      </c>
      <c r="AS334" s="76">
        <f>SUM(AS330:AS333)</f>
      </c>
      <c r="AT334" s="76">
        <f>SUM(AT330:AT333)</f>
      </c>
      <c r="AU334" s="76">
        <f>SUM(AU330:AU333)</f>
      </c>
      <c r="AV334" s="39"/>
      <c r="AW334" s="48"/>
      <c r="AX334" s="76">
        <f>SUM(AX330:AX333)</f>
      </c>
    </row>
    <row r="335">
      <c r="A335" s="62"/>
      <c r="B335" s="73" t="s">
        <v>92</v>
      </c>
      <c r="C335" s="41" t="s">
        <v>60</v>
      </c>
      <c r="D335" s="73" t="s">
        <v>67</v>
      </c>
      <c r="E335" s="41" t="s">
        <v>68</v>
      </c>
      <c r="F335" s="63">
        <f t="shared" ref="F335:F338" si="93">G335+H335+I335</f>
      </c>
      <c r="G335" s="81">
        <v>423.53</v>
      </c>
      <c r="H335" s="81">
        <v>0</v>
      </c>
      <c r="I335" s="64">
        <v>1768.12</v>
      </c>
      <c r="J335" s="64">
        <v>0</v>
      </c>
      <c r="K335" s="64">
        <v>0</v>
      </c>
      <c r="L335" s="64">
        <v>1</v>
      </c>
      <c r="M335" s="64">
        <v>3864.5</v>
      </c>
      <c r="N335" s="67">
        <v>0</v>
      </c>
      <c r="O335" s="68">
        <f t="shared" si="24"/>
      </c>
      <c r="P335" s="67">
        <v>1</v>
      </c>
      <c r="Q335" s="68">
        <f t="shared" si="0"/>
      </c>
      <c r="R335" s="69">
        <f t="shared" ref="R335:R338" si="169">J335+L335</f>
      </c>
      <c r="S335" s="70">
        <f t="shared" ref="S335:S338" si="241">K335+M335</f>
      </c>
      <c r="T335" s="63">
        <f t="shared" si="12"/>
      </c>
      <c r="U335" s="63">
        <f t="shared" si="8"/>
      </c>
      <c r="V335" s="71">
        <f t="shared" si="20"/>
      </c>
      <c r="W335" s="67">
        <v>1</v>
      </c>
      <c r="X335" s="71">
        <f t="shared" si="16"/>
      </c>
      <c r="Y335" s="71">
        <f t="shared" si="248"/>
      </c>
      <c r="Z335" s="63">
        <f t="shared" si="100"/>
      </c>
      <c r="AA335" s="63">
        <f t="shared" si="2"/>
      </c>
      <c r="AB335" s="63">
        <f t="shared" si="4"/>
      </c>
      <c r="AC335" s="68">
        <f t="shared" si="14"/>
      </c>
      <c r="AD335" s="68">
        <f t="shared" si="10"/>
      </c>
      <c r="AE335" s="68">
        <f t="shared" si="22"/>
      </c>
      <c r="AF335" s="68">
        <f t="shared" si="18"/>
      </c>
      <c r="AG335" s="68">
        <f t="shared" si="102"/>
      </c>
      <c r="AH335" s="68">
        <f t="shared" si="26"/>
      </c>
      <c r="AI335" s="68">
        <f t="shared" si="6"/>
      </c>
      <c r="AJ335" s="67">
        <v>72</v>
      </c>
      <c r="AK335" s="72">
        <v>10024</v>
      </c>
      <c r="AL335" s="72">
        <v>247</v>
      </c>
      <c r="AM335" s="72">
        <v>327</v>
      </c>
      <c r="AN335" s="72">
        <v>75</v>
      </c>
      <c r="AO335" s="73">
        <v>20</v>
      </c>
      <c r="AP335" s="72">
        <v>103</v>
      </c>
      <c r="AQ335" s="41">
        <v>69</v>
      </c>
      <c r="AR335" s="73">
        <v>5</v>
      </c>
      <c r="AS335" s="73">
        <v>7</v>
      </c>
      <c r="AT335" s="67">
        <v>2</v>
      </c>
      <c r="AU335" s="67">
        <v>10</v>
      </c>
      <c r="AV335" s="39"/>
      <c r="AW335" s="40"/>
      <c r="AX335" s="41">
        <f t="shared" ref="AX335:AX338" si="315">COUNT(AU335)</f>
      </c>
    </row>
    <row r="336">
      <c r="A336" s="62"/>
      <c r="B336" s="73" t="s">
        <v>92</v>
      </c>
      <c r="C336" s="41" t="s">
        <v>60</v>
      </c>
      <c r="D336" s="73" t="s">
        <v>67</v>
      </c>
      <c r="E336" s="41" t="s">
        <v>69</v>
      </c>
      <c r="F336" s="63">
        <f t="shared" si="93"/>
      </c>
      <c r="G336" s="81">
        <v>557.41</v>
      </c>
      <c r="H336" s="81">
        <v>0</v>
      </c>
      <c r="I336" s="64">
        <v>2029.3</v>
      </c>
      <c r="J336" s="64">
        <v>0</v>
      </c>
      <c r="K336" s="64">
        <v>0</v>
      </c>
      <c r="L336" s="64">
        <v>1</v>
      </c>
      <c r="M336" s="64">
        <v>1217.8999999999978</v>
      </c>
      <c r="N336" s="67">
        <v>0</v>
      </c>
      <c r="O336" s="68">
        <f t="shared" si="24"/>
      </c>
      <c r="P336" s="67">
        <v>0</v>
      </c>
      <c r="Q336" s="68">
        <f t="shared" si="0"/>
      </c>
      <c r="R336" s="69">
        <f t="shared" si="169"/>
      </c>
      <c r="S336" s="70">
        <f t="shared" si="241"/>
      </c>
      <c r="T336" s="63">
        <f t="shared" si="12"/>
      </c>
      <c r="U336" s="63">
        <f t="shared" si="8"/>
      </c>
      <c r="V336" s="71">
        <f t="shared" si="20"/>
      </c>
      <c r="W336" s="67">
        <v>0</v>
      </c>
      <c r="X336" s="71">
        <f t="shared" si="16"/>
      </c>
      <c r="Y336" s="71">
        <f t="shared" si="248"/>
      </c>
      <c r="Z336" s="63">
        <f t="shared" si="100"/>
      </c>
      <c r="AA336" s="63">
        <f t="shared" si="2"/>
      </c>
      <c r="AB336" s="63">
        <f t="shared" si="4"/>
      </c>
      <c r="AC336" s="68">
        <f t="shared" si="14"/>
      </c>
      <c r="AD336" s="68">
        <f t="shared" si="10"/>
      </c>
      <c r="AE336" s="68">
        <f t="shared" si="22"/>
      </c>
      <c r="AF336" s="68">
        <f t="shared" si="18"/>
      </c>
      <c r="AG336" s="68">
        <f t="shared" si="102"/>
      </c>
      <c r="AH336" s="68">
        <f t="shared" si="26"/>
      </c>
      <c r="AI336" s="68">
        <f t="shared" si="6"/>
      </c>
      <c r="AJ336" s="67">
        <v>71</v>
      </c>
      <c r="AK336" s="72">
        <v>9305</v>
      </c>
      <c r="AL336" s="72">
        <v>257</v>
      </c>
      <c r="AM336" s="72">
        <v>346</v>
      </c>
      <c r="AN336" s="72">
        <v>75</v>
      </c>
      <c r="AO336" s="73">
        <v>17</v>
      </c>
      <c r="AP336" s="72">
        <v>71</v>
      </c>
      <c r="AQ336" s="41">
        <v>51</v>
      </c>
      <c r="AR336" s="73">
        <v>1</v>
      </c>
      <c r="AS336" s="73">
        <v>4</v>
      </c>
      <c r="AT336" s="67">
        <v>0</v>
      </c>
      <c r="AU336" s="67">
        <v>6</v>
      </c>
      <c r="AV336" s="39"/>
      <c r="AW336" s="40"/>
      <c r="AX336" s="41">
        <f t="shared" si="315"/>
      </c>
    </row>
    <row r="337">
      <c r="A337" s="62"/>
      <c r="B337" s="73" t="s">
        <v>92</v>
      </c>
      <c r="C337" s="41" t="s">
        <v>60</v>
      </c>
      <c r="D337" s="73" t="s">
        <v>67</v>
      </c>
      <c r="E337" s="41" t="s">
        <v>70</v>
      </c>
      <c r="F337" s="63">
        <f t="shared" si="93"/>
      </c>
      <c r="G337" s="81">
        <v>863.62</v>
      </c>
      <c r="H337" s="81">
        <v>0</v>
      </c>
      <c r="I337" s="64">
        <v>1338.62</v>
      </c>
      <c r="J337" s="64">
        <v>2</v>
      </c>
      <c r="K337" s="64">
        <v>2629.9799999999996</v>
      </c>
      <c r="L337" s="64">
        <v>2</v>
      </c>
      <c r="M337" s="64">
        <v>3260.4000000000015</v>
      </c>
      <c r="N337" s="67">
        <v>1</v>
      </c>
      <c r="O337" s="68">
        <f t="shared" si="24"/>
      </c>
      <c r="P337" s="67">
        <v>0</v>
      </c>
      <c r="Q337" s="68">
        <f t="shared" si="0"/>
      </c>
      <c r="R337" s="69">
        <f t="shared" si="169"/>
      </c>
      <c r="S337" s="70">
        <f t="shared" si="241"/>
      </c>
      <c r="T337" s="63">
        <f t="shared" si="12"/>
      </c>
      <c r="U337" s="63">
        <f t="shared" si="8"/>
      </c>
      <c r="V337" s="71">
        <f t="shared" si="20"/>
      </c>
      <c r="W337" s="67">
        <v>3</v>
      </c>
      <c r="X337" s="71">
        <f t="shared" si="16"/>
      </c>
      <c r="Y337" s="71">
        <f t="shared" si="248"/>
      </c>
      <c r="Z337" s="63">
        <f t="shared" si="100"/>
      </c>
      <c r="AA337" s="63">
        <f t="shared" si="2"/>
      </c>
      <c r="AB337" s="63">
        <f t="shared" si="4"/>
      </c>
      <c r="AC337" s="68">
        <f t="shared" si="14"/>
      </c>
      <c r="AD337" s="68">
        <f t="shared" si="10"/>
      </c>
      <c r="AE337" s="68">
        <f t="shared" si="22"/>
      </c>
      <c r="AF337" s="68">
        <f t="shared" si="18"/>
      </c>
      <c r="AG337" s="68">
        <f t="shared" si="102"/>
      </c>
      <c r="AH337" s="68">
        <f t="shared" si="26"/>
      </c>
      <c r="AI337" s="68">
        <f t="shared" si="6"/>
      </c>
      <c r="AJ337" s="67">
        <v>73</v>
      </c>
      <c r="AK337" s="72">
        <v>8550</v>
      </c>
      <c r="AL337" s="72">
        <v>270</v>
      </c>
      <c r="AM337" s="72">
        <v>372</v>
      </c>
      <c r="AN337" s="72">
        <v>69</v>
      </c>
      <c r="AO337" s="73">
        <v>22</v>
      </c>
      <c r="AP337" s="72">
        <v>62</v>
      </c>
      <c r="AQ337" s="73">
        <v>76</v>
      </c>
      <c r="AR337" s="73">
        <v>6</v>
      </c>
      <c r="AS337" s="67">
        <v>4</v>
      </c>
      <c r="AT337" s="67">
        <v>4</v>
      </c>
      <c r="AU337" s="67">
        <v>3</v>
      </c>
      <c r="AV337" s="39"/>
      <c r="AW337" s="40"/>
      <c r="AX337" s="41">
        <f t="shared" si="315"/>
      </c>
    </row>
    <row r="338">
      <c r="A338" s="62"/>
      <c r="B338" s="73" t="s">
        <v>71</v>
      </c>
      <c r="C338" s="41" t="s">
        <v>72</v>
      </c>
      <c r="D338" s="73" t="s">
        <v>67</v>
      </c>
      <c r="E338" s="41" t="s">
        <v>73</v>
      </c>
      <c r="F338" s="63">
        <f t="shared" si="93"/>
      </c>
      <c r="G338" s="81">
        <v>1306.22</v>
      </c>
      <c r="H338" s="81">
        <v>0</v>
      </c>
      <c r="I338" s="64">
        <v>1096.79</v>
      </c>
      <c r="J338" s="65">
        <v>2</v>
      </c>
      <c r="K338" s="65">
        <v>3324.7300000000014</v>
      </c>
      <c r="L338" s="65">
        <v>1</v>
      </c>
      <c r="M338" s="65">
        <v>1371.7999999999993</v>
      </c>
      <c r="N338" s="67">
        <v>2</v>
      </c>
      <c r="O338" s="68">
        <f t="shared" si="24"/>
      </c>
      <c r="P338" s="67">
        <v>1</v>
      </c>
      <c r="Q338" s="68">
        <f t="shared" si="0"/>
      </c>
      <c r="R338" s="69">
        <f t="shared" si="169"/>
      </c>
      <c r="S338" s="70">
        <f t="shared" si="241"/>
      </c>
      <c r="T338" s="63">
        <f t="shared" si="12"/>
      </c>
      <c r="U338" s="63">
        <f t="shared" si="8"/>
      </c>
      <c r="V338" s="71">
        <f t="shared" si="20"/>
      </c>
      <c r="W338" s="67">
        <v>3</v>
      </c>
      <c r="X338" s="71">
        <f t="shared" si="16"/>
      </c>
      <c r="Y338" s="71">
        <f t="shared" si="248"/>
      </c>
      <c r="Z338" s="63">
        <f t="shared" si="100"/>
      </c>
      <c r="AA338" s="63">
        <f t="shared" si="2"/>
      </c>
      <c r="AB338" s="63">
        <f t="shared" si="4"/>
      </c>
      <c r="AC338" s="68">
        <f t="shared" si="14"/>
      </c>
      <c r="AD338" s="68">
        <f t="shared" si="10"/>
      </c>
      <c r="AE338" s="68">
        <f t="shared" si="22"/>
      </c>
      <c r="AF338" s="68">
        <f t="shared" si="18"/>
      </c>
      <c r="AG338" s="68">
        <f t="shared" si="102"/>
      </c>
      <c r="AH338" s="68">
        <f t="shared" si="26"/>
      </c>
      <c r="AI338" s="68">
        <f t="shared" si="6"/>
      </c>
      <c r="AJ338" s="67">
        <v>73</v>
      </c>
      <c r="AK338" s="72">
        <v>11662</v>
      </c>
      <c r="AL338" s="72">
        <v>338</v>
      </c>
      <c r="AM338" s="67">
        <v>467</v>
      </c>
      <c r="AN338" s="67">
        <v>55</v>
      </c>
      <c r="AO338" s="73">
        <v>20</v>
      </c>
      <c r="AP338" s="67">
        <v>76</v>
      </c>
      <c r="AQ338" s="73">
        <v>56</v>
      </c>
      <c r="AR338" s="73">
        <v>3</v>
      </c>
      <c r="AS338" s="67">
        <v>5</v>
      </c>
      <c r="AT338" s="67">
        <v>1</v>
      </c>
      <c r="AU338" s="67">
        <v>2</v>
      </c>
      <c r="AV338" s="39"/>
      <c r="AW338" s="40"/>
      <c r="AX338" s="41">
        <f t="shared" si="315"/>
      </c>
    </row>
    <row r="339">
      <c r="A339" s="62"/>
      <c r="B339" s="75" t="s">
        <v>66</v>
      </c>
      <c r="C339" s="75"/>
      <c r="D339" s="75"/>
      <c r="E339" s="75"/>
      <c r="F339" s="76">
        <f>SUM(F335:F338)</f>
      </c>
      <c r="G339" s="76">
        <f>SUM(G335:G338)</f>
      </c>
      <c r="H339" s="76">
        <f>SUM(H335:H338)</f>
      </c>
      <c r="I339" s="76">
        <f>SUM(I335:I338)</f>
      </c>
      <c r="J339" s="76">
        <f>SUM(J335:J338)</f>
      </c>
      <c r="K339" s="76">
        <f>SUM(K335:K338)</f>
      </c>
      <c r="L339" s="76">
        <f>SUM(L335:L338)</f>
      </c>
      <c r="M339" s="76">
        <f>SUM(M335:M338)</f>
      </c>
      <c r="N339" s="76">
        <f>SUM(N335:N338)</f>
      </c>
      <c r="O339" s="77">
        <f t="shared" si="24"/>
      </c>
      <c r="P339" s="76">
        <f>SUM(P335:P338)</f>
      </c>
      <c r="Q339" s="77">
        <f t="shared" si="0"/>
      </c>
      <c r="R339" s="91">
        <f>SUM(R335:R338)</f>
      </c>
      <c r="S339" s="76">
        <f>SUM(S335:S338)</f>
      </c>
      <c r="T339" s="76">
        <f t="shared" si="12"/>
      </c>
      <c r="U339" s="76">
        <f t="shared" si="8"/>
      </c>
      <c r="V339" s="79">
        <f t="shared" si="20"/>
      </c>
      <c r="W339" s="76">
        <f>SUM(W335:W338)</f>
      </c>
      <c r="X339" s="79">
        <f t="shared" si="16"/>
      </c>
      <c r="Y339" s="79">
        <f t="shared" si="248"/>
      </c>
      <c r="Z339" s="76">
        <f t="shared" si="100"/>
      </c>
      <c r="AA339" s="76">
        <f t="shared" si="2"/>
      </c>
      <c r="AB339" s="80">
        <f t="shared" si="4"/>
      </c>
      <c r="AC339" s="77">
        <f t="shared" si="14"/>
      </c>
      <c r="AD339" s="77">
        <f t="shared" si="10"/>
      </c>
      <c r="AE339" s="77">
        <f t="shared" si="22"/>
      </c>
      <c r="AF339" s="82">
        <f t="shared" si="18"/>
      </c>
      <c r="AG339" s="77">
        <f t="shared" si="102"/>
      </c>
      <c r="AH339" s="77">
        <f t="shared" si="26"/>
      </c>
      <c r="AI339" s="77">
        <f t="shared" si="6"/>
      </c>
      <c r="AJ339" s="78">
        <f>AVERAGE(AJ335:AJ338)</f>
      </c>
      <c r="AK339" s="76">
        <f>SUM(AK335:AK338)</f>
      </c>
      <c r="AL339" s="76">
        <f>SUM(AL335:AL338)</f>
      </c>
      <c r="AM339" s="76">
        <f>SUM(AM335:AM338)</f>
      </c>
      <c r="AN339" s="76">
        <f>SUM(AN335:AN338)</f>
      </c>
      <c r="AO339" s="76">
        <f>SUM(AO335:AO338)</f>
      </c>
      <c r="AP339" s="76">
        <f>SUM(AP335:AP338)</f>
      </c>
      <c r="AQ339" s="76">
        <f>SUM(AQ335:AQ338)</f>
      </c>
      <c r="AR339" s="76">
        <f>SUM(AR335:AR338)</f>
      </c>
      <c r="AS339" s="76">
        <f>SUM(AS335:AS338)</f>
      </c>
      <c r="AT339" s="76">
        <f>SUM(AT335:AT338)</f>
      </c>
      <c r="AU339" s="76">
        <f>SUM(AU335:AU338)</f>
      </c>
      <c r="AV339" s="39"/>
      <c r="AW339" s="48"/>
      <c r="AX339" s="49">
        <f>SUM(AX335:AX338)</f>
      </c>
    </row>
    <row r="340">
      <c r="A340" s="62"/>
      <c r="B340" s="73" t="s">
        <v>71</v>
      </c>
      <c r="C340" s="41" t="s">
        <v>72</v>
      </c>
      <c r="D340" s="73" t="s">
        <v>61</v>
      </c>
      <c r="E340" s="41" t="s">
        <v>75</v>
      </c>
      <c r="F340" s="63">
        <f t="shared" ref="F340:F342" si="94">G340+H340+I340</f>
      </c>
      <c r="G340" s="81">
        <v>1390.07</v>
      </c>
      <c r="H340" s="81">
        <v>0</v>
      </c>
      <c r="I340" s="64">
        <v>1222.93</v>
      </c>
      <c r="J340" s="65">
        <v>0</v>
      </c>
      <c r="K340" s="65">
        <v>0</v>
      </c>
      <c r="L340" s="65">
        <v>3</v>
      </c>
      <c r="M340" s="65">
        <v>4548.600000000002</v>
      </c>
      <c r="N340" s="67">
        <v>0</v>
      </c>
      <c r="O340" s="68">
        <f t="shared" si="24"/>
      </c>
      <c r="P340" s="67">
        <v>0</v>
      </c>
      <c r="Q340" s="68">
        <f t="shared" si="0"/>
      </c>
      <c r="R340" s="69">
        <f t="shared" ref="R340:R342" si="170">J340+L340</f>
      </c>
      <c r="S340" s="70">
        <f t="shared" ref="S340:S342" si="242">K340+M340</f>
      </c>
      <c r="T340" s="63">
        <f t="shared" si="12"/>
      </c>
      <c r="U340" s="63">
        <f t="shared" si="8"/>
      </c>
      <c r="V340" s="71">
        <f t="shared" si="20"/>
      </c>
      <c r="W340" s="67">
        <v>2</v>
      </c>
      <c r="X340" s="71">
        <f t="shared" si="16"/>
      </c>
      <c r="Y340" s="71">
        <f t="shared" si="248"/>
      </c>
      <c r="Z340" s="63">
        <f t="shared" si="100"/>
      </c>
      <c r="AA340" s="63">
        <f t="shared" si="2"/>
      </c>
      <c r="AB340" s="63">
        <f t="shared" si="4"/>
      </c>
      <c r="AC340" s="68">
        <f t="shared" si="14"/>
      </c>
      <c r="AD340" s="68">
        <f t="shared" si="10"/>
      </c>
      <c r="AE340" s="68">
        <f t="shared" si="22"/>
      </c>
      <c r="AF340" s="68">
        <f t="shared" si="18"/>
      </c>
      <c r="AG340" s="68">
        <f t="shared" si="102"/>
      </c>
      <c r="AH340" s="68">
        <f t="shared" si="26"/>
      </c>
      <c r="AI340" s="68">
        <f t="shared" si="6"/>
      </c>
      <c r="AJ340" s="67">
        <v>71</v>
      </c>
      <c r="AK340" s="72">
        <v>13876</v>
      </c>
      <c r="AL340" s="72">
        <v>450</v>
      </c>
      <c r="AM340" s="72">
        <v>605</v>
      </c>
      <c r="AN340" s="72">
        <v>72</v>
      </c>
      <c r="AO340" s="73">
        <v>22</v>
      </c>
      <c r="AP340" s="72">
        <v>99</v>
      </c>
      <c r="AQ340" s="41">
        <v>85</v>
      </c>
      <c r="AR340" s="73">
        <v>3</v>
      </c>
      <c r="AS340" s="73">
        <v>7</v>
      </c>
      <c r="AT340" s="67">
        <v>1</v>
      </c>
      <c r="AU340" s="67">
        <v>3</v>
      </c>
      <c r="AV340" s="39"/>
      <c r="AW340" s="40"/>
      <c r="AX340" s="41">
        <f t="shared" ref="AX340:AX342" si="316">COUNT(AU340)</f>
      </c>
    </row>
    <row r="341">
      <c r="A341" s="62"/>
      <c r="B341" s="73" t="s">
        <v>71</v>
      </c>
      <c r="C341" s="41" t="s">
        <v>72</v>
      </c>
      <c r="D341" s="73" t="s">
        <v>61</v>
      </c>
      <c r="E341" s="41" t="s">
        <v>76</v>
      </c>
      <c r="F341" s="63">
        <f t="shared" si="94"/>
      </c>
      <c r="G341" s="81">
        <v>1494.95</v>
      </c>
      <c r="H341" s="81">
        <v>0</v>
      </c>
      <c r="I341" s="64">
        <v>625.71</v>
      </c>
      <c r="J341" s="64">
        <v>0</v>
      </c>
      <c r="K341" s="64">
        <v>0</v>
      </c>
      <c r="L341" s="65">
        <v>1</v>
      </c>
      <c r="M341" s="65">
        <v>2033.949999999997</v>
      </c>
      <c r="N341" s="67">
        <v>0</v>
      </c>
      <c r="O341" s="68">
        <f t="shared" si="24"/>
      </c>
      <c r="P341" s="67">
        <v>0</v>
      </c>
      <c r="Q341" s="68">
        <f t="shared" si="0"/>
      </c>
      <c r="R341" s="69">
        <f t="shared" si="170"/>
      </c>
      <c r="S341" s="70">
        <f t="shared" si="242"/>
      </c>
      <c r="T341" s="63">
        <f t="shared" si="12"/>
      </c>
      <c r="U341" s="63">
        <f t="shared" si="8"/>
      </c>
      <c r="V341" s="71">
        <f t="shared" si="20"/>
      </c>
      <c r="W341" s="67">
        <v>0</v>
      </c>
      <c r="X341" s="71">
        <f t="shared" si="16"/>
      </c>
      <c r="Y341" s="71">
        <f t="shared" si="248"/>
      </c>
      <c r="Z341" s="63">
        <f t="shared" si="100"/>
      </c>
      <c r="AA341" s="63">
        <f t="shared" si="2"/>
      </c>
      <c r="AB341" s="63">
        <f t="shared" si="4"/>
      </c>
      <c r="AC341" s="68">
        <f t="shared" si="14"/>
      </c>
      <c r="AD341" s="68">
        <f t="shared" si="10"/>
      </c>
      <c r="AE341" s="68">
        <f t="shared" si="22"/>
      </c>
      <c r="AF341" s="68">
        <f t="shared" si="18"/>
      </c>
      <c r="AG341" s="68">
        <f t="shared" si="102"/>
      </c>
      <c r="AH341" s="68">
        <f t="shared" si="26"/>
      </c>
      <c r="AI341" s="68">
        <f t="shared" si="6"/>
      </c>
      <c r="AJ341" s="67">
        <v>68</v>
      </c>
      <c r="AK341" s="67">
        <v>13499</v>
      </c>
      <c r="AL341" s="72">
        <v>467</v>
      </c>
      <c r="AM341" s="72">
        <v>606</v>
      </c>
      <c r="AN341" s="72">
        <v>69</v>
      </c>
      <c r="AO341" s="73">
        <v>22</v>
      </c>
      <c r="AP341" s="67">
        <v>54</v>
      </c>
      <c r="AQ341" s="73">
        <v>85</v>
      </c>
      <c r="AR341" s="73">
        <v>2</v>
      </c>
      <c r="AS341" s="73">
        <v>4</v>
      </c>
      <c r="AT341" s="67">
        <v>1</v>
      </c>
      <c r="AU341" s="67">
        <v>2</v>
      </c>
      <c r="AV341" s="39"/>
      <c r="AW341" s="40"/>
      <c r="AX341" s="41">
        <f t="shared" si="316"/>
      </c>
    </row>
    <row r="342">
      <c r="A342" s="62"/>
      <c r="B342" s="73" t="s">
        <v>71</v>
      </c>
      <c r="C342" s="41" t="s">
        <v>72</v>
      </c>
      <c r="D342" s="73" t="s">
        <v>61</v>
      </c>
      <c r="E342" s="41" t="s">
        <v>77</v>
      </c>
      <c r="F342" s="63">
        <f t="shared" si="94"/>
      </c>
      <c r="G342" s="81">
        <v>1474.12</v>
      </c>
      <c r="H342" s="81">
        <v>0</v>
      </c>
      <c r="I342" s="64">
        <v>721.99</v>
      </c>
      <c r="J342" s="65">
        <v>0</v>
      </c>
      <c r="K342" s="65">
        <v>0</v>
      </c>
      <c r="L342" s="64">
        <v>4</v>
      </c>
      <c r="M342" s="64">
        <v>8548</v>
      </c>
      <c r="N342" s="67">
        <v>0</v>
      </c>
      <c r="O342" s="68">
        <f t="shared" si="24"/>
      </c>
      <c r="P342" s="67">
        <v>0</v>
      </c>
      <c r="Q342" s="68">
        <f t="shared" si="0"/>
      </c>
      <c r="R342" s="69">
        <f t="shared" si="170"/>
      </c>
      <c r="S342" s="70">
        <f t="shared" si="242"/>
      </c>
      <c r="T342" s="63">
        <f t="shared" si="12"/>
      </c>
      <c r="U342" s="63">
        <f t="shared" si="8"/>
      </c>
      <c r="V342" s="71">
        <f t="shared" si="20"/>
      </c>
      <c r="W342" s="67">
        <v>3</v>
      </c>
      <c r="X342" s="71">
        <f t="shared" si="16"/>
      </c>
      <c r="Y342" s="71">
        <f t="shared" si="248"/>
      </c>
      <c r="Z342" s="63">
        <f t="shared" si="100"/>
      </c>
      <c r="AA342" s="63">
        <f t="shared" si="2"/>
      </c>
      <c r="AB342" s="63">
        <f t="shared" si="4"/>
      </c>
      <c r="AC342" s="68">
        <f t="shared" si="14"/>
      </c>
      <c r="AD342" s="68">
        <f t="shared" si="10"/>
      </c>
      <c r="AE342" s="68">
        <f t="shared" si="22"/>
      </c>
      <c r="AF342" s="68">
        <f t="shared" si="18"/>
      </c>
      <c r="AG342" s="68">
        <f t="shared" si="102"/>
      </c>
      <c r="AH342" s="68">
        <f t="shared" si="26"/>
      </c>
      <c r="AI342" s="68">
        <f t="shared" si="6"/>
      </c>
      <c r="AJ342" s="67">
        <v>67</v>
      </c>
      <c r="AK342" s="72">
        <v>12555</v>
      </c>
      <c r="AL342" s="72">
        <v>476</v>
      </c>
      <c r="AM342" s="72">
        <v>626</v>
      </c>
      <c r="AN342" s="72">
        <v>78</v>
      </c>
      <c r="AO342" s="73">
        <v>21</v>
      </c>
      <c r="AP342" s="72">
        <v>100</v>
      </c>
      <c r="AQ342" s="41">
        <v>86</v>
      </c>
      <c r="AR342" s="73">
        <v>4</v>
      </c>
      <c r="AS342" s="67">
        <v>4</v>
      </c>
      <c r="AT342" s="67">
        <v>0</v>
      </c>
      <c r="AU342" s="67">
        <v>5</v>
      </c>
      <c r="AV342" s="39"/>
      <c r="AW342" s="40"/>
      <c r="AX342" s="41">
        <f t="shared" si="316"/>
      </c>
    </row>
    <row r="343">
      <c r="A343" s="62"/>
      <c r="B343" s="75" t="s">
        <v>66</v>
      </c>
      <c r="C343" s="75"/>
      <c r="D343" s="75"/>
      <c r="E343" s="75"/>
      <c r="F343" s="76">
        <f>SUM(F340:F342)</f>
      </c>
      <c r="G343" s="76">
        <f>SUM(G340:G342)</f>
      </c>
      <c r="H343" s="76">
        <f>SUM(H340:H342)</f>
      </c>
      <c r="I343" s="76">
        <f>SUM(I340:I342)</f>
      </c>
      <c r="J343" s="76">
        <f>SUM(J340:J342)</f>
      </c>
      <c r="K343" s="76">
        <f>SUM(K340:K342)</f>
      </c>
      <c r="L343" s="76">
        <f>SUM(L340:L342)</f>
      </c>
      <c r="M343" s="76">
        <f>SUM(M340:M342)</f>
      </c>
      <c r="N343" s="76">
        <f>SUM(N340:N342)</f>
      </c>
      <c r="O343" s="77">
        <f t="shared" si="24"/>
      </c>
      <c r="P343" s="76">
        <f>SUM(P340:P342)</f>
      </c>
      <c r="Q343" s="77">
        <f t="shared" si="0"/>
      </c>
      <c r="R343" s="78">
        <f>SUM(R340:R342)</f>
      </c>
      <c r="S343" s="76">
        <f>SUM(S340:S342)</f>
      </c>
      <c r="T343" s="76">
        <f t="shared" si="12"/>
      </c>
      <c r="U343" s="76">
        <f t="shared" si="8"/>
      </c>
      <c r="V343" s="79">
        <f t="shared" si="20"/>
      </c>
      <c r="W343" s="76">
        <f>SUM(W340:W342)</f>
      </c>
      <c r="X343" s="79">
        <f t="shared" si="16"/>
      </c>
      <c r="Y343" s="79">
        <f t="shared" si="248"/>
      </c>
      <c r="Z343" s="76">
        <f t="shared" si="100"/>
      </c>
      <c r="AA343" s="76">
        <f t="shared" si="2"/>
      </c>
      <c r="AB343" s="80">
        <f t="shared" si="4"/>
      </c>
      <c r="AC343" s="77">
        <f t="shared" si="14"/>
      </c>
      <c r="AD343" s="77">
        <f t="shared" si="10"/>
      </c>
      <c r="AE343" s="77">
        <f t="shared" si="22"/>
      </c>
      <c r="AF343" s="82">
        <f t="shared" si="18"/>
      </c>
      <c r="AG343" s="77">
        <f t="shared" si="102"/>
      </c>
      <c r="AH343" s="77">
        <f t="shared" si="26"/>
      </c>
      <c r="AI343" s="77">
        <f t="shared" si="6"/>
      </c>
      <c r="AJ343" s="78">
        <f>AVERAGE(AJ340:AJ342)</f>
      </c>
      <c r="AK343" s="76">
        <f>SUM(AK340:AK342)</f>
      </c>
      <c r="AL343" s="76">
        <f>SUM(AL340:AL342)</f>
      </c>
      <c r="AM343" s="76">
        <f>SUM(AM340:AM342)</f>
      </c>
      <c r="AN343" s="76">
        <f>SUM(AN340:AN342)</f>
      </c>
      <c r="AO343" s="76">
        <f>SUM(AO340:AO342)</f>
      </c>
      <c r="AP343" s="76">
        <f>SUM(AP340:AP342)</f>
      </c>
      <c r="AQ343" s="76">
        <f>SUM(AQ340:AQ342)</f>
      </c>
      <c r="AR343" s="76">
        <f>SUM(AR340:AR342)</f>
      </c>
      <c r="AS343" s="76">
        <f>SUM(AS340:AS342)</f>
      </c>
      <c r="AT343" s="76">
        <f>SUM(AT340:AT342)</f>
      </c>
      <c r="AU343" s="76">
        <f>SUM(AU340:AU342)</f>
      </c>
      <c r="AV343" s="39"/>
      <c r="AW343" s="48"/>
      <c r="AX343" s="49">
        <f>SUM(AX340:AX342)</f>
      </c>
    </row>
    <row r="344">
      <c r="A344" s="62"/>
      <c r="B344" s="73" t="s">
        <v>71</v>
      </c>
      <c r="C344" s="41" t="s">
        <v>72</v>
      </c>
      <c r="D344" s="73" t="s">
        <v>85</v>
      </c>
      <c r="E344" s="73" t="s">
        <v>78</v>
      </c>
      <c r="F344" s="63">
        <f t="shared" ref="F344:F346" si="95">G344+H344+I344</f>
      </c>
      <c r="G344" s="81">
        <v>1937.62</v>
      </c>
      <c r="H344" s="81">
        <v>0</v>
      </c>
      <c r="I344" s="64">
        <v>1388.34</v>
      </c>
      <c r="J344" s="65">
        <v>1</v>
      </c>
      <c r="K344" s="65">
        <v>1221.7000000000007</v>
      </c>
      <c r="L344" s="65">
        <v>3</v>
      </c>
      <c r="M344" s="65">
        <v>4533.879999999997</v>
      </c>
      <c r="N344" s="67">
        <v>1</v>
      </c>
      <c r="O344" s="68">
        <f t="shared" si="24"/>
      </c>
      <c r="P344" s="67">
        <v>0</v>
      </c>
      <c r="Q344" s="68">
        <f t="shared" si="0"/>
      </c>
      <c r="R344" s="69">
        <f t="shared" ref="R344:R346" si="171">J344+L344</f>
      </c>
      <c r="S344" s="70">
        <f t="shared" ref="S344:S346" si="243">K344+M344</f>
      </c>
      <c r="T344" s="63">
        <f t="shared" si="12"/>
      </c>
      <c r="U344" s="63">
        <f t="shared" si="8"/>
      </c>
      <c r="V344" s="71">
        <f t="shared" si="20"/>
      </c>
      <c r="W344" s="67">
        <v>4</v>
      </c>
      <c r="X344" s="71">
        <f t="shared" si="16"/>
      </c>
      <c r="Y344" s="71">
        <f t="shared" si="248"/>
      </c>
      <c r="Z344" s="63">
        <f t="shared" si="100"/>
      </c>
      <c r="AA344" s="63">
        <f t="shared" si="2"/>
      </c>
      <c r="AB344" s="63">
        <f t="shared" si="4"/>
      </c>
      <c r="AC344" s="68">
        <f t="shared" si="14"/>
      </c>
      <c r="AD344" s="68">
        <f t="shared" si="10"/>
      </c>
      <c r="AE344" s="68">
        <f t="shared" si="22"/>
      </c>
      <c r="AF344" s="68">
        <f t="shared" si="18"/>
      </c>
      <c r="AG344" s="68">
        <f t="shared" si="102"/>
      </c>
      <c r="AH344" s="68">
        <f t="shared" si="26"/>
      </c>
      <c r="AI344" s="68">
        <f t="shared" si="6"/>
      </c>
      <c r="AJ344" s="67">
        <v>69</v>
      </c>
      <c r="AK344" s="72">
        <v>16419</v>
      </c>
      <c r="AL344" s="72">
        <v>589</v>
      </c>
      <c r="AM344" s="72">
        <v>739</v>
      </c>
      <c r="AN344" s="72">
        <v>126</v>
      </c>
      <c r="AO344" s="73">
        <v>34</v>
      </c>
      <c r="AP344" s="72">
        <v>97</v>
      </c>
      <c r="AQ344" s="41">
        <v>115</v>
      </c>
      <c r="AR344" s="73">
        <v>8</v>
      </c>
      <c r="AS344" s="73">
        <v>3</v>
      </c>
      <c r="AT344" s="67">
        <v>1</v>
      </c>
      <c r="AU344" s="67">
        <v>3</v>
      </c>
      <c r="AV344" s="39"/>
      <c r="AW344" s="40"/>
      <c r="AX344" s="41">
        <f t="shared" ref="AX344:AX346" si="317">COUNT(AU344)</f>
      </c>
    </row>
    <row r="345">
      <c r="A345" s="62"/>
      <c r="B345" s="73" t="s">
        <v>71</v>
      </c>
      <c r="C345" s="41" t="s">
        <v>72</v>
      </c>
      <c r="D345" s="73" t="s">
        <v>85</v>
      </c>
      <c r="E345" s="73" t="s">
        <v>80</v>
      </c>
      <c r="F345" s="63">
        <f t="shared" si="95"/>
      </c>
      <c r="G345" s="81">
        <v>2367.78</v>
      </c>
      <c r="H345" s="81">
        <v>0</v>
      </c>
      <c r="I345" s="64">
        <v>2298.91</v>
      </c>
      <c r="J345" s="64">
        <v>1</v>
      </c>
      <c r="K345" s="64">
        <v>3681.25</v>
      </c>
      <c r="L345" s="65">
        <v>5</v>
      </c>
      <c r="M345" s="65">
        <v>8571.850000000006</v>
      </c>
      <c r="N345" s="67">
        <v>0</v>
      </c>
      <c r="O345" s="68">
        <f t="shared" si="24"/>
      </c>
      <c r="P345" s="67">
        <v>0</v>
      </c>
      <c r="Q345" s="68">
        <f t="shared" si="0"/>
      </c>
      <c r="R345" s="69">
        <f t="shared" si="171"/>
      </c>
      <c r="S345" s="70">
        <f t="shared" si="243"/>
      </c>
      <c r="T345" s="63">
        <f t="shared" si="12"/>
      </c>
      <c r="U345" s="63">
        <f t="shared" si="8"/>
      </c>
      <c r="V345" s="71">
        <f t="shared" si="20"/>
      </c>
      <c r="W345" s="67">
        <v>5</v>
      </c>
      <c r="X345" s="71">
        <f t="shared" si="16"/>
      </c>
      <c r="Y345" s="71">
        <f t="shared" si="248"/>
      </c>
      <c r="Z345" s="63">
        <f t="shared" si="100"/>
      </c>
      <c r="AA345" s="63">
        <f t="shared" si="2"/>
      </c>
      <c r="AB345" s="63">
        <f t="shared" si="4"/>
      </c>
      <c r="AC345" s="68">
        <f t="shared" si="14"/>
      </c>
      <c r="AD345" s="68">
        <f t="shared" si="10"/>
      </c>
      <c r="AE345" s="68">
        <f t="shared" si="22"/>
      </c>
      <c r="AF345" s="68">
        <f t="shared" si="18"/>
      </c>
      <c r="AG345" s="68">
        <f t="shared" si="102"/>
      </c>
      <c r="AH345" s="68">
        <f t="shared" si="26"/>
      </c>
      <c r="AI345" s="68">
        <f t="shared" si="6"/>
      </c>
      <c r="AJ345" s="67">
        <v>67</v>
      </c>
      <c r="AK345" s="67">
        <v>25161</v>
      </c>
      <c r="AL345" s="72">
        <v>835</v>
      </c>
      <c r="AM345" s="72">
        <v>1048</v>
      </c>
      <c r="AN345" s="72">
        <v>168</v>
      </c>
      <c r="AO345" s="73">
        <v>35</v>
      </c>
      <c r="AP345" s="67">
        <v>88</v>
      </c>
      <c r="AQ345" s="73">
        <v>140</v>
      </c>
      <c r="AR345" s="73">
        <v>7</v>
      </c>
      <c r="AS345" s="73">
        <v>10</v>
      </c>
      <c r="AT345" s="67">
        <v>0</v>
      </c>
      <c r="AU345" s="67">
        <v>12</v>
      </c>
      <c r="AV345" s="39"/>
      <c r="AW345" s="40"/>
      <c r="AX345" s="41">
        <f t="shared" si="317"/>
      </c>
    </row>
    <row r="346">
      <c r="A346" s="62"/>
      <c r="B346" s="73" t="s">
        <v>71</v>
      </c>
      <c r="C346" s="41" t="s">
        <v>72</v>
      </c>
      <c r="D346" s="73" t="s">
        <v>85</v>
      </c>
      <c r="E346" s="73" t="s">
        <v>81</v>
      </c>
      <c r="F346" s="63">
        <f t="shared" si="95"/>
      </c>
      <c r="G346" s="81">
        <v>1464.34</v>
      </c>
      <c r="H346" s="81">
        <v>0</v>
      </c>
      <c r="I346" s="64">
        <v>1092.79</v>
      </c>
      <c r="J346" s="65">
        <v>0</v>
      </c>
      <c r="K346" s="65">
        <v>0</v>
      </c>
      <c r="L346" s="64">
        <v>2</v>
      </c>
      <c r="M346" s="64">
        <v>4100.5899999999965</v>
      </c>
      <c r="N346" s="67">
        <v>2</v>
      </c>
      <c r="O346" s="68">
        <f t="shared" si="24"/>
      </c>
      <c r="P346" s="67">
        <v>0</v>
      </c>
      <c r="Q346" s="68">
        <f t="shared" si="0"/>
      </c>
      <c r="R346" s="69">
        <f t="shared" si="171"/>
      </c>
      <c r="S346" s="70">
        <f t="shared" si="243"/>
      </c>
      <c r="T346" s="63">
        <f t="shared" si="12"/>
      </c>
      <c r="U346" s="63">
        <f t="shared" si="8"/>
      </c>
      <c r="V346" s="71">
        <f t="shared" si="20"/>
      </c>
      <c r="W346" s="67">
        <v>2</v>
      </c>
      <c r="X346" s="71">
        <f t="shared" si="16"/>
      </c>
      <c r="Y346" s="71">
        <f t="shared" si="248"/>
      </c>
      <c r="Z346" s="63">
        <f t="shared" si="100"/>
      </c>
      <c r="AA346" s="63">
        <f t="shared" si="2"/>
      </c>
      <c r="AB346" s="63">
        <f t="shared" si="4"/>
      </c>
      <c r="AC346" s="68">
        <f t="shared" si="14"/>
      </c>
      <c r="AD346" s="68">
        <f t="shared" si="10"/>
      </c>
      <c r="AE346" s="68">
        <f t="shared" si="22"/>
      </c>
      <c r="AF346" s="68">
        <f t="shared" si="18"/>
      </c>
      <c r="AG346" s="68">
        <f t="shared" si="102"/>
      </c>
      <c r="AH346" s="68">
        <f t="shared" si="26"/>
      </c>
      <c r="AI346" s="68">
        <f t="shared" si="6"/>
      </c>
      <c r="AJ346" s="67">
        <v>68</v>
      </c>
      <c r="AK346" s="72">
        <v>15376</v>
      </c>
      <c r="AL346" s="72">
        <v>556</v>
      </c>
      <c r="AM346" s="72">
        <v>694</v>
      </c>
      <c r="AN346" s="72">
        <v>108</v>
      </c>
      <c r="AO346" s="73">
        <v>35</v>
      </c>
      <c r="AP346" s="72">
        <v>79</v>
      </c>
      <c r="AQ346" s="41">
        <v>98</v>
      </c>
      <c r="AR346" s="73">
        <v>4</v>
      </c>
      <c r="AS346" s="67">
        <v>12</v>
      </c>
      <c r="AT346" s="67">
        <v>1</v>
      </c>
      <c r="AU346" s="67">
        <v>2</v>
      </c>
      <c r="AV346" s="39"/>
      <c r="AW346" s="40"/>
      <c r="AX346" s="41">
        <f t="shared" si="317"/>
      </c>
    </row>
    <row r="347">
      <c r="A347" s="62"/>
      <c r="B347" s="75" t="s">
        <v>66</v>
      </c>
      <c r="C347" s="75"/>
      <c r="D347" s="75"/>
      <c r="E347" s="75"/>
      <c r="F347" s="76">
        <f>SUM(F344:F346)</f>
      </c>
      <c r="G347" s="76">
        <f>SUM(G344:G346)</f>
      </c>
      <c r="H347" s="76">
        <f>SUM(H344:H346)</f>
      </c>
      <c r="I347" s="76">
        <f>SUM(I344:I346)</f>
      </c>
      <c r="J347" s="76">
        <f>SUM(J344:J346)</f>
      </c>
      <c r="K347" s="76">
        <f>SUM(K344:K346)</f>
      </c>
      <c r="L347" s="76">
        <f>SUM(L344:L346)</f>
      </c>
      <c r="M347" s="76">
        <f>SUM(M344:M346)</f>
      </c>
      <c r="N347" s="76">
        <f>SUM(N344:N346)</f>
      </c>
      <c r="O347" s="77">
        <f t="shared" si="24"/>
      </c>
      <c r="P347" s="76">
        <f>SUM(P344:P346)</f>
      </c>
      <c r="Q347" s="77">
        <f t="shared" si="0"/>
      </c>
      <c r="R347" s="76">
        <f>SUM(R344:R346)</f>
      </c>
      <c r="S347" s="76">
        <f>SUM(S344:S346)</f>
      </c>
      <c r="T347" s="76">
        <f t="shared" si="12"/>
      </c>
      <c r="U347" s="76">
        <f t="shared" si="8"/>
      </c>
      <c r="V347" s="79">
        <f t="shared" si="20"/>
      </c>
      <c r="W347" s="76">
        <f>SUM(W344:W346)</f>
      </c>
      <c r="X347" s="79">
        <f t="shared" si="16"/>
      </c>
      <c r="Y347" s="79">
        <f t="shared" si="248"/>
      </c>
      <c r="Z347" s="76">
        <f t="shared" si="100"/>
      </c>
      <c r="AA347" s="76">
        <f t="shared" si="2"/>
      </c>
      <c r="AB347" s="80">
        <f t="shared" si="4"/>
      </c>
      <c r="AC347" s="77">
        <f t="shared" si="14"/>
      </c>
      <c r="AD347" s="77">
        <f t="shared" si="10"/>
      </c>
      <c r="AE347" s="77">
        <f t="shared" si="22"/>
      </c>
      <c r="AF347" s="82">
        <f t="shared" si="18"/>
      </c>
      <c r="AG347" s="77">
        <f t="shared" si="102"/>
      </c>
      <c r="AH347" s="77">
        <f t="shared" si="26"/>
      </c>
      <c r="AI347" s="77">
        <f t="shared" si="6"/>
      </c>
      <c r="AJ347" s="78">
        <f>AVERAGE(AJ344:AJ346)</f>
      </c>
      <c r="AK347" s="76">
        <f>SUM(AK344:AK346)</f>
      </c>
      <c r="AL347" s="76">
        <f>SUM(AL344:AL346)</f>
      </c>
      <c r="AM347" s="76">
        <f>SUM(AM344:AM346)</f>
      </c>
      <c r="AN347" s="76">
        <f>SUM(AN344:AN346)</f>
      </c>
      <c r="AO347" s="76">
        <f>SUM(AO344:AO346)</f>
      </c>
      <c r="AP347" s="76">
        <f>SUM(AP344:AP346)</f>
      </c>
      <c r="AQ347" s="76">
        <f>SUM(AQ344:AQ346)</f>
      </c>
      <c r="AR347" s="76">
        <f>SUM(AR344:AR346)</f>
      </c>
      <c r="AS347" s="76">
        <f>SUM(AS344:AS346)</f>
      </c>
      <c r="AT347" s="76">
        <f>SUM(AT344:AT346)</f>
      </c>
      <c r="AU347" s="76">
        <f>SUM(AU344:AU346)</f>
      </c>
      <c r="AV347" s="76"/>
      <c r="AW347" s="76"/>
      <c r="AX347" s="76">
        <f>SUM(AX344:AX346)</f>
      </c>
    </row>
    <row r="348">
      <c r="A348" s="62"/>
      <c r="B348" s="84" t="s">
        <v>84</v>
      </c>
      <c r="C348" s="84"/>
      <c r="D348" s="84"/>
      <c r="E348" s="84"/>
      <c r="F348" s="85">
        <f>F343+F339+F334+F347</f>
      </c>
      <c r="G348" s="85">
        <f>G343+G339+G334+G347</f>
      </c>
      <c r="H348" s="85">
        <f>H343+H339+H334+H347</f>
      </c>
      <c r="I348" s="85">
        <f>I343+I339+I334+I347</f>
      </c>
      <c r="J348" s="85">
        <f>J343+J339+J334+J347</f>
      </c>
      <c r="K348" s="85">
        <f>K343+K339+K334+K347</f>
      </c>
      <c r="L348" s="85">
        <f>L343+L339+L334+L347</f>
      </c>
      <c r="M348" s="85">
        <f>M343+M339+M334+M347</f>
      </c>
      <c r="N348" s="85">
        <f>N343+N339+N334+N347</f>
      </c>
      <c r="O348" s="86">
        <f t="shared" si="24"/>
      </c>
      <c r="P348" s="85">
        <f>P343+P339+P334+P347</f>
      </c>
      <c r="Q348" s="86">
        <f t="shared" si="0"/>
      </c>
      <c r="R348" s="85">
        <f>R343+R339+R334+R347</f>
      </c>
      <c r="S348" s="85">
        <f>S343+S339+S334+S347</f>
      </c>
      <c r="T348" s="85">
        <f t="shared" si="12"/>
      </c>
      <c r="U348" s="85">
        <f t="shared" si="8"/>
      </c>
      <c r="V348" s="88">
        <f t="shared" si="20"/>
      </c>
      <c r="W348" s="85">
        <f>W343+W339+W334+W347</f>
      </c>
      <c r="X348" s="88">
        <f t="shared" si="16"/>
      </c>
      <c r="Y348" s="88">
        <f t="shared" si="248"/>
      </c>
      <c r="Z348" s="85">
        <f t="shared" si="100"/>
      </c>
      <c r="AA348" s="85">
        <f t="shared" si="2"/>
      </c>
      <c r="AB348" s="89">
        <f t="shared" si="4"/>
      </c>
      <c r="AC348" s="86">
        <f t="shared" si="14"/>
      </c>
      <c r="AD348" s="86">
        <f t="shared" si="10"/>
      </c>
      <c r="AE348" s="86">
        <f t="shared" si="22"/>
      </c>
      <c r="AF348" s="90">
        <f t="shared" si="18"/>
      </c>
      <c r="AG348" s="86">
        <f t="shared" si="102"/>
      </c>
      <c r="AH348" s="86">
        <f t="shared" si="26"/>
      </c>
      <c r="AI348" s="86">
        <f t="shared" si="6"/>
      </c>
      <c r="AJ348" s="87">
        <f>(AJ343+AJ339+AJ334+AJ347)/4</f>
      </c>
      <c r="AK348" s="85">
        <f>AK343+AK339+AK334+AK347</f>
      </c>
      <c r="AL348" s="85">
        <f>AL343+AL339+AL334+AL347</f>
      </c>
      <c r="AM348" s="85">
        <f>AM343+AM339+AM334+AM347</f>
      </c>
      <c r="AN348" s="85">
        <f>AN343+AN339+AN334+AN347</f>
      </c>
      <c r="AO348" s="85">
        <f>AO343+AO339+AO334+AO347</f>
      </c>
      <c r="AP348" s="85">
        <f>AP343+AP339+AP334+AP347</f>
      </c>
      <c r="AQ348" s="85">
        <f>AQ343+AQ339+AQ334+AQ347</f>
      </c>
      <c r="AR348" s="85">
        <f>AR343+AR339+AR334+AR347</f>
      </c>
      <c r="AS348" s="85">
        <f>AS343+AS339+AS334+AS347</f>
      </c>
      <c r="AT348" s="85">
        <f>AT343+AT339+AT334+AT347</f>
      </c>
      <c r="AU348" s="85">
        <f>AU343+AU339+AU334+AU347</f>
      </c>
      <c r="AV348" s="39"/>
      <c r="AW348" s="84">
        <f>AW334+AW339+AW343+AW347</f>
      </c>
      <c r="AX348" s="84">
        <f>AX334+AX339+AX343+AX347</f>
      </c>
    </row>
    <row r="349">
      <c r="A349" s="1" t="s">
        <v>1</v>
      </c>
      <c r="B349" s="2" t="s">
        <v>2</v>
      </c>
      <c r="C349" s="2"/>
      <c r="D349" s="2"/>
      <c r="E349" s="2"/>
      <c r="F349" s="3" t="s">
        <v>3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4" t="s">
        <v>4</v>
      </c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5" t="s">
        <v>5</v>
      </c>
      <c r="AW349" s="5"/>
      <c r="AX349" s="6" t="s">
        <v>6</v>
      </c>
    </row>
    <row r="350">
      <c r="A350" s="1"/>
      <c r="B350" s="2"/>
      <c r="C350" s="2"/>
      <c r="D350" s="2"/>
      <c r="E350" s="2"/>
      <c r="F350" s="7" t="s">
        <v>7</v>
      </c>
      <c r="G350" s="7"/>
      <c r="H350" s="7"/>
      <c r="I350" s="7"/>
      <c r="J350" s="8" t="s">
        <v>8</v>
      </c>
      <c r="K350" s="8"/>
      <c r="L350" s="8"/>
      <c r="M350" s="8"/>
      <c r="N350" s="8"/>
      <c r="O350" s="8"/>
      <c r="P350" s="8"/>
      <c r="Q350" s="8"/>
      <c r="R350" s="8"/>
      <c r="S350" s="8"/>
      <c r="T350" s="9" t="s">
        <v>9</v>
      </c>
      <c r="U350" s="9"/>
      <c r="V350" s="9"/>
      <c r="W350" s="9"/>
      <c r="X350" s="9"/>
      <c r="Y350" s="9"/>
      <c r="Z350" s="10" t="s">
        <v>10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1" t="s">
        <v>11</v>
      </c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2"/>
      <c r="AW350" s="12"/>
      <c r="AX350" s="6"/>
    </row>
    <row r="351">
      <c r="A351" s="1"/>
      <c r="B351" s="13" t="s">
        <v>12</v>
      </c>
      <c r="C351" s="13" t="s">
        <v>13</v>
      </c>
      <c r="D351" s="13" t="s">
        <v>14</v>
      </c>
      <c r="E351" s="13" t="s">
        <v>15</v>
      </c>
      <c r="F351" s="7" t="s">
        <v>16</v>
      </c>
      <c r="G351" s="14" t="s">
        <v>17</v>
      </c>
      <c r="H351" s="14" t="s">
        <v>18</v>
      </c>
      <c r="I351" s="7" t="s">
        <v>19</v>
      </c>
      <c r="J351" s="8" t="s">
        <v>20</v>
      </c>
      <c r="K351" s="8" t="s">
        <v>21</v>
      </c>
      <c r="L351" s="8" t="s">
        <v>22</v>
      </c>
      <c r="M351" s="8" t="s">
        <v>23</v>
      </c>
      <c r="N351" s="14" t="s">
        <v>24</v>
      </c>
      <c r="O351" s="8" t="s">
        <v>25</v>
      </c>
      <c r="P351" s="14" t="s">
        <v>26</v>
      </c>
      <c r="Q351" s="8" t="s">
        <v>27</v>
      </c>
      <c r="R351" s="15" t="s">
        <v>28</v>
      </c>
      <c r="S351" s="16" t="s">
        <v>29</v>
      </c>
      <c r="T351" s="9" t="s">
        <v>30</v>
      </c>
      <c r="U351" s="17" t="s">
        <v>31</v>
      </c>
      <c r="V351" s="9" t="s">
        <v>32</v>
      </c>
      <c r="W351" s="14" t="s">
        <v>33</v>
      </c>
      <c r="X351" s="9" t="s">
        <v>34</v>
      </c>
      <c r="Y351" s="9" t="s">
        <v>35</v>
      </c>
      <c r="Z351" s="18" t="s">
        <v>36</v>
      </c>
      <c r="AA351" s="18" t="s">
        <v>37</v>
      </c>
      <c r="AB351" s="19" t="s">
        <v>38</v>
      </c>
      <c r="AC351" s="18" t="s">
        <v>39</v>
      </c>
      <c r="AD351" s="18" t="s">
        <v>40</v>
      </c>
      <c r="AE351" s="18" t="s">
        <v>41</v>
      </c>
      <c r="AF351" s="18" t="s">
        <v>42</v>
      </c>
      <c r="AG351" s="18" t="s">
        <v>43</v>
      </c>
      <c r="AH351" s="18" t="s">
        <v>44</v>
      </c>
      <c r="AI351" s="18" t="s">
        <v>45</v>
      </c>
      <c r="AJ351" s="20" t="s">
        <v>46</v>
      </c>
      <c r="AK351" s="11" t="s">
        <v>47</v>
      </c>
      <c r="AL351" s="11" t="s">
        <v>48</v>
      </c>
      <c r="AM351" s="11" t="s">
        <v>49</v>
      </c>
      <c r="AN351" s="11" t="s">
        <v>50</v>
      </c>
      <c r="AO351" s="21" t="s">
        <v>51</v>
      </c>
      <c r="AP351" s="11" t="s">
        <v>52</v>
      </c>
      <c r="AQ351" s="11" t="s">
        <v>53</v>
      </c>
      <c r="AR351" s="21" t="s">
        <v>54</v>
      </c>
      <c r="AS351" s="11" t="s">
        <v>55</v>
      </c>
      <c r="AT351" s="11" t="s">
        <v>56</v>
      </c>
      <c r="AU351" s="11" t="s">
        <v>57</v>
      </c>
      <c r="AV351" s="22"/>
      <c r="AW351" s="23"/>
      <c r="AX351" s="24" t="s">
        <v>58</v>
      </c>
    </row>
    <row r="352">
      <c r="A352" s="62">
        <v>46314</v>
      </c>
      <c r="B352" s="73" t="s">
        <v>92</v>
      </c>
      <c r="C352" s="41" t="s">
        <v>60</v>
      </c>
      <c r="D352" s="73" t="s">
        <v>74</v>
      </c>
      <c r="E352" s="28" t="s">
        <v>62</v>
      </c>
      <c r="F352" s="63">
        <f t="shared" ref="F352:F355" si="96">G352+H352+I352</f>
      </c>
      <c r="G352" s="81">
        <v>997.48</v>
      </c>
      <c r="H352" s="81">
        <v>0</v>
      </c>
      <c r="I352" s="64">
        <v>2181.4</v>
      </c>
      <c r="J352" s="65">
        <v>0</v>
      </c>
      <c r="K352" s="92">
        <v>0</v>
      </c>
      <c r="L352" s="65">
        <v>2</v>
      </c>
      <c r="M352" s="65">
        <v>2916.41</v>
      </c>
      <c r="N352" s="67">
        <v>1</v>
      </c>
      <c r="O352" s="68">
        <f t="shared" ref="O352:O370" si="25">N352/R352</f>
      </c>
      <c r="P352" s="67">
        <v>0</v>
      </c>
      <c r="Q352" s="68">
        <f t="shared" ref="Q352:Q370" si="1">P352/R352</f>
      </c>
      <c r="R352" s="69">
        <f t="shared" ref="R352:R355" si="172">J352+L352</f>
      </c>
      <c r="S352" s="70">
        <f t="shared" ref="S352:S355" si="244">K352+M352</f>
      </c>
      <c r="T352" s="63">
        <f t="shared" ref="T352:T370" si="13">S352/F352</f>
      </c>
      <c r="U352" s="63">
        <f t="shared" ref="U352:U370" si="9">S352/(F352+(AX352*500)+F352*3%)</f>
      </c>
      <c r="V352" s="71">
        <f t="shared" ref="V352:V370" si="21">S352/R352</f>
      </c>
      <c r="W352" s="67">
        <v>2</v>
      </c>
      <c r="X352" s="71">
        <f t="shared" ref="X352:X370" si="17">F352/W352</f>
      </c>
      <c r="Y352" s="71">
        <f t="shared" ref="Y352:Y370" si="249">F352/R352</f>
      </c>
      <c r="Z352" s="63">
        <f t="shared" ref="Z352:Z370" si="101">F352/AL352</f>
      </c>
      <c r="AA352" s="63">
        <f t="shared" ref="AA352:AA370" si="3">F352/AK352*1000</f>
      </c>
      <c r="AB352" s="63">
        <f t="shared" ref="AB352:AB370" si="5">F352/AN352</f>
      </c>
      <c r="AC352" s="68">
        <f t="shared" ref="AC352:AC370" si="15">AL352/AK352</f>
      </c>
      <c r="AD352" s="68">
        <f t="shared" ref="AD352:AD370" si="11">AN352/AM352</f>
      </c>
      <c r="AE352" s="68">
        <f t="shared" ref="AE352:AE370" si="23">AP352/AM352</f>
      </c>
      <c r="AF352" s="68">
        <f t="shared" ref="AF352:AF370" si="19">R352/AO352</f>
      </c>
      <c r="AG352" s="68">
        <f t="shared" ref="AG352:AG370" si="103">AR352/AN352</f>
      </c>
      <c r="AH352" s="68">
        <f t="shared" ref="AH352:AH370" si="27">R352/AR352</f>
      </c>
      <c r="AI352" s="68">
        <f t="shared" ref="AI352:AI370" si="7">AQ352/AM352</f>
      </c>
      <c r="AJ352" s="67">
        <v>40</v>
      </c>
      <c r="AK352" s="72">
        <v>12915</v>
      </c>
      <c r="AL352" s="72">
        <v>314</v>
      </c>
      <c r="AM352" s="72">
        <v>381</v>
      </c>
      <c r="AN352" s="72">
        <v>76</v>
      </c>
      <c r="AO352" s="93">
        <v>21</v>
      </c>
      <c r="AP352" s="26">
        <v>36</v>
      </c>
      <c r="AQ352" s="94">
        <v>66</v>
      </c>
      <c r="AR352" s="73">
        <v>2</v>
      </c>
      <c r="AS352" s="73">
        <v>3</v>
      </c>
      <c r="AT352" s="67">
        <v>0</v>
      </c>
      <c r="AU352" s="67">
        <v>4</v>
      </c>
      <c r="AV352" s="39"/>
      <c r="AW352" s="40"/>
      <c r="AX352" s="41">
        <f t="shared" ref="AX352:AX355" si="318">COUNT(AU352)</f>
      </c>
    </row>
    <row r="353">
      <c r="A353" s="62"/>
      <c r="B353" s="73" t="s">
        <v>92</v>
      </c>
      <c r="C353" s="41" t="s">
        <v>60</v>
      </c>
      <c r="D353" s="73" t="s">
        <v>74</v>
      </c>
      <c r="E353" s="28" t="s">
        <v>63</v>
      </c>
      <c r="F353" s="63">
        <f t="shared" si="96"/>
      </c>
      <c r="G353" s="81">
        <v>614.2</v>
      </c>
      <c r="H353" s="81">
        <v>0</v>
      </c>
      <c r="I353" s="64">
        <v>1997.98</v>
      </c>
      <c r="J353" s="95">
        <v>0</v>
      </c>
      <c r="K353" s="96">
        <v>0</v>
      </c>
      <c r="L353" s="97">
        <v>2</v>
      </c>
      <c r="M353" s="65">
        <v>3358.8999999999996</v>
      </c>
      <c r="N353" s="67">
        <v>0</v>
      </c>
      <c r="O353" s="68">
        <f t="shared" si="25"/>
      </c>
      <c r="P353" s="67">
        <v>0</v>
      </c>
      <c r="Q353" s="68">
        <f t="shared" si="1"/>
      </c>
      <c r="R353" s="69">
        <f t="shared" si="172"/>
      </c>
      <c r="S353" s="70">
        <f t="shared" si="244"/>
      </c>
      <c r="T353" s="63">
        <f t="shared" si="13"/>
      </c>
      <c r="U353" s="63">
        <f t="shared" si="9"/>
      </c>
      <c r="V353" s="71">
        <f t="shared" si="21"/>
      </c>
      <c r="W353" s="67">
        <v>2</v>
      </c>
      <c r="X353" s="71">
        <f t="shared" si="17"/>
      </c>
      <c r="Y353" s="71">
        <f t="shared" si="249"/>
      </c>
      <c r="Z353" s="63">
        <f t="shared" si="101"/>
      </c>
      <c r="AA353" s="63">
        <f t="shared" si="3"/>
      </c>
      <c r="AB353" s="63">
        <f t="shared" si="5"/>
      </c>
      <c r="AC353" s="68">
        <f t="shared" si="15"/>
      </c>
      <c r="AD353" s="68">
        <f t="shared" si="11"/>
      </c>
      <c r="AE353" s="68">
        <f t="shared" si="23"/>
      </c>
      <c r="AF353" s="68">
        <f t="shared" si="19"/>
      </c>
      <c r="AG353" s="68">
        <f t="shared" si="103"/>
      </c>
      <c r="AH353" s="68">
        <f t="shared" si="27"/>
      </c>
      <c r="AI353" s="68">
        <f t="shared" si="7"/>
      </c>
      <c r="AJ353" s="67">
        <v>57</v>
      </c>
      <c r="AK353" s="72">
        <v>11499</v>
      </c>
      <c r="AL353" s="72">
        <v>272</v>
      </c>
      <c r="AM353" s="72">
        <v>329</v>
      </c>
      <c r="AN353" s="72">
        <v>74</v>
      </c>
      <c r="AO353" s="73">
        <v>25</v>
      </c>
      <c r="AP353" s="98">
        <v>70</v>
      </c>
      <c r="AQ353" s="73">
        <v>58</v>
      </c>
      <c r="AR353" s="73">
        <v>2</v>
      </c>
      <c r="AS353" s="67">
        <v>4</v>
      </c>
      <c r="AT353" s="67">
        <v>1</v>
      </c>
      <c r="AU353" s="67">
        <v>6</v>
      </c>
      <c r="AV353" s="39"/>
      <c r="AW353" s="40"/>
      <c r="AX353" s="41">
        <f t="shared" si="318"/>
      </c>
    </row>
    <row r="354">
      <c r="A354" s="62"/>
      <c r="B354" s="73" t="s">
        <v>92</v>
      </c>
      <c r="C354" s="41" t="s">
        <v>60</v>
      </c>
      <c r="D354" s="73" t="s">
        <v>74</v>
      </c>
      <c r="E354" s="28" t="s">
        <v>64</v>
      </c>
      <c r="F354" s="63">
        <f t="shared" si="96"/>
      </c>
      <c r="G354" s="99">
        <v>608.15</v>
      </c>
      <c r="H354" s="81">
        <v>0</v>
      </c>
      <c r="I354" s="64">
        <v>2165.14</v>
      </c>
      <c r="J354" s="64">
        <v>2</v>
      </c>
      <c r="K354" s="100">
        <v>1594.58</v>
      </c>
      <c r="L354" s="64">
        <v>3</v>
      </c>
      <c r="M354" s="64">
        <v>5822.610000000001</v>
      </c>
      <c r="N354" s="67">
        <v>3</v>
      </c>
      <c r="O354" s="68">
        <f t="shared" si="25"/>
      </c>
      <c r="P354" s="67">
        <v>0</v>
      </c>
      <c r="Q354" s="68">
        <f t="shared" si="1"/>
      </c>
      <c r="R354" s="69">
        <f t="shared" si="172"/>
      </c>
      <c r="S354" s="70">
        <f t="shared" si="244"/>
      </c>
      <c r="T354" s="63">
        <f t="shared" si="13"/>
      </c>
      <c r="U354" s="63">
        <f t="shared" si="9"/>
      </c>
      <c r="V354" s="71">
        <f t="shared" si="21"/>
      </c>
      <c r="W354" s="67">
        <v>2</v>
      </c>
      <c r="X354" s="71">
        <f t="shared" si="17"/>
      </c>
      <c r="Y354" s="71">
        <f t="shared" si="249"/>
      </c>
      <c r="Z354" s="63">
        <f t="shared" si="101"/>
      </c>
      <c r="AA354" s="63">
        <f t="shared" si="3"/>
      </c>
      <c r="AB354" s="63">
        <f t="shared" si="5"/>
      </c>
      <c r="AC354" s="68">
        <f t="shared" si="15"/>
      </c>
      <c r="AD354" s="68">
        <f t="shared" si="11"/>
      </c>
      <c r="AE354" s="68">
        <f t="shared" si="23"/>
      </c>
      <c r="AF354" s="68">
        <f t="shared" si="19"/>
      </c>
      <c r="AG354" s="68">
        <f t="shared" si="103"/>
      </c>
      <c r="AH354" s="68">
        <f t="shared" si="27"/>
      </c>
      <c r="AI354" s="68">
        <f t="shared" si="7"/>
      </c>
      <c r="AJ354" s="67">
        <v>64</v>
      </c>
      <c r="AK354" s="72">
        <v>9714</v>
      </c>
      <c r="AL354" s="72">
        <v>208</v>
      </c>
      <c r="AM354" s="72">
        <v>260</v>
      </c>
      <c r="AN354" s="72">
        <v>57</v>
      </c>
      <c r="AO354" s="73">
        <v>26</v>
      </c>
      <c r="AP354" s="72">
        <v>53</v>
      </c>
      <c r="AQ354" s="41">
        <v>53</v>
      </c>
      <c r="AR354" s="73">
        <v>7</v>
      </c>
      <c r="AS354" s="67">
        <v>3</v>
      </c>
      <c r="AT354" s="67">
        <v>1</v>
      </c>
      <c r="AU354" s="67">
        <v>6</v>
      </c>
      <c r="AV354" s="39"/>
      <c r="AW354" s="40"/>
      <c r="AX354" s="41">
        <f t="shared" si="318"/>
      </c>
    </row>
    <row r="355">
      <c r="A355" s="62"/>
      <c r="B355" s="73" t="s">
        <v>92</v>
      </c>
      <c r="C355" s="41" t="s">
        <v>60</v>
      </c>
      <c r="D355" s="73" t="s">
        <v>74</v>
      </c>
      <c r="E355" s="41" t="s">
        <v>65</v>
      </c>
      <c r="F355" s="101">
        <f t="shared" si="96"/>
      </c>
      <c r="G355" s="30">
        <v>370.75</v>
      </c>
      <c r="H355" s="102">
        <v>0</v>
      </c>
      <c r="I355" s="65">
        <v>2541.6</v>
      </c>
      <c r="J355" s="65">
        <v>1</v>
      </c>
      <c r="K355" s="65">
        <v>1853.7399999999998</v>
      </c>
      <c r="L355" s="65">
        <v>4</v>
      </c>
      <c r="M355" s="65">
        <v>6161.160000000002</v>
      </c>
      <c r="N355" s="67">
        <v>2</v>
      </c>
      <c r="O355" s="68">
        <f t="shared" si="25"/>
      </c>
      <c r="P355" s="67">
        <v>1</v>
      </c>
      <c r="Q355" s="68">
        <f t="shared" si="1"/>
      </c>
      <c r="R355" s="69">
        <f t="shared" si="172"/>
      </c>
      <c r="S355" s="70">
        <f t="shared" si="244"/>
      </c>
      <c r="T355" s="63">
        <f t="shared" si="13"/>
      </c>
      <c r="U355" s="63">
        <f t="shared" si="9"/>
      </c>
      <c r="V355" s="71">
        <f t="shared" si="21"/>
      </c>
      <c r="W355" s="67">
        <v>4</v>
      </c>
      <c r="X355" s="71">
        <f t="shared" si="17"/>
      </c>
      <c r="Y355" s="71">
        <f t="shared" si="249"/>
      </c>
      <c r="Z355" s="63">
        <f t="shared" si="101"/>
      </c>
      <c r="AA355" s="63">
        <f t="shared" si="3"/>
      </c>
      <c r="AB355" s="63">
        <f t="shared" si="5"/>
      </c>
      <c r="AC355" s="68">
        <f t="shared" si="15"/>
      </c>
      <c r="AD355" s="68">
        <f t="shared" si="11"/>
      </c>
      <c r="AE355" s="68">
        <f t="shared" si="23"/>
      </c>
      <c r="AF355" s="68">
        <f t="shared" si="19"/>
      </c>
      <c r="AG355" s="68">
        <f t="shared" si="103"/>
      </c>
      <c r="AH355" s="68">
        <f t="shared" si="27"/>
      </c>
      <c r="AI355" s="68">
        <f t="shared" si="7"/>
      </c>
      <c r="AJ355" s="67">
        <v>69</v>
      </c>
      <c r="AK355" s="72">
        <v>11725</v>
      </c>
      <c r="AL355" s="72">
        <v>234</v>
      </c>
      <c r="AM355" s="72">
        <v>265</v>
      </c>
      <c r="AN355" s="72">
        <v>55</v>
      </c>
      <c r="AO355" s="73">
        <v>17</v>
      </c>
      <c r="AP355" s="72">
        <v>76</v>
      </c>
      <c r="AQ355" s="41">
        <v>59</v>
      </c>
      <c r="AR355" s="73">
        <v>7</v>
      </c>
      <c r="AS355" s="67">
        <v>4</v>
      </c>
      <c r="AT355" s="67">
        <v>4</v>
      </c>
      <c r="AU355" s="67">
        <v>5</v>
      </c>
      <c r="AV355" s="39"/>
      <c r="AW355" s="40"/>
      <c r="AX355" s="41">
        <f t="shared" si="318"/>
      </c>
    </row>
    <row r="356">
      <c r="A356" s="62"/>
      <c r="B356" s="75" t="s">
        <v>66</v>
      </c>
      <c r="C356" s="75"/>
      <c r="D356" s="75"/>
      <c r="E356" s="75"/>
      <c r="F356" s="76">
        <f>SUM(F352:F355)</f>
      </c>
      <c r="G356" s="103">
        <f>SUM(G352:G355)</f>
      </c>
      <c r="H356" s="76">
        <f>SUM(H352:H355)</f>
      </c>
      <c r="I356" s="76">
        <f>SUM(I352:I355)</f>
      </c>
      <c r="J356" s="76">
        <f>SUM(J352:J355)</f>
      </c>
      <c r="K356" s="76">
        <f>SUM(K352:K355)</f>
      </c>
      <c r="L356" s="76">
        <f>SUM(L352:L355)</f>
      </c>
      <c r="M356" s="76">
        <f>SUM(M352:M355)</f>
      </c>
      <c r="N356" s="76">
        <f>SUM(N352:N355)</f>
      </c>
      <c r="O356" s="77">
        <f t="shared" si="25"/>
      </c>
      <c r="P356" s="76">
        <f>SUM(P352:P355)</f>
      </c>
      <c r="Q356" s="77">
        <f t="shared" si="1"/>
      </c>
      <c r="R356" s="76">
        <f>SUM(R352:R355)</f>
      </c>
      <c r="S356" s="76">
        <f>SUM(S352:S355)</f>
      </c>
      <c r="T356" s="76">
        <f t="shared" si="13"/>
      </c>
      <c r="U356" s="76">
        <f t="shared" si="9"/>
      </c>
      <c r="V356" s="76">
        <f t="shared" si="21"/>
      </c>
      <c r="W356" s="76">
        <f>SUM(W352:W355)</f>
      </c>
      <c r="X356" s="79">
        <f t="shared" si="17"/>
      </c>
      <c r="Y356" s="79">
        <f t="shared" si="249"/>
      </c>
      <c r="Z356" s="76">
        <f t="shared" si="101"/>
      </c>
      <c r="AA356" s="76">
        <f t="shared" si="3"/>
      </c>
      <c r="AB356" s="80">
        <f t="shared" si="5"/>
      </c>
      <c r="AC356" s="77">
        <f t="shared" si="15"/>
      </c>
      <c r="AD356" s="77">
        <f t="shared" si="11"/>
      </c>
      <c r="AE356" s="77">
        <f t="shared" si="23"/>
      </c>
      <c r="AF356" s="77">
        <f t="shared" si="19"/>
      </c>
      <c r="AG356" s="77">
        <f t="shared" si="103"/>
      </c>
      <c r="AH356" s="77">
        <f t="shared" si="27"/>
      </c>
      <c r="AI356" s="77">
        <f t="shared" si="7"/>
      </c>
      <c r="AJ356" s="78">
        <f>AVERAGE(AJ352:AJ355)</f>
      </c>
      <c r="AK356" s="76">
        <f>SUM(AK352:AK355)</f>
      </c>
      <c r="AL356" s="76">
        <f>SUM(AL352:AL355)</f>
      </c>
      <c r="AM356" s="76">
        <f>SUM(AM352:AM355)</f>
      </c>
      <c r="AN356" s="76">
        <f>SUM(AN352:AN355)</f>
      </c>
      <c r="AO356" s="76">
        <f>SUM(AO352:AO355)</f>
      </c>
      <c r="AP356" s="76">
        <f>SUM(AP352:AP355)</f>
      </c>
      <c r="AQ356" s="76">
        <f>SUM(AQ352:AQ355)</f>
      </c>
      <c r="AR356" s="76">
        <f>SUM(AR352:AR355)</f>
      </c>
      <c r="AS356" s="76">
        <f>SUM(AS352:AS355)</f>
      </c>
      <c r="AT356" s="76">
        <f>SUM(AT352:AT355)</f>
      </c>
      <c r="AU356" s="76">
        <f>SUM(AU352:AU355)</f>
      </c>
      <c r="AV356" s="39"/>
      <c r="AW356" s="48"/>
      <c r="AX356" s="76">
        <f>SUM(AX352:AX355)</f>
      </c>
    </row>
    <row r="357">
      <c r="A357" s="62"/>
      <c r="B357" s="73" t="s">
        <v>92</v>
      </c>
      <c r="C357" s="41" t="s">
        <v>60</v>
      </c>
      <c r="D357" s="73" t="s">
        <v>79</v>
      </c>
      <c r="E357" s="41" t="s">
        <v>68</v>
      </c>
      <c r="F357" s="63">
        <f t="shared" ref="F357:F360" si="97">G357+H357+I357</f>
      </c>
      <c r="G357" s="81">
        <v>291.52</v>
      </c>
      <c r="H357" s="81">
        <v>0</v>
      </c>
      <c r="I357" s="64">
        <v>2937.38</v>
      </c>
      <c r="J357" s="64">
        <v>0</v>
      </c>
      <c r="K357" s="64">
        <v>0</v>
      </c>
      <c r="L357" s="64">
        <v>2</v>
      </c>
      <c r="M357" s="64">
        <v>3622.3499999999985</v>
      </c>
      <c r="N357" s="67">
        <v>0</v>
      </c>
      <c r="O357" s="68">
        <f t="shared" si="25"/>
      </c>
      <c r="P357" s="67">
        <v>0</v>
      </c>
      <c r="Q357" s="68">
        <f t="shared" si="1"/>
      </c>
      <c r="R357" s="69">
        <f t="shared" ref="R357:R360" si="173">J357+L357</f>
      </c>
      <c r="S357" s="70">
        <f t="shared" ref="S357:S360" si="245">K357+M357</f>
      </c>
      <c r="T357" s="63">
        <f t="shared" si="13"/>
      </c>
      <c r="U357" s="63">
        <f t="shared" si="9"/>
      </c>
      <c r="V357" s="71">
        <f t="shared" si="21"/>
      </c>
      <c r="W357" s="67">
        <v>2</v>
      </c>
      <c r="X357" s="71">
        <f t="shared" si="17"/>
      </c>
      <c r="Y357" s="71">
        <f t="shared" si="249"/>
      </c>
      <c r="Z357" s="63">
        <f t="shared" si="101"/>
      </c>
      <c r="AA357" s="63">
        <f t="shared" si="3"/>
      </c>
      <c r="AB357" s="63">
        <f t="shared" si="5"/>
      </c>
      <c r="AC357" s="68">
        <f t="shared" si="15"/>
      </c>
      <c r="AD357" s="68">
        <f t="shared" si="11"/>
      </c>
      <c r="AE357" s="68">
        <f t="shared" si="23"/>
      </c>
      <c r="AF357" s="68">
        <f t="shared" si="19"/>
      </c>
      <c r="AG357" s="68">
        <f t="shared" si="103"/>
      </c>
      <c r="AH357" s="68">
        <f t="shared" si="27"/>
      </c>
      <c r="AI357" s="68">
        <f t="shared" si="7"/>
      </c>
      <c r="AJ357" s="67">
        <v>77</v>
      </c>
      <c r="AK357" s="72">
        <v>11131</v>
      </c>
      <c r="AL357" s="72">
        <v>253</v>
      </c>
      <c r="AM357" s="72">
        <v>288</v>
      </c>
      <c r="AN357" s="72">
        <v>79</v>
      </c>
      <c r="AO357" s="73">
        <v>31</v>
      </c>
      <c r="AP357" s="72">
        <v>137</v>
      </c>
      <c r="AQ357" s="41">
        <v>72</v>
      </c>
      <c r="AR357" s="73">
        <v>4</v>
      </c>
      <c r="AS357" s="73">
        <v>5</v>
      </c>
      <c r="AT357" s="67">
        <v>0</v>
      </c>
      <c r="AU357" s="67">
        <v>12</v>
      </c>
      <c r="AV357" s="39"/>
      <c r="AW357" s="40"/>
      <c r="AX357" s="41">
        <f t="shared" ref="AX357:AX360" si="319">COUNT(AU357)</f>
      </c>
    </row>
    <row r="358">
      <c r="A358" s="62"/>
      <c r="B358" s="73" t="s">
        <v>92</v>
      </c>
      <c r="C358" s="41" t="s">
        <v>60</v>
      </c>
      <c r="D358" s="73" t="s">
        <v>79</v>
      </c>
      <c r="E358" s="41" t="s">
        <v>69</v>
      </c>
      <c r="F358" s="63">
        <f t="shared" si="97"/>
      </c>
      <c r="G358" s="81">
        <v>410.75</v>
      </c>
      <c r="H358" s="81">
        <v>0</v>
      </c>
      <c r="I358" s="64">
        <v>2430.35</v>
      </c>
      <c r="J358" s="64">
        <v>0</v>
      </c>
      <c r="K358" s="64">
        <v>0</v>
      </c>
      <c r="L358" s="64">
        <v>3</v>
      </c>
      <c r="M358" s="64">
        <v>7834.560000000001</v>
      </c>
      <c r="N358" s="67">
        <v>1</v>
      </c>
      <c r="O358" s="68">
        <f t="shared" si="25"/>
      </c>
      <c r="P358" s="67">
        <v>0</v>
      </c>
      <c r="Q358" s="68">
        <f t="shared" si="1"/>
      </c>
      <c r="R358" s="69">
        <f t="shared" si="173"/>
      </c>
      <c r="S358" s="70">
        <f t="shared" si="245"/>
      </c>
      <c r="T358" s="63">
        <f t="shared" si="13"/>
      </c>
      <c r="U358" s="63">
        <f t="shared" si="9"/>
      </c>
      <c r="V358" s="71">
        <f t="shared" si="21"/>
      </c>
      <c r="W358" s="104">
        <v>3</v>
      </c>
      <c r="X358" s="71">
        <f t="shared" si="17"/>
      </c>
      <c r="Y358" s="71">
        <f t="shared" si="249"/>
      </c>
      <c r="Z358" s="63">
        <f t="shared" si="101"/>
      </c>
      <c r="AA358" s="63">
        <f t="shared" si="3"/>
      </c>
      <c r="AB358" s="63">
        <f t="shared" si="5"/>
      </c>
      <c r="AC358" s="68">
        <f t="shared" si="15"/>
      </c>
      <c r="AD358" s="68">
        <f t="shared" si="11"/>
      </c>
      <c r="AE358" s="68">
        <f t="shared" si="23"/>
      </c>
      <c r="AF358" s="68">
        <f t="shared" si="19"/>
      </c>
      <c r="AG358" s="68">
        <f t="shared" si="103"/>
      </c>
      <c r="AH358" s="68">
        <f t="shared" si="27"/>
      </c>
      <c r="AI358" s="68">
        <f t="shared" si="7"/>
      </c>
      <c r="AJ358" s="67">
        <v>79</v>
      </c>
      <c r="AK358" s="72">
        <v>10540</v>
      </c>
      <c r="AL358" s="72">
        <v>260</v>
      </c>
      <c r="AM358" s="72">
        <v>317</v>
      </c>
      <c r="AN358" s="72">
        <v>59</v>
      </c>
      <c r="AO358" s="73">
        <v>22</v>
      </c>
      <c r="AP358" s="72">
        <v>70</v>
      </c>
      <c r="AQ358" s="41">
        <v>72</v>
      </c>
      <c r="AR358" s="73">
        <v>5</v>
      </c>
      <c r="AS358" s="73">
        <v>3</v>
      </c>
      <c r="AT358" s="67">
        <v>0</v>
      </c>
      <c r="AU358" s="67">
        <v>10</v>
      </c>
      <c r="AV358" s="39"/>
      <c r="AW358" s="40"/>
      <c r="AX358" s="41">
        <f t="shared" si="319"/>
      </c>
    </row>
    <row r="359">
      <c r="A359" s="62"/>
      <c r="B359" s="73" t="s">
        <v>92</v>
      </c>
      <c r="C359" s="41" t="s">
        <v>60</v>
      </c>
      <c r="D359" s="73" t="s">
        <v>79</v>
      </c>
      <c r="E359" s="41" t="s">
        <v>70</v>
      </c>
      <c r="F359" s="63">
        <f t="shared" si="97"/>
      </c>
      <c r="G359" s="81"/>
      <c r="H359" s="81">
        <v>0</v>
      </c>
      <c r="I359" s="64"/>
      <c r="J359" s="64"/>
      <c r="K359" s="64"/>
      <c r="L359" s="64"/>
      <c r="M359" s="64"/>
      <c r="N359" s="67"/>
      <c r="O359" s="68">
        <f t="shared" si="25"/>
      </c>
      <c r="P359" s="67"/>
      <c r="Q359" s="68">
        <f t="shared" si="1"/>
      </c>
      <c r="R359" s="69">
        <f t="shared" si="173"/>
      </c>
      <c r="S359" s="70">
        <f t="shared" si="245"/>
      </c>
      <c r="T359" s="63">
        <f t="shared" si="13"/>
      </c>
      <c r="U359" s="63">
        <f t="shared" si="9"/>
      </c>
      <c r="V359" s="71">
        <f t="shared" si="21"/>
      </c>
      <c r="W359" s="67"/>
      <c r="X359" s="71">
        <f t="shared" si="17"/>
      </c>
      <c r="Y359" s="71">
        <f t="shared" si="249"/>
      </c>
      <c r="Z359" s="63">
        <f t="shared" si="101"/>
      </c>
      <c r="AA359" s="63">
        <f t="shared" si="3"/>
      </c>
      <c r="AB359" s="63">
        <f t="shared" si="5"/>
      </c>
      <c r="AC359" s="68">
        <f t="shared" si="15"/>
      </c>
      <c r="AD359" s="68">
        <f t="shared" si="11"/>
      </c>
      <c r="AE359" s="68">
        <f t="shared" si="23"/>
      </c>
      <c r="AF359" s="68">
        <f t="shared" si="19"/>
      </c>
      <c r="AG359" s="68">
        <f t="shared" si="103"/>
      </c>
      <c r="AH359" s="68">
        <f t="shared" si="27"/>
      </c>
      <c r="AI359" s="68">
        <f t="shared" si="7"/>
      </c>
      <c r="AJ359" s="67"/>
      <c r="AK359" s="72"/>
      <c r="AL359" s="72"/>
      <c r="AM359" s="72"/>
      <c r="AN359" s="72"/>
      <c r="AO359" s="73"/>
      <c r="AP359" s="72"/>
      <c r="AQ359" s="73"/>
      <c r="AR359" s="73"/>
      <c r="AS359" s="67"/>
      <c r="AT359" s="67"/>
      <c r="AU359" s="67"/>
      <c r="AV359" s="39"/>
      <c r="AW359" s="40"/>
      <c r="AX359" s="41">
        <f t="shared" si="319"/>
      </c>
    </row>
    <row r="360">
      <c r="A360" s="62"/>
      <c r="B360" s="73" t="s">
        <v>71</v>
      </c>
      <c r="C360" s="41" t="s">
        <v>72</v>
      </c>
      <c r="D360" s="73" t="s">
        <v>79</v>
      </c>
      <c r="E360" s="41" t="s">
        <v>73</v>
      </c>
      <c r="F360" s="63">
        <f t="shared" si="97"/>
      </c>
      <c r="G360" s="81"/>
      <c r="H360" s="81">
        <v>0</v>
      </c>
      <c r="I360" s="64"/>
      <c r="J360" s="65"/>
      <c r="K360" s="65"/>
      <c r="L360" s="65"/>
      <c r="M360" s="65"/>
      <c r="N360" s="67"/>
      <c r="O360" s="68">
        <f t="shared" si="25"/>
      </c>
      <c r="P360" s="67"/>
      <c r="Q360" s="68">
        <f t="shared" si="1"/>
      </c>
      <c r="R360" s="69">
        <f t="shared" si="173"/>
      </c>
      <c r="S360" s="70">
        <f t="shared" si="245"/>
      </c>
      <c r="T360" s="63">
        <f t="shared" si="13"/>
      </c>
      <c r="U360" s="63">
        <f t="shared" si="9"/>
      </c>
      <c r="V360" s="71">
        <f t="shared" si="21"/>
      </c>
      <c r="W360" s="67"/>
      <c r="X360" s="71">
        <f t="shared" si="17"/>
      </c>
      <c r="Y360" s="71">
        <f t="shared" si="249"/>
      </c>
      <c r="Z360" s="63">
        <f t="shared" si="101"/>
      </c>
      <c r="AA360" s="63">
        <f t="shared" si="3"/>
      </c>
      <c r="AB360" s="63">
        <f t="shared" si="5"/>
      </c>
      <c r="AC360" s="68">
        <f t="shared" si="15"/>
      </c>
      <c r="AD360" s="68">
        <f t="shared" si="11"/>
      </c>
      <c r="AE360" s="68">
        <f t="shared" si="23"/>
      </c>
      <c r="AF360" s="68">
        <f t="shared" si="19"/>
      </c>
      <c r="AG360" s="68">
        <f t="shared" si="103"/>
      </c>
      <c r="AH360" s="68">
        <f t="shared" si="27"/>
      </c>
      <c r="AI360" s="68">
        <f t="shared" si="7"/>
      </c>
      <c r="AJ360" s="67"/>
      <c r="AK360" s="72"/>
      <c r="AL360" s="72"/>
      <c r="AM360" s="67"/>
      <c r="AN360" s="67"/>
      <c r="AO360" s="73"/>
      <c r="AP360" s="67"/>
      <c r="AQ360" s="73"/>
      <c r="AR360" s="73"/>
      <c r="AS360" s="67"/>
      <c r="AT360" s="67"/>
      <c r="AU360" s="67"/>
      <c r="AV360" s="39"/>
      <c r="AW360" s="40"/>
      <c r="AX360" s="41">
        <f t="shared" si="319"/>
      </c>
    </row>
    <row r="361">
      <c r="A361" s="62"/>
      <c r="B361" s="75" t="s">
        <v>66</v>
      </c>
      <c r="C361" s="75"/>
      <c r="D361" s="75"/>
      <c r="E361" s="75"/>
      <c r="F361" s="76">
        <f>SUM(F357:F360)</f>
      </c>
      <c r="G361" s="76">
        <f>SUM(G357:G360)</f>
      </c>
      <c r="H361" s="76">
        <f>SUM(H357:H360)</f>
      </c>
      <c r="I361" s="76">
        <f>SUM(I357:I360)</f>
      </c>
      <c r="J361" s="76">
        <f>SUM(J357:J360)</f>
      </c>
      <c r="K361" s="76">
        <f>SUM(K357:K360)</f>
      </c>
      <c r="L361" s="76">
        <f>SUM(L357:L360)</f>
      </c>
      <c r="M361" s="76">
        <f>SUM(M357:M360)</f>
      </c>
      <c r="N361" s="76">
        <f>SUM(N357:N360)</f>
      </c>
      <c r="O361" s="77">
        <f t="shared" si="25"/>
      </c>
      <c r="P361" s="76">
        <f>SUM(P357:P360)</f>
      </c>
      <c r="Q361" s="77">
        <f t="shared" si="1"/>
      </c>
      <c r="R361" s="91">
        <f>SUM(R357:R360)</f>
      </c>
      <c r="S361" s="76">
        <f>SUM(S357:S360)</f>
      </c>
      <c r="T361" s="76">
        <f t="shared" si="13"/>
      </c>
      <c r="U361" s="76">
        <f t="shared" si="9"/>
      </c>
      <c r="V361" s="79">
        <f t="shared" si="21"/>
      </c>
      <c r="W361" s="76">
        <f>SUM(W357:W360)</f>
      </c>
      <c r="X361" s="79">
        <f t="shared" si="17"/>
      </c>
      <c r="Y361" s="79">
        <f t="shared" si="249"/>
      </c>
      <c r="Z361" s="76">
        <f t="shared" si="101"/>
      </c>
      <c r="AA361" s="76">
        <f t="shared" si="3"/>
      </c>
      <c r="AB361" s="80">
        <f t="shared" si="5"/>
      </c>
      <c r="AC361" s="77">
        <f t="shared" si="15"/>
      </c>
      <c r="AD361" s="77">
        <f t="shared" si="11"/>
      </c>
      <c r="AE361" s="77">
        <f t="shared" si="23"/>
      </c>
      <c r="AF361" s="82">
        <f t="shared" si="19"/>
      </c>
      <c r="AG361" s="77">
        <f t="shared" si="103"/>
      </c>
      <c r="AH361" s="77">
        <f t="shared" si="27"/>
      </c>
      <c r="AI361" s="77">
        <f t="shared" si="7"/>
      </c>
      <c r="AJ361" s="78">
        <f>AVERAGE(AJ357:AJ360)</f>
      </c>
      <c r="AK361" s="76">
        <f>SUM(AK357:AK360)</f>
      </c>
      <c r="AL361" s="76">
        <f>SUM(AL357:AL360)</f>
      </c>
      <c r="AM361" s="76">
        <f>SUM(AM357:AM360)</f>
      </c>
      <c r="AN361" s="76">
        <f>SUM(AN357:AN360)</f>
      </c>
      <c r="AO361" s="76">
        <f>SUM(AO357:AO360)</f>
      </c>
      <c r="AP361" s="76">
        <f>SUM(AP357:AP360)</f>
      </c>
      <c r="AQ361" s="76">
        <f>SUM(AQ357:AQ360)</f>
      </c>
      <c r="AR361" s="76">
        <f>SUM(AR357:AR360)</f>
      </c>
      <c r="AS361" s="76">
        <f>SUM(AS357:AS360)</f>
      </c>
      <c r="AT361" s="76">
        <f>SUM(AT357:AT360)</f>
      </c>
      <c r="AU361" s="76">
        <f>SUM(AU357:AU360)</f>
      </c>
      <c r="AV361" s="39"/>
      <c r="AW361" s="48"/>
      <c r="AX361" s="49">
        <f>SUM(AX357:AX360)</f>
      </c>
    </row>
    <row r="362">
      <c r="A362" s="62"/>
      <c r="B362" s="73" t="s">
        <v>71</v>
      </c>
      <c r="C362" s="41" t="s">
        <v>72</v>
      </c>
      <c r="D362" s="73" t="s">
        <v>85</v>
      </c>
      <c r="E362" s="41" t="s">
        <v>75</v>
      </c>
      <c r="F362" s="63">
        <f t="shared" ref="F362:F364" si="98">G362+H362+I362</f>
      </c>
      <c r="G362" s="81"/>
      <c r="H362" s="81">
        <v>0</v>
      </c>
      <c r="I362" s="64"/>
      <c r="J362" s="65"/>
      <c r="K362" s="65"/>
      <c r="L362" s="65"/>
      <c r="M362" s="65"/>
      <c r="N362" s="67"/>
      <c r="O362" s="68">
        <f t="shared" si="25"/>
      </c>
      <c r="P362" s="67"/>
      <c r="Q362" s="68">
        <f t="shared" si="1"/>
      </c>
      <c r="R362" s="69">
        <f t="shared" ref="R362:R364" si="174">J362+L362</f>
      </c>
      <c r="S362" s="70">
        <f t="shared" ref="S362:S364" si="246">K362+M362</f>
      </c>
      <c r="T362" s="63">
        <f t="shared" si="13"/>
      </c>
      <c r="U362" s="63">
        <f t="shared" si="9"/>
      </c>
      <c r="V362" s="71">
        <f t="shared" si="21"/>
      </c>
      <c r="W362" s="67"/>
      <c r="X362" s="71">
        <f t="shared" si="17"/>
      </c>
      <c r="Y362" s="71">
        <f t="shared" si="249"/>
      </c>
      <c r="Z362" s="63">
        <f t="shared" si="101"/>
      </c>
      <c r="AA362" s="63">
        <f t="shared" si="3"/>
      </c>
      <c r="AB362" s="63">
        <f t="shared" si="5"/>
      </c>
      <c r="AC362" s="68">
        <f t="shared" si="15"/>
      </c>
      <c r="AD362" s="68">
        <f t="shared" si="11"/>
      </c>
      <c r="AE362" s="68">
        <f t="shared" si="23"/>
      </c>
      <c r="AF362" s="68">
        <f t="shared" si="19"/>
      </c>
      <c r="AG362" s="68">
        <f t="shared" si="103"/>
      </c>
      <c r="AH362" s="68">
        <f t="shared" si="27"/>
      </c>
      <c r="AI362" s="68">
        <f t="shared" si="7"/>
      </c>
      <c r="AJ362" s="67"/>
      <c r="AK362" s="72"/>
      <c r="AL362" s="72"/>
      <c r="AM362" s="72"/>
      <c r="AN362" s="72"/>
      <c r="AO362" s="73"/>
      <c r="AP362" s="72"/>
      <c r="AQ362" s="41"/>
      <c r="AR362" s="73"/>
      <c r="AS362" s="73"/>
      <c r="AT362" s="67"/>
      <c r="AU362" s="67"/>
      <c r="AV362" s="39"/>
      <c r="AW362" s="40"/>
      <c r="AX362" s="41">
        <f t="shared" ref="AX362:AX364" si="320">COUNT(AU362)</f>
      </c>
    </row>
    <row r="363">
      <c r="A363" s="62"/>
      <c r="B363" s="73" t="s">
        <v>71</v>
      </c>
      <c r="C363" s="41" t="s">
        <v>72</v>
      </c>
      <c r="D363" s="73" t="s">
        <v>85</v>
      </c>
      <c r="E363" s="41" t="s">
        <v>76</v>
      </c>
      <c r="F363" s="63">
        <f t="shared" si="98"/>
      </c>
      <c r="G363" s="81"/>
      <c r="H363" s="81">
        <v>0</v>
      </c>
      <c r="I363" s="64"/>
      <c r="J363" s="64"/>
      <c r="K363" s="64"/>
      <c r="L363" s="65"/>
      <c r="M363" s="65"/>
      <c r="N363" s="67"/>
      <c r="O363" s="68">
        <f t="shared" si="25"/>
      </c>
      <c r="P363" s="67"/>
      <c r="Q363" s="68">
        <f t="shared" si="1"/>
      </c>
      <c r="R363" s="69">
        <f t="shared" si="174"/>
      </c>
      <c r="S363" s="70">
        <f t="shared" si="246"/>
      </c>
      <c r="T363" s="63">
        <f t="shared" si="13"/>
      </c>
      <c r="U363" s="63">
        <f t="shared" si="9"/>
      </c>
      <c r="V363" s="71">
        <f t="shared" si="21"/>
      </c>
      <c r="W363" s="67"/>
      <c r="X363" s="71">
        <f t="shared" si="17"/>
      </c>
      <c r="Y363" s="71">
        <f t="shared" si="249"/>
      </c>
      <c r="Z363" s="63">
        <f t="shared" si="101"/>
      </c>
      <c r="AA363" s="63">
        <f t="shared" si="3"/>
      </c>
      <c r="AB363" s="63">
        <f t="shared" si="5"/>
      </c>
      <c r="AC363" s="68">
        <f t="shared" si="15"/>
      </c>
      <c r="AD363" s="68">
        <f t="shared" si="11"/>
      </c>
      <c r="AE363" s="68">
        <f t="shared" si="23"/>
      </c>
      <c r="AF363" s="68">
        <f t="shared" si="19"/>
      </c>
      <c r="AG363" s="68">
        <f t="shared" si="103"/>
      </c>
      <c r="AH363" s="68">
        <f t="shared" si="27"/>
      </c>
      <c r="AI363" s="68">
        <f t="shared" si="7"/>
      </c>
      <c r="AJ363" s="67"/>
      <c r="AK363" s="67"/>
      <c r="AL363" s="72"/>
      <c r="AM363" s="72"/>
      <c r="AN363" s="72"/>
      <c r="AO363" s="73"/>
      <c r="AP363" s="67"/>
      <c r="AQ363" s="73"/>
      <c r="AR363" s="73"/>
      <c r="AS363" s="73"/>
      <c r="AT363" s="67"/>
      <c r="AU363" s="67"/>
      <c r="AV363" s="39"/>
      <c r="AW363" s="40"/>
      <c r="AX363" s="41">
        <f t="shared" si="320"/>
      </c>
    </row>
    <row r="364">
      <c r="A364" s="62"/>
      <c r="B364" s="73" t="s">
        <v>71</v>
      </c>
      <c r="C364" s="41" t="s">
        <v>72</v>
      </c>
      <c r="D364" s="73" t="s">
        <v>85</v>
      </c>
      <c r="E364" s="41" t="s">
        <v>77</v>
      </c>
      <c r="F364" s="63">
        <f t="shared" si="98"/>
      </c>
      <c r="G364" s="81"/>
      <c r="H364" s="81">
        <v>0</v>
      </c>
      <c r="I364" s="64"/>
      <c r="J364" s="65"/>
      <c r="K364" s="65"/>
      <c r="L364" s="64"/>
      <c r="M364" s="64"/>
      <c r="N364" s="67"/>
      <c r="O364" s="68">
        <f t="shared" si="25"/>
      </c>
      <c r="P364" s="67"/>
      <c r="Q364" s="68">
        <f t="shared" si="1"/>
      </c>
      <c r="R364" s="69">
        <f t="shared" si="174"/>
      </c>
      <c r="S364" s="70">
        <f t="shared" si="246"/>
      </c>
      <c r="T364" s="63">
        <f t="shared" si="13"/>
      </c>
      <c r="U364" s="63">
        <f t="shared" si="9"/>
      </c>
      <c r="V364" s="71">
        <f t="shared" si="21"/>
      </c>
      <c r="W364" s="67"/>
      <c r="X364" s="71">
        <f t="shared" si="17"/>
      </c>
      <c r="Y364" s="71">
        <f t="shared" si="249"/>
      </c>
      <c r="Z364" s="63">
        <f t="shared" si="101"/>
      </c>
      <c r="AA364" s="63">
        <f t="shared" si="3"/>
      </c>
      <c r="AB364" s="63">
        <f t="shared" si="5"/>
      </c>
      <c r="AC364" s="68">
        <f t="shared" si="15"/>
      </c>
      <c r="AD364" s="68">
        <f t="shared" si="11"/>
      </c>
      <c r="AE364" s="68">
        <f t="shared" si="23"/>
      </c>
      <c r="AF364" s="68">
        <f t="shared" si="19"/>
      </c>
      <c r="AG364" s="68">
        <f t="shared" si="103"/>
      </c>
      <c r="AH364" s="68">
        <f t="shared" si="27"/>
      </c>
      <c r="AI364" s="68">
        <f t="shared" si="7"/>
      </c>
      <c r="AJ364" s="67"/>
      <c r="AK364" s="72"/>
      <c r="AL364" s="72"/>
      <c r="AM364" s="72"/>
      <c r="AN364" s="72"/>
      <c r="AO364" s="73"/>
      <c r="AP364" s="72"/>
      <c r="AQ364" s="41"/>
      <c r="AR364" s="73"/>
      <c r="AS364" s="67"/>
      <c r="AT364" s="67"/>
      <c r="AU364" s="67"/>
      <c r="AV364" s="39"/>
      <c r="AW364" s="40"/>
      <c r="AX364" s="41">
        <f t="shared" si="320"/>
      </c>
    </row>
    <row r="365">
      <c r="A365" s="62"/>
      <c r="B365" s="75" t="s">
        <v>66</v>
      </c>
      <c r="C365" s="75"/>
      <c r="D365" s="75"/>
      <c r="E365" s="75"/>
      <c r="F365" s="76">
        <f>SUM(F362:F364)</f>
      </c>
      <c r="G365" s="76">
        <f>SUM(G362:G364)</f>
      </c>
      <c r="H365" s="76">
        <f>SUM(H362:H364)</f>
      </c>
      <c r="I365" s="76">
        <f>SUM(I362:I364)</f>
      </c>
      <c r="J365" s="76">
        <f>SUM(J362:J364)</f>
      </c>
      <c r="K365" s="76">
        <f>SUM(K362:K364)</f>
      </c>
      <c r="L365" s="76">
        <f>SUM(L362:L364)</f>
      </c>
      <c r="M365" s="76">
        <f>SUM(M362:M364)</f>
      </c>
      <c r="N365" s="76">
        <f>SUM(N362:N364)</f>
      </c>
      <c r="O365" s="77">
        <f t="shared" si="25"/>
      </c>
      <c r="P365" s="76">
        <f>SUM(P362:P364)</f>
      </c>
      <c r="Q365" s="77">
        <f t="shared" si="1"/>
      </c>
      <c r="R365" s="78">
        <f>SUM(R362:R364)</f>
      </c>
      <c r="S365" s="76">
        <f>SUM(S362:S364)</f>
      </c>
      <c r="T365" s="76">
        <f t="shared" si="13"/>
      </c>
      <c r="U365" s="76">
        <f t="shared" si="9"/>
      </c>
      <c r="V365" s="79">
        <f t="shared" si="21"/>
      </c>
      <c r="W365" s="76">
        <f>SUM(W362:W364)</f>
      </c>
      <c r="X365" s="79">
        <f t="shared" si="17"/>
      </c>
      <c r="Y365" s="79">
        <f t="shared" si="249"/>
      </c>
      <c r="Z365" s="76">
        <f t="shared" si="101"/>
      </c>
      <c r="AA365" s="76">
        <f t="shared" si="3"/>
      </c>
      <c r="AB365" s="80">
        <f t="shared" si="5"/>
      </c>
      <c r="AC365" s="77">
        <f t="shared" si="15"/>
      </c>
      <c r="AD365" s="77">
        <f t="shared" si="11"/>
      </c>
      <c r="AE365" s="77">
        <f t="shared" si="23"/>
      </c>
      <c r="AF365" s="82">
        <f t="shared" si="19"/>
      </c>
      <c r="AG365" s="77">
        <f t="shared" si="103"/>
      </c>
      <c r="AH365" s="77">
        <f t="shared" si="27"/>
      </c>
      <c r="AI365" s="77">
        <f t="shared" si="7"/>
      </c>
      <c r="AJ365" s="78">
        <f>AVERAGE(AJ362:AJ364)</f>
      </c>
      <c r="AK365" s="76">
        <f>SUM(AK362:AK364)</f>
      </c>
      <c r="AL365" s="76">
        <f>SUM(AL362:AL364)</f>
      </c>
      <c r="AM365" s="76">
        <f>SUM(AM362:AM364)</f>
      </c>
      <c r="AN365" s="76">
        <f>SUM(AN362:AN364)</f>
      </c>
      <c r="AO365" s="76">
        <f>SUM(AO362:AO364)</f>
      </c>
      <c r="AP365" s="76">
        <f>SUM(AP362:AP364)</f>
      </c>
      <c r="AQ365" s="76">
        <f>SUM(AQ362:AQ364)</f>
      </c>
      <c r="AR365" s="76">
        <f>SUM(AR362:AR364)</f>
      </c>
      <c r="AS365" s="76">
        <f>SUM(AS362:AS364)</f>
      </c>
      <c r="AT365" s="76">
        <f>SUM(AT362:AT364)</f>
      </c>
      <c r="AU365" s="76">
        <f>SUM(AU362:AU364)</f>
      </c>
      <c r="AV365" s="39"/>
      <c r="AW365" s="48"/>
      <c r="AX365" s="49">
        <f>SUM(AX362:AX364)</f>
      </c>
    </row>
    <row r="366">
      <c r="A366" s="62"/>
      <c r="B366" s="73" t="s">
        <v>71</v>
      </c>
      <c r="C366" s="41" t="s">
        <v>72</v>
      </c>
      <c r="D366" s="73" t="s">
        <v>93</v>
      </c>
      <c r="E366" s="73" t="s">
        <v>78</v>
      </c>
      <c r="F366" s="63">
        <f t="shared" ref="F366:F368" si="99">G366+H366+I366</f>
      </c>
      <c r="G366" s="81"/>
      <c r="H366" s="81">
        <v>0</v>
      </c>
      <c r="I366" s="64"/>
      <c r="J366" s="65"/>
      <c r="K366" s="65"/>
      <c r="L366" s="65"/>
      <c r="M366" s="65"/>
      <c r="N366" s="67"/>
      <c r="O366" s="68">
        <f t="shared" si="25"/>
      </c>
      <c r="P366" s="67"/>
      <c r="Q366" s="68">
        <f t="shared" si="1"/>
      </c>
      <c r="R366" s="69">
        <f t="shared" ref="R366:R368" si="175">J366+L366</f>
      </c>
      <c r="S366" s="70">
        <f t="shared" ref="S366:S368" si="247">K366+M366</f>
      </c>
      <c r="T366" s="63">
        <f t="shared" si="13"/>
      </c>
      <c r="U366" s="63">
        <f t="shared" si="9"/>
      </c>
      <c r="V366" s="71">
        <f t="shared" si="21"/>
      </c>
      <c r="W366" s="67"/>
      <c r="X366" s="71">
        <f t="shared" si="17"/>
      </c>
      <c r="Y366" s="71">
        <f t="shared" si="249"/>
      </c>
      <c r="Z366" s="63">
        <f t="shared" si="101"/>
      </c>
      <c r="AA366" s="63">
        <f t="shared" si="3"/>
      </c>
      <c r="AB366" s="63">
        <f t="shared" si="5"/>
      </c>
      <c r="AC366" s="68">
        <f t="shared" si="15"/>
      </c>
      <c r="AD366" s="68">
        <f t="shared" si="11"/>
      </c>
      <c r="AE366" s="68">
        <f t="shared" si="23"/>
      </c>
      <c r="AF366" s="68">
        <f t="shared" si="19"/>
      </c>
      <c r="AG366" s="68">
        <f t="shared" si="103"/>
      </c>
      <c r="AH366" s="68">
        <f t="shared" si="27"/>
      </c>
      <c r="AI366" s="68">
        <f t="shared" si="7"/>
      </c>
      <c r="AJ366" s="67"/>
      <c r="AK366" s="72"/>
      <c r="AL366" s="72"/>
      <c r="AM366" s="72"/>
      <c r="AN366" s="72"/>
      <c r="AO366" s="73"/>
      <c r="AP366" s="72"/>
      <c r="AQ366" s="41"/>
      <c r="AR366" s="73"/>
      <c r="AS366" s="73"/>
      <c r="AT366" s="67"/>
      <c r="AU366" s="67"/>
      <c r="AV366" s="39"/>
      <c r="AW366" s="40"/>
      <c r="AX366" s="41">
        <f t="shared" ref="AX366:AX368" si="321">COUNT(AU366)</f>
      </c>
    </row>
    <row r="367">
      <c r="A367" s="62"/>
      <c r="B367" s="73" t="s">
        <v>71</v>
      </c>
      <c r="C367" s="41" t="s">
        <v>72</v>
      </c>
      <c r="D367" s="73" t="s">
        <v>93</v>
      </c>
      <c r="E367" s="73" t="s">
        <v>80</v>
      </c>
      <c r="F367" s="63">
        <f t="shared" si="99"/>
      </c>
      <c r="G367" s="81"/>
      <c r="H367" s="81">
        <v>0</v>
      </c>
      <c r="I367" s="64"/>
      <c r="J367" s="64"/>
      <c r="K367" s="64"/>
      <c r="L367" s="65"/>
      <c r="M367" s="65"/>
      <c r="N367" s="67"/>
      <c r="O367" s="68">
        <f t="shared" si="25"/>
      </c>
      <c r="P367" s="67"/>
      <c r="Q367" s="68">
        <f t="shared" si="1"/>
      </c>
      <c r="R367" s="69">
        <f t="shared" si="175"/>
      </c>
      <c r="S367" s="70">
        <f t="shared" si="247"/>
      </c>
      <c r="T367" s="63">
        <f t="shared" si="13"/>
      </c>
      <c r="U367" s="63">
        <f t="shared" si="9"/>
      </c>
      <c r="V367" s="71">
        <f t="shared" si="21"/>
      </c>
      <c r="W367" s="67"/>
      <c r="X367" s="71">
        <f t="shared" si="17"/>
      </c>
      <c r="Y367" s="71">
        <f t="shared" si="249"/>
      </c>
      <c r="Z367" s="63">
        <f t="shared" si="101"/>
      </c>
      <c r="AA367" s="63">
        <f t="shared" si="3"/>
      </c>
      <c r="AB367" s="63">
        <f t="shared" si="5"/>
      </c>
      <c r="AC367" s="68">
        <f t="shared" si="15"/>
      </c>
      <c r="AD367" s="68">
        <f t="shared" si="11"/>
      </c>
      <c r="AE367" s="68">
        <f t="shared" si="23"/>
      </c>
      <c r="AF367" s="68">
        <f t="shared" si="19"/>
      </c>
      <c r="AG367" s="68">
        <f t="shared" si="103"/>
      </c>
      <c r="AH367" s="68">
        <f t="shared" si="27"/>
      </c>
      <c r="AI367" s="68">
        <f t="shared" si="7"/>
      </c>
      <c r="AJ367" s="67"/>
      <c r="AK367" s="67"/>
      <c r="AL367" s="72"/>
      <c r="AM367" s="72"/>
      <c r="AN367" s="72"/>
      <c r="AO367" s="73"/>
      <c r="AP367" s="67"/>
      <c r="AQ367" s="73"/>
      <c r="AR367" s="73"/>
      <c r="AS367" s="73"/>
      <c r="AT367" s="67"/>
      <c r="AU367" s="67"/>
      <c r="AV367" s="39"/>
      <c r="AW367" s="40"/>
      <c r="AX367" s="41">
        <f t="shared" si="321"/>
      </c>
    </row>
    <row r="368">
      <c r="A368" s="62"/>
      <c r="B368" s="73" t="s">
        <v>71</v>
      </c>
      <c r="C368" s="41" t="s">
        <v>72</v>
      </c>
      <c r="D368" s="73" t="s">
        <v>93</v>
      </c>
      <c r="E368" s="73" t="s">
        <v>81</v>
      </c>
      <c r="F368" s="63">
        <f t="shared" si="99"/>
      </c>
      <c r="G368" s="81"/>
      <c r="H368" s="81">
        <v>0</v>
      </c>
      <c r="I368" s="64"/>
      <c r="J368" s="65"/>
      <c r="K368" s="65"/>
      <c r="L368" s="64"/>
      <c r="M368" s="64"/>
      <c r="N368" s="67"/>
      <c r="O368" s="68">
        <f t="shared" si="25"/>
      </c>
      <c r="P368" s="67"/>
      <c r="Q368" s="68">
        <f t="shared" si="1"/>
      </c>
      <c r="R368" s="69">
        <f t="shared" si="175"/>
      </c>
      <c r="S368" s="70">
        <f t="shared" si="247"/>
      </c>
      <c r="T368" s="63">
        <f t="shared" si="13"/>
      </c>
      <c r="U368" s="63">
        <f t="shared" si="9"/>
      </c>
      <c r="V368" s="71">
        <f t="shared" si="21"/>
      </c>
      <c r="W368" s="67"/>
      <c r="X368" s="71">
        <f t="shared" si="17"/>
      </c>
      <c r="Y368" s="71">
        <f t="shared" si="249"/>
      </c>
      <c r="Z368" s="63">
        <f t="shared" si="101"/>
      </c>
      <c r="AA368" s="63">
        <f t="shared" si="3"/>
      </c>
      <c r="AB368" s="63">
        <f t="shared" si="5"/>
      </c>
      <c r="AC368" s="68">
        <f t="shared" si="15"/>
      </c>
      <c r="AD368" s="68">
        <f t="shared" si="11"/>
      </c>
      <c r="AE368" s="68">
        <f t="shared" si="23"/>
      </c>
      <c r="AF368" s="68">
        <f t="shared" si="19"/>
      </c>
      <c r="AG368" s="68">
        <f t="shared" si="103"/>
      </c>
      <c r="AH368" s="68">
        <f t="shared" si="27"/>
      </c>
      <c r="AI368" s="68">
        <f t="shared" si="7"/>
      </c>
      <c r="AJ368" s="67"/>
      <c r="AK368" s="72"/>
      <c r="AL368" s="72"/>
      <c r="AM368" s="72"/>
      <c r="AN368" s="72"/>
      <c r="AO368" s="73"/>
      <c r="AP368" s="72"/>
      <c r="AQ368" s="41"/>
      <c r="AR368" s="73"/>
      <c r="AS368" s="67"/>
      <c r="AT368" s="67"/>
      <c r="AU368" s="67"/>
      <c r="AV368" s="39"/>
      <c r="AW368" s="40"/>
      <c r="AX368" s="41">
        <f t="shared" si="321"/>
      </c>
    </row>
    <row r="369">
      <c r="A369" s="62"/>
      <c r="B369" s="75" t="s">
        <v>66</v>
      </c>
      <c r="C369" s="75"/>
      <c r="D369" s="75"/>
      <c r="E369" s="75"/>
      <c r="F369" s="76">
        <f>SUM(F366:F368)</f>
      </c>
      <c r="G369" s="76">
        <f>SUM(G366:G368)</f>
      </c>
      <c r="H369" s="76">
        <f>SUM(H366:H368)</f>
      </c>
      <c r="I369" s="76">
        <f>SUM(I366:I368)</f>
      </c>
      <c r="J369" s="76">
        <f>SUM(J366:J368)</f>
      </c>
      <c r="K369" s="76">
        <f>SUM(K366:K368)</f>
      </c>
      <c r="L369" s="76">
        <f>SUM(L366:L368)</f>
      </c>
      <c r="M369" s="76">
        <f>SUM(M366:M368)</f>
      </c>
      <c r="N369" s="76">
        <f>SUM(N366:N368)</f>
      </c>
      <c r="O369" s="77">
        <f t="shared" si="25"/>
      </c>
      <c r="P369" s="76">
        <f>SUM(P366:P368)</f>
      </c>
      <c r="Q369" s="77">
        <f t="shared" si="1"/>
      </c>
      <c r="R369" s="76">
        <f>SUM(R366:R368)</f>
      </c>
      <c r="S369" s="76">
        <f>SUM(S366:S368)</f>
      </c>
      <c r="T369" s="76">
        <f t="shared" si="13"/>
      </c>
      <c r="U369" s="76">
        <f t="shared" si="9"/>
      </c>
      <c r="V369" s="79">
        <f t="shared" si="21"/>
      </c>
      <c r="W369" s="76">
        <f>SUM(W366:W368)</f>
      </c>
      <c r="X369" s="79">
        <f t="shared" si="17"/>
      </c>
      <c r="Y369" s="79">
        <f t="shared" si="249"/>
      </c>
      <c r="Z369" s="76">
        <f t="shared" si="101"/>
      </c>
      <c r="AA369" s="76">
        <f t="shared" si="3"/>
      </c>
      <c r="AB369" s="80">
        <f t="shared" si="5"/>
      </c>
      <c r="AC369" s="77">
        <f t="shared" si="15"/>
      </c>
      <c r="AD369" s="77">
        <f t="shared" si="11"/>
      </c>
      <c r="AE369" s="77">
        <f t="shared" si="23"/>
      </c>
      <c r="AF369" s="82">
        <f t="shared" si="19"/>
      </c>
      <c r="AG369" s="77">
        <f t="shared" si="103"/>
      </c>
      <c r="AH369" s="77">
        <f t="shared" si="27"/>
      </c>
      <c r="AI369" s="77">
        <f t="shared" si="7"/>
      </c>
      <c r="AJ369" s="78">
        <f>AVERAGE(AJ366:AJ368)</f>
      </c>
      <c r="AK369" s="76">
        <f>SUM(AK366:AK368)</f>
      </c>
      <c r="AL369" s="76">
        <f>SUM(AL366:AL368)</f>
      </c>
      <c r="AM369" s="76">
        <f>SUM(AM366:AM368)</f>
      </c>
      <c r="AN369" s="76">
        <f>SUM(AN366:AN368)</f>
      </c>
      <c r="AO369" s="76">
        <f>SUM(AO366:AO368)</f>
      </c>
      <c r="AP369" s="76">
        <f>SUM(AP366:AP368)</f>
      </c>
      <c r="AQ369" s="76">
        <f>SUM(AQ366:AQ368)</f>
      </c>
      <c r="AR369" s="76">
        <f>SUM(AR366:AR368)</f>
      </c>
      <c r="AS369" s="76">
        <f>SUM(AS366:AS368)</f>
      </c>
      <c r="AT369" s="76">
        <f>SUM(AT366:AT368)</f>
      </c>
      <c r="AU369" s="76">
        <f>SUM(AU366:AU368)</f>
      </c>
      <c r="AV369" s="76"/>
      <c r="AW369" s="76"/>
      <c r="AX369" s="76">
        <f>SUM(AX366:AX368)</f>
      </c>
    </row>
    <row r="370">
      <c r="A370" s="62"/>
      <c r="B370" s="84" t="s">
        <v>84</v>
      </c>
      <c r="C370" s="84"/>
      <c r="D370" s="84"/>
      <c r="E370" s="84"/>
      <c r="F370" s="85">
        <f>F365+F361+F356+F369</f>
      </c>
      <c r="G370" s="85">
        <f>G365+G361+G356+G369</f>
      </c>
      <c r="H370" s="85">
        <f>H365+H361+H356+H369</f>
      </c>
      <c r="I370" s="85">
        <f>I365+I361+I356+I369</f>
      </c>
      <c r="J370" s="85">
        <f>J365+J361+J356+J369</f>
      </c>
      <c r="K370" s="85">
        <f>K365+K361+K356+K369</f>
      </c>
      <c r="L370" s="85">
        <f>L365+L361+L356+L369</f>
      </c>
      <c r="M370" s="85">
        <f>M365+M361+M356+M369</f>
      </c>
      <c r="N370" s="85">
        <f>N365+N361+N356+N369</f>
      </c>
      <c r="O370" s="86">
        <f t="shared" si="25"/>
      </c>
      <c r="P370" s="85">
        <f>P365+P361+P356+P369</f>
      </c>
      <c r="Q370" s="86">
        <f t="shared" si="1"/>
      </c>
      <c r="R370" s="85">
        <f>R365+R361+R356+R369</f>
      </c>
      <c r="S370" s="85">
        <f>S365+S361+S356+S369</f>
      </c>
      <c r="T370" s="85">
        <f t="shared" si="13"/>
      </c>
      <c r="U370" s="85">
        <f t="shared" si="9"/>
      </c>
      <c r="V370" s="88">
        <f t="shared" si="21"/>
      </c>
      <c r="W370" s="85">
        <f>W365+W361+W356+W369</f>
      </c>
      <c r="X370" s="88">
        <f t="shared" si="17"/>
      </c>
      <c r="Y370" s="88">
        <f t="shared" si="249"/>
      </c>
      <c r="Z370" s="85">
        <f t="shared" si="101"/>
      </c>
      <c r="AA370" s="85">
        <f t="shared" si="3"/>
      </c>
      <c r="AB370" s="89">
        <f t="shared" si="5"/>
      </c>
      <c r="AC370" s="86">
        <f t="shared" si="15"/>
      </c>
      <c r="AD370" s="86">
        <f t="shared" si="11"/>
      </c>
      <c r="AE370" s="86">
        <f t="shared" si="23"/>
      </c>
      <c r="AF370" s="90">
        <f t="shared" si="19"/>
      </c>
      <c r="AG370" s="86">
        <f t="shared" si="103"/>
      </c>
      <c r="AH370" s="86">
        <f t="shared" si="27"/>
      </c>
      <c r="AI370" s="86">
        <f t="shared" si="7"/>
      </c>
      <c r="AJ370" s="87">
        <f>(AJ365+AJ361+AJ356+AJ369)/4</f>
      </c>
      <c r="AK370" s="85">
        <f>AK365+AK361+AK356+AK369</f>
      </c>
      <c r="AL370" s="85">
        <f>AL365+AL361+AL356+AL369</f>
      </c>
      <c r="AM370" s="85">
        <f>AM365+AM361+AM356+AM369</f>
      </c>
      <c r="AN370" s="85">
        <f>AN365+AN361+AN356+AN369</f>
      </c>
      <c r="AO370" s="85">
        <f>AO365+AO361+AO356+AO369</f>
      </c>
      <c r="AP370" s="85">
        <f>AP365+AP361+AP356+AP369</f>
      </c>
      <c r="AQ370" s="85">
        <f>AQ365+AQ361+AQ356+AQ369</f>
      </c>
      <c r="AR370" s="85">
        <f>AR365+AR361+AR356+AR369</f>
      </c>
      <c r="AS370" s="85">
        <f>AS365+AS361+AS356+AS369</f>
      </c>
      <c r="AT370" s="85">
        <f>AT365+AT361+AT356+AT369</f>
      </c>
      <c r="AU370" s="85">
        <f>AU365+AU361+AU356+AU369</f>
      </c>
      <c r="AV370" s="39"/>
      <c r="AW370" s="84">
        <f>AW356+AW361+AW365+AW369</f>
      </c>
      <c r="AX370" s="84">
        <f>AX356+AX361+AX365+AX369</f>
      </c>
    </row>
    <row r="371">
      <c r="A371" s="39"/>
      <c r="B371" s="39"/>
      <c r="C371" s="39"/>
      <c r="D371" s="105" t="s">
        <v>94</v>
      </c>
      <c r="E371" s="105"/>
      <c r="F371" s="105"/>
      <c r="G371" s="105"/>
      <c r="H371" s="105"/>
      <c r="I371" s="106"/>
      <c r="J371" s="39">
        <f>J372-J370</f>
      </c>
      <c r="K371" s="39">
        <f>K372-K370</f>
      </c>
      <c r="L371" s="39">
        <f>L372-L370</f>
      </c>
      <c r="M371" s="39">
        <f>M372-M370</f>
      </c>
      <c r="N371" s="39"/>
      <c r="O371" s="39"/>
      <c r="P371" s="39"/>
      <c r="Q371" s="39"/>
      <c r="R371" s="107"/>
      <c r="S371" s="108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109">
        <f>AO372-AO370</f>
      </c>
      <c r="AP371" s="39"/>
      <c r="AQ371" s="39"/>
      <c r="AR371" s="39"/>
      <c r="AS371" s="39"/>
      <c r="AT371" s="39"/>
      <c r="AU371" s="39"/>
      <c r="AV371" s="39"/>
      <c r="AW371" s="39"/>
      <c r="AX371" s="39"/>
    </row>
    <row r="372">
      <c r="A372" s="39"/>
      <c r="B372" s="39"/>
      <c r="C372" s="39"/>
      <c r="D372" s="105"/>
      <c r="E372" s="105"/>
      <c r="F372" s="105"/>
      <c r="G372" s="105"/>
      <c r="H372" s="105"/>
      <c r="I372" s="106"/>
      <c r="J372" s="39" cm="1">
        <f t="array" ref="J372:J372">IMPORTRANGE("https://meimeiwangluo.feishu.cn/sheets/OPkmswDbrhTC6ot1PIGcIyGJnFe","'Sheet1'!E13")</f>
      </c>
      <c r="K372" s="39" cm="1">
        <f t="array" ref="K372:K372">IMPORTRANGE("https://meimeiwangluo.feishu.cn/sheets/OPkmswDbrhTC6ot1PIGcIyGJnFe","'Sheet1'!E15")</f>
      </c>
      <c r="L372" s="39" cm="1">
        <f t="array" ref="L372:L372">IMPORTRANGE("https://meimeiwangluo.feishu.cn/sheets/OPkmswDbrhTC6ot1PIGcIyGJnFe","'Sheet1'!E17")</f>
      </c>
      <c r="M372" s="39" cm="1">
        <f t="array" ref="M372:M372">IMPORTRANGE("https://meimeiwangluo.feishu.cn/sheets/OPkmswDbrhTC6ot1PIGcIyGJnFe","'Sheet1'!E19")</f>
      </c>
      <c r="N372" s="39"/>
      <c r="O372" s="39"/>
      <c r="P372" s="39"/>
      <c r="Q372" s="39"/>
      <c r="R372" s="107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110">
        <v>142</v>
      </c>
      <c r="AP372" s="111"/>
      <c r="AQ372" s="111"/>
      <c r="AR372" s="111"/>
      <c r="AS372" s="39"/>
      <c r="AT372" s="39"/>
      <c r="AU372" s="39"/>
      <c r="AV372" s="39"/>
      <c r="AW372" s="39"/>
      <c r="AX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112" t="s">
        <v>95</v>
      </c>
      <c r="AK373" s="113">
        <v>7611</v>
      </c>
      <c r="AL373" s="113">
        <v>179</v>
      </c>
      <c r="AM373" s="113">
        <v>210</v>
      </c>
      <c r="AN373" s="113">
        <v>44</v>
      </c>
      <c r="AO373" s="113">
        <v>46</v>
      </c>
      <c r="AP373" s="113">
        <v>52</v>
      </c>
      <c r="AQ373" s="113">
        <v>2</v>
      </c>
      <c r="AR373" s="113">
        <v>0</v>
      </c>
      <c r="AS373" s="113">
        <v>10</v>
      </c>
      <c r="AT373" s="39"/>
      <c r="AU373" s="39"/>
      <c r="AV373" s="39"/>
      <c r="AW373" s="39"/>
      <c r="AX373" s="39"/>
    </row>
    <row r="374">
      <c r="A374" s="39"/>
      <c r="B374" s="39"/>
      <c r="C374" s="39"/>
      <c r="D374" s="39"/>
      <c r="E374" s="39"/>
      <c r="F374" s="114" t="s">
        <v>96</v>
      </c>
      <c r="G374" s="115">
        <v>0.01</v>
      </c>
      <c r="H374" s="115">
        <v>1534.02</v>
      </c>
      <c r="I374" s="116">
        <v>41980.91</v>
      </c>
      <c r="J374" s="117">
        <f>I374-I375+I376</f>
      </c>
      <c r="K374" s="118" t="s">
        <v>97</v>
      </c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112"/>
      <c r="AK374" s="113">
        <v>2929</v>
      </c>
      <c r="AL374" s="113">
        <v>81</v>
      </c>
      <c r="AM374" s="113">
        <v>107</v>
      </c>
      <c r="AN374" s="113">
        <v>15</v>
      </c>
      <c r="AO374" s="113">
        <v>24</v>
      </c>
      <c r="AP374" s="113">
        <v>20</v>
      </c>
      <c r="AQ374" s="113">
        <v>1</v>
      </c>
      <c r="AR374" s="113">
        <v>0</v>
      </c>
      <c r="AS374" s="116">
        <v>0</v>
      </c>
      <c r="AT374" s="39"/>
      <c r="AU374" s="39"/>
      <c r="AV374" s="39"/>
      <c r="AW374" s="39"/>
      <c r="AX374" s="39"/>
    </row>
    <row r="375">
      <c r="A375" s="39"/>
      <c r="B375" s="39"/>
      <c r="C375" s="39"/>
      <c r="D375" s="111"/>
      <c r="E375" s="111"/>
      <c r="F375" s="114"/>
      <c r="G375" s="115">
        <v>554.3</v>
      </c>
      <c r="H375" s="115"/>
      <c r="I375" s="112">
        <v>1903.86</v>
      </c>
      <c r="J375" s="116"/>
      <c r="K375" s="118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112"/>
      <c r="AK375" s="117">
        <f>AK374+AK373</f>
      </c>
      <c r="AL375" s="117">
        <f>AL374+AL373</f>
      </c>
      <c r="AM375" s="117">
        <f>AM374+AM373</f>
      </c>
      <c r="AN375" s="117">
        <f>AN374+AN373</f>
      </c>
      <c r="AO375" s="117">
        <f>AO374+AO373</f>
      </c>
      <c r="AP375" s="117">
        <f>AP374+AP373</f>
      </c>
      <c r="AQ375" s="117">
        <f>AQ374+AQ373</f>
      </c>
      <c r="AR375" s="117">
        <f>AR374+AR373</f>
      </c>
      <c r="AS375" s="117">
        <f>AS374+AS373</f>
      </c>
      <c r="AT375" s="39"/>
      <c r="AU375" s="39"/>
      <c r="AV375" s="39"/>
      <c r="AW375" s="39"/>
      <c r="AX375" s="39"/>
    </row>
    <row r="376">
      <c r="A376" s="39"/>
      <c r="B376" s="39"/>
      <c r="C376" s="39"/>
      <c r="D376" s="39"/>
      <c r="E376" s="39"/>
      <c r="F376" s="114"/>
      <c r="G376" s="119">
        <f>G375+G374</f>
      </c>
      <c r="H376" s="119">
        <f>H375+H374</f>
      </c>
      <c r="I376" s="112">
        <v>0</v>
      </c>
      <c r="J376" s="116"/>
      <c r="K376" s="118"/>
      <c r="L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</row>
    <row r="378">
      <c r="L378" s="120"/>
      <c r="N378" s="39"/>
      <c r="O378" s="39"/>
      <c r="P378" s="39"/>
      <c r="Q378" s="39"/>
    </row>
    <row r="379">
      <c r="I379" s="120"/>
      <c r="J379" s="120"/>
    </row>
  </sheetData>
  <autoFilter ref="A3:AX381">
    <filterColumn colId="0">
      <filters blank="true">
        <filter val="日期"/>
        <dateGroupItem dateTimeGrouping="day" day="18" month="10" year="2026"/>
      </filters>
    </filterColumn>
  </autoFilter>
  <mergeCells>
    <mergeCell ref="B348:E348"/>
    <mergeCell ref="B347:E347"/>
    <mergeCell ref="B343:E343"/>
    <mergeCell ref="B339:E339"/>
    <mergeCell ref="B334:E334"/>
    <mergeCell ref="A330:A348"/>
    <mergeCell ref="B271:E271"/>
    <mergeCell ref="B272:E272"/>
    <mergeCell ref="B252:E252"/>
    <mergeCell ref="B253:E253"/>
    <mergeCell ref="B234:E234"/>
    <mergeCell ref="B233:E233"/>
    <mergeCell ref="B228:E228"/>
    <mergeCell ref="B223:E223"/>
    <mergeCell ref="A219:A234"/>
    <mergeCell ref="B165:E165"/>
    <mergeCell ref="B164:E164"/>
    <mergeCell ref="B159:E159"/>
    <mergeCell ref="B154:E154"/>
    <mergeCell ref="A150:A165"/>
    <mergeCell ref="A129:A149"/>
    <mergeCell ref="A108:A128"/>
    <mergeCell ref="B127:E127"/>
    <mergeCell ref="B128:E128"/>
    <mergeCell ref="B122:E122"/>
    <mergeCell ref="B117:E117"/>
    <mergeCell ref="B112:E112"/>
    <mergeCell ref="B107:E107"/>
    <mergeCell ref="B106:E106"/>
    <mergeCell ref="B102:E102"/>
    <mergeCell ref="B97:E97"/>
    <mergeCell ref="B92:E92"/>
    <mergeCell ref="A88:A107"/>
    <mergeCell ref="B87:E87"/>
    <mergeCell ref="B86:E86"/>
    <mergeCell ref="B81:E81"/>
    <mergeCell ref="B76:E76"/>
    <mergeCell ref="B71:E71"/>
    <mergeCell ref="A67:A87"/>
    <mergeCell ref="B66:E66"/>
    <mergeCell ref="B65:E65"/>
    <mergeCell ref="B60:E60"/>
    <mergeCell ref="B55:E55"/>
    <mergeCell ref="B50:E50"/>
    <mergeCell ref="A46:A66"/>
    <mergeCell ref="B45:E45"/>
    <mergeCell ref="B44:E44"/>
    <mergeCell ref="B39:E39"/>
    <mergeCell ref="B34:E34"/>
    <mergeCell ref="B29:E29"/>
    <mergeCell ref="A25:A45"/>
    <mergeCell ref="F2:I2"/>
    <mergeCell ref="J2:S2"/>
    <mergeCell ref="AK2:AU2"/>
    <mergeCell ref="Z2:AJ2"/>
    <mergeCell ref="T2:Y2"/>
    <mergeCell ref="AX1:AX2"/>
    <mergeCell ref="A1:A3"/>
    <mergeCell ref="B1:E2"/>
    <mergeCell ref="AV1:AW1"/>
    <mergeCell ref="Z1:AU1"/>
    <mergeCell ref="F1:Y1"/>
    <mergeCell ref="B24:E24"/>
    <mergeCell ref="B23:E23"/>
    <mergeCell ref="B18:E18"/>
    <mergeCell ref="B13:E13"/>
    <mergeCell ref="B8:E8"/>
    <mergeCell ref="A4:A24"/>
    <mergeCell ref="B133:E133"/>
    <mergeCell ref="B149:E149"/>
    <mergeCell ref="B148:E148"/>
    <mergeCell ref="B143:E143"/>
    <mergeCell ref="B138:E138"/>
    <mergeCell ref="A166:A186"/>
    <mergeCell ref="B170:E170"/>
    <mergeCell ref="B175:E175"/>
    <mergeCell ref="B180:E180"/>
    <mergeCell ref="B185:E185"/>
    <mergeCell ref="B186:E186"/>
    <mergeCell ref="A187:A202"/>
    <mergeCell ref="B191:E191"/>
    <mergeCell ref="B196:E196"/>
    <mergeCell ref="B201:E201"/>
    <mergeCell ref="B202:E202"/>
    <mergeCell ref="A203:A218"/>
    <mergeCell ref="B207:E207"/>
    <mergeCell ref="B212:E212"/>
    <mergeCell ref="B217:E217"/>
    <mergeCell ref="B218:E218"/>
    <mergeCell ref="B239:E239"/>
    <mergeCell ref="B244:E244"/>
    <mergeCell ref="B248:E248"/>
    <mergeCell ref="A235:A253"/>
    <mergeCell ref="B258:E258"/>
    <mergeCell ref="B263:E263"/>
    <mergeCell ref="B268:E268"/>
    <mergeCell ref="A254:A272"/>
    <mergeCell ref="A273:A291"/>
    <mergeCell ref="B277:E277"/>
    <mergeCell ref="B282:E282"/>
    <mergeCell ref="B286:E286"/>
    <mergeCell ref="B290:E290"/>
    <mergeCell ref="B291:E291"/>
    <mergeCell ref="A292:A310"/>
    <mergeCell ref="B296:E296"/>
    <mergeCell ref="B301:E301"/>
    <mergeCell ref="B305:E305"/>
    <mergeCell ref="B309:E309"/>
    <mergeCell ref="B310:E310"/>
    <mergeCell ref="A311:A329"/>
    <mergeCell ref="B315:E315"/>
    <mergeCell ref="B320:E320"/>
    <mergeCell ref="B324:E324"/>
    <mergeCell ref="B328:E328"/>
    <mergeCell ref="B329:E329"/>
    <mergeCell ref="A352:A370"/>
    <mergeCell ref="B356:E356"/>
    <mergeCell ref="B361:E361"/>
    <mergeCell ref="B365:E365"/>
    <mergeCell ref="B369:E369"/>
    <mergeCell ref="B370:E370"/>
    <mergeCell ref="D371:H372"/>
    <mergeCell ref="AJ373:AJ375"/>
    <mergeCell ref="K374:K376"/>
    <mergeCell ref="F374:F376"/>
    <mergeCell ref="AX349:AX350"/>
    <mergeCell ref="A349:A351"/>
    <mergeCell ref="B349:E350"/>
    <mergeCell ref="AV349:AW349"/>
    <mergeCell ref="Z349:AU349"/>
    <mergeCell ref="F349:Y349"/>
    <mergeCell ref="F350:I350"/>
    <mergeCell ref="J350:S350"/>
    <mergeCell ref="AK350:AU350"/>
    <mergeCell ref="Z350:AJ350"/>
    <mergeCell ref="T350:Y350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RowHeight="16"/>
  <cols>
    <col collapsed="false" customWidth="true" hidden="false" max="36" min="36" style="0" width="11.211267605633802"/>
    <col collapsed="false" customWidth="true" hidden="false" max="44" min="44" style="0" width="11.211267605633802"/>
    <col collapsed="false" customWidth="true" hidden="false" max="4" min="4" style="0" width="11.211267605633802"/>
    <col collapsed="false" customWidth="true" hidden="false" max="20" min="20" style="0" width="11.211267605633802"/>
    <col collapsed="false" customWidth="true" hidden="false" max="28" min="28" style="0" width="11.211267605633802"/>
    <col collapsed="false" customWidth="true" hidden="false" max="37" min="37" style="0" width="11.211267605633802"/>
    <col collapsed="false" customWidth="true" hidden="false" max="45" min="45" style="0" width="11.211267605633802"/>
    <col collapsed="false" customWidth="true" hidden="false" max="5" min="5" style="0" width="11.211267605633802"/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38" min="38" style="0" width="11.211267605633802"/>
    <col collapsed="false" customWidth="true" hidden="false" max="46" min="46" style="0" width="11.211267605633802"/>
    <col collapsed="false" customWidth="true" hidden="false" max="6" min="6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39" min="39" style="0" width="11.211267605633802"/>
    <col collapsed="false" customWidth="true" hidden="false" max="47" min="47" style="0" width="11.211267605633802"/>
    <col collapsed="false" customWidth="true" hidden="false" max="15" min="15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40" min="40" style="0" width="11.211267605633802"/>
    <col collapsed="false" customWidth="true" hidden="false" max="16" min="16" style="0" width="11.211267605633802"/>
    <col collapsed="false" customWidth="true" hidden="false" max="24" min="24" style="0" width="11.211267605633802"/>
    <col collapsed="false" customWidth="true" hidden="false" max="32" min="32" style="0" width="11.211267605633802"/>
    <col collapsed="false" customWidth="true" hidden="false" max="33" min="33" style="0" width="11.211267605633802"/>
    <col collapsed="false" customWidth="true" hidden="false" max="41" min="41" style="0" width="11.211267605633802"/>
    <col collapsed="false" customWidth="true" hidden="false" max="9" min="9" style="0" width="11.211267605633802"/>
    <col collapsed="false" customWidth="true" hidden="false" max="17" min="17" style="0" width="11.211267605633802"/>
    <col collapsed="false" customWidth="true" hidden="false" max="25" min="25" style="0" width="11.211267605633802"/>
    <col collapsed="false" customWidth="true" hidden="false" max="26" min="26" style="0" width="11.211267605633802"/>
    <col collapsed="false" customWidth="true" hidden="false" max="34" min="34" style="0" width="11.211267605633802"/>
    <col collapsed="false" customWidth="true" hidden="false" max="42" min="42" style="0" width="11.211267605633802"/>
    <col collapsed="false" customWidth="true" hidden="false" max="2" min="2" style="0" width="11.211267605633802"/>
    <col collapsed="false" customWidth="true" hidden="false" max="10" min="10" style="0" width="11.211267605633802"/>
    <col collapsed="false" customWidth="true" hidden="false" max="18" min="18" style="0" width="11.211267605633802"/>
    <col collapsed="false" customWidth="true" hidden="false" max="27" min="27" style="0" width="11.211267605633802"/>
    <col collapsed="false" customWidth="true" hidden="false" max="35" min="35" style="0" width="11.211267605633802"/>
    <col collapsed="false" customWidth="true" hidden="false" max="43" min="43" style="0" width="11.211267605633802"/>
    <col collapsed="false" customWidth="true" hidden="false" max="3" min="3" style="0" width="11.211267605633802"/>
    <col collapsed="false" customWidth="true" hidden="false" max="11" min="11" style="0" width="11.211267605633802"/>
    <col collapsed="false" customWidth="true" hidden="false" max="19" min="19" style="0" width="11.211267605633802"/>
  </cols>
  <sheetData>
    <row r="1">
      <c r="A1" s="121" t="s">
        <v>98</v>
      </c>
      <c r="B1" s="122" t="s">
        <v>99</v>
      </c>
      <c r="C1" s="122"/>
      <c r="D1" s="122"/>
      <c r="E1" s="122"/>
      <c r="F1" s="123" t="s">
        <v>100</v>
      </c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4"/>
      <c r="S1" s="123"/>
      <c r="T1" s="123"/>
      <c r="U1" s="123"/>
      <c r="V1" s="123"/>
      <c r="W1" s="123"/>
      <c r="X1" s="123"/>
      <c r="Y1" s="123"/>
      <c r="Z1" s="125" t="s">
        <v>101</v>
      </c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6" t="s">
        <v>102</v>
      </c>
      <c r="AW1" s="126"/>
      <c r="AX1" s="127" t="s">
        <v>103</v>
      </c>
    </row>
    <row r="2">
      <c r="A2" s="128"/>
      <c r="B2" s="122"/>
      <c r="C2" s="122"/>
      <c r="D2" s="122"/>
      <c r="E2" s="122"/>
      <c r="F2" s="129" t="s">
        <v>104</v>
      </c>
      <c r="G2" s="129"/>
      <c r="H2" s="129"/>
      <c r="I2" s="129"/>
      <c r="J2" s="130" t="s">
        <v>105</v>
      </c>
      <c r="K2" s="130"/>
      <c r="L2" s="130"/>
      <c r="M2" s="130"/>
      <c r="N2" s="130"/>
      <c r="O2" s="130"/>
      <c r="P2" s="130"/>
      <c r="Q2" s="130"/>
      <c r="R2" s="131"/>
      <c r="S2" s="130"/>
      <c r="T2" s="132" t="s">
        <v>106</v>
      </c>
      <c r="U2" s="132"/>
      <c r="V2" s="132"/>
      <c r="W2" s="132"/>
      <c r="X2" s="132"/>
      <c r="Y2" s="132"/>
      <c r="Z2" s="133" t="s">
        <v>107</v>
      </c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4" t="s">
        <v>108</v>
      </c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5"/>
      <c r="AW2" s="135"/>
      <c r="AX2" s="127"/>
    </row>
    <row r="3">
      <c r="A3" s="128"/>
      <c r="B3" s="136" t="s">
        <v>109</v>
      </c>
      <c r="C3" s="136" t="s">
        <v>110</v>
      </c>
      <c r="D3" s="136" t="s">
        <v>111</v>
      </c>
      <c r="E3" s="136" t="s">
        <v>112</v>
      </c>
      <c r="F3" s="129" t="s">
        <v>113</v>
      </c>
      <c r="G3" s="137" t="s">
        <v>114</v>
      </c>
      <c r="H3" s="137" t="s">
        <v>115</v>
      </c>
      <c r="I3" s="129" t="s">
        <v>116</v>
      </c>
      <c r="J3" s="130" t="s">
        <v>117</v>
      </c>
      <c r="K3" s="130" t="s">
        <v>118</v>
      </c>
      <c r="L3" s="130" t="s">
        <v>119</v>
      </c>
      <c r="M3" s="130" t="s">
        <v>120</v>
      </c>
      <c r="N3" s="137" t="s">
        <v>121</v>
      </c>
      <c r="O3" s="130" t="s">
        <v>122</v>
      </c>
      <c r="P3" s="137" t="s">
        <v>123</v>
      </c>
      <c r="Q3" s="130" t="s">
        <v>124</v>
      </c>
      <c r="R3" s="138" t="s">
        <v>125</v>
      </c>
      <c r="S3" s="139" t="s">
        <v>126</v>
      </c>
      <c r="T3" s="132" t="s">
        <v>127</v>
      </c>
      <c r="U3" s="140" t="s">
        <v>128</v>
      </c>
      <c r="V3" s="132" t="s">
        <v>129</v>
      </c>
      <c r="W3" s="137" t="s">
        <v>130</v>
      </c>
      <c r="X3" s="132" t="s">
        <v>131</v>
      </c>
      <c r="Y3" s="132" t="s">
        <v>132</v>
      </c>
      <c r="Z3" s="141" t="s">
        <v>133</v>
      </c>
      <c r="AA3" s="141" t="s">
        <v>134</v>
      </c>
      <c r="AB3" s="142" t="s">
        <v>135</v>
      </c>
      <c r="AC3" s="141" t="s">
        <v>136</v>
      </c>
      <c r="AD3" s="141" t="s">
        <v>137</v>
      </c>
      <c r="AE3" s="141" t="s">
        <v>138</v>
      </c>
      <c r="AF3" s="141" t="s">
        <v>139</v>
      </c>
      <c r="AG3" s="141" t="s">
        <v>140</v>
      </c>
      <c r="AH3" s="141" t="s">
        <v>141</v>
      </c>
      <c r="AI3" s="141" t="s">
        <v>142</v>
      </c>
      <c r="AJ3" s="143" t="s">
        <v>143</v>
      </c>
      <c r="AK3" s="134" t="s">
        <v>144</v>
      </c>
      <c r="AL3" s="134" t="s">
        <v>145</v>
      </c>
      <c r="AM3" s="134" t="s">
        <v>146</v>
      </c>
      <c r="AN3" s="134" t="s">
        <v>147</v>
      </c>
      <c r="AO3" s="144" t="s">
        <v>148</v>
      </c>
      <c r="AP3" s="134" t="s">
        <v>149</v>
      </c>
      <c r="AQ3" s="134" t="s">
        <v>150</v>
      </c>
      <c r="AR3" s="144" t="s">
        <v>151</v>
      </c>
      <c r="AS3" s="134" t="s">
        <v>152</v>
      </c>
      <c r="AT3" s="134" t="s">
        <v>153</v>
      </c>
      <c r="AU3" s="134" t="s">
        <v>154</v>
      </c>
      <c r="AV3" s="145"/>
      <c r="AW3" s="146"/>
      <c r="AX3" s="147" t="s">
        <v>155</v>
      </c>
    </row>
    <row r="4">
      <c r="A4" s="148">
        <v>46266</v>
      </c>
      <c r="B4" s="149" t="s">
        <v>156</v>
      </c>
      <c r="C4" s="149" t="s">
        <v>157</v>
      </c>
      <c r="D4" s="149" t="s">
        <v>158</v>
      </c>
      <c r="E4" s="150" t="s">
        <v>159</v>
      </c>
      <c r="F4" s="151">
        <f t="shared" ref="F4:F6" si="157">G4+H4+I4</f>
      </c>
      <c r="G4" s="152">
        <v>527.33</v>
      </c>
      <c r="H4" s="152">
        <v>387.38</v>
      </c>
      <c r="I4" s="153"/>
      <c r="J4" s="153"/>
      <c r="K4" s="153"/>
      <c r="L4" s="154"/>
      <c r="M4" s="154"/>
      <c r="N4" s="155">
        <v>0</v>
      </c>
      <c r="O4" s="156">
        <f t="shared" ref="O4:O387" si="46">N4/R4</f>
      </c>
      <c r="P4" s="155">
        <v>0</v>
      </c>
      <c r="Q4" s="156">
        <f t="shared" ref="Q4:Q387" si="236">P4/R4</f>
      </c>
      <c r="R4" s="157">
        <v>1</v>
      </c>
      <c r="S4" s="158">
        <v>1430.7</v>
      </c>
      <c r="T4" s="159">
        <f t="shared" ref="T4:T387" si="234">S4/F4</f>
      </c>
      <c r="U4" s="159">
        <f t="shared" ref="U4:U387" si="2">S4/(F4+(AX4*500)+F4*3%)</f>
      </c>
      <c r="V4" s="160">
        <f t="shared" ref="V4:V387" si="0">S4/R4</f>
      </c>
      <c r="W4" s="155">
        <v>1</v>
      </c>
      <c r="X4" s="160">
        <f t="shared" ref="X4:X387" si="6">F4/W4</f>
      </c>
      <c r="Y4" s="160">
        <f t="shared" ref="Y4:Y387" si="4">F4/R4</f>
      </c>
      <c r="Z4" s="161">
        <f t="shared" ref="Z4:Z387" si="232">F4/AL4</f>
      </c>
      <c r="AA4" s="159">
        <f t="shared" ref="AA4:AA387" si="47">F4/AK4*1000</f>
      </c>
      <c r="AB4" s="159">
        <f t="shared" ref="AB4:AB387" si="237">F4/AN4</f>
      </c>
      <c r="AC4" s="156">
        <f t="shared" ref="AC4:AC387" si="235">AL4/AK4</f>
      </c>
      <c r="AD4" s="156">
        <f t="shared" ref="AD4:AD387" si="3">AN4/AM4</f>
      </c>
      <c r="AE4" s="156">
        <f t="shared" ref="AE4:AE387" si="1">AP4/AM4</f>
      </c>
      <c r="AF4" s="156">
        <f t="shared" ref="AF4:AF387" si="7">R4/AO4</f>
      </c>
      <c r="AG4" s="156">
        <f t="shared" ref="AG4:AG387" si="5">AR4/AN4</f>
      </c>
      <c r="AH4" s="156">
        <f t="shared" ref="AH4:AH387" si="233">R4/AR4</f>
      </c>
      <c r="AI4" s="162">
        <f t="shared" ref="AI4:AI387" si="48">AQ4/AM4</f>
      </c>
      <c r="AJ4" s="155">
        <v>57</v>
      </c>
      <c r="AK4" s="160">
        <v>3123</v>
      </c>
      <c r="AL4" s="160">
        <v>81</v>
      </c>
      <c r="AM4" s="160">
        <v>125</v>
      </c>
      <c r="AN4" s="155">
        <v>30</v>
      </c>
      <c r="AO4" s="163">
        <v>10</v>
      </c>
      <c r="AP4" s="164">
        <v>31</v>
      </c>
      <c r="AQ4" s="164">
        <v>20</v>
      </c>
      <c r="AR4" s="163">
        <v>1</v>
      </c>
      <c r="AS4" s="163">
        <v>1</v>
      </c>
      <c r="AT4" s="155">
        <v>0</v>
      </c>
      <c r="AU4" s="155">
        <v>3</v>
      </c>
      <c r="AW4" s="165"/>
      <c r="AX4" s="166">
        <f t="shared" ref="AX4:AX6" si="238">COUNT(AU4)</f>
      </c>
    </row>
    <row r="5">
      <c r="A5" s="148"/>
      <c r="B5" s="149" t="s">
        <v>156</v>
      </c>
      <c r="C5" s="149" t="s">
        <v>157</v>
      </c>
      <c r="D5" s="149" t="s">
        <v>158</v>
      </c>
      <c r="E5" s="150" t="s">
        <v>160</v>
      </c>
      <c r="F5" s="151">
        <f t="shared" si="157"/>
      </c>
      <c r="G5" s="152">
        <v>990.05</v>
      </c>
      <c r="H5" s="152">
        <v>401.75</v>
      </c>
      <c r="I5" s="154"/>
      <c r="J5" s="154"/>
      <c r="K5" s="154"/>
      <c r="L5" s="154"/>
      <c r="M5" s="154"/>
      <c r="N5" s="155">
        <v>0</v>
      </c>
      <c r="O5" s="156">
        <f t="shared" si="46"/>
      </c>
      <c r="P5" s="155">
        <v>0</v>
      </c>
      <c r="Q5" s="156">
        <f t="shared" si="236"/>
      </c>
      <c r="R5" s="155">
        <v>0</v>
      </c>
      <c r="S5" s="152">
        <v>0</v>
      </c>
      <c r="T5" s="159">
        <f t="shared" si="234"/>
      </c>
      <c r="U5" s="159">
        <f t="shared" si="2"/>
      </c>
      <c r="V5" s="160">
        <f t="shared" si="0"/>
      </c>
      <c r="W5" s="155">
        <v>0</v>
      </c>
      <c r="X5" s="160">
        <f t="shared" si="6"/>
      </c>
      <c r="Y5" s="160">
        <f t="shared" si="4"/>
      </c>
      <c r="Z5" s="161">
        <f t="shared" si="232"/>
      </c>
      <c r="AA5" s="159">
        <f t="shared" si="47"/>
      </c>
      <c r="AB5" s="159">
        <f t="shared" si="237"/>
      </c>
      <c r="AC5" s="156">
        <f t="shared" si="235"/>
      </c>
      <c r="AD5" s="156">
        <f t="shared" si="3"/>
      </c>
      <c r="AE5" s="156">
        <f t="shared" si="1"/>
      </c>
      <c r="AF5" s="156">
        <f t="shared" si="7"/>
      </c>
      <c r="AG5" s="156">
        <f t="shared" si="5"/>
      </c>
      <c r="AH5" s="167">
        <f t="shared" si="233"/>
      </c>
      <c r="AI5" s="167">
        <f t="shared" si="48"/>
      </c>
      <c r="AJ5" s="155">
        <v>49</v>
      </c>
      <c r="AK5" s="160">
        <v>4821</v>
      </c>
      <c r="AL5" s="160">
        <v>173</v>
      </c>
      <c r="AM5" s="160">
        <v>261</v>
      </c>
      <c r="AN5" s="160">
        <v>34</v>
      </c>
      <c r="AO5" s="163">
        <v>10</v>
      </c>
      <c r="AP5" s="168">
        <v>35</v>
      </c>
      <c r="AQ5" s="163">
        <v>32</v>
      </c>
      <c r="AR5" s="163">
        <v>0</v>
      </c>
      <c r="AS5" s="160">
        <v>3</v>
      </c>
      <c r="AT5" s="160">
        <v>1</v>
      </c>
      <c r="AU5" s="168">
        <v>0</v>
      </c>
      <c r="AW5" s="165"/>
      <c r="AX5" s="166">
        <f t="shared" si="238"/>
      </c>
    </row>
    <row r="6">
      <c r="A6" s="148"/>
      <c r="B6" s="149" t="s">
        <v>156</v>
      </c>
      <c r="C6" s="149" t="s">
        <v>157</v>
      </c>
      <c r="D6" s="149" t="s">
        <v>158</v>
      </c>
      <c r="E6" s="150" t="s">
        <v>161</v>
      </c>
      <c r="F6" s="151">
        <f t="shared" si="157"/>
      </c>
      <c r="G6" s="152">
        <v>1146.51</v>
      </c>
      <c r="H6" s="152">
        <v>318.07</v>
      </c>
      <c r="I6" s="154"/>
      <c r="J6" s="154"/>
      <c r="K6" s="154"/>
      <c r="L6" s="154"/>
      <c r="M6" s="154"/>
      <c r="N6" s="155">
        <v>0</v>
      </c>
      <c r="O6" s="156">
        <f t="shared" si="46"/>
      </c>
      <c r="P6" s="155">
        <v>0</v>
      </c>
      <c r="Q6" s="156">
        <f t="shared" si="236"/>
      </c>
      <c r="R6" s="155">
        <v>0</v>
      </c>
      <c r="S6" s="152">
        <v>0</v>
      </c>
      <c r="T6" s="159">
        <f t="shared" si="234"/>
      </c>
      <c r="U6" s="159">
        <f t="shared" si="2"/>
      </c>
      <c r="V6" s="169">
        <f t="shared" si="0"/>
      </c>
      <c r="W6" s="155">
        <v>0</v>
      </c>
      <c r="X6" s="160">
        <f t="shared" si="6"/>
      </c>
      <c r="Y6" s="160">
        <f t="shared" si="4"/>
      </c>
      <c r="Z6" s="161">
        <f t="shared" si="232"/>
      </c>
      <c r="AA6" s="159">
        <f t="shared" si="47"/>
      </c>
      <c r="AB6" s="159">
        <f t="shared" si="237"/>
      </c>
      <c r="AC6" s="156">
        <f t="shared" si="235"/>
      </c>
      <c r="AD6" s="156">
        <f t="shared" si="3"/>
      </c>
      <c r="AE6" s="156">
        <f t="shared" si="1"/>
      </c>
      <c r="AF6" s="156">
        <f t="shared" si="7"/>
      </c>
      <c r="AG6" s="156">
        <f t="shared" si="5"/>
      </c>
      <c r="AH6" s="156">
        <f t="shared" si="233"/>
      </c>
      <c r="AI6" s="170">
        <f t="shared" si="48"/>
      </c>
      <c r="AJ6" s="155">
        <v>45</v>
      </c>
      <c r="AK6" s="160">
        <v>3873</v>
      </c>
      <c r="AL6" s="160">
        <v>161</v>
      </c>
      <c r="AM6" s="160">
        <v>235</v>
      </c>
      <c r="AN6" s="160">
        <v>34</v>
      </c>
      <c r="AO6" s="163">
        <v>6</v>
      </c>
      <c r="AP6" s="168">
        <v>31</v>
      </c>
      <c r="AQ6" s="163">
        <v>27</v>
      </c>
      <c r="AR6" s="163">
        <v>0</v>
      </c>
      <c r="AS6" s="155">
        <v>4</v>
      </c>
      <c r="AT6" s="155">
        <v>0</v>
      </c>
      <c r="AU6" s="168">
        <v>1</v>
      </c>
      <c r="AW6" s="165"/>
      <c r="AX6" s="166">
        <f t="shared" si="238"/>
      </c>
    </row>
    <row r="7">
      <c r="A7" s="148"/>
      <c r="B7" s="171" t="s">
        <v>162</v>
      </c>
      <c r="C7" s="171"/>
      <c r="D7" s="171"/>
      <c r="E7" s="171"/>
      <c r="F7" s="172">
        <f>SUM(F4:F6)</f>
      </c>
      <c r="G7" s="173">
        <f>SUM(G4:G6)</f>
      </c>
      <c r="H7" s="173">
        <f>SUM(H4:H6)</f>
      </c>
      <c r="I7" s="174">
        <f>SUM(I4:I6)</f>
      </c>
      <c r="J7" s="174">
        <f>SUM(J4:J6)</f>
      </c>
      <c r="K7" s="174">
        <f>SUM(K4:K6)</f>
      </c>
      <c r="L7" s="174">
        <f>SUM(L4:L6)</f>
      </c>
      <c r="M7" s="174">
        <f>SUM(M4:M6)</f>
      </c>
      <c r="N7" s="174">
        <f>SUM(N4:N6)</f>
      </c>
      <c r="O7" s="175">
        <f t="shared" si="46"/>
      </c>
      <c r="P7" s="174">
        <f>SUM(P4:P6)</f>
      </c>
      <c r="Q7" s="175">
        <f t="shared" si="236"/>
      </c>
      <c r="R7" s="174">
        <f>SUM(R4:R6)</f>
      </c>
      <c r="S7" s="173">
        <f>SUM(S4:S6)</f>
      </c>
      <c r="T7" s="173">
        <f t="shared" si="234"/>
      </c>
      <c r="U7" s="173">
        <f t="shared" si="2"/>
      </c>
      <c r="V7" s="174">
        <f t="shared" si="0"/>
      </c>
      <c r="W7" s="174">
        <f>SUM(W4:W6)</f>
      </c>
      <c r="X7" s="174">
        <f t="shared" si="6"/>
      </c>
      <c r="Y7" s="174">
        <f t="shared" si="4"/>
      </c>
      <c r="Z7" s="172">
        <f t="shared" si="232"/>
      </c>
      <c r="AA7" s="173">
        <f t="shared" si="47"/>
      </c>
      <c r="AB7" s="176">
        <f t="shared" si="237"/>
      </c>
      <c r="AC7" s="175">
        <f t="shared" si="235"/>
      </c>
      <c r="AD7" s="175">
        <f t="shared" si="3"/>
      </c>
      <c r="AE7" s="175">
        <f t="shared" si="1"/>
      </c>
      <c r="AF7" s="175">
        <f t="shared" si="7"/>
      </c>
      <c r="AG7" s="175">
        <f t="shared" si="5"/>
      </c>
      <c r="AH7" s="175">
        <f t="shared" si="233"/>
      </c>
      <c r="AI7" s="177">
        <f t="shared" si="48"/>
      </c>
      <c r="AJ7" s="178">
        <f>AVERAGE(AJ4:AJ6)</f>
      </c>
      <c r="AK7" s="174">
        <f>SUM(AK4:AK6)</f>
      </c>
      <c r="AL7" s="174">
        <f>SUM(AL4:AL6)</f>
      </c>
      <c r="AM7" s="174">
        <f>SUM(AM4:AM6)</f>
      </c>
      <c r="AN7" s="174">
        <f>SUM(AN4:AN6)</f>
      </c>
      <c r="AO7" s="174">
        <f>SUM(AO4:AO6)</f>
      </c>
      <c r="AP7" s="179">
        <f>SUM(AP4:AP6)</f>
      </c>
      <c r="AQ7" s="174">
        <f>SUM(AQ4:AQ6)</f>
      </c>
      <c r="AR7" s="174">
        <f>SUM(AR4:AR6)</f>
      </c>
      <c r="AS7" s="174">
        <f>SUM(AS4:AS6)</f>
      </c>
      <c r="AT7" s="174">
        <f>SUM(AT4:AT6)</f>
      </c>
      <c r="AU7" s="179">
        <f>SUM(AU4:AU6)</f>
      </c>
      <c r="AW7" s="180"/>
      <c r="AX7" s="174">
        <f>SUM(AX4:AX6)</f>
      </c>
    </row>
    <row r="8">
      <c r="A8" s="148"/>
      <c r="B8" s="149" t="s">
        <v>156</v>
      </c>
      <c r="C8" s="149" t="s">
        <v>157</v>
      </c>
      <c r="D8" s="149" t="s">
        <v>163</v>
      </c>
      <c r="E8" s="150" t="s">
        <v>164</v>
      </c>
      <c r="F8" s="151">
        <f t="shared" ref="F8:F9" si="158">G8+H8+I8</f>
      </c>
      <c r="G8" s="152">
        <v>637.51</v>
      </c>
      <c r="H8" s="152">
        <v>233.15</v>
      </c>
      <c r="I8" s="154"/>
      <c r="J8" s="154"/>
      <c r="K8" s="154"/>
      <c r="L8" s="154"/>
      <c r="M8" s="154"/>
      <c r="N8" s="155">
        <v>0</v>
      </c>
      <c r="O8" s="156">
        <f t="shared" si="46"/>
      </c>
      <c r="P8" s="155">
        <v>0</v>
      </c>
      <c r="Q8" s="156">
        <f t="shared" si="236"/>
      </c>
      <c r="R8" s="155">
        <v>0</v>
      </c>
      <c r="S8" s="152">
        <v>0</v>
      </c>
      <c r="T8" s="159">
        <f t="shared" si="234"/>
      </c>
      <c r="U8" s="159">
        <f t="shared" si="2"/>
      </c>
      <c r="V8" s="160">
        <f t="shared" si="0"/>
      </c>
      <c r="W8" s="155">
        <v>0</v>
      </c>
      <c r="X8" s="169">
        <f t="shared" si="6"/>
      </c>
      <c r="Y8" s="160">
        <f t="shared" si="4"/>
      </c>
      <c r="Z8" s="161">
        <f t="shared" si="232"/>
      </c>
      <c r="AA8" s="159">
        <f t="shared" si="47"/>
      </c>
      <c r="AB8" s="159">
        <f t="shared" si="237"/>
      </c>
      <c r="AC8" s="156">
        <f t="shared" si="235"/>
      </c>
      <c r="AD8" s="156">
        <f t="shared" si="3"/>
      </c>
      <c r="AE8" s="156">
        <f t="shared" si="1"/>
      </c>
      <c r="AF8" s="156">
        <f t="shared" si="7"/>
      </c>
      <c r="AG8" s="156">
        <f t="shared" si="5"/>
      </c>
      <c r="AH8" s="156">
        <f t="shared" si="233"/>
      </c>
      <c r="AI8" s="167">
        <f t="shared" si="48"/>
      </c>
      <c r="AJ8" s="155">
        <v>47</v>
      </c>
      <c r="AK8" s="160">
        <v>4234</v>
      </c>
      <c r="AL8" s="160">
        <v>155</v>
      </c>
      <c r="AM8" s="160">
        <v>209</v>
      </c>
      <c r="AN8" s="160">
        <v>26</v>
      </c>
      <c r="AO8" s="163">
        <v>11</v>
      </c>
      <c r="AP8" s="168">
        <v>25</v>
      </c>
      <c r="AQ8" s="163">
        <v>21</v>
      </c>
      <c r="AR8" s="163">
        <v>0</v>
      </c>
      <c r="AS8" s="160">
        <v>0</v>
      </c>
      <c r="AT8" s="160">
        <v>0</v>
      </c>
      <c r="AU8" s="168">
        <v>0</v>
      </c>
      <c r="AW8" s="165"/>
      <c r="AX8" s="166">
        <f t="shared" ref="AX8:AX9" si="239">COUNT(AU8)</f>
      </c>
    </row>
    <row r="9">
      <c r="A9" s="148"/>
      <c r="B9" s="149" t="s">
        <v>156</v>
      </c>
      <c r="C9" s="149" t="s">
        <v>157</v>
      </c>
      <c r="D9" s="149" t="s">
        <v>163</v>
      </c>
      <c r="E9" s="149" t="s">
        <v>165</v>
      </c>
      <c r="F9" s="151">
        <f t="shared" si="158"/>
      </c>
      <c r="G9" s="152">
        <v>238.77</v>
      </c>
      <c r="H9" s="152">
        <v>119.45</v>
      </c>
      <c r="I9" s="154"/>
      <c r="J9" s="154"/>
      <c r="K9" s="154"/>
      <c r="L9" s="154"/>
      <c r="M9" s="154"/>
      <c r="N9" s="155">
        <v>0</v>
      </c>
      <c r="O9" s="156">
        <f t="shared" si="46"/>
      </c>
      <c r="P9" s="155">
        <v>0</v>
      </c>
      <c r="Q9" s="156">
        <f t="shared" si="236"/>
      </c>
      <c r="R9" s="155">
        <v>0</v>
      </c>
      <c r="S9" s="152">
        <v>0</v>
      </c>
      <c r="T9" s="159">
        <f t="shared" si="234"/>
      </c>
      <c r="U9" s="159">
        <f t="shared" si="2"/>
      </c>
      <c r="V9" s="160">
        <f t="shared" si="0"/>
      </c>
      <c r="W9" s="155">
        <v>0</v>
      </c>
      <c r="X9" s="169">
        <f t="shared" si="6"/>
      </c>
      <c r="Y9" s="160">
        <f t="shared" si="4"/>
      </c>
      <c r="Z9" s="161">
        <f t="shared" si="232"/>
      </c>
      <c r="AA9" s="159">
        <f t="shared" si="47"/>
      </c>
      <c r="AB9" s="159">
        <f t="shared" si="237"/>
      </c>
      <c r="AC9" s="156">
        <f t="shared" si="235"/>
      </c>
      <c r="AD9" s="156">
        <f t="shared" si="3"/>
      </c>
      <c r="AE9" s="156">
        <f t="shared" si="1"/>
      </c>
      <c r="AF9" s="156">
        <f t="shared" si="7"/>
      </c>
      <c r="AG9" s="156">
        <f t="shared" si="5"/>
      </c>
      <c r="AH9" s="156">
        <f t="shared" si="233"/>
      </c>
      <c r="AI9" s="167">
        <f t="shared" si="48"/>
      </c>
      <c r="AJ9" s="155">
        <v>46</v>
      </c>
      <c r="AK9" s="160">
        <v>1638</v>
      </c>
      <c r="AL9" s="160">
        <v>62</v>
      </c>
      <c r="AM9" s="160">
        <v>96</v>
      </c>
      <c r="AN9" s="160">
        <v>15</v>
      </c>
      <c r="AO9" s="163">
        <v>2</v>
      </c>
      <c r="AP9" s="168">
        <v>9</v>
      </c>
      <c r="AQ9" s="163">
        <v>7</v>
      </c>
      <c r="AR9" s="163">
        <v>0</v>
      </c>
      <c r="AS9" s="160">
        <v>0</v>
      </c>
      <c r="AT9" s="160">
        <v>0</v>
      </c>
      <c r="AU9" s="168">
        <v>0</v>
      </c>
      <c r="AW9" s="165"/>
      <c r="AX9" s="166">
        <f t="shared" si="239"/>
      </c>
    </row>
    <row r="10">
      <c r="A10" s="148"/>
      <c r="B10" s="171" t="s">
        <v>162</v>
      </c>
      <c r="C10" s="171"/>
      <c r="D10" s="171"/>
      <c r="E10" s="171"/>
      <c r="F10" s="172">
        <f>SUM(F8:F9)</f>
      </c>
      <c r="G10" s="172">
        <f>SUM(G8:G9)</f>
      </c>
      <c r="H10" s="172">
        <f>SUM(H8:H9)</f>
      </c>
      <c r="I10" s="174">
        <f>SUM(I8:I9)</f>
      </c>
      <c r="J10" s="174">
        <f>SUM(J8:J9)</f>
      </c>
      <c r="K10" s="174">
        <f>SUM(K8:K9)</f>
      </c>
      <c r="L10" s="174">
        <f>SUM(L8:L9)</f>
      </c>
      <c r="M10" s="174">
        <f>SUM(M8:M9)</f>
      </c>
      <c r="N10" s="174">
        <f>SUM(N8:N9)</f>
      </c>
      <c r="O10" s="175">
        <f t="shared" si="46"/>
      </c>
      <c r="P10" s="174">
        <f>SUM(P8:P9)</f>
      </c>
      <c r="Q10" s="175">
        <f t="shared" si="236"/>
      </c>
      <c r="R10" s="174">
        <f>SUM(R8:R9)</f>
      </c>
      <c r="S10" s="173">
        <f>SUM(S8:S9)</f>
      </c>
      <c r="T10" s="173">
        <f t="shared" si="234"/>
      </c>
      <c r="U10" s="173">
        <f t="shared" si="2"/>
      </c>
      <c r="V10" s="174">
        <f t="shared" si="0"/>
      </c>
      <c r="W10" s="174">
        <f>SUM(W8:W9)</f>
      </c>
      <c r="X10" s="174">
        <f t="shared" si="6"/>
      </c>
      <c r="Y10" s="174">
        <f t="shared" si="4"/>
      </c>
      <c r="Z10" s="181">
        <f t="shared" si="232"/>
      </c>
      <c r="AA10" s="182">
        <f t="shared" si="47"/>
      </c>
      <c r="AB10" s="176">
        <f t="shared" si="237"/>
      </c>
      <c r="AC10" s="183">
        <f t="shared" si="235"/>
      </c>
      <c r="AD10" s="183">
        <f t="shared" si="3"/>
      </c>
      <c r="AE10" s="183">
        <f t="shared" si="1"/>
      </c>
      <c r="AF10" s="183">
        <f t="shared" si="7"/>
      </c>
      <c r="AG10" s="183">
        <f t="shared" si="5"/>
      </c>
      <c r="AH10" s="183">
        <f t="shared" si="233"/>
      </c>
      <c r="AI10" s="183">
        <f t="shared" si="48"/>
      </c>
      <c r="AJ10" s="178">
        <f>AVERAGE(AJ8:AJ9)</f>
      </c>
      <c r="AK10" s="174">
        <f>SUM(AK8:AK9)</f>
      </c>
      <c r="AL10" s="174">
        <f>SUM(AL8:AL9)</f>
      </c>
      <c r="AM10" s="174">
        <f>SUM(AM8:AM9)</f>
      </c>
      <c r="AN10" s="174">
        <f>SUM(AN8:AN9)</f>
      </c>
      <c r="AO10" s="174">
        <f>SUM(AO8:AO9)</f>
      </c>
      <c r="AP10" s="174">
        <f>SUM(AP8:AP9)</f>
      </c>
      <c r="AQ10" s="174">
        <f>SUM(AQ8:AQ9)</f>
      </c>
      <c r="AR10" s="174">
        <f>SUM(AR8:AR9)</f>
      </c>
      <c r="AS10" s="174">
        <f>SUM(AS8:AS9)</f>
      </c>
      <c r="AT10" s="174">
        <f>SUM(AT8:AT9)</f>
      </c>
      <c r="AU10" s="174">
        <f>SUM(AU8:AU9)</f>
      </c>
      <c r="AW10" s="180"/>
      <c r="AX10" s="174">
        <f>SUM(AX8:AX9)</f>
      </c>
    </row>
    <row r="11">
      <c r="A11" s="148"/>
      <c r="B11" s="184" t="s">
        <v>166</v>
      </c>
      <c r="C11" s="184"/>
      <c r="D11" s="184"/>
      <c r="E11" s="184"/>
      <c r="F11" s="185">
        <f>F7+F10</f>
      </c>
      <c r="G11" s="185">
        <f>G7+G10</f>
      </c>
      <c r="H11" s="185">
        <f>H7+H10</f>
      </c>
      <c r="I11" s="184">
        <f>I7+I10</f>
      </c>
      <c r="J11" s="184">
        <f>J7+J10</f>
      </c>
      <c r="K11" s="184">
        <f>K7+K10</f>
      </c>
      <c r="L11" s="184">
        <f>L7+L10</f>
      </c>
      <c r="M11" s="184">
        <f>M7+M10</f>
      </c>
      <c r="N11" s="184">
        <f>N7+N10</f>
      </c>
      <c r="O11" s="186">
        <f t="shared" si="46"/>
      </c>
      <c r="P11" s="184">
        <f>P7+P10</f>
      </c>
      <c r="Q11" s="186">
        <f t="shared" si="236"/>
      </c>
      <c r="R11" s="184">
        <f>R7+R10</f>
      </c>
      <c r="S11" s="185">
        <f>S7+S10</f>
      </c>
      <c r="T11" s="185">
        <f t="shared" si="234"/>
      </c>
      <c r="U11" s="185">
        <f t="shared" si="2"/>
      </c>
      <c r="V11" s="184">
        <f t="shared" si="0"/>
      </c>
      <c r="W11" s="184">
        <f>W7+W10</f>
      </c>
      <c r="X11" s="187">
        <f t="shared" si="6"/>
      </c>
      <c r="Y11" s="184">
        <f t="shared" si="4"/>
      </c>
      <c r="Z11" s="188">
        <f t="shared" si="232"/>
      </c>
      <c r="AA11" s="185">
        <f t="shared" si="47"/>
      </c>
      <c r="AB11" s="189">
        <f t="shared" si="237"/>
      </c>
      <c r="AC11" s="186">
        <f t="shared" si="235"/>
      </c>
      <c r="AD11" s="186">
        <f t="shared" si="3"/>
      </c>
      <c r="AE11" s="186">
        <f t="shared" si="1"/>
      </c>
      <c r="AF11" s="186">
        <f t="shared" si="7"/>
      </c>
      <c r="AG11" s="186">
        <f t="shared" si="5"/>
      </c>
      <c r="AH11" s="186">
        <f t="shared" si="233"/>
      </c>
      <c r="AI11" s="186">
        <f t="shared" si="48"/>
      </c>
      <c r="AJ11" s="190">
        <f>(AJ7+AJ10)/2</f>
      </c>
      <c r="AK11" s="184">
        <f>AK7+AK10</f>
      </c>
      <c r="AL11" s="191">
        <f>AL7+AL10</f>
      </c>
      <c r="AM11" s="191">
        <f>AM7+AM10</f>
      </c>
      <c r="AN11" s="191">
        <f>AN7+AN10</f>
      </c>
      <c r="AO11" s="191">
        <f>AO7+AO10</f>
      </c>
      <c r="AP11" s="191">
        <f>AP7+AP10</f>
      </c>
      <c r="AQ11" s="191">
        <f>AQ7+AQ10</f>
      </c>
      <c r="AR11" s="191">
        <f>AR7+AR10</f>
      </c>
      <c r="AS11" s="191">
        <f>AS7+AS10</f>
      </c>
      <c r="AT11" s="191">
        <f>AT7+AT10</f>
      </c>
      <c r="AU11" s="184">
        <f>AU7+AU10</f>
      </c>
      <c r="AW11" s="192">
        <f>AW7+AW10</f>
      </c>
      <c r="AX11" s="184">
        <f>AX7+AX10</f>
      </c>
    </row>
    <row r="12">
      <c r="A12" s="148">
        <v>46268</v>
      </c>
      <c r="B12" s="149" t="s">
        <v>167</v>
      </c>
      <c r="C12" s="149" t="s">
        <v>157</v>
      </c>
      <c r="D12" s="149" t="s">
        <v>163</v>
      </c>
      <c r="E12" s="150" t="s">
        <v>159</v>
      </c>
      <c r="F12" s="151">
        <f t="shared" ref="F12:F14" si="159">G12+H12+I12</f>
      </c>
      <c r="G12" s="152">
        <v>309.53</v>
      </c>
      <c r="H12" s="152">
        <v>493.6</v>
      </c>
      <c r="I12" s="153">
        <v>0</v>
      </c>
      <c r="J12" s="153">
        <v>0</v>
      </c>
      <c r="K12" s="153">
        <v>0</v>
      </c>
      <c r="L12" s="153">
        <v>0</v>
      </c>
      <c r="M12" s="153">
        <v>0</v>
      </c>
      <c r="N12" s="155">
        <v>0</v>
      </c>
      <c r="O12" s="156">
        <f t="shared" si="46"/>
      </c>
      <c r="P12" s="155">
        <v>0</v>
      </c>
      <c r="Q12" s="156">
        <f t="shared" si="236"/>
      </c>
      <c r="R12" s="155">
        <f t="shared" ref="R12:R14" si="49">L12+J12</f>
      </c>
      <c r="S12" s="152">
        <f t="shared" ref="S12:S14" si="103">M12+K12</f>
      </c>
      <c r="T12" s="159">
        <f t="shared" si="234"/>
      </c>
      <c r="U12" s="159">
        <f t="shared" si="2"/>
      </c>
      <c r="V12" s="160">
        <f t="shared" si="0"/>
      </c>
      <c r="W12" s="155">
        <v>0</v>
      </c>
      <c r="X12" s="160">
        <f t="shared" si="6"/>
      </c>
      <c r="Y12" s="160">
        <f t="shared" si="4"/>
      </c>
      <c r="Z12" s="161">
        <f t="shared" si="232"/>
      </c>
      <c r="AA12" s="159">
        <f t="shared" si="47"/>
      </c>
      <c r="AB12" s="159">
        <f t="shared" si="237"/>
      </c>
      <c r="AC12" s="156">
        <f t="shared" si="235"/>
      </c>
      <c r="AD12" s="156">
        <f t="shared" si="3"/>
      </c>
      <c r="AE12" s="156">
        <f t="shared" si="1"/>
      </c>
      <c r="AF12" s="156">
        <f t="shared" si="7"/>
      </c>
      <c r="AG12" s="156">
        <f t="shared" si="5"/>
      </c>
      <c r="AH12" s="156">
        <f t="shared" si="233"/>
      </c>
      <c r="AI12" s="162">
        <f t="shared" si="48"/>
      </c>
      <c r="AJ12" s="155">
        <v>60</v>
      </c>
      <c r="AK12" s="160">
        <v>3202</v>
      </c>
      <c r="AL12" s="160">
        <v>103</v>
      </c>
      <c r="AM12" s="160">
        <v>119</v>
      </c>
      <c r="AN12" s="155">
        <v>19</v>
      </c>
      <c r="AO12" s="163">
        <v>13</v>
      </c>
      <c r="AP12" s="164">
        <v>23</v>
      </c>
      <c r="AQ12" s="164">
        <v>18</v>
      </c>
      <c r="AR12" s="163">
        <v>0</v>
      </c>
      <c r="AS12" s="163">
        <v>2</v>
      </c>
      <c r="AT12" s="155">
        <v>1</v>
      </c>
      <c r="AU12" s="155">
        <v>0</v>
      </c>
      <c r="AW12" s="165"/>
      <c r="AX12" s="166">
        <f t="shared" ref="AX12:AX14" si="240">COUNT(AU12)</f>
      </c>
    </row>
    <row r="13">
      <c r="A13" s="148"/>
      <c r="B13" s="149" t="s">
        <v>167</v>
      </c>
      <c r="C13" s="149" t="s">
        <v>157</v>
      </c>
      <c r="D13" s="149" t="s">
        <v>163</v>
      </c>
      <c r="E13" s="150" t="s">
        <v>160</v>
      </c>
      <c r="F13" s="151">
        <f t="shared" si="159"/>
      </c>
      <c r="G13" s="152">
        <v>199.98</v>
      </c>
      <c r="H13" s="152">
        <v>386.21</v>
      </c>
      <c r="I13" s="153">
        <v>0</v>
      </c>
      <c r="J13" s="153">
        <v>0</v>
      </c>
      <c r="K13" s="153">
        <v>0</v>
      </c>
      <c r="L13" s="153">
        <v>0</v>
      </c>
      <c r="M13" s="153">
        <v>0</v>
      </c>
      <c r="N13" s="155">
        <v>0</v>
      </c>
      <c r="O13" s="156">
        <f t="shared" si="46"/>
      </c>
      <c r="P13" s="155">
        <v>0</v>
      </c>
      <c r="Q13" s="156">
        <f t="shared" si="236"/>
      </c>
      <c r="R13" s="155">
        <f t="shared" si="49"/>
      </c>
      <c r="S13" s="152">
        <f t="shared" si="103"/>
      </c>
      <c r="T13" s="159">
        <f t="shared" si="234"/>
      </c>
      <c r="U13" s="159">
        <f t="shared" si="2"/>
      </c>
      <c r="V13" s="160">
        <f t="shared" si="0"/>
      </c>
      <c r="W13" s="155">
        <v>0</v>
      </c>
      <c r="X13" s="160">
        <f t="shared" si="6"/>
      </c>
      <c r="Y13" s="160">
        <f t="shared" si="4"/>
      </c>
      <c r="Z13" s="161">
        <f t="shared" si="232"/>
      </c>
      <c r="AA13" s="159">
        <f t="shared" si="47"/>
      </c>
      <c r="AB13" s="159">
        <f t="shared" si="237"/>
      </c>
      <c r="AC13" s="156">
        <f t="shared" si="235"/>
      </c>
      <c r="AD13" s="156">
        <f t="shared" si="3"/>
      </c>
      <c r="AE13" s="156">
        <f t="shared" si="1"/>
      </c>
      <c r="AF13" s="156">
        <f t="shared" si="7"/>
      </c>
      <c r="AG13" s="156">
        <f t="shared" si="5"/>
      </c>
      <c r="AH13" s="167">
        <f t="shared" si="233"/>
      </c>
      <c r="AI13" s="167">
        <f t="shared" si="48"/>
      </c>
      <c r="AJ13" s="155">
        <v>65</v>
      </c>
      <c r="AK13" s="160">
        <v>2394</v>
      </c>
      <c r="AL13" s="160">
        <v>87</v>
      </c>
      <c r="AM13" s="160">
        <v>112</v>
      </c>
      <c r="AN13" s="160">
        <v>14</v>
      </c>
      <c r="AO13" s="163">
        <v>2</v>
      </c>
      <c r="AP13" s="168">
        <v>2</v>
      </c>
      <c r="AQ13" s="163">
        <v>14</v>
      </c>
      <c r="AR13" s="163">
        <v>0</v>
      </c>
      <c r="AS13" s="160">
        <v>0</v>
      </c>
      <c r="AT13" s="160">
        <v>0</v>
      </c>
      <c r="AU13" s="168">
        <v>1</v>
      </c>
      <c r="AW13" s="165"/>
      <c r="AX13" s="166">
        <f t="shared" si="240"/>
      </c>
    </row>
    <row r="14">
      <c r="A14" s="148"/>
      <c r="B14" s="149" t="s">
        <v>167</v>
      </c>
      <c r="C14" s="149" t="s">
        <v>157</v>
      </c>
      <c r="D14" s="149" t="s">
        <v>163</v>
      </c>
      <c r="E14" s="150" t="s">
        <v>161</v>
      </c>
      <c r="F14" s="151">
        <f t="shared" si="159"/>
      </c>
      <c r="G14" s="152">
        <v>228.38</v>
      </c>
      <c r="H14" s="152">
        <v>483.92</v>
      </c>
      <c r="I14" s="154">
        <v>0</v>
      </c>
      <c r="J14" s="154">
        <v>0</v>
      </c>
      <c r="K14" s="154">
        <v>0</v>
      </c>
      <c r="L14" s="154">
        <v>0</v>
      </c>
      <c r="M14" s="154">
        <v>0</v>
      </c>
      <c r="N14" s="155">
        <v>0</v>
      </c>
      <c r="O14" s="156">
        <f t="shared" si="46"/>
      </c>
      <c r="P14" s="155">
        <v>0</v>
      </c>
      <c r="Q14" s="156">
        <f t="shared" si="236"/>
      </c>
      <c r="R14" s="155">
        <f t="shared" si="49"/>
      </c>
      <c r="S14" s="152">
        <f t="shared" si="103"/>
      </c>
      <c r="T14" s="159">
        <f t="shared" si="234"/>
      </c>
      <c r="U14" s="159">
        <f t="shared" si="2"/>
      </c>
      <c r="V14" s="169">
        <f t="shared" si="0"/>
      </c>
      <c r="W14" s="155">
        <v>0</v>
      </c>
      <c r="X14" s="160">
        <f t="shared" si="6"/>
      </c>
      <c r="Y14" s="160">
        <f t="shared" si="4"/>
      </c>
      <c r="Z14" s="161">
        <f t="shared" si="232"/>
      </c>
      <c r="AA14" s="159">
        <f t="shared" si="47"/>
      </c>
      <c r="AB14" s="159">
        <f t="shared" si="237"/>
      </c>
      <c r="AC14" s="156">
        <f t="shared" si="235"/>
      </c>
      <c r="AD14" s="156">
        <f t="shared" si="3"/>
      </c>
      <c r="AE14" s="156">
        <f t="shared" si="1"/>
      </c>
      <c r="AF14" s="156">
        <f t="shared" si="7"/>
      </c>
      <c r="AG14" s="156">
        <f t="shared" si="5"/>
      </c>
      <c r="AH14" s="156">
        <f t="shared" si="233"/>
      </c>
      <c r="AI14" s="170">
        <f t="shared" si="48"/>
      </c>
      <c r="AJ14" s="155">
        <v>63</v>
      </c>
      <c r="AK14" s="160">
        <v>2617</v>
      </c>
      <c r="AL14" s="160">
        <v>103</v>
      </c>
      <c r="AM14" s="160">
        <v>113</v>
      </c>
      <c r="AN14" s="160">
        <v>28</v>
      </c>
      <c r="AO14" s="163">
        <v>8</v>
      </c>
      <c r="AP14" s="168">
        <v>39</v>
      </c>
      <c r="AQ14" s="163">
        <v>22</v>
      </c>
      <c r="AR14" s="163">
        <v>0</v>
      </c>
      <c r="AS14" s="155">
        <v>3</v>
      </c>
      <c r="AT14" s="155">
        <v>0</v>
      </c>
      <c r="AU14" s="168">
        <v>2</v>
      </c>
      <c r="AW14" s="165"/>
      <c r="AX14" s="166">
        <f t="shared" si="240"/>
      </c>
    </row>
    <row r="15">
      <c r="A15" s="148"/>
      <c r="B15" s="171" t="s">
        <v>162</v>
      </c>
      <c r="C15" s="171"/>
      <c r="D15" s="171"/>
      <c r="E15" s="171"/>
      <c r="F15" s="172">
        <f>SUM(F12:F14)</f>
      </c>
      <c r="G15" s="173">
        <f>SUM(G12:G14)</f>
      </c>
      <c r="H15" s="173">
        <f>SUM(H12:H14)</f>
      </c>
      <c r="I15" s="174">
        <f>SUM(I12:I14)</f>
      </c>
      <c r="J15" s="174">
        <f>SUM(J12:J14)</f>
      </c>
      <c r="K15" s="174">
        <f>SUM(K12:K14)</f>
      </c>
      <c r="L15" s="174">
        <f>SUM(L12:L14)</f>
      </c>
      <c r="M15" s="174">
        <f>SUM(M12:M14)</f>
      </c>
      <c r="N15" s="174">
        <f>SUM(N12:N14)</f>
      </c>
      <c r="O15" s="175">
        <f t="shared" si="46"/>
      </c>
      <c r="P15" s="174">
        <f>SUM(P12:P14)</f>
      </c>
      <c r="Q15" s="175">
        <f t="shared" si="236"/>
      </c>
      <c r="R15" s="174">
        <f>SUM(R12:R14)</f>
      </c>
      <c r="S15" s="173">
        <f>SUM(S12:S14)</f>
      </c>
      <c r="T15" s="173">
        <f t="shared" si="234"/>
      </c>
      <c r="U15" s="173">
        <f t="shared" si="2"/>
      </c>
      <c r="V15" s="174">
        <f t="shared" si="0"/>
      </c>
      <c r="W15" s="174">
        <f>SUM(W12:W14)</f>
      </c>
      <c r="X15" s="174">
        <f t="shared" si="6"/>
      </c>
      <c r="Y15" s="174">
        <f t="shared" si="4"/>
      </c>
      <c r="Z15" s="172">
        <f t="shared" si="232"/>
      </c>
      <c r="AA15" s="173">
        <f t="shared" si="47"/>
      </c>
      <c r="AB15" s="176">
        <f t="shared" si="237"/>
      </c>
      <c r="AC15" s="175">
        <f t="shared" si="235"/>
      </c>
      <c r="AD15" s="175">
        <f t="shared" si="3"/>
      </c>
      <c r="AE15" s="175">
        <f t="shared" si="1"/>
      </c>
      <c r="AF15" s="175">
        <f t="shared" si="7"/>
      </c>
      <c r="AG15" s="175">
        <f t="shared" si="5"/>
      </c>
      <c r="AH15" s="175">
        <f t="shared" si="233"/>
      </c>
      <c r="AI15" s="177">
        <f t="shared" si="48"/>
      </c>
      <c r="AJ15" s="178">
        <f>AVERAGE(AJ12:AJ14)</f>
      </c>
      <c r="AK15" s="174">
        <f>SUM(AK12:AK14)</f>
      </c>
      <c r="AL15" s="174">
        <f>SUM(AL12:AL14)</f>
      </c>
      <c r="AM15" s="174">
        <f>SUM(AM12:AM14)</f>
      </c>
      <c r="AN15" s="174">
        <f>SUM(AN12:AN14)</f>
      </c>
      <c r="AO15" s="174">
        <f>SUM(AO12:AO14)</f>
      </c>
      <c r="AP15" s="179">
        <f>SUM(AP12:AP14)</f>
      </c>
      <c r="AQ15" s="174">
        <f>SUM(AQ12:AQ14)</f>
      </c>
      <c r="AR15" s="174">
        <f>SUM(AR12:AR14)</f>
      </c>
      <c r="AS15" s="174">
        <f>SUM(AS12:AS14)</f>
      </c>
      <c r="AT15" s="174">
        <f>SUM(AT12:AT14)</f>
      </c>
      <c r="AU15" s="179">
        <f>SUM(AU12:AU14)</f>
      </c>
      <c r="AW15" s="180"/>
      <c r="AX15" s="174">
        <f>SUM(AX12:AX14)</f>
      </c>
    </row>
    <row r="16">
      <c r="A16" s="148"/>
      <c r="B16" s="149" t="s">
        <v>167</v>
      </c>
      <c r="C16" s="149" t="s">
        <v>157</v>
      </c>
      <c r="D16" s="149" t="s">
        <v>158</v>
      </c>
      <c r="E16" s="150" t="s">
        <v>164</v>
      </c>
      <c r="F16" s="151">
        <f t="shared" ref="F16:F17" si="160">G16+H16+I16</f>
      </c>
      <c r="G16" s="152">
        <v>340.11</v>
      </c>
      <c r="H16" s="152">
        <v>1273.5</v>
      </c>
      <c r="I16" s="153">
        <v>0</v>
      </c>
      <c r="J16" s="153">
        <v>1</v>
      </c>
      <c r="K16" s="154">
        <v>3450.4</v>
      </c>
      <c r="L16" s="153">
        <v>2</v>
      </c>
      <c r="M16" s="154">
        <v>2023.5</v>
      </c>
      <c r="N16" s="155">
        <v>0</v>
      </c>
      <c r="O16" s="156">
        <f t="shared" si="46"/>
      </c>
      <c r="P16" s="155">
        <v>0</v>
      </c>
      <c r="Q16" s="156">
        <f t="shared" si="236"/>
      </c>
      <c r="R16" s="155">
        <f t="shared" ref="R16:R17" si="50">L16+J16</f>
      </c>
      <c r="S16" s="152">
        <f t="shared" ref="S16:S17" si="104">M16+K16</f>
      </c>
      <c r="T16" s="159">
        <f t="shared" si="234"/>
      </c>
      <c r="U16" s="159">
        <f t="shared" si="2"/>
      </c>
      <c r="V16" s="169">
        <f t="shared" si="0"/>
      </c>
      <c r="W16" s="155">
        <v>2</v>
      </c>
      <c r="X16" s="169">
        <f t="shared" si="6"/>
      </c>
      <c r="Y16" s="160">
        <f t="shared" si="4"/>
      </c>
      <c r="Z16" s="161">
        <f t="shared" si="232"/>
      </c>
      <c r="AA16" s="159">
        <f t="shared" si="47"/>
      </c>
      <c r="AB16" s="159">
        <f t="shared" si="237"/>
      </c>
      <c r="AC16" s="156">
        <f t="shared" si="235"/>
      </c>
      <c r="AD16" s="156">
        <f t="shared" si="3"/>
      </c>
      <c r="AE16" s="156">
        <f t="shared" si="1"/>
      </c>
      <c r="AF16" s="156">
        <f t="shared" si="7"/>
      </c>
      <c r="AG16" s="156">
        <f t="shared" si="5"/>
      </c>
      <c r="AH16" s="156">
        <f t="shared" si="233"/>
      </c>
      <c r="AI16" s="167">
        <f t="shared" si="48"/>
      </c>
      <c r="AJ16" s="155">
        <v>62</v>
      </c>
      <c r="AK16" s="160">
        <v>4111</v>
      </c>
      <c r="AL16" s="160">
        <v>155</v>
      </c>
      <c r="AM16" s="160">
        <v>181</v>
      </c>
      <c r="AN16" s="160">
        <v>53</v>
      </c>
      <c r="AO16" s="163">
        <v>13</v>
      </c>
      <c r="AP16" s="168">
        <v>77</v>
      </c>
      <c r="AQ16" s="163">
        <v>34</v>
      </c>
      <c r="AR16" s="163">
        <v>6</v>
      </c>
      <c r="AS16" s="160">
        <v>3</v>
      </c>
      <c r="AT16" s="160">
        <v>1</v>
      </c>
      <c r="AU16" s="168">
        <v>2</v>
      </c>
      <c r="AW16" s="165"/>
      <c r="AX16" s="166">
        <f t="shared" ref="AX16:AX17" si="241">COUNT(AU16)</f>
      </c>
    </row>
    <row r="17">
      <c r="A17" s="148"/>
      <c r="B17" s="149" t="s">
        <v>167</v>
      </c>
      <c r="C17" s="149" t="s">
        <v>157</v>
      </c>
      <c r="D17" s="149" t="s">
        <v>158</v>
      </c>
      <c r="E17" s="149" t="s">
        <v>165</v>
      </c>
      <c r="F17" s="151">
        <f t="shared" si="160"/>
      </c>
      <c r="G17" s="152">
        <v>163.83</v>
      </c>
      <c r="H17" s="152">
        <v>1222.2</v>
      </c>
      <c r="I17" s="153">
        <v>0</v>
      </c>
      <c r="J17" s="154">
        <v>2</v>
      </c>
      <c r="K17" s="154">
        <v>5697.780000000001</v>
      </c>
      <c r="L17" s="154">
        <v>1</v>
      </c>
      <c r="M17" s="154">
        <v>1703.35</v>
      </c>
      <c r="N17" s="155">
        <v>1</v>
      </c>
      <c r="O17" s="156">
        <f t="shared" si="46"/>
      </c>
      <c r="P17" s="155">
        <v>2</v>
      </c>
      <c r="Q17" s="156">
        <f t="shared" si="236"/>
      </c>
      <c r="R17" s="193">
        <f t="shared" si="50"/>
      </c>
      <c r="S17" s="152">
        <f t="shared" si="104"/>
      </c>
      <c r="T17" s="159">
        <f t="shared" si="234"/>
      </c>
      <c r="U17" s="159">
        <f t="shared" si="2"/>
      </c>
      <c r="V17" s="169">
        <f t="shared" si="0"/>
      </c>
      <c r="W17" s="155">
        <v>0</v>
      </c>
      <c r="X17" s="169">
        <f t="shared" si="6"/>
      </c>
      <c r="Y17" s="160">
        <f t="shared" si="4"/>
      </c>
      <c r="Z17" s="161">
        <f t="shared" si="232"/>
      </c>
      <c r="AA17" s="159">
        <f t="shared" si="47"/>
      </c>
      <c r="AB17" s="159">
        <f t="shared" si="237"/>
      </c>
      <c r="AC17" s="156">
        <f t="shared" si="235"/>
      </c>
      <c r="AD17" s="156">
        <f t="shared" si="3"/>
      </c>
      <c r="AE17" s="156">
        <f t="shared" si="1"/>
      </c>
      <c r="AF17" s="156">
        <f t="shared" si="7"/>
      </c>
      <c r="AG17" s="156">
        <f t="shared" si="5"/>
      </c>
      <c r="AH17" s="156">
        <f t="shared" si="233"/>
      </c>
      <c r="AI17" s="167">
        <f t="shared" si="48"/>
      </c>
      <c r="AJ17" s="155">
        <v>62</v>
      </c>
      <c r="AK17" s="160">
        <v>2474</v>
      </c>
      <c r="AL17" s="160">
        <v>77</v>
      </c>
      <c r="AM17" s="160">
        <v>90</v>
      </c>
      <c r="AN17" s="160">
        <v>22</v>
      </c>
      <c r="AO17" s="163">
        <v>5</v>
      </c>
      <c r="AP17" s="168">
        <v>21</v>
      </c>
      <c r="AQ17" s="163">
        <v>16</v>
      </c>
      <c r="AR17" s="163">
        <v>3</v>
      </c>
      <c r="AS17" s="160">
        <v>2</v>
      </c>
      <c r="AT17" s="160">
        <v>0</v>
      </c>
      <c r="AU17" s="168">
        <v>5</v>
      </c>
      <c r="AW17" s="165"/>
      <c r="AX17" s="166">
        <f t="shared" si="241"/>
      </c>
    </row>
    <row r="18">
      <c r="A18" s="148"/>
      <c r="B18" s="171" t="s">
        <v>162</v>
      </c>
      <c r="C18" s="171"/>
      <c r="D18" s="171"/>
      <c r="E18" s="171"/>
      <c r="F18" s="172">
        <f>SUM(F16:F17)</f>
      </c>
      <c r="G18" s="172">
        <f>SUM(G16:G17)</f>
      </c>
      <c r="H18" s="172">
        <f>SUM(H16:H17)</f>
      </c>
      <c r="I18" s="174">
        <f>SUM(I16:I17)</f>
      </c>
      <c r="J18" s="174">
        <f>SUM(J16:J17)</f>
      </c>
      <c r="K18" s="174">
        <f>SUM(K16:K17)</f>
      </c>
      <c r="L18" s="174">
        <f>SUM(L16:L17)</f>
      </c>
      <c r="M18" s="174">
        <f>SUM(M16:M17)</f>
      </c>
      <c r="N18" s="174">
        <f>SUM(N16:N17)</f>
      </c>
      <c r="O18" s="175">
        <f t="shared" si="46"/>
      </c>
      <c r="P18" s="174">
        <f>SUM(P16:P17)</f>
      </c>
      <c r="Q18" s="175">
        <f t="shared" si="236"/>
      </c>
      <c r="R18" s="174">
        <f>SUM(R16:R17)</f>
      </c>
      <c r="S18" s="173">
        <f>SUM(S16:S17)</f>
      </c>
      <c r="T18" s="173">
        <f t="shared" si="234"/>
      </c>
      <c r="U18" s="173">
        <f t="shared" si="2"/>
      </c>
      <c r="V18" s="194">
        <f t="shared" si="0"/>
      </c>
      <c r="W18" s="174">
        <f>SUM(W16:W17)</f>
      </c>
      <c r="X18" s="174">
        <f t="shared" si="6"/>
      </c>
      <c r="Y18" s="174">
        <f t="shared" si="4"/>
      </c>
      <c r="Z18" s="181">
        <f t="shared" si="232"/>
      </c>
      <c r="AA18" s="182">
        <f t="shared" si="47"/>
      </c>
      <c r="AB18" s="176">
        <f t="shared" si="237"/>
      </c>
      <c r="AC18" s="183">
        <f t="shared" si="235"/>
      </c>
      <c r="AD18" s="183">
        <f t="shared" si="3"/>
      </c>
      <c r="AE18" s="183">
        <f t="shared" si="1"/>
      </c>
      <c r="AF18" s="183">
        <f t="shared" si="7"/>
      </c>
      <c r="AG18" s="183">
        <f t="shared" si="5"/>
      </c>
      <c r="AH18" s="183">
        <f t="shared" si="233"/>
      </c>
      <c r="AI18" s="183">
        <f t="shared" si="48"/>
      </c>
      <c r="AJ18" s="178">
        <f>AVERAGE(AJ16:AJ17)</f>
      </c>
      <c r="AK18" s="174">
        <f>SUM(AK16:AK17)</f>
      </c>
      <c r="AL18" s="174">
        <f>SUM(AL16:AL17)</f>
      </c>
      <c r="AM18" s="174">
        <f>SUM(AM16:AM17)</f>
      </c>
      <c r="AN18" s="174">
        <f>SUM(AN16:AN17)</f>
      </c>
      <c r="AO18" s="174">
        <f>SUM(AO16:AO17)</f>
      </c>
      <c r="AP18" s="174">
        <f>SUM(AP16:AP17)</f>
      </c>
      <c r="AQ18" s="174">
        <f>SUM(AQ16:AQ17)</f>
      </c>
      <c r="AR18" s="174">
        <f>SUM(AR16:AR17)</f>
      </c>
      <c r="AS18" s="174">
        <f>SUM(AS16:AS17)</f>
      </c>
      <c r="AT18" s="174">
        <f>SUM(AT16:AT17)</f>
      </c>
      <c r="AU18" s="174">
        <f>SUM(AU16:AU17)</f>
      </c>
      <c r="AW18" s="180"/>
      <c r="AX18" s="174">
        <f>SUM(AX16:AX17)</f>
      </c>
    </row>
    <row r="19">
      <c r="A19" s="148"/>
      <c r="B19" s="184" t="s">
        <v>166</v>
      </c>
      <c r="C19" s="184"/>
      <c r="D19" s="184"/>
      <c r="E19" s="184"/>
      <c r="F19" s="185">
        <f>F15+F18</f>
      </c>
      <c r="G19" s="185">
        <f>G15+G18</f>
      </c>
      <c r="H19" s="185">
        <f>H15+H18</f>
      </c>
      <c r="I19" s="184">
        <f>I15+I18</f>
      </c>
      <c r="J19" s="184">
        <f>J15+J18</f>
      </c>
      <c r="K19" s="184">
        <f>K15+K18</f>
      </c>
      <c r="L19" s="184">
        <f>L15+L18</f>
      </c>
      <c r="M19" s="184">
        <f>M15+M18</f>
      </c>
      <c r="N19" s="184">
        <f>N15+N18</f>
      </c>
      <c r="O19" s="186">
        <f t="shared" si="46"/>
      </c>
      <c r="P19" s="184">
        <f>P15+P18</f>
      </c>
      <c r="Q19" s="186">
        <f t="shared" si="236"/>
      </c>
      <c r="R19" s="184">
        <f>R15+R18</f>
      </c>
      <c r="S19" s="185">
        <f>S15+S18</f>
      </c>
      <c r="T19" s="185">
        <f t="shared" si="234"/>
      </c>
      <c r="U19" s="185">
        <f t="shared" si="2"/>
      </c>
      <c r="V19" s="187">
        <f t="shared" si="0"/>
      </c>
      <c r="W19" s="184">
        <f>W15+W18</f>
      </c>
      <c r="X19" s="187">
        <f t="shared" si="6"/>
      </c>
      <c r="Y19" s="184">
        <f t="shared" si="4"/>
      </c>
      <c r="Z19" s="188">
        <f t="shared" si="232"/>
      </c>
      <c r="AA19" s="185">
        <f t="shared" si="47"/>
      </c>
      <c r="AB19" s="189">
        <f t="shared" si="237"/>
      </c>
      <c r="AC19" s="186">
        <f t="shared" si="235"/>
      </c>
      <c r="AD19" s="186">
        <f t="shared" si="3"/>
      </c>
      <c r="AE19" s="186">
        <f t="shared" si="1"/>
      </c>
      <c r="AF19" s="186">
        <f t="shared" si="7"/>
      </c>
      <c r="AG19" s="186">
        <f t="shared" si="5"/>
      </c>
      <c r="AH19" s="186">
        <f t="shared" si="233"/>
      </c>
      <c r="AI19" s="186">
        <f t="shared" si="48"/>
      </c>
      <c r="AJ19" s="190">
        <f>(AJ15+AJ18)/2</f>
      </c>
      <c r="AK19" s="184">
        <f>AK15+AK18</f>
      </c>
      <c r="AL19" s="191">
        <f>AL15+AL18</f>
      </c>
      <c r="AM19" s="191">
        <f>AM15+AM18</f>
      </c>
      <c r="AN19" s="191">
        <f>AN15+AN18</f>
      </c>
      <c r="AO19" s="191">
        <f>AO15+AO18</f>
      </c>
      <c r="AP19" s="191">
        <f>AP15+AP18</f>
      </c>
      <c r="AQ19" s="191">
        <f>AQ15+AQ18</f>
      </c>
      <c r="AR19" s="191">
        <f>AR15+AR18</f>
      </c>
      <c r="AS19" s="191">
        <f>AS15+AS18</f>
      </c>
      <c r="AT19" s="191">
        <f>AT15+AT18</f>
      </c>
      <c r="AU19" s="184">
        <f>AU15+AU18</f>
      </c>
      <c r="AW19" s="192">
        <f>AW15+AW18</f>
      </c>
      <c r="AX19" s="184">
        <f>AX15+AX18</f>
      </c>
    </row>
    <row r="20">
      <c r="A20" s="148">
        <v>46269</v>
      </c>
      <c r="B20" s="149" t="s">
        <v>167</v>
      </c>
      <c r="C20" s="149" t="s">
        <v>157</v>
      </c>
      <c r="D20" s="149" t="s">
        <v>158</v>
      </c>
      <c r="E20" s="150" t="s">
        <v>159</v>
      </c>
      <c r="F20" s="151">
        <f t="shared" ref="F20:F22" si="161">G20+H20+I20</f>
      </c>
      <c r="G20" s="152">
        <v>305.47</v>
      </c>
      <c r="H20" s="152">
        <v>512.7</v>
      </c>
      <c r="I20" s="153">
        <v>0</v>
      </c>
      <c r="J20" s="153">
        <v>0</v>
      </c>
      <c r="K20" s="153">
        <v>0</v>
      </c>
      <c r="L20" s="153">
        <v>0</v>
      </c>
      <c r="M20" s="153">
        <v>0</v>
      </c>
      <c r="N20" s="155">
        <v>0</v>
      </c>
      <c r="O20" s="156">
        <f t="shared" si="46"/>
      </c>
      <c r="P20" s="155">
        <v>0</v>
      </c>
      <c r="Q20" s="156">
        <f t="shared" si="236"/>
      </c>
      <c r="R20" s="155">
        <f t="shared" ref="R20:R22" si="51">L20+J20</f>
      </c>
      <c r="S20" s="152">
        <f t="shared" ref="S20:S22" si="105">M20+K20</f>
      </c>
      <c r="T20" s="159">
        <f t="shared" si="234"/>
      </c>
      <c r="U20" s="159">
        <f t="shared" si="2"/>
      </c>
      <c r="V20" s="160">
        <f t="shared" si="0"/>
      </c>
      <c r="W20" s="155">
        <v>0</v>
      </c>
      <c r="X20" s="160">
        <f t="shared" si="6"/>
      </c>
      <c r="Y20" s="160">
        <f t="shared" si="4"/>
      </c>
      <c r="Z20" s="161">
        <f t="shared" si="232"/>
      </c>
      <c r="AA20" s="159">
        <f t="shared" si="47"/>
      </c>
      <c r="AB20" s="159">
        <f t="shared" si="237"/>
      </c>
      <c r="AC20" s="156">
        <f t="shared" si="235"/>
      </c>
      <c r="AD20" s="156">
        <f t="shared" si="3"/>
      </c>
      <c r="AE20" s="156">
        <f t="shared" si="1"/>
      </c>
      <c r="AF20" s="156">
        <f t="shared" si="7"/>
      </c>
      <c r="AG20" s="156">
        <f t="shared" si="5"/>
      </c>
      <c r="AH20" s="156">
        <f t="shared" si="233"/>
      </c>
      <c r="AI20" s="162">
        <f t="shared" si="48"/>
      </c>
      <c r="AJ20" s="155">
        <v>28</v>
      </c>
      <c r="AK20" s="160">
        <v>2640</v>
      </c>
      <c r="AL20" s="160">
        <v>75</v>
      </c>
      <c r="AM20" s="160">
        <v>107</v>
      </c>
      <c r="AN20" s="155">
        <v>14</v>
      </c>
      <c r="AO20" s="163">
        <v>2</v>
      </c>
      <c r="AP20" s="164">
        <v>15</v>
      </c>
      <c r="AQ20" s="164">
        <v>10</v>
      </c>
      <c r="AR20" s="163">
        <v>0</v>
      </c>
      <c r="AS20" s="163">
        <v>0</v>
      </c>
      <c r="AT20" s="155">
        <v>0</v>
      </c>
      <c r="AU20" s="155">
        <v>2</v>
      </c>
      <c r="AW20" s="165"/>
      <c r="AX20" s="166">
        <f t="shared" ref="AX20:AX22" si="242">COUNT(AU20)</f>
      </c>
    </row>
    <row r="21">
      <c r="A21" s="148"/>
      <c r="B21" s="149" t="s">
        <v>167</v>
      </c>
      <c r="C21" s="149" t="s">
        <v>157</v>
      </c>
      <c r="D21" s="149" t="s">
        <v>158</v>
      </c>
      <c r="E21" s="150" t="s">
        <v>160</v>
      </c>
      <c r="F21" s="151">
        <f t="shared" si="161"/>
      </c>
      <c r="G21" s="152">
        <v>459.46</v>
      </c>
      <c r="H21" s="152">
        <v>363.18</v>
      </c>
      <c r="I21" s="153">
        <v>0</v>
      </c>
      <c r="J21" s="153">
        <v>0</v>
      </c>
      <c r="K21" s="153">
        <v>0</v>
      </c>
      <c r="L21" s="153">
        <v>0</v>
      </c>
      <c r="M21" s="153">
        <v>0</v>
      </c>
      <c r="N21" s="155">
        <v>0</v>
      </c>
      <c r="O21" s="156">
        <f t="shared" si="46"/>
      </c>
      <c r="P21" s="155">
        <v>0</v>
      </c>
      <c r="Q21" s="156">
        <f t="shared" si="236"/>
      </c>
      <c r="R21" s="155">
        <f t="shared" si="51"/>
      </c>
      <c r="S21" s="152">
        <f t="shared" si="105"/>
      </c>
      <c r="T21" s="159">
        <f t="shared" si="234"/>
      </c>
      <c r="U21" s="159">
        <f t="shared" si="2"/>
      </c>
      <c r="V21" s="160">
        <f t="shared" si="0"/>
      </c>
      <c r="W21" s="155">
        <v>0</v>
      </c>
      <c r="X21" s="160">
        <f t="shared" si="6"/>
      </c>
      <c r="Y21" s="160">
        <f t="shared" si="4"/>
      </c>
      <c r="Z21" s="161">
        <f t="shared" si="232"/>
      </c>
      <c r="AA21" s="159">
        <f t="shared" si="47"/>
      </c>
      <c r="AB21" s="159">
        <f t="shared" si="237"/>
      </c>
      <c r="AC21" s="156">
        <f t="shared" si="235"/>
      </c>
      <c r="AD21" s="156">
        <f t="shared" si="3"/>
      </c>
      <c r="AE21" s="156">
        <f t="shared" si="1"/>
      </c>
      <c r="AF21" s="156">
        <f t="shared" si="7"/>
      </c>
      <c r="AG21" s="156">
        <f t="shared" si="5"/>
      </c>
      <c r="AH21" s="167">
        <f t="shared" si="233"/>
      </c>
      <c r="AI21" s="167">
        <f t="shared" si="48"/>
      </c>
      <c r="AJ21" s="155">
        <v>40</v>
      </c>
      <c r="AK21" s="160">
        <v>2007</v>
      </c>
      <c r="AL21" s="160">
        <v>73</v>
      </c>
      <c r="AM21" s="160">
        <v>107</v>
      </c>
      <c r="AN21" s="160">
        <v>16</v>
      </c>
      <c r="AO21" s="163">
        <v>4</v>
      </c>
      <c r="AP21" s="168">
        <v>17</v>
      </c>
      <c r="AQ21" s="163">
        <v>11</v>
      </c>
      <c r="AR21" s="163">
        <v>0</v>
      </c>
      <c r="AS21" s="160">
        <v>1</v>
      </c>
      <c r="AT21" s="160">
        <v>0</v>
      </c>
      <c r="AU21" s="168">
        <v>3</v>
      </c>
      <c r="AW21" s="165"/>
      <c r="AX21" s="166">
        <f t="shared" si="242"/>
      </c>
    </row>
    <row r="22">
      <c r="A22" s="148"/>
      <c r="B22" s="149" t="s">
        <v>167</v>
      </c>
      <c r="C22" s="149" t="s">
        <v>157</v>
      </c>
      <c r="D22" s="149" t="s">
        <v>158</v>
      </c>
      <c r="E22" s="150" t="s">
        <v>161</v>
      </c>
      <c r="F22" s="151">
        <f t="shared" si="161"/>
      </c>
      <c r="G22" s="152">
        <v>351.74</v>
      </c>
      <c r="H22" s="152">
        <v>572.48</v>
      </c>
      <c r="I22" s="153">
        <v>0</v>
      </c>
      <c r="J22" s="153">
        <v>0</v>
      </c>
      <c r="K22" s="153">
        <v>0</v>
      </c>
      <c r="L22" s="153">
        <v>1</v>
      </c>
      <c r="M22" s="154">
        <v>2740.89</v>
      </c>
      <c r="N22" s="155">
        <v>1</v>
      </c>
      <c r="O22" s="156">
        <f t="shared" si="46"/>
      </c>
      <c r="P22" s="155">
        <v>0</v>
      </c>
      <c r="Q22" s="156">
        <f t="shared" si="236"/>
      </c>
      <c r="R22" s="155">
        <f t="shared" si="51"/>
      </c>
      <c r="S22" s="152">
        <f t="shared" si="105"/>
      </c>
      <c r="T22" s="159">
        <f t="shared" si="234"/>
      </c>
      <c r="U22" s="159">
        <f t="shared" si="2"/>
      </c>
      <c r="V22" s="169">
        <f t="shared" si="0"/>
      </c>
      <c r="W22" s="155">
        <v>1</v>
      </c>
      <c r="X22" s="160">
        <f t="shared" si="6"/>
      </c>
      <c r="Y22" s="160">
        <f t="shared" si="4"/>
      </c>
      <c r="Z22" s="161">
        <f t="shared" si="232"/>
      </c>
      <c r="AA22" s="159">
        <f t="shared" si="47"/>
      </c>
      <c r="AB22" s="159">
        <f t="shared" si="237"/>
      </c>
      <c r="AC22" s="156">
        <f t="shared" si="235"/>
      </c>
      <c r="AD22" s="156">
        <f t="shared" si="3"/>
      </c>
      <c r="AE22" s="156">
        <f t="shared" si="1"/>
      </c>
      <c r="AF22" s="156">
        <f t="shared" si="7"/>
      </c>
      <c r="AG22" s="156">
        <f t="shared" si="5"/>
      </c>
      <c r="AH22" s="156">
        <f t="shared" si="233"/>
      </c>
      <c r="AI22" s="170">
        <f t="shared" si="48"/>
      </c>
      <c r="AJ22" s="155">
        <v>63</v>
      </c>
      <c r="AK22" s="160">
        <v>2667</v>
      </c>
      <c r="AL22" s="160">
        <v>119</v>
      </c>
      <c r="AM22" s="160">
        <v>143</v>
      </c>
      <c r="AN22" s="160">
        <v>28</v>
      </c>
      <c r="AO22" s="163">
        <v>8</v>
      </c>
      <c r="AP22" s="168">
        <v>59</v>
      </c>
      <c r="AQ22" s="163">
        <v>33</v>
      </c>
      <c r="AR22" s="163">
        <v>2</v>
      </c>
      <c r="AS22" s="155">
        <v>1</v>
      </c>
      <c r="AT22" s="155">
        <v>1</v>
      </c>
      <c r="AU22" s="168">
        <v>1</v>
      </c>
      <c r="AW22" s="165"/>
      <c r="AX22" s="166">
        <f t="shared" si="242"/>
      </c>
    </row>
    <row r="23">
      <c r="A23" s="148"/>
      <c r="B23" s="171" t="s">
        <v>162</v>
      </c>
      <c r="C23" s="171"/>
      <c r="D23" s="171"/>
      <c r="E23" s="171"/>
      <c r="F23" s="172">
        <f>SUM(F20:F22)</f>
      </c>
      <c r="G23" s="173">
        <f>SUM(G20:G22)</f>
      </c>
      <c r="H23" s="173">
        <f>SUM(H20:H22)</f>
      </c>
      <c r="I23" s="174">
        <f>SUM(I20:I22)</f>
      </c>
      <c r="J23" s="174">
        <f>SUM(J20:J22)</f>
      </c>
      <c r="K23" s="174">
        <f>SUM(K20:K22)</f>
      </c>
      <c r="L23" s="174">
        <f>SUM(L20:L22)</f>
      </c>
      <c r="M23" s="174">
        <f>SUM(M20:M22)</f>
      </c>
      <c r="N23" s="174">
        <f>SUM(N20:N22)</f>
      </c>
      <c r="O23" s="175">
        <f t="shared" si="46"/>
      </c>
      <c r="P23" s="174">
        <f>SUM(P20:P22)</f>
      </c>
      <c r="Q23" s="175">
        <f t="shared" si="236"/>
      </c>
      <c r="R23" s="174">
        <f>SUM(R20:R22)</f>
      </c>
      <c r="S23" s="173">
        <f>SUM(S20:S22)</f>
      </c>
      <c r="T23" s="173">
        <f t="shared" si="234"/>
      </c>
      <c r="U23" s="173">
        <f t="shared" si="2"/>
      </c>
      <c r="V23" s="174">
        <f t="shared" si="0"/>
      </c>
      <c r="W23" s="174">
        <f>SUM(W20:W22)</f>
      </c>
      <c r="X23" s="174">
        <f t="shared" si="6"/>
      </c>
      <c r="Y23" s="174">
        <f t="shared" si="4"/>
      </c>
      <c r="Z23" s="172">
        <f t="shared" si="232"/>
      </c>
      <c r="AA23" s="173">
        <f t="shared" si="47"/>
      </c>
      <c r="AB23" s="176">
        <f t="shared" si="237"/>
      </c>
      <c r="AC23" s="175">
        <f t="shared" si="235"/>
      </c>
      <c r="AD23" s="175">
        <f t="shared" si="3"/>
      </c>
      <c r="AE23" s="175">
        <f t="shared" si="1"/>
      </c>
      <c r="AF23" s="175">
        <f t="shared" si="7"/>
      </c>
      <c r="AG23" s="175">
        <f t="shared" si="5"/>
      </c>
      <c r="AH23" s="175">
        <f t="shared" si="233"/>
      </c>
      <c r="AI23" s="177">
        <f t="shared" si="48"/>
      </c>
      <c r="AJ23" s="178">
        <f>AVERAGE(AJ20:AJ22)</f>
      </c>
      <c r="AK23" s="174">
        <f>SUM(AK20:AK22)</f>
      </c>
      <c r="AL23" s="174">
        <f>SUM(AL20:AL22)</f>
      </c>
      <c r="AM23" s="174">
        <f>SUM(AM20:AM22)</f>
      </c>
      <c r="AN23" s="174">
        <f>SUM(AN20:AN22)</f>
      </c>
      <c r="AO23" s="174">
        <f>SUM(AO20:AO22)</f>
      </c>
      <c r="AP23" s="179">
        <f>SUM(AP20:AP22)</f>
      </c>
      <c r="AQ23" s="174">
        <f>SUM(AQ20:AQ22)</f>
      </c>
      <c r="AR23" s="174">
        <f>SUM(AR20:AR22)</f>
      </c>
      <c r="AS23" s="174">
        <f>SUM(AS20:AS22)</f>
      </c>
      <c r="AT23" s="174">
        <f>SUM(AT20:AT22)</f>
      </c>
      <c r="AU23" s="179">
        <f>SUM(AU20:AU22)</f>
      </c>
      <c r="AW23" s="180"/>
      <c r="AX23" s="174">
        <f>SUM(AX20:AX22)</f>
      </c>
    </row>
    <row r="24">
      <c r="A24" s="148"/>
      <c r="B24" s="149" t="s">
        <v>167</v>
      </c>
      <c r="C24" s="149" t="s">
        <v>157</v>
      </c>
      <c r="D24" s="149" t="s">
        <v>163</v>
      </c>
      <c r="E24" s="150" t="s">
        <v>164</v>
      </c>
      <c r="F24" s="151">
        <f t="shared" ref="F24:F25" si="162">G24+H24+I24</f>
      </c>
      <c r="G24" s="152">
        <v>667.11</v>
      </c>
      <c r="H24" s="152">
        <v>1687.91</v>
      </c>
      <c r="I24" s="153">
        <v>0</v>
      </c>
      <c r="J24" s="153">
        <v>0</v>
      </c>
      <c r="K24" s="153">
        <v>0</v>
      </c>
      <c r="L24" s="153">
        <v>0</v>
      </c>
      <c r="M24" s="153">
        <v>0</v>
      </c>
      <c r="N24" s="155">
        <v>0</v>
      </c>
      <c r="O24" s="156">
        <f t="shared" si="46"/>
      </c>
      <c r="P24" s="155">
        <v>0</v>
      </c>
      <c r="Q24" s="156">
        <f t="shared" si="236"/>
      </c>
      <c r="R24" s="155">
        <f t="shared" ref="R24:R25" si="52">L24+J24</f>
      </c>
      <c r="S24" s="152">
        <f t="shared" ref="S24:S25" si="106">M24+K24</f>
      </c>
      <c r="T24" s="159">
        <f t="shared" si="234"/>
      </c>
      <c r="U24" s="159">
        <f t="shared" si="2"/>
      </c>
      <c r="V24" s="169">
        <f t="shared" si="0"/>
      </c>
      <c r="W24" s="155">
        <v>0</v>
      </c>
      <c r="X24" s="169">
        <f t="shared" si="6"/>
      </c>
      <c r="Y24" s="160">
        <f t="shared" si="4"/>
      </c>
      <c r="Z24" s="161">
        <f t="shared" si="232"/>
      </c>
      <c r="AA24" s="159">
        <f t="shared" si="47"/>
      </c>
      <c r="AB24" s="159">
        <f t="shared" si="237"/>
      </c>
      <c r="AC24" s="156">
        <f t="shared" si="235"/>
      </c>
      <c r="AD24" s="156">
        <f t="shared" si="3"/>
      </c>
      <c r="AE24" s="156">
        <f t="shared" si="1"/>
      </c>
      <c r="AF24" s="156">
        <f t="shared" si="7"/>
      </c>
      <c r="AG24" s="156">
        <f t="shared" si="5"/>
      </c>
      <c r="AH24" s="156">
        <f t="shared" si="233"/>
      </c>
      <c r="AI24" s="167">
        <f t="shared" si="48"/>
      </c>
      <c r="AJ24" s="155">
        <v>61</v>
      </c>
      <c r="AK24" s="160">
        <v>5181</v>
      </c>
      <c r="AL24" s="160">
        <v>154</v>
      </c>
      <c r="AM24" s="160">
        <v>187</v>
      </c>
      <c r="AN24" s="160">
        <v>54</v>
      </c>
      <c r="AO24" s="163">
        <v>13</v>
      </c>
      <c r="AP24" s="168">
        <v>50</v>
      </c>
      <c r="AQ24" s="163">
        <v>41</v>
      </c>
      <c r="AR24" s="163">
        <v>0</v>
      </c>
      <c r="AS24" s="155">
        <v>2</v>
      </c>
      <c r="AT24" s="155">
        <v>0</v>
      </c>
      <c r="AU24" s="168">
        <v>7</v>
      </c>
      <c r="AW24" s="165"/>
      <c r="AX24" s="166">
        <f t="shared" ref="AX24:AX25" si="243">COUNT(AU24)</f>
      </c>
    </row>
    <row r="25">
      <c r="A25" s="148"/>
      <c r="B25" s="149" t="s">
        <v>167</v>
      </c>
      <c r="C25" s="149" t="s">
        <v>157</v>
      </c>
      <c r="D25" s="149" t="s">
        <v>163</v>
      </c>
      <c r="E25" s="149" t="s">
        <v>165</v>
      </c>
      <c r="F25" s="151">
        <f t="shared" si="162"/>
      </c>
      <c r="G25" s="152">
        <v>270.87</v>
      </c>
      <c r="H25" s="152">
        <v>787.26</v>
      </c>
      <c r="I25" s="153">
        <v>0</v>
      </c>
      <c r="J25" s="154">
        <v>0</v>
      </c>
      <c r="K25" s="154">
        <v>0</v>
      </c>
      <c r="L25" s="154">
        <v>0</v>
      </c>
      <c r="M25" s="154">
        <v>0</v>
      </c>
      <c r="N25" s="155">
        <v>0</v>
      </c>
      <c r="O25" s="156">
        <f t="shared" si="46"/>
      </c>
      <c r="P25" s="155">
        <v>0</v>
      </c>
      <c r="Q25" s="156">
        <f t="shared" si="236"/>
      </c>
      <c r="R25" s="193">
        <f t="shared" si="52"/>
      </c>
      <c r="S25" s="152">
        <f t="shared" si="106"/>
      </c>
      <c r="T25" s="159">
        <f t="shared" si="234"/>
      </c>
      <c r="U25" s="159">
        <f t="shared" si="2"/>
      </c>
      <c r="V25" s="169">
        <f t="shared" si="0"/>
      </c>
      <c r="W25" s="155">
        <v>0</v>
      </c>
      <c r="X25" s="169">
        <f t="shared" si="6"/>
      </c>
      <c r="Y25" s="160">
        <f t="shared" si="4"/>
      </c>
      <c r="Z25" s="161">
        <f t="shared" si="232"/>
      </c>
      <c r="AA25" s="159">
        <f t="shared" si="47"/>
      </c>
      <c r="AB25" s="159">
        <f t="shared" si="237"/>
      </c>
      <c r="AC25" s="156">
        <f t="shared" si="235"/>
      </c>
      <c r="AD25" s="156">
        <f t="shared" si="3"/>
      </c>
      <c r="AE25" s="156">
        <f t="shared" si="1"/>
      </c>
      <c r="AF25" s="156">
        <f t="shared" si="7"/>
      </c>
      <c r="AG25" s="156">
        <f t="shared" si="5"/>
      </c>
      <c r="AH25" s="156">
        <f t="shared" si="233"/>
      </c>
      <c r="AI25" s="167">
        <f t="shared" si="48"/>
      </c>
      <c r="AJ25" s="155">
        <v>62</v>
      </c>
      <c r="AK25" s="160">
        <v>2853</v>
      </c>
      <c r="AL25" s="160">
        <v>82</v>
      </c>
      <c r="AM25" s="160">
        <v>91</v>
      </c>
      <c r="AN25" s="160">
        <v>26</v>
      </c>
      <c r="AO25" s="163">
        <v>11</v>
      </c>
      <c r="AP25" s="168">
        <v>43</v>
      </c>
      <c r="AQ25" s="163">
        <v>23</v>
      </c>
      <c r="AR25" s="163">
        <v>0</v>
      </c>
      <c r="AS25" s="160">
        <v>1</v>
      </c>
      <c r="AT25" s="160">
        <v>1</v>
      </c>
      <c r="AU25" s="168">
        <v>4</v>
      </c>
      <c r="AW25" s="165"/>
      <c r="AX25" s="166">
        <f t="shared" si="243"/>
      </c>
    </row>
    <row r="26">
      <c r="A26" s="148"/>
      <c r="B26" s="171" t="s">
        <v>162</v>
      </c>
      <c r="C26" s="171"/>
      <c r="D26" s="171"/>
      <c r="E26" s="171"/>
      <c r="F26" s="172">
        <f>SUM(F24:F25)</f>
      </c>
      <c r="G26" s="172">
        <f>SUM(G24:G25)</f>
      </c>
      <c r="H26" s="172">
        <f>SUM(H24:H25)</f>
      </c>
      <c r="I26" s="174">
        <f>SUM(I24:I25)</f>
      </c>
      <c r="J26" s="174">
        <f>SUM(J24:J25)</f>
      </c>
      <c r="K26" s="174">
        <f>SUM(K24:K25)</f>
      </c>
      <c r="L26" s="174">
        <f>SUM(L24:L25)</f>
      </c>
      <c r="M26" s="174">
        <f>SUM(M24:M25)</f>
      </c>
      <c r="N26" s="174">
        <f>SUM(N24:N25)</f>
      </c>
      <c r="O26" s="175">
        <f t="shared" si="46"/>
      </c>
      <c r="P26" s="174">
        <f>SUM(P24:P25)</f>
      </c>
      <c r="Q26" s="175">
        <f t="shared" si="236"/>
      </c>
      <c r="R26" s="174">
        <f>SUM(R24:R25)</f>
      </c>
      <c r="S26" s="173">
        <f>SUM(S24:S25)</f>
      </c>
      <c r="T26" s="173">
        <f t="shared" si="234"/>
      </c>
      <c r="U26" s="173">
        <f t="shared" si="2"/>
      </c>
      <c r="V26" s="194">
        <f t="shared" si="0"/>
      </c>
      <c r="W26" s="174">
        <f>SUM(W24:W25)</f>
      </c>
      <c r="X26" s="174">
        <f t="shared" si="6"/>
      </c>
      <c r="Y26" s="174">
        <f t="shared" si="4"/>
      </c>
      <c r="Z26" s="181">
        <f t="shared" si="232"/>
      </c>
      <c r="AA26" s="182">
        <f t="shared" si="47"/>
      </c>
      <c r="AB26" s="176">
        <f t="shared" si="237"/>
      </c>
      <c r="AC26" s="183">
        <f t="shared" si="235"/>
      </c>
      <c r="AD26" s="183">
        <f t="shared" si="3"/>
      </c>
      <c r="AE26" s="183">
        <f t="shared" si="1"/>
      </c>
      <c r="AF26" s="183">
        <f t="shared" si="7"/>
      </c>
      <c r="AG26" s="183">
        <f t="shared" si="5"/>
      </c>
      <c r="AH26" s="183">
        <f t="shared" si="233"/>
      </c>
      <c r="AI26" s="183">
        <f t="shared" si="48"/>
      </c>
      <c r="AJ26" s="178">
        <f>AVERAGE(AJ24:AJ25)</f>
      </c>
      <c r="AK26" s="174">
        <f>SUM(AK24:AK25)</f>
      </c>
      <c r="AL26" s="174">
        <f>SUM(AL24:AL25)</f>
      </c>
      <c r="AM26" s="174">
        <f>SUM(AM24:AM25)</f>
      </c>
      <c r="AN26" s="174">
        <f>SUM(AN24:AN25)</f>
      </c>
      <c r="AO26" s="174">
        <f>SUM(AO24:AO25)</f>
      </c>
      <c r="AP26" s="174">
        <f>SUM(AP24:AP25)</f>
      </c>
      <c r="AQ26" s="174">
        <f>SUM(AQ24:AQ25)</f>
      </c>
      <c r="AR26" s="174">
        <f>SUM(AR24:AR25)</f>
      </c>
      <c r="AS26" s="174">
        <f>SUM(AS24:AS25)</f>
      </c>
      <c r="AT26" s="174">
        <f>SUM(AT24:AT25)</f>
      </c>
      <c r="AU26" s="174">
        <f>SUM(AU24:AU25)</f>
      </c>
      <c r="AW26" s="180"/>
      <c r="AX26" s="174">
        <f>SUM(AX24:AX25)</f>
      </c>
    </row>
    <row r="27">
      <c r="A27" s="148"/>
      <c r="B27" s="184" t="s">
        <v>166</v>
      </c>
      <c r="C27" s="184"/>
      <c r="D27" s="184"/>
      <c r="E27" s="184"/>
      <c r="F27" s="185">
        <f>F23+F26</f>
      </c>
      <c r="G27" s="185">
        <f>G23+G26</f>
      </c>
      <c r="H27" s="185">
        <f>H23+H26</f>
      </c>
      <c r="I27" s="184">
        <f>I23+I26</f>
      </c>
      <c r="J27" s="184">
        <f>J23+J26</f>
      </c>
      <c r="K27" s="184">
        <f>K23+K26</f>
      </c>
      <c r="L27" s="184">
        <f>L23+L26</f>
      </c>
      <c r="M27" s="184">
        <f>M23+M26</f>
      </c>
      <c r="N27" s="184">
        <f>N23+N26</f>
      </c>
      <c r="O27" s="186">
        <f t="shared" si="46"/>
      </c>
      <c r="P27" s="184">
        <f>P23+P26</f>
      </c>
      <c r="Q27" s="186">
        <f t="shared" si="236"/>
      </c>
      <c r="R27" s="184">
        <f>R23+R26</f>
      </c>
      <c r="S27" s="185">
        <f>S23+S26</f>
      </c>
      <c r="T27" s="185">
        <f t="shared" si="234"/>
      </c>
      <c r="U27" s="185">
        <f t="shared" si="2"/>
      </c>
      <c r="V27" s="187">
        <f t="shared" si="0"/>
      </c>
      <c r="W27" s="184">
        <f>W23+W26</f>
      </c>
      <c r="X27" s="187">
        <f t="shared" si="6"/>
      </c>
      <c r="Y27" s="184">
        <f t="shared" si="4"/>
      </c>
      <c r="Z27" s="188">
        <f t="shared" si="232"/>
      </c>
      <c r="AA27" s="185">
        <f t="shared" si="47"/>
      </c>
      <c r="AB27" s="189">
        <f t="shared" si="237"/>
      </c>
      <c r="AC27" s="186">
        <f t="shared" si="235"/>
      </c>
      <c r="AD27" s="186">
        <f t="shared" si="3"/>
      </c>
      <c r="AE27" s="186">
        <f t="shared" si="1"/>
      </c>
      <c r="AF27" s="186">
        <f t="shared" si="7"/>
      </c>
      <c r="AG27" s="186">
        <f t="shared" si="5"/>
      </c>
      <c r="AH27" s="186">
        <f t="shared" si="233"/>
      </c>
      <c r="AI27" s="186">
        <f t="shared" si="48"/>
      </c>
      <c r="AJ27" s="190">
        <f>(AJ23+AJ26)/2</f>
      </c>
      <c r="AK27" s="184">
        <f>AK23+AK26</f>
      </c>
      <c r="AL27" s="191">
        <f>AL23+AL26</f>
      </c>
      <c r="AM27" s="191">
        <f>AM23+AM26</f>
      </c>
      <c r="AN27" s="191">
        <f>AN23+AN26</f>
      </c>
      <c r="AO27" s="191">
        <f>AO23+AO26</f>
      </c>
      <c r="AP27" s="191">
        <f>AP23+AP26</f>
      </c>
      <c r="AQ27" s="191">
        <f>AQ23+AQ26</f>
      </c>
      <c r="AR27" s="191">
        <f>AR23+AR26</f>
      </c>
      <c r="AS27" s="191">
        <f>AS23+AS26</f>
      </c>
      <c r="AT27" s="191">
        <f>AT23+AT26</f>
      </c>
      <c r="AU27" s="184">
        <f>AU23+AU26</f>
      </c>
      <c r="AW27" s="192">
        <f>AW23+AW26</f>
      </c>
      <c r="AX27" s="184">
        <f>AX23+AX26</f>
      </c>
    </row>
    <row r="28">
      <c r="A28" s="148">
        <v>46270</v>
      </c>
      <c r="B28" s="149" t="s">
        <v>167</v>
      </c>
      <c r="C28" s="149" t="s">
        <v>157</v>
      </c>
      <c r="D28" s="149" t="s">
        <v>163</v>
      </c>
      <c r="E28" s="150" t="s">
        <v>159</v>
      </c>
      <c r="F28" s="151">
        <f t="shared" ref="F28:F30" si="163">G28+H28+I28</f>
      </c>
      <c r="G28" s="152">
        <v>284.62</v>
      </c>
      <c r="H28" s="152">
        <v>573.14</v>
      </c>
      <c r="I28" s="153">
        <v>0</v>
      </c>
      <c r="J28" s="153">
        <v>0</v>
      </c>
      <c r="K28" s="153">
        <v>0</v>
      </c>
      <c r="L28" s="153">
        <v>0</v>
      </c>
      <c r="M28" s="153">
        <v>0</v>
      </c>
      <c r="N28" s="155">
        <v>0</v>
      </c>
      <c r="O28" s="156">
        <f t="shared" si="46"/>
      </c>
      <c r="P28" s="155">
        <v>0</v>
      </c>
      <c r="Q28" s="156">
        <f t="shared" si="236"/>
      </c>
      <c r="R28" s="155">
        <f t="shared" ref="R28:R30" si="53">L28+J28</f>
      </c>
      <c r="S28" s="152">
        <f t="shared" ref="S28:S30" si="107">M28+K28</f>
      </c>
      <c r="T28" s="159">
        <f t="shared" si="234"/>
      </c>
      <c r="U28" s="159">
        <f t="shared" si="2"/>
      </c>
      <c r="V28" s="160">
        <f t="shared" si="0"/>
      </c>
      <c r="W28" s="155">
        <v>0</v>
      </c>
      <c r="X28" s="160">
        <f t="shared" si="6"/>
      </c>
      <c r="Y28" s="160">
        <f t="shared" si="4"/>
      </c>
      <c r="Z28" s="161">
        <f t="shared" si="232"/>
      </c>
      <c r="AA28" s="159">
        <f t="shared" si="47"/>
      </c>
      <c r="AB28" s="159">
        <f t="shared" si="237"/>
      </c>
      <c r="AC28" s="156">
        <f t="shared" si="235"/>
      </c>
      <c r="AD28" s="156">
        <f t="shared" si="3"/>
      </c>
      <c r="AE28" s="156">
        <f t="shared" si="1"/>
      </c>
      <c r="AF28" s="156">
        <f t="shared" si="7"/>
      </c>
      <c r="AG28" s="156">
        <f t="shared" si="5"/>
      </c>
      <c r="AH28" s="156">
        <f t="shared" si="233"/>
      </c>
      <c r="AI28" s="162">
        <f t="shared" si="48"/>
      </c>
      <c r="AJ28" s="155">
        <v>60</v>
      </c>
      <c r="AK28" s="160">
        <v>3136</v>
      </c>
      <c r="AL28" s="160">
        <v>95</v>
      </c>
      <c r="AM28" s="160">
        <v>120</v>
      </c>
      <c r="AN28" s="155">
        <v>21</v>
      </c>
      <c r="AO28" s="163">
        <v>6</v>
      </c>
      <c r="AP28" s="164">
        <v>14</v>
      </c>
      <c r="AQ28" s="164">
        <v>21</v>
      </c>
      <c r="AR28" s="163">
        <v>0</v>
      </c>
      <c r="AS28" s="163">
        <v>2</v>
      </c>
      <c r="AT28" s="155">
        <v>1</v>
      </c>
      <c r="AU28" s="155">
        <v>0</v>
      </c>
      <c r="AW28" s="165"/>
      <c r="AX28" s="166">
        <f t="shared" ref="AX28:AX30" si="244">COUNT(AU28)</f>
      </c>
    </row>
    <row r="29">
      <c r="A29" s="148"/>
      <c r="B29" s="149" t="s">
        <v>167</v>
      </c>
      <c r="C29" s="149" t="s">
        <v>157</v>
      </c>
      <c r="D29" s="149" t="s">
        <v>163</v>
      </c>
      <c r="E29" s="150" t="s">
        <v>160</v>
      </c>
      <c r="F29" s="151">
        <f t="shared" si="163"/>
      </c>
      <c r="G29" s="152">
        <v>253.52</v>
      </c>
      <c r="H29" s="152">
        <v>721.11</v>
      </c>
      <c r="I29" s="153">
        <v>0</v>
      </c>
      <c r="J29" s="153">
        <v>0</v>
      </c>
      <c r="K29" s="153">
        <v>0</v>
      </c>
      <c r="L29" s="153">
        <v>2</v>
      </c>
      <c r="M29" s="153">
        <v>4957.1</v>
      </c>
      <c r="N29" s="155">
        <v>0</v>
      </c>
      <c r="O29" s="156">
        <f t="shared" si="46"/>
      </c>
      <c r="P29" s="155">
        <v>0</v>
      </c>
      <c r="Q29" s="156">
        <f t="shared" si="236"/>
      </c>
      <c r="R29" s="155">
        <f t="shared" si="53"/>
      </c>
      <c r="S29" s="152">
        <f t="shared" si="107"/>
      </c>
      <c r="T29" s="159">
        <f t="shared" si="234"/>
      </c>
      <c r="U29" s="159">
        <f t="shared" si="2"/>
      </c>
      <c r="V29" s="160">
        <f t="shared" si="0"/>
      </c>
      <c r="W29" s="155">
        <v>2</v>
      </c>
      <c r="X29" s="160">
        <f t="shared" si="6"/>
      </c>
      <c r="Y29" s="160">
        <f t="shared" si="4"/>
      </c>
      <c r="Z29" s="161">
        <f t="shared" si="232"/>
      </c>
      <c r="AA29" s="159">
        <f t="shared" si="47"/>
      </c>
      <c r="AB29" s="159">
        <f t="shared" si="237"/>
      </c>
      <c r="AC29" s="156">
        <f t="shared" si="235"/>
      </c>
      <c r="AD29" s="156">
        <f t="shared" si="3"/>
      </c>
      <c r="AE29" s="156">
        <f t="shared" si="1"/>
      </c>
      <c r="AF29" s="156">
        <f t="shared" si="7"/>
      </c>
      <c r="AG29" s="156">
        <f t="shared" si="5"/>
      </c>
      <c r="AH29" s="167">
        <f t="shared" si="233"/>
      </c>
      <c r="AI29" s="167">
        <f t="shared" si="48"/>
      </c>
      <c r="AJ29" s="155">
        <v>61</v>
      </c>
      <c r="AK29" s="160">
        <v>2624</v>
      </c>
      <c r="AL29" s="160">
        <v>107</v>
      </c>
      <c r="AM29" s="160">
        <v>111</v>
      </c>
      <c r="AN29" s="160">
        <v>21</v>
      </c>
      <c r="AO29" s="163">
        <v>12</v>
      </c>
      <c r="AP29" s="168">
        <v>40</v>
      </c>
      <c r="AQ29" s="163">
        <v>15</v>
      </c>
      <c r="AR29" s="163">
        <v>2</v>
      </c>
      <c r="AS29" s="155">
        <v>0</v>
      </c>
      <c r="AT29" s="155">
        <v>1</v>
      </c>
      <c r="AU29" s="168">
        <v>2</v>
      </c>
      <c r="AW29" s="165"/>
      <c r="AX29" s="166">
        <f t="shared" si="244"/>
      </c>
    </row>
    <row r="30">
      <c r="A30" s="148"/>
      <c r="B30" s="149" t="s">
        <v>167</v>
      </c>
      <c r="C30" s="149" t="s">
        <v>157</v>
      </c>
      <c r="D30" s="149" t="s">
        <v>163</v>
      </c>
      <c r="E30" s="150" t="s">
        <v>161</v>
      </c>
      <c r="F30" s="151">
        <f t="shared" si="163"/>
      </c>
      <c r="G30" s="152">
        <v>552.76</v>
      </c>
      <c r="H30" s="152">
        <v>1245.56</v>
      </c>
      <c r="I30" s="153">
        <v>0</v>
      </c>
      <c r="J30" s="153">
        <v>1</v>
      </c>
      <c r="K30" s="154">
        <v>1296.75</v>
      </c>
      <c r="L30" s="153">
        <v>1</v>
      </c>
      <c r="M30" s="154">
        <v>1159.95</v>
      </c>
      <c r="N30" s="155">
        <v>0</v>
      </c>
      <c r="O30" s="156">
        <f t="shared" si="46"/>
      </c>
      <c r="P30" s="155">
        <v>0</v>
      </c>
      <c r="Q30" s="156">
        <f t="shared" si="236"/>
      </c>
      <c r="R30" s="155">
        <f t="shared" si="53"/>
      </c>
      <c r="S30" s="152">
        <f t="shared" si="107"/>
      </c>
      <c r="T30" s="159">
        <f t="shared" si="234"/>
      </c>
      <c r="U30" s="159">
        <f t="shared" si="2"/>
      </c>
      <c r="V30" s="169">
        <f t="shared" si="0"/>
      </c>
      <c r="W30" s="155">
        <v>2</v>
      </c>
      <c r="X30" s="160">
        <f t="shared" si="6"/>
      </c>
      <c r="Y30" s="160">
        <f t="shared" si="4"/>
      </c>
      <c r="Z30" s="161">
        <f t="shared" si="232"/>
      </c>
      <c r="AA30" s="159">
        <f t="shared" si="47"/>
      </c>
      <c r="AB30" s="159">
        <f t="shared" si="237"/>
      </c>
      <c r="AC30" s="156">
        <f t="shared" si="235"/>
      </c>
      <c r="AD30" s="156">
        <f t="shared" si="3"/>
      </c>
      <c r="AE30" s="156">
        <f t="shared" si="1"/>
      </c>
      <c r="AF30" s="156">
        <f t="shared" si="7"/>
      </c>
      <c r="AG30" s="156">
        <f t="shared" si="5"/>
      </c>
      <c r="AH30" s="156">
        <f t="shared" si="233"/>
      </c>
      <c r="AI30" s="170">
        <f t="shared" si="48"/>
      </c>
      <c r="AJ30" s="155">
        <v>61</v>
      </c>
      <c r="AK30" s="160">
        <v>4701</v>
      </c>
      <c r="AL30" s="160">
        <v>148</v>
      </c>
      <c r="AM30" s="160">
        <v>188</v>
      </c>
      <c r="AN30" s="160">
        <v>43</v>
      </c>
      <c r="AO30" s="163">
        <v>4</v>
      </c>
      <c r="AP30" s="168">
        <v>50</v>
      </c>
      <c r="AQ30" s="163">
        <v>35</v>
      </c>
      <c r="AR30" s="163">
        <v>2</v>
      </c>
      <c r="AS30" s="155">
        <v>1</v>
      </c>
      <c r="AT30" s="155">
        <v>0</v>
      </c>
      <c r="AU30" s="168">
        <v>4</v>
      </c>
      <c r="AW30" s="165"/>
      <c r="AX30" s="166">
        <f t="shared" si="244"/>
      </c>
    </row>
    <row r="31">
      <c r="A31" s="148"/>
      <c r="B31" s="171" t="s">
        <v>162</v>
      </c>
      <c r="C31" s="171"/>
      <c r="D31" s="171"/>
      <c r="E31" s="171"/>
      <c r="F31" s="172">
        <f>SUM(F28:F30)</f>
      </c>
      <c r="G31" s="173">
        <f>SUM(G28:G30)</f>
      </c>
      <c r="H31" s="173">
        <f>SUM(H28:H30)</f>
      </c>
      <c r="I31" s="174">
        <f>SUM(I28:I30)</f>
      </c>
      <c r="J31" s="174">
        <f>SUM(J28:J30)</f>
      </c>
      <c r="K31" s="174">
        <f>SUM(K28:K30)</f>
      </c>
      <c r="L31" s="174">
        <f>SUM(L28:L30)</f>
      </c>
      <c r="M31" s="174">
        <f>SUM(M28:M30)</f>
      </c>
      <c r="N31" s="174">
        <f>SUM(N28:N30)</f>
      </c>
      <c r="O31" s="175">
        <f t="shared" si="46"/>
      </c>
      <c r="P31" s="174">
        <f>SUM(P28:P30)</f>
      </c>
      <c r="Q31" s="175">
        <f t="shared" si="236"/>
      </c>
      <c r="R31" s="174">
        <f>SUM(R28:R30)</f>
      </c>
      <c r="S31" s="173">
        <f>SUM(S28:S30)</f>
      </c>
      <c r="T31" s="173">
        <f t="shared" si="234"/>
      </c>
      <c r="U31" s="173">
        <f t="shared" si="2"/>
      </c>
      <c r="V31" s="174">
        <f t="shared" si="0"/>
      </c>
      <c r="W31" s="174">
        <f>SUM(W28:W30)</f>
      </c>
      <c r="X31" s="174">
        <f t="shared" si="6"/>
      </c>
      <c r="Y31" s="174">
        <f t="shared" si="4"/>
      </c>
      <c r="Z31" s="172">
        <f t="shared" si="232"/>
      </c>
      <c r="AA31" s="173">
        <f t="shared" si="47"/>
      </c>
      <c r="AB31" s="176">
        <f t="shared" si="237"/>
      </c>
      <c r="AC31" s="175">
        <f t="shared" si="235"/>
      </c>
      <c r="AD31" s="175">
        <f t="shared" si="3"/>
      </c>
      <c r="AE31" s="175">
        <f t="shared" si="1"/>
      </c>
      <c r="AF31" s="175">
        <f t="shared" si="7"/>
      </c>
      <c r="AG31" s="175">
        <f t="shared" si="5"/>
      </c>
      <c r="AH31" s="175">
        <f t="shared" si="233"/>
      </c>
      <c r="AI31" s="177">
        <f t="shared" si="48"/>
      </c>
      <c r="AJ31" s="178">
        <f>AVERAGE(AJ28:AJ30)</f>
      </c>
      <c r="AK31" s="174">
        <f>SUM(AK28:AK30)</f>
      </c>
      <c r="AL31" s="174">
        <f>SUM(AL28:AL30)</f>
      </c>
      <c r="AM31" s="174">
        <f>SUM(AM28:AM30)</f>
      </c>
      <c r="AN31" s="174">
        <f>SUM(AN28:AN30)</f>
      </c>
      <c r="AO31" s="174">
        <f>SUM(AO28:AO30)</f>
      </c>
      <c r="AP31" s="179">
        <f>SUM(AP28:AP30)</f>
      </c>
      <c r="AQ31" s="174">
        <f>SUM(AQ28:AQ30)</f>
      </c>
      <c r="AR31" s="174">
        <f>SUM(AR28:AR30)</f>
      </c>
      <c r="AS31" s="174">
        <f>SUM(AS28:AS30)</f>
      </c>
      <c r="AT31" s="174">
        <f>SUM(AT28:AT30)</f>
      </c>
      <c r="AU31" s="179">
        <f>SUM(AU28:AU30)</f>
      </c>
      <c r="AW31" s="180"/>
      <c r="AX31" s="174">
        <f>SUM(AX28:AX30)</f>
      </c>
    </row>
    <row customHeight="true" ht="17.787114845938337" r="32">
      <c r="A32" s="148"/>
      <c r="B32" s="149" t="s">
        <v>167</v>
      </c>
      <c r="C32" s="149" t="s">
        <v>157</v>
      </c>
      <c r="D32" s="149" t="s">
        <v>158</v>
      </c>
      <c r="E32" s="150" t="s">
        <v>164</v>
      </c>
      <c r="F32" s="151">
        <f t="shared" ref="F32:F34" si="164">G32+H32+I32</f>
      </c>
      <c r="G32" s="152">
        <v>330.46</v>
      </c>
      <c r="H32" s="152">
        <v>2402.93</v>
      </c>
      <c r="I32" s="153">
        <v>0</v>
      </c>
      <c r="J32" s="153">
        <v>2</v>
      </c>
      <c r="K32" s="153">
        <v>6261.5599999999995</v>
      </c>
      <c r="L32" s="153">
        <v>0</v>
      </c>
      <c r="M32" s="153">
        <v>0</v>
      </c>
      <c r="N32" s="155">
        <v>0</v>
      </c>
      <c r="O32" s="156">
        <f t="shared" si="46"/>
      </c>
      <c r="P32" s="155">
        <v>1</v>
      </c>
      <c r="Q32" s="156">
        <f t="shared" si="236"/>
      </c>
      <c r="R32" s="155">
        <f t="shared" ref="R32:R34" si="54">L32+J32</f>
      </c>
      <c r="S32" s="152">
        <f t="shared" ref="S32:S34" si="108">M32+K32</f>
      </c>
      <c r="T32" s="159">
        <f t="shared" si="234"/>
      </c>
      <c r="U32" s="159">
        <f t="shared" si="2"/>
      </c>
      <c r="V32" s="169">
        <f t="shared" si="0"/>
      </c>
      <c r="W32" s="155">
        <v>3</v>
      </c>
      <c r="X32" s="169">
        <f t="shared" si="6"/>
      </c>
      <c r="Y32" s="160">
        <f t="shared" si="4"/>
      </c>
      <c r="Z32" s="161">
        <f t="shared" si="232"/>
      </c>
      <c r="AA32" s="159">
        <f t="shared" si="47"/>
      </c>
      <c r="AB32" s="159">
        <f t="shared" si="237"/>
      </c>
      <c r="AC32" s="156">
        <f t="shared" si="235"/>
      </c>
      <c r="AD32" s="156">
        <f t="shared" si="3"/>
      </c>
      <c r="AE32" s="156">
        <f t="shared" si="1"/>
      </c>
      <c r="AF32" s="156">
        <f t="shared" si="7"/>
      </c>
      <c r="AG32" s="156">
        <f t="shared" si="5"/>
      </c>
      <c r="AH32" s="156">
        <f t="shared" si="233"/>
      </c>
      <c r="AI32" s="167">
        <f t="shared" si="48"/>
      </c>
      <c r="AJ32" s="155">
        <v>61</v>
      </c>
      <c r="AK32" s="160">
        <v>9446</v>
      </c>
      <c r="AL32" s="160">
        <v>249</v>
      </c>
      <c r="AM32" s="160">
        <v>283</v>
      </c>
      <c r="AN32" s="160">
        <v>61</v>
      </c>
      <c r="AO32" s="163">
        <v>21</v>
      </c>
      <c r="AP32" s="168">
        <v>85</v>
      </c>
      <c r="AQ32" s="163">
        <v>57</v>
      </c>
      <c r="AR32" s="163">
        <v>3</v>
      </c>
      <c r="AS32" s="155">
        <v>5</v>
      </c>
      <c r="AT32" s="155">
        <v>0</v>
      </c>
      <c r="AU32" s="168">
        <v>11</v>
      </c>
      <c r="AW32" s="165"/>
      <c r="AX32" s="166">
        <f t="shared" ref="AX32:AX34" si="245">COUNT(AU32)</f>
      </c>
    </row>
    <row customHeight="true" ht="16.071428571428573" r="33">
      <c r="A33" s="148"/>
      <c r="B33" s="149" t="s">
        <v>167</v>
      </c>
      <c r="C33" s="149" t="s">
        <v>157</v>
      </c>
      <c r="D33" s="149" t="s">
        <v>158</v>
      </c>
      <c r="E33" s="149" t="s">
        <v>165</v>
      </c>
      <c r="F33" s="151">
        <f t="shared" si="164"/>
      </c>
      <c r="G33" s="152">
        <v>521.95</v>
      </c>
      <c r="H33" s="152">
        <v>4946.59</v>
      </c>
      <c r="I33" s="153">
        <v>0</v>
      </c>
      <c r="J33" s="153">
        <v>1</v>
      </c>
      <c r="K33" s="154">
        <v>1682.1000000000004</v>
      </c>
      <c r="L33" s="153">
        <v>2</v>
      </c>
      <c r="M33" s="154">
        <v>3508.7799999999997</v>
      </c>
      <c r="N33" s="155">
        <v>2</v>
      </c>
      <c r="O33" s="156">
        <f t="shared" si="46"/>
      </c>
      <c r="P33" s="155">
        <v>0</v>
      </c>
      <c r="Q33" s="156">
        <f t="shared" si="236"/>
      </c>
      <c r="R33" s="155">
        <f t="shared" si="54"/>
      </c>
      <c r="S33" s="152">
        <f t="shared" si="108"/>
      </c>
      <c r="T33" s="159">
        <f t="shared" si="234"/>
      </c>
      <c r="U33" s="159">
        <f t="shared" si="2"/>
      </c>
      <c r="V33" s="169">
        <f t="shared" si="0"/>
      </c>
      <c r="W33" s="155">
        <v>2</v>
      </c>
      <c r="X33" s="169">
        <f t="shared" si="6"/>
      </c>
      <c r="Y33" s="160">
        <f t="shared" si="4"/>
      </c>
      <c r="Z33" s="161">
        <f t="shared" si="232"/>
      </c>
      <c r="AA33" s="159">
        <f t="shared" si="47"/>
      </c>
      <c r="AB33" s="159">
        <f t="shared" si="237"/>
      </c>
      <c r="AC33" s="156">
        <f t="shared" si="235"/>
      </c>
      <c r="AD33" s="156">
        <f t="shared" si="3"/>
      </c>
      <c r="AE33" s="156">
        <f t="shared" si="1"/>
      </c>
      <c r="AF33" s="156">
        <f t="shared" si="7"/>
      </c>
      <c r="AG33" s="156">
        <f t="shared" si="5"/>
      </c>
      <c r="AH33" s="156">
        <f t="shared" si="233"/>
      </c>
      <c r="AI33" s="167">
        <f t="shared" si="48"/>
      </c>
      <c r="AJ33" s="155">
        <v>61</v>
      </c>
      <c r="AK33" s="160">
        <v>21753</v>
      </c>
      <c r="AL33" s="160">
        <v>508</v>
      </c>
      <c r="AM33" s="160">
        <v>562</v>
      </c>
      <c r="AN33" s="160">
        <v>96</v>
      </c>
      <c r="AO33" s="163">
        <v>17</v>
      </c>
      <c r="AP33" s="168">
        <v>118</v>
      </c>
      <c r="AQ33" s="163">
        <v>104</v>
      </c>
      <c r="AR33" s="163">
        <v>3</v>
      </c>
      <c r="AS33" s="155">
        <v>6</v>
      </c>
      <c r="AT33" s="155">
        <v>0</v>
      </c>
      <c r="AU33" s="168">
        <v>19</v>
      </c>
      <c r="AW33" s="165"/>
      <c r="AX33" s="166">
        <f t="shared" si="245"/>
      </c>
    </row>
    <row r="34">
      <c r="A34" s="148"/>
      <c r="B34" s="149" t="s">
        <v>167</v>
      </c>
      <c r="C34" s="149" t="s">
        <v>157</v>
      </c>
      <c r="D34" s="149" t="s">
        <v>158</v>
      </c>
      <c r="E34" s="149" t="s">
        <v>168</v>
      </c>
      <c r="F34" s="151">
        <f t="shared" si="164"/>
      </c>
      <c r="G34" s="152">
        <v>377.59</v>
      </c>
      <c r="H34" s="152">
        <v>2651.62</v>
      </c>
      <c r="I34" s="153">
        <v>0</v>
      </c>
      <c r="J34" s="154">
        <v>1</v>
      </c>
      <c r="K34" s="154">
        <v>1571.2999999999993</v>
      </c>
      <c r="L34" s="154">
        <v>1</v>
      </c>
      <c r="M34" s="154">
        <v>759</v>
      </c>
      <c r="N34" s="155">
        <v>0</v>
      </c>
      <c r="O34" s="156">
        <f t="shared" si="46"/>
      </c>
      <c r="P34" s="155">
        <v>0</v>
      </c>
      <c r="Q34" s="156">
        <f t="shared" si="236"/>
      </c>
      <c r="R34" s="193">
        <f t="shared" si="54"/>
      </c>
      <c r="S34" s="152">
        <f t="shared" si="108"/>
      </c>
      <c r="T34" s="159">
        <f t="shared" si="234"/>
      </c>
      <c r="U34" s="159">
        <f t="shared" si="2"/>
      </c>
      <c r="V34" s="169">
        <f t="shared" si="0"/>
      </c>
      <c r="W34" s="155">
        <v>2</v>
      </c>
      <c r="X34" s="169">
        <f t="shared" si="6"/>
      </c>
      <c r="Y34" s="160">
        <f t="shared" si="4"/>
      </c>
      <c r="Z34" s="161">
        <f t="shared" si="232"/>
      </c>
      <c r="AA34" s="159">
        <f t="shared" si="47"/>
      </c>
      <c r="AB34" s="159">
        <f t="shared" si="237"/>
      </c>
      <c r="AC34" s="156">
        <f t="shared" si="235"/>
      </c>
      <c r="AD34" s="156">
        <f t="shared" si="3"/>
      </c>
      <c r="AE34" s="156">
        <f t="shared" si="1"/>
      </c>
      <c r="AF34" s="156">
        <f t="shared" si="7"/>
      </c>
      <c r="AG34" s="156">
        <f t="shared" si="5"/>
      </c>
      <c r="AH34" s="156">
        <f t="shared" si="233"/>
      </c>
      <c r="AI34" s="167">
        <f t="shared" si="48"/>
      </c>
      <c r="AJ34" s="155">
        <v>61</v>
      </c>
      <c r="AK34" s="160">
        <v>11260</v>
      </c>
      <c r="AL34" s="160">
        <v>295</v>
      </c>
      <c r="AM34" s="160">
        <v>341</v>
      </c>
      <c r="AN34" s="160">
        <v>53</v>
      </c>
      <c r="AO34" s="163">
        <v>20</v>
      </c>
      <c r="AP34" s="168">
        <v>76</v>
      </c>
      <c r="AQ34" s="163">
        <v>62</v>
      </c>
      <c r="AR34" s="163">
        <v>2</v>
      </c>
      <c r="AS34" s="160">
        <v>5</v>
      </c>
      <c r="AT34" s="160">
        <v>0</v>
      </c>
      <c r="AU34" s="168">
        <v>14</v>
      </c>
      <c r="AW34" s="165"/>
      <c r="AX34" s="166">
        <f t="shared" si="245"/>
      </c>
    </row>
    <row r="35">
      <c r="A35" s="148"/>
      <c r="B35" s="171" t="s">
        <v>162</v>
      </c>
      <c r="C35" s="171"/>
      <c r="D35" s="171"/>
      <c r="E35" s="171"/>
      <c r="F35" s="172">
        <f>SUM(F32:F34)</f>
      </c>
      <c r="G35" s="172">
        <f>SUM(G32:G34)</f>
      </c>
      <c r="H35" s="172">
        <f>SUM(H32:H34)</f>
      </c>
      <c r="I35" s="174">
        <f>SUM(I32:I34)</f>
      </c>
      <c r="J35" s="174">
        <f>SUM(J32:J34)</f>
      </c>
      <c r="K35" s="174">
        <f>SUM(K32:K34)</f>
      </c>
      <c r="L35" s="174">
        <f>SUM(L32:L34)</f>
      </c>
      <c r="M35" s="174">
        <f>SUM(M32:M34)</f>
      </c>
      <c r="N35" s="174">
        <f>SUM(N32:N34)</f>
      </c>
      <c r="O35" s="175">
        <f t="shared" si="46"/>
      </c>
      <c r="P35" s="174">
        <f>SUM(P32:P34)</f>
      </c>
      <c r="Q35" s="175">
        <f t="shared" si="236"/>
      </c>
      <c r="R35" s="174">
        <f>SUM(R32:R34)</f>
      </c>
      <c r="S35" s="173">
        <f>SUM(S32:S34)</f>
      </c>
      <c r="T35" s="173">
        <f t="shared" si="234"/>
      </c>
      <c r="U35" s="173">
        <f t="shared" si="2"/>
      </c>
      <c r="V35" s="194">
        <f t="shared" si="0"/>
      </c>
      <c r="W35" s="174">
        <f>SUM(W32:W34)</f>
      </c>
      <c r="X35" s="174">
        <f t="shared" si="6"/>
      </c>
      <c r="Y35" s="174">
        <f t="shared" si="4"/>
      </c>
      <c r="Z35" s="181">
        <f t="shared" si="232"/>
      </c>
      <c r="AA35" s="182">
        <f t="shared" si="47"/>
      </c>
      <c r="AB35" s="176">
        <f t="shared" si="237"/>
      </c>
      <c r="AC35" s="183">
        <f t="shared" si="235"/>
      </c>
      <c r="AD35" s="183">
        <f t="shared" si="3"/>
      </c>
      <c r="AE35" s="183">
        <f t="shared" si="1"/>
      </c>
      <c r="AF35" s="183">
        <f t="shared" si="7"/>
      </c>
      <c r="AG35" s="183">
        <f t="shared" si="5"/>
      </c>
      <c r="AH35" s="183">
        <f t="shared" si="233"/>
      </c>
      <c r="AI35" s="183">
        <f t="shared" si="48"/>
      </c>
      <c r="AJ35" s="178">
        <f>AVERAGE(AJ32:AJ34)</f>
      </c>
      <c r="AK35" s="174">
        <f>SUM(AK32:AK34)</f>
      </c>
      <c r="AL35" s="174">
        <f>SUM(AL32:AL34)</f>
      </c>
      <c r="AM35" s="174">
        <f>SUM(AM32:AM34)</f>
      </c>
      <c r="AN35" s="174">
        <f>SUM(AN32:AN34)</f>
      </c>
      <c r="AO35" s="174">
        <f>SUM(AO32:AO34)</f>
      </c>
      <c r="AP35" s="174">
        <f>SUM(AP32:AP34)</f>
      </c>
      <c r="AQ35" s="174">
        <f>SUM(AQ32:AQ34)</f>
      </c>
      <c r="AR35" s="174">
        <f>SUM(AR32:AR34)</f>
      </c>
      <c r="AS35" s="174">
        <f>SUM(AS32:AS34)</f>
      </c>
      <c r="AT35" s="174">
        <f>SUM(AT32:AT34)</f>
      </c>
      <c r="AU35" s="174">
        <f>SUM(AU32:AU34)</f>
      </c>
      <c r="AW35" s="180"/>
      <c r="AX35" s="174">
        <f>SUM(AX32:AX34)</f>
      </c>
    </row>
    <row r="36">
      <c r="A36" s="148"/>
      <c r="B36" s="184" t="s">
        <v>166</v>
      </c>
      <c r="C36" s="184"/>
      <c r="D36" s="184"/>
      <c r="E36" s="184"/>
      <c r="F36" s="185">
        <f>F31+F35</f>
      </c>
      <c r="G36" s="185">
        <f>G31+G35</f>
      </c>
      <c r="H36" s="185">
        <f>H31+H35</f>
      </c>
      <c r="I36" s="184">
        <f>I31+I35</f>
      </c>
      <c r="J36" s="184">
        <f>J31+J35</f>
      </c>
      <c r="K36" s="184">
        <f>K31+K35</f>
      </c>
      <c r="L36" s="184">
        <f>L31+L35</f>
      </c>
      <c r="M36" s="184">
        <f>M31+M35</f>
      </c>
      <c r="N36" s="184">
        <f>N31+N35</f>
      </c>
      <c r="O36" s="186">
        <f t="shared" si="46"/>
      </c>
      <c r="P36" s="184">
        <f>P31+P35</f>
      </c>
      <c r="Q36" s="186">
        <f t="shared" si="236"/>
      </c>
      <c r="R36" s="184">
        <f>R31+R35</f>
      </c>
      <c r="S36" s="185">
        <f>S31+S35</f>
      </c>
      <c r="T36" s="185">
        <f t="shared" si="234"/>
      </c>
      <c r="U36" s="185">
        <f t="shared" si="2"/>
      </c>
      <c r="V36" s="187">
        <f t="shared" si="0"/>
      </c>
      <c r="W36" s="184">
        <f>W31+W35</f>
      </c>
      <c r="X36" s="187">
        <f t="shared" si="6"/>
      </c>
      <c r="Y36" s="184">
        <f t="shared" si="4"/>
      </c>
      <c r="Z36" s="188">
        <f t="shared" si="232"/>
      </c>
      <c r="AA36" s="185">
        <f t="shared" si="47"/>
      </c>
      <c r="AB36" s="189">
        <f t="shared" si="237"/>
      </c>
      <c r="AC36" s="186">
        <f t="shared" si="235"/>
      </c>
      <c r="AD36" s="186">
        <f t="shared" si="3"/>
      </c>
      <c r="AE36" s="186">
        <f t="shared" si="1"/>
      </c>
      <c r="AF36" s="186">
        <f t="shared" si="7"/>
      </c>
      <c r="AG36" s="186">
        <f t="shared" si="5"/>
      </c>
      <c r="AH36" s="186">
        <f t="shared" si="233"/>
      </c>
      <c r="AI36" s="186">
        <f t="shared" si="48"/>
      </c>
      <c r="AJ36" s="190">
        <f>(AJ31+AJ35)/2</f>
      </c>
      <c r="AK36" s="184">
        <f>AK31+AK35</f>
      </c>
      <c r="AL36" s="191">
        <f>AL31+AL35</f>
      </c>
      <c r="AM36" s="191">
        <f>AM31+AM35</f>
      </c>
      <c r="AN36" s="191">
        <f>AN31+AN35</f>
      </c>
      <c r="AO36" s="191">
        <f>AO31+AO35</f>
      </c>
      <c r="AP36" s="191">
        <f>AP31+AP35</f>
      </c>
      <c r="AQ36" s="191">
        <f>AQ31+AQ35</f>
      </c>
      <c r="AR36" s="191">
        <f>AR31+AR35</f>
      </c>
      <c r="AS36" s="191">
        <f>AS31+AS35</f>
      </c>
      <c r="AT36" s="191">
        <f>AT31+AT35</f>
      </c>
      <c r="AU36" s="184">
        <f>AU31+AU35</f>
      </c>
      <c r="AW36" s="192">
        <f>AW31+AW35</f>
      </c>
      <c r="AX36" s="184">
        <f>AX31+AX35</f>
      </c>
    </row>
    <row r="37">
      <c r="A37" s="148">
        <v>46271</v>
      </c>
      <c r="B37" s="149" t="s">
        <v>167</v>
      </c>
      <c r="C37" s="149" t="s">
        <v>157</v>
      </c>
      <c r="D37" s="149" t="s">
        <v>163</v>
      </c>
      <c r="E37" s="150" t="s">
        <v>159</v>
      </c>
      <c r="F37" s="151">
        <f t="shared" ref="F37:F39" si="165">G37+H37+I37</f>
      </c>
      <c r="G37" s="152">
        <v>536.2</v>
      </c>
      <c r="H37" s="152">
        <v>2437.37</v>
      </c>
      <c r="I37" s="153">
        <v>0</v>
      </c>
      <c r="J37" s="153">
        <v>0</v>
      </c>
      <c r="K37" s="153">
        <v>0</v>
      </c>
      <c r="L37" s="153">
        <v>1</v>
      </c>
      <c r="M37" s="153">
        <v>2885.15</v>
      </c>
      <c r="N37" s="155">
        <v>0</v>
      </c>
      <c r="O37" s="156">
        <f t="shared" si="46"/>
      </c>
      <c r="P37" s="155">
        <v>0</v>
      </c>
      <c r="Q37" s="156">
        <f t="shared" si="236"/>
      </c>
      <c r="R37" s="155">
        <f t="shared" ref="R37:R39" si="55">L37+J37</f>
      </c>
      <c r="S37" s="152">
        <f t="shared" ref="S37:S39" si="109">M37+K37</f>
      </c>
      <c r="T37" s="159">
        <f t="shared" si="234"/>
      </c>
      <c r="U37" s="159">
        <f t="shared" si="2"/>
      </c>
      <c r="V37" s="160">
        <f t="shared" si="0"/>
      </c>
      <c r="W37" s="155">
        <v>1</v>
      </c>
      <c r="X37" s="160">
        <f t="shared" si="6"/>
      </c>
      <c r="Y37" s="160">
        <f t="shared" si="4"/>
      </c>
      <c r="Z37" s="161">
        <f t="shared" si="232"/>
      </c>
      <c r="AA37" s="159">
        <f t="shared" si="47"/>
      </c>
      <c r="AB37" s="159">
        <f t="shared" si="237"/>
      </c>
      <c r="AC37" s="156">
        <f t="shared" si="235"/>
      </c>
      <c r="AD37" s="156">
        <f t="shared" si="3"/>
      </c>
      <c r="AE37" s="156">
        <f t="shared" si="1"/>
      </c>
      <c r="AF37" s="156">
        <f t="shared" si="7"/>
      </c>
      <c r="AG37" s="156">
        <f t="shared" si="5"/>
      </c>
      <c r="AH37" s="156">
        <f t="shared" si="233"/>
      </c>
      <c r="AI37" s="162">
        <f t="shared" si="48"/>
      </c>
      <c r="AJ37" s="155">
        <v>56</v>
      </c>
      <c r="AK37" s="160">
        <v>10807</v>
      </c>
      <c r="AL37" s="160">
        <v>308</v>
      </c>
      <c r="AM37" s="160">
        <v>383</v>
      </c>
      <c r="AN37" s="155">
        <v>63</v>
      </c>
      <c r="AO37" s="163">
        <v>15</v>
      </c>
      <c r="AP37" s="164">
        <v>66</v>
      </c>
      <c r="AQ37" s="164">
        <v>69</v>
      </c>
      <c r="AR37" s="163">
        <v>1</v>
      </c>
      <c r="AS37" s="163">
        <v>10</v>
      </c>
      <c r="AT37" s="155">
        <v>3</v>
      </c>
      <c r="AU37" s="155">
        <v>12</v>
      </c>
      <c r="AW37" s="165"/>
      <c r="AX37" s="166">
        <f t="shared" ref="AX37:AX39" si="246">COUNT(AU37)</f>
      </c>
    </row>
    <row r="38">
      <c r="A38" s="148"/>
      <c r="B38" s="149" t="s">
        <v>167</v>
      </c>
      <c r="C38" s="149" t="s">
        <v>157</v>
      </c>
      <c r="D38" s="149" t="s">
        <v>163</v>
      </c>
      <c r="E38" s="150" t="s">
        <v>160</v>
      </c>
      <c r="F38" s="151">
        <f t="shared" si="165"/>
      </c>
      <c r="G38" s="152">
        <v>447.32</v>
      </c>
      <c r="H38" s="152">
        <v>1784.21</v>
      </c>
      <c r="I38" s="153">
        <v>0</v>
      </c>
      <c r="J38" s="153">
        <v>0</v>
      </c>
      <c r="K38" s="153">
        <v>0</v>
      </c>
      <c r="L38" s="153">
        <v>0</v>
      </c>
      <c r="M38" s="153">
        <v>0</v>
      </c>
      <c r="N38" s="155">
        <v>0</v>
      </c>
      <c r="O38" s="156">
        <f t="shared" si="46"/>
      </c>
      <c r="P38" s="155">
        <v>0</v>
      </c>
      <c r="Q38" s="156">
        <f t="shared" si="236"/>
      </c>
      <c r="R38" s="155">
        <f t="shared" si="55"/>
      </c>
      <c r="S38" s="152">
        <f t="shared" si="109"/>
      </c>
      <c r="T38" s="159">
        <f t="shared" si="234"/>
      </c>
      <c r="U38" s="159">
        <f t="shared" si="2"/>
      </c>
      <c r="V38" s="160">
        <f t="shared" si="0"/>
      </c>
      <c r="W38" s="155">
        <v>0</v>
      </c>
      <c r="X38" s="160">
        <f t="shared" si="6"/>
      </c>
      <c r="Y38" s="160">
        <f t="shared" si="4"/>
      </c>
      <c r="Z38" s="161">
        <f t="shared" si="232"/>
      </c>
      <c r="AA38" s="159">
        <f t="shared" si="47"/>
      </c>
      <c r="AB38" s="159">
        <f t="shared" si="237"/>
      </c>
      <c r="AC38" s="156">
        <f t="shared" si="235"/>
      </c>
      <c r="AD38" s="156">
        <f t="shared" si="3"/>
      </c>
      <c r="AE38" s="156">
        <f t="shared" si="1"/>
      </c>
      <c r="AF38" s="156">
        <f t="shared" si="7"/>
      </c>
      <c r="AG38" s="156">
        <f t="shared" si="5"/>
      </c>
      <c r="AH38" s="167">
        <f t="shared" si="233"/>
      </c>
      <c r="AI38" s="167">
        <f t="shared" si="48"/>
      </c>
      <c r="AJ38" s="155">
        <v>61</v>
      </c>
      <c r="AK38" s="160">
        <v>6371</v>
      </c>
      <c r="AL38" s="160">
        <v>199</v>
      </c>
      <c r="AM38" s="160">
        <v>249</v>
      </c>
      <c r="AN38" s="160">
        <v>36</v>
      </c>
      <c r="AO38" s="163">
        <v>10</v>
      </c>
      <c r="AP38" s="168">
        <v>47</v>
      </c>
      <c r="AQ38" s="163">
        <v>53</v>
      </c>
      <c r="AR38" s="163">
        <v>1</v>
      </c>
      <c r="AS38" s="155">
        <v>4</v>
      </c>
      <c r="AT38" s="155">
        <v>1</v>
      </c>
      <c r="AU38" s="168">
        <v>6</v>
      </c>
      <c r="AW38" s="165"/>
      <c r="AX38" s="166">
        <f t="shared" si="246"/>
      </c>
    </row>
    <row r="39">
      <c r="A39" s="148"/>
      <c r="B39" s="149" t="s">
        <v>167</v>
      </c>
      <c r="C39" s="149" t="s">
        <v>157</v>
      </c>
      <c r="D39" s="149" t="s">
        <v>163</v>
      </c>
      <c r="E39" s="150" t="s">
        <v>161</v>
      </c>
      <c r="F39" s="151">
        <f t="shared" si="165"/>
      </c>
      <c r="G39" s="152">
        <v>445.45</v>
      </c>
      <c r="H39" s="152">
        <v>1544.28</v>
      </c>
      <c r="I39" s="153">
        <v>0</v>
      </c>
      <c r="J39" s="153">
        <v>0</v>
      </c>
      <c r="K39" s="153">
        <v>0</v>
      </c>
      <c r="L39" s="153">
        <v>1</v>
      </c>
      <c r="M39" s="154">
        <v>1618.1799999999998</v>
      </c>
      <c r="N39" s="155">
        <v>1</v>
      </c>
      <c r="O39" s="156">
        <f t="shared" si="46"/>
      </c>
      <c r="P39" s="155">
        <v>0</v>
      </c>
      <c r="Q39" s="156">
        <f t="shared" si="236"/>
      </c>
      <c r="R39" s="155">
        <f t="shared" si="55"/>
      </c>
      <c r="S39" s="152">
        <f t="shared" si="109"/>
      </c>
      <c r="T39" s="159">
        <f t="shared" si="234"/>
      </c>
      <c r="U39" s="159">
        <f t="shared" si="2"/>
      </c>
      <c r="V39" s="169">
        <f t="shared" si="0"/>
      </c>
      <c r="W39" s="155">
        <v>1</v>
      </c>
      <c r="X39" s="160">
        <f t="shared" si="6"/>
      </c>
      <c r="Y39" s="160">
        <f t="shared" si="4"/>
      </c>
      <c r="Z39" s="161">
        <f t="shared" si="232"/>
      </c>
      <c r="AA39" s="159">
        <f t="shared" si="47"/>
      </c>
      <c r="AB39" s="159">
        <f t="shared" si="237"/>
      </c>
      <c r="AC39" s="156">
        <f t="shared" si="235"/>
      </c>
      <c r="AD39" s="156">
        <f t="shared" si="3"/>
      </c>
      <c r="AE39" s="156">
        <f t="shared" si="1"/>
      </c>
      <c r="AF39" s="156">
        <f t="shared" si="7"/>
      </c>
      <c r="AG39" s="156">
        <f t="shared" si="5"/>
      </c>
      <c r="AH39" s="156">
        <f t="shared" si="233"/>
      </c>
      <c r="AI39" s="170">
        <f t="shared" si="48"/>
      </c>
      <c r="AJ39" s="155">
        <v>61</v>
      </c>
      <c r="AK39" s="160">
        <v>6763</v>
      </c>
      <c r="AL39" s="160">
        <v>226</v>
      </c>
      <c r="AM39" s="160">
        <v>298</v>
      </c>
      <c r="AN39" s="160">
        <v>37</v>
      </c>
      <c r="AO39" s="163">
        <v>12</v>
      </c>
      <c r="AP39" s="168">
        <v>48</v>
      </c>
      <c r="AQ39" s="163">
        <v>39</v>
      </c>
      <c r="AR39" s="163">
        <v>1</v>
      </c>
      <c r="AS39" s="155">
        <v>3</v>
      </c>
      <c r="AT39" s="155">
        <v>0</v>
      </c>
      <c r="AU39" s="168">
        <v>8</v>
      </c>
      <c r="AW39" s="165"/>
      <c r="AX39" s="166">
        <f t="shared" si="246"/>
      </c>
    </row>
    <row r="40">
      <c r="A40" s="148"/>
      <c r="B40" s="171" t="s">
        <v>162</v>
      </c>
      <c r="C40" s="171"/>
      <c r="D40" s="171"/>
      <c r="E40" s="171"/>
      <c r="F40" s="172">
        <f>SUM(F37:F39)</f>
      </c>
      <c r="G40" s="173">
        <f>SUM(G37:G39)</f>
      </c>
      <c r="H40" s="173">
        <f>SUM(H37:H39)</f>
      </c>
      <c r="I40" s="174">
        <f>SUM(I37:I39)</f>
      </c>
      <c r="J40" s="174">
        <f>SUM(J37:J39)</f>
      </c>
      <c r="K40" s="174">
        <f>SUM(K37:K39)</f>
      </c>
      <c r="L40" s="174">
        <f>SUM(L37:L39)</f>
      </c>
      <c r="M40" s="174">
        <f>SUM(M37:M39)</f>
      </c>
      <c r="N40" s="174">
        <f>SUM(N37:N39)</f>
      </c>
      <c r="O40" s="175">
        <f t="shared" si="46"/>
      </c>
      <c r="P40" s="174">
        <f>SUM(P37:P39)</f>
      </c>
      <c r="Q40" s="175">
        <f t="shared" si="236"/>
      </c>
      <c r="R40" s="174">
        <f>SUM(R37:R39)</f>
      </c>
      <c r="S40" s="173">
        <f>SUM(S37:S39)</f>
      </c>
      <c r="T40" s="173">
        <f t="shared" si="234"/>
      </c>
      <c r="U40" s="173">
        <f t="shared" si="2"/>
      </c>
      <c r="V40" s="174">
        <f t="shared" si="0"/>
      </c>
      <c r="W40" s="174">
        <f>SUM(W37:W39)</f>
      </c>
      <c r="X40" s="174">
        <f t="shared" si="6"/>
      </c>
      <c r="Y40" s="174">
        <f t="shared" si="4"/>
      </c>
      <c r="Z40" s="172">
        <f t="shared" si="232"/>
      </c>
      <c r="AA40" s="173">
        <f t="shared" si="47"/>
      </c>
      <c r="AB40" s="176">
        <f t="shared" si="237"/>
      </c>
      <c r="AC40" s="175">
        <f t="shared" si="235"/>
      </c>
      <c r="AD40" s="175">
        <f t="shared" si="3"/>
      </c>
      <c r="AE40" s="175">
        <f t="shared" si="1"/>
      </c>
      <c r="AF40" s="175">
        <f t="shared" si="7"/>
      </c>
      <c r="AG40" s="175">
        <f t="shared" si="5"/>
      </c>
      <c r="AH40" s="175">
        <f t="shared" si="233"/>
      </c>
      <c r="AI40" s="177">
        <f t="shared" si="48"/>
      </c>
      <c r="AJ40" s="178">
        <f>AVERAGE(AJ37:AJ39)</f>
      </c>
      <c r="AK40" s="174">
        <f>SUM(AK37:AK39)</f>
      </c>
      <c r="AL40" s="174">
        <f>SUM(AL37:AL39)</f>
      </c>
      <c r="AM40" s="174">
        <f>SUM(AM37:AM39)</f>
      </c>
      <c r="AN40" s="174">
        <f>SUM(AN37:AN39)</f>
      </c>
      <c r="AO40" s="174">
        <f>SUM(AO37:AO39)</f>
      </c>
      <c r="AP40" s="179">
        <f>SUM(AP37:AP39)</f>
      </c>
      <c r="AQ40" s="174">
        <f>SUM(AQ37:AQ39)</f>
      </c>
      <c r="AR40" s="174">
        <f>SUM(AR37:AR39)</f>
      </c>
      <c r="AS40" s="174">
        <f>SUM(AS37:AS39)</f>
      </c>
      <c r="AT40" s="174">
        <f>SUM(AT37:AT39)</f>
      </c>
      <c r="AU40" s="179">
        <f>SUM(AU37:AU39)</f>
      </c>
      <c r="AW40" s="180"/>
      <c r="AX40" s="174">
        <f>SUM(AX37:AX39)</f>
      </c>
    </row>
    <row r="41">
      <c r="A41" s="148"/>
      <c r="B41" s="149" t="s">
        <v>167</v>
      </c>
      <c r="C41" s="149" t="s">
        <v>157</v>
      </c>
      <c r="D41" s="149" t="s">
        <v>169</v>
      </c>
      <c r="E41" s="150" t="s">
        <v>164</v>
      </c>
      <c r="F41" s="151">
        <f t="shared" ref="F41:F43" si="166">G41+H41+I41</f>
      </c>
      <c r="G41" s="152">
        <v>562.74</v>
      </c>
      <c r="H41" s="152">
        <v>2311.73</v>
      </c>
      <c r="I41" s="153">
        <v>0</v>
      </c>
      <c r="J41" s="153">
        <v>0</v>
      </c>
      <c r="K41" s="153">
        <v>0</v>
      </c>
      <c r="L41" s="153">
        <v>2</v>
      </c>
      <c r="M41" s="153">
        <v>5618.299999999999</v>
      </c>
      <c r="N41" s="155">
        <v>0</v>
      </c>
      <c r="O41" s="156">
        <f t="shared" si="46"/>
      </c>
      <c r="P41" s="155">
        <v>0</v>
      </c>
      <c r="Q41" s="156">
        <f t="shared" si="236"/>
      </c>
      <c r="R41" s="155">
        <f t="shared" ref="R41:R43" si="56">L41+J41</f>
      </c>
      <c r="S41" s="152">
        <f t="shared" ref="S41:S43" si="110">M41+K41</f>
      </c>
      <c r="T41" s="159">
        <f t="shared" si="234"/>
      </c>
      <c r="U41" s="159">
        <f t="shared" si="2"/>
      </c>
      <c r="V41" s="169">
        <f t="shared" si="0"/>
      </c>
      <c r="W41" s="155">
        <v>2</v>
      </c>
      <c r="X41" s="169">
        <f t="shared" si="6"/>
      </c>
      <c r="Y41" s="160">
        <f t="shared" si="4"/>
      </c>
      <c r="Z41" s="161">
        <f t="shared" si="232"/>
      </c>
      <c r="AA41" s="159">
        <f t="shared" si="47"/>
      </c>
      <c r="AB41" s="159">
        <f t="shared" si="237"/>
      </c>
      <c r="AC41" s="156">
        <f t="shared" si="235"/>
      </c>
      <c r="AD41" s="156">
        <f t="shared" si="3"/>
      </c>
      <c r="AE41" s="156">
        <f t="shared" si="1"/>
      </c>
      <c r="AF41" s="156">
        <f t="shared" si="7"/>
      </c>
      <c r="AG41" s="156">
        <f t="shared" si="5"/>
      </c>
      <c r="AH41" s="156">
        <f t="shared" si="233"/>
      </c>
      <c r="AI41" s="167">
        <f t="shared" si="48"/>
      </c>
      <c r="AJ41" s="155">
        <v>61</v>
      </c>
      <c r="AK41" s="160">
        <v>8195</v>
      </c>
      <c r="AL41" s="160">
        <v>297</v>
      </c>
      <c r="AM41" s="160">
        <v>381</v>
      </c>
      <c r="AN41" s="160">
        <v>59</v>
      </c>
      <c r="AO41" s="163">
        <v>22</v>
      </c>
      <c r="AP41" s="168">
        <v>72</v>
      </c>
      <c r="AQ41" s="163">
        <v>58</v>
      </c>
      <c r="AR41" s="163">
        <v>3</v>
      </c>
      <c r="AS41" s="155">
        <v>5</v>
      </c>
      <c r="AT41" s="155">
        <v>0</v>
      </c>
      <c r="AU41" s="168">
        <v>13</v>
      </c>
      <c r="AW41" s="165"/>
      <c r="AX41" s="166">
        <f t="shared" ref="AX41:AX43" si="247">COUNT(AU41)</f>
      </c>
    </row>
    <row r="42">
      <c r="A42" s="148"/>
      <c r="B42" s="149" t="s">
        <v>167</v>
      </c>
      <c r="C42" s="149" t="s">
        <v>157</v>
      </c>
      <c r="D42" s="149" t="s">
        <v>169</v>
      </c>
      <c r="E42" s="149" t="s">
        <v>165</v>
      </c>
      <c r="F42" s="151">
        <f t="shared" si="166"/>
      </c>
      <c r="G42" s="152">
        <v>260.19</v>
      </c>
      <c r="H42" s="152">
        <v>2326.47</v>
      </c>
      <c r="I42" s="153">
        <v>0</v>
      </c>
      <c r="J42" s="153">
        <v>0</v>
      </c>
      <c r="K42" s="154">
        <v>0</v>
      </c>
      <c r="L42" s="153">
        <v>2</v>
      </c>
      <c r="M42" s="154">
        <v>2706.3500000000004</v>
      </c>
      <c r="N42" s="155">
        <v>0</v>
      </c>
      <c r="O42" s="156">
        <f t="shared" si="46"/>
      </c>
      <c r="P42" s="155">
        <v>0</v>
      </c>
      <c r="Q42" s="156">
        <f t="shared" si="236"/>
      </c>
      <c r="R42" s="155">
        <f t="shared" si="56"/>
      </c>
      <c r="S42" s="152">
        <f t="shared" si="110"/>
      </c>
      <c r="T42" s="159">
        <f t="shared" si="234"/>
      </c>
      <c r="U42" s="159">
        <f t="shared" si="2"/>
      </c>
      <c r="V42" s="169">
        <f t="shared" si="0"/>
      </c>
      <c r="W42" s="155">
        <v>1</v>
      </c>
      <c r="X42" s="169">
        <f t="shared" si="6"/>
      </c>
      <c r="Y42" s="160">
        <f t="shared" si="4"/>
      </c>
      <c r="Z42" s="161">
        <f t="shared" si="232"/>
      </c>
      <c r="AA42" s="159">
        <f t="shared" si="47"/>
      </c>
      <c r="AB42" s="159">
        <f t="shared" si="237"/>
      </c>
      <c r="AC42" s="156">
        <f t="shared" si="235"/>
      </c>
      <c r="AD42" s="156">
        <f t="shared" si="3"/>
      </c>
      <c r="AE42" s="156">
        <f t="shared" si="1"/>
      </c>
      <c r="AF42" s="156">
        <f t="shared" si="7"/>
      </c>
      <c r="AG42" s="156">
        <f t="shared" si="5"/>
      </c>
      <c r="AH42" s="156">
        <f t="shared" si="233"/>
      </c>
      <c r="AI42" s="167">
        <f t="shared" si="48"/>
      </c>
      <c r="AJ42" s="155">
        <v>61</v>
      </c>
      <c r="AK42" s="160">
        <v>8631</v>
      </c>
      <c r="AL42" s="160">
        <v>287</v>
      </c>
      <c r="AM42" s="160">
        <v>324</v>
      </c>
      <c r="AN42" s="160">
        <v>60</v>
      </c>
      <c r="AO42" s="163">
        <v>14</v>
      </c>
      <c r="AP42" s="168">
        <v>51</v>
      </c>
      <c r="AQ42" s="163">
        <v>65</v>
      </c>
      <c r="AR42" s="163">
        <v>2</v>
      </c>
      <c r="AS42" s="160">
        <v>0</v>
      </c>
      <c r="AT42" s="160">
        <v>1</v>
      </c>
      <c r="AU42" s="168">
        <v>13</v>
      </c>
      <c r="AW42" s="165"/>
      <c r="AX42" s="166">
        <f t="shared" si="247"/>
      </c>
    </row>
    <row r="43">
      <c r="A43" s="148"/>
      <c r="B43" s="149" t="s">
        <v>167</v>
      </c>
      <c r="C43" s="149" t="s">
        <v>157</v>
      </c>
      <c r="D43" s="149" t="s">
        <v>169</v>
      </c>
      <c r="E43" s="149" t="s">
        <v>168</v>
      </c>
      <c r="F43" s="151">
        <f t="shared" si="166"/>
      </c>
      <c r="G43" s="152">
        <v>220.22</v>
      </c>
      <c r="H43" s="152">
        <v>3094.27</v>
      </c>
      <c r="I43" s="153">
        <v>0</v>
      </c>
      <c r="J43" s="153">
        <v>1</v>
      </c>
      <c r="K43" s="154">
        <v>2954.79</v>
      </c>
      <c r="L43" s="154">
        <v>3</v>
      </c>
      <c r="M43" s="154">
        <v>6498.950000000001</v>
      </c>
      <c r="N43" s="155">
        <v>0</v>
      </c>
      <c r="O43" s="156">
        <f t="shared" si="46"/>
      </c>
      <c r="P43" s="155">
        <v>1</v>
      </c>
      <c r="Q43" s="156">
        <f t="shared" si="236"/>
      </c>
      <c r="R43" s="193">
        <f t="shared" si="56"/>
      </c>
      <c r="S43" s="152">
        <f t="shared" si="110"/>
      </c>
      <c r="T43" s="159">
        <f t="shared" si="234"/>
      </c>
      <c r="U43" s="159">
        <f t="shared" si="2"/>
      </c>
      <c r="V43" s="169">
        <f t="shared" si="0"/>
      </c>
      <c r="W43" s="155">
        <v>4</v>
      </c>
      <c r="X43" s="169">
        <f t="shared" si="6"/>
      </c>
      <c r="Y43" s="160">
        <f t="shared" si="4"/>
      </c>
      <c r="Z43" s="161">
        <f t="shared" si="232"/>
      </c>
      <c r="AA43" s="159">
        <f t="shared" si="47"/>
      </c>
      <c r="AB43" s="159">
        <f t="shared" si="237"/>
      </c>
      <c r="AC43" s="156">
        <f t="shared" si="235"/>
      </c>
      <c r="AD43" s="156">
        <f t="shared" si="3"/>
      </c>
      <c r="AE43" s="156">
        <f t="shared" si="1"/>
      </c>
      <c r="AF43" s="156">
        <f t="shared" si="7"/>
      </c>
      <c r="AG43" s="156">
        <f t="shared" si="5"/>
      </c>
      <c r="AH43" s="156">
        <f t="shared" si="233"/>
      </c>
      <c r="AI43" s="167">
        <f t="shared" si="48"/>
      </c>
      <c r="AJ43" s="155">
        <v>61</v>
      </c>
      <c r="AK43" s="160">
        <v>7124</v>
      </c>
      <c r="AL43" s="160">
        <v>233</v>
      </c>
      <c r="AM43" s="160">
        <v>270</v>
      </c>
      <c r="AN43" s="160">
        <v>45</v>
      </c>
      <c r="AO43" s="163">
        <v>18</v>
      </c>
      <c r="AP43" s="168">
        <v>38</v>
      </c>
      <c r="AQ43" s="163">
        <v>51</v>
      </c>
      <c r="AR43" s="163">
        <v>5</v>
      </c>
      <c r="AS43" s="160">
        <v>7</v>
      </c>
      <c r="AT43" s="160">
        <v>0</v>
      </c>
      <c r="AU43" s="168">
        <v>8</v>
      </c>
      <c r="AW43" s="165"/>
      <c r="AX43" s="166">
        <f t="shared" si="247"/>
      </c>
    </row>
    <row r="44">
      <c r="A44" s="148"/>
      <c r="B44" s="171" t="s">
        <v>162</v>
      </c>
      <c r="C44" s="171"/>
      <c r="D44" s="171"/>
      <c r="E44" s="171"/>
      <c r="F44" s="172">
        <f>SUM(F41:F43)</f>
      </c>
      <c r="G44" s="172">
        <f>SUM(G41:G43)</f>
      </c>
      <c r="H44" s="172">
        <f>SUM(H41:H43)</f>
      </c>
      <c r="I44" s="174">
        <f>SUM(I41:I43)</f>
      </c>
      <c r="J44" s="174">
        <f>SUM(J41:J43)</f>
      </c>
      <c r="K44" s="174">
        <f>SUM(K41:K43)</f>
      </c>
      <c r="L44" s="174">
        <f>SUM(L41:L43)</f>
      </c>
      <c r="M44" s="174">
        <f>SUM(M41:M43)</f>
      </c>
      <c r="N44" s="174">
        <f>SUM(N41:N43)</f>
      </c>
      <c r="O44" s="175">
        <f t="shared" si="46"/>
      </c>
      <c r="P44" s="174">
        <f>SUM(P41:P43)</f>
      </c>
      <c r="Q44" s="175">
        <f t="shared" si="236"/>
      </c>
      <c r="R44" s="174">
        <f>SUM(R41:R43)</f>
      </c>
      <c r="S44" s="173">
        <f>SUM(S41:S43)</f>
      </c>
      <c r="T44" s="173">
        <f t="shared" si="234"/>
      </c>
      <c r="U44" s="173">
        <f t="shared" si="2"/>
      </c>
      <c r="V44" s="194">
        <f t="shared" si="0"/>
      </c>
      <c r="W44" s="174">
        <f>SUM(W41:W43)</f>
      </c>
      <c r="X44" s="174">
        <f t="shared" si="6"/>
      </c>
      <c r="Y44" s="174">
        <f t="shared" si="4"/>
      </c>
      <c r="Z44" s="181">
        <f t="shared" si="232"/>
      </c>
      <c r="AA44" s="182">
        <f t="shared" si="47"/>
      </c>
      <c r="AB44" s="176">
        <f t="shared" si="237"/>
      </c>
      <c r="AC44" s="183">
        <f t="shared" si="235"/>
      </c>
      <c r="AD44" s="183">
        <f t="shared" si="3"/>
      </c>
      <c r="AE44" s="183">
        <f t="shared" si="1"/>
      </c>
      <c r="AF44" s="183">
        <f t="shared" si="7"/>
      </c>
      <c r="AG44" s="183">
        <f t="shared" si="5"/>
      </c>
      <c r="AH44" s="183">
        <f t="shared" si="233"/>
      </c>
      <c r="AI44" s="183">
        <f t="shared" si="48"/>
      </c>
      <c r="AJ44" s="178">
        <f>AVERAGE(AJ41:AJ43)</f>
      </c>
      <c r="AK44" s="174">
        <f>SUM(AK41:AK43)</f>
      </c>
      <c r="AL44" s="174">
        <f>SUM(AL41:AL43)</f>
      </c>
      <c r="AM44" s="174">
        <f>SUM(AM41:AM43)</f>
      </c>
      <c r="AN44" s="174">
        <f>SUM(AN41:AN43)</f>
      </c>
      <c r="AO44" s="174">
        <f>SUM(AO41:AO43)</f>
      </c>
      <c r="AP44" s="174">
        <f>SUM(AP41:AP43)</f>
      </c>
      <c r="AQ44" s="174">
        <f>SUM(AQ41:AQ43)</f>
      </c>
      <c r="AR44" s="174">
        <f>SUM(AR41:AR43)</f>
      </c>
      <c r="AS44" s="174">
        <f>SUM(AS41:AS43)</f>
      </c>
      <c r="AT44" s="174">
        <f>SUM(AT41:AT43)</f>
      </c>
      <c r="AU44" s="174">
        <f>SUM(AU41:AU43)</f>
      </c>
      <c r="AW44" s="180"/>
      <c r="AX44" s="174">
        <f>SUM(AX41:AX43)</f>
      </c>
    </row>
    <row r="45">
      <c r="A45" s="148"/>
      <c r="B45" s="184" t="s">
        <v>166</v>
      </c>
      <c r="C45" s="184"/>
      <c r="D45" s="184"/>
      <c r="E45" s="184"/>
      <c r="F45" s="185">
        <f>F40+F44</f>
      </c>
      <c r="G45" s="185">
        <f>G40+G44</f>
      </c>
      <c r="H45" s="185">
        <f>H40+H44</f>
      </c>
      <c r="I45" s="184">
        <f>I40+I44</f>
      </c>
      <c r="J45" s="184">
        <f>J40+J44</f>
      </c>
      <c r="K45" s="184">
        <f>K40+K44</f>
      </c>
      <c r="L45" s="184">
        <f>L40+L44</f>
      </c>
      <c r="M45" s="184">
        <f>M40+M44</f>
      </c>
      <c r="N45" s="184">
        <f>N40+N44</f>
      </c>
      <c r="O45" s="186">
        <f t="shared" si="46"/>
      </c>
      <c r="P45" s="184">
        <f>P40+P44</f>
      </c>
      <c r="Q45" s="186">
        <f t="shared" si="236"/>
      </c>
      <c r="R45" s="184">
        <f>R40+R44</f>
      </c>
      <c r="S45" s="185">
        <f>S40+S44</f>
      </c>
      <c r="T45" s="185">
        <f t="shared" si="234"/>
      </c>
      <c r="U45" s="185">
        <f t="shared" si="2"/>
      </c>
      <c r="V45" s="187">
        <f t="shared" si="0"/>
      </c>
      <c r="W45" s="184">
        <f>W40+W44</f>
      </c>
      <c r="X45" s="187">
        <f t="shared" si="6"/>
      </c>
      <c r="Y45" s="184">
        <f t="shared" si="4"/>
      </c>
      <c r="Z45" s="188">
        <f t="shared" si="232"/>
      </c>
      <c r="AA45" s="185">
        <f t="shared" si="47"/>
      </c>
      <c r="AB45" s="189">
        <f t="shared" si="237"/>
      </c>
      <c r="AC45" s="186">
        <f t="shared" si="235"/>
      </c>
      <c r="AD45" s="186">
        <f t="shared" si="3"/>
      </c>
      <c r="AE45" s="186">
        <f t="shared" si="1"/>
      </c>
      <c r="AF45" s="186">
        <f t="shared" si="7"/>
      </c>
      <c r="AG45" s="186">
        <f t="shared" si="5"/>
      </c>
      <c r="AH45" s="186">
        <f t="shared" si="233"/>
      </c>
      <c r="AI45" s="186">
        <f t="shared" si="48"/>
      </c>
      <c r="AJ45" s="190">
        <f>(AJ40+AJ44)/2</f>
      </c>
      <c r="AK45" s="184">
        <f>AK40+AK44</f>
      </c>
      <c r="AL45" s="191">
        <f>AL40+AL44</f>
      </c>
      <c r="AM45" s="191">
        <f>AM40+AM44</f>
      </c>
      <c r="AN45" s="191">
        <f>AN40+AN44</f>
      </c>
      <c r="AO45" s="191">
        <f>AO40+AO44</f>
      </c>
      <c r="AP45" s="191">
        <f>AP40+AP44</f>
      </c>
      <c r="AQ45" s="191">
        <f>AQ40+AQ44</f>
      </c>
      <c r="AR45" s="191">
        <f>AR40+AR44</f>
      </c>
      <c r="AS45" s="191">
        <f>AS40+AS44</f>
      </c>
      <c r="AT45" s="191">
        <f>AT40+AT44</f>
      </c>
      <c r="AU45" s="184">
        <f>AU40+AU44</f>
      </c>
      <c r="AW45" s="192">
        <f>AW40+AW44</f>
      </c>
      <c r="AX45" s="184">
        <f>AX40+AX44</f>
      </c>
    </row>
    <row r="46">
      <c r="A46" s="195">
        <v>46272</v>
      </c>
      <c r="B46" s="196" t="s">
        <v>170</v>
      </c>
      <c r="C46" s="197" t="s">
        <v>157</v>
      </c>
      <c r="D46" s="197" t="s">
        <v>169</v>
      </c>
      <c r="E46" s="197" t="s">
        <v>159</v>
      </c>
      <c r="F46" s="198">
        <f t="shared" ref="F46:F48" si="167">G46+H46+I46</f>
      </c>
      <c r="G46" s="199">
        <v>521.32</v>
      </c>
      <c r="H46" s="199">
        <v>2456.01</v>
      </c>
      <c r="I46" s="200">
        <v>0</v>
      </c>
      <c r="J46" s="201">
        <v>0</v>
      </c>
      <c r="K46" s="201">
        <v>0</v>
      </c>
      <c r="L46" s="201">
        <v>2</v>
      </c>
      <c r="M46" s="201">
        <v>2756.05</v>
      </c>
      <c r="N46" s="202">
        <v>1</v>
      </c>
      <c r="O46" s="203">
        <f t="shared" si="46"/>
      </c>
      <c r="P46" s="193">
        <v>0</v>
      </c>
      <c r="Q46" s="203">
        <f t="shared" si="236"/>
      </c>
      <c r="R46" s="193">
        <f t="shared" ref="R46:R48" si="57">L46+J46</f>
      </c>
      <c r="S46" s="199">
        <f t="shared" ref="S46:S48" si="111">M46+K46</f>
      </c>
      <c r="T46" s="199">
        <f t="shared" si="234"/>
      </c>
      <c r="U46" s="199">
        <f t="shared" si="2"/>
      </c>
      <c r="V46" s="193">
        <f t="shared" si="0"/>
      </c>
      <c r="W46" s="202">
        <v>1</v>
      </c>
      <c r="X46" s="204">
        <f t="shared" si="6"/>
      </c>
      <c r="Y46" s="204">
        <f t="shared" si="4"/>
      </c>
      <c r="Z46" s="198">
        <f t="shared" si="232"/>
      </c>
      <c r="AA46" s="199">
        <f t="shared" si="47"/>
      </c>
      <c r="AB46" s="199">
        <f t="shared" si="237"/>
      </c>
      <c r="AC46" s="203">
        <f t="shared" si="235"/>
      </c>
      <c r="AD46" s="203">
        <f t="shared" si="3"/>
      </c>
      <c r="AE46" s="203">
        <f t="shared" si="1"/>
      </c>
      <c r="AF46" s="203">
        <f t="shared" si="7"/>
      </c>
      <c r="AG46" s="203">
        <f t="shared" si="5"/>
      </c>
      <c r="AH46" s="203">
        <f t="shared" si="233"/>
      </c>
      <c r="AI46" s="205">
        <f t="shared" si="48"/>
      </c>
      <c r="AJ46" s="202">
        <v>76</v>
      </c>
      <c r="AK46" s="193">
        <v>7921</v>
      </c>
      <c r="AL46" s="193">
        <v>257</v>
      </c>
      <c r="AM46" s="193">
        <v>285</v>
      </c>
      <c r="AN46" s="193">
        <v>56</v>
      </c>
      <c r="AO46" s="196">
        <v>26</v>
      </c>
      <c r="AP46" s="206">
        <v>56</v>
      </c>
      <c r="AQ46" s="206">
        <v>77</v>
      </c>
      <c r="AR46" s="196">
        <v>2</v>
      </c>
      <c r="AS46" s="197">
        <v>3</v>
      </c>
      <c r="AT46" s="193">
        <v>0</v>
      </c>
      <c r="AU46" s="193">
        <v>8</v>
      </c>
      <c r="AV46" s="207"/>
      <c r="AW46" s="165"/>
      <c r="AX46" s="197">
        <f t="shared" ref="AX46:AX48" si="248">COUNT(AU46)</f>
      </c>
    </row>
    <row r="47">
      <c r="A47" s="208"/>
      <c r="B47" s="196" t="s">
        <v>170</v>
      </c>
      <c r="C47" s="197" t="s">
        <v>157</v>
      </c>
      <c r="D47" s="197" t="s">
        <v>169</v>
      </c>
      <c r="E47" s="197" t="s">
        <v>160</v>
      </c>
      <c r="F47" s="198">
        <f t="shared" si="167"/>
      </c>
      <c r="G47" s="199">
        <v>998.19</v>
      </c>
      <c r="H47" s="199">
        <v>1434.02</v>
      </c>
      <c r="I47" s="200">
        <v>0</v>
      </c>
      <c r="J47" s="201">
        <v>0</v>
      </c>
      <c r="K47" s="201">
        <v>0</v>
      </c>
      <c r="L47" s="201">
        <v>0</v>
      </c>
      <c r="M47" s="201">
        <v>0</v>
      </c>
      <c r="N47" s="193">
        <v>0</v>
      </c>
      <c r="O47" s="203">
        <f t="shared" si="46"/>
      </c>
      <c r="P47" s="193">
        <v>0</v>
      </c>
      <c r="Q47" s="203">
        <f t="shared" si="236"/>
      </c>
      <c r="R47" s="193">
        <f t="shared" si="57"/>
      </c>
      <c r="S47" s="209">
        <f t="shared" si="111"/>
      </c>
      <c r="T47" s="199">
        <f t="shared" si="234"/>
      </c>
      <c r="U47" s="199">
        <f t="shared" si="2"/>
      </c>
      <c r="V47" s="193">
        <f t="shared" si="0"/>
      </c>
      <c r="W47" s="202">
        <v>0</v>
      </c>
      <c r="X47" s="204">
        <f t="shared" si="6"/>
      </c>
      <c r="Y47" s="204">
        <f t="shared" si="4"/>
      </c>
      <c r="Z47" s="198">
        <f t="shared" si="232"/>
      </c>
      <c r="AA47" s="199">
        <f t="shared" si="47"/>
      </c>
      <c r="AB47" s="199">
        <f t="shared" si="237"/>
      </c>
      <c r="AC47" s="203">
        <f t="shared" si="235"/>
      </c>
      <c r="AD47" s="203">
        <f t="shared" si="3"/>
      </c>
      <c r="AE47" s="203">
        <f t="shared" si="1"/>
      </c>
      <c r="AF47" s="203">
        <f t="shared" si="7"/>
      </c>
      <c r="AG47" s="203">
        <f t="shared" si="5"/>
      </c>
      <c r="AH47" s="210">
        <f t="shared" si="233"/>
      </c>
      <c r="AI47" s="210">
        <f t="shared" si="48"/>
      </c>
      <c r="AJ47" s="202">
        <v>77</v>
      </c>
      <c r="AK47" s="193">
        <v>10042</v>
      </c>
      <c r="AL47" s="193">
        <v>290</v>
      </c>
      <c r="AM47" s="193">
        <v>335</v>
      </c>
      <c r="AN47" s="193">
        <v>56</v>
      </c>
      <c r="AO47" s="196">
        <v>13</v>
      </c>
      <c r="AP47" s="211">
        <v>55</v>
      </c>
      <c r="AQ47" s="197">
        <v>54</v>
      </c>
      <c r="AR47" s="196">
        <v>1</v>
      </c>
      <c r="AS47" s="193">
        <v>6</v>
      </c>
      <c r="AT47" s="193">
        <v>2</v>
      </c>
      <c r="AU47" s="211">
        <v>2</v>
      </c>
      <c r="AV47" s="207"/>
      <c r="AW47" s="165"/>
      <c r="AX47" s="197">
        <f t="shared" si="248"/>
      </c>
    </row>
    <row r="48">
      <c r="A48" s="208"/>
      <c r="B48" s="196" t="s">
        <v>170</v>
      </c>
      <c r="C48" s="197" t="s">
        <v>157</v>
      </c>
      <c r="D48" s="197" t="s">
        <v>169</v>
      </c>
      <c r="E48" s="197" t="s">
        <v>161</v>
      </c>
      <c r="F48" s="198">
        <f t="shared" si="167"/>
      </c>
      <c r="G48" s="199">
        <v>489</v>
      </c>
      <c r="H48" s="199">
        <v>1342.68</v>
      </c>
      <c r="I48" s="200">
        <v>0</v>
      </c>
      <c r="J48" s="201">
        <v>0</v>
      </c>
      <c r="K48" s="201">
        <v>0</v>
      </c>
      <c r="L48" s="201">
        <v>1</v>
      </c>
      <c r="M48" s="201">
        <v>1588.4</v>
      </c>
      <c r="N48" s="193">
        <v>0</v>
      </c>
      <c r="O48" s="203">
        <f t="shared" si="46"/>
      </c>
      <c r="P48" s="193">
        <v>0</v>
      </c>
      <c r="Q48" s="203">
        <f t="shared" si="236"/>
      </c>
      <c r="R48" s="193">
        <f t="shared" si="57"/>
      </c>
      <c r="S48" s="209">
        <f t="shared" si="111"/>
      </c>
      <c r="T48" s="199">
        <f t="shared" si="234"/>
      </c>
      <c r="U48" s="199">
        <f t="shared" si="2"/>
      </c>
      <c r="V48" s="204">
        <f t="shared" si="0"/>
      </c>
      <c r="W48" s="202">
        <v>1</v>
      </c>
      <c r="X48" s="204">
        <f t="shared" si="6"/>
      </c>
      <c r="Y48" s="204">
        <f t="shared" si="4"/>
      </c>
      <c r="Z48" s="198">
        <f t="shared" si="232"/>
      </c>
      <c r="AA48" s="199">
        <f t="shared" si="47"/>
      </c>
      <c r="AB48" s="199">
        <f t="shared" si="237"/>
      </c>
      <c r="AC48" s="203">
        <f t="shared" si="235"/>
      </c>
      <c r="AD48" s="203">
        <f t="shared" si="3"/>
      </c>
      <c r="AE48" s="203">
        <f t="shared" si="1"/>
      </c>
      <c r="AF48" s="203">
        <f t="shared" si="7"/>
      </c>
      <c r="AG48" s="203">
        <f t="shared" si="5"/>
      </c>
      <c r="AH48" s="203">
        <f t="shared" si="233"/>
      </c>
      <c r="AI48" s="212">
        <f t="shared" si="48"/>
      </c>
      <c r="AJ48" s="202">
        <v>78</v>
      </c>
      <c r="AK48" s="193">
        <v>7430</v>
      </c>
      <c r="AL48" s="193">
        <v>183</v>
      </c>
      <c r="AM48" s="193">
        <v>230</v>
      </c>
      <c r="AN48" s="193">
        <v>53</v>
      </c>
      <c r="AO48" s="196">
        <v>9</v>
      </c>
      <c r="AP48" s="211">
        <v>14</v>
      </c>
      <c r="AQ48" s="197">
        <v>42</v>
      </c>
      <c r="AR48" s="196">
        <v>1</v>
      </c>
      <c r="AS48" s="193">
        <v>4</v>
      </c>
      <c r="AT48" s="193">
        <v>0</v>
      </c>
      <c r="AU48" s="211">
        <v>5</v>
      </c>
      <c r="AV48" s="207"/>
      <c r="AW48" s="165"/>
      <c r="AX48" s="197">
        <f t="shared" si="248"/>
      </c>
    </row>
    <row customHeight="true" ht="16.071428571428573" r="49">
      <c r="A49" s="208"/>
      <c r="B49" s="213" t="s">
        <v>162</v>
      </c>
      <c r="C49" s="213"/>
      <c r="D49" s="213"/>
      <c r="E49" s="213"/>
      <c r="F49" s="181">
        <f>SUM(F46:F48)</f>
      </c>
      <c r="G49" s="182">
        <f>SUM(G46:G48)</f>
      </c>
      <c r="H49" s="182">
        <f>SUM(H46:H48)</f>
      </c>
      <c r="I49" s="214">
        <f>SUM(I46:I48)</f>
      </c>
      <c r="J49" s="214">
        <f>SUM(J46:J48)</f>
      </c>
      <c r="K49" s="214">
        <f>SUM(K46:K48)</f>
      </c>
      <c r="L49" s="214">
        <f>SUM(L46:L48)</f>
      </c>
      <c r="M49" s="214">
        <f>SUM(M46:M48)</f>
      </c>
      <c r="N49" s="214">
        <f>SUM(N46:N48)</f>
      </c>
      <c r="O49" s="183">
        <f t="shared" si="46"/>
      </c>
      <c r="P49" s="214">
        <f>SUM(P46:P48)</f>
      </c>
      <c r="Q49" s="183">
        <f t="shared" si="236"/>
      </c>
      <c r="R49" s="214">
        <f>SUM(R46:R48)</f>
      </c>
      <c r="S49" s="215">
        <f>SUM(S46:S48)</f>
      </c>
      <c r="T49" s="182">
        <f t="shared" si="234"/>
      </c>
      <c r="U49" s="182">
        <f t="shared" si="2"/>
      </c>
      <c r="V49" s="214">
        <f t="shared" si="0"/>
      </c>
      <c r="W49" s="214">
        <f>SUM(W46:W48)</f>
      </c>
      <c r="X49" s="216">
        <f t="shared" si="6"/>
      </c>
      <c r="Y49" s="216">
        <f t="shared" si="4"/>
      </c>
      <c r="Z49" s="181">
        <f t="shared" si="232"/>
      </c>
      <c r="AA49" s="182">
        <f t="shared" si="47"/>
      </c>
      <c r="AB49" s="217">
        <f t="shared" si="237"/>
      </c>
      <c r="AC49" s="183">
        <f t="shared" si="235"/>
      </c>
      <c r="AD49" s="183">
        <f t="shared" si="3"/>
      </c>
      <c r="AE49" s="183">
        <f t="shared" si="1"/>
      </c>
      <c r="AF49" s="183">
        <f t="shared" si="7"/>
      </c>
      <c r="AG49" s="183">
        <f t="shared" si="5"/>
      </c>
      <c r="AH49" s="183">
        <f t="shared" si="233"/>
      </c>
      <c r="AI49" s="218">
        <f t="shared" si="48"/>
      </c>
      <c r="AJ49" s="219">
        <f>AVERAGE(AJ46:AJ48)</f>
      </c>
      <c r="AK49" s="214">
        <f>SUM(AK46:AK48)</f>
      </c>
      <c r="AL49" s="214">
        <f>SUM(AL46:AL48)</f>
      </c>
      <c r="AM49" s="214">
        <f>SUM(AM46:AM48)</f>
      </c>
      <c r="AN49" s="214">
        <f>SUM(AN46:AN48)</f>
      </c>
      <c r="AO49" s="214">
        <f>SUM(AO46:AO48)</f>
      </c>
      <c r="AP49" s="220">
        <f>SUM(AP46:AP48)</f>
      </c>
      <c r="AQ49" s="214">
        <f>SUM(AQ46:AQ48)</f>
      </c>
      <c r="AR49" s="214">
        <f>SUM(AR46:AR48)</f>
      </c>
      <c r="AS49" s="214">
        <f>SUM(AS46:AS48)</f>
      </c>
      <c r="AT49" s="214">
        <f>SUM(AT46:AT48)</f>
      </c>
      <c r="AU49" s="220">
        <f>SUM(AU46:AU48)</f>
      </c>
      <c r="AV49" s="207"/>
      <c r="AW49" s="180"/>
      <c r="AX49" s="214">
        <f>SUM(AX46:AX48)</f>
      </c>
    </row>
    <row customHeight="true" ht="16.071428571428573" r="50">
      <c r="A50" s="208"/>
      <c r="B50" s="196" t="s">
        <v>170</v>
      </c>
      <c r="C50" s="197" t="s">
        <v>157</v>
      </c>
      <c r="D50" s="196" t="s">
        <v>158</v>
      </c>
      <c r="E50" s="197" t="s">
        <v>164</v>
      </c>
      <c r="F50" s="198">
        <f t="shared" ref="F50:F51" si="168">G50+H50+I50</f>
      </c>
      <c r="G50" s="199">
        <v>341.47</v>
      </c>
      <c r="H50" s="199">
        <v>2781.28</v>
      </c>
      <c r="I50" s="200">
        <v>0</v>
      </c>
      <c r="J50" s="201">
        <v>2</v>
      </c>
      <c r="K50" s="201">
        <v>3931.63</v>
      </c>
      <c r="L50" s="201">
        <v>2</v>
      </c>
      <c r="M50" s="201">
        <v>9531.15</v>
      </c>
      <c r="N50" s="202">
        <v>2</v>
      </c>
      <c r="O50" s="203">
        <f t="shared" si="46"/>
      </c>
      <c r="P50" s="202">
        <v>3</v>
      </c>
      <c r="Q50" s="203">
        <f t="shared" si="236"/>
      </c>
      <c r="R50" s="193">
        <f t="shared" ref="R50:R51" si="58">L50+J50</f>
      </c>
      <c r="S50" s="209">
        <f t="shared" ref="S50:S51" si="112">M50+K50</f>
      </c>
      <c r="T50" s="199">
        <f t="shared" si="234"/>
      </c>
      <c r="U50" s="199">
        <f t="shared" si="2"/>
      </c>
      <c r="V50" s="204">
        <f t="shared" si="0"/>
      </c>
      <c r="W50" s="202">
        <v>3</v>
      </c>
      <c r="X50" s="204">
        <f t="shared" si="6"/>
      </c>
      <c r="Y50" s="204">
        <f t="shared" si="4"/>
      </c>
      <c r="Z50" s="198">
        <f t="shared" si="232"/>
      </c>
      <c r="AA50" s="199">
        <f t="shared" si="47"/>
      </c>
      <c r="AB50" s="199">
        <f t="shared" si="237"/>
      </c>
      <c r="AC50" s="203">
        <f t="shared" si="235"/>
      </c>
      <c r="AD50" s="203">
        <f t="shared" si="3"/>
      </c>
      <c r="AE50" s="203">
        <f t="shared" si="1"/>
      </c>
      <c r="AF50" s="203">
        <f t="shared" si="7"/>
      </c>
      <c r="AG50" s="203">
        <f t="shared" si="5"/>
      </c>
      <c r="AH50" s="203">
        <f t="shared" si="233"/>
      </c>
      <c r="AI50" s="210">
        <f t="shared" si="48"/>
      </c>
      <c r="AJ50" s="202">
        <v>91</v>
      </c>
      <c r="AK50" s="193">
        <v>10191</v>
      </c>
      <c r="AL50" s="193">
        <v>244</v>
      </c>
      <c r="AM50" s="193">
        <v>265</v>
      </c>
      <c r="AN50" s="193">
        <v>96</v>
      </c>
      <c r="AO50" s="196">
        <v>21</v>
      </c>
      <c r="AP50" s="211">
        <v>93</v>
      </c>
      <c r="AQ50" s="197">
        <v>86</v>
      </c>
      <c r="AR50" s="196">
        <v>4</v>
      </c>
      <c r="AS50" s="193">
        <v>6</v>
      </c>
      <c r="AT50" s="193">
        <v>0</v>
      </c>
      <c r="AU50" s="211">
        <v>16</v>
      </c>
      <c r="AV50" s="207"/>
      <c r="AW50" s="165"/>
      <c r="AX50" s="197">
        <f t="shared" ref="AX50:AX51" si="249">COUNT(AU50)</f>
      </c>
    </row>
    <row customHeight="true" ht="16.071428571428573" r="51">
      <c r="A51" s="208"/>
      <c r="B51" s="196" t="s">
        <v>170</v>
      </c>
      <c r="C51" s="197" t="s">
        <v>157</v>
      </c>
      <c r="D51" s="196" t="s">
        <v>158</v>
      </c>
      <c r="E51" s="197" t="s">
        <v>165</v>
      </c>
      <c r="F51" s="198">
        <f t="shared" si="168"/>
      </c>
      <c r="G51" s="221">
        <v>312.57</v>
      </c>
      <c r="H51" s="199">
        <v>5092.01</v>
      </c>
      <c r="I51" s="200">
        <v>0</v>
      </c>
      <c r="J51" s="201">
        <v>4</v>
      </c>
      <c r="K51" s="201">
        <v>4285.1</v>
      </c>
      <c r="L51" s="201">
        <v>5</v>
      </c>
      <c r="M51" s="201">
        <v>6607.47</v>
      </c>
      <c r="N51" s="202">
        <v>4</v>
      </c>
      <c r="O51" s="203">
        <f t="shared" si="46"/>
      </c>
      <c r="P51" s="193">
        <v>0</v>
      </c>
      <c r="Q51" s="203">
        <f t="shared" si="236"/>
      </c>
      <c r="R51" s="193">
        <f t="shared" si="58"/>
      </c>
      <c r="S51" s="209">
        <f t="shared" si="112"/>
      </c>
      <c r="T51" s="199">
        <f t="shared" si="234"/>
      </c>
      <c r="U51" s="199">
        <f t="shared" si="2"/>
      </c>
      <c r="V51" s="204">
        <f t="shared" si="0"/>
      </c>
      <c r="W51" s="202">
        <v>7</v>
      </c>
      <c r="X51" s="204">
        <f t="shared" si="6"/>
      </c>
      <c r="Y51" s="204">
        <f t="shared" si="4"/>
      </c>
      <c r="Z51" s="198">
        <f t="shared" si="232"/>
      </c>
      <c r="AA51" s="199">
        <f t="shared" si="47"/>
      </c>
      <c r="AB51" s="199">
        <f t="shared" si="237"/>
      </c>
      <c r="AC51" s="203">
        <f t="shared" si="235"/>
      </c>
      <c r="AD51" s="203">
        <f t="shared" si="3"/>
      </c>
      <c r="AE51" s="203">
        <f t="shared" si="1"/>
      </c>
      <c r="AF51" s="203">
        <f t="shared" si="7"/>
      </c>
      <c r="AG51" s="203">
        <f t="shared" si="5"/>
      </c>
      <c r="AH51" s="203">
        <f t="shared" si="233"/>
      </c>
      <c r="AI51" s="210">
        <f t="shared" si="48"/>
      </c>
      <c r="AJ51" s="202">
        <v>102</v>
      </c>
      <c r="AK51" s="193">
        <v>29798</v>
      </c>
      <c r="AL51" s="193">
        <v>414</v>
      </c>
      <c r="AM51" s="193">
        <v>449</v>
      </c>
      <c r="AN51" s="193">
        <v>136</v>
      </c>
      <c r="AO51" s="196">
        <v>36</v>
      </c>
      <c r="AP51" s="211">
        <v>189</v>
      </c>
      <c r="AQ51" s="197">
        <v>117</v>
      </c>
      <c r="AR51" s="196">
        <v>11</v>
      </c>
      <c r="AS51" s="193">
        <v>7</v>
      </c>
      <c r="AT51" s="193">
        <v>3</v>
      </c>
      <c r="AU51" s="211">
        <v>23</v>
      </c>
      <c r="AV51" s="207"/>
      <c r="AW51" s="165"/>
      <c r="AX51" s="197">
        <f t="shared" si="249"/>
      </c>
    </row>
    <row customHeight="true" ht="16.071428571428573" r="52">
      <c r="A52" s="208"/>
      <c r="B52" s="213" t="s">
        <v>162</v>
      </c>
      <c r="C52" s="213"/>
      <c r="D52" s="213"/>
      <c r="E52" s="213"/>
      <c r="F52" s="181">
        <f>SUM(F50:F51)</f>
      </c>
      <c r="G52" s="181">
        <f>SUM(G50:G51)</f>
      </c>
      <c r="H52" s="181">
        <f>SUM(H50:H51)</f>
      </c>
      <c r="I52" s="214">
        <f>SUM(I50:I51)</f>
      </c>
      <c r="J52" s="214">
        <f>SUM(J50:J51)</f>
      </c>
      <c r="K52" s="214">
        <f>SUM(K50:K51)</f>
      </c>
      <c r="L52" s="214">
        <f>SUM(L50:L51)</f>
      </c>
      <c r="M52" s="214">
        <f>SUM(M50:M51)</f>
      </c>
      <c r="N52" s="214">
        <f>SUM(N50:N51)</f>
      </c>
      <c r="O52" s="183">
        <f t="shared" si="46"/>
      </c>
      <c r="P52" s="214">
        <f>SUM(P50:P51)</f>
      </c>
      <c r="Q52" s="183">
        <f t="shared" si="236"/>
      </c>
      <c r="R52" s="214">
        <f>SUM(R50:R51)</f>
      </c>
      <c r="S52" s="215">
        <f>SUM(S50:S51)</f>
      </c>
      <c r="T52" s="182">
        <f t="shared" si="234"/>
      </c>
      <c r="U52" s="182">
        <f t="shared" si="2"/>
      </c>
      <c r="V52" s="216">
        <f t="shared" si="0"/>
      </c>
      <c r="W52" s="214">
        <f>SUM(W50:W51)</f>
      </c>
      <c r="X52" s="216">
        <f t="shared" si="6"/>
      </c>
      <c r="Y52" s="216">
        <f t="shared" si="4"/>
      </c>
      <c r="Z52" s="181">
        <f t="shared" si="232"/>
      </c>
      <c r="AA52" s="182">
        <f t="shared" si="47"/>
      </c>
      <c r="AB52" s="217">
        <f t="shared" si="237"/>
      </c>
      <c r="AC52" s="183">
        <f t="shared" si="235"/>
      </c>
      <c r="AD52" s="183">
        <f t="shared" si="3"/>
      </c>
      <c r="AE52" s="183">
        <f t="shared" si="1"/>
      </c>
      <c r="AF52" s="183">
        <f t="shared" si="7"/>
      </c>
      <c r="AG52" s="183">
        <f t="shared" si="5"/>
      </c>
      <c r="AH52" s="183">
        <f t="shared" si="233"/>
      </c>
      <c r="AI52" s="183">
        <f t="shared" si="48"/>
      </c>
      <c r="AJ52" s="219">
        <f>AVERAGE(AJ50:AJ51)</f>
      </c>
      <c r="AK52" s="214">
        <f>SUM(AK50:AK51)</f>
      </c>
      <c r="AL52" s="214">
        <f>SUM(AL50:AL51)</f>
      </c>
      <c r="AM52" s="214">
        <f>SUM(AM50:AM51)</f>
      </c>
      <c r="AN52" s="214">
        <f>SUM(AN50:AN51)</f>
      </c>
      <c r="AO52" s="214">
        <f>SUM(AO50:AO51)</f>
      </c>
      <c r="AP52" s="214">
        <f>SUM(AP50:AP51)</f>
      </c>
      <c r="AQ52" s="214">
        <f>SUM(AQ50:AQ51)</f>
      </c>
      <c r="AR52" s="214">
        <f>SUM(AR50:AR51)</f>
      </c>
      <c r="AS52" s="214">
        <f>SUM(AS50:AS51)</f>
      </c>
      <c r="AT52" s="214">
        <f>SUM(AT50:AT51)</f>
      </c>
      <c r="AU52" s="214">
        <f>SUM(AU50:AU51)</f>
      </c>
      <c r="AV52" s="207"/>
      <c r="AW52" s="180"/>
      <c r="AX52" s="214">
        <f>SUM(AX50:AX51)</f>
      </c>
    </row>
    <row customHeight="true" ht="16.071428571428573" r="53">
      <c r="A53" s="208"/>
      <c r="B53" s="222" t="s">
        <v>166</v>
      </c>
      <c r="C53" s="222"/>
      <c r="D53" s="222"/>
      <c r="E53" s="222"/>
      <c r="F53" s="223">
        <f>F49+F52</f>
      </c>
      <c r="G53" s="223">
        <f>G49+G52</f>
      </c>
      <c r="H53" s="223">
        <f>H49+H52</f>
      </c>
      <c r="I53" s="222">
        <f>I49+I52</f>
      </c>
      <c r="J53" s="222">
        <f>J49+J52</f>
      </c>
      <c r="K53" s="222">
        <f>K49+K52</f>
      </c>
      <c r="L53" s="222">
        <f>L49+L52</f>
      </c>
      <c r="M53" s="222">
        <f>M49+M52</f>
      </c>
      <c r="N53" s="222">
        <f>N49+N52</f>
      </c>
      <c r="O53" s="186">
        <f t="shared" si="46"/>
      </c>
      <c r="P53" s="222">
        <f>P49+P52</f>
      </c>
      <c r="Q53" s="224">
        <f t="shared" si="236"/>
      </c>
      <c r="R53" s="222">
        <f>R49+R52</f>
      </c>
      <c r="S53" s="225">
        <f>S49+S52</f>
      </c>
      <c r="T53" s="223">
        <f t="shared" si="234"/>
      </c>
      <c r="U53" s="223">
        <f t="shared" si="2"/>
      </c>
      <c r="V53" s="226">
        <f t="shared" si="0"/>
      </c>
      <c r="W53" s="222">
        <f>W49+W52</f>
      </c>
      <c r="X53" s="226">
        <f t="shared" si="6"/>
      </c>
      <c r="Y53" s="226">
        <f t="shared" si="4"/>
      </c>
      <c r="Z53" s="227">
        <f t="shared" si="232"/>
      </c>
      <c r="AA53" s="223">
        <f t="shared" si="47"/>
      </c>
      <c r="AB53" s="189">
        <f t="shared" si="237"/>
      </c>
      <c r="AC53" s="224">
        <f t="shared" si="235"/>
      </c>
      <c r="AD53" s="224">
        <f t="shared" si="3"/>
      </c>
      <c r="AE53" s="224">
        <f t="shared" si="1"/>
      </c>
      <c r="AF53" s="224">
        <f t="shared" si="7"/>
      </c>
      <c r="AG53" s="224">
        <f t="shared" si="5"/>
      </c>
      <c r="AH53" s="224">
        <f t="shared" si="233"/>
      </c>
      <c r="AI53" s="224">
        <f t="shared" si="48"/>
      </c>
      <c r="AJ53" s="228">
        <f>(AJ49+AJ52)/2</f>
      </c>
      <c r="AK53" s="222">
        <f>AK49+AK52</f>
      </c>
      <c r="AL53" s="229">
        <f>AL49+AL52</f>
      </c>
      <c r="AM53" s="229">
        <f>AM49+AM52</f>
      </c>
      <c r="AN53" s="229">
        <f>AN49+AN52</f>
      </c>
      <c r="AO53" s="229">
        <f>AO49+AO52</f>
      </c>
      <c r="AP53" s="229">
        <f>AP49+AP52</f>
      </c>
      <c r="AQ53" s="229">
        <f>AQ49+AQ52</f>
      </c>
      <c r="AR53" s="229">
        <f>AR49+AR52</f>
      </c>
      <c r="AS53" s="229">
        <f>AS49+AS52</f>
      </c>
      <c r="AT53" s="229">
        <f>AT49+AT52</f>
      </c>
      <c r="AU53" s="222">
        <f>AU49+AU52</f>
      </c>
      <c r="AV53" s="207"/>
      <c r="AW53" s="230">
        <f>AW49+AW52</f>
      </c>
      <c r="AX53" s="222">
        <f>AX49+AX52</f>
      </c>
    </row>
    <row customHeight="true" ht="16.071428571428573" r="54">
      <c r="A54" s="195">
        <v>46273</v>
      </c>
      <c r="B54" s="196" t="s">
        <v>170</v>
      </c>
      <c r="C54" s="197" t="s">
        <v>157</v>
      </c>
      <c r="D54" s="196" t="s">
        <v>158</v>
      </c>
      <c r="E54" s="197" t="s">
        <v>159</v>
      </c>
      <c r="F54" s="198">
        <f t="shared" ref="F54:F56" si="169">G54+H54+I54</f>
      </c>
      <c r="G54" s="199">
        <v>467.05</v>
      </c>
      <c r="H54" s="199">
        <v>6028.43</v>
      </c>
      <c r="I54" s="200">
        <v>0</v>
      </c>
      <c r="J54" s="201">
        <v>0</v>
      </c>
      <c r="K54" s="201">
        <v>0</v>
      </c>
      <c r="L54" s="201">
        <v>6</v>
      </c>
      <c r="M54" s="201">
        <v>28081.98</v>
      </c>
      <c r="N54" s="202">
        <v>2</v>
      </c>
      <c r="O54" s="203">
        <f t="shared" si="46"/>
      </c>
      <c r="P54" s="202">
        <v>2</v>
      </c>
      <c r="Q54" s="203">
        <f t="shared" si="236"/>
      </c>
      <c r="R54" s="193">
        <f t="shared" ref="R54:R56" si="59">L54+J54</f>
      </c>
      <c r="S54" s="199">
        <f t="shared" ref="S54:S56" si="113">M54+K54</f>
      </c>
      <c r="T54" s="199">
        <f t="shared" si="234"/>
      </c>
      <c r="U54" s="199">
        <f t="shared" si="2"/>
      </c>
      <c r="V54" s="193">
        <f t="shared" si="0"/>
      </c>
      <c r="W54" s="202">
        <v>4</v>
      </c>
      <c r="X54" s="204">
        <f t="shared" si="6"/>
      </c>
      <c r="Y54" s="204">
        <f t="shared" si="4"/>
      </c>
      <c r="Z54" s="198">
        <f t="shared" si="232"/>
      </c>
      <c r="AA54" s="199">
        <f t="shared" si="47"/>
      </c>
      <c r="AB54" s="199">
        <f t="shared" si="237"/>
      </c>
      <c r="AC54" s="203">
        <f t="shared" si="235"/>
      </c>
      <c r="AD54" s="203">
        <f t="shared" si="3"/>
      </c>
      <c r="AE54" s="203">
        <f t="shared" si="1"/>
      </c>
      <c r="AF54" s="203">
        <f t="shared" si="7"/>
      </c>
      <c r="AG54" s="203">
        <f t="shared" si="5"/>
      </c>
      <c r="AH54" s="203">
        <f t="shared" si="233"/>
      </c>
      <c r="AI54" s="205">
        <f t="shared" si="48"/>
      </c>
      <c r="AJ54" s="202">
        <v>81</v>
      </c>
      <c r="AK54" s="193">
        <v>35422</v>
      </c>
      <c r="AL54" s="193">
        <v>396</v>
      </c>
      <c r="AM54" s="193">
        <v>415</v>
      </c>
      <c r="AN54" s="193">
        <v>135</v>
      </c>
      <c r="AO54" s="196">
        <v>44</v>
      </c>
      <c r="AP54" s="206">
        <v>117</v>
      </c>
      <c r="AQ54" s="206">
        <v>115</v>
      </c>
      <c r="AR54" s="196">
        <v>7</v>
      </c>
      <c r="AS54" s="197">
        <v>10</v>
      </c>
      <c r="AT54" s="193">
        <v>2</v>
      </c>
      <c r="AU54" s="193">
        <v>20</v>
      </c>
      <c r="AV54" s="207"/>
      <c r="AW54" s="165"/>
      <c r="AX54" s="197">
        <f t="shared" ref="AX54:AX56" si="250">COUNT(AU54)</f>
      </c>
    </row>
    <row customHeight="true" ht="16.071428571428573" r="55">
      <c r="A55" s="195"/>
      <c r="B55" s="196" t="s">
        <v>170</v>
      </c>
      <c r="C55" s="197" t="s">
        <v>157</v>
      </c>
      <c r="D55" s="196" t="s">
        <v>158</v>
      </c>
      <c r="E55" s="197" t="s">
        <v>160</v>
      </c>
      <c r="F55" s="198">
        <f t="shared" si="169"/>
      </c>
      <c r="G55" s="221">
        <v>1056.72</v>
      </c>
      <c r="H55" s="221">
        <v>5045.03</v>
      </c>
      <c r="I55" s="200">
        <v>0</v>
      </c>
      <c r="J55" s="201">
        <v>0</v>
      </c>
      <c r="K55" s="201">
        <v>0</v>
      </c>
      <c r="L55" s="201">
        <v>4</v>
      </c>
      <c r="M55" s="201">
        <v>11435.55</v>
      </c>
      <c r="N55" s="202">
        <v>1</v>
      </c>
      <c r="O55" s="203">
        <f t="shared" si="46"/>
      </c>
      <c r="P55" s="193">
        <v>0</v>
      </c>
      <c r="Q55" s="203">
        <f t="shared" si="236"/>
      </c>
      <c r="R55" s="193">
        <f t="shared" si="59"/>
      </c>
      <c r="S55" s="209">
        <f t="shared" si="113"/>
      </c>
      <c r="T55" s="199">
        <f t="shared" si="234"/>
      </c>
      <c r="U55" s="199">
        <f t="shared" si="2"/>
      </c>
      <c r="V55" s="193">
        <f t="shared" si="0"/>
      </c>
      <c r="W55" s="202">
        <v>2</v>
      </c>
      <c r="X55" s="204">
        <f t="shared" si="6"/>
      </c>
      <c r="Y55" s="204">
        <f t="shared" si="4"/>
      </c>
      <c r="Z55" s="198">
        <f t="shared" si="232"/>
      </c>
      <c r="AA55" s="199">
        <f t="shared" si="47"/>
      </c>
      <c r="AB55" s="199">
        <f t="shared" si="237"/>
      </c>
      <c r="AC55" s="203">
        <f t="shared" si="235"/>
      </c>
      <c r="AD55" s="203">
        <f t="shared" si="3"/>
      </c>
      <c r="AE55" s="203">
        <f t="shared" si="1"/>
      </c>
      <c r="AF55" s="203">
        <f t="shared" si="7"/>
      </c>
      <c r="AG55" s="203">
        <f t="shared" si="5"/>
      </c>
      <c r="AH55" s="210">
        <f t="shared" si="233"/>
      </c>
      <c r="AI55" s="210">
        <f t="shared" si="48"/>
      </c>
      <c r="AJ55" s="202">
        <v>78</v>
      </c>
      <c r="AK55" s="193">
        <v>39513</v>
      </c>
      <c r="AL55" s="193">
        <v>584</v>
      </c>
      <c r="AM55" s="193">
        <v>650</v>
      </c>
      <c r="AN55" s="193">
        <v>125</v>
      </c>
      <c r="AO55" s="196">
        <v>22</v>
      </c>
      <c r="AP55" s="211">
        <v>91</v>
      </c>
      <c r="AQ55" s="197">
        <v>109</v>
      </c>
      <c r="AR55" s="196">
        <v>5</v>
      </c>
      <c r="AS55" s="193">
        <v>8</v>
      </c>
      <c r="AT55" s="193">
        <v>1</v>
      </c>
      <c r="AU55" s="211">
        <v>28</v>
      </c>
      <c r="AV55" s="207"/>
      <c r="AW55" s="165"/>
      <c r="AX55" s="197">
        <f t="shared" si="250"/>
      </c>
    </row>
    <row customHeight="true" ht="16.071428571428573" r="56">
      <c r="A56" s="195"/>
      <c r="B56" s="196" t="s">
        <v>170</v>
      </c>
      <c r="C56" s="197" t="s">
        <v>157</v>
      </c>
      <c r="D56" s="196" t="s">
        <v>158</v>
      </c>
      <c r="E56" s="197" t="s">
        <v>161</v>
      </c>
      <c r="F56" s="198">
        <f t="shared" si="169"/>
      </c>
      <c r="G56" s="221">
        <v>949.24</v>
      </c>
      <c r="H56" s="221">
        <v>5995.8</v>
      </c>
      <c r="I56" s="200">
        <v>0</v>
      </c>
      <c r="J56" s="201">
        <v>3</v>
      </c>
      <c r="K56" s="201">
        <v>6482.23</v>
      </c>
      <c r="L56" s="201">
        <v>5</v>
      </c>
      <c r="M56" s="201">
        <v>10617.05</v>
      </c>
      <c r="N56" s="202">
        <v>2</v>
      </c>
      <c r="O56" s="203">
        <f t="shared" si="46"/>
      </c>
      <c r="P56" s="193">
        <v>0</v>
      </c>
      <c r="Q56" s="203">
        <f t="shared" si="236"/>
      </c>
      <c r="R56" s="193">
        <f t="shared" si="59"/>
      </c>
      <c r="S56" s="209">
        <f t="shared" si="113"/>
      </c>
      <c r="T56" s="199">
        <f t="shared" si="234"/>
      </c>
      <c r="U56" s="199">
        <f t="shared" si="2"/>
      </c>
      <c r="V56" s="204">
        <f t="shared" si="0"/>
      </c>
      <c r="W56" s="202">
        <v>4</v>
      </c>
      <c r="X56" s="204">
        <f t="shared" si="6"/>
      </c>
      <c r="Y56" s="204">
        <f t="shared" si="4"/>
      </c>
      <c r="Z56" s="198">
        <f t="shared" si="232"/>
      </c>
      <c r="AA56" s="199">
        <f t="shared" si="47"/>
      </c>
      <c r="AB56" s="199">
        <f t="shared" si="237"/>
      </c>
      <c r="AC56" s="203">
        <f t="shared" si="235"/>
      </c>
      <c r="AD56" s="203">
        <f t="shared" si="3"/>
      </c>
      <c r="AE56" s="203">
        <f t="shared" si="1"/>
      </c>
      <c r="AF56" s="203">
        <f t="shared" si="7"/>
      </c>
      <c r="AG56" s="203">
        <f t="shared" si="5"/>
      </c>
      <c r="AH56" s="203">
        <f t="shared" si="233"/>
      </c>
      <c r="AI56" s="212">
        <f t="shared" si="48"/>
      </c>
      <c r="AJ56" s="202">
        <v>77</v>
      </c>
      <c r="AK56" s="193">
        <v>35008</v>
      </c>
      <c r="AL56" s="193">
        <v>754</v>
      </c>
      <c r="AM56" s="193">
        <v>870</v>
      </c>
      <c r="AN56" s="193">
        <v>158</v>
      </c>
      <c r="AO56" s="196">
        <v>45</v>
      </c>
      <c r="AP56" s="211">
        <v>150</v>
      </c>
      <c r="AQ56" s="197">
        <v>142</v>
      </c>
      <c r="AR56" s="196">
        <v>8</v>
      </c>
      <c r="AS56" s="193">
        <v>11</v>
      </c>
      <c r="AT56" s="193">
        <v>0</v>
      </c>
      <c r="AU56" s="211">
        <v>35</v>
      </c>
      <c r="AV56" s="207"/>
      <c r="AW56" s="165"/>
      <c r="AX56" s="197">
        <f t="shared" si="250"/>
      </c>
    </row>
    <row customHeight="true" ht="16.071428571428573" r="57">
      <c r="A57" s="195"/>
      <c r="B57" s="213" t="s">
        <v>162</v>
      </c>
      <c r="C57" s="213"/>
      <c r="D57" s="213"/>
      <c r="E57" s="213"/>
      <c r="F57" s="181">
        <f>SUM(F54:F56)</f>
      </c>
      <c r="G57" s="182">
        <f>SUM(G54:G56)</f>
      </c>
      <c r="H57" s="182">
        <f>SUM(H54:H56)</f>
      </c>
      <c r="I57" s="214">
        <f>SUM(I54:I56)</f>
      </c>
      <c r="J57" s="214">
        <f>SUM(J54:J56)</f>
      </c>
      <c r="K57" s="214">
        <f>SUM(K54:K56)</f>
      </c>
      <c r="L57" s="214">
        <f>SUM(L54:L56)</f>
      </c>
      <c r="M57" s="214">
        <f>SUM(M54:M56)</f>
      </c>
      <c r="N57" s="214">
        <f>SUM(N54:N56)</f>
      </c>
      <c r="O57" s="183">
        <f t="shared" si="46"/>
      </c>
      <c r="P57" s="214">
        <f>SUM(P54:P56)</f>
      </c>
      <c r="Q57" s="183">
        <f t="shared" si="236"/>
      </c>
      <c r="R57" s="214">
        <f>SUM(R54:R56)</f>
      </c>
      <c r="S57" s="215">
        <f>SUM(S54:S56)</f>
      </c>
      <c r="T57" s="182">
        <f t="shared" si="234"/>
      </c>
      <c r="U57" s="182">
        <f t="shared" si="2"/>
      </c>
      <c r="V57" s="182">
        <f t="shared" si="0"/>
      </c>
      <c r="W57" s="214">
        <f>SUM(W54:W56)</f>
      </c>
      <c r="X57" s="216">
        <f t="shared" si="6"/>
      </c>
      <c r="Y57" s="216">
        <f t="shared" si="4"/>
      </c>
      <c r="Z57" s="181">
        <f t="shared" si="232"/>
      </c>
      <c r="AA57" s="182">
        <f t="shared" si="47"/>
      </c>
      <c r="AB57" s="217">
        <f t="shared" si="237"/>
      </c>
      <c r="AC57" s="183">
        <f t="shared" si="235"/>
      </c>
      <c r="AD57" s="183">
        <f t="shared" si="3"/>
      </c>
      <c r="AE57" s="183">
        <f t="shared" si="1"/>
      </c>
      <c r="AF57" s="183">
        <f t="shared" si="7"/>
      </c>
      <c r="AG57" s="183">
        <f t="shared" si="5"/>
      </c>
      <c r="AH57" s="183">
        <f t="shared" si="233"/>
      </c>
      <c r="AI57" s="218">
        <f t="shared" si="48"/>
      </c>
      <c r="AJ57" s="219">
        <f>AVERAGE(AJ54:AJ56)</f>
      </c>
      <c r="AK57" s="214">
        <f>SUM(AK54:AK56)</f>
      </c>
      <c r="AL57" s="214">
        <f>SUM(AL54:AL56)</f>
      </c>
      <c r="AM57" s="214">
        <f>SUM(AM54:AM56)</f>
      </c>
      <c r="AN57" s="214">
        <f>SUM(AN54:AN56)</f>
      </c>
      <c r="AO57" s="214">
        <f>SUM(AO54:AO56)</f>
      </c>
      <c r="AP57" s="220">
        <f>SUM(AP54:AP56)</f>
      </c>
      <c r="AQ57" s="214">
        <f>SUM(AQ54:AQ56)</f>
      </c>
      <c r="AR57" s="214">
        <f>SUM(AR54:AR56)</f>
      </c>
      <c r="AS57" s="214">
        <f>SUM(AS54:AS56)</f>
      </c>
      <c r="AT57" s="214">
        <f>SUM(AT54:AT56)</f>
      </c>
      <c r="AU57" s="220">
        <f>SUM(AU54:AU56)</f>
      </c>
      <c r="AV57" s="207"/>
      <c r="AW57" s="180"/>
      <c r="AX57" s="214">
        <f>SUM(AX54:AX56)</f>
      </c>
    </row>
    <row customHeight="true" ht="16.071428571428573" r="58">
      <c r="A58" s="195"/>
      <c r="B58" s="196" t="s">
        <v>170</v>
      </c>
      <c r="C58" s="197" t="s">
        <v>157</v>
      </c>
      <c r="D58" s="196" t="s">
        <v>163</v>
      </c>
      <c r="E58" s="197" t="s">
        <v>164</v>
      </c>
      <c r="F58" s="198">
        <f t="shared" ref="F58:F59" si="170">G58+H58+I58</f>
      </c>
      <c r="G58" s="221">
        <v>1057.39</v>
      </c>
      <c r="H58" s="221">
        <v>2502.43</v>
      </c>
      <c r="I58" s="200">
        <v>0</v>
      </c>
      <c r="J58" s="201">
        <v>1</v>
      </c>
      <c r="K58" s="201">
        <v>2268</v>
      </c>
      <c r="L58" s="201">
        <v>1</v>
      </c>
      <c r="M58" s="201">
        <v>2033.95</v>
      </c>
      <c r="N58" s="202">
        <v>0</v>
      </c>
      <c r="O58" s="203">
        <f t="shared" si="46"/>
      </c>
      <c r="P58" s="193">
        <v>0</v>
      </c>
      <c r="Q58" s="203">
        <f t="shared" si="236"/>
      </c>
      <c r="R58" s="193">
        <f t="shared" ref="R58:R59" si="60">L58+J58</f>
      </c>
      <c r="S58" s="209">
        <f t="shared" ref="S58:S59" si="114">M58+K58</f>
      </c>
      <c r="T58" s="199">
        <f t="shared" si="234"/>
      </c>
      <c r="U58" s="199">
        <f t="shared" si="2"/>
      </c>
      <c r="V58" s="204">
        <f t="shared" si="0"/>
      </c>
      <c r="W58" s="202">
        <v>1</v>
      </c>
      <c r="X58" s="204">
        <f t="shared" si="6"/>
      </c>
      <c r="Y58" s="204">
        <f t="shared" si="4"/>
      </c>
      <c r="Z58" s="198">
        <f t="shared" si="232"/>
      </c>
      <c r="AA58" s="199">
        <f t="shared" si="47"/>
      </c>
      <c r="AB58" s="199">
        <f t="shared" si="237"/>
      </c>
      <c r="AC58" s="203">
        <f t="shared" si="235"/>
      </c>
      <c r="AD58" s="203">
        <f t="shared" si="3"/>
      </c>
      <c r="AE58" s="203">
        <f t="shared" si="1"/>
      </c>
      <c r="AF58" s="203">
        <f t="shared" si="7"/>
      </c>
      <c r="AG58" s="203">
        <f t="shared" si="5"/>
      </c>
      <c r="AH58" s="203">
        <f t="shared" si="233"/>
      </c>
      <c r="AI58" s="210">
        <f t="shared" si="48"/>
      </c>
      <c r="AJ58" s="202">
        <v>81</v>
      </c>
      <c r="AK58" s="193">
        <v>21558</v>
      </c>
      <c r="AL58" s="193">
        <v>508</v>
      </c>
      <c r="AM58" s="193">
        <v>586</v>
      </c>
      <c r="AN58" s="193">
        <v>98</v>
      </c>
      <c r="AO58" s="196">
        <v>21</v>
      </c>
      <c r="AP58" s="211">
        <v>90</v>
      </c>
      <c r="AQ58" s="197">
        <v>87</v>
      </c>
      <c r="AR58" s="196">
        <v>4</v>
      </c>
      <c r="AS58" s="193">
        <v>10</v>
      </c>
      <c r="AT58" s="193">
        <v>1</v>
      </c>
      <c r="AU58" s="211">
        <v>9</v>
      </c>
      <c r="AV58" s="207"/>
      <c r="AW58" s="165"/>
      <c r="AX58" s="197">
        <f t="shared" ref="AX58:AX59" si="251">COUNT(AU58)</f>
      </c>
    </row>
    <row customHeight="true" ht="16.071428571428573" r="59">
      <c r="A59" s="195"/>
      <c r="B59" s="196" t="s">
        <v>170</v>
      </c>
      <c r="C59" s="197" t="s">
        <v>157</v>
      </c>
      <c r="D59" s="196" t="s">
        <v>163</v>
      </c>
      <c r="E59" s="197" t="s">
        <v>165</v>
      </c>
      <c r="F59" s="198">
        <f t="shared" si="170"/>
      </c>
      <c r="G59" s="221">
        <v>1732.69</v>
      </c>
      <c r="H59" s="221">
        <v>1377.41</v>
      </c>
      <c r="I59" s="200">
        <v>0</v>
      </c>
      <c r="J59" s="201">
        <v>1</v>
      </c>
      <c r="K59" s="201">
        <v>936.7</v>
      </c>
      <c r="L59" s="201">
        <v>2</v>
      </c>
      <c r="M59" s="201">
        <v>8439.1</v>
      </c>
      <c r="N59" s="202">
        <v>0</v>
      </c>
      <c r="O59" s="203">
        <f t="shared" si="46"/>
      </c>
      <c r="P59" s="193">
        <v>0</v>
      </c>
      <c r="Q59" s="203">
        <f t="shared" si="236"/>
      </c>
      <c r="R59" s="193">
        <f t="shared" si="60"/>
      </c>
      <c r="S59" s="209">
        <f t="shared" si="114"/>
      </c>
      <c r="T59" s="199">
        <f t="shared" si="234"/>
      </c>
      <c r="U59" s="199">
        <f t="shared" si="2"/>
      </c>
      <c r="V59" s="204">
        <f t="shared" si="0"/>
      </c>
      <c r="W59" s="202">
        <v>3</v>
      </c>
      <c r="X59" s="204">
        <f t="shared" si="6"/>
      </c>
      <c r="Y59" s="204">
        <f t="shared" si="4"/>
      </c>
      <c r="Z59" s="198">
        <f t="shared" si="232"/>
      </c>
      <c r="AA59" s="199">
        <f t="shared" si="47"/>
      </c>
      <c r="AB59" s="199">
        <f t="shared" si="237"/>
      </c>
      <c r="AC59" s="203">
        <f t="shared" si="235"/>
      </c>
      <c r="AD59" s="203">
        <f t="shared" si="3"/>
      </c>
      <c r="AE59" s="203">
        <f t="shared" si="1"/>
      </c>
      <c r="AF59" s="203">
        <f t="shared" si="7"/>
      </c>
      <c r="AG59" s="203">
        <f t="shared" si="5"/>
      </c>
      <c r="AH59" s="203">
        <f t="shared" si="233"/>
      </c>
      <c r="AI59" s="210">
        <f t="shared" si="48"/>
      </c>
      <c r="AJ59" s="202">
        <v>75</v>
      </c>
      <c r="AK59" s="193">
        <v>14200</v>
      </c>
      <c r="AL59" s="193">
        <v>506</v>
      </c>
      <c r="AM59" s="193">
        <v>569</v>
      </c>
      <c r="AN59" s="202">
        <v>92</v>
      </c>
      <c r="AO59" s="196">
        <v>26</v>
      </c>
      <c r="AP59" s="211">
        <v>91</v>
      </c>
      <c r="AQ59" s="197">
        <v>74</v>
      </c>
      <c r="AR59" s="196">
        <v>4</v>
      </c>
      <c r="AS59" s="193">
        <v>8</v>
      </c>
      <c r="AT59" s="193">
        <v>1</v>
      </c>
      <c r="AU59" s="211">
        <v>9</v>
      </c>
      <c r="AV59" s="207"/>
      <c r="AW59" s="165"/>
      <c r="AX59" s="197">
        <f t="shared" si="251"/>
      </c>
    </row>
    <row customHeight="true" ht="16.071428571428573" r="60">
      <c r="A60" s="195"/>
      <c r="B60" s="213" t="s">
        <v>162</v>
      </c>
      <c r="C60" s="213"/>
      <c r="D60" s="213"/>
      <c r="E60" s="213"/>
      <c r="F60" s="181">
        <f>SUM(F58:F59)</f>
      </c>
      <c r="G60" s="181">
        <f>SUM(G58:G59)</f>
      </c>
      <c r="H60" s="181">
        <f>SUM(H58:H59)</f>
      </c>
      <c r="I60" s="214">
        <f>SUM(I58:I59)</f>
      </c>
      <c r="J60" s="214">
        <f>SUM(J58:J59)</f>
      </c>
      <c r="K60" s="214">
        <f>SUM(K58:K59)</f>
      </c>
      <c r="L60" s="214">
        <f>SUM(L58:L59)</f>
      </c>
      <c r="M60" s="214">
        <f>SUM(M58:M59)</f>
      </c>
      <c r="N60" s="214">
        <f>SUM(N58:N59)</f>
      </c>
      <c r="O60" s="183">
        <f t="shared" si="46"/>
      </c>
      <c r="P60" s="214">
        <f>SUM(P58:P59)</f>
      </c>
      <c r="Q60" s="183">
        <f t="shared" si="236"/>
      </c>
      <c r="R60" s="214">
        <f>SUM(R58:R59)</f>
      </c>
      <c r="S60" s="215">
        <f>SUM(S58:S59)</f>
      </c>
      <c r="T60" s="182">
        <f t="shared" si="234"/>
      </c>
      <c r="U60" s="182">
        <f t="shared" si="2"/>
      </c>
      <c r="V60" s="216">
        <f t="shared" si="0"/>
      </c>
      <c r="W60" s="214">
        <f>SUM(W58:W59)</f>
      </c>
      <c r="X60" s="216">
        <f t="shared" si="6"/>
      </c>
      <c r="Y60" s="216">
        <f t="shared" si="4"/>
      </c>
      <c r="Z60" s="181">
        <f t="shared" si="232"/>
      </c>
      <c r="AA60" s="182">
        <f t="shared" si="47"/>
      </c>
      <c r="AB60" s="217">
        <f t="shared" si="237"/>
      </c>
      <c r="AC60" s="183">
        <f t="shared" si="235"/>
      </c>
      <c r="AD60" s="183">
        <f t="shared" si="3"/>
      </c>
      <c r="AE60" s="183">
        <f t="shared" si="1"/>
      </c>
      <c r="AF60" s="183">
        <f t="shared" si="7"/>
      </c>
      <c r="AG60" s="183">
        <f t="shared" si="5"/>
      </c>
      <c r="AH60" s="183">
        <f t="shared" si="233"/>
      </c>
      <c r="AI60" s="183">
        <f t="shared" si="48"/>
      </c>
      <c r="AJ60" s="219">
        <f>AVERAGE(AJ58:AJ59)</f>
      </c>
      <c r="AK60" s="214">
        <f>SUM(AK58:AK59)</f>
      </c>
      <c r="AL60" s="214">
        <f>SUM(AL58:AL59)</f>
      </c>
      <c r="AM60" s="214">
        <f>SUM(AM58:AM59)</f>
      </c>
      <c r="AN60" s="214">
        <f>SUM(AN58:AN59)</f>
      </c>
      <c r="AO60" s="214">
        <f>SUM(AO58:AO59)</f>
      </c>
      <c r="AP60" s="214">
        <f>SUM(AP58:AP59)</f>
      </c>
      <c r="AQ60" s="214">
        <f>SUM(AQ58:AQ59)</f>
      </c>
      <c r="AR60" s="214">
        <f>SUM(AR58:AR59)</f>
      </c>
      <c r="AS60" s="214">
        <f>SUM(AS58:AS59)</f>
      </c>
      <c r="AT60" s="214">
        <f>SUM(AT58:AT59)</f>
      </c>
      <c r="AU60" s="214">
        <f>SUM(AU58:AU59)</f>
      </c>
      <c r="AV60" s="207"/>
      <c r="AW60" s="180"/>
      <c r="AX60" s="214">
        <f>SUM(AX58:AX59)</f>
      </c>
    </row>
    <row customHeight="true" ht="16.071428571428573" r="61">
      <c r="A61" s="195"/>
      <c r="B61" s="222" t="s">
        <v>166</v>
      </c>
      <c r="C61" s="222"/>
      <c r="D61" s="222"/>
      <c r="E61" s="222"/>
      <c r="F61" s="223">
        <f>F57+F60</f>
      </c>
      <c r="G61" s="223">
        <f>G57+G60</f>
      </c>
      <c r="H61" s="223">
        <f>H57+H60</f>
      </c>
      <c r="I61" s="222">
        <f>I57+I60</f>
      </c>
      <c r="J61" s="222">
        <f>J57+J60</f>
      </c>
      <c r="K61" s="222">
        <f>K57+K60</f>
      </c>
      <c r="L61" s="222">
        <f>L57+L60</f>
      </c>
      <c r="M61" s="222">
        <f>M57+M60</f>
      </c>
      <c r="N61" s="222">
        <f>N57+N60</f>
      </c>
      <c r="O61" s="186">
        <f t="shared" si="46"/>
      </c>
      <c r="P61" s="222">
        <f>P57+P60</f>
      </c>
      <c r="Q61" s="224">
        <f t="shared" si="236"/>
      </c>
      <c r="R61" s="222">
        <f>R57+R60</f>
      </c>
      <c r="S61" s="225">
        <f>S57+S60</f>
      </c>
      <c r="T61" s="223">
        <f t="shared" si="234"/>
      </c>
      <c r="U61" s="223">
        <f t="shared" si="2"/>
      </c>
      <c r="V61" s="226">
        <f t="shared" si="0"/>
      </c>
      <c r="W61" s="222">
        <f>W57+W60</f>
      </c>
      <c r="X61" s="226">
        <f t="shared" si="6"/>
      </c>
      <c r="Y61" s="226">
        <f t="shared" si="4"/>
      </c>
      <c r="Z61" s="227">
        <f t="shared" si="232"/>
      </c>
      <c r="AA61" s="223">
        <f t="shared" si="47"/>
      </c>
      <c r="AB61" s="189">
        <f t="shared" si="237"/>
      </c>
      <c r="AC61" s="224">
        <f t="shared" si="235"/>
      </c>
      <c r="AD61" s="224">
        <f t="shared" si="3"/>
      </c>
      <c r="AE61" s="224">
        <f t="shared" si="1"/>
      </c>
      <c r="AF61" s="224">
        <f t="shared" si="7"/>
      </c>
      <c r="AG61" s="224">
        <f t="shared" si="5"/>
      </c>
      <c r="AH61" s="224">
        <f t="shared" si="233"/>
      </c>
      <c r="AI61" s="224">
        <f t="shared" si="48"/>
      </c>
      <c r="AJ61" s="228">
        <f>(AJ57+AJ60)/2</f>
      </c>
      <c r="AK61" s="222">
        <f>AK57+AK60</f>
      </c>
      <c r="AL61" s="229">
        <f>AL57+AL60</f>
      </c>
      <c r="AM61" s="229">
        <f>AM57+AM60</f>
      </c>
      <c r="AN61" s="229">
        <f>AN57+AN60</f>
      </c>
      <c r="AO61" s="229">
        <f>AO57+AO60</f>
      </c>
      <c r="AP61" s="229">
        <f>AP57+AP60</f>
      </c>
      <c r="AQ61" s="229">
        <f>AQ57+AQ60</f>
      </c>
      <c r="AR61" s="229">
        <f>AR57+AR60</f>
      </c>
      <c r="AS61" s="229">
        <f>AS57+AS60</f>
      </c>
      <c r="AT61" s="229">
        <f>AT57+AT60</f>
      </c>
      <c r="AU61" s="222">
        <f>AU57+AU60</f>
      </c>
      <c r="AV61" s="207"/>
      <c r="AW61" s="230">
        <f>AW57+AW60</f>
      </c>
      <c r="AX61" s="222">
        <f>AX57+AX60</f>
      </c>
    </row>
    <row customHeight="true" ht="16.071428571428573" r="62">
      <c r="A62" s="195">
        <v>46274</v>
      </c>
      <c r="B62" s="197" t="s">
        <v>170</v>
      </c>
      <c r="C62" s="197" t="s">
        <v>157</v>
      </c>
      <c r="D62" s="197" t="s">
        <v>163</v>
      </c>
      <c r="E62" s="197" t="s">
        <v>159</v>
      </c>
      <c r="F62" s="198">
        <f t="shared" ref="F62:F64" si="171">G62+H62+I62</f>
      </c>
      <c r="G62" s="221">
        <v>1284.04</v>
      </c>
      <c r="H62" s="221">
        <v>2817.45</v>
      </c>
      <c r="I62" s="200">
        <v>0</v>
      </c>
      <c r="J62" s="201">
        <v>1</v>
      </c>
      <c r="K62" s="201">
        <v>803.7</v>
      </c>
      <c r="L62" s="201">
        <v>2</v>
      </c>
      <c r="M62" s="201">
        <v>3112.56</v>
      </c>
      <c r="N62" s="202">
        <v>1</v>
      </c>
      <c r="O62" s="203">
        <f t="shared" si="46"/>
      </c>
      <c r="P62" s="202">
        <v>0</v>
      </c>
      <c r="Q62" s="203">
        <f t="shared" si="236"/>
      </c>
      <c r="R62" s="193">
        <f t="shared" ref="R62:R64" si="61">L62+J62</f>
      </c>
      <c r="S62" s="209">
        <f t="shared" ref="S62:S64" si="115">M62+K62</f>
      </c>
      <c r="T62" s="199">
        <f t="shared" si="234"/>
      </c>
      <c r="U62" s="199">
        <f t="shared" si="2"/>
      </c>
      <c r="V62" s="193">
        <f t="shared" si="0"/>
      </c>
      <c r="W62" s="202">
        <v>3</v>
      </c>
      <c r="X62" s="204">
        <f t="shared" si="6"/>
      </c>
      <c r="Y62" s="204">
        <f t="shared" si="4"/>
      </c>
      <c r="Z62" s="198">
        <f t="shared" si="232"/>
      </c>
      <c r="AA62" s="199">
        <f t="shared" si="47"/>
      </c>
      <c r="AB62" s="199">
        <f t="shared" si="237"/>
      </c>
      <c r="AC62" s="203">
        <f t="shared" si="235"/>
      </c>
      <c r="AD62" s="203">
        <f t="shared" si="3"/>
      </c>
      <c r="AE62" s="203">
        <f t="shared" si="1"/>
      </c>
      <c r="AF62" s="203">
        <f t="shared" si="7"/>
      </c>
      <c r="AG62" s="203">
        <f t="shared" si="5"/>
      </c>
      <c r="AH62" s="203">
        <f t="shared" si="233"/>
      </c>
      <c r="AI62" s="205">
        <f t="shared" si="48"/>
      </c>
      <c r="AJ62" s="202">
        <v>68</v>
      </c>
      <c r="AK62" s="193">
        <v>16582</v>
      </c>
      <c r="AL62" s="193">
        <v>411</v>
      </c>
      <c r="AM62" s="193">
        <v>479</v>
      </c>
      <c r="AN62" s="193">
        <v>75</v>
      </c>
      <c r="AO62" s="196">
        <v>25</v>
      </c>
      <c r="AP62" s="206">
        <v>70</v>
      </c>
      <c r="AQ62" s="206">
        <v>81</v>
      </c>
      <c r="AR62" s="196">
        <v>4</v>
      </c>
      <c r="AS62" s="197">
        <v>6</v>
      </c>
      <c r="AT62" s="193">
        <v>3</v>
      </c>
      <c r="AU62" s="193">
        <v>5</v>
      </c>
      <c r="AV62" s="207"/>
      <c r="AW62" s="165"/>
      <c r="AX62" s="197">
        <f t="shared" ref="AX62:AX64" si="252">COUNT(AU62)</f>
      </c>
    </row>
    <row customHeight="true" ht="16.071428571428573" r="63">
      <c r="A63" s="208"/>
      <c r="B63" s="197" t="s">
        <v>170</v>
      </c>
      <c r="C63" s="197" t="s">
        <v>157</v>
      </c>
      <c r="D63" s="197" t="s">
        <v>163</v>
      </c>
      <c r="E63" s="197" t="s">
        <v>160</v>
      </c>
      <c r="F63" s="198">
        <f t="shared" si="171"/>
      </c>
      <c r="G63" s="221">
        <v>1275.83</v>
      </c>
      <c r="H63" s="221">
        <v>2351.73</v>
      </c>
      <c r="I63" s="200">
        <v>0</v>
      </c>
      <c r="J63" s="201">
        <v>1</v>
      </c>
      <c r="K63" s="201">
        <v>2669.5</v>
      </c>
      <c r="L63" s="201">
        <v>1</v>
      </c>
      <c r="M63" s="201">
        <v>2441.03</v>
      </c>
      <c r="N63" s="202">
        <v>1</v>
      </c>
      <c r="O63" s="203">
        <f t="shared" si="46"/>
      </c>
      <c r="P63" s="202">
        <v>0</v>
      </c>
      <c r="Q63" s="203">
        <f t="shared" si="236"/>
      </c>
      <c r="R63" s="193">
        <f t="shared" si="61"/>
      </c>
      <c r="S63" s="209">
        <f t="shared" si="115"/>
      </c>
      <c r="T63" s="199">
        <f t="shared" si="234"/>
      </c>
      <c r="U63" s="199">
        <f t="shared" si="2"/>
      </c>
      <c r="V63" s="193">
        <f t="shared" si="0"/>
      </c>
      <c r="W63" s="202">
        <v>2</v>
      </c>
      <c r="X63" s="204">
        <f t="shared" si="6"/>
      </c>
      <c r="Y63" s="204">
        <f t="shared" si="4"/>
      </c>
      <c r="Z63" s="198">
        <f t="shared" si="232"/>
      </c>
      <c r="AA63" s="199">
        <f t="shared" si="47"/>
      </c>
      <c r="AB63" s="199">
        <f t="shared" si="237"/>
      </c>
      <c r="AC63" s="203">
        <f t="shared" si="235"/>
      </c>
      <c r="AD63" s="203">
        <f t="shared" si="3"/>
      </c>
      <c r="AE63" s="203">
        <f t="shared" si="1"/>
      </c>
      <c r="AF63" s="203">
        <f t="shared" si="7"/>
      </c>
      <c r="AG63" s="203">
        <f t="shared" si="5"/>
      </c>
      <c r="AH63" s="210">
        <f t="shared" si="233"/>
      </c>
      <c r="AI63" s="210">
        <f t="shared" si="48"/>
      </c>
      <c r="AJ63" s="202">
        <v>72</v>
      </c>
      <c r="AK63" s="193">
        <v>17884</v>
      </c>
      <c r="AL63" s="193">
        <v>462</v>
      </c>
      <c r="AM63" s="193">
        <v>507</v>
      </c>
      <c r="AN63" s="193">
        <v>94</v>
      </c>
      <c r="AO63" s="196">
        <v>23</v>
      </c>
      <c r="AP63" s="211">
        <v>68</v>
      </c>
      <c r="AQ63" s="197">
        <v>91</v>
      </c>
      <c r="AR63" s="196">
        <v>4</v>
      </c>
      <c r="AS63" s="193">
        <v>7</v>
      </c>
      <c r="AT63" s="193">
        <v>1</v>
      </c>
      <c r="AU63" s="211">
        <v>11</v>
      </c>
      <c r="AV63" s="207"/>
      <c r="AW63" s="165"/>
      <c r="AX63" s="197">
        <f t="shared" si="252"/>
      </c>
    </row>
    <row customHeight="true" ht="16.071428571428573" r="64">
      <c r="A64" s="208"/>
      <c r="B64" s="197" t="s">
        <v>170</v>
      </c>
      <c r="C64" s="197" t="s">
        <v>157</v>
      </c>
      <c r="D64" s="197" t="s">
        <v>163</v>
      </c>
      <c r="E64" s="197" t="s">
        <v>161</v>
      </c>
      <c r="F64" s="198">
        <f t="shared" si="171"/>
      </c>
      <c r="G64" s="221">
        <v>1209.7</v>
      </c>
      <c r="H64" s="221">
        <v>1994.67</v>
      </c>
      <c r="I64" s="200">
        <v>0</v>
      </c>
      <c r="J64" s="201">
        <v>0</v>
      </c>
      <c r="K64" s="201">
        <v>0</v>
      </c>
      <c r="L64" s="201">
        <v>2</v>
      </c>
      <c r="M64" s="201">
        <v>3798.1</v>
      </c>
      <c r="N64" s="202">
        <v>0</v>
      </c>
      <c r="O64" s="203">
        <f t="shared" si="46"/>
      </c>
      <c r="P64" s="202">
        <v>0</v>
      </c>
      <c r="Q64" s="203">
        <f t="shared" si="236"/>
      </c>
      <c r="R64" s="193">
        <f t="shared" si="61"/>
      </c>
      <c r="S64" s="209">
        <f t="shared" si="115"/>
      </c>
      <c r="T64" s="199">
        <f t="shared" si="234"/>
      </c>
      <c r="U64" s="199">
        <f t="shared" si="2"/>
      </c>
      <c r="V64" s="204">
        <f t="shared" si="0"/>
      </c>
      <c r="W64" s="202">
        <v>2</v>
      </c>
      <c r="X64" s="204">
        <f t="shared" si="6"/>
      </c>
      <c r="Y64" s="204">
        <f t="shared" si="4"/>
      </c>
      <c r="Z64" s="198">
        <f t="shared" si="232"/>
      </c>
      <c r="AA64" s="199">
        <f t="shared" si="47"/>
      </c>
      <c r="AB64" s="199">
        <f t="shared" si="237"/>
      </c>
      <c r="AC64" s="203">
        <f t="shared" si="235"/>
      </c>
      <c r="AD64" s="203">
        <f t="shared" si="3"/>
      </c>
      <c r="AE64" s="203">
        <f t="shared" si="1"/>
      </c>
      <c r="AF64" s="203">
        <f t="shared" si="7"/>
      </c>
      <c r="AG64" s="203">
        <f t="shared" si="5"/>
      </c>
      <c r="AH64" s="203">
        <f t="shared" si="233"/>
      </c>
      <c r="AI64" s="212">
        <f t="shared" si="48"/>
      </c>
      <c r="AJ64" s="202">
        <v>63</v>
      </c>
      <c r="AK64" s="193">
        <v>17212</v>
      </c>
      <c r="AL64" s="193">
        <v>515</v>
      </c>
      <c r="AM64" s="193">
        <v>598</v>
      </c>
      <c r="AN64" s="193">
        <v>88</v>
      </c>
      <c r="AO64" s="196">
        <v>22</v>
      </c>
      <c r="AP64" s="211">
        <v>55</v>
      </c>
      <c r="AQ64" s="197">
        <v>70</v>
      </c>
      <c r="AR64" s="196">
        <v>2</v>
      </c>
      <c r="AS64" s="193">
        <v>13</v>
      </c>
      <c r="AT64" s="193">
        <v>0</v>
      </c>
      <c r="AU64" s="211">
        <v>8</v>
      </c>
      <c r="AV64" s="207"/>
      <c r="AW64" s="165"/>
      <c r="AX64" s="197">
        <f t="shared" si="252"/>
      </c>
    </row>
    <row customHeight="true" ht="16.071428571428573" r="65">
      <c r="A65" s="208"/>
      <c r="B65" s="213" t="s">
        <v>162</v>
      </c>
      <c r="C65" s="213"/>
      <c r="D65" s="213"/>
      <c r="E65" s="213"/>
      <c r="F65" s="181">
        <f>SUM(F62:F64)</f>
      </c>
      <c r="G65" s="182">
        <f>SUM(G62:G64)</f>
      </c>
      <c r="H65" s="182">
        <f>SUM(H62:H64)</f>
      </c>
      <c r="I65" s="214">
        <f>SUM(I62:I64)</f>
      </c>
      <c r="J65" s="214">
        <f>SUM(J62:J64)</f>
      </c>
      <c r="K65" s="214">
        <f>SUM(K62:K64)</f>
      </c>
      <c r="L65" s="214">
        <f>SUM(L62:L64)</f>
      </c>
      <c r="M65" s="214">
        <f>SUM(M62:M64)</f>
      </c>
      <c r="N65" s="214">
        <f>SUM(N62:N64)</f>
      </c>
      <c r="O65" s="183">
        <f t="shared" si="46"/>
      </c>
      <c r="P65" s="214">
        <f>SUM(P62:P64)</f>
      </c>
      <c r="Q65" s="183">
        <f t="shared" si="236"/>
      </c>
      <c r="R65" s="214">
        <f>SUM(R62:R64)</f>
      </c>
      <c r="S65" s="215">
        <f>SUM(S62:S64)</f>
      </c>
      <c r="T65" s="182">
        <f t="shared" si="234"/>
      </c>
      <c r="U65" s="182">
        <f t="shared" si="2"/>
      </c>
      <c r="V65" s="182">
        <f t="shared" si="0"/>
      </c>
      <c r="W65" s="214">
        <f>SUM(W62:W64)</f>
      </c>
      <c r="X65" s="216">
        <f t="shared" si="6"/>
      </c>
      <c r="Y65" s="216">
        <f t="shared" si="4"/>
      </c>
      <c r="Z65" s="181">
        <f t="shared" si="232"/>
      </c>
      <c r="AA65" s="182">
        <f t="shared" si="47"/>
      </c>
      <c r="AB65" s="217">
        <f t="shared" si="237"/>
      </c>
      <c r="AC65" s="183">
        <f t="shared" si="235"/>
      </c>
      <c r="AD65" s="183">
        <f t="shared" si="3"/>
      </c>
      <c r="AE65" s="183">
        <f t="shared" si="1"/>
      </c>
      <c r="AF65" s="183">
        <f t="shared" si="7"/>
      </c>
      <c r="AG65" s="183">
        <f t="shared" si="5"/>
      </c>
      <c r="AH65" s="183">
        <f t="shared" si="233"/>
      </c>
      <c r="AI65" s="218">
        <f t="shared" si="48"/>
      </c>
      <c r="AJ65" s="219">
        <f>AVERAGE(AJ62:AJ64)</f>
      </c>
      <c r="AK65" s="214">
        <f>SUM(AK62:AK64)</f>
      </c>
      <c r="AL65" s="214">
        <f>SUM(AL62:AL64)</f>
      </c>
      <c r="AM65" s="214">
        <f>SUM(AM62:AM64)</f>
      </c>
      <c r="AN65" s="214">
        <f>SUM(AN62:AN64)</f>
      </c>
      <c r="AO65" s="214">
        <f>SUM(AO62:AO64)</f>
      </c>
      <c r="AP65" s="220">
        <f>SUM(AP62:AP64)</f>
      </c>
      <c r="AQ65" s="214">
        <f>SUM(AQ62:AQ64)</f>
      </c>
      <c r="AR65" s="214">
        <f>SUM(AR62:AR64)</f>
      </c>
      <c r="AS65" s="214">
        <f>SUM(AS62:AS64)</f>
      </c>
      <c r="AT65" s="214">
        <f>SUM(AT62:AT64)</f>
      </c>
      <c r="AU65" s="220">
        <f>SUM(AU62:AU64)</f>
      </c>
      <c r="AV65" s="207"/>
      <c r="AW65" s="180"/>
      <c r="AX65" s="214">
        <f>SUM(AX62:AX64)</f>
      </c>
    </row>
    <row customHeight="true" ht="16.071428571428573" r="66">
      <c r="A66" s="208"/>
      <c r="B66" s="197" t="s">
        <v>170</v>
      </c>
      <c r="C66" s="197" t="s">
        <v>157</v>
      </c>
      <c r="D66" s="196" t="s">
        <v>158</v>
      </c>
      <c r="E66" s="197" t="s">
        <v>164</v>
      </c>
      <c r="F66" s="198">
        <f t="shared" ref="F66:F68" si="172">G66+H66+I66</f>
      </c>
      <c r="G66" s="221">
        <v>1550.06</v>
      </c>
      <c r="H66" s="221">
        <v>2201.51</v>
      </c>
      <c r="I66" s="200">
        <v>0</v>
      </c>
      <c r="J66" s="201">
        <v>3</v>
      </c>
      <c r="K66" s="201">
        <v>6197.5</v>
      </c>
      <c r="L66" s="201">
        <v>2</v>
      </c>
      <c r="M66" s="201">
        <v>4688.25</v>
      </c>
      <c r="N66" s="202">
        <v>0</v>
      </c>
      <c r="O66" s="203">
        <f t="shared" si="46"/>
      </c>
      <c r="P66" s="202">
        <v>0</v>
      </c>
      <c r="Q66" s="203">
        <f t="shared" si="236"/>
      </c>
      <c r="R66" s="193">
        <f t="shared" ref="R66:R68" si="62">L66+J66</f>
      </c>
      <c r="S66" s="209">
        <f t="shared" ref="S66:S68" si="116">M66+K66</f>
      </c>
      <c r="T66" s="199">
        <f t="shared" si="234"/>
      </c>
      <c r="U66" s="199">
        <f t="shared" si="2"/>
      </c>
      <c r="V66" s="204">
        <f t="shared" si="0"/>
      </c>
      <c r="W66" s="202">
        <v>5</v>
      </c>
      <c r="X66" s="204">
        <f t="shared" si="6"/>
      </c>
      <c r="Y66" s="204">
        <f t="shared" si="4"/>
      </c>
      <c r="Z66" s="198">
        <f t="shared" si="232"/>
      </c>
      <c r="AA66" s="199">
        <f t="shared" si="47"/>
      </c>
      <c r="AB66" s="199">
        <f t="shared" si="237"/>
      </c>
      <c r="AC66" s="203">
        <f t="shared" si="235"/>
      </c>
      <c r="AD66" s="203">
        <f t="shared" si="3"/>
      </c>
      <c r="AE66" s="203">
        <f t="shared" si="1"/>
      </c>
      <c r="AF66" s="203">
        <f t="shared" si="7"/>
      </c>
      <c r="AG66" s="203">
        <f t="shared" si="5"/>
      </c>
      <c r="AH66" s="203">
        <f t="shared" si="233"/>
      </c>
      <c r="AI66" s="210">
        <f t="shared" si="48"/>
      </c>
      <c r="AJ66" s="202">
        <v>66</v>
      </c>
      <c r="AK66" s="193">
        <v>17532</v>
      </c>
      <c r="AL66" s="193">
        <v>600</v>
      </c>
      <c r="AM66" s="193">
        <v>679</v>
      </c>
      <c r="AN66" s="193">
        <v>113</v>
      </c>
      <c r="AO66" s="196">
        <v>29</v>
      </c>
      <c r="AP66" s="211">
        <v>127</v>
      </c>
      <c r="AQ66" s="197">
        <v>106</v>
      </c>
      <c r="AR66" s="196">
        <v>5</v>
      </c>
      <c r="AS66" s="193">
        <v>8</v>
      </c>
      <c r="AT66" s="193">
        <v>0</v>
      </c>
      <c r="AU66" s="211">
        <v>14</v>
      </c>
      <c r="AV66" s="207"/>
      <c r="AW66" s="165"/>
      <c r="AX66" s="197">
        <f t="shared" ref="AX66:AX68" si="253">COUNT(AU66)</f>
      </c>
    </row>
    <row customHeight="true" ht="16.071428571428573" r="67">
      <c r="A67" s="208"/>
      <c r="B67" s="197" t="s">
        <v>170</v>
      </c>
      <c r="C67" s="197" t="s">
        <v>157</v>
      </c>
      <c r="D67" s="196" t="s">
        <v>158</v>
      </c>
      <c r="E67" s="197" t="s">
        <v>165</v>
      </c>
      <c r="F67" s="198">
        <f t="shared" si="172"/>
      </c>
      <c r="G67" s="221">
        <v>3340.2</v>
      </c>
      <c r="H67" s="221">
        <v>4735.82</v>
      </c>
      <c r="I67" s="200">
        <v>0</v>
      </c>
      <c r="J67" s="201">
        <v>4</v>
      </c>
      <c r="K67" s="201">
        <v>5606.66</v>
      </c>
      <c r="L67" s="201">
        <v>5</v>
      </c>
      <c r="M67" s="201">
        <v>16096.83</v>
      </c>
      <c r="N67" s="202">
        <v>3</v>
      </c>
      <c r="O67" s="203">
        <f t="shared" si="46"/>
      </c>
      <c r="P67" s="202">
        <v>4</v>
      </c>
      <c r="Q67" s="203">
        <f t="shared" si="236"/>
      </c>
      <c r="R67" s="193">
        <f t="shared" si="62"/>
      </c>
      <c r="S67" s="209">
        <f t="shared" si="116"/>
      </c>
      <c r="T67" s="199">
        <f t="shared" si="234"/>
      </c>
      <c r="U67" s="199">
        <f t="shared" si="2"/>
      </c>
      <c r="V67" s="204">
        <f t="shared" si="0"/>
      </c>
      <c r="W67" s="202">
        <v>5</v>
      </c>
      <c r="X67" s="204">
        <f t="shared" si="6"/>
      </c>
      <c r="Y67" s="204">
        <f t="shared" si="4"/>
      </c>
      <c r="Z67" s="198">
        <f t="shared" si="232"/>
      </c>
      <c r="AA67" s="199">
        <f t="shared" si="47"/>
      </c>
      <c r="AB67" s="199">
        <f t="shared" si="237"/>
      </c>
      <c r="AC67" s="203">
        <f t="shared" si="235"/>
      </c>
      <c r="AD67" s="203">
        <f t="shared" si="3"/>
      </c>
      <c r="AE67" s="203">
        <f t="shared" si="1"/>
      </c>
      <c r="AF67" s="203">
        <f t="shared" si="7"/>
      </c>
      <c r="AG67" s="203">
        <f t="shared" si="5"/>
      </c>
      <c r="AH67" s="203">
        <f t="shared" si="233"/>
      </c>
      <c r="AI67" s="210">
        <f t="shared" si="48"/>
      </c>
      <c r="AJ67" s="202">
        <v>58</v>
      </c>
      <c r="AK67" s="193">
        <v>49901</v>
      </c>
      <c r="AL67" s="193">
        <v>1555</v>
      </c>
      <c r="AM67" s="193">
        <v>1698</v>
      </c>
      <c r="AN67" s="193">
        <v>226</v>
      </c>
      <c r="AO67" s="196">
        <v>55</v>
      </c>
      <c r="AP67" s="211">
        <v>170</v>
      </c>
      <c r="AQ67" s="197">
        <v>216</v>
      </c>
      <c r="AR67" s="196">
        <v>11</v>
      </c>
      <c r="AS67" s="193">
        <v>24</v>
      </c>
      <c r="AT67" s="193">
        <v>1</v>
      </c>
      <c r="AU67" s="211">
        <v>18</v>
      </c>
      <c r="AV67" s="207"/>
      <c r="AW67" s="165"/>
      <c r="AX67" s="197">
        <f t="shared" si="253"/>
      </c>
    </row>
    <row customHeight="true" ht="16.071428571428573" r="68">
      <c r="A68" s="208"/>
      <c r="B68" s="197" t="s">
        <v>170</v>
      </c>
      <c r="C68" s="197" t="s">
        <v>157</v>
      </c>
      <c r="D68" s="196" t="s">
        <v>158</v>
      </c>
      <c r="E68" s="196" t="s">
        <v>168</v>
      </c>
      <c r="F68" s="198">
        <f t="shared" si="172"/>
      </c>
      <c r="G68" s="221">
        <v>4062.12</v>
      </c>
      <c r="H68" s="221">
        <v>6255.4</v>
      </c>
      <c r="I68" s="200">
        <v>0</v>
      </c>
      <c r="J68" s="201">
        <v>2</v>
      </c>
      <c r="K68" s="201">
        <v>3956.48</v>
      </c>
      <c r="L68" s="201">
        <v>4</v>
      </c>
      <c r="M68" s="201">
        <v>15352.26</v>
      </c>
      <c r="N68" s="202">
        <v>1</v>
      </c>
      <c r="O68" s="203">
        <f t="shared" si="46"/>
      </c>
      <c r="P68" s="202">
        <v>2</v>
      </c>
      <c r="Q68" s="203">
        <f t="shared" si="236"/>
      </c>
      <c r="R68" s="193">
        <f t="shared" si="62"/>
      </c>
      <c r="S68" s="209">
        <f t="shared" si="116"/>
      </c>
      <c r="T68" s="199">
        <f t="shared" si="234"/>
      </c>
      <c r="U68" s="199">
        <f t="shared" si="2"/>
      </c>
      <c r="V68" s="204">
        <f t="shared" si="0"/>
      </c>
      <c r="W68" s="202">
        <v>2</v>
      </c>
      <c r="X68" s="204">
        <f t="shared" si="6"/>
      </c>
      <c r="Y68" s="204">
        <f t="shared" si="4"/>
      </c>
      <c r="Z68" s="198">
        <f t="shared" si="232"/>
      </c>
      <c r="AA68" s="199">
        <f t="shared" si="47"/>
      </c>
      <c r="AB68" s="199">
        <f t="shared" si="237"/>
      </c>
      <c r="AC68" s="203">
        <f t="shared" si="235"/>
      </c>
      <c r="AD68" s="203">
        <f t="shared" si="3"/>
      </c>
      <c r="AE68" s="203">
        <f t="shared" si="1"/>
      </c>
      <c r="AF68" s="203">
        <f t="shared" si="7"/>
      </c>
      <c r="AG68" s="203">
        <f t="shared" si="5"/>
      </c>
      <c r="AH68" s="203">
        <f t="shared" si="233"/>
      </c>
      <c r="AI68" s="210">
        <f t="shared" si="48"/>
      </c>
      <c r="AJ68" s="202">
        <v>54</v>
      </c>
      <c r="AK68" s="193">
        <v>80320</v>
      </c>
      <c r="AL68" s="193">
        <v>1968</v>
      </c>
      <c r="AM68" s="193">
        <v>2142</v>
      </c>
      <c r="AN68" s="193">
        <v>237</v>
      </c>
      <c r="AO68" s="196">
        <v>53</v>
      </c>
      <c r="AP68" s="211">
        <v>237</v>
      </c>
      <c r="AQ68" s="197">
        <v>112</v>
      </c>
      <c r="AR68" s="196">
        <v>7</v>
      </c>
      <c r="AS68" s="193">
        <v>17</v>
      </c>
      <c r="AT68" s="193">
        <v>1</v>
      </c>
      <c r="AU68" s="211">
        <v>46</v>
      </c>
      <c r="AV68" s="207"/>
      <c r="AW68" s="165"/>
      <c r="AX68" s="197">
        <f t="shared" si="253"/>
      </c>
    </row>
    <row customHeight="true" ht="16.071428571428573" r="69">
      <c r="A69" s="208"/>
      <c r="B69" s="213" t="s">
        <v>162</v>
      </c>
      <c r="C69" s="213"/>
      <c r="D69" s="213"/>
      <c r="E69" s="213"/>
      <c r="F69" s="181">
        <f>SUM(F66:F68)</f>
      </c>
      <c r="G69" s="181">
        <f>SUM(G66:G68)</f>
      </c>
      <c r="H69" s="181">
        <f>SUM(H66:H68)</f>
      </c>
      <c r="I69" s="181">
        <f>SUM(I66:I68)</f>
      </c>
      <c r="J69" s="181">
        <f>SUM(J66:J68)</f>
      </c>
      <c r="K69" s="181">
        <f>SUM(K66:K68)</f>
      </c>
      <c r="L69" s="181">
        <f>SUM(L66:L68)</f>
      </c>
      <c r="M69" s="181">
        <f>SUM(M66:M68)</f>
      </c>
      <c r="N69" s="181">
        <f>SUM(N66:N68)</f>
      </c>
      <c r="O69" s="183">
        <f t="shared" si="46"/>
      </c>
      <c r="P69" s="181">
        <f>SUM(P66:P68)</f>
      </c>
      <c r="Q69" s="183">
        <f t="shared" si="236"/>
      </c>
      <c r="R69" s="181">
        <f>SUM(R66:R68)</f>
      </c>
      <c r="S69" s="181">
        <f>SUM(S66:S68)</f>
      </c>
      <c r="T69" s="182">
        <f t="shared" si="234"/>
      </c>
      <c r="U69" s="182">
        <f t="shared" si="2"/>
      </c>
      <c r="V69" s="216">
        <f t="shared" si="0"/>
      </c>
      <c r="W69" s="181">
        <f>SUM(W66:W68)</f>
      </c>
      <c r="X69" s="216">
        <f t="shared" si="6"/>
      </c>
      <c r="Y69" s="216">
        <f t="shared" si="4"/>
      </c>
      <c r="Z69" s="181">
        <f t="shared" si="232"/>
      </c>
      <c r="AA69" s="182">
        <f t="shared" si="47"/>
      </c>
      <c r="AB69" s="217">
        <f t="shared" si="237"/>
      </c>
      <c r="AC69" s="183">
        <f t="shared" si="235"/>
      </c>
      <c r="AD69" s="183">
        <f t="shared" si="3"/>
      </c>
      <c r="AE69" s="183">
        <f t="shared" si="1"/>
      </c>
      <c r="AF69" s="231">
        <f t="shared" si="7"/>
      </c>
      <c r="AG69" s="183">
        <f t="shared" si="5"/>
      </c>
      <c r="AH69" s="183">
        <f t="shared" si="233"/>
      </c>
      <c r="AI69" s="183">
        <f t="shared" si="48"/>
      </c>
      <c r="AJ69" s="219">
        <f>AVERAGE(AJ66:AJ68)</f>
      </c>
      <c r="AK69" s="181">
        <f>SUM(AK66:AK68)</f>
      </c>
      <c r="AL69" s="181">
        <f>SUM(AL66:AL68)</f>
      </c>
      <c r="AM69" s="181">
        <f>SUM(AM66:AM68)</f>
      </c>
      <c r="AN69" s="181">
        <f>SUM(AN66:AN68)</f>
      </c>
      <c r="AO69" s="181">
        <f>SUM(AO66:AO68)</f>
      </c>
      <c r="AP69" s="181">
        <f>SUM(AP66:AP68)</f>
      </c>
      <c r="AQ69" s="181">
        <f>SUM(AQ66:AQ68)</f>
      </c>
      <c r="AR69" s="181">
        <f>SUM(AR66:AR68)</f>
      </c>
      <c r="AS69" s="181">
        <f>SUM(AS66:AS68)</f>
      </c>
      <c r="AT69" s="181">
        <f>SUM(AT66:AT68)</f>
      </c>
      <c r="AU69" s="181">
        <f>SUM(AU66:AU68)</f>
      </c>
      <c r="AV69" s="207"/>
      <c r="AW69" s="180"/>
      <c r="AX69" s="181">
        <f>SUM(AX66:AX68)</f>
      </c>
    </row>
    <row customHeight="true" ht="16.071428571428573" r="70">
      <c r="A70" s="208"/>
      <c r="B70" s="222" t="s">
        <v>166</v>
      </c>
      <c r="C70" s="222"/>
      <c r="D70" s="222"/>
      <c r="E70" s="222"/>
      <c r="F70" s="223">
        <f>F65+F69</f>
      </c>
      <c r="G70" s="223">
        <f>G65+G69</f>
      </c>
      <c r="H70" s="223">
        <f>H65+H69</f>
      </c>
      <c r="I70" s="222">
        <f>I65+I69</f>
      </c>
      <c r="J70" s="222">
        <f>J65+J69</f>
      </c>
      <c r="K70" s="222">
        <f>K65+K69</f>
      </c>
      <c r="L70" s="222">
        <f>L65+L69</f>
      </c>
      <c r="M70" s="222">
        <f>M65+M69</f>
      </c>
      <c r="N70" s="222">
        <f>N65+N69</f>
      </c>
      <c r="O70" s="224">
        <f t="shared" si="46"/>
      </c>
      <c r="P70" s="222">
        <f>P65+P69</f>
      </c>
      <c r="Q70" s="224">
        <f t="shared" si="236"/>
      </c>
      <c r="R70" s="222">
        <f>R65+R69</f>
      </c>
      <c r="S70" s="225">
        <f>S65+S69</f>
      </c>
      <c r="T70" s="223">
        <f t="shared" si="234"/>
      </c>
      <c r="U70" s="223">
        <f t="shared" si="2"/>
      </c>
      <c r="V70" s="226">
        <f t="shared" si="0"/>
      </c>
      <c r="W70" s="222">
        <f>W65+W69</f>
      </c>
      <c r="X70" s="226">
        <f t="shared" si="6"/>
      </c>
      <c r="Y70" s="226">
        <f t="shared" si="4"/>
      </c>
      <c r="Z70" s="227">
        <f t="shared" si="232"/>
      </c>
      <c r="AA70" s="223">
        <f t="shared" si="47"/>
      </c>
      <c r="AB70" s="189">
        <f t="shared" si="237"/>
      </c>
      <c r="AC70" s="224">
        <f t="shared" si="235"/>
      </c>
      <c r="AD70" s="224">
        <f t="shared" si="3"/>
      </c>
      <c r="AE70" s="224">
        <f t="shared" si="1"/>
      </c>
      <c r="AF70" s="232">
        <f t="shared" si="7"/>
      </c>
      <c r="AG70" s="224">
        <f t="shared" si="5"/>
      </c>
      <c r="AH70" s="224">
        <f t="shared" si="233"/>
      </c>
      <c r="AI70" s="224">
        <f t="shared" si="48"/>
      </c>
      <c r="AJ70" s="228">
        <f>(AJ65+AJ69)/2</f>
      </c>
      <c r="AK70" s="222">
        <f>AK65+AK69</f>
      </c>
      <c r="AL70" s="229">
        <f>AL65+AL69</f>
      </c>
      <c r="AM70" s="229">
        <f>AM65+AM69</f>
      </c>
      <c r="AN70" s="229">
        <f>AN65+AN69</f>
      </c>
      <c r="AO70" s="229">
        <f>AO65+AO69</f>
      </c>
      <c r="AP70" s="229">
        <f>AP65+AP69</f>
      </c>
      <c r="AQ70" s="229">
        <f>AQ65+AQ69</f>
      </c>
      <c r="AR70" s="229">
        <f>AR65+AR69</f>
      </c>
      <c r="AS70" s="229">
        <f>AS65+AS69</f>
      </c>
      <c r="AT70" s="229">
        <f>AT65+AT69</f>
      </c>
      <c r="AU70" s="222">
        <f>AU65+AU69</f>
      </c>
      <c r="AV70" s="207"/>
      <c r="AW70" s="230">
        <f>AW65+AW69</f>
      </c>
      <c r="AX70" s="222">
        <f>AX65+AX69</f>
      </c>
    </row>
    <row customHeight="true" ht="16.071428571428573" r="71">
      <c r="A71" s="195">
        <v>46275</v>
      </c>
      <c r="B71" s="197" t="s">
        <v>170</v>
      </c>
      <c r="C71" s="197" t="s">
        <v>157</v>
      </c>
      <c r="D71" s="197" t="s">
        <v>163</v>
      </c>
      <c r="E71" s="197" t="s">
        <v>159</v>
      </c>
      <c r="F71" s="198">
        <f t="shared" ref="F71:F73" si="173">G71+H71+I71</f>
      </c>
      <c r="G71" s="221">
        <v>1443.25</v>
      </c>
      <c r="H71" s="221">
        <v>4201.07</v>
      </c>
      <c r="I71" s="200">
        <v>0</v>
      </c>
      <c r="J71" s="201">
        <v>0</v>
      </c>
      <c r="K71" s="201">
        <v>0</v>
      </c>
      <c r="L71" s="201">
        <v>4</v>
      </c>
      <c r="M71" s="201">
        <v>12581.53</v>
      </c>
      <c r="N71" s="202">
        <v>0</v>
      </c>
      <c r="O71" s="203">
        <f t="shared" si="46"/>
      </c>
      <c r="P71" s="202">
        <v>1</v>
      </c>
      <c r="Q71" s="203">
        <f t="shared" si="236"/>
      </c>
      <c r="R71" s="193">
        <f t="shared" ref="R71:R73" si="63">L71+J71</f>
      </c>
      <c r="S71" s="209">
        <f t="shared" ref="S71:S73" si="117">M71+K71</f>
      </c>
      <c r="T71" s="199">
        <f t="shared" si="234"/>
      </c>
      <c r="U71" s="199">
        <f t="shared" si="2"/>
      </c>
      <c r="V71" s="193">
        <f t="shared" si="0"/>
      </c>
      <c r="W71" s="202">
        <v>4</v>
      </c>
      <c r="X71" s="204">
        <f t="shared" si="6"/>
      </c>
      <c r="Y71" s="204">
        <f t="shared" si="4"/>
      </c>
      <c r="Z71" s="198">
        <f t="shared" si="232"/>
      </c>
      <c r="AA71" s="199">
        <f t="shared" si="47"/>
      </c>
      <c r="AB71" s="199">
        <f t="shared" si="237"/>
      </c>
      <c r="AC71" s="203">
        <f t="shared" si="235"/>
      </c>
      <c r="AD71" s="203">
        <f t="shared" si="3"/>
      </c>
      <c r="AE71" s="203">
        <f t="shared" si="1"/>
      </c>
      <c r="AF71" s="203">
        <f t="shared" si="7"/>
      </c>
      <c r="AG71" s="203">
        <f t="shared" si="5"/>
      </c>
      <c r="AH71" s="203">
        <f t="shared" si="233"/>
      </c>
      <c r="AI71" s="205">
        <f t="shared" si="48"/>
      </c>
      <c r="AJ71" s="202">
        <v>63</v>
      </c>
      <c r="AK71" s="193">
        <v>31897</v>
      </c>
      <c r="AL71" s="193">
        <v>655</v>
      </c>
      <c r="AM71" s="193">
        <v>754</v>
      </c>
      <c r="AN71" s="193">
        <v>90</v>
      </c>
      <c r="AO71" s="196">
        <v>28</v>
      </c>
      <c r="AP71" s="206">
        <v>78</v>
      </c>
      <c r="AQ71" s="206">
        <v>139</v>
      </c>
      <c r="AR71" s="196">
        <v>5</v>
      </c>
      <c r="AS71" s="197">
        <v>8</v>
      </c>
      <c r="AT71" s="193">
        <v>1</v>
      </c>
      <c r="AU71" s="193">
        <v>9</v>
      </c>
      <c r="AV71" s="207"/>
      <c r="AW71" s="165"/>
      <c r="AX71" s="197">
        <f t="shared" ref="AX71:AX73" si="254">COUNT(AU71)</f>
      </c>
    </row>
    <row customHeight="true" ht="16.071428571428573" r="72">
      <c r="A72" s="195"/>
      <c r="B72" s="197" t="s">
        <v>170</v>
      </c>
      <c r="C72" s="197" t="s">
        <v>157</v>
      </c>
      <c r="D72" s="197" t="s">
        <v>163</v>
      </c>
      <c r="E72" s="197" t="s">
        <v>160</v>
      </c>
      <c r="F72" s="198">
        <f t="shared" si="173"/>
      </c>
      <c r="G72" s="221">
        <v>2049.43</v>
      </c>
      <c r="H72" s="221">
        <v>2534.53</v>
      </c>
      <c r="I72" s="200">
        <v>0</v>
      </c>
      <c r="J72" s="201">
        <v>0</v>
      </c>
      <c r="K72" s="201">
        <v>0</v>
      </c>
      <c r="L72" s="201">
        <v>4</v>
      </c>
      <c r="M72" s="201">
        <v>15803.59</v>
      </c>
      <c r="N72" s="202">
        <v>1</v>
      </c>
      <c r="O72" s="203">
        <f t="shared" si="46"/>
      </c>
      <c r="P72" s="202">
        <v>1</v>
      </c>
      <c r="Q72" s="203">
        <f t="shared" si="236"/>
      </c>
      <c r="R72" s="193">
        <f t="shared" si="63"/>
      </c>
      <c r="S72" s="209">
        <f t="shared" si="117"/>
      </c>
      <c r="T72" s="199">
        <f t="shared" si="234"/>
      </c>
      <c r="U72" s="199">
        <f t="shared" si="2"/>
      </c>
      <c r="V72" s="193">
        <f t="shared" si="0"/>
      </c>
      <c r="W72" s="202">
        <v>4</v>
      </c>
      <c r="X72" s="204">
        <f t="shared" si="6"/>
      </c>
      <c r="Y72" s="204">
        <f t="shared" si="4"/>
      </c>
      <c r="Z72" s="198">
        <f t="shared" si="232"/>
      </c>
      <c r="AA72" s="199">
        <f t="shared" si="47"/>
      </c>
      <c r="AB72" s="199">
        <f t="shared" si="237"/>
      </c>
      <c r="AC72" s="203">
        <f t="shared" si="235"/>
      </c>
      <c r="AD72" s="203">
        <f t="shared" si="3"/>
      </c>
      <c r="AE72" s="203">
        <f t="shared" si="1"/>
      </c>
      <c r="AF72" s="203">
        <f t="shared" si="7"/>
      </c>
      <c r="AG72" s="203">
        <f t="shared" si="5"/>
      </c>
      <c r="AH72" s="210">
        <f t="shared" si="233"/>
      </c>
      <c r="AI72" s="210">
        <f t="shared" si="48"/>
      </c>
      <c r="AJ72" s="202">
        <v>63</v>
      </c>
      <c r="AK72" s="193">
        <v>25150</v>
      </c>
      <c r="AL72" s="193">
        <v>678</v>
      </c>
      <c r="AM72" s="193">
        <v>750</v>
      </c>
      <c r="AN72" s="193">
        <v>104</v>
      </c>
      <c r="AO72" s="196">
        <v>39</v>
      </c>
      <c r="AP72" s="211">
        <v>102</v>
      </c>
      <c r="AQ72" s="197">
        <v>121</v>
      </c>
      <c r="AR72" s="196">
        <v>4</v>
      </c>
      <c r="AS72" s="193">
        <v>12</v>
      </c>
      <c r="AT72" s="193">
        <v>3</v>
      </c>
      <c r="AU72" s="211">
        <v>11</v>
      </c>
      <c r="AV72" s="207"/>
      <c r="AW72" s="165"/>
      <c r="AX72" s="197">
        <f t="shared" si="254"/>
      </c>
    </row>
    <row customHeight="true" ht="16.071428571428573" r="73">
      <c r="A73" s="195"/>
      <c r="B73" s="197" t="s">
        <v>170</v>
      </c>
      <c r="C73" s="197" t="s">
        <v>157</v>
      </c>
      <c r="D73" s="197" t="s">
        <v>163</v>
      </c>
      <c r="E73" s="197" t="s">
        <v>161</v>
      </c>
      <c r="F73" s="198">
        <f t="shared" si="173"/>
      </c>
      <c r="G73" s="221">
        <v>2069.28</v>
      </c>
      <c r="H73" s="221">
        <v>2817.15</v>
      </c>
      <c r="I73" s="200">
        <v>0</v>
      </c>
      <c r="J73" s="201">
        <v>0</v>
      </c>
      <c r="K73" s="201">
        <v>0</v>
      </c>
      <c r="L73" s="201">
        <v>2</v>
      </c>
      <c r="M73" s="201">
        <v>11901.22</v>
      </c>
      <c r="N73" s="202">
        <v>1</v>
      </c>
      <c r="O73" s="203">
        <f t="shared" si="46"/>
      </c>
      <c r="P73" s="202">
        <v>1</v>
      </c>
      <c r="Q73" s="203">
        <f t="shared" si="236"/>
      </c>
      <c r="R73" s="193">
        <f t="shared" si="63"/>
      </c>
      <c r="S73" s="209">
        <f t="shared" si="117"/>
      </c>
      <c r="T73" s="199">
        <f t="shared" si="234"/>
      </c>
      <c r="U73" s="199">
        <f t="shared" si="2"/>
      </c>
      <c r="V73" s="204">
        <f t="shared" si="0"/>
      </c>
      <c r="W73" s="202">
        <v>2</v>
      </c>
      <c r="X73" s="204">
        <f t="shared" si="6"/>
      </c>
      <c r="Y73" s="204">
        <f t="shared" si="4"/>
      </c>
      <c r="Z73" s="198">
        <f t="shared" si="232"/>
      </c>
      <c r="AA73" s="199">
        <f t="shared" si="47"/>
      </c>
      <c r="AB73" s="199">
        <f t="shared" si="237"/>
      </c>
      <c r="AC73" s="203">
        <f t="shared" si="235"/>
      </c>
      <c r="AD73" s="203">
        <f t="shared" si="3"/>
      </c>
      <c r="AE73" s="203">
        <f t="shared" si="1"/>
      </c>
      <c r="AF73" s="203">
        <f t="shared" si="7"/>
      </c>
      <c r="AG73" s="203">
        <f t="shared" si="5"/>
      </c>
      <c r="AH73" s="203">
        <f t="shared" si="233"/>
      </c>
      <c r="AI73" s="212">
        <f t="shared" si="48"/>
      </c>
      <c r="AJ73" s="202">
        <v>59</v>
      </c>
      <c r="AK73" s="193">
        <v>29854</v>
      </c>
      <c r="AL73" s="193">
        <v>823</v>
      </c>
      <c r="AM73" s="193">
        <v>928</v>
      </c>
      <c r="AN73" s="193">
        <v>128</v>
      </c>
      <c r="AO73" s="196">
        <v>40</v>
      </c>
      <c r="AP73" s="211">
        <v>110</v>
      </c>
      <c r="AQ73" s="197">
        <v>143</v>
      </c>
      <c r="AR73" s="196">
        <v>2</v>
      </c>
      <c r="AS73" s="193">
        <v>13</v>
      </c>
      <c r="AT73" s="193">
        <v>1</v>
      </c>
      <c r="AU73" s="211">
        <v>8</v>
      </c>
      <c r="AV73" s="207"/>
      <c r="AW73" s="165"/>
      <c r="AX73" s="197">
        <f t="shared" si="254"/>
      </c>
    </row>
    <row customHeight="true" ht="16.071428571428573" r="74">
      <c r="A74" s="195"/>
      <c r="B74" s="213" t="s">
        <v>162</v>
      </c>
      <c r="C74" s="213"/>
      <c r="D74" s="213"/>
      <c r="E74" s="213"/>
      <c r="F74" s="181">
        <f>SUM(F71:F73)</f>
      </c>
      <c r="G74" s="182">
        <f>SUM(G71:G73)</f>
      </c>
      <c r="H74" s="182">
        <f>SUM(H71:H73)</f>
      </c>
      <c r="I74" s="214">
        <f>SUM(I71:I73)</f>
      </c>
      <c r="J74" s="214">
        <f>SUM(J71:J73)</f>
      </c>
      <c r="K74" s="214">
        <f>SUM(K71:K73)</f>
      </c>
      <c r="L74" s="214">
        <f>SUM(L71:L73)</f>
      </c>
      <c r="M74" s="214">
        <f>SUM(M71:M73)</f>
      </c>
      <c r="N74" s="214">
        <f>SUM(N71:N73)</f>
      </c>
      <c r="O74" s="183">
        <f t="shared" si="46"/>
      </c>
      <c r="P74" s="214">
        <f>SUM(P71:P73)</f>
      </c>
      <c r="Q74" s="183">
        <f t="shared" si="236"/>
      </c>
      <c r="R74" s="214">
        <f>SUM(R71:R73)</f>
      </c>
      <c r="S74" s="215">
        <f>SUM(S71:S73)</f>
      </c>
      <c r="T74" s="182">
        <f t="shared" si="234"/>
      </c>
      <c r="U74" s="182">
        <f t="shared" si="2"/>
      </c>
      <c r="V74" s="182">
        <f t="shared" si="0"/>
      </c>
      <c r="W74" s="214">
        <f>SUM(W71:W73)</f>
      </c>
      <c r="X74" s="216">
        <f t="shared" si="6"/>
      </c>
      <c r="Y74" s="216">
        <f t="shared" si="4"/>
      </c>
      <c r="Z74" s="181">
        <f t="shared" si="232"/>
      </c>
      <c r="AA74" s="182">
        <f t="shared" si="47"/>
      </c>
      <c r="AB74" s="217">
        <f t="shared" si="237"/>
      </c>
      <c r="AC74" s="183">
        <f t="shared" si="235"/>
      </c>
      <c r="AD74" s="183">
        <f t="shared" si="3"/>
      </c>
      <c r="AE74" s="183">
        <f t="shared" si="1"/>
      </c>
      <c r="AF74" s="183">
        <f t="shared" si="7"/>
      </c>
      <c r="AG74" s="183">
        <f t="shared" si="5"/>
      </c>
      <c r="AH74" s="183">
        <f t="shared" si="233"/>
      </c>
      <c r="AI74" s="218">
        <f t="shared" si="48"/>
      </c>
      <c r="AJ74" s="219">
        <f>AVERAGE(AJ71:AJ73)</f>
      </c>
      <c r="AK74" s="214">
        <f>SUM(AK71:AK73)</f>
      </c>
      <c r="AL74" s="214">
        <f>SUM(AL71:AL73)</f>
      </c>
      <c r="AM74" s="214">
        <f>SUM(AM71:AM73)</f>
      </c>
      <c r="AN74" s="214">
        <f>SUM(AN71:AN73)</f>
      </c>
      <c r="AO74" s="214">
        <f>SUM(AO71:AO73)</f>
      </c>
      <c r="AP74" s="220">
        <f>SUM(AP71:AP73)</f>
      </c>
      <c r="AQ74" s="214">
        <f>SUM(AQ71:AQ73)</f>
      </c>
      <c r="AR74" s="214">
        <f>SUM(AR71:AR73)</f>
      </c>
      <c r="AS74" s="214">
        <f>SUM(AS71:AS73)</f>
      </c>
      <c r="AT74" s="214">
        <f>SUM(AT71:AT73)</f>
      </c>
      <c r="AU74" s="220">
        <f>SUM(AU71:AU73)</f>
      </c>
      <c r="AV74" s="207"/>
      <c r="AW74" s="180"/>
      <c r="AX74" s="214">
        <f>SUM(AX71:AX73)</f>
      </c>
    </row>
    <row customHeight="true" ht="16.071428571428573" r="75">
      <c r="A75" s="195"/>
      <c r="B75" s="197" t="s">
        <v>170</v>
      </c>
      <c r="C75" s="197" t="s">
        <v>157</v>
      </c>
      <c r="D75" s="196" t="s">
        <v>169</v>
      </c>
      <c r="E75" s="197" t="s">
        <v>164</v>
      </c>
      <c r="F75" s="198">
        <f t="shared" ref="F75:F78" si="174">G75+H75+I75</f>
      </c>
      <c r="G75" s="221">
        <v>1993.63</v>
      </c>
      <c r="H75" s="221">
        <v>3786.58</v>
      </c>
      <c r="I75" s="200">
        <v>0</v>
      </c>
      <c r="J75" s="201">
        <v>2</v>
      </c>
      <c r="K75" s="201">
        <v>2272</v>
      </c>
      <c r="L75" s="201">
        <v>4</v>
      </c>
      <c r="M75" s="201">
        <v>7417.41</v>
      </c>
      <c r="N75" s="202">
        <v>2</v>
      </c>
      <c r="O75" s="203">
        <f t="shared" si="46"/>
      </c>
      <c r="P75" s="202">
        <v>0</v>
      </c>
      <c r="Q75" s="203">
        <f t="shared" si="236"/>
      </c>
      <c r="R75" s="193">
        <f t="shared" ref="R75:R78" si="64">L75+J75</f>
      </c>
      <c r="S75" s="209">
        <f t="shared" ref="S75:S78" si="118">M75+K75</f>
      </c>
      <c r="T75" s="199">
        <f t="shared" si="234"/>
      </c>
      <c r="U75" s="199">
        <f t="shared" si="2"/>
      </c>
      <c r="V75" s="204">
        <f t="shared" si="0"/>
      </c>
      <c r="W75" s="202">
        <v>6</v>
      </c>
      <c r="X75" s="204">
        <f t="shared" si="6"/>
      </c>
      <c r="Y75" s="204">
        <f t="shared" si="4"/>
      </c>
      <c r="Z75" s="198">
        <f t="shared" si="232"/>
      </c>
      <c r="AA75" s="199">
        <f t="shared" si="47"/>
      </c>
      <c r="AB75" s="199">
        <f t="shared" si="237"/>
      </c>
      <c r="AC75" s="203">
        <f t="shared" si="235"/>
      </c>
      <c r="AD75" s="203">
        <f t="shared" si="3"/>
      </c>
      <c r="AE75" s="203">
        <f t="shared" si="1"/>
      </c>
      <c r="AF75" s="203">
        <f t="shared" si="7"/>
      </c>
      <c r="AG75" s="203">
        <f t="shared" si="5"/>
      </c>
      <c r="AH75" s="203">
        <f t="shared" si="233"/>
      </c>
      <c r="AI75" s="210">
        <f t="shared" si="48"/>
      </c>
      <c r="AJ75" s="202">
        <v>62</v>
      </c>
      <c r="AK75" s="193">
        <v>29153</v>
      </c>
      <c r="AL75" s="193">
        <v>822</v>
      </c>
      <c r="AM75" s="193">
        <v>898</v>
      </c>
      <c r="AN75" s="193">
        <v>139</v>
      </c>
      <c r="AO75" s="196">
        <v>44</v>
      </c>
      <c r="AP75" s="211">
        <v>137</v>
      </c>
      <c r="AQ75" s="197">
        <v>161</v>
      </c>
      <c r="AR75" s="196">
        <v>6</v>
      </c>
      <c r="AS75" s="193">
        <v>21</v>
      </c>
      <c r="AT75" s="193">
        <v>2</v>
      </c>
      <c r="AU75" s="211">
        <v>12</v>
      </c>
      <c r="AV75" s="207"/>
      <c r="AW75" s="165"/>
      <c r="AX75" s="197">
        <f t="shared" ref="AX75:AX78" si="255">COUNT(AU75)</f>
      </c>
    </row>
    <row customHeight="true" ht="16.071428571428573" r="76">
      <c r="A76" s="195"/>
      <c r="B76" s="197" t="s">
        <v>170</v>
      </c>
      <c r="C76" s="197" t="s">
        <v>157</v>
      </c>
      <c r="D76" s="196" t="s">
        <v>169</v>
      </c>
      <c r="E76" s="197" t="s">
        <v>165</v>
      </c>
      <c r="F76" s="198">
        <f t="shared" si="174"/>
      </c>
      <c r="G76" s="221">
        <v>3696.69</v>
      </c>
      <c r="H76" s="221">
        <v>5440.07</v>
      </c>
      <c r="I76" s="200">
        <v>0</v>
      </c>
      <c r="J76" s="201">
        <v>0</v>
      </c>
      <c r="K76" s="201">
        <v>0</v>
      </c>
      <c r="L76" s="201">
        <v>6</v>
      </c>
      <c r="M76" s="201">
        <v>19055.37</v>
      </c>
      <c r="N76" s="202">
        <v>3</v>
      </c>
      <c r="O76" s="203">
        <f t="shared" si="46"/>
      </c>
      <c r="P76" s="202">
        <v>1</v>
      </c>
      <c r="Q76" s="203">
        <f t="shared" si="236"/>
      </c>
      <c r="R76" s="193">
        <f t="shared" si="64"/>
      </c>
      <c r="S76" s="209">
        <f t="shared" si="118"/>
      </c>
      <c r="T76" s="199">
        <f t="shared" si="234"/>
      </c>
      <c r="U76" s="199">
        <f t="shared" si="2"/>
      </c>
      <c r="V76" s="204">
        <f t="shared" si="0"/>
      </c>
      <c r="W76" s="202">
        <v>5</v>
      </c>
      <c r="X76" s="204">
        <f t="shared" si="6"/>
      </c>
      <c r="Y76" s="204">
        <f t="shared" si="4"/>
      </c>
      <c r="Z76" s="198">
        <f t="shared" si="232"/>
      </c>
      <c r="AA76" s="199">
        <f t="shared" si="47"/>
      </c>
      <c r="AB76" s="199">
        <f t="shared" si="237"/>
      </c>
      <c r="AC76" s="203">
        <f t="shared" si="235"/>
      </c>
      <c r="AD76" s="203">
        <f t="shared" si="3"/>
      </c>
      <c r="AE76" s="203">
        <f t="shared" si="1"/>
      </c>
      <c r="AF76" s="203">
        <f t="shared" si="7"/>
      </c>
      <c r="AG76" s="203">
        <f t="shared" si="5"/>
      </c>
      <c r="AH76" s="203">
        <f t="shared" si="233"/>
      </c>
      <c r="AI76" s="210">
        <f t="shared" si="48"/>
      </c>
      <c r="AJ76" s="202">
        <v>57</v>
      </c>
      <c r="AK76" s="193">
        <v>59547</v>
      </c>
      <c r="AL76" s="193">
        <v>1700</v>
      </c>
      <c r="AM76" s="193">
        <v>1909</v>
      </c>
      <c r="AN76" s="193">
        <v>194</v>
      </c>
      <c r="AO76" s="196">
        <v>61</v>
      </c>
      <c r="AP76" s="211">
        <v>145</v>
      </c>
      <c r="AQ76" s="197">
        <v>221</v>
      </c>
      <c r="AR76" s="196">
        <v>8</v>
      </c>
      <c r="AS76" s="193">
        <v>13</v>
      </c>
      <c r="AT76" s="193">
        <v>1</v>
      </c>
      <c r="AU76" s="211">
        <v>17</v>
      </c>
      <c r="AV76" s="207"/>
      <c r="AW76" s="165"/>
      <c r="AX76" s="197">
        <f t="shared" si="255"/>
      </c>
    </row>
    <row customHeight="true" ht="16.071428571428573" r="77">
      <c r="A77" s="195"/>
      <c r="B77" s="197" t="s">
        <v>170</v>
      </c>
      <c r="C77" s="197" t="s">
        <v>157</v>
      </c>
      <c r="D77" s="196" t="s">
        <v>169</v>
      </c>
      <c r="E77" s="196" t="s">
        <v>168</v>
      </c>
      <c r="F77" s="198">
        <f t="shared" si="174"/>
      </c>
      <c r="G77" s="221">
        <v>5709.7</v>
      </c>
      <c r="H77" s="221">
        <v>10782.16</v>
      </c>
      <c r="I77" s="200">
        <v>0</v>
      </c>
      <c r="J77" s="201">
        <v>2</v>
      </c>
      <c r="K77" s="201">
        <v>3213.85</v>
      </c>
      <c r="L77" s="201">
        <v>9</v>
      </c>
      <c r="M77" s="201">
        <v>24491.99</v>
      </c>
      <c r="N77" s="202">
        <v>6</v>
      </c>
      <c r="O77" s="203">
        <f t="shared" si="46"/>
      </c>
      <c r="P77" s="202">
        <v>3</v>
      </c>
      <c r="Q77" s="203">
        <f t="shared" si="236"/>
      </c>
      <c r="R77" s="193">
        <f t="shared" si="64"/>
      </c>
      <c r="S77" s="209">
        <f t="shared" si="118"/>
      </c>
      <c r="T77" s="199">
        <f t="shared" si="234"/>
      </c>
      <c r="U77" s="199">
        <f t="shared" si="2"/>
      </c>
      <c r="V77" s="204">
        <f t="shared" si="0"/>
      </c>
      <c r="W77" s="202">
        <v>9</v>
      </c>
      <c r="X77" s="204">
        <f t="shared" si="6"/>
      </c>
      <c r="Y77" s="204">
        <f t="shared" si="4"/>
      </c>
      <c r="Z77" s="198">
        <f t="shared" si="232"/>
      </c>
      <c r="AA77" s="199">
        <f t="shared" si="47"/>
      </c>
      <c r="AB77" s="199">
        <f t="shared" si="237"/>
      </c>
      <c r="AC77" s="203">
        <f t="shared" si="235"/>
      </c>
      <c r="AD77" s="203">
        <f t="shared" si="3"/>
      </c>
      <c r="AE77" s="203">
        <f t="shared" si="1"/>
      </c>
      <c r="AF77" s="203">
        <f t="shared" si="7"/>
      </c>
      <c r="AG77" s="203">
        <f t="shared" si="5"/>
      </c>
      <c r="AH77" s="203">
        <f t="shared" si="233"/>
      </c>
      <c r="AI77" s="210">
        <f t="shared" si="48"/>
      </c>
      <c r="AJ77" s="202">
        <v>52</v>
      </c>
      <c r="AK77" s="193">
        <v>113112</v>
      </c>
      <c r="AL77" s="193">
        <v>2991</v>
      </c>
      <c r="AM77" s="193">
        <v>3418</v>
      </c>
      <c r="AN77" s="193">
        <v>291</v>
      </c>
      <c r="AO77" s="196">
        <v>78</v>
      </c>
      <c r="AP77" s="211">
        <v>199</v>
      </c>
      <c r="AQ77" s="197">
        <v>375</v>
      </c>
      <c r="AR77" s="196">
        <v>15</v>
      </c>
      <c r="AS77" s="193">
        <v>33</v>
      </c>
      <c r="AT77" s="193">
        <v>4</v>
      </c>
      <c r="AU77" s="211">
        <v>23</v>
      </c>
      <c r="AV77" s="207"/>
      <c r="AW77" s="165"/>
      <c r="AX77" s="197">
        <f t="shared" si="255"/>
      </c>
    </row>
    <row customHeight="true" ht="16.071428571428573" r="78">
      <c r="A78" s="195"/>
      <c r="B78" s="197" t="s">
        <v>170</v>
      </c>
      <c r="C78" s="197" t="s">
        <v>157</v>
      </c>
      <c r="D78" s="196" t="s">
        <v>169</v>
      </c>
      <c r="E78" s="196" t="s">
        <v>171</v>
      </c>
      <c r="F78" s="198">
        <f t="shared" si="174"/>
      </c>
      <c r="G78" s="221">
        <v>3391.99</v>
      </c>
      <c r="H78" s="221">
        <v>7540.63</v>
      </c>
      <c r="I78" s="200">
        <v>0</v>
      </c>
      <c r="J78" s="201">
        <v>2</v>
      </c>
      <c r="K78" s="201">
        <v>5528.5</v>
      </c>
      <c r="L78" s="201">
        <v>5</v>
      </c>
      <c r="M78" s="201">
        <v>22532.52</v>
      </c>
      <c r="N78" s="202">
        <v>3</v>
      </c>
      <c r="O78" s="203">
        <f t="shared" si="46"/>
      </c>
      <c r="P78" s="202">
        <v>2</v>
      </c>
      <c r="Q78" s="203">
        <f t="shared" si="236"/>
      </c>
      <c r="R78" s="193">
        <f t="shared" si="64"/>
      </c>
      <c r="S78" s="209">
        <f t="shared" si="118"/>
      </c>
      <c r="T78" s="199">
        <f t="shared" si="234"/>
      </c>
      <c r="U78" s="199">
        <f t="shared" si="2"/>
      </c>
      <c r="V78" s="204">
        <f t="shared" si="0"/>
      </c>
      <c r="W78" s="202">
        <v>7</v>
      </c>
      <c r="X78" s="204">
        <f t="shared" si="6"/>
      </c>
      <c r="Y78" s="204">
        <f t="shared" si="4"/>
      </c>
      <c r="Z78" s="198">
        <f t="shared" si="232"/>
      </c>
      <c r="AA78" s="199">
        <f t="shared" si="47"/>
      </c>
      <c r="AB78" s="199">
        <f t="shared" si="237"/>
      </c>
      <c r="AC78" s="203">
        <f t="shared" si="235"/>
      </c>
      <c r="AD78" s="203">
        <f t="shared" si="3"/>
      </c>
      <c r="AE78" s="203">
        <f t="shared" si="1"/>
      </c>
      <c r="AF78" s="203">
        <f t="shared" si="7"/>
      </c>
      <c r="AG78" s="203">
        <f t="shared" si="5"/>
      </c>
      <c r="AH78" s="203">
        <f t="shared" si="233"/>
      </c>
      <c r="AI78" s="210">
        <f t="shared" si="48"/>
      </c>
      <c r="AJ78" s="202">
        <v>56</v>
      </c>
      <c r="AK78" s="193">
        <v>87151</v>
      </c>
      <c r="AL78" s="193">
        <v>1807</v>
      </c>
      <c r="AM78" s="193">
        <v>2115</v>
      </c>
      <c r="AN78" s="193">
        <v>182</v>
      </c>
      <c r="AO78" s="196">
        <v>49</v>
      </c>
      <c r="AP78" s="211">
        <v>151</v>
      </c>
      <c r="AQ78" s="197">
        <v>252</v>
      </c>
      <c r="AR78" s="196">
        <v>8</v>
      </c>
      <c r="AS78" s="193">
        <v>18</v>
      </c>
      <c r="AT78" s="193">
        <v>3</v>
      </c>
      <c r="AU78" s="211">
        <v>17</v>
      </c>
      <c r="AV78" s="207"/>
      <c r="AW78" s="165"/>
      <c r="AX78" s="197">
        <f t="shared" si="255"/>
      </c>
    </row>
    <row customHeight="true" ht="16.071428571428573" r="79">
      <c r="A79" s="195"/>
      <c r="B79" s="213" t="s">
        <v>162</v>
      </c>
      <c r="C79" s="213"/>
      <c r="D79" s="213"/>
      <c r="E79" s="213"/>
      <c r="F79" s="181">
        <f>SUM(F75:F78)</f>
      </c>
      <c r="G79" s="181">
        <f>SUM(G75:G78)</f>
      </c>
      <c r="H79" s="181">
        <f>SUM(H75:H78)</f>
      </c>
      <c r="I79" s="181">
        <f>SUM(I75:I78)</f>
      </c>
      <c r="J79" s="181">
        <f>SUM(J75:J78)</f>
      </c>
      <c r="K79" s="181">
        <f>SUM(K75:K78)</f>
      </c>
      <c r="L79" s="181">
        <f>SUM(L75:L78)</f>
      </c>
      <c r="M79" s="181">
        <f>SUM(M75:M78)</f>
      </c>
      <c r="N79" s="181">
        <f>SUM(N75:N78)</f>
      </c>
      <c r="O79" s="183">
        <f t="shared" si="46"/>
      </c>
      <c r="P79" s="181">
        <f>SUM(P75:P78)</f>
      </c>
      <c r="Q79" s="183">
        <f t="shared" si="236"/>
      </c>
      <c r="R79" s="181">
        <f>SUM(R75:R78)</f>
      </c>
      <c r="S79" s="181">
        <f>SUM(S75:S78)</f>
      </c>
      <c r="T79" s="182">
        <f t="shared" si="234"/>
      </c>
      <c r="U79" s="182">
        <f t="shared" si="2"/>
      </c>
      <c r="V79" s="216">
        <f t="shared" si="0"/>
      </c>
      <c r="W79" s="181">
        <f>SUM(W75:W78)</f>
      </c>
      <c r="X79" s="216">
        <f t="shared" si="6"/>
      </c>
      <c r="Y79" s="216">
        <f t="shared" si="4"/>
      </c>
      <c r="Z79" s="181">
        <f t="shared" si="232"/>
      </c>
      <c r="AA79" s="182">
        <f t="shared" si="47"/>
      </c>
      <c r="AB79" s="217">
        <f t="shared" si="237"/>
      </c>
      <c r="AC79" s="183">
        <f t="shared" si="235"/>
      </c>
      <c r="AD79" s="183">
        <f t="shared" si="3"/>
      </c>
      <c r="AE79" s="183">
        <f t="shared" si="1"/>
      </c>
      <c r="AF79" s="231">
        <f t="shared" si="7"/>
      </c>
      <c r="AG79" s="183">
        <f t="shared" si="5"/>
      </c>
      <c r="AH79" s="183">
        <f t="shared" si="233"/>
      </c>
      <c r="AI79" s="183">
        <f t="shared" si="48"/>
      </c>
      <c r="AJ79" s="181">
        <f>SUM(AJ75:AJ78)</f>
      </c>
      <c r="AK79" s="181">
        <f>SUM(AK75:AK78)</f>
      </c>
      <c r="AL79" s="181">
        <f>SUM(AL75:AL78)</f>
      </c>
      <c r="AM79" s="181">
        <f>SUM(AM75:AM78)</f>
      </c>
      <c r="AN79" s="181">
        <f>SUM(AN75:AN78)</f>
      </c>
      <c r="AO79" s="181">
        <f>SUM(AO75:AO78)</f>
      </c>
      <c r="AP79" s="181">
        <f>SUM(AP75:AP78)</f>
      </c>
      <c r="AQ79" s="181">
        <f>SUM(AQ75:AQ78)</f>
      </c>
      <c r="AR79" s="181">
        <f>SUM(AR75:AR78)</f>
      </c>
      <c r="AS79" s="181">
        <f>SUM(AS75:AS78)</f>
      </c>
      <c r="AT79" s="181">
        <f>SUM(AT75:AT78)</f>
      </c>
      <c r="AU79" s="181">
        <f>SUM(AU75:AU78)</f>
      </c>
      <c r="AV79" s="207"/>
      <c r="AW79" s="180"/>
      <c r="AX79" s="181">
        <f>SUM(AX75:AX78)</f>
      </c>
    </row>
    <row r="80">
      <c r="A80" s="195"/>
      <c r="B80" s="222" t="s">
        <v>166</v>
      </c>
      <c r="C80" s="222"/>
      <c r="D80" s="222"/>
      <c r="E80" s="222"/>
      <c r="F80" s="223">
        <f>F74+F79</f>
      </c>
      <c r="G80" s="223">
        <f>G74+G79</f>
      </c>
      <c r="H80" s="223">
        <f>H74+H79</f>
      </c>
      <c r="I80" s="222">
        <f>I74+I79</f>
      </c>
      <c r="J80" s="222">
        <f>J74+J79</f>
      </c>
      <c r="K80" s="222">
        <f>K74+K79</f>
      </c>
      <c r="L80" s="222">
        <f>L74+L79</f>
      </c>
      <c r="M80" s="222">
        <f>M74+M79</f>
      </c>
      <c r="N80" s="222">
        <f>N74+N79</f>
      </c>
      <c r="O80" s="224">
        <f t="shared" si="46"/>
      </c>
      <c r="P80" s="222">
        <f>P74+P79</f>
      </c>
      <c r="Q80" s="224">
        <f t="shared" si="236"/>
      </c>
      <c r="R80" s="222">
        <f>R74+R79</f>
      </c>
      <c r="S80" s="225">
        <f>S74+S79</f>
      </c>
      <c r="T80" s="223">
        <f t="shared" si="234"/>
      </c>
      <c r="U80" s="223">
        <f t="shared" si="2"/>
      </c>
      <c r="V80" s="226">
        <f t="shared" si="0"/>
      </c>
      <c r="W80" s="222">
        <f>W74+W79</f>
      </c>
      <c r="X80" s="226">
        <f t="shared" si="6"/>
      </c>
      <c r="Y80" s="226">
        <f t="shared" si="4"/>
      </c>
      <c r="Z80" s="227">
        <f t="shared" si="232"/>
      </c>
      <c r="AA80" s="223">
        <f t="shared" si="47"/>
      </c>
      <c r="AB80" s="189">
        <f t="shared" si="237"/>
      </c>
      <c r="AC80" s="224">
        <f t="shared" si="235"/>
      </c>
      <c r="AD80" s="224">
        <f t="shared" si="3"/>
      </c>
      <c r="AE80" s="224">
        <f t="shared" si="1"/>
      </c>
      <c r="AF80" s="232">
        <f t="shared" si="7"/>
      </c>
      <c r="AG80" s="224">
        <f t="shared" si="5"/>
      </c>
      <c r="AH80" s="224">
        <f t="shared" si="233"/>
      </c>
      <c r="AI80" s="224">
        <f t="shared" si="48"/>
      </c>
      <c r="AJ80" s="228">
        <f>(AJ74+AJ79)/2</f>
      </c>
      <c r="AK80" s="222">
        <f>AK74+AK79</f>
      </c>
      <c r="AL80" s="229">
        <f>AL74+AL79</f>
      </c>
      <c r="AM80" s="229">
        <f>AM74+AM79</f>
      </c>
      <c r="AN80" s="229">
        <f>AN74+AN79</f>
      </c>
      <c r="AO80" s="229">
        <f>AO74+AO79</f>
      </c>
      <c r="AP80" s="229">
        <f>AP74+AP79</f>
      </c>
      <c r="AQ80" s="229">
        <f>AQ74+AQ79</f>
      </c>
      <c r="AR80" s="229">
        <f>AR74+AR79</f>
      </c>
      <c r="AS80" s="229">
        <f>AS74+AS79</f>
      </c>
      <c r="AT80" s="229">
        <f>AT74+AT79</f>
      </c>
      <c r="AU80" s="222">
        <f>AU74+AU79</f>
      </c>
      <c r="AV80" s="207"/>
      <c r="AW80" s="230">
        <f>AW74+AW79</f>
      </c>
      <c r="AX80" s="222">
        <f>AX74+AX79</f>
      </c>
    </row>
    <row customHeight="true" ht="16.071428571428573" r="81">
      <c r="A81" s="195">
        <v>46276</v>
      </c>
      <c r="B81" s="197" t="s">
        <v>170</v>
      </c>
      <c r="C81" s="197" t="s">
        <v>157</v>
      </c>
      <c r="D81" s="196" t="s">
        <v>158</v>
      </c>
      <c r="E81" s="197" t="s">
        <v>159</v>
      </c>
      <c r="F81" s="198">
        <f t="shared" ref="F81:F84" si="175">G81+H81+I81</f>
      </c>
      <c r="G81" s="221">
        <v>2923.65</v>
      </c>
      <c r="H81" s="221">
        <v>2187.68</v>
      </c>
      <c r="I81" s="200">
        <v>0</v>
      </c>
      <c r="J81" s="201">
        <v>0</v>
      </c>
      <c r="K81" s="201">
        <v>0</v>
      </c>
      <c r="L81" s="201">
        <v>3</v>
      </c>
      <c r="M81" s="201">
        <v>7124.9</v>
      </c>
      <c r="N81" s="202">
        <v>0</v>
      </c>
      <c r="O81" s="203">
        <f t="shared" si="46"/>
      </c>
      <c r="P81" s="202">
        <v>1</v>
      </c>
      <c r="Q81" s="203">
        <f t="shared" si="236"/>
      </c>
      <c r="R81" s="193">
        <f t="shared" ref="R81:R84" si="65">L81+J81</f>
      </c>
      <c r="S81" s="209">
        <f t="shared" ref="S81:S84" si="119">M81+K81</f>
      </c>
      <c r="T81" s="199">
        <f t="shared" si="234"/>
      </c>
      <c r="U81" s="199">
        <f t="shared" si="2"/>
      </c>
      <c r="V81" s="193">
        <f t="shared" si="0"/>
      </c>
      <c r="W81" s="202">
        <v>2</v>
      </c>
      <c r="X81" s="204">
        <f t="shared" si="6"/>
      </c>
      <c r="Y81" s="204">
        <f t="shared" si="4"/>
      </c>
      <c r="Z81" s="198">
        <f t="shared" si="232"/>
      </c>
      <c r="AA81" s="199">
        <f t="shared" si="47"/>
      </c>
      <c r="AB81" s="199">
        <f t="shared" si="237"/>
      </c>
      <c r="AC81" s="203">
        <f t="shared" si="235"/>
      </c>
      <c r="AD81" s="203">
        <f t="shared" si="3"/>
      </c>
      <c r="AE81" s="203">
        <f t="shared" si="1"/>
      </c>
      <c r="AF81" s="203">
        <f t="shared" si="7"/>
      </c>
      <c r="AG81" s="203">
        <f t="shared" si="5"/>
      </c>
      <c r="AH81" s="203">
        <f t="shared" si="233"/>
      </c>
      <c r="AI81" s="205">
        <f t="shared" si="48"/>
      </c>
      <c r="AJ81" s="202">
        <v>48</v>
      </c>
      <c r="AK81" s="193">
        <v>32231</v>
      </c>
      <c r="AL81" s="193">
        <v>845</v>
      </c>
      <c r="AM81" s="193">
        <v>1018</v>
      </c>
      <c r="AN81" s="193">
        <v>91</v>
      </c>
      <c r="AO81" s="196">
        <v>37</v>
      </c>
      <c r="AP81" s="206">
        <v>82</v>
      </c>
      <c r="AQ81" s="206">
        <v>132</v>
      </c>
      <c r="AR81" s="196">
        <v>4</v>
      </c>
      <c r="AS81" s="197">
        <v>8</v>
      </c>
      <c r="AT81" s="193">
        <v>1</v>
      </c>
      <c r="AU81" s="193">
        <v>5</v>
      </c>
      <c r="AV81" s="207"/>
      <c r="AW81" s="165"/>
      <c r="AX81" s="197">
        <f t="shared" ref="AX81:AX84" si="256">COUNT(AU81)</f>
      </c>
    </row>
    <row customHeight="true" ht="16.071428571428573" r="82">
      <c r="A82" s="195"/>
      <c r="B82" s="197" t="s">
        <v>170</v>
      </c>
      <c r="C82" s="197" t="s">
        <v>157</v>
      </c>
      <c r="D82" s="196" t="s">
        <v>158</v>
      </c>
      <c r="E82" s="197" t="s">
        <v>160</v>
      </c>
      <c r="F82" s="198">
        <f t="shared" si="175"/>
      </c>
      <c r="G82" s="221">
        <v>2147.24</v>
      </c>
      <c r="H82" s="221">
        <v>2526.11</v>
      </c>
      <c r="I82" s="200">
        <v>0</v>
      </c>
      <c r="J82" s="201">
        <v>0</v>
      </c>
      <c r="K82" s="201">
        <v>0</v>
      </c>
      <c r="L82" s="201">
        <v>5</v>
      </c>
      <c r="M82" s="201">
        <v>21208.65</v>
      </c>
      <c r="N82" s="202">
        <v>1</v>
      </c>
      <c r="O82" s="203">
        <f t="shared" si="46"/>
      </c>
      <c r="P82" s="202">
        <v>1</v>
      </c>
      <c r="Q82" s="203">
        <f t="shared" si="236"/>
      </c>
      <c r="R82" s="193">
        <f t="shared" si="65"/>
      </c>
      <c r="S82" s="209">
        <f t="shared" si="119"/>
      </c>
      <c r="T82" s="199">
        <f t="shared" si="234"/>
      </c>
      <c r="U82" s="199">
        <f t="shared" si="2"/>
      </c>
      <c r="V82" s="193">
        <f t="shared" si="0"/>
      </c>
      <c r="W82" s="202">
        <v>4</v>
      </c>
      <c r="X82" s="204">
        <f t="shared" si="6"/>
      </c>
      <c r="Y82" s="204">
        <f t="shared" si="4"/>
      </c>
      <c r="Z82" s="198">
        <f t="shared" si="232"/>
      </c>
      <c r="AA82" s="199">
        <f t="shared" si="47"/>
      </c>
      <c r="AB82" s="199">
        <f t="shared" si="237"/>
      </c>
      <c r="AC82" s="203">
        <f t="shared" si="235"/>
      </c>
      <c r="AD82" s="203">
        <f t="shared" si="3"/>
      </c>
      <c r="AE82" s="203">
        <f t="shared" si="1"/>
      </c>
      <c r="AF82" s="203">
        <f t="shared" si="7"/>
      </c>
      <c r="AG82" s="203">
        <f t="shared" si="5"/>
      </c>
      <c r="AH82" s="210">
        <f t="shared" si="233"/>
      </c>
      <c r="AI82" s="210">
        <f t="shared" si="48"/>
      </c>
      <c r="AJ82" s="202">
        <v>53</v>
      </c>
      <c r="AK82" s="193">
        <v>25682</v>
      </c>
      <c r="AL82" s="193">
        <v>852</v>
      </c>
      <c r="AM82" s="193">
        <v>1051</v>
      </c>
      <c r="AN82" s="193">
        <v>136</v>
      </c>
      <c r="AO82" s="196">
        <v>42</v>
      </c>
      <c r="AP82" s="211">
        <v>116</v>
      </c>
      <c r="AQ82" s="197">
        <v>160</v>
      </c>
      <c r="AR82" s="196">
        <v>6</v>
      </c>
      <c r="AS82" s="193">
        <v>18</v>
      </c>
      <c r="AT82" s="193">
        <v>5</v>
      </c>
      <c r="AU82" s="211">
        <v>6</v>
      </c>
      <c r="AV82" s="207"/>
      <c r="AW82" s="165"/>
      <c r="AX82" s="197">
        <f t="shared" si="256"/>
      </c>
    </row>
    <row customHeight="true" ht="16.071428571428573" r="83">
      <c r="A83" s="195"/>
      <c r="B83" s="197" t="s">
        <v>170</v>
      </c>
      <c r="C83" s="197" t="s">
        <v>157</v>
      </c>
      <c r="D83" s="196" t="s">
        <v>158</v>
      </c>
      <c r="E83" s="197" t="s">
        <v>161</v>
      </c>
      <c r="F83" s="198">
        <f t="shared" si="175"/>
      </c>
      <c r="G83" s="221">
        <v>5270.82</v>
      </c>
      <c r="H83" s="221">
        <v>3039.87</v>
      </c>
      <c r="I83" s="200">
        <v>0</v>
      </c>
      <c r="J83" s="201">
        <v>1</v>
      </c>
      <c r="K83" s="201">
        <v>1221.7</v>
      </c>
      <c r="L83" s="201">
        <v>8</v>
      </c>
      <c r="M83" s="201">
        <v>21674.47</v>
      </c>
      <c r="N83" s="202">
        <v>1</v>
      </c>
      <c r="O83" s="203">
        <f t="shared" si="46"/>
      </c>
      <c r="P83" s="202">
        <v>1</v>
      </c>
      <c r="Q83" s="203">
        <f t="shared" si="236"/>
      </c>
      <c r="R83" s="193">
        <f t="shared" si="65"/>
      </c>
      <c r="S83" s="209">
        <f t="shared" si="119"/>
      </c>
      <c r="T83" s="199">
        <f t="shared" si="234"/>
      </c>
      <c r="U83" s="199">
        <f t="shared" si="2"/>
      </c>
      <c r="V83" s="204">
        <f t="shared" si="0"/>
      </c>
      <c r="W83" s="202">
        <v>7</v>
      </c>
      <c r="X83" s="204">
        <f t="shared" si="6"/>
      </c>
      <c r="Y83" s="204">
        <f t="shared" si="4"/>
      </c>
      <c r="Z83" s="198">
        <f t="shared" si="232"/>
      </c>
      <c r="AA83" s="199">
        <f t="shared" si="47"/>
      </c>
      <c r="AB83" s="199">
        <f t="shared" si="237"/>
      </c>
      <c r="AC83" s="203">
        <f t="shared" si="235"/>
      </c>
      <c r="AD83" s="203">
        <f t="shared" si="3"/>
      </c>
      <c r="AE83" s="203">
        <f t="shared" si="1"/>
      </c>
      <c r="AF83" s="203">
        <f t="shared" si="7"/>
      </c>
      <c r="AG83" s="203">
        <f t="shared" si="5"/>
      </c>
      <c r="AH83" s="203">
        <f t="shared" si="233"/>
      </c>
      <c r="AI83" s="212">
        <f t="shared" si="48"/>
      </c>
      <c r="AJ83" s="202">
        <v>42</v>
      </c>
      <c r="AK83" s="193">
        <v>48663</v>
      </c>
      <c r="AL83" s="193">
        <v>2233</v>
      </c>
      <c r="AM83" s="193">
        <v>2636</v>
      </c>
      <c r="AN83" s="193">
        <v>211</v>
      </c>
      <c r="AO83" s="196">
        <v>51</v>
      </c>
      <c r="AP83" s="211">
        <v>169</v>
      </c>
      <c r="AQ83" s="197">
        <v>258</v>
      </c>
      <c r="AR83" s="196">
        <v>11</v>
      </c>
      <c r="AS83" s="193">
        <v>19</v>
      </c>
      <c r="AT83" s="193">
        <v>6</v>
      </c>
      <c r="AU83" s="211">
        <v>4</v>
      </c>
      <c r="AV83" s="207"/>
      <c r="AW83" s="165"/>
      <c r="AX83" s="197">
        <f t="shared" si="256"/>
      </c>
    </row>
    <row customHeight="true" ht="16.071428571428573" r="84">
      <c r="A84" s="195"/>
      <c r="B84" s="197" t="s">
        <v>170</v>
      </c>
      <c r="C84" s="197" t="s">
        <v>157</v>
      </c>
      <c r="D84" s="196" t="s">
        <v>158</v>
      </c>
      <c r="E84" s="197" t="s">
        <v>164</v>
      </c>
      <c r="F84" s="198">
        <f t="shared" si="175"/>
      </c>
      <c r="G84" s="221">
        <v>5891.95</v>
      </c>
      <c r="H84" s="221">
        <v>2835.76</v>
      </c>
      <c r="I84" s="200">
        <v>0</v>
      </c>
      <c r="J84" s="201">
        <v>2</v>
      </c>
      <c r="K84" s="201">
        <v>1682.7</v>
      </c>
      <c r="L84" s="201">
        <v>4</v>
      </c>
      <c r="M84" s="201">
        <v>8329.6</v>
      </c>
      <c r="N84" s="202">
        <v>0</v>
      </c>
      <c r="O84" s="203">
        <f t="shared" si="46"/>
      </c>
      <c r="P84" s="202">
        <v>0</v>
      </c>
      <c r="Q84" s="203">
        <f t="shared" si="236"/>
      </c>
      <c r="R84" s="193">
        <f t="shared" si="65"/>
      </c>
      <c r="S84" s="209">
        <f t="shared" si="119"/>
      </c>
      <c r="T84" s="199">
        <f t="shared" si="234"/>
      </c>
      <c r="U84" s="199">
        <f t="shared" si="2"/>
      </c>
      <c r="V84" s="204">
        <f t="shared" si="0"/>
      </c>
      <c r="W84" s="202">
        <v>6</v>
      </c>
      <c r="X84" s="204">
        <f t="shared" si="6"/>
      </c>
      <c r="Y84" s="204">
        <f t="shared" si="4"/>
      </c>
      <c r="Z84" s="198">
        <f t="shared" si="232"/>
      </c>
      <c r="AA84" s="199">
        <f t="shared" si="47"/>
      </c>
      <c r="AB84" s="199">
        <f t="shared" si="237"/>
      </c>
      <c r="AC84" s="203">
        <f t="shared" si="235"/>
      </c>
      <c r="AD84" s="203">
        <f t="shared" si="3"/>
      </c>
      <c r="AE84" s="203">
        <f t="shared" si="1"/>
      </c>
      <c r="AF84" s="203">
        <f t="shared" si="7"/>
      </c>
      <c r="AG84" s="203">
        <f t="shared" si="5"/>
      </c>
      <c r="AH84" s="203">
        <f t="shared" si="233"/>
      </c>
      <c r="AI84" s="212">
        <f t="shared" si="48"/>
      </c>
      <c r="AJ84" s="202">
        <v>39</v>
      </c>
      <c r="AK84" s="193">
        <v>47887</v>
      </c>
      <c r="AL84" s="193">
        <v>2752</v>
      </c>
      <c r="AM84" s="193">
        <v>3105</v>
      </c>
      <c r="AN84" s="193">
        <v>205</v>
      </c>
      <c r="AO84" s="196">
        <v>65</v>
      </c>
      <c r="AP84" s="211">
        <v>211</v>
      </c>
      <c r="AQ84" s="197">
        <v>237</v>
      </c>
      <c r="AR84" s="196">
        <v>8</v>
      </c>
      <c r="AS84" s="193">
        <v>24</v>
      </c>
      <c r="AT84" s="193">
        <v>1</v>
      </c>
      <c r="AU84" s="211">
        <v>9</v>
      </c>
      <c r="AV84" s="207"/>
      <c r="AW84" s="165"/>
      <c r="AX84" s="197">
        <f t="shared" si="256"/>
      </c>
    </row>
    <row customHeight="true" ht="16.071428571428573" r="85">
      <c r="A85" s="195"/>
      <c r="B85" s="213" t="s">
        <v>162</v>
      </c>
      <c r="C85" s="213"/>
      <c r="D85" s="213"/>
      <c r="E85" s="213"/>
      <c r="F85" s="181">
        <f>SUM(F81:F84)</f>
      </c>
      <c r="G85" s="181">
        <f>SUM(G81:G84)</f>
      </c>
      <c r="H85" s="181">
        <f>SUM(H81:H84)</f>
      </c>
      <c r="I85" s="181">
        <f>SUM(I81:I84)</f>
      </c>
      <c r="J85" s="181">
        <f>SUM(J81:J84)</f>
      </c>
      <c r="K85" s="181">
        <f>SUM(K81:K84)</f>
      </c>
      <c r="L85" s="181">
        <f>SUM(L81:L84)</f>
      </c>
      <c r="M85" s="181">
        <f>SUM(M81:M84)</f>
      </c>
      <c r="N85" s="181">
        <f>SUM(N81:N84)</f>
      </c>
      <c r="O85" s="183">
        <f t="shared" si="46"/>
      </c>
      <c r="P85" s="181">
        <f>SUM(P81:P84)</f>
      </c>
      <c r="Q85" s="183">
        <f t="shared" si="236"/>
      </c>
      <c r="R85" s="181">
        <f>SUM(R81:R84)</f>
      </c>
      <c r="S85" s="181">
        <f>SUM(S81:S84)</f>
      </c>
      <c r="T85" s="182">
        <f t="shared" si="234"/>
      </c>
      <c r="U85" s="182">
        <f t="shared" si="2"/>
      </c>
      <c r="V85" s="182">
        <f t="shared" si="0"/>
      </c>
      <c r="W85" s="181">
        <f>SUM(W81:W84)</f>
      </c>
      <c r="X85" s="216">
        <f t="shared" si="6"/>
      </c>
      <c r="Y85" s="216">
        <f t="shared" si="4"/>
      </c>
      <c r="Z85" s="181">
        <f t="shared" si="232"/>
      </c>
      <c r="AA85" s="182">
        <f t="shared" si="47"/>
      </c>
      <c r="AB85" s="217">
        <f t="shared" si="237"/>
      </c>
      <c r="AC85" s="183">
        <f t="shared" si="235"/>
      </c>
      <c r="AD85" s="183">
        <f t="shared" si="3"/>
      </c>
      <c r="AE85" s="183">
        <f t="shared" si="1"/>
      </c>
      <c r="AF85" s="183">
        <f t="shared" si="7"/>
      </c>
      <c r="AG85" s="183">
        <f t="shared" si="5"/>
      </c>
      <c r="AH85" s="183">
        <f t="shared" si="233"/>
      </c>
      <c r="AI85" s="218">
        <f t="shared" si="48"/>
      </c>
      <c r="AJ85" s="181">
        <f>SUM(AJ81:AJ84)</f>
      </c>
      <c r="AK85" s="181">
        <f>SUM(AK81:AK84)</f>
      </c>
      <c r="AL85" s="181">
        <f>SUM(AL81:AL84)</f>
      </c>
      <c r="AM85" s="181">
        <f>SUM(AM81:AM84)</f>
      </c>
      <c r="AN85" s="181">
        <f>SUM(AN81:AN84)</f>
      </c>
      <c r="AO85" s="181">
        <f>SUM(AO81:AO84)</f>
      </c>
      <c r="AP85" s="181">
        <f>SUM(AP81:AP84)</f>
      </c>
      <c r="AQ85" s="181">
        <f>SUM(AQ81:AQ84)</f>
      </c>
      <c r="AR85" s="181">
        <f>SUM(AR81:AR84)</f>
      </c>
      <c r="AS85" s="181">
        <f>SUM(AS81:AS84)</f>
      </c>
      <c r="AT85" s="181">
        <f>SUM(AT81:AT84)</f>
      </c>
      <c r="AU85" s="181">
        <f>SUM(AU81:AU84)</f>
      </c>
      <c r="AV85" s="207"/>
      <c r="AW85" s="180"/>
      <c r="AX85" s="181">
        <f>SUM(AX81:AX84)</f>
      </c>
    </row>
    <row customHeight="true" ht="16.071428571428573" r="86">
      <c r="A86" s="195"/>
      <c r="B86" s="197" t="s">
        <v>170</v>
      </c>
      <c r="C86" s="197" t="s">
        <v>157</v>
      </c>
      <c r="D86" s="197" t="s">
        <v>163</v>
      </c>
      <c r="E86" s="197" t="s">
        <v>165</v>
      </c>
      <c r="F86" s="198">
        <f t="shared" ref="F86:F89" si="176">G86+H86+I86</f>
      </c>
      <c r="G86" s="221">
        <v>4235.91</v>
      </c>
      <c r="H86" s="221">
        <v>3628.29</v>
      </c>
      <c r="I86" s="200">
        <v>0</v>
      </c>
      <c r="J86" s="201">
        <v>2</v>
      </c>
      <c r="K86" s="201">
        <v>4385.3</v>
      </c>
      <c r="L86" s="201">
        <v>3</v>
      </c>
      <c r="M86" s="201">
        <v>6979.84</v>
      </c>
      <c r="N86" s="202">
        <v>3</v>
      </c>
      <c r="O86" s="203">
        <f t="shared" si="46"/>
      </c>
      <c r="P86" s="202">
        <v>1</v>
      </c>
      <c r="Q86" s="203">
        <f t="shared" si="236"/>
      </c>
      <c r="R86" s="193">
        <f t="shared" ref="R86:R89" si="66">L86+J86</f>
      </c>
      <c r="S86" s="209">
        <f t="shared" ref="S86:S89" si="120">M86+K86</f>
      </c>
      <c r="T86" s="199">
        <f t="shared" si="234"/>
      </c>
      <c r="U86" s="199">
        <f t="shared" si="2"/>
      </c>
      <c r="V86" s="204">
        <f t="shared" si="0"/>
      </c>
      <c r="W86" s="202">
        <v>5</v>
      </c>
      <c r="X86" s="204">
        <f t="shared" si="6"/>
      </c>
      <c r="Y86" s="204">
        <f t="shared" si="4"/>
      </c>
      <c r="Z86" s="198">
        <f t="shared" si="232"/>
      </c>
      <c r="AA86" s="199">
        <f t="shared" si="47"/>
      </c>
      <c r="AB86" s="199">
        <f t="shared" si="237"/>
      </c>
      <c r="AC86" s="203">
        <f t="shared" si="235"/>
      </c>
      <c r="AD86" s="203">
        <f t="shared" si="3"/>
      </c>
      <c r="AE86" s="203">
        <f t="shared" si="1"/>
      </c>
      <c r="AF86" s="203">
        <f t="shared" si="7"/>
      </c>
      <c r="AG86" s="203">
        <f t="shared" si="5"/>
      </c>
      <c r="AH86" s="203">
        <f t="shared" si="233"/>
      </c>
      <c r="AI86" s="210">
        <f t="shared" si="48"/>
      </c>
      <c r="AJ86" s="202">
        <v>41</v>
      </c>
      <c r="AK86" s="193">
        <v>43091</v>
      </c>
      <c r="AL86" s="193">
        <v>1929</v>
      </c>
      <c r="AM86" s="193">
        <v>2149</v>
      </c>
      <c r="AN86" s="193">
        <v>187</v>
      </c>
      <c r="AO86" s="196">
        <v>47</v>
      </c>
      <c r="AP86" s="211">
        <v>160</v>
      </c>
      <c r="AQ86" s="197">
        <v>220</v>
      </c>
      <c r="AR86" s="196">
        <v>7</v>
      </c>
      <c r="AS86" s="193">
        <v>17</v>
      </c>
      <c r="AT86" s="193">
        <v>2</v>
      </c>
      <c r="AU86" s="211">
        <v>13</v>
      </c>
      <c r="AV86" s="207"/>
      <c r="AW86" s="165"/>
      <c r="AX86" s="197">
        <f t="shared" ref="AX86:AX89" si="257">COUNT(AU86)</f>
      </c>
    </row>
    <row customHeight="true" ht="16.071428571428573" r="87">
      <c r="A87" s="195"/>
      <c r="B87" s="197" t="s">
        <v>170</v>
      </c>
      <c r="C87" s="197" t="s">
        <v>157</v>
      </c>
      <c r="D87" s="197" t="s">
        <v>163</v>
      </c>
      <c r="E87" s="196" t="s">
        <v>168</v>
      </c>
      <c r="F87" s="198">
        <f t="shared" si="176"/>
      </c>
      <c r="G87" s="221">
        <v>3506.31</v>
      </c>
      <c r="H87" s="221">
        <v>7115.86</v>
      </c>
      <c r="I87" s="200">
        <v>0</v>
      </c>
      <c r="J87" s="201">
        <v>1</v>
      </c>
      <c r="K87" s="201">
        <v>1221.7</v>
      </c>
      <c r="L87" s="201">
        <v>6</v>
      </c>
      <c r="M87" s="201">
        <v>25453.07</v>
      </c>
      <c r="N87" s="202">
        <v>3</v>
      </c>
      <c r="O87" s="203">
        <f t="shared" si="46"/>
      </c>
      <c r="P87" s="202">
        <v>3</v>
      </c>
      <c r="Q87" s="203">
        <f t="shared" si="236"/>
      </c>
      <c r="R87" s="193">
        <f t="shared" si="66"/>
      </c>
      <c r="S87" s="209">
        <f t="shared" si="120"/>
      </c>
      <c r="T87" s="199">
        <f t="shared" si="234"/>
      </c>
      <c r="U87" s="199">
        <f t="shared" si="2"/>
      </c>
      <c r="V87" s="204">
        <f t="shared" si="0"/>
      </c>
      <c r="W87" s="202">
        <v>6</v>
      </c>
      <c r="X87" s="204">
        <f t="shared" si="6"/>
      </c>
      <c r="Y87" s="204">
        <f t="shared" si="4"/>
      </c>
      <c r="Z87" s="198">
        <f t="shared" si="232"/>
      </c>
      <c r="AA87" s="199">
        <f t="shared" si="47"/>
      </c>
      <c r="AB87" s="199">
        <f t="shared" si="237"/>
      </c>
      <c r="AC87" s="203">
        <f t="shared" si="235"/>
      </c>
      <c r="AD87" s="203">
        <f t="shared" si="3"/>
      </c>
      <c r="AE87" s="203">
        <f t="shared" si="1"/>
      </c>
      <c r="AF87" s="203">
        <f t="shared" si="7"/>
      </c>
      <c r="AG87" s="203">
        <f t="shared" si="5"/>
      </c>
      <c r="AH87" s="203">
        <f t="shared" si="233"/>
      </c>
      <c r="AI87" s="210">
        <f t="shared" si="48"/>
      </c>
      <c r="AJ87" s="202">
        <v>44</v>
      </c>
      <c r="AK87" s="193">
        <v>49683</v>
      </c>
      <c r="AL87" s="193">
        <v>1810</v>
      </c>
      <c r="AM87" s="193">
        <v>2051</v>
      </c>
      <c r="AN87" s="193">
        <v>236</v>
      </c>
      <c r="AO87" s="196">
        <v>50</v>
      </c>
      <c r="AP87" s="211">
        <v>170</v>
      </c>
      <c r="AQ87" s="197">
        <v>275</v>
      </c>
      <c r="AR87" s="196">
        <v>7</v>
      </c>
      <c r="AS87" s="193">
        <v>11</v>
      </c>
      <c r="AT87" s="193">
        <v>1</v>
      </c>
      <c r="AU87" s="211">
        <v>27</v>
      </c>
      <c r="AV87" s="207"/>
      <c r="AW87" s="165"/>
      <c r="AX87" s="197">
        <f t="shared" si="257"/>
      </c>
    </row>
    <row customHeight="true" ht="16.071428571428573" r="88">
      <c r="A88" s="195"/>
      <c r="B88" s="197" t="s">
        <v>170</v>
      </c>
      <c r="C88" s="197" t="s">
        <v>157</v>
      </c>
      <c r="D88" s="197" t="s">
        <v>163</v>
      </c>
      <c r="E88" s="196" t="s">
        <v>171</v>
      </c>
      <c r="F88" s="198">
        <f t="shared" si="176"/>
      </c>
      <c r="G88" s="221">
        <v>2332.67</v>
      </c>
      <c r="H88" s="221">
        <v>5526.71</v>
      </c>
      <c r="I88" s="200">
        <v>0</v>
      </c>
      <c r="J88" s="201">
        <v>0</v>
      </c>
      <c r="K88" s="201">
        <v>0</v>
      </c>
      <c r="L88" s="201">
        <v>5</v>
      </c>
      <c r="M88" s="201">
        <v>15590.15</v>
      </c>
      <c r="N88" s="202">
        <v>3</v>
      </c>
      <c r="O88" s="203">
        <f t="shared" si="46"/>
      </c>
      <c r="P88" s="202">
        <v>1</v>
      </c>
      <c r="Q88" s="203">
        <f t="shared" si="236"/>
      </c>
      <c r="R88" s="193">
        <f t="shared" si="66"/>
      </c>
      <c r="S88" s="209">
        <f t="shared" si="120"/>
      </c>
      <c r="T88" s="199">
        <f t="shared" si="234"/>
      </c>
      <c r="U88" s="199">
        <f t="shared" si="2"/>
      </c>
      <c r="V88" s="204">
        <f t="shared" si="0"/>
      </c>
      <c r="W88" s="202">
        <v>5</v>
      </c>
      <c r="X88" s="204">
        <f t="shared" si="6"/>
      </c>
      <c r="Y88" s="204">
        <f t="shared" si="4"/>
      </c>
      <c r="Z88" s="198">
        <f t="shared" si="232"/>
      </c>
      <c r="AA88" s="199">
        <f t="shared" si="47"/>
      </c>
      <c r="AB88" s="199">
        <f t="shared" si="237"/>
      </c>
      <c r="AC88" s="203">
        <f t="shared" si="235"/>
      </c>
      <c r="AD88" s="203">
        <f t="shared" si="3"/>
      </c>
      <c r="AE88" s="203">
        <f t="shared" si="1"/>
      </c>
      <c r="AF88" s="203">
        <f t="shared" si="7"/>
      </c>
      <c r="AG88" s="203">
        <f t="shared" si="5"/>
      </c>
      <c r="AH88" s="203">
        <f t="shared" si="233"/>
      </c>
      <c r="AI88" s="210">
        <f t="shared" si="48"/>
      </c>
      <c r="AJ88" s="202">
        <v>44</v>
      </c>
      <c r="AK88" s="193">
        <v>38092</v>
      </c>
      <c r="AL88" s="193">
        <v>1357</v>
      </c>
      <c r="AM88" s="193">
        <v>1522</v>
      </c>
      <c r="AN88" s="193">
        <v>175</v>
      </c>
      <c r="AO88" s="196">
        <v>44</v>
      </c>
      <c r="AP88" s="211">
        <v>115</v>
      </c>
      <c r="AQ88" s="197">
        <v>151</v>
      </c>
      <c r="AR88" s="196">
        <v>5</v>
      </c>
      <c r="AS88" s="193">
        <v>13</v>
      </c>
      <c r="AT88" s="193">
        <v>2</v>
      </c>
      <c r="AU88" s="211">
        <v>28</v>
      </c>
      <c r="AV88" s="207"/>
      <c r="AW88" s="165"/>
      <c r="AX88" s="197">
        <f t="shared" si="257"/>
      </c>
    </row>
    <row customHeight="true" ht="16.071428571428573" r="89">
      <c r="A89" s="195"/>
      <c r="B89" s="197" t="s">
        <v>170</v>
      </c>
      <c r="C89" s="197" t="s">
        <v>157</v>
      </c>
      <c r="D89" s="197" t="s">
        <v>163</v>
      </c>
      <c r="E89" s="196" t="s">
        <v>172</v>
      </c>
      <c r="F89" s="198">
        <f t="shared" si="176"/>
      </c>
      <c r="G89" s="221">
        <v>1617.67</v>
      </c>
      <c r="H89" s="221">
        <v>3609.46</v>
      </c>
      <c r="I89" s="200">
        <v>0</v>
      </c>
      <c r="J89" s="201">
        <v>0</v>
      </c>
      <c r="K89" s="201">
        <v>0</v>
      </c>
      <c r="L89" s="201">
        <v>1</v>
      </c>
      <c r="M89" s="201">
        <v>2018.75</v>
      </c>
      <c r="N89" s="202">
        <v>0</v>
      </c>
      <c r="O89" s="203">
        <f t="shared" si="46"/>
      </c>
      <c r="P89" s="202">
        <v>0</v>
      </c>
      <c r="Q89" s="203">
        <f t="shared" si="236"/>
      </c>
      <c r="R89" s="193">
        <f t="shared" si="66"/>
      </c>
      <c r="S89" s="209">
        <f t="shared" si="120"/>
      </c>
      <c r="T89" s="199">
        <f t="shared" si="234"/>
      </c>
      <c r="U89" s="199">
        <f t="shared" si="2"/>
      </c>
      <c r="V89" s="204">
        <f t="shared" si="0"/>
      </c>
      <c r="W89" s="202">
        <v>1</v>
      </c>
      <c r="X89" s="204">
        <f t="shared" si="6"/>
      </c>
      <c r="Y89" s="204">
        <f t="shared" si="4"/>
      </c>
      <c r="Z89" s="198">
        <f t="shared" si="232"/>
      </c>
      <c r="AA89" s="199">
        <f t="shared" si="47"/>
      </c>
      <c r="AB89" s="199">
        <f t="shared" si="237"/>
      </c>
      <c r="AC89" s="203">
        <f t="shared" si="235"/>
      </c>
      <c r="AD89" s="203">
        <f t="shared" si="3"/>
      </c>
      <c r="AE89" s="203">
        <f t="shared" si="1"/>
      </c>
      <c r="AF89" s="203">
        <f t="shared" si="7"/>
      </c>
      <c r="AG89" s="203">
        <f t="shared" si="5"/>
      </c>
      <c r="AH89" s="203">
        <f t="shared" si="233"/>
      </c>
      <c r="AI89" s="210">
        <f t="shared" si="48"/>
      </c>
      <c r="AJ89" s="202">
        <v>47</v>
      </c>
      <c r="AK89" s="193">
        <v>29789</v>
      </c>
      <c r="AL89" s="193">
        <v>1082</v>
      </c>
      <c r="AM89" s="193">
        <v>1272</v>
      </c>
      <c r="AN89" s="193">
        <v>128</v>
      </c>
      <c r="AO89" s="196">
        <v>25</v>
      </c>
      <c r="AP89" s="211">
        <v>79</v>
      </c>
      <c r="AQ89" s="197">
        <v>139</v>
      </c>
      <c r="AR89" s="196">
        <v>2</v>
      </c>
      <c r="AS89" s="193">
        <v>10</v>
      </c>
      <c r="AT89" s="193">
        <v>0</v>
      </c>
      <c r="AU89" s="211">
        <v>14</v>
      </c>
      <c r="AV89" s="207"/>
      <c r="AW89" s="165"/>
      <c r="AX89" s="197">
        <f t="shared" si="257"/>
      </c>
    </row>
    <row customHeight="true" ht="16.071428571428573" r="90">
      <c r="A90" s="195"/>
      <c r="B90" s="213" t="s">
        <v>162</v>
      </c>
      <c r="C90" s="213"/>
      <c r="D90" s="213"/>
      <c r="E90" s="213"/>
      <c r="F90" s="181">
        <f>SUM(F86:F89)</f>
      </c>
      <c r="G90" s="181">
        <f>SUM(G86:G89)</f>
      </c>
      <c r="H90" s="181">
        <f>SUM(H86:H89)</f>
      </c>
      <c r="I90" s="181">
        <f>SUM(I86:I89)</f>
      </c>
      <c r="J90" s="181">
        <f>SUM(J86:J89)</f>
      </c>
      <c r="K90" s="181">
        <f>SUM(K86:K89)</f>
      </c>
      <c r="L90" s="181">
        <f>SUM(L86:L89)</f>
      </c>
      <c r="M90" s="181">
        <f>SUM(M86:M89)</f>
      </c>
      <c r="N90" s="181">
        <f>SUM(N86:N89)</f>
      </c>
      <c r="O90" s="183">
        <f t="shared" si="46"/>
      </c>
      <c r="P90" s="181">
        <f>SUM(P86:P89)</f>
      </c>
      <c r="Q90" s="183">
        <f t="shared" si="236"/>
      </c>
      <c r="R90" s="181">
        <f>SUM(R86:R89)</f>
      </c>
      <c r="S90" s="181">
        <f>SUM(S86:S89)</f>
      </c>
      <c r="T90" s="182">
        <f t="shared" si="234"/>
      </c>
      <c r="U90" s="182">
        <f t="shared" si="2"/>
      </c>
      <c r="V90" s="216">
        <f t="shared" si="0"/>
      </c>
      <c r="W90" s="181">
        <f>SUM(W86:W89)</f>
      </c>
      <c r="X90" s="216">
        <f t="shared" si="6"/>
      </c>
      <c r="Y90" s="216">
        <f t="shared" si="4"/>
      </c>
      <c r="Z90" s="181">
        <f t="shared" si="232"/>
      </c>
      <c r="AA90" s="182">
        <f t="shared" si="47"/>
      </c>
      <c r="AB90" s="217">
        <f t="shared" si="237"/>
      </c>
      <c r="AC90" s="183">
        <f t="shared" si="235"/>
      </c>
      <c r="AD90" s="183">
        <f t="shared" si="3"/>
      </c>
      <c r="AE90" s="183">
        <f t="shared" si="1"/>
      </c>
      <c r="AF90" s="231">
        <f t="shared" si="7"/>
      </c>
      <c r="AG90" s="183">
        <f t="shared" si="5"/>
      </c>
      <c r="AH90" s="183">
        <f t="shared" si="233"/>
      </c>
      <c r="AI90" s="183">
        <f t="shared" si="48"/>
      </c>
      <c r="AJ90" s="181">
        <f>SUM(AJ86:AJ89)</f>
      </c>
      <c r="AK90" s="181">
        <f>SUM(AK86:AK89)</f>
      </c>
      <c r="AL90" s="181">
        <f>SUM(AL86:AL89)</f>
      </c>
      <c r="AM90" s="181">
        <f>SUM(AM86:AM89)</f>
      </c>
      <c r="AN90" s="181">
        <f>SUM(AN86:AN89)</f>
      </c>
      <c r="AO90" s="181">
        <f>SUM(AO86:AO89)</f>
      </c>
      <c r="AP90" s="181">
        <f>SUM(AP86:AP89)</f>
      </c>
      <c r="AQ90" s="181">
        <f>SUM(AQ86:AQ89)</f>
      </c>
      <c r="AR90" s="181">
        <f>SUM(AR86:AR89)</f>
      </c>
      <c r="AS90" s="181">
        <f>SUM(AS86:AS89)</f>
      </c>
      <c r="AT90" s="181">
        <f>SUM(AT86:AT89)</f>
      </c>
      <c r="AU90" s="181">
        <f>SUM(AU86:AU89)</f>
      </c>
      <c r="AV90" s="207"/>
      <c r="AW90" s="180"/>
      <c r="AX90" s="181">
        <f>SUM(AX86:AX89)</f>
      </c>
    </row>
    <row customHeight="true" ht="16.071428571428573" r="91">
      <c r="A91" s="195"/>
      <c r="B91" s="222" t="s">
        <v>166</v>
      </c>
      <c r="C91" s="222"/>
      <c r="D91" s="222"/>
      <c r="E91" s="222"/>
      <c r="F91" s="223">
        <f>F85+F90</f>
      </c>
      <c r="G91" s="223">
        <f>G85+G90</f>
      </c>
      <c r="H91" s="223">
        <f>H85+H90</f>
      </c>
      <c r="I91" s="222">
        <f>I85+I90</f>
      </c>
      <c r="J91" s="222">
        <f>J85+J90</f>
      </c>
      <c r="K91" s="222">
        <f>K85+K90</f>
      </c>
      <c r="L91" s="222">
        <f>L85+L90</f>
      </c>
      <c r="M91" s="222">
        <f>M85+M90</f>
      </c>
      <c r="N91" s="222">
        <f>N85+N90</f>
      </c>
      <c r="O91" s="224">
        <f t="shared" si="46"/>
      </c>
      <c r="P91" s="222">
        <f>P85+P90</f>
      </c>
      <c r="Q91" s="224">
        <f t="shared" si="236"/>
      </c>
      <c r="R91" s="222">
        <f>R85+R90</f>
      </c>
      <c r="S91" s="225">
        <f>S85+S90</f>
      </c>
      <c r="T91" s="223">
        <f t="shared" si="234"/>
      </c>
      <c r="U91" s="223">
        <f t="shared" si="2"/>
      </c>
      <c r="V91" s="226">
        <f t="shared" si="0"/>
      </c>
      <c r="W91" s="222">
        <f>W85+W90</f>
      </c>
      <c r="X91" s="226">
        <f t="shared" si="6"/>
      </c>
      <c r="Y91" s="226">
        <f t="shared" si="4"/>
      </c>
      <c r="Z91" s="227">
        <f t="shared" si="232"/>
      </c>
      <c r="AA91" s="223">
        <f t="shared" si="47"/>
      </c>
      <c r="AB91" s="189">
        <f t="shared" si="237"/>
      </c>
      <c r="AC91" s="224">
        <f t="shared" si="235"/>
      </c>
      <c r="AD91" s="224">
        <f t="shared" si="3"/>
      </c>
      <c r="AE91" s="224">
        <f t="shared" si="1"/>
      </c>
      <c r="AF91" s="232">
        <f t="shared" si="7"/>
      </c>
      <c r="AG91" s="224">
        <f t="shared" si="5"/>
      </c>
      <c r="AH91" s="224">
        <f t="shared" si="233"/>
      </c>
      <c r="AI91" s="224">
        <f t="shared" si="48"/>
      </c>
      <c r="AJ91" s="228">
        <f>(AJ85+AJ90)/2</f>
      </c>
      <c r="AK91" s="222">
        <f>AK85+AK90</f>
      </c>
      <c r="AL91" s="229">
        <f>AL85+AL90</f>
      </c>
      <c r="AM91" s="229">
        <f>AM85+AM90</f>
      </c>
      <c r="AN91" s="229">
        <f>AN85+AN90</f>
      </c>
      <c r="AO91" s="229">
        <f>AO85+AO90</f>
      </c>
      <c r="AP91" s="229">
        <f>AP85+AP90</f>
      </c>
      <c r="AQ91" s="229">
        <f>AQ85+AQ90</f>
      </c>
      <c r="AR91" s="229">
        <f>AR85+AR90</f>
      </c>
      <c r="AS91" s="229">
        <f>AS85+AS90</f>
      </c>
      <c r="AT91" s="229">
        <f>AT85+AT90</f>
      </c>
      <c r="AU91" s="222">
        <f>AU85+AU90</f>
      </c>
      <c r="AV91" s="207"/>
      <c r="AW91" s="230">
        <f>AW85+AW90</f>
      </c>
      <c r="AX91" s="222">
        <f>AX85+AX90</f>
      </c>
    </row>
    <row customHeight="true" ht="16.071428571428573" r="92">
      <c r="A92" s="195">
        <v>46277</v>
      </c>
      <c r="B92" s="197" t="s">
        <v>170</v>
      </c>
      <c r="C92" s="197" t="s">
        <v>157</v>
      </c>
      <c r="D92" s="197" t="s">
        <v>163</v>
      </c>
      <c r="E92" s="197" t="s">
        <v>159</v>
      </c>
      <c r="F92" s="198">
        <f t="shared" ref="F92:F95" si="177">G92+H92+I92</f>
      </c>
      <c r="G92" s="221">
        <v>1567.92</v>
      </c>
      <c r="H92" s="221">
        <v>3755.88</v>
      </c>
      <c r="I92" s="200">
        <v>0</v>
      </c>
      <c r="J92" s="201">
        <v>0</v>
      </c>
      <c r="K92" s="201">
        <v>0</v>
      </c>
      <c r="L92" s="201">
        <v>2</v>
      </c>
      <c r="M92" s="201">
        <v>5058.75</v>
      </c>
      <c r="N92" s="202">
        <v>0</v>
      </c>
      <c r="O92" s="203">
        <f t="shared" si="46"/>
      </c>
      <c r="P92" s="202">
        <v>0</v>
      </c>
      <c r="Q92" s="203">
        <f t="shared" si="236"/>
      </c>
      <c r="R92" s="193">
        <f t="shared" ref="R92:R95" si="67">L92+J92</f>
      </c>
      <c r="S92" s="209">
        <f t="shared" ref="S92:S95" si="121">M92+K92</f>
      </c>
      <c r="T92" s="199">
        <f t="shared" si="234"/>
      </c>
      <c r="U92" s="199">
        <f t="shared" si="2"/>
      </c>
      <c r="V92" s="193">
        <f t="shared" si="0"/>
      </c>
      <c r="W92" s="202">
        <v>1</v>
      </c>
      <c r="X92" s="204">
        <f t="shared" si="6"/>
      </c>
      <c r="Y92" s="204">
        <f t="shared" si="4"/>
      </c>
      <c r="Z92" s="198">
        <f t="shared" si="232"/>
      </c>
      <c r="AA92" s="199">
        <f t="shared" si="47"/>
      </c>
      <c r="AB92" s="199">
        <f t="shared" si="237"/>
      </c>
      <c r="AC92" s="203">
        <f t="shared" si="235"/>
      </c>
      <c r="AD92" s="203">
        <f t="shared" si="3"/>
      </c>
      <c r="AE92" s="203">
        <f t="shared" si="1"/>
      </c>
      <c r="AF92" s="203">
        <f t="shared" si="7"/>
      </c>
      <c r="AG92" s="203">
        <f t="shared" si="5"/>
      </c>
      <c r="AH92" s="203">
        <f t="shared" si="233"/>
      </c>
      <c r="AI92" s="205">
        <f t="shared" si="48"/>
      </c>
      <c r="AJ92" s="202">
        <v>69</v>
      </c>
      <c r="AK92" s="193">
        <v>26719</v>
      </c>
      <c r="AL92" s="193">
        <v>598</v>
      </c>
      <c r="AM92" s="193">
        <v>668</v>
      </c>
      <c r="AN92" s="193">
        <v>128</v>
      </c>
      <c r="AO92" s="196">
        <v>28</v>
      </c>
      <c r="AP92" s="206">
        <v>58</v>
      </c>
      <c r="AQ92" s="206">
        <v>124</v>
      </c>
      <c r="AR92" s="196">
        <v>2</v>
      </c>
      <c r="AS92" s="197">
        <v>11</v>
      </c>
      <c r="AT92" s="193">
        <v>1</v>
      </c>
      <c r="AU92" s="193">
        <v>13</v>
      </c>
      <c r="AV92" s="207"/>
      <c r="AW92" s="165"/>
      <c r="AX92" s="197">
        <f t="shared" ref="AX92:AX95" si="258">COUNT(AU92)</f>
      </c>
    </row>
    <row customHeight="true" ht="16.071428571428573" r="93">
      <c r="A93" s="195"/>
      <c r="B93" s="197" t="s">
        <v>170</v>
      </c>
      <c r="C93" s="197" t="s">
        <v>157</v>
      </c>
      <c r="D93" s="197" t="s">
        <v>163</v>
      </c>
      <c r="E93" s="197" t="s">
        <v>160</v>
      </c>
      <c r="F93" s="198">
        <f t="shared" si="177"/>
      </c>
      <c r="G93" s="221">
        <v>1716.29</v>
      </c>
      <c r="H93" s="221">
        <v>3474.83</v>
      </c>
      <c r="I93" s="200">
        <v>0</v>
      </c>
      <c r="J93" s="201">
        <v>0</v>
      </c>
      <c r="K93" s="201">
        <v>0</v>
      </c>
      <c r="L93" s="201">
        <v>3</v>
      </c>
      <c r="M93" s="201">
        <v>11382.38</v>
      </c>
      <c r="N93" s="202">
        <v>1</v>
      </c>
      <c r="O93" s="203">
        <f t="shared" si="46"/>
      </c>
      <c r="P93" s="202">
        <v>1</v>
      </c>
      <c r="Q93" s="203">
        <f t="shared" si="236"/>
      </c>
      <c r="R93" s="193">
        <f t="shared" si="67"/>
      </c>
      <c r="S93" s="209">
        <f t="shared" si="121"/>
      </c>
      <c r="T93" s="199">
        <f t="shared" si="234"/>
      </c>
      <c r="U93" s="199">
        <f t="shared" si="2"/>
      </c>
      <c r="V93" s="193">
        <f t="shared" si="0"/>
      </c>
      <c r="W93" s="202">
        <v>3</v>
      </c>
      <c r="X93" s="204">
        <f t="shared" si="6"/>
      </c>
      <c r="Y93" s="204">
        <f t="shared" si="4"/>
      </c>
      <c r="Z93" s="198">
        <f t="shared" si="232"/>
      </c>
      <c r="AA93" s="199">
        <f t="shared" si="47"/>
      </c>
      <c r="AB93" s="199">
        <f t="shared" si="237"/>
      </c>
      <c r="AC93" s="203">
        <f t="shared" si="235"/>
      </c>
      <c r="AD93" s="203">
        <f t="shared" si="3"/>
      </c>
      <c r="AE93" s="203">
        <f t="shared" si="1"/>
      </c>
      <c r="AF93" s="203">
        <f t="shared" si="7"/>
      </c>
      <c r="AG93" s="203">
        <f t="shared" si="5"/>
      </c>
      <c r="AH93" s="210">
        <f t="shared" si="233"/>
      </c>
      <c r="AI93" s="210">
        <f t="shared" si="48"/>
      </c>
      <c r="AJ93" s="202">
        <v>64</v>
      </c>
      <c r="AK93" s="193">
        <v>20837</v>
      </c>
      <c r="AL93" s="193">
        <v>668</v>
      </c>
      <c r="AM93" s="193">
        <v>740</v>
      </c>
      <c r="AN93" s="193">
        <v>141</v>
      </c>
      <c r="AO93" s="196">
        <v>38</v>
      </c>
      <c r="AP93" s="211">
        <v>88</v>
      </c>
      <c r="AQ93" s="197">
        <v>123</v>
      </c>
      <c r="AR93" s="196">
        <v>5</v>
      </c>
      <c r="AS93" s="193">
        <v>12</v>
      </c>
      <c r="AT93" s="193">
        <v>0</v>
      </c>
      <c r="AU93" s="211">
        <v>17</v>
      </c>
      <c r="AV93" s="207"/>
      <c r="AW93" s="165"/>
      <c r="AX93" s="197">
        <f t="shared" si="258"/>
      </c>
    </row>
    <row customHeight="true" ht="16.071428571428573" r="94">
      <c r="A94" s="195"/>
      <c r="B94" s="197" t="s">
        <v>170</v>
      </c>
      <c r="C94" s="197" t="s">
        <v>157</v>
      </c>
      <c r="D94" s="197" t="s">
        <v>163</v>
      </c>
      <c r="E94" s="197" t="s">
        <v>161</v>
      </c>
      <c r="F94" s="198">
        <f t="shared" si="177"/>
      </c>
      <c r="G94" s="221">
        <v>1142.81</v>
      </c>
      <c r="H94" s="221">
        <v>3153.38</v>
      </c>
      <c r="I94" s="200">
        <v>0</v>
      </c>
      <c r="J94" s="201">
        <v>1</v>
      </c>
      <c r="K94" s="201">
        <v>5072.06</v>
      </c>
      <c r="L94" s="201">
        <v>2</v>
      </c>
      <c r="M94" s="201">
        <v>2678.62</v>
      </c>
      <c r="N94" s="202">
        <v>1</v>
      </c>
      <c r="O94" s="203">
        <f t="shared" si="46"/>
      </c>
      <c r="P94" s="202">
        <v>1</v>
      </c>
      <c r="Q94" s="203">
        <f t="shared" si="236"/>
      </c>
      <c r="R94" s="193">
        <f t="shared" si="67"/>
      </c>
      <c r="S94" s="209">
        <f t="shared" si="121"/>
      </c>
      <c r="T94" s="199">
        <f t="shared" si="234"/>
      </c>
      <c r="U94" s="199">
        <f t="shared" si="2"/>
      </c>
      <c r="V94" s="204">
        <f t="shared" si="0"/>
      </c>
      <c r="W94" s="202">
        <v>2</v>
      </c>
      <c r="X94" s="204">
        <f t="shared" si="6"/>
      </c>
      <c r="Y94" s="204">
        <f t="shared" si="4"/>
      </c>
      <c r="Z94" s="198">
        <f t="shared" si="232"/>
      </c>
      <c r="AA94" s="199">
        <f t="shared" si="47"/>
      </c>
      <c r="AB94" s="199">
        <f t="shared" si="237"/>
      </c>
      <c r="AC94" s="203">
        <f t="shared" si="235"/>
      </c>
      <c r="AD94" s="203">
        <f t="shared" si="3"/>
      </c>
      <c r="AE94" s="203">
        <f t="shared" si="1"/>
      </c>
      <c r="AF94" s="203">
        <f t="shared" si="7"/>
      </c>
      <c r="AG94" s="203">
        <f t="shared" si="5"/>
      </c>
      <c r="AH94" s="203">
        <f t="shared" si="233"/>
      </c>
      <c r="AI94" s="212">
        <f t="shared" si="48"/>
      </c>
      <c r="AJ94" s="202">
        <v>67</v>
      </c>
      <c r="AK94" s="193">
        <v>21453</v>
      </c>
      <c r="AL94" s="193">
        <v>582</v>
      </c>
      <c r="AM94" s="193">
        <v>612</v>
      </c>
      <c r="AN94" s="193">
        <v>112</v>
      </c>
      <c r="AO94" s="196">
        <v>24</v>
      </c>
      <c r="AP94" s="211">
        <v>98</v>
      </c>
      <c r="AQ94" s="197">
        <v>96</v>
      </c>
      <c r="AR94" s="196">
        <v>4</v>
      </c>
      <c r="AS94" s="193">
        <v>11</v>
      </c>
      <c r="AT94" s="193">
        <v>0</v>
      </c>
      <c r="AU94" s="211">
        <v>22</v>
      </c>
      <c r="AV94" s="207"/>
      <c r="AW94" s="165"/>
      <c r="AX94" s="197">
        <f t="shared" si="258"/>
      </c>
    </row>
    <row customHeight="true" ht="16.071428571428573" r="95">
      <c r="A95" s="195"/>
      <c r="B95" s="197" t="s">
        <v>170</v>
      </c>
      <c r="C95" s="197" t="s">
        <v>157</v>
      </c>
      <c r="D95" s="197" t="s">
        <v>163</v>
      </c>
      <c r="E95" s="197" t="s">
        <v>164</v>
      </c>
      <c r="F95" s="198">
        <f t="shared" si="177"/>
      </c>
      <c r="G95" s="221">
        <v>1217.09</v>
      </c>
      <c r="H95" s="221">
        <v>5227.04</v>
      </c>
      <c r="I95" s="200">
        <v>0</v>
      </c>
      <c r="J95" s="201">
        <v>1</v>
      </c>
      <c r="K95" s="201">
        <v>1221.7</v>
      </c>
      <c r="L95" s="201">
        <v>3</v>
      </c>
      <c r="M95" s="201">
        <v>4856.97</v>
      </c>
      <c r="N95" s="202">
        <v>1</v>
      </c>
      <c r="O95" s="203">
        <f t="shared" si="46"/>
      </c>
      <c r="P95" s="202">
        <v>0</v>
      </c>
      <c r="Q95" s="203">
        <f t="shared" si="236"/>
      </c>
      <c r="R95" s="193">
        <f t="shared" si="67"/>
      </c>
      <c r="S95" s="209">
        <f t="shared" si="121"/>
      </c>
      <c r="T95" s="199">
        <f t="shared" si="234"/>
      </c>
      <c r="U95" s="199">
        <f t="shared" si="2"/>
      </c>
      <c r="V95" s="204">
        <f t="shared" si="0"/>
      </c>
      <c r="W95" s="202">
        <v>3</v>
      </c>
      <c r="X95" s="204">
        <f t="shared" si="6"/>
      </c>
      <c r="Y95" s="204">
        <f t="shared" si="4"/>
      </c>
      <c r="Z95" s="198">
        <f t="shared" si="232"/>
      </c>
      <c r="AA95" s="199">
        <f t="shared" si="47"/>
      </c>
      <c r="AB95" s="199">
        <f t="shared" si="237"/>
      </c>
      <c r="AC95" s="203">
        <f t="shared" si="235"/>
      </c>
      <c r="AD95" s="203">
        <f t="shared" si="3"/>
      </c>
      <c r="AE95" s="203">
        <f t="shared" si="1"/>
      </c>
      <c r="AF95" s="203">
        <f t="shared" si="7"/>
      </c>
      <c r="AG95" s="203">
        <f t="shared" si="5"/>
      </c>
      <c r="AH95" s="203">
        <f t="shared" si="233"/>
      </c>
      <c r="AI95" s="212">
        <f t="shared" si="48"/>
      </c>
      <c r="AJ95" s="202">
        <v>68</v>
      </c>
      <c r="AK95" s="193">
        <v>30679</v>
      </c>
      <c r="AL95" s="193">
        <v>621</v>
      </c>
      <c r="AM95" s="193">
        <v>663</v>
      </c>
      <c r="AN95" s="193">
        <v>169</v>
      </c>
      <c r="AO95" s="196">
        <v>41</v>
      </c>
      <c r="AP95" s="211">
        <v>107</v>
      </c>
      <c r="AQ95" s="197">
        <v>134</v>
      </c>
      <c r="AR95" s="196">
        <v>6</v>
      </c>
      <c r="AS95" s="193">
        <v>10</v>
      </c>
      <c r="AT95" s="193">
        <v>0</v>
      </c>
      <c r="AU95" s="211">
        <v>19</v>
      </c>
      <c r="AV95" s="207"/>
      <c r="AW95" s="165"/>
      <c r="AX95" s="197">
        <f t="shared" si="258"/>
      </c>
    </row>
    <row customHeight="true" ht="16.071428571428573" r="96">
      <c r="A96" s="195"/>
      <c r="B96" s="213" t="s">
        <v>162</v>
      </c>
      <c r="C96" s="213"/>
      <c r="D96" s="213"/>
      <c r="E96" s="213"/>
      <c r="F96" s="181">
        <f>SUM(F92:F95)</f>
      </c>
      <c r="G96" s="181">
        <f>SUM(G92:G95)</f>
      </c>
      <c r="H96" s="181">
        <f>SUM(H92:H95)</f>
      </c>
      <c r="I96" s="181">
        <f>SUM(I92:I95)</f>
      </c>
      <c r="J96" s="181">
        <f>SUM(J92:J95)</f>
      </c>
      <c r="K96" s="181">
        <f>SUM(K92:K95)</f>
      </c>
      <c r="L96" s="181">
        <f>SUM(L92:L95)</f>
      </c>
      <c r="M96" s="181">
        <f>SUM(M92:M95)</f>
      </c>
      <c r="N96" s="181">
        <f>SUM(N92:N95)</f>
      </c>
      <c r="O96" s="183">
        <f t="shared" si="46"/>
      </c>
      <c r="P96" s="181">
        <f>SUM(P92:P95)</f>
      </c>
      <c r="Q96" s="183">
        <f t="shared" si="236"/>
      </c>
      <c r="R96" s="181">
        <f>SUM(R92:R95)</f>
      </c>
      <c r="S96" s="181">
        <f>SUM(S92:S95)</f>
      </c>
      <c r="T96" s="182">
        <f t="shared" si="234"/>
      </c>
      <c r="U96" s="182">
        <f t="shared" si="2"/>
      </c>
      <c r="V96" s="182">
        <f t="shared" si="0"/>
      </c>
      <c r="W96" s="181">
        <f>SUM(W92:W95)</f>
      </c>
      <c r="X96" s="216">
        <f t="shared" si="6"/>
      </c>
      <c r="Y96" s="216">
        <f t="shared" si="4"/>
      </c>
      <c r="Z96" s="181">
        <f t="shared" si="232"/>
      </c>
      <c r="AA96" s="182">
        <f t="shared" si="47"/>
      </c>
      <c r="AB96" s="217">
        <f t="shared" si="237"/>
      </c>
      <c r="AC96" s="183">
        <f t="shared" si="235"/>
      </c>
      <c r="AD96" s="183">
        <f t="shared" si="3"/>
      </c>
      <c r="AE96" s="183">
        <f t="shared" si="1"/>
      </c>
      <c r="AF96" s="183">
        <f t="shared" si="7"/>
      </c>
      <c r="AG96" s="183">
        <f t="shared" si="5"/>
      </c>
      <c r="AH96" s="183">
        <f t="shared" si="233"/>
      </c>
      <c r="AI96" s="218">
        <f t="shared" si="48"/>
      </c>
      <c r="AJ96" s="181">
        <f>SUM(AJ92:AJ95)</f>
      </c>
      <c r="AK96" s="181">
        <f>SUM(AK92:AK95)</f>
      </c>
      <c r="AL96" s="181">
        <f>SUM(AL92:AL95)</f>
      </c>
      <c r="AM96" s="181">
        <f>SUM(AM92:AM95)</f>
      </c>
      <c r="AN96" s="181">
        <f>SUM(AN92:AN95)</f>
      </c>
      <c r="AO96" s="181">
        <f>SUM(AO92:AO95)</f>
      </c>
      <c r="AP96" s="181">
        <f>SUM(AP92:AP95)</f>
      </c>
      <c r="AQ96" s="181">
        <f>SUM(AQ92:AQ95)</f>
      </c>
      <c r="AR96" s="181">
        <f>SUM(AR92:AR95)</f>
      </c>
      <c r="AS96" s="181">
        <f>SUM(AS92:AS95)</f>
      </c>
      <c r="AT96" s="181">
        <f>SUM(AT92:AT95)</f>
      </c>
      <c r="AU96" s="181">
        <f>SUM(AU92:AU95)</f>
      </c>
      <c r="AV96" s="207"/>
      <c r="AW96" s="180"/>
      <c r="AX96" s="181">
        <f>SUM(AX92:AX95)</f>
      </c>
    </row>
    <row customHeight="true" ht="16.071428571428573" r="97">
      <c r="A97" s="195"/>
      <c r="B97" s="197" t="s">
        <v>170</v>
      </c>
      <c r="C97" s="197" t="s">
        <v>157</v>
      </c>
      <c r="D97" s="196" t="s">
        <v>169</v>
      </c>
      <c r="E97" s="197" t="s">
        <v>165</v>
      </c>
      <c r="F97" s="198">
        <f t="shared" ref="F97:F100" si="178">G97+H97+I97</f>
      </c>
      <c r="G97" s="221">
        <v>1380.71</v>
      </c>
      <c r="H97" s="221">
        <v>6474.74</v>
      </c>
      <c r="I97" s="200">
        <v>0</v>
      </c>
      <c r="J97" s="201">
        <v>0</v>
      </c>
      <c r="K97" s="201">
        <v>0</v>
      </c>
      <c r="L97" s="201">
        <v>4</v>
      </c>
      <c r="M97" s="201">
        <v>6008.66</v>
      </c>
      <c r="N97" s="202">
        <v>1</v>
      </c>
      <c r="O97" s="203">
        <f t="shared" si="46"/>
      </c>
      <c r="P97" s="202">
        <v>0</v>
      </c>
      <c r="Q97" s="203">
        <f t="shared" si="236"/>
      </c>
      <c r="R97" s="193">
        <f t="shared" ref="R97:R100" si="68">L97+J97</f>
      </c>
      <c r="S97" s="209">
        <f t="shared" ref="S97:S100" si="122">M97+K97</f>
      </c>
      <c r="T97" s="199">
        <f t="shared" si="234"/>
      </c>
      <c r="U97" s="199">
        <f t="shared" si="2"/>
      </c>
      <c r="V97" s="204">
        <f t="shared" si="0"/>
      </c>
      <c r="W97" s="202">
        <v>4</v>
      </c>
      <c r="X97" s="204">
        <f t="shared" si="6"/>
      </c>
      <c r="Y97" s="204">
        <f t="shared" si="4"/>
      </c>
      <c r="Z97" s="198">
        <f t="shared" si="232"/>
      </c>
      <c r="AA97" s="199">
        <f t="shared" si="47"/>
      </c>
      <c r="AB97" s="199">
        <f t="shared" si="237"/>
      </c>
      <c r="AC97" s="203">
        <f t="shared" si="235"/>
      </c>
      <c r="AD97" s="203">
        <f t="shared" si="3"/>
      </c>
      <c r="AE97" s="203">
        <f t="shared" si="1"/>
      </c>
      <c r="AF97" s="203">
        <f t="shared" si="7"/>
      </c>
      <c r="AG97" s="203">
        <f t="shared" si="5"/>
      </c>
      <c r="AH97" s="203">
        <f t="shared" si="233"/>
      </c>
      <c r="AI97" s="210">
        <f t="shared" si="48"/>
      </c>
      <c r="AJ97" s="202">
        <v>70</v>
      </c>
      <c r="AK97" s="193">
        <v>36108</v>
      </c>
      <c r="AL97" s="193">
        <v>708</v>
      </c>
      <c r="AM97" s="193">
        <v>792</v>
      </c>
      <c r="AN97" s="193">
        <v>193</v>
      </c>
      <c r="AO97" s="196">
        <v>32</v>
      </c>
      <c r="AP97" s="211">
        <v>75</v>
      </c>
      <c r="AQ97" s="197">
        <v>151</v>
      </c>
      <c r="AR97" s="196">
        <v>6</v>
      </c>
      <c r="AS97" s="193">
        <v>13</v>
      </c>
      <c r="AT97" s="193">
        <v>1</v>
      </c>
      <c r="AU97" s="211">
        <v>26</v>
      </c>
      <c r="AV97" s="207"/>
      <c r="AW97" s="165"/>
      <c r="AX97" s="197">
        <f t="shared" ref="AX97:AX100" si="259">COUNT(AU97)</f>
      </c>
    </row>
    <row customHeight="true" ht="16.071428571428573" r="98">
      <c r="A98" s="195"/>
      <c r="B98" s="197" t="s">
        <v>170</v>
      </c>
      <c r="C98" s="197" t="s">
        <v>157</v>
      </c>
      <c r="D98" s="196" t="s">
        <v>169</v>
      </c>
      <c r="E98" s="196" t="s">
        <v>168</v>
      </c>
      <c r="F98" s="198">
        <f t="shared" si="178"/>
      </c>
      <c r="G98" s="221">
        <v>1037.67</v>
      </c>
      <c r="H98" s="221">
        <v>7738.69</v>
      </c>
      <c r="I98" s="200">
        <v>0</v>
      </c>
      <c r="J98" s="201">
        <v>1</v>
      </c>
      <c r="K98" s="201">
        <v>1183.7</v>
      </c>
      <c r="L98" s="201">
        <v>5</v>
      </c>
      <c r="M98" s="201">
        <v>18512.04</v>
      </c>
      <c r="N98" s="202">
        <v>1</v>
      </c>
      <c r="O98" s="203">
        <f t="shared" si="46"/>
      </c>
      <c r="P98" s="202">
        <v>1</v>
      </c>
      <c r="Q98" s="203">
        <f t="shared" si="236"/>
      </c>
      <c r="R98" s="193">
        <f t="shared" si="68"/>
      </c>
      <c r="S98" s="209">
        <f t="shared" si="122"/>
      </c>
      <c r="T98" s="199">
        <f t="shared" si="234"/>
      </c>
      <c r="U98" s="199">
        <f t="shared" si="2"/>
      </c>
      <c r="V98" s="204">
        <f t="shared" si="0"/>
      </c>
      <c r="W98" s="202">
        <v>4</v>
      </c>
      <c r="X98" s="204">
        <f t="shared" si="6"/>
      </c>
      <c r="Y98" s="204">
        <f t="shared" si="4"/>
      </c>
      <c r="Z98" s="198">
        <f t="shared" si="232"/>
      </c>
      <c r="AA98" s="199">
        <f t="shared" si="47"/>
      </c>
      <c r="AB98" s="199">
        <f t="shared" si="237"/>
      </c>
      <c r="AC98" s="203">
        <f t="shared" si="235"/>
      </c>
      <c r="AD98" s="203">
        <f t="shared" si="3"/>
      </c>
      <c r="AE98" s="203">
        <f t="shared" si="1"/>
      </c>
      <c r="AF98" s="203">
        <f t="shared" si="7"/>
      </c>
      <c r="AG98" s="203">
        <f t="shared" si="5"/>
      </c>
      <c r="AH98" s="203">
        <f t="shared" si="233"/>
      </c>
      <c r="AI98" s="210">
        <f t="shared" si="48"/>
      </c>
      <c r="AJ98" s="202">
        <v>72</v>
      </c>
      <c r="AK98" s="193">
        <v>46219</v>
      </c>
      <c r="AL98" s="193">
        <v>898</v>
      </c>
      <c r="AM98" s="193">
        <v>951</v>
      </c>
      <c r="AN98" s="193">
        <v>204</v>
      </c>
      <c r="AO98" s="196">
        <v>41</v>
      </c>
      <c r="AP98" s="211">
        <v>204</v>
      </c>
      <c r="AQ98" s="197">
        <v>113</v>
      </c>
      <c r="AR98" s="196">
        <v>6</v>
      </c>
      <c r="AS98" s="193">
        <v>16</v>
      </c>
      <c r="AT98" s="193">
        <v>0</v>
      </c>
      <c r="AU98" s="211">
        <v>51</v>
      </c>
      <c r="AV98" s="207"/>
      <c r="AW98" s="165"/>
      <c r="AX98" s="197">
        <f t="shared" si="259"/>
      </c>
    </row>
    <row customHeight="true" ht="16.071428571428573" r="99">
      <c r="A99" s="195"/>
      <c r="B99" s="197" t="s">
        <v>170</v>
      </c>
      <c r="C99" s="197" t="s">
        <v>157</v>
      </c>
      <c r="D99" s="196" t="s">
        <v>169</v>
      </c>
      <c r="E99" s="196" t="s">
        <v>171</v>
      </c>
      <c r="F99" s="198">
        <f t="shared" si="178"/>
      </c>
      <c r="G99" s="221">
        <v>0</v>
      </c>
      <c r="H99" s="221">
        <v>3025.48</v>
      </c>
      <c r="I99" s="200">
        <v>0</v>
      </c>
      <c r="J99" s="201">
        <v>0</v>
      </c>
      <c r="K99" s="201">
        <v>0</v>
      </c>
      <c r="L99" s="201">
        <v>2</v>
      </c>
      <c r="M99" s="201">
        <v>33026.56</v>
      </c>
      <c r="N99" s="202">
        <v>0</v>
      </c>
      <c r="O99" s="203">
        <f t="shared" si="46"/>
      </c>
      <c r="P99" s="202">
        <v>2</v>
      </c>
      <c r="Q99" s="203">
        <f t="shared" si="236"/>
      </c>
      <c r="R99" s="193">
        <f t="shared" si="68"/>
      </c>
      <c r="S99" s="209">
        <f t="shared" si="122"/>
      </c>
      <c r="T99" s="199">
        <f t="shared" si="234"/>
      </c>
      <c r="U99" s="199">
        <f t="shared" si="2"/>
      </c>
      <c r="V99" s="204">
        <f t="shared" si="0"/>
      </c>
      <c r="W99" s="202">
        <v>0</v>
      </c>
      <c r="X99" s="204">
        <f t="shared" si="6"/>
      </c>
      <c r="Y99" s="204">
        <f t="shared" si="4"/>
      </c>
      <c r="Z99" s="198">
        <f t="shared" si="232"/>
      </c>
      <c r="AA99" s="199">
        <f t="shared" si="47"/>
      </c>
      <c r="AB99" s="199">
        <f t="shared" si="237"/>
      </c>
      <c r="AC99" s="203">
        <f t="shared" si="235"/>
      </c>
      <c r="AD99" s="203">
        <f t="shared" si="3"/>
      </c>
      <c r="AE99" s="203">
        <f t="shared" si="1"/>
      </c>
      <c r="AF99" s="203">
        <f t="shared" si="7"/>
      </c>
      <c r="AG99" s="203">
        <f t="shared" si="5"/>
      </c>
      <c r="AH99" s="203">
        <f t="shared" si="233"/>
      </c>
      <c r="AI99" s="210">
        <f t="shared" si="48"/>
      </c>
      <c r="AJ99" s="202">
        <v>75</v>
      </c>
      <c r="AK99" s="193">
        <v>9318</v>
      </c>
      <c r="AL99" s="193">
        <v>346</v>
      </c>
      <c r="AM99" s="193">
        <v>367</v>
      </c>
      <c r="AN99" s="193">
        <v>83</v>
      </c>
      <c r="AO99" s="196">
        <v>19</v>
      </c>
      <c r="AP99" s="211">
        <v>65</v>
      </c>
      <c r="AQ99" s="197">
        <v>78</v>
      </c>
      <c r="AR99" s="196">
        <v>3</v>
      </c>
      <c r="AS99" s="193">
        <v>7</v>
      </c>
      <c r="AT99" s="193">
        <v>0</v>
      </c>
      <c r="AU99" s="211">
        <v>23</v>
      </c>
      <c r="AV99" s="207"/>
      <c r="AW99" s="165"/>
      <c r="AX99" s="197">
        <f t="shared" si="259"/>
      </c>
    </row>
    <row customHeight="true" ht="16.071428571428573" r="100">
      <c r="A100" s="195"/>
      <c r="B100" s="197" t="s">
        <v>170</v>
      </c>
      <c r="C100" s="197" t="s">
        <v>157</v>
      </c>
      <c r="D100" s="196" t="s">
        <v>169</v>
      </c>
      <c r="E100" s="196" t="s">
        <v>172</v>
      </c>
      <c r="F100" s="198">
        <f t="shared" si="178"/>
      </c>
      <c r="G100" s="221">
        <v>1296.99</v>
      </c>
      <c r="H100" s="221">
        <v>1396.59</v>
      </c>
      <c r="I100" s="200">
        <v>0</v>
      </c>
      <c r="J100" s="201">
        <v>1</v>
      </c>
      <c r="K100" s="201">
        <v>2127.2</v>
      </c>
      <c r="L100" s="201">
        <v>1</v>
      </c>
      <c r="M100" s="201">
        <v>2033.95</v>
      </c>
      <c r="N100" s="202">
        <v>0</v>
      </c>
      <c r="O100" s="203">
        <f t="shared" si="46"/>
      </c>
      <c r="P100" s="202">
        <v>1</v>
      </c>
      <c r="Q100" s="203">
        <f t="shared" si="236"/>
      </c>
      <c r="R100" s="193">
        <f t="shared" si="68"/>
      </c>
      <c r="S100" s="209">
        <f t="shared" si="122"/>
      </c>
      <c r="T100" s="199">
        <f t="shared" si="234"/>
      </c>
      <c r="U100" s="199">
        <f t="shared" si="2"/>
      </c>
      <c r="V100" s="204">
        <f t="shared" si="0"/>
      </c>
      <c r="W100" s="202">
        <v>2</v>
      </c>
      <c r="X100" s="204">
        <f t="shared" si="6"/>
      </c>
      <c r="Y100" s="204">
        <f t="shared" si="4"/>
      </c>
      <c r="Z100" s="198">
        <f t="shared" si="232"/>
      </c>
      <c r="AA100" s="199">
        <f t="shared" si="47"/>
      </c>
      <c r="AB100" s="199">
        <f t="shared" si="237"/>
      </c>
      <c r="AC100" s="203">
        <f t="shared" si="235"/>
      </c>
      <c r="AD100" s="203">
        <f t="shared" si="3"/>
      </c>
      <c r="AE100" s="203">
        <f t="shared" si="1"/>
      </c>
      <c r="AF100" s="203">
        <f t="shared" si="7"/>
      </c>
      <c r="AG100" s="203">
        <f t="shared" si="5"/>
      </c>
      <c r="AH100" s="203">
        <f t="shared" si="233"/>
      </c>
      <c r="AI100" s="210">
        <f t="shared" si="48"/>
      </c>
      <c r="AJ100" s="202">
        <v>75</v>
      </c>
      <c r="AK100" s="193">
        <v>18652</v>
      </c>
      <c r="AL100" s="193">
        <v>664</v>
      </c>
      <c r="AM100" s="193">
        <v>716</v>
      </c>
      <c r="AN100" s="193">
        <v>90</v>
      </c>
      <c r="AO100" s="196">
        <v>23</v>
      </c>
      <c r="AP100" s="211">
        <v>66</v>
      </c>
      <c r="AQ100" s="197">
        <v>87</v>
      </c>
      <c r="AR100" s="196">
        <v>2</v>
      </c>
      <c r="AS100" s="193">
        <v>4</v>
      </c>
      <c r="AT100" s="193">
        <v>0</v>
      </c>
      <c r="AU100" s="211">
        <v>7</v>
      </c>
      <c r="AV100" s="207"/>
      <c r="AW100" s="165"/>
      <c r="AX100" s="197">
        <f t="shared" si="259"/>
      </c>
    </row>
    <row customHeight="true" ht="16.071428571428573" r="101">
      <c r="A101" s="195"/>
      <c r="B101" s="213" t="s">
        <v>162</v>
      </c>
      <c r="C101" s="213"/>
      <c r="D101" s="213"/>
      <c r="E101" s="213"/>
      <c r="F101" s="181">
        <f>SUM(F97:F100)</f>
      </c>
      <c r="G101" s="181">
        <f>SUM(G97:G100)</f>
      </c>
      <c r="H101" s="181">
        <f>SUM(H97:H100)</f>
      </c>
      <c r="I101" s="181">
        <f>SUM(I97:I100)</f>
      </c>
      <c r="J101" s="181">
        <f>SUM(J97:J100)</f>
      </c>
      <c r="K101" s="181">
        <f>SUM(K97:K100)</f>
      </c>
      <c r="L101" s="181">
        <f>SUM(L97:L100)</f>
      </c>
      <c r="M101" s="181">
        <f>SUM(M97:M100)</f>
      </c>
      <c r="N101" s="181">
        <f>SUM(N97:N100)</f>
      </c>
      <c r="O101" s="183">
        <f t="shared" si="46"/>
      </c>
      <c r="P101" s="181">
        <f>SUM(P97:P100)</f>
      </c>
      <c r="Q101" s="183">
        <f t="shared" si="236"/>
      </c>
      <c r="R101" s="181">
        <f>SUM(R97:R100)</f>
      </c>
      <c r="S101" s="181">
        <f>SUM(S97:S100)</f>
      </c>
      <c r="T101" s="182">
        <f t="shared" si="234"/>
      </c>
      <c r="U101" s="182">
        <f t="shared" si="2"/>
      </c>
      <c r="V101" s="216">
        <f t="shared" si="0"/>
      </c>
      <c r="W101" s="181">
        <f>SUM(W97:W100)</f>
      </c>
      <c r="X101" s="216">
        <f t="shared" si="6"/>
      </c>
      <c r="Y101" s="216">
        <f t="shared" si="4"/>
      </c>
      <c r="Z101" s="181">
        <f t="shared" si="232"/>
      </c>
      <c r="AA101" s="182">
        <f t="shared" si="47"/>
      </c>
      <c r="AB101" s="217">
        <f t="shared" si="237"/>
      </c>
      <c r="AC101" s="183">
        <f t="shared" si="235"/>
      </c>
      <c r="AD101" s="183">
        <f t="shared" si="3"/>
      </c>
      <c r="AE101" s="183">
        <f t="shared" si="1"/>
      </c>
      <c r="AF101" s="231">
        <f t="shared" si="7"/>
      </c>
      <c r="AG101" s="183">
        <f t="shared" si="5"/>
      </c>
      <c r="AH101" s="183">
        <f t="shared" si="233"/>
      </c>
      <c r="AI101" s="183">
        <f t="shared" si="48"/>
      </c>
      <c r="AJ101" s="181">
        <f>SUM(AJ97:AJ100)</f>
      </c>
      <c r="AK101" s="181">
        <f>SUM(AK97:AK100)</f>
      </c>
      <c r="AL101" s="181">
        <f>SUM(AL97:AL100)</f>
      </c>
      <c r="AM101" s="181">
        <f>SUM(AM97:AM100)</f>
      </c>
      <c r="AN101" s="181">
        <f>SUM(AN97:AN100)</f>
      </c>
      <c r="AO101" s="181">
        <f>SUM(AO97:AO100)</f>
      </c>
      <c r="AP101" s="181">
        <f>SUM(AP97:AP100)</f>
      </c>
      <c r="AQ101" s="181">
        <f>SUM(AQ97:AQ100)</f>
      </c>
      <c r="AR101" s="181">
        <f>SUM(AR97:AR100)</f>
      </c>
      <c r="AS101" s="181">
        <f>SUM(AS97:AS100)</f>
      </c>
      <c r="AT101" s="181">
        <f>SUM(AT97:AT100)</f>
      </c>
      <c r="AU101" s="181">
        <f>SUM(AU97:AU100)</f>
      </c>
      <c r="AV101" s="207"/>
      <c r="AW101" s="180"/>
      <c r="AX101" s="181">
        <f>SUM(AX97:AX100)</f>
      </c>
    </row>
    <row customHeight="true" ht="16.071428571428573" r="102">
      <c r="A102" s="195"/>
      <c r="B102" s="222" t="s">
        <v>166</v>
      </c>
      <c r="C102" s="222"/>
      <c r="D102" s="222"/>
      <c r="E102" s="222"/>
      <c r="F102" s="223">
        <f>F96+F101</f>
      </c>
      <c r="G102" s="223">
        <f>G96+G101</f>
      </c>
      <c r="H102" s="223">
        <f>H96+H101</f>
      </c>
      <c r="I102" s="222">
        <f>I96+I101</f>
      </c>
      <c r="J102" s="222">
        <f>J96+J101</f>
      </c>
      <c r="K102" s="222">
        <f>K96+K101</f>
      </c>
      <c r="L102" s="222">
        <f>L96+L101</f>
      </c>
      <c r="M102" s="222">
        <f>M96+M101</f>
      </c>
      <c r="N102" s="222">
        <f>N96+N101</f>
      </c>
      <c r="O102" s="224">
        <f t="shared" si="46"/>
      </c>
      <c r="P102" s="222">
        <f>P96+P101</f>
      </c>
      <c r="Q102" s="224">
        <f t="shared" si="236"/>
      </c>
      <c r="R102" s="222">
        <f>R96+R101</f>
      </c>
      <c r="S102" s="225">
        <f>S96+S101</f>
      </c>
      <c r="T102" s="223">
        <f t="shared" si="234"/>
      </c>
      <c r="U102" s="223">
        <f t="shared" si="2"/>
      </c>
      <c r="V102" s="226">
        <f t="shared" si="0"/>
      </c>
      <c r="W102" s="222">
        <f>W96+W101</f>
      </c>
      <c r="X102" s="226">
        <f t="shared" si="6"/>
      </c>
      <c r="Y102" s="226">
        <f t="shared" si="4"/>
      </c>
      <c r="Z102" s="227">
        <f t="shared" si="232"/>
      </c>
      <c r="AA102" s="223">
        <f t="shared" si="47"/>
      </c>
      <c r="AB102" s="189">
        <f t="shared" si="237"/>
      </c>
      <c r="AC102" s="224">
        <f t="shared" si="235"/>
      </c>
      <c r="AD102" s="224">
        <f t="shared" si="3"/>
      </c>
      <c r="AE102" s="224">
        <f t="shared" si="1"/>
      </c>
      <c r="AF102" s="232">
        <f t="shared" si="7"/>
      </c>
      <c r="AG102" s="224">
        <f t="shared" si="5"/>
      </c>
      <c r="AH102" s="224">
        <f t="shared" si="233"/>
      </c>
      <c r="AI102" s="224">
        <f t="shared" si="48"/>
      </c>
      <c r="AJ102" s="228">
        <f>(AJ96+AJ101)/2</f>
      </c>
      <c r="AK102" s="222">
        <f>AK96+AK101</f>
      </c>
      <c r="AL102" s="229">
        <f>AL96+AL101</f>
      </c>
      <c r="AM102" s="229">
        <f>AM96+AM101</f>
      </c>
      <c r="AN102" s="229">
        <f>AN96+AN101</f>
      </c>
      <c r="AO102" s="229">
        <f>AO96+AO101</f>
      </c>
      <c r="AP102" s="229">
        <f>AP96+AP101</f>
      </c>
      <c r="AQ102" s="229">
        <f>AQ96+AQ101</f>
      </c>
      <c r="AR102" s="229">
        <f>AR96+AR101</f>
      </c>
      <c r="AS102" s="229">
        <f>AS96+AS101</f>
      </c>
      <c r="AT102" s="229">
        <f>AT96+AT101</f>
      </c>
      <c r="AU102" s="222">
        <f>AU96+AU101</f>
      </c>
      <c r="AV102" s="207"/>
      <c r="AW102" s="230">
        <f>AW96+AW101</f>
      </c>
      <c r="AX102" s="222">
        <f>AX96+AX101</f>
      </c>
    </row>
    <row customHeight="true" ht="16.071428571428573" r="103">
      <c r="A103" s="195">
        <v>46278</v>
      </c>
      <c r="B103" s="197" t="s">
        <v>170</v>
      </c>
      <c r="C103" s="197" t="s">
        <v>157</v>
      </c>
      <c r="D103" s="196" t="s">
        <v>158</v>
      </c>
      <c r="E103" s="197" t="s">
        <v>159</v>
      </c>
      <c r="F103" s="198">
        <f t="shared" ref="F103:F106" si="179">G103+H103+I103</f>
      </c>
      <c r="G103" s="221">
        <v>2584.17</v>
      </c>
      <c r="H103" s="221">
        <v>2615.63</v>
      </c>
      <c r="I103" s="200">
        <v>0</v>
      </c>
      <c r="J103" s="201">
        <v>2</v>
      </c>
      <c r="K103" s="201">
        <v>3385.8</v>
      </c>
      <c r="L103" s="201">
        <v>1</v>
      </c>
      <c r="M103" s="201">
        <v>1085.85</v>
      </c>
      <c r="N103" s="202">
        <v>0</v>
      </c>
      <c r="O103" s="203">
        <f t="shared" si="46"/>
      </c>
      <c r="P103" s="202">
        <v>0</v>
      </c>
      <c r="Q103" s="203">
        <f t="shared" si="236"/>
      </c>
      <c r="R103" s="193">
        <f t="shared" ref="R103:R106" si="69">L103+J103</f>
      </c>
      <c r="S103" s="209">
        <f t="shared" ref="S103:S106" si="123">M103+K103</f>
      </c>
      <c r="T103" s="199">
        <f t="shared" si="234"/>
      </c>
      <c r="U103" s="199">
        <f t="shared" si="2"/>
      </c>
      <c r="V103" s="193">
        <f t="shared" si="0"/>
      </c>
      <c r="W103" s="202">
        <v>3</v>
      </c>
      <c r="X103" s="204">
        <f t="shared" si="6"/>
      </c>
      <c r="Y103" s="204">
        <f t="shared" si="4"/>
      </c>
      <c r="Z103" s="198">
        <f t="shared" si="232"/>
      </c>
      <c r="AA103" s="199">
        <f t="shared" si="47"/>
      </c>
      <c r="AB103" s="199">
        <f t="shared" si="237"/>
      </c>
      <c r="AC103" s="203">
        <f t="shared" si="235"/>
      </c>
      <c r="AD103" s="203">
        <f t="shared" si="3"/>
      </c>
      <c r="AE103" s="203">
        <f t="shared" si="1"/>
      </c>
      <c r="AF103" s="203">
        <f t="shared" si="7"/>
      </c>
      <c r="AG103" s="203">
        <f t="shared" si="5"/>
      </c>
      <c r="AH103" s="203">
        <f t="shared" si="233"/>
      </c>
      <c r="AI103" s="205">
        <f t="shared" si="48"/>
      </c>
      <c r="AJ103" s="202">
        <v>46</v>
      </c>
      <c r="AK103" s="193">
        <v>31691</v>
      </c>
      <c r="AL103" s="193">
        <v>834</v>
      </c>
      <c r="AM103" s="193">
        <v>893</v>
      </c>
      <c r="AN103" s="193">
        <v>131</v>
      </c>
      <c r="AO103" s="196">
        <v>31</v>
      </c>
      <c r="AP103" s="206">
        <v>95</v>
      </c>
      <c r="AQ103" s="206">
        <v>131</v>
      </c>
      <c r="AR103" s="196">
        <v>3</v>
      </c>
      <c r="AS103" s="197">
        <v>12</v>
      </c>
      <c r="AT103" s="193">
        <v>1</v>
      </c>
      <c r="AU103" s="193">
        <v>5</v>
      </c>
      <c r="AV103" s="207"/>
      <c r="AW103" s="165"/>
      <c r="AX103" s="197">
        <f t="shared" ref="AX103:AX106" si="260">COUNT(AU103)</f>
      </c>
    </row>
    <row customHeight="true" ht="16.071428571428573" r="104">
      <c r="A104" s="195"/>
      <c r="B104" s="197" t="s">
        <v>170</v>
      </c>
      <c r="C104" s="197" t="s">
        <v>157</v>
      </c>
      <c r="D104" s="196" t="s">
        <v>158</v>
      </c>
      <c r="E104" s="197" t="s">
        <v>160</v>
      </c>
      <c r="F104" s="198">
        <f t="shared" si="179"/>
      </c>
      <c r="G104" s="221">
        <v>1561.31</v>
      </c>
      <c r="H104" s="221">
        <v>2760.01</v>
      </c>
      <c r="I104" s="200">
        <v>0</v>
      </c>
      <c r="J104" s="201">
        <v>1</v>
      </c>
      <c r="K104" s="201">
        <v>1553.25</v>
      </c>
      <c r="L104" s="201">
        <v>2</v>
      </c>
      <c r="M104" s="201">
        <v>8130.62</v>
      </c>
      <c r="N104" s="202">
        <v>0</v>
      </c>
      <c r="O104" s="203">
        <f t="shared" si="46"/>
      </c>
      <c r="P104" s="202">
        <v>1</v>
      </c>
      <c r="Q104" s="203">
        <f t="shared" si="236"/>
      </c>
      <c r="R104" s="193">
        <f t="shared" si="69"/>
      </c>
      <c r="S104" s="209">
        <f t="shared" si="123"/>
      </c>
      <c r="T104" s="199">
        <f t="shared" si="234"/>
      </c>
      <c r="U104" s="199">
        <f t="shared" si="2"/>
      </c>
      <c r="V104" s="193">
        <f t="shared" si="0"/>
      </c>
      <c r="W104" s="202">
        <v>3</v>
      </c>
      <c r="X104" s="204">
        <f t="shared" si="6"/>
      </c>
      <c r="Y104" s="204">
        <f t="shared" si="4"/>
      </c>
      <c r="Z104" s="198">
        <f t="shared" si="232"/>
      </c>
      <c r="AA104" s="199">
        <f t="shared" si="47"/>
      </c>
      <c r="AB104" s="199">
        <f t="shared" si="237"/>
      </c>
      <c r="AC104" s="203">
        <f t="shared" si="235"/>
      </c>
      <c r="AD104" s="203">
        <f t="shared" si="3"/>
      </c>
      <c r="AE104" s="203">
        <f t="shared" si="1"/>
      </c>
      <c r="AF104" s="203">
        <f t="shared" si="7"/>
      </c>
      <c r="AG104" s="203">
        <f t="shared" si="5"/>
      </c>
      <c r="AH104" s="210">
        <f t="shared" si="233"/>
      </c>
      <c r="AI104" s="210">
        <f t="shared" si="48"/>
      </c>
      <c r="AJ104" s="202">
        <v>51</v>
      </c>
      <c r="AK104" s="193">
        <v>27930</v>
      </c>
      <c r="AL104" s="193">
        <v>666</v>
      </c>
      <c r="AM104" s="193">
        <v>730</v>
      </c>
      <c r="AN104" s="193">
        <v>129</v>
      </c>
      <c r="AO104" s="196">
        <v>42</v>
      </c>
      <c r="AP104" s="211">
        <v>106</v>
      </c>
      <c r="AQ104" s="197">
        <v>111</v>
      </c>
      <c r="AR104" s="196">
        <v>3</v>
      </c>
      <c r="AS104" s="193">
        <v>13</v>
      </c>
      <c r="AT104" s="193">
        <v>1</v>
      </c>
      <c r="AU104" s="211">
        <v>12</v>
      </c>
      <c r="AV104" s="207"/>
      <c r="AW104" s="165"/>
      <c r="AX104" s="197">
        <f t="shared" si="260"/>
      </c>
    </row>
    <row customHeight="true" ht="16.071428571428573" r="105">
      <c r="A105" s="195"/>
      <c r="B105" s="197" t="s">
        <v>170</v>
      </c>
      <c r="C105" s="197" t="s">
        <v>157</v>
      </c>
      <c r="D105" s="196" t="s">
        <v>158</v>
      </c>
      <c r="E105" s="197" t="s">
        <v>161</v>
      </c>
      <c r="F105" s="198">
        <f t="shared" si="179"/>
      </c>
      <c r="G105" s="221">
        <v>1461.23</v>
      </c>
      <c r="H105" s="221">
        <v>3493.99</v>
      </c>
      <c r="I105" s="200">
        <v>0</v>
      </c>
      <c r="J105" s="201">
        <v>0</v>
      </c>
      <c r="K105" s="201">
        <v>0</v>
      </c>
      <c r="L105" s="201">
        <v>3</v>
      </c>
      <c r="M105" s="201">
        <v>4033.7</v>
      </c>
      <c r="N105" s="202">
        <v>0</v>
      </c>
      <c r="O105" s="203">
        <f t="shared" si="46"/>
      </c>
      <c r="P105" s="202">
        <v>0</v>
      </c>
      <c r="Q105" s="203">
        <f t="shared" si="236"/>
      </c>
      <c r="R105" s="193">
        <f t="shared" si="69"/>
      </c>
      <c r="S105" s="209">
        <f t="shared" si="123"/>
      </c>
      <c r="T105" s="199">
        <f t="shared" si="234"/>
      </c>
      <c r="U105" s="199">
        <f t="shared" si="2"/>
      </c>
      <c r="V105" s="204">
        <f t="shared" si="0"/>
      </c>
      <c r="W105" s="202">
        <v>3</v>
      </c>
      <c r="X105" s="204">
        <f t="shared" si="6"/>
      </c>
      <c r="Y105" s="204">
        <f t="shared" si="4"/>
      </c>
      <c r="Z105" s="198">
        <f t="shared" si="232"/>
      </c>
      <c r="AA105" s="199">
        <f t="shared" si="47"/>
      </c>
      <c r="AB105" s="199">
        <f t="shared" si="237"/>
      </c>
      <c r="AC105" s="203">
        <f t="shared" si="235"/>
      </c>
      <c r="AD105" s="203">
        <f t="shared" si="3"/>
      </c>
      <c r="AE105" s="203">
        <f t="shared" si="1"/>
      </c>
      <c r="AF105" s="203">
        <f t="shared" si="7"/>
      </c>
      <c r="AG105" s="203">
        <f t="shared" si="5"/>
      </c>
      <c r="AH105" s="203">
        <f t="shared" si="233"/>
      </c>
      <c r="AI105" s="212">
        <f t="shared" si="48"/>
      </c>
      <c r="AJ105" s="202">
        <v>53</v>
      </c>
      <c r="AK105" s="193">
        <v>29354</v>
      </c>
      <c r="AL105" s="193">
        <v>666</v>
      </c>
      <c r="AM105" s="193">
        <v>706</v>
      </c>
      <c r="AN105" s="193">
        <v>139</v>
      </c>
      <c r="AO105" s="196">
        <v>38</v>
      </c>
      <c r="AP105" s="211">
        <v>119</v>
      </c>
      <c r="AQ105" s="197">
        <v>120</v>
      </c>
      <c r="AR105" s="196">
        <v>3</v>
      </c>
      <c r="AS105" s="193">
        <v>8</v>
      </c>
      <c r="AT105" s="193">
        <v>4</v>
      </c>
      <c r="AU105" s="211">
        <v>21</v>
      </c>
      <c r="AV105" s="207"/>
      <c r="AW105" s="165"/>
      <c r="AX105" s="197">
        <f t="shared" si="260"/>
      </c>
    </row>
    <row customHeight="true" ht="16.071428571428573" r="106">
      <c r="A106" s="195"/>
      <c r="B106" s="197" t="s">
        <v>170</v>
      </c>
      <c r="C106" s="197" t="s">
        <v>157</v>
      </c>
      <c r="D106" s="196" t="s">
        <v>158</v>
      </c>
      <c r="E106" s="197" t="s">
        <v>164</v>
      </c>
      <c r="F106" s="198">
        <f t="shared" si="179"/>
      </c>
      <c r="G106" s="221">
        <v>3444.3</v>
      </c>
      <c r="H106" s="221">
        <v>2517.65</v>
      </c>
      <c r="I106" s="200">
        <v>0</v>
      </c>
      <c r="J106" s="201">
        <v>1</v>
      </c>
      <c r="K106" s="201">
        <v>3313.13</v>
      </c>
      <c r="L106" s="201">
        <v>1</v>
      </c>
      <c r="M106" s="201">
        <v>4307.49</v>
      </c>
      <c r="N106" s="202">
        <v>2</v>
      </c>
      <c r="O106" s="203">
        <f t="shared" si="46"/>
      </c>
      <c r="P106" s="202">
        <v>0</v>
      </c>
      <c r="Q106" s="203">
        <f t="shared" si="236"/>
      </c>
      <c r="R106" s="193">
        <f t="shared" si="69"/>
      </c>
      <c r="S106" s="209">
        <f t="shared" si="123"/>
      </c>
      <c r="T106" s="199">
        <f t="shared" si="234"/>
      </c>
      <c r="U106" s="199">
        <f t="shared" si="2"/>
      </c>
      <c r="V106" s="204">
        <f t="shared" si="0"/>
      </c>
      <c r="W106" s="202">
        <v>1</v>
      </c>
      <c r="X106" s="204">
        <f t="shared" si="6"/>
      </c>
      <c r="Y106" s="204">
        <f t="shared" si="4"/>
      </c>
      <c r="Z106" s="198">
        <f t="shared" si="232"/>
      </c>
      <c r="AA106" s="199">
        <f t="shared" si="47"/>
      </c>
      <c r="AB106" s="199">
        <f t="shared" si="237"/>
      </c>
      <c r="AC106" s="203">
        <f t="shared" si="235"/>
      </c>
      <c r="AD106" s="203">
        <f t="shared" si="3"/>
      </c>
      <c r="AE106" s="203">
        <f t="shared" si="1"/>
      </c>
      <c r="AF106" s="203">
        <f t="shared" si="7"/>
      </c>
      <c r="AG106" s="203">
        <f t="shared" si="5"/>
      </c>
      <c r="AH106" s="203">
        <f t="shared" si="233"/>
      </c>
      <c r="AI106" s="212">
        <f t="shared" si="48"/>
      </c>
      <c r="AJ106" s="202">
        <v>49</v>
      </c>
      <c r="AK106" s="193">
        <v>49326</v>
      </c>
      <c r="AL106" s="193">
        <v>1174</v>
      </c>
      <c r="AM106" s="193">
        <v>1284</v>
      </c>
      <c r="AN106" s="193">
        <v>166</v>
      </c>
      <c r="AO106" s="196">
        <v>49</v>
      </c>
      <c r="AP106" s="211">
        <v>126</v>
      </c>
      <c r="AQ106" s="197">
        <v>155</v>
      </c>
      <c r="AR106" s="196">
        <v>6</v>
      </c>
      <c r="AS106" s="193">
        <v>10</v>
      </c>
      <c r="AT106" s="193">
        <v>4</v>
      </c>
      <c r="AU106" s="211">
        <v>12</v>
      </c>
      <c r="AV106" s="207"/>
      <c r="AW106" s="165"/>
      <c r="AX106" s="197">
        <f t="shared" si="260"/>
      </c>
    </row>
    <row customHeight="true" ht="16.071428571428573" r="107">
      <c r="A107" s="195"/>
      <c r="B107" s="213" t="s">
        <v>162</v>
      </c>
      <c r="C107" s="213"/>
      <c r="D107" s="213"/>
      <c r="E107" s="213"/>
      <c r="F107" s="181">
        <f>SUM(F103:F106)</f>
      </c>
      <c r="G107" s="181">
        <f>SUM(G103:G106)</f>
      </c>
      <c r="H107" s="181">
        <f>SUM(H103:H106)</f>
      </c>
      <c r="I107" s="181">
        <f>SUM(I103:I106)</f>
      </c>
      <c r="J107" s="181">
        <f>SUM(J103:J106)</f>
      </c>
      <c r="K107" s="181">
        <f>SUM(K103:K106)</f>
      </c>
      <c r="L107" s="181">
        <f>SUM(L103:L106)</f>
      </c>
      <c r="M107" s="181">
        <f>SUM(M103:M106)</f>
      </c>
      <c r="N107" s="181">
        <f>SUM(N103:N106)</f>
      </c>
      <c r="O107" s="183">
        <f t="shared" si="46"/>
      </c>
      <c r="P107" s="181">
        <f>SUM(P103:P106)</f>
      </c>
      <c r="Q107" s="183">
        <f t="shared" si="236"/>
      </c>
      <c r="R107" s="181">
        <f>SUM(R103:R106)</f>
      </c>
      <c r="S107" s="181">
        <f>SUM(S103:S106)</f>
      </c>
      <c r="T107" s="182">
        <f t="shared" si="234"/>
      </c>
      <c r="U107" s="182">
        <f t="shared" si="2"/>
      </c>
      <c r="V107" s="182">
        <f t="shared" si="0"/>
      </c>
      <c r="W107" s="181">
        <f>SUM(W103:W106)</f>
      </c>
      <c r="X107" s="216">
        <f t="shared" si="6"/>
      </c>
      <c r="Y107" s="216">
        <f t="shared" si="4"/>
      </c>
      <c r="Z107" s="181">
        <f t="shared" si="232"/>
      </c>
      <c r="AA107" s="182">
        <f t="shared" si="47"/>
      </c>
      <c r="AB107" s="217">
        <f t="shared" si="237"/>
      </c>
      <c r="AC107" s="183">
        <f t="shared" si="235"/>
      </c>
      <c r="AD107" s="183">
        <f t="shared" si="3"/>
      </c>
      <c r="AE107" s="183">
        <f t="shared" si="1"/>
      </c>
      <c r="AF107" s="183">
        <f t="shared" si="7"/>
      </c>
      <c r="AG107" s="183">
        <f t="shared" si="5"/>
      </c>
      <c r="AH107" s="183">
        <f t="shared" si="233"/>
      </c>
      <c r="AI107" s="218">
        <f t="shared" si="48"/>
      </c>
      <c r="AJ107" s="181">
        <f>SUM(AJ103:AJ106)</f>
      </c>
      <c r="AK107" s="181">
        <f>SUM(AK103:AK106)</f>
      </c>
      <c r="AL107" s="181">
        <f>SUM(AL103:AL106)</f>
      </c>
      <c r="AM107" s="181">
        <f>SUM(AM103:AM106)</f>
      </c>
      <c r="AN107" s="181">
        <f>SUM(AN103:AN106)</f>
      </c>
      <c r="AO107" s="181">
        <f>SUM(AO103:AO106)</f>
      </c>
      <c r="AP107" s="181">
        <f>SUM(AP103:AP106)</f>
      </c>
      <c r="AQ107" s="181">
        <f>SUM(AQ103:AQ106)</f>
      </c>
      <c r="AR107" s="181">
        <f>SUM(AR103:AR106)</f>
      </c>
      <c r="AS107" s="181">
        <f>SUM(AS103:AS106)</f>
      </c>
      <c r="AT107" s="181">
        <f>SUM(AT103:AT106)</f>
      </c>
      <c r="AU107" s="181">
        <f>SUM(AU103:AU106)</f>
      </c>
      <c r="AV107" s="207"/>
      <c r="AW107" s="180"/>
      <c r="AX107" s="181">
        <f>SUM(AX103:AX106)</f>
      </c>
    </row>
    <row customHeight="true" ht="16.071428571428573" r="108">
      <c r="A108" s="195"/>
      <c r="B108" s="197" t="s">
        <v>170</v>
      </c>
      <c r="C108" s="197" t="s">
        <v>157</v>
      </c>
      <c r="D108" s="196" t="s">
        <v>169</v>
      </c>
      <c r="E108" s="197" t="s">
        <v>165</v>
      </c>
      <c r="F108" s="198">
        <f t="shared" ref="F108:F111" si="180">G108+H108+I108</f>
      </c>
      <c r="G108" s="221">
        <v>3957.75</v>
      </c>
      <c r="H108" s="221">
        <v>1945.33</v>
      </c>
      <c r="I108" s="200">
        <v>0</v>
      </c>
      <c r="J108" s="201">
        <v>1</v>
      </c>
      <c r="K108" s="201">
        <v>4875.4</v>
      </c>
      <c r="L108" s="201">
        <v>4</v>
      </c>
      <c r="M108" s="201">
        <v>14719.65</v>
      </c>
      <c r="N108" s="202">
        <v>0</v>
      </c>
      <c r="O108" s="203">
        <f t="shared" si="46"/>
      </c>
      <c r="P108" s="202">
        <v>1</v>
      </c>
      <c r="Q108" s="203">
        <f t="shared" si="236"/>
      </c>
      <c r="R108" s="193">
        <f t="shared" ref="R108:R111" si="70">L108+J108</f>
      </c>
      <c r="S108" s="209">
        <f t="shared" ref="S108:S111" si="124">M108+K108</f>
      </c>
      <c r="T108" s="199">
        <f t="shared" si="234"/>
      </c>
      <c r="U108" s="199">
        <f t="shared" si="2"/>
      </c>
      <c r="V108" s="204">
        <f t="shared" si="0"/>
      </c>
      <c r="W108" s="202">
        <v>5</v>
      </c>
      <c r="X108" s="204">
        <f t="shared" si="6"/>
      </c>
      <c r="Y108" s="204">
        <f t="shared" si="4"/>
      </c>
      <c r="Z108" s="198">
        <f t="shared" si="232"/>
      </c>
      <c r="AA108" s="199">
        <f t="shared" si="47"/>
      </c>
      <c r="AB108" s="199">
        <f t="shared" si="237"/>
      </c>
      <c r="AC108" s="203">
        <f t="shared" si="235"/>
      </c>
      <c r="AD108" s="203">
        <f t="shared" si="3"/>
      </c>
      <c r="AE108" s="203">
        <f t="shared" si="1"/>
      </c>
      <c r="AF108" s="203">
        <f t="shared" si="7"/>
      </c>
      <c r="AG108" s="203">
        <f t="shared" si="5"/>
      </c>
      <c r="AH108" s="203">
        <f t="shared" si="233"/>
      </c>
      <c r="AI108" s="210">
        <f t="shared" si="48"/>
      </c>
      <c r="AJ108" s="202">
        <v>50</v>
      </c>
      <c r="AK108" s="193">
        <v>45232</v>
      </c>
      <c r="AL108" s="193">
        <v>1470</v>
      </c>
      <c r="AM108" s="193">
        <v>1568</v>
      </c>
      <c r="AN108" s="193">
        <v>208</v>
      </c>
      <c r="AO108" s="196">
        <v>48</v>
      </c>
      <c r="AP108" s="211">
        <v>139</v>
      </c>
      <c r="AQ108" s="197">
        <v>190</v>
      </c>
      <c r="AR108" s="196">
        <v>8</v>
      </c>
      <c r="AS108" s="193">
        <v>16</v>
      </c>
      <c r="AT108" s="193">
        <v>1</v>
      </c>
      <c r="AU108" s="211">
        <v>6</v>
      </c>
      <c r="AV108" s="207"/>
      <c r="AW108" s="165"/>
      <c r="AX108" s="197">
        <f t="shared" ref="AX108:AX111" si="261">COUNT(AU108)</f>
      </c>
    </row>
    <row customHeight="true" ht="16.071428571428573" r="109">
      <c r="A109" s="195"/>
      <c r="B109" s="197" t="s">
        <v>170</v>
      </c>
      <c r="C109" s="197" t="s">
        <v>157</v>
      </c>
      <c r="D109" s="196" t="s">
        <v>169</v>
      </c>
      <c r="E109" s="196" t="s">
        <v>168</v>
      </c>
      <c r="F109" s="198">
        <f t="shared" si="180"/>
      </c>
      <c r="G109" s="221">
        <v>4455.93</v>
      </c>
      <c r="H109" s="221">
        <v>2195.15</v>
      </c>
      <c r="I109" s="200">
        <v>0</v>
      </c>
      <c r="J109" s="201">
        <v>1</v>
      </c>
      <c r="K109" s="201">
        <v>949.91</v>
      </c>
      <c r="L109" s="201">
        <v>3</v>
      </c>
      <c r="M109" s="201">
        <v>8413.58</v>
      </c>
      <c r="N109" s="202">
        <v>2</v>
      </c>
      <c r="O109" s="203">
        <f t="shared" si="46"/>
      </c>
      <c r="P109" s="202">
        <v>1</v>
      </c>
      <c r="Q109" s="203">
        <f t="shared" si="236"/>
      </c>
      <c r="R109" s="193">
        <f t="shared" si="70"/>
      </c>
      <c r="S109" s="209">
        <f t="shared" si="124"/>
      </c>
      <c r="T109" s="199">
        <f t="shared" si="234"/>
      </c>
      <c r="U109" s="199">
        <f t="shared" si="2"/>
      </c>
      <c r="V109" s="204">
        <f t="shared" si="0"/>
      </c>
      <c r="W109" s="202">
        <v>4</v>
      </c>
      <c r="X109" s="204">
        <f t="shared" si="6"/>
      </c>
      <c r="Y109" s="204">
        <f t="shared" si="4"/>
      </c>
      <c r="Z109" s="198">
        <f t="shared" si="232"/>
      </c>
      <c r="AA109" s="199">
        <f t="shared" si="47"/>
      </c>
      <c r="AB109" s="199">
        <f t="shared" si="237"/>
      </c>
      <c r="AC109" s="203">
        <f t="shared" si="235"/>
      </c>
      <c r="AD109" s="203">
        <f t="shared" si="3"/>
      </c>
      <c r="AE109" s="203">
        <f t="shared" si="1"/>
      </c>
      <c r="AF109" s="203">
        <f t="shared" si="7"/>
      </c>
      <c r="AG109" s="203">
        <f t="shared" si="5"/>
      </c>
      <c r="AH109" s="203">
        <f t="shared" si="233"/>
      </c>
      <c r="AI109" s="210">
        <f t="shared" si="48"/>
      </c>
      <c r="AJ109" s="202">
        <v>51</v>
      </c>
      <c r="AK109" s="193">
        <v>74418</v>
      </c>
      <c r="AL109" s="193">
        <v>1349</v>
      </c>
      <c r="AM109" s="193">
        <v>1449</v>
      </c>
      <c r="AN109" s="193">
        <v>218</v>
      </c>
      <c r="AO109" s="196">
        <v>46</v>
      </c>
      <c r="AP109" s="211">
        <v>121</v>
      </c>
      <c r="AQ109" s="197">
        <v>186</v>
      </c>
      <c r="AR109" s="196">
        <v>5</v>
      </c>
      <c r="AS109" s="193">
        <v>15</v>
      </c>
      <c r="AT109" s="193">
        <v>1</v>
      </c>
      <c r="AU109" s="211">
        <v>5</v>
      </c>
      <c r="AV109" s="207"/>
      <c r="AW109" s="165"/>
      <c r="AX109" s="197">
        <f t="shared" si="261"/>
      </c>
    </row>
    <row customHeight="true" ht="16.071428571428573" r="110">
      <c r="A110" s="195"/>
      <c r="B110" s="197" t="s">
        <v>170</v>
      </c>
      <c r="C110" s="197" t="s">
        <v>157</v>
      </c>
      <c r="D110" s="196" t="s">
        <v>169</v>
      </c>
      <c r="E110" s="196" t="s">
        <v>171</v>
      </c>
      <c r="F110" s="198">
        <f t="shared" si="180"/>
      </c>
      <c r="G110" s="221">
        <v>4684.65</v>
      </c>
      <c r="H110" s="221">
        <v>947.86</v>
      </c>
      <c r="I110" s="200">
        <v>0</v>
      </c>
      <c r="J110" s="201">
        <v>3</v>
      </c>
      <c r="K110" s="201">
        <v>10580.6</v>
      </c>
      <c r="L110" s="201">
        <v>3</v>
      </c>
      <c r="M110" s="201">
        <v>10577.78</v>
      </c>
      <c r="N110" s="202">
        <v>1</v>
      </c>
      <c r="O110" s="203">
        <f t="shared" si="46"/>
      </c>
      <c r="P110" s="202">
        <v>2</v>
      </c>
      <c r="Q110" s="203">
        <f t="shared" si="236"/>
      </c>
      <c r="R110" s="193">
        <f t="shared" si="70"/>
      </c>
      <c r="S110" s="209">
        <f t="shared" si="124"/>
      </c>
      <c r="T110" s="199">
        <f t="shared" si="234"/>
      </c>
      <c r="U110" s="199">
        <f t="shared" si="2"/>
      </c>
      <c r="V110" s="204">
        <f t="shared" si="0"/>
      </c>
      <c r="W110" s="202">
        <v>3</v>
      </c>
      <c r="X110" s="204">
        <f t="shared" si="6"/>
      </c>
      <c r="Y110" s="204">
        <f t="shared" si="4"/>
      </c>
      <c r="Z110" s="198">
        <f t="shared" si="232"/>
      </c>
      <c r="AA110" s="199">
        <f t="shared" si="47"/>
      </c>
      <c r="AB110" s="199">
        <f t="shared" si="237"/>
      </c>
      <c r="AC110" s="203">
        <f t="shared" si="235"/>
      </c>
      <c r="AD110" s="203">
        <f t="shared" si="3"/>
      </c>
      <c r="AE110" s="203">
        <f t="shared" si="1"/>
      </c>
      <c r="AF110" s="203">
        <f t="shared" si="7"/>
      </c>
      <c r="AG110" s="203">
        <f t="shared" si="5"/>
      </c>
      <c r="AH110" s="203">
        <f t="shared" si="233"/>
      </c>
      <c r="AI110" s="210">
        <f t="shared" si="48"/>
      </c>
      <c r="AJ110" s="202">
        <v>51</v>
      </c>
      <c r="AK110" s="193">
        <v>77726</v>
      </c>
      <c r="AL110" s="193">
        <v>1476</v>
      </c>
      <c r="AM110" s="193">
        <v>1575</v>
      </c>
      <c r="AN110" s="193">
        <v>193</v>
      </c>
      <c r="AO110" s="196">
        <v>52</v>
      </c>
      <c r="AP110" s="211">
        <v>147</v>
      </c>
      <c r="AQ110" s="197">
        <v>164</v>
      </c>
      <c r="AR110" s="196">
        <v>8</v>
      </c>
      <c r="AS110" s="193">
        <v>18</v>
      </c>
      <c r="AT110" s="193">
        <v>4</v>
      </c>
      <c r="AU110" s="211">
        <v>0</v>
      </c>
      <c r="AV110" s="207"/>
      <c r="AW110" s="165"/>
      <c r="AX110" s="197">
        <f t="shared" si="261"/>
      </c>
    </row>
    <row customHeight="true" ht="16.071428571428573" r="111">
      <c r="A111" s="195"/>
      <c r="B111" s="197" t="s">
        <v>170</v>
      </c>
      <c r="C111" s="197" t="s">
        <v>157</v>
      </c>
      <c r="D111" s="196" t="s">
        <v>169</v>
      </c>
      <c r="E111" s="196" t="s">
        <v>172</v>
      </c>
      <c r="F111" s="198">
        <f t="shared" si="180"/>
      </c>
      <c r="G111" s="221">
        <v>3489.71</v>
      </c>
      <c r="H111" s="221">
        <v>1497.06</v>
      </c>
      <c r="I111" s="200">
        <v>0</v>
      </c>
      <c r="J111" s="201">
        <v>0</v>
      </c>
      <c r="K111" s="201">
        <v>0</v>
      </c>
      <c r="L111" s="201">
        <v>5</v>
      </c>
      <c r="M111" s="201">
        <v>13561.06</v>
      </c>
      <c r="N111" s="202">
        <v>1</v>
      </c>
      <c r="O111" s="203">
        <f t="shared" si="46"/>
      </c>
      <c r="P111" s="202">
        <v>0</v>
      </c>
      <c r="Q111" s="203">
        <f t="shared" si="236"/>
      </c>
      <c r="R111" s="193">
        <f t="shared" si="70"/>
      </c>
      <c r="S111" s="209">
        <f t="shared" si="124"/>
      </c>
      <c r="T111" s="199">
        <f t="shared" si="234"/>
      </c>
      <c r="U111" s="199">
        <f t="shared" si="2"/>
      </c>
      <c r="V111" s="204">
        <f t="shared" si="0"/>
      </c>
      <c r="W111" s="202">
        <v>4</v>
      </c>
      <c r="X111" s="204">
        <f t="shared" si="6"/>
      </c>
      <c r="Y111" s="204">
        <f t="shared" si="4"/>
      </c>
      <c r="Z111" s="198">
        <f t="shared" si="232"/>
      </c>
      <c r="AA111" s="199">
        <f t="shared" si="47"/>
      </c>
      <c r="AB111" s="199">
        <f t="shared" si="237"/>
      </c>
      <c r="AC111" s="203">
        <f t="shared" si="235"/>
      </c>
      <c r="AD111" s="203">
        <f t="shared" si="3"/>
      </c>
      <c r="AE111" s="203">
        <f t="shared" si="1"/>
      </c>
      <c r="AF111" s="203">
        <f t="shared" si="7"/>
      </c>
      <c r="AG111" s="203">
        <f t="shared" si="5"/>
      </c>
      <c r="AH111" s="203">
        <f t="shared" si="233"/>
      </c>
      <c r="AI111" s="210">
        <f t="shared" si="48"/>
      </c>
      <c r="AJ111" s="202">
        <v>50</v>
      </c>
      <c r="AK111" s="193">
        <v>64103</v>
      </c>
      <c r="AL111" s="193">
        <v>2103</v>
      </c>
      <c r="AM111" s="193">
        <v>2272</v>
      </c>
      <c r="AN111" s="193">
        <v>168</v>
      </c>
      <c r="AO111" s="196">
        <v>43</v>
      </c>
      <c r="AP111" s="211">
        <v>114</v>
      </c>
      <c r="AQ111" s="197">
        <v>170</v>
      </c>
      <c r="AR111" s="196">
        <v>7</v>
      </c>
      <c r="AS111" s="193">
        <v>18</v>
      </c>
      <c r="AT111" s="193">
        <v>3</v>
      </c>
      <c r="AU111" s="211">
        <v>10</v>
      </c>
      <c r="AV111" s="207"/>
      <c r="AW111" s="165"/>
      <c r="AX111" s="197">
        <f t="shared" si="261"/>
      </c>
    </row>
    <row customHeight="true" ht="16.071428571428573" r="112">
      <c r="A112" s="195"/>
      <c r="B112" s="213" t="s">
        <v>162</v>
      </c>
      <c r="C112" s="213"/>
      <c r="D112" s="213"/>
      <c r="E112" s="213"/>
      <c r="F112" s="181">
        <f>SUM(F108:F111)</f>
      </c>
      <c r="G112" s="181">
        <f>SUM(G108:G111)</f>
      </c>
      <c r="H112" s="181">
        <f>SUM(H108:H111)</f>
      </c>
      <c r="I112" s="181">
        <f>SUM(I108:I111)</f>
      </c>
      <c r="J112" s="181">
        <f>SUM(J108:J111)</f>
      </c>
      <c r="K112" s="181">
        <f>SUM(K108:K111)</f>
      </c>
      <c r="L112" s="181">
        <f>SUM(L108:L111)</f>
      </c>
      <c r="M112" s="181">
        <f>SUM(M108:M111)</f>
      </c>
      <c r="N112" s="181">
        <f>SUM(N108:N111)</f>
      </c>
      <c r="O112" s="183">
        <f t="shared" si="46"/>
      </c>
      <c r="P112" s="181">
        <f>SUM(P108:P111)</f>
      </c>
      <c r="Q112" s="183">
        <f t="shared" si="236"/>
      </c>
      <c r="R112" s="181">
        <f>SUM(R108:R111)</f>
      </c>
      <c r="S112" s="181">
        <f>SUM(S108:S111)</f>
      </c>
      <c r="T112" s="182">
        <f t="shared" si="234"/>
      </c>
      <c r="U112" s="182">
        <f t="shared" si="2"/>
      </c>
      <c r="V112" s="216">
        <f t="shared" si="0"/>
      </c>
      <c r="W112" s="181">
        <f>SUM(W108:W111)</f>
      </c>
      <c r="X112" s="216">
        <f t="shared" si="6"/>
      </c>
      <c r="Y112" s="216">
        <f t="shared" si="4"/>
      </c>
      <c r="Z112" s="181">
        <f t="shared" si="232"/>
      </c>
      <c r="AA112" s="182">
        <f t="shared" si="47"/>
      </c>
      <c r="AB112" s="217">
        <f t="shared" si="237"/>
      </c>
      <c r="AC112" s="183">
        <f t="shared" si="235"/>
      </c>
      <c r="AD112" s="183">
        <f t="shared" si="3"/>
      </c>
      <c r="AE112" s="183">
        <f t="shared" si="1"/>
      </c>
      <c r="AF112" s="231">
        <f t="shared" si="7"/>
      </c>
      <c r="AG112" s="183">
        <f t="shared" si="5"/>
      </c>
      <c r="AH112" s="183">
        <f t="shared" si="233"/>
      </c>
      <c r="AI112" s="183">
        <f t="shared" si="48"/>
      </c>
      <c r="AJ112" s="181">
        <f>SUM(AJ108:AJ111)</f>
      </c>
      <c r="AK112" s="181">
        <f>SUM(AK108:AK111)</f>
      </c>
      <c r="AL112" s="181">
        <f>SUM(AL108:AL111)</f>
      </c>
      <c r="AM112" s="181">
        <f>SUM(AM108:AM111)</f>
      </c>
      <c r="AN112" s="181">
        <f>SUM(AN108:AN111)</f>
      </c>
      <c r="AO112" s="181">
        <f>SUM(AO108:AO111)</f>
      </c>
      <c r="AP112" s="181">
        <f>SUM(AP108:AP111)</f>
      </c>
      <c r="AQ112" s="181">
        <f>SUM(AQ108:AQ111)</f>
      </c>
      <c r="AR112" s="181">
        <f>SUM(AR108:AR111)</f>
      </c>
      <c r="AS112" s="181">
        <f>SUM(AS108:AS111)</f>
      </c>
      <c r="AT112" s="181">
        <f>SUM(AT108:AT111)</f>
      </c>
      <c r="AU112" s="181">
        <f>SUM(AU108:AU111)</f>
      </c>
      <c r="AV112" s="207"/>
      <c r="AW112" s="180"/>
      <c r="AX112" s="181">
        <f>SUM(AX108:AX111)</f>
      </c>
    </row>
    <row customHeight="true" ht="16.071428571428573" r="113">
      <c r="A113" s="195"/>
      <c r="B113" s="222" t="s">
        <v>166</v>
      </c>
      <c r="C113" s="222"/>
      <c r="D113" s="222"/>
      <c r="E113" s="222"/>
      <c r="F113" s="223">
        <f>F107+F112</f>
      </c>
      <c r="G113" s="223">
        <f>G107+G112</f>
      </c>
      <c r="H113" s="223">
        <f>H107+H112</f>
      </c>
      <c r="I113" s="222">
        <f>I107+I112</f>
      </c>
      <c r="J113" s="222">
        <f>J107+J112</f>
      </c>
      <c r="K113" s="222">
        <f>K107+K112</f>
      </c>
      <c r="L113" s="222">
        <f>L107+L112</f>
      </c>
      <c r="M113" s="222">
        <f>M107+M112</f>
      </c>
      <c r="N113" s="222">
        <f>N107+N112</f>
      </c>
      <c r="O113" s="224">
        <f t="shared" si="46"/>
      </c>
      <c r="P113" s="222">
        <f>P107+P112</f>
      </c>
      <c r="Q113" s="224">
        <f t="shared" si="236"/>
      </c>
      <c r="R113" s="222">
        <f>R107+R112</f>
      </c>
      <c r="S113" s="225">
        <f>S107+S112</f>
      </c>
      <c r="T113" s="223">
        <f t="shared" si="234"/>
      </c>
      <c r="U113" s="223">
        <f t="shared" si="2"/>
      </c>
      <c r="V113" s="226">
        <f t="shared" si="0"/>
      </c>
      <c r="W113" s="222">
        <f>W107+W112</f>
      </c>
      <c r="X113" s="226">
        <f t="shared" si="6"/>
      </c>
      <c r="Y113" s="226">
        <f t="shared" si="4"/>
      </c>
      <c r="Z113" s="227">
        <f t="shared" si="232"/>
      </c>
      <c r="AA113" s="223">
        <f t="shared" si="47"/>
      </c>
      <c r="AB113" s="189">
        <f t="shared" si="237"/>
      </c>
      <c r="AC113" s="224">
        <f t="shared" si="235"/>
      </c>
      <c r="AD113" s="224">
        <f t="shared" si="3"/>
      </c>
      <c r="AE113" s="224">
        <f t="shared" si="1"/>
      </c>
      <c r="AF113" s="232">
        <f t="shared" si="7"/>
      </c>
      <c r="AG113" s="224">
        <f t="shared" si="5"/>
      </c>
      <c r="AH113" s="224">
        <f t="shared" si="233"/>
      </c>
      <c r="AI113" s="224">
        <f t="shared" si="48"/>
      </c>
      <c r="AJ113" s="228">
        <f>(AJ107+AJ112)/2</f>
      </c>
      <c r="AK113" s="222">
        <f>AK107+AK112</f>
      </c>
      <c r="AL113" s="229">
        <f>AL107+AL112</f>
      </c>
      <c r="AM113" s="229">
        <f>AM107+AM112</f>
      </c>
      <c r="AN113" s="229">
        <f>AN107+AN112</f>
      </c>
      <c r="AO113" s="229">
        <f>AO107+AO112</f>
      </c>
      <c r="AP113" s="229">
        <f>AP107+AP112</f>
      </c>
      <c r="AQ113" s="229">
        <f>AQ107+AQ112</f>
      </c>
      <c r="AR113" s="229">
        <f>AR107+AR112</f>
      </c>
      <c r="AS113" s="229">
        <f>AS107+AS112</f>
      </c>
      <c r="AT113" s="229">
        <f>AT107+AT112</f>
      </c>
      <c r="AU113" s="222">
        <f>AU107+AU112</f>
      </c>
      <c r="AV113" s="207"/>
      <c r="AW113" s="230">
        <f>AW107+AW112</f>
      </c>
      <c r="AX113" s="222">
        <f>AX107+AX112</f>
      </c>
    </row>
    <row customHeight="true" ht="16.071428571428573" r="114">
      <c r="A114" s="195">
        <v>46279</v>
      </c>
      <c r="B114" s="196" t="s">
        <v>173</v>
      </c>
      <c r="C114" s="197" t="s">
        <v>157</v>
      </c>
      <c r="D114" s="149" t="s">
        <v>163</v>
      </c>
      <c r="E114" s="197" t="s">
        <v>159</v>
      </c>
      <c r="F114" s="198">
        <f t="shared" ref="F114:F117" si="181">G114+H114+I114</f>
      </c>
      <c r="G114" s="221">
        <v>3443.11</v>
      </c>
      <c r="H114" s="221">
        <v>2059.72</v>
      </c>
      <c r="I114" s="200">
        <v>0</v>
      </c>
      <c r="J114" s="201">
        <v>0</v>
      </c>
      <c r="K114" s="201">
        <v>0</v>
      </c>
      <c r="L114" s="201">
        <v>3</v>
      </c>
      <c r="M114" s="201">
        <v>4623.65</v>
      </c>
      <c r="N114" s="202">
        <v>0</v>
      </c>
      <c r="O114" s="203">
        <f t="shared" si="46"/>
      </c>
      <c r="P114" s="202">
        <v>0</v>
      </c>
      <c r="Q114" s="203">
        <f t="shared" si="236"/>
      </c>
      <c r="R114" s="193">
        <f t="shared" ref="R114:R117" si="71">L114+J114</f>
      </c>
      <c r="S114" s="209">
        <f t="shared" ref="S114:S117" si="125">M114+K114</f>
      </c>
      <c r="T114" s="199">
        <f t="shared" si="234"/>
      </c>
      <c r="U114" s="199">
        <f t="shared" si="2"/>
      </c>
      <c r="V114" s="193">
        <f t="shared" si="0"/>
      </c>
      <c r="W114" s="202">
        <v>2</v>
      </c>
      <c r="X114" s="204">
        <f t="shared" si="6"/>
      </c>
      <c r="Y114" s="204">
        <f t="shared" si="4"/>
      </c>
      <c r="Z114" s="198">
        <f t="shared" si="232"/>
      </c>
      <c r="AA114" s="199">
        <f t="shared" si="47"/>
      </c>
      <c r="AB114" s="199">
        <f t="shared" si="237"/>
      </c>
      <c r="AC114" s="203">
        <f t="shared" si="235"/>
      </c>
      <c r="AD114" s="203">
        <f t="shared" si="3"/>
      </c>
      <c r="AE114" s="203">
        <f t="shared" si="1"/>
      </c>
      <c r="AF114" s="203">
        <f t="shared" si="7"/>
      </c>
      <c r="AG114" s="203">
        <f t="shared" si="5"/>
      </c>
      <c r="AH114" s="203">
        <f t="shared" si="233"/>
      </c>
      <c r="AI114" s="205">
        <f t="shared" si="48"/>
      </c>
      <c r="AJ114" s="202">
        <v>44</v>
      </c>
      <c r="AK114" s="193">
        <v>58067</v>
      </c>
      <c r="AL114" s="193">
        <v>1120</v>
      </c>
      <c r="AM114" s="193">
        <v>1218</v>
      </c>
      <c r="AN114" s="193">
        <v>147</v>
      </c>
      <c r="AO114" s="196">
        <v>45</v>
      </c>
      <c r="AP114" s="233">
        <v>113</v>
      </c>
      <c r="AQ114" s="206">
        <v>14</v>
      </c>
      <c r="AR114" s="196">
        <v>6</v>
      </c>
      <c r="AS114" s="196">
        <v>1</v>
      </c>
      <c r="AT114" s="193">
        <v>1</v>
      </c>
      <c r="AU114" s="193">
        <v>10</v>
      </c>
      <c r="AV114" s="207"/>
      <c r="AW114" s="165"/>
      <c r="AX114" s="197">
        <f t="shared" ref="AX114:AX117" si="262">COUNT(AU114)</f>
      </c>
    </row>
    <row customHeight="true" ht="16.071428571428573" r="115">
      <c r="A115" s="195"/>
      <c r="B115" s="196" t="s">
        <v>173</v>
      </c>
      <c r="C115" s="197" t="s">
        <v>157</v>
      </c>
      <c r="D115" s="149" t="s">
        <v>163</v>
      </c>
      <c r="E115" s="197" t="s">
        <v>160</v>
      </c>
      <c r="F115" s="198">
        <f t="shared" si="181"/>
      </c>
      <c r="G115" s="221">
        <v>3316.62</v>
      </c>
      <c r="H115" s="221">
        <v>1818.06</v>
      </c>
      <c r="I115" s="200">
        <v>0</v>
      </c>
      <c r="J115" s="201">
        <v>2</v>
      </c>
      <c r="K115" s="201">
        <v>1922.7</v>
      </c>
      <c r="L115" s="201">
        <v>5</v>
      </c>
      <c r="M115" s="201">
        <v>12218.930000000002</v>
      </c>
      <c r="N115" s="202">
        <v>1</v>
      </c>
      <c r="O115" s="203">
        <f t="shared" si="46"/>
      </c>
      <c r="P115" s="202">
        <v>0</v>
      </c>
      <c r="Q115" s="203">
        <f t="shared" si="236"/>
      </c>
      <c r="R115" s="193">
        <f t="shared" si="71"/>
      </c>
      <c r="S115" s="209">
        <f t="shared" si="125"/>
      </c>
      <c r="T115" s="199">
        <f t="shared" si="234"/>
      </c>
      <c r="U115" s="199">
        <f t="shared" si="2"/>
      </c>
      <c r="V115" s="193">
        <f t="shared" si="0"/>
      </c>
      <c r="W115" s="202">
        <v>7</v>
      </c>
      <c r="X115" s="204">
        <f t="shared" si="6"/>
      </c>
      <c r="Y115" s="204">
        <f t="shared" si="4"/>
      </c>
      <c r="Z115" s="198">
        <f t="shared" si="232"/>
      </c>
      <c r="AA115" s="199">
        <f t="shared" si="47"/>
      </c>
      <c r="AB115" s="199">
        <f t="shared" si="237"/>
      </c>
      <c r="AC115" s="203">
        <f t="shared" si="235"/>
      </c>
      <c r="AD115" s="203">
        <f t="shared" si="3"/>
      </c>
      <c r="AE115" s="203">
        <f t="shared" si="1"/>
      </c>
      <c r="AF115" s="203">
        <f t="shared" si="7"/>
      </c>
      <c r="AG115" s="203">
        <f t="shared" si="5"/>
      </c>
      <c r="AH115" s="210">
        <f t="shared" si="233"/>
      </c>
      <c r="AI115" s="210">
        <f t="shared" si="48"/>
      </c>
      <c r="AJ115" s="202">
        <v>38</v>
      </c>
      <c r="AK115" s="193">
        <v>53094</v>
      </c>
      <c r="AL115" s="193">
        <v>1212</v>
      </c>
      <c r="AM115" s="193">
        <v>1334</v>
      </c>
      <c r="AN115" s="193">
        <v>136</v>
      </c>
      <c r="AO115" s="196">
        <v>36</v>
      </c>
      <c r="AP115" s="211">
        <v>104</v>
      </c>
      <c r="AQ115" s="197">
        <v>147</v>
      </c>
      <c r="AR115" s="196">
        <v>9</v>
      </c>
      <c r="AS115" s="193">
        <v>21</v>
      </c>
      <c r="AT115" s="193">
        <v>0</v>
      </c>
      <c r="AU115" s="211">
        <v>6</v>
      </c>
      <c r="AV115" s="207"/>
      <c r="AW115" s="165"/>
      <c r="AX115" s="197">
        <f t="shared" si="262"/>
      </c>
    </row>
    <row customHeight="true" ht="16.071428571428573" r="116">
      <c r="A116" s="195"/>
      <c r="B116" s="196" t="s">
        <v>173</v>
      </c>
      <c r="C116" s="197" t="s">
        <v>157</v>
      </c>
      <c r="D116" s="149" t="s">
        <v>163</v>
      </c>
      <c r="E116" s="197" t="s">
        <v>161</v>
      </c>
      <c r="F116" s="198">
        <f t="shared" si="181"/>
      </c>
      <c r="G116" s="221">
        <v>5327.89</v>
      </c>
      <c r="H116" s="221">
        <v>2441.33</v>
      </c>
      <c r="I116" s="200">
        <v>0</v>
      </c>
      <c r="J116" s="201">
        <v>1</v>
      </c>
      <c r="K116" s="201">
        <v>1055.45</v>
      </c>
      <c r="L116" s="201">
        <v>4</v>
      </c>
      <c r="M116" s="201">
        <v>11665.5</v>
      </c>
      <c r="N116" s="202">
        <v>0</v>
      </c>
      <c r="O116" s="203">
        <f t="shared" si="46"/>
      </c>
      <c r="P116" s="202">
        <v>1</v>
      </c>
      <c r="Q116" s="203">
        <f t="shared" si="236"/>
      </c>
      <c r="R116" s="193">
        <f t="shared" si="71"/>
      </c>
      <c r="S116" s="209">
        <f t="shared" si="125"/>
      </c>
      <c r="T116" s="199">
        <f t="shared" si="234"/>
      </c>
      <c r="U116" s="199">
        <f t="shared" si="2"/>
      </c>
      <c r="V116" s="204">
        <f t="shared" si="0"/>
      </c>
      <c r="W116" s="202">
        <v>5</v>
      </c>
      <c r="X116" s="204">
        <f t="shared" si="6"/>
      </c>
      <c r="Y116" s="204">
        <f t="shared" si="4"/>
      </c>
      <c r="Z116" s="198">
        <f t="shared" si="232"/>
      </c>
      <c r="AA116" s="199">
        <f t="shared" si="47"/>
      </c>
      <c r="AB116" s="199">
        <f t="shared" si="237"/>
      </c>
      <c r="AC116" s="203">
        <f t="shared" si="235"/>
      </c>
      <c r="AD116" s="203">
        <f t="shared" si="3"/>
      </c>
      <c r="AE116" s="203">
        <f t="shared" si="1"/>
      </c>
      <c r="AF116" s="203">
        <f t="shared" si="7"/>
      </c>
      <c r="AG116" s="203">
        <f t="shared" si="5"/>
      </c>
      <c r="AH116" s="203">
        <f t="shared" si="233"/>
      </c>
      <c r="AI116" s="212">
        <f t="shared" si="48"/>
      </c>
      <c r="AJ116" s="202">
        <v>35</v>
      </c>
      <c r="AK116" s="193">
        <v>81304</v>
      </c>
      <c r="AL116" s="193">
        <v>2765</v>
      </c>
      <c r="AM116" s="193">
        <v>3010</v>
      </c>
      <c r="AN116" s="193">
        <v>215</v>
      </c>
      <c r="AO116" s="196">
        <v>51</v>
      </c>
      <c r="AP116" s="211">
        <v>129</v>
      </c>
      <c r="AQ116" s="197">
        <v>253</v>
      </c>
      <c r="AR116" s="196">
        <v>6</v>
      </c>
      <c r="AS116" s="193">
        <v>20</v>
      </c>
      <c r="AT116" s="193">
        <v>5</v>
      </c>
      <c r="AU116" s="211">
        <v>6</v>
      </c>
      <c r="AV116" s="207"/>
      <c r="AW116" s="165"/>
      <c r="AX116" s="197">
        <f t="shared" si="262"/>
      </c>
    </row>
    <row customHeight="true" ht="16.071428571428573" r="117">
      <c r="A117" s="195"/>
      <c r="B117" s="196" t="s">
        <v>173</v>
      </c>
      <c r="C117" s="197" t="s">
        <v>157</v>
      </c>
      <c r="D117" s="149" t="s">
        <v>163</v>
      </c>
      <c r="E117" s="197" t="s">
        <v>164</v>
      </c>
      <c r="F117" s="198">
        <f t="shared" si="181"/>
      </c>
      <c r="G117" s="221">
        <v>6290.27</v>
      </c>
      <c r="H117" s="221">
        <v>3022.72</v>
      </c>
      <c r="I117" s="200">
        <v>0</v>
      </c>
      <c r="J117" s="201">
        <v>1</v>
      </c>
      <c r="K117" s="201">
        <v>1408.19</v>
      </c>
      <c r="L117" s="201">
        <v>4</v>
      </c>
      <c r="M117" s="201">
        <v>7950.0799999999945</v>
      </c>
      <c r="N117" s="202">
        <v>3</v>
      </c>
      <c r="O117" s="203">
        <f t="shared" si="46"/>
      </c>
      <c r="P117" s="202">
        <v>1</v>
      </c>
      <c r="Q117" s="203">
        <f t="shared" si="236"/>
      </c>
      <c r="R117" s="193">
        <f t="shared" si="71"/>
      </c>
      <c r="S117" s="209">
        <f t="shared" si="125"/>
      </c>
      <c r="T117" s="199">
        <f t="shared" si="234"/>
      </c>
      <c r="U117" s="199">
        <f t="shared" si="2"/>
      </c>
      <c r="V117" s="204">
        <f t="shared" si="0"/>
      </c>
      <c r="W117" s="202">
        <v>4</v>
      </c>
      <c r="X117" s="204">
        <f t="shared" si="6"/>
      </c>
      <c r="Y117" s="204">
        <f t="shared" si="4"/>
      </c>
      <c r="Z117" s="198">
        <f t="shared" si="232"/>
      </c>
      <c r="AA117" s="199">
        <f t="shared" si="47"/>
      </c>
      <c r="AB117" s="199">
        <f t="shared" si="237"/>
      </c>
      <c r="AC117" s="203">
        <f t="shared" si="235"/>
      </c>
      <c r="AD117" s="203">
        <f t="shared" si="3"/>
      </c>
      <c r="AE117" s="203">
        <f t="shared" si="1"/>
      </c>
      <c r="AF117" s="203">
        <f t="shared" si="7"/>
      </c>
      <c r="AG117" s="203">
        <f t="shared" si="5"/>
      </c>
      <c r="AH117" s="203">
        <f t="shared" si="233"/>
      </c>
      <c r="AI117" s="212">
        <f t="shared" si="48"/>
      </c>
      <c r="AJ117" s="202">
        <v>31</v>
      </c>
      <c r="AK117" s="193">
        <v>105768</v>
      </c>
      <c r="AL117" s="193">
        <v>3379</v>
      </c>
      <c r="AM117" s="193">
        <v>3653</v>
      </c>
      <c r="AN117" s="193">
        <v>237</v>
      </c>
      <c r="AO117" s="196">
        <v>60</v>
      </c>
      <c r="AP117" s="211">
        <v>150</v>
      </c>
      <c r="AQ117" s="197">
        <v>265</v>
      </c>
      <c r="AR117" s="196">
        <v>9</v>
      </c>
      <c r="AS117" s="193">
        <v>16</v>
      </c>
      <c r="AT117" s="193">
        <v>1</v>
      </c>
      <c r="AU117" s="211">
        <v>19</v>
      </c>
      <c r="AV117" s="207"/>
      <c r="AW117" s="165"/>
      <c r="AX117" s="197">
        <f t="shared" si="262"/>
      </c>
    </row>
    <row customHeight="true" ht="16.071428571428573" r="118">
      <c r="A118" s="195"/>
      <c r="B118" s="213" t="s">
        <v>162</v>
      </c>
      <c r="C118" s="213"/>
      <c r="D118" s="213"/>
      <c r="E118" s="213"/>
      <c r="F118" s="181">
        <f>SUM(F114:F117)</f>
      </c>
      <c r="G118" s="181">
        <f>SUM(G114:G117)</f>
      </c>
      <c r="H118" s="181">
        <f>SUM(H114:H117)</f>
      </c>
      <c r="I118" s="181">
        <f>SUM(I114:I117)</f>
      </c>
      <c r="J118" s="181">
        <f>SUM(J114:J117)</f>
      </c>
      <c r="K118" s="181">
        <f>SUM(K114:K117)</f>
      </c>
      <c r="L118" s="181">
        <f>SUM(L114:L117)</f>
      </c>
      <c r="M118" s="181">
        <f>SUM(M114:M117)</f>
      </c>
      <c r="N118" s="181">
        <f>SUM(N114:N117)</f>
      </c>
      <c r="O118" s="183">
        <f t="shared" si="46"/>
      </c>
      <c r="P118" s="181">
        <f>SUM(P114:P117)</f>
      </c>
      <c r="Q118" s="183">
        <f t="shared" si="236"/>
      </c>
      <c r="R118" s="181">
        <f>SUM(R114:R117)</f>
      </c>
      <c r="S118" s="181">
        <f>SUM(S114:S117)</f>
      </c>
      <c r="T118" s="182">
        <f t="shared" si="234"/>
      </c>
      <c r="U118" s="182">
        <f t="shared" si="2"/>
      </c>
      <c r="V118" s="182">
        <f t="shared" si="0"/>
      </c>
      <c r="W118" s="181">
        <f>SUM(W114:W117)</f>
      </c>
      <c r="X118" s="216">
        <f t="shared" si="6"/>
      </c>
      <c r="Y118" s="216">
        <f t="shared" si="4"/>
      </c>
      <c r="Z118" s="181">
        <f t="shared" si="232"/>
      </c>
      <c r="AA118" s="182">
        <f t="shared" si="47"/>
      </c>
      <c r="AB118" s="217">
        <f t="shared" si="237"/>
      </c>
      <c r="AC118" s="183">
        <f t="shared" si="235"/>
      </c>
      <c r="AD118" s="183">
        <f t="shared" si="3"/>
      </c>
      <c r="AE118" s="183">
        <f t="shared" si="1"/>
      </c>
      <c r="AF118" s="183">
        <f t="shared" si="7"/>
      </c>
      <c r="AG118" s="183">
        <f t="shared" si="5"/>
      </c>
      <c r="AH118" s="183">
        <f t="shared" si="233"/>
      </c>
      <c r="AI118" s="218">
        <f t="shared" si="48"/>
      </c>
      <c r="AJ118" s="181">
        <f>SUM(AJ114:AJ117)</f>
      </c>
      <c r="AK118" s="181">
        <f>SUM(AK114:AK117)</f>
      </c>
      <c r="AL118" s="181">
        <f>SUM(AL114:AL117)</f>
      </c>
      <c r="AM118" s="181">
        <f>SUM(AM114:AM117)</f>
      </c>
      <c r="AN118" s="181">
        <f>SUM(AN114:AN117)</f>
      </c>
      <c r="AO118" s="181">
        <f>SUM(AO114:AO117)</f>
      </c>
      <c r="AP118" s="181">
        <f>SUM(AP114:AP117)</f>
      </c>
      <c r="AQ118" s="181">
        <f>SUM(AQ114:AQ117)</f>
      </c>
      <c r="AR118" s="181">
        <f>SUM(AR114:AR117)</f>
      </c>
      <c r="AS118" s="181">
        <f>SUM(AS114:AS117)</f>
      </c>
      <c r="AT118" s="181">
        <f>SUM(AT114:AT117)</f>
      </c>
      <c r="AU118" s="181">
        <f>SUM(AU114:AU117)</f>
      </c>
      <c r="AV118" s="207"/>
      <c r="AW118" s="180"/>
      <c r="AX118" s="181">
        <f>SUM(AX114:AX117)</f>
      </c>
    </row>
    <row customHeight="true" ht="16.071428571428573" r="119">
      <c r="A119" s="195"/>
      <c r="B119" s="196" t="s">
        <v>173</v>
      </c>
      <c r="C119" s="197" t="s">
        <v>157</v>
      </c>
      <c r="D119" s="196" t="s">
        <v>158</v>
      </c>
      <c r="E119" s="197" t="s">
        <v>165</v>
      </c>
      <c r="F119" s="198">
        <f t="shared" ref="F119:F122" si="182">G119+H119+I119</f>
      </c>
      <c r="G119" s="221">
        <v>4668.57</v>
      </c>
      <c r="H119" s="221">
        <v>2061.11</v>
      </c>
      <c r="I119" s="200">
        <v>0</v>
      </c>
      <c r="J119" s="201">
        <v>1</v>
      </c>
      <c r="K119" s="201">
        <v>936.6999999999998</v>
      </c>
      <c r="L119" s="201">
        <v>1</v>
      </c>
      <c r="M119" s="201">
        <v>1588.4000000000015</v>
      </c>
      <c r="N119" s="202">
        <v>0</v>
      </c>
      <c r="O119" s="203">
        <f t="shared" si="46"/>
      </c>
      <c r="P119" s="202">
        <v>0</v>
      </c>
      <c r="Q119" s="203">
        <f t="shared" si="236"/>
      </c>
      <c r="R119" s="193">
        <f t="shared" ref="R119:R122" si="72">L119+J119</f>
      </c>
      <c r="S119" s="209">
        <f t="shared" ref="S119:S122" si="126">M119+K119</f>
      </c>
      <c r="T119" s="199">
        <f t="shared" si="234"/>
      </c>
      <c r="U119" s="199">
        <f t="shared" si="2"/>
      </c>
      <c r="V119" s="204">
        <f t="shared" si="0"/>
      </c>
      <c r="W119" s="202">
        <v>2</v>
      </c>
      <c r="X119" s="204">
        <f t="shared" si="6"/>
      </c>
      <c r="Y119" s="204">
        <f t="shared" si="4"/>
      </c>
      <c r="Z119" s="198">
        <f t="shared" si="232"/>
      </c>
      <c r="AA119" s="199">
        <f t="shared" si="47"/>
      </c>
      <c r="AB119" s="199">
        <f t="shared" si="237"/>
      </c>
      <c r="AC119" s="203">
        <f t="shared" si="235"/>
      </c>
      <c r="AD119" s="203">
        <f t="shared" si="3"/>
      </c>
      <c r="AE119" s="203">
        <f t="shared" si="1"/>
      </c>
      <c r="AF119" s="203">
        <f t="shared" si="7"/>
      </c>
      <c r="AG119" s="203">
        <f t="shared" si="5"/>
      </c>
      <c r="AH119" s="203">
        <f t="shared" si="233"/>
      </c>
      <c r="AI119" s="210">
        <f t="shared" si="48"/>
      </c>
      <c r="AJ119" s="202">
        <v>33</v>
      </c>
      <c r="AK119" s="193">
        <v>75854</v>
      </c>
      <c r="AL119" s="193">
        <v>2712</v>
      </c>
      <c r="AM119" s="193">
        <v>2952</v>
      </c>
      <c r="AN119" s="193">
        <v>222</v>
      </c>
      <c r="AO119" s="196">
        <v>46</v>
      </c>
      <c r="AP119" s="211">
        <v>131</v>
      </c>
      <c r="AQ119" s="197">
        <v>250</v>
      </c>
      <c r="AR119" s="196">
        <v>4</v>
      </c>
      <c r="AS119" s="193">
        <v>18</v>
      </c>
      <c r="AT119" s="193">
        <v>2</v>
      </c>
      <c r="AU119" s="211">
        <v>11</v>
      </c>
      <c r="AV119" s="207"/>
      <c r="AW119" s="165"/>
      <c r="AX119" s="197">
        <f t="shared" ref="AX119:AX122" si="263">COUNT(AU119)</f>
      </c>
    </row>
    <row customHeight="true" ht="16.071428571428573" r="120">
      <c r="A120" s="195"/>
      <c r="B120" s="196" t="s">
        <v>173</v>
      </c>
      <c r="C120" s="197" t="s">
        <v>157</v>
      </c>
      <c r="D120" s="196" t="s">
        <v>158</v>
      </c>
      <c r="E120" s="196" t="s">
        <v>168</v>
      </c>
      <c r="F120" s="198">
        <f t="shared" si="182"/>
      </c>
      <c r="G120" s="221">
        <v>4627.82</v>
      </c>
      <c r="H120" s="221">
        <v>3307.63</v>
      </c>
      <c r="I120" s="200">
        <v>0</v>
      </c>
      <c r="J120" s="201">
        <v>0</v>
      </c>
      <c r="K120" s="201">
        <v>0</v>
      </c>
      <c r="L120" s="201">
        <v>5</v>
      </c>
      <c r="M120" s="201">
        <v>20973.68</v>
      </c>
      <c r="N120" s="202">
        <v>1</v>
      </c>
      <c r="O120" s="203">
        <f t="shared" si="46"/>
      </c>
      <c r="P120" s="202">
        <v>2</v>
      </c>
      <c r="Q120" s="203">
        <f t="shared" si="236"/>
      </c>
      <c r="R120" s="193">
        <f t="shared" si="72"/>
      </c>
      <c r="S120" s="209">
        <f t="shared" si="126"/>
      </c>
      <c r="T120" s="199">
        <f t="shared" si="234"/>
      </c>
      <c r="U120" s="199">
        <f t="shared" si="2"/>
      </c>
      <c r="V120" s="204">
        <f t="shared" si="0"/>
      </c>
      <c r="W120" s="202">
        <v>4</v>
      </c>
      <c r="X120" s="204">
        <f t="shared" si="6"/>
      </c>
      <c r="Y120" s="204">
        <f t="shared" si="4"/>
      </c>
      <c r="Z120" s="198">
        <f t="shared" si="232"/>
      </c>
      <c r="AA120" s="199">
        <f t="shared" si="47"/>
      </c>
      <c r="AB120" s="199">
        <f t="shared" si="237"/>
      </c>
      <c r="AC120" s="203">
        <f t="shared" si="235"/>
      </c>
      <c r="AD120" s="203">
        <f t="shared" si="3"/>
      </c>
      <c r="AE120" s="203">
        <f t="shared" si="1"/>
      </c>
      <c r="AF120" s="203">
        <f t="shared" si="7"/>
      </c>
      <c r="AG120" s="203">
        <f t="shared" si="5"/>
      </c>
      <c r="AH120" s="203">
        <f t="shared" si="233"/>
      </c>
      <c r="AI120" s="210">
        <f t="shared" si="48"/>
      </c>
      <c r="AJ120" s="202">
        <v>33</v>
      </c>
      <c r="AK120" s="193">
        <v>93086</v>
      </c>
      <c r="AL120" s="193">
        <v>2472</v>
      </c>
      <c r="AM120" s="193">
        <v>2661</v>
      </c>
      <c r="AN120" s="193">
        <v>245</v>
      </c>
      <c r="AO120" s="196">
        <v>55</v>
      </c>
      <c r="AP120" s="211">
        <v>173</v>
      </c>
      <c r="AQ120" s="197">
        <v>230</v>
      </c>
      <c r="AR120" s="196">
        <v>9</v>
      </c>
      <c r="AS120" s="193">
        <v>16</v>
      </c>
      <c r="AT120" s="193">
        <v>7</v>
      </c>
      <c r="AU120" s="211">
        <v>28</v>
      </c>
      <c r="AV120" s="207"/>
      <c r="AW120" s="165"/>
      <c r="AX120" s="197">
        <f t="shared" si="263"/>
      </c>
    </row>
    <row customHeight="true" ht="16.071428571428573" r="121">
      <c r="A121" s="195"/>
      <c r="B121" s="196" t="s">
        <v>173</v>
      </c>
      <c r="C121" s="197" t="s">
        <v>157</v>
      </c>
      <c r="D121" s="196" t="s">
        <v>158</v>
      </c>
      <c r="E121" s="196" t="s">
        <v>171</v>
      </c>
      <c r="F121" s="198">
        <f t="shared" si="182"/>
      </c>
      <c r="G121" s="221">
        <v>5900.03</v>
      </c>
      <c r="H121" s="221">
        <v>1142.05</v>
      </c>
      <c r="I121" s="200">
        <v>0</v>
      </c>
      <c r="J121" s="201">
        <v>0</v>
      </c>
      <c r="K121" s="201">
        <v>0</v>
      </c>
      <c r="L121" s="201">
        <v>1</v>
      </c>
      <c r="M121" s="201">
        <v>1299.5999999999985</v>
      </c>
      <c r="N121" s="202">
        <v>1</v>
      </c>
      <c r="O121" s="203">
        <f t="shared" si="46"/>
      </c>
      <c r="P121" s="202">
        <v>0</v>
      </c>
      <c r="Q121" s="203">
        <f t="shared" si="236"/>
      </c>
      <c r="R121" s="193">
        <f t="shared" si="72"/>
      </c>
      <c r="S121" s="209">
        <f t="shared" si="126"/>
      </c>
      <c r="T121" s="199">
        <f t="shared" si="234"/>
      </c>
      <c r="U121" s="199">
        <f t="shared" si="2"/>
      </c>
      <c r="V121" s="204">
        <f t="shared" si="0"/>
      </c>
      <c r="W121" s="202">
        <v>1</v>
      </c>
      <c r="X121" s="204">
        <f t="shared" si="6"/>
      </c>
      <c r="Y121" s="204">
        <f t="shared" si="4"/>
      </c>
      <c r="Z121" s="198">
        <f t="shared" si="232"/>
      </c>
      <c r="AA121" s="199">
        <f t="shared" si="47"/>
      </c>
      <c r="AB121" s="199">
        <f t="shared" si="237"/>
      </c>
      <c r="AC121" s="203">
        <f t="shared" si="235"/>
      </c>
      <c r="AD121" s="203">
        <f t="shared" si="3"/>
      </c>
      <c r="AE121" s="203">
        <f t="shared" si="1"/>
      </c>
      <c r="AF121" s="203">
        <f t="shared" si="7"/>
      </c>
      <c r="AG121" s="203">
        <f t="shared" si="5"/>
      </c>
      <c r="AH121" s="203">
        <f t="shared" si="233"/>
      </c>
      <c r="AI121" s="210">
        <f t="shared" si="48"/>
      </c>
      <c r="AJ121" s="202">
        <v>33</v>
      </c>
      <c r="AK121" s="193">
        <v>90781</v>
      </c>
      <c r="AL121" s="193">
        <v>2860</v>
      </c>
      <c r="AM121" s="193">
        <v>3111</v>
      </c>
      <c r="AN121" s="193">
        <v>199</v>
      </c>
      <c r="AO121" s="196">
        <v>29</v>
      </c>
      <c r="AP121" s="211">
        <v>105</v>
      </c>
      <c r="AQ121" s="197">
        <v>210</v>
      </c>
      <c r="AR121" s="196">
        <v>1</v>
      </c>
      <c r="AS121" s="193">
        <v>22</v>
      </c>
      <c r="AT121" s="193">
        <v>1</v>
      </c>
      <c r="AU121" s="211">
        <v>12</v>
      </c>
      <c r="AV121" s="207"/>
      <c r="AW121" s="165"/>
      <c r="AX121" s="197">
        <f t="shared" si="263"/>
      </c>
    </row>
    <row customHeight="true" ht="16.071428571428573" r="122">
      <c r="A122" s="195"/>
      <c r="B122" s="196" t="s">
        <v>173</v>
      </c>
      <c r="C122" s="197" t="s">
        <v>157</v>
      </c>
      <c r="D122" s="196" t="s">
        <v>158</v>
      </c>
      <c r="E122" s="196" t="s">
        <v>172</v>
      </c>
      <c r="F122" s="198">
        <f t="shared" si="182"/>
      </c>
      <c r="G122" s="221">
        <v>1091.19</v>
      </c>
      <c r="H122" s="221">
        <v>727.91</v>
      </c>
      <c r="I122" s="200">
        <v>0</v>
      </c>
      <c r="J122" s="201">
        <v>1</v>
      </c>
      <c r="K122" s="201">
        <v>1635</v>
      </c>
      <c r="L122" s="201">
        <v>2</v>
      </c>
      <c r="M122" s="201">
        <v>4842.149999999994</v>
      </c>
      <c r="N122" s="202">
        <v>0</v>
      </c>
      <c r="O122" s="203">
        <f t="shared" si="46"/>
      </c>
      <c r="P122" s="202">
        <v>0</v>
      </c>
      <c r="Q122" s="203">
        <f t="shared" si="236"/>
      </c>
      <c r="R122" s="193">
        <f t="shared" si="72"/>
      </c>
      <c r="S122" s="209">
        <f t="shared" si="126"/>
      </c>
      <c r="T122" s="199">
        <f t="shared" si="234"/>
      </c>
      <c r="U122" s="199">
        <f t="shared" si="2"/>
      </c>
      <c r="V122" s="204">
        <f t="shared" si="0"/>
      </c>
      <c r="W122" s="202">
        <v>3</v>
      </c>
      <c r="X122" s="204">
        <f t="shared" si="6"/>
      </c>
      <c r="Y122" s="204">
        <f t="shared" si="4"/>
      </c>
      <c r="Z122" s="198">
        <f t="shared" si="232"/>
      </c>
      <c r="AA122" s="199">
        <f t="shared" si="47"/>
      </c>
      <c r="AB122" s="199">
        <f t="shared" si="237"/>
      </c>
      <c r="AC122" s="203">
        <f t="shared" si="235"/>
      </c>
      <c r="AD122" s="203">
        <f t="shared" si="3"/>
      </c>
      <c r="AE122" s="203">
        <f t="shared" si="1"/>
      </c>
      <c r="AF122" s="203">
        <f t="shared" si="7"/>
      </c>
      <c r="AG122" s="203">
        <f t="shared" si="5"/>
      </c>
      <c r="AH122" s="203">
        <f t="shared" si="233"/>
      </c>
      <c r="AI122" s="210">
        <f t="shared" si="48"/>
      </c>
      <c r="AJ122" s="202">
        <v>34</v>
      </c>
      <c r="AK122" s="193">
        <v>16664</v>
      </c>
      <c r="AL122" s="193">
        <v>604</v>
      </c>
      <c r="AM122" s="193">
        <v>672</v>
      </c>
      <c r="AN122" s="193">
        <v>64</v>
      </c>
      <c r="AO122" s="196">
        <v>25</v>
      </c>
      <c r="AP122" s="211">
        <v>57</v>
      </c>
      <c r="AQ122" s="197">
        <v>48</v>
      </c>
      <c r="AR122" s="196">
        <v>3</v>
      </c>
      <c r="AS122" s="193">
        <v>8</v>
      </c>
      <c r="AT122" s="193">
        <v>1</v>
      </c>
      <c r="AU122" s="211">
        <v>7</v>
      </c>
      <c r="AV122" s="207"/>
      <c r="AW122" s="165"/>
      <c r="AX122" s="197">
        <f t="shared" si="263"/>
      </c>
    </row>
    <row customHeight="true" ht="16.071428571428573" r="123">
      <c r="A123" s="195"/>
      <c r="B123" s="213" t="s">
        <v>162</v>
      </c>
      <c r="C123" s="213"/>
      <c r="D123" s="213"/>
      <c r="E123" s="213"/>
      <c r="F123" s="181">
        <f>SUM(F119:F122)</f>
      </c>
      <c r="G123" s="181">
        <f>SUM(G119:G122)</f>
      </c>
      <c r="H123" s="181">
        <f>SUM(H119:H122)</f>
      </c>
      <c r="I123" s="181">
        <f>SUM(I119:I122)</f>
      </c>
      <c r="J123" s="181">
        <f>SUM(J119:J122)</f>
      </c>
      <c r="K123" s="181">
        <f>SUM(K119:K122)</f>
      </c>
      <c r="L123" s="181">
        <f>SUM(L119:L122)</f>
      </c>
      <c r="M123" s="181">
        <f>SUM(M119:M122)</f>
      </c>
      <c r="N123" s="181">
        <f>SUM(N119:N122)</f>
      </c>
      <c r="O123" s="183">
        <f t="shared" si="46"/>
      </c>
      <c r="P123" s="181">
        <f>SUM(P119:P122)</f>
      </c>
      <c r="Q123" s="183">
        <f t="shared" si="236"/>
      </c>
      <c r="R123" s="181">
        <f>SUM(R119:R122)</f>
      </c>
      <c r="S123" s="181">
        <f>SUM(S119:S122)</f>
      </c>
      <c r="T123" s="182">
        <f t="shared" si="234"/>
      </c>
      <c r="U123" s="182">
        <f t="shared" si="2"/>
      </c>
      <c r="V123" s="216">
        <f t="shared" si="0"/>
      </c>
      <c r="W123" s="181">
        <f>SUM(W119:W122)</f>
      </c>
      <c r="X123" s="216">
        <f t="shared" si="6"/>
      </c>
      <c r="Y123" s="216">
        <f t="shared" si="4"/>
      </c>
      <c r="Z123" s="181">
        <f t="shared" si="232"/>
      </c>
      <c r="AA123" s="182">
        <f t="shared" si="47"/>
      </c>
      <c r="AB123" s="217">
        <f t="shared" si="237"/>
      </c>
      <c r="AC123" s="183">
        <f t="shared" si="235"/>
      </c>
      <c r="AD123" s="183">
        <f t="shared" si="3"/>
      </c>
      <c r="AE123" s="183">
        <f t="shared" si="1"/>
      </c>
      <c r="AF123" s="231">
        <f t="shared" si="7"/>
      </c>
      <c r="AG123" s="183">
        <f t="shared" si="5"/>
      </c>
      <c r="AH123" s="183">
        <f t="shared" si="233"/>
      </c>
      <c r="AI123" s="183">
        <f t="shared" si="48"/>
      </c>
      <c r="AJ123" s="181">
        <f>SUM(AJ119:AJ122)</f>
      </c>
      <c r="AK123" s="181">
        <f>SUM(AK119:AK122)</f>
      </c>
      <c r="AL123" s="181">
        <f>SUM(AL119:AL122)</f>
      </c>
      <c r="AM123" s="181">
        <f>SUM(AM119:AM122)</f>
      </c>
      <c r="AN123" s="181">
        <f>SUM(AN119:AN122)</f>
      </c>
      <c r="AO123" s="181">
        <f>SUM(AO119:AO122)</f>
      </c>
      <c r="AP123" s="181">
        <f>SUM(AP119:AP122)</f>
      </c>
      <c r="AQ123" s="181">
        <f>SUM(AQ119:AQ122)</f>
      </c>
      <c r="AR123" s="181">
        <f>SUM(AR119:AR122)</f>
      </c>
      <c r="AS123" s="181">
        <f>SUM(AS119:AS122)</f>
      </c>
      <c r="AT123" s="181">
        <f>SUM(AT119:AT122)</f>
      </c>
      <c r="AU123" s="181">
        <f>SUM(AU119:AU122)</f>
      </c>
      <c r="AV123" s="207"/>
      <c r="AW123" s="180"/>
      <c r="AX123" s="181">
        <f>SUM(AX119:AX122)</f>
      </c>
    </row>
    <row customHeight="true" ht="16.071428571428573" r="124">
      <c r="A124" s="195"/>
      <c r="B124" s="222" t="s">
        <v>166</v>
      </c>
      <c r="C124" s="222"/>
      <c r="D124" s="222"/>
      <c r="E124" s="222"/>
      <c r="F124" s="223">
        <f>F118+F123</f>
      </c>
      <c r="G124" s="223">
        <f>G118+G123</f>
      </c>
      <c r="H124" s="223">
        <f>H118+H123</f>
      </c>
      <c r="I124" s="222">
        <f>I118+I123</f>
      </c>
      <c r="J124" s="222">
        <f>J118+J123</f>
      </c>
      <c r="K124" s="222">
        <f>K118+K123</f>
      </c>
      <c r="L124" s="222">
        <f>L118+L123</f>
      </c>
      <c r="M124" s="222">
        <f>M118+M123</f>
      </c>
      <c r="N124" s="222">
        <f>N118+N123</f>
      </c>
      <c r="O124" s="224">
        <f t="shared" si="46"/>
      </c>
      <c r="P124" s="222">
        <f>P118+P123</f>
      </c>
      <c r="Q124" s="224">
        <f t="shared" si="236"/>
      </c>
      <c r="R124" s="222">
        <f>R118+R123</f>
      </c>
      <c r="S124" s="225">
        <f>S118+S123</f>
      </c>
      <c r="T124" s="223">
        <f t="shared" si="234"/>
      </c>
      <c r="U124" s="223">
        <f t="shared" si="2"/>
      </c>
      <c r="V124" s="226">
        <f t="shared" si="0"/>
      </c>
      <c r="W124" s="222">
        <f>W118+W123</f>
      </c>
      <c r="X124" s="226">
        <f t="shared" si="6"/>
      </c>
      <c r="Y124" s="226">
        <f t="shared" si="4"/>
      </c>
      <c r="Z124" s="227">
        <f t="shared" si="232"/>
      </c>
      <c r="AA124" s="223">
        <f t="shared" si="47"/>
      </c>
      <c r="AB124" s="189">
        <f t="shared" si="237"/>
      </c>
      <c r="AC124" s="224">
        <f t="shared" si="235"/>
      </c>
      <c r="AD124" s="224">
        <f t="shared" si="3"/>
      </c>
      <c r="AE124" s="224">
        <f t="shared" si="1"/>
      </c>
      <c r="AF124" s="232">
        <f t="shared" si="7"/>
      </c>
      <c r="AG124" s="224">
        <f t="shared" si="5"/>
      </c>
      <c r="AH124" s="224">
        <f t="shared" si="233"/>
      </c>
      <c r="AI124" s="224">
        <f t="shared" si="48"/>
      </c>
      <c r="AJ124" s="228">
        <f>(AJ118+AJ123)/2</f>
      </c>
      <c r="AK124" s="222">
        <f>AK118+AK123</f>
      </c>
      <c r="AL124" s="229">
        <f>AL118+AL123</f>
      </c>
      <c r="AM124" s="229">
        <f>AM118+AM123</f>
      </c>
      <c r="AN124" s="229">
        <f>AN118+AN123</f>
      </c>
      <c r="AO124" s="229">
        <f>AO118+AO123</f>
      </c>
      <c r="AP124" s="229">
        <f>AP118+AP123</f>
      </c>
      <c r="AQ124" s="229">
        <f>AQ118+AQ123</f>
      </c>
      <c r="AR124" s="229">
        <f>AR118+AR123</f>
      </c>
      <c r="AS124" s="229">
        <f>AS118+AS123</f>
      </c>
      <c r="AT124" s="229">
        <f>AT118+AT123</f>
      </c>
      <c r="AU124" s="222">
        <f>AU118+AU123</f>
      </c>
      <c r="AV124" s="207"/>
      <c r="AW124" s="230">
        <f>AW118+AW123</f>
      </c>
      <c r="AX124" s="222">
        <f>AX118+AX123</f>
      </c>
    </row>
    <row customHeight="true" ht="16.071428571428573" r="125">
      <c r="A125" s="234">
        <v>46280</v>
      </c>
      <c r="B125" s="149" t="s">
        <v>173</v>
      </c>
      <c r="C125" s="150" t="s">
        <v>157</v>
      </c>
      <c r="D125" s="149" t="s">
        <v>158</v>
      </c>
      <c r="E125" s="150" t="s">
        <v>159</v>
      </c>
      <c r="F125" s="159">
        <f t="shared" ref="F125:F128" si="183">G125+H125+I125</f>
      </c>
      <c r="G125" s="152">
        <v>3641.12</v>
      </c>
      <c r="H125" s="152">
        <v>1429.82</v>
      </c>
      <c r="I125" s="235">
        <v>0</v>
      </c>
      <c r="J125" s="236">
        <v>2</v>
      </c>
      <c r="K125" s="236">
        <v>1913.04</v>
      </c>
      <c r="L125" s="236">
        <v>3</v>
      </c>
      <c r="M125" s="236">
        <v>12947.74</v>
      </c>
      <c r="N125" s="155">
        <v>3</v>
      </c>
      <c r="O125" s="156">
        <f t="shared" si="46"/>
      </c>
      <c r="P125" s="155">
        <v>1</v>
      </c>
      <c r="Q125" s="156">
        <f t="shared" si="236"/>
      </c>
      <c r="R125" s="160">
        <f t="shared" ref="R125:R128" si="73">L125+J125</f>
      </c>
      <c r="S125" s="237">
        <f t="shared" ref="S125:S128" si="127">M125+K125</f>
      </c>
      <c r="T125" s="159">
        <f t="shared" si="234"/>
      </c>
      <c r="U125" s="159">
        <f t="shared" si="2"/>
      </c>
      <c r="V125" s="160">
        <f t="shared" si="0"/>
      </c>
      <c r="W125" s="155">
        <v>4</v>
      </c>
      <c r="X125" s="169">
        <f t="shared" si="6"/>
      </c>
      <c r="Y125" s="169">
        <f t="shared" si="4"/>
      </c>
      <c r="Z125" s="159">
        <f t="shared" si="232"/>
      </c>
      <c r="AA125" s="159">
        <f t="shared" si="47"/>
      </c>
      <c r="AB125" s="159">
        <f t="shared" si="237"/>
      </c>
      <c r="AC125" s="156">
        <f t="shared" si="235"/>
      </c>
      <c r="AD125" s="156">
        <f t="shared" si="3"/>
      </c>
      <c r="AE125" s="156">
        <f t="shared" si="1"/>
      </c>
      <c r="AF125" s="156">
        <f t="shared" si="7"/>
      </c>
      <c r="AG125" s="156">
        <f t="shared" si="5"/>
      </c>
      <c r="AH125" s="156">
        <f t="shared" si="233"/>
      </c>
      <c r="AI125" s="156">
        <f t="shared" si="48"/>
      </c>
      <c r="AJ125" s="155">
        <v>39</v>
      </c>
      <c r="AK125" s="160">
        <v>43625</v>
      </c>
      <c r="AL125" s="160">
        <v>1051</v>
      </c>
      <c r="AM125" s="160">
        <v>1158</v>
      </c>
      <c r="AN125" s="160">
        <v>143</v>
      </c>
      <c r="AO125" s="149">
        <v>36</v>
      </c>
      <c r="AP125" s="149">
        <v>122</v>
      </c>
      <c r="AQ125" s="150">
        <v>128</v>
      </c>
      <c r="AR125" s="149">
        <v>5</v>
      </c>
      <c r="AS125" s="149">
        <v>13</v>
      </c>
      <c r="AT125" s="160">
        <v>1</v>
      </c>
      <c r="AU125" s="160">
        <v>5</v>
      </c>
      <c r="AV125" s="207"/>
      <c r="AW125" s="165"/>
      <c r="AX125" s="197">
        <f t="shared" ref="AX125:AX128" si="264">COUNT(AU125)</f>
      </c>
    </row>
    <row customHeight="true" ht="16.071428571428573" r="126">
      <c r="A126" s="234"/>
      <c r="B126" s="149" t="s">
        <v>173</v>
      </c>
      <c r="C126" s="150" t="s">
        <v>157</v>
      </c>
      <c r="D126" s="149" t="s">
        <v>158</v>
      </c>
      <c r="E126" s="150" t="s">
        <v>160</v>
      </c>
      <c r="F126" s="159">
        <f t="shared" si="183"/>
      </c>
      <c r="G126" s="152">
        <v>2604.64</v>
      </c>
      <c r="H126" s="152">
        <v>3945.08</v>
      </c>
      <c r="I126" s="235">
        <v>0</v>
      </c>
      <c r="J126" s="236">
        <v>3</v>
      </c>
      <c r="K126" s="236">
        <v>3278.45</v>
      </c>
      <c r="L126" s="236">
        <v>4</v>
      </c>
      <c r="M126" s="236">
        <v>6212.050000000001</v>
      </c>
      <c r="N126" s="155">
        <v>0</v>
      </c>
      <c r="O126" s="156">
        <f t="shared" si="46"/>
      </c>
      <c r="P126" s="155">
        <v>0</v>
      </c>
      <c r="Q126" s="156">
        <f t="shared" si="236"/>
      </c>
      <c r="R126" s="160">
        <f t="shared" si="73"/>
      </c>
      <c r="S126" s="237">
        <f t="shared" si="127"/>
      </c>
      <c r="T126" s="159">
        <f t="shared" si="234"/>
      </c>
      <c r="U126" s="159">
        <f t="shared" si="2"/>
      </c>
      <c r="V126" s="160">
        <f t="shared" si="0"/>
      </c>
      <c r="W126" s="155">
        <v>6</v>
      </c>
      <c r="X126" s="169">
        <f t="shared" si="6"/>
      </c>
      <c r="Y126" s="169">
        <f t="shared" si="4"/>
      </c>
      <c r="Z126" s="159">
        <f t="shared" si="232"/>
      </c>
      <c r="AA126" s="159">
        <f t="shared" si="47"/>
      </c>
      <c r="AB126" s="159">
        <f t="shared" si="237"/>
      </c>
      <c r="AC126" s="156">
        <f t="shared" si="235"/>
      </c>
      <c r="AD126" s="156">
        <f t="shared" si="3"/>
      </c>
      <c r="AE126" s="156">
        <f t="shared" si="1"/>
      </c>
      <c r="AF126" s="156">
        <f t="shared" si="7"/>
      </c>
      <c r="AG126" s="156">
        <f t="shared" si="5"/>
      </c>
      <c r="AH126" s="156">
        <f t="shared" si="233"/>
      </c>
      <c r="AI126" s="156">
        <f t="shared" si="48"/>
      </c>
      <c r="AJ126" s="155">
        <v>46</v>
      </c>
      <c r="AK126" s="160">
        <v>53178</v>
      </c>
      <c r="AL126" s="160">
        <v>1011</v>
      </c>
      <c r="AM126" s="160">
        <v>1100</v>
      </c>
      <c r="AN126" s="160">
        <v>154</v>
      </c>
      <c r="AO126" s="149">
        <v>45</v>
      </c>
      <c r="AP126" s="160">
        <v>169</v>
      </c>
      <c r="AQ126" s="150">
        <v>151</v>
      </c>
      <c r="AR126" s="149">
        <v>8</v>
      </c>
      <c r="AS126" s="160">
        <v>22</v>
      </c>
      <c r="AT126" s="160">
        <v>2</v>
      </c>
      <c r="AU126" s="160">
        <v>24</v>
      </c>
      <c r="AV126" s="207"/>
      <c r="AW126" s="165"/>
      <c r="AX126" s="197">
        <f t="shared" si="264"/>
      </c>
    </row>
    <row customHeight="true" ht="16.071428571428573" r="127">
      <c r="A127" s="234"/>
      <c r="B127" s="149" t="s">
        <v>173</v>
      </c>
      <c r="C127" s="150" t="s">
        <v>157</v>
      </c>
      <c r="D127" s="149" t="s">
        <v>158</v>
      </c>
      <c r="E127" s="150" t="s">
        <v>161</v>
      </c>
      <c r="F127" s="159">
        <f t="shared" si="183"/>
      </c>
      <c r="G127" s="152">
        <v>5707.86</v>
      </c>
      <c r="H127" s="152">
        <v>5069.41</v>
      </c>
      <c r="I127" s="235">
        <v>0</v>
      </c>
      <c r="J127" s="236">
        <v>3</v>
      </c>
      <c r="K127" s="236">
        <v>4492.6</v>
      </c>
      <c r="L127" s="236">
        <v>5</v>
      </c>
      <c r="M127" s="236">
        <v>10464.630000000001</v>
      </c>
      <c r="N127" s="155">
        <v>0</v>
      </c>
      <c r="O127" s="156">
        <f t="shared" si="46"/>
      </c>
      <c r="P127" s="155">
        <v>2</v>
      </c>
      <c r="Q127" s="156">
        <f t="shared" si="236"/>
      </c>
      <c r="R127" s="160">
        <f t="shared" si="73"/>
      </c>
      <c r="S127" s="237">
        <f t="shared" si="127"/>
      </c>
      <c r="T127" s="159">
        <f t="shared" si="234"/>
      </c>
      <c r="U127" s="159">
        <f t="shared" si="2"/>
      </c>
      <c r="V127" s="169">
        <f t="shared" si="0"/>
      </c>
      <c r="W127" s="155">
        <v>7</v>
      </c>
      <c r="X127" s="169">
        <f t="shared" si="6"/>
      </c>
      <c r="Y127" s="169">
        <f t="shared" si="4"/>
      </c>
      <c r="Z127" s="159">
        <f t="shared" si="232"/>
      </c>
      <c r="AA127" s="159">
        <f t="shared" si="47"/>
      </c>
      <c r="AB127" s="159">
        <f t="shared" si="237"/>
      </c>
      <c r="AC127" s="156">
        <f t="shared" si="235"/>
      </c>
      <c r="AD127" s="156">
        <f t="shared" si="3"/>
      </c>
      <c r="AE127" s="156">
        <f t="shared" si="1"/>
      </c>
      <c r="AF127" s="156">
        <f t="shared" si="7"/>
      </c>
      <c r="AG127" s="156">
        <f t="shared" si="5"/>
      </c>
      <c r="AH127" s="156">
        <f t="shared" si="233"/>
      </c>
      <c r="AI127" s="156">
        <f t="shared" si="48"/>
      </c>
      <c r="AJ127" s="155">
        <v>45</v>
      </c>
      <c r="AK127" s="160">
        <v>89632</v>
      </c>
      <c r="AL127" s="160">
        <v>2080</v>
      </c>
      <c r="AM127" s="160">
        <v>2229</v>
      </c>
      <c r="AN127" s="160">
        <v>302</v>
      </c>
      <c r="AO127" s="149">
        <v>81</v>
      </c>
      <c r="AP127" s="160">
        <v>222</v>
      </c>
      <c r="AQ127" s="150">
        <v>275</v>
      </c>
      <c r="AR127" s="149">
        <v>14</v>
      </c>
      <c r="AS127" s="160">
        <v>18</v>
      </c>
      <c r="AT127" s="160">
        <v>1</v>
      </c>
      <c r="AU127" s="160">
        <v>25</v>
      </c>
      <c r="AV127" s="207"/>
      <c r="AW127" s="165"/>
      <c r="AX127" s="197">
        <f t="shared" si="264"/>
      </c>
    </row>
    <row customHeight="true" ht="16.071428571428573" r="128">
      <c r="A128" s="234"/>
      <c r="B128" s="149" t="s">
        <v>173</v>
      </c>
      <c r="C128" s="150" t="s">
        <v>157</v>
      </c>
      <c r="D128" s="149" t="s">
        <v>158</v>
      </c>
      <c r="E128" s="150" t="s">
        <v>164</v>
      </c>
      <c r="F128" s="159">
        <f t="shared" si="183"/>
      </c>
      <c r="G128" s="152">
        <v>1225.33</v>
      </c>
      <c r="H128" s="152">
        <v>8761.21</v>
      </c>
      <c r="I128" s="235">
        <v>0</v>
      </c>
      <c r="J128" s="236">
        <v>1</v>
      </c>
      <c r="K128" s="236">
        <v>1286</v>
      </c>
      <c r="L128" s="236">
        <v>7</v>
      </c>
      <c r="M128" s="236">
        <v>10109.189999999999</v>
      </c>
      <c r="N128" s="155">
        <v>2</v>
      </c>
      <c r="O128" s="156">
        <f t="shared" si="46"/>
      </c>
      <c r="P128" s="155">
        <v>1</v>
      </c>
      <c r="Q128" s="156">
        <f t="shared" si="236"/>
      </c>
      <c r="R128" s="160">
        <f t="shared" si="73"/>
      </c>
      <c r="S128" s="237">
        <f t="shared" si="127"/>
      </c>
      <c r="T128" s="159">
        <f t="shared" si="234"/>
      </c>
      <c r="U128" s="159">
        <f t="shared" si="2"/>
      </c>
      <c r="V128" s="169">
        <f t="shared" si="0"/>
      </c>
      <c r="W128" s="155">
        <v>8</v>
      </c>
      <c r="X128" s="169">
        <f t="shared" si="6"/>
      </c>
      <c r="Y128" s="169">
        <f t="shared" si="4"/>
      </c>
      <c r="Z128" s="159">
        <f t="shared" si="232"/>
      </c>
      <c r="AA128" s="159">
        <f t="shared" si="47"/>
      </c>
      <c r="AB128" s="159">
        <f t="shared" si="237"/>
      </c>
      <c r="AC128" s="156">
        <f t="shared" si="235"/>
      </c>
      <c r="AD128" s="156">
        <f t="shared" si="3"/>
      </c>
      <c r="AE128" s="156">
        <f t="shared" si="1"/>
      </c>
      <c r="AF128" s="156">
        <f t="shared" si="7"/>
      </c>
      <c r="AG128" s="156">
        <f t="shared" si="5"/>
      </c>
      <c r="AH128" s="156">
        <f t="shared" si="233"/>
      </c>
      <c r="AI128" s="156">
        <f t="shared" si="48"/>
      </c>
      <c r="AJ128" s="155">
        <v>48</v>
      </c>
      <c r="AK128" s="160">
        <v>69390</v>
      </c>
      <c r="AL128" s="160">
        <v>1244</v>
      </c>
      <c r="AM128" s="160">
        <v>1282</v>
      </c>
      <c r="AN128" s="160">
        <v>255</v>
      </c>
      <c r="AO128" s="149">
        <v>59</v>
      </c>
      <c r="AP128" s="155">
        <v>180</v>
      </c>
      <c r="AQ128" s="149">
        <v>200</v>
      </c>
      <c r="AR128" s="149">
        <v>9</v>
      </c>
      <c r="AS128" s="155">
        <v>12</v>
      </c>
      <c r="AT128" s="155">
        <v>3</v>
      </c>
      <c r="AU128" s="155">
        <v>47</v>
      </c>
      <c r="AV128" s="207"/>
      <c r="AW128" s="165"/>
      <c r="AX128" s="197">
        <f t="shared" si="264"/>
      </c>
    </row>
    <row customHeight="true" ht="16.071428571428573" r="129">
      <c r="A129" s="234"/>
      <c r="B129" s="171" t="s">
        <v>162</v>
      </c>
      <c r="C129" s="171"/>
      <c r="D129" s="171"/>
      <c r="E129" s="171"/>
      <c r="F129" s="173">
        <f>SUM(F125:F128)</f>
      </c>
      <c r="G129" s="173">
        <f>SUM(G125:G128)</f>
      </c>
      <c r="H129" s="173">
        <f>SUM(H125:H128)</f>
      </c>
      <c r="I129" s="173">
        <f>SUM(I125:I128)</f>
      </c>
      <c r="J129" s="173">
        <f>SUM(J125:J128)</f>
      </c>
      <c r="K129" s="173">
        <f>SUM(K125:K128)</f>
      </c>
      <c r="L129" s="173">
        <f>SUM(L125:L128)</f>
      </c>
      <c r="M129" s="173">
        <f>SUM(M125:M128)</f>
      </c>
      <c r="N129" s="173">
        <f>SUM(N125:N128)</f>
      </c>
      <c r="O129" s="175">
        <f t="shared" si="46"/>
      </c>
      <c r="P129" s="173">
        <f>SUM(P125:P128)</f>
      </c>
      <c r="Q129" s="175">
        <f t="shared" si="236"/>
      </c>
      <c r="R129" s="173">
        <f>SUM(R125:R128)</f>
      </c>
      <c r="S129" s="173">
        <f>SUM(S125:S128)</f>
      </c>
      <c r="T129" s="173">
        <f t="shared" si="234"/>
      </c>
      <c r="U129" s="173">
        <f t="shared" si="2"/>
      </c>
      <c r="V129" s="173">
        <f t="shared" si="0"/>
      </c>
      <c r="W129" s="173">
        <f>SUM(W125:W128)</f>
      </c>
      <c r="X129" s="194">
        <f t="shared" si="6"/>
      </c>
      <c r="Y129" s="194">
        <f t="shared" si="4"/>
      </c>
      <c r="Z129" s="173">
        <f t="shared" si="232"/>
      </c>
      <c r="AA129" s="173">
        <f t="shared" si="47"/>
      </c>
      <c r="AB129" s="238">
        <f t="shared" si="237"/>
      </c>
      <c r="AC129" s="175">
        <f t="shared" si="235"/>
      </c>
      <c r="AD129" s="175">
        <f t="shared" si="3"/>
      </c>
      <c r="AE129" s="175">
        <f t="shared" si="1"/>
      </c>
      <c r="AF129" s="175">
        <f t="shared" si="7"/>
      </c>
      <c r="AG129" s="175">
        <f t="shared" si="5"/>
      </c>
      <c r="AH129" s="175">
        <f t="shared" si="233"/>
      </c>
      <c r="AI129" s="175">
        <f t="shared" si="48"/>
      </c>
      <c r="AJ129" s="178">
        <f>AVERAGE(AJ125:AJ128)</f>
      </c>
      <c r="AK129" s="173">
        <f>SUM(AK125:AK128)</f>
      </c>
      <c r="AL129" s="173">
        <f>SUM(AL125:AL128)</f>
      </c>
      <c r="AM129" s="173">
        <f>SUM(AM125:AM128)</f>
      </c>
      <c r="AN129" s="173">
        <f>SUM(AN125:AN128)</f>
      </c>
      <c r="AO129" s="173">
        <f>SUM(AO125:AO128)</f>
      </c>
      <c r="AP129" s="173">
        <f>SUM(AP125:AP128)</f>
      </c>
      <c r="AQ129" s="173">
        <f>SUM(AQ125:AQ128)</f>
      </c>
      <c r="AR129" s="173">
        <f>SUM(AR125:AR128)</f>
      </c>
      <c r="AS129" s="173">
        <f>SUM(AS125:AS128)</f>
      </c>
      <c r="AT129" s="173">
        <f>SUM(AT125:AT128)</f>
      </c>
      <c r="AU129" s="173">
        <f>SUM(AU125:AU128)</f>
      </c>
      <c r="AV129" s="207"/>
      <c r="AW129" s="180"/>
      <c r="AX129" s="181">
        <f>SUM(AX125:AX128)</f>
      </c>
    </row>
    <row customHeight="true" ht="16.071428571428573" r="130">
      <c r="A130" s="234"/>
      <c r="B130" s="149" t="s">
        <v>174</v>
      </c>
      <c r="C130" s="150" t="s">
        <v>157</v>
      </c>
      <c r="D130" s="149" t="s">
        <v>163</v>
      </c>
      <c r="E130" s="150" t="s">
        <v>165</v>
      </c>
      <c r="F130" s="159">
        <f t="shared" ref="F130:F133" si="184">G130+H130+I130</f>
      </c>
      <c r="G130" s="152">
        <v>2458.59</v>
      </c>
      <c r="H130" s="152">
        <v>5020.91</v>
      </c>
      <c r="I130" s="235">
        <v>0</v>
      </c>
      <c r="J130" s="236">
        <v>2</v>
      </c>
      <c r="K130" s="236">
        <v>2222.7000000000007</v>
      </c>
      <c r="L130" s="236">
        <v>4</v>
      </c>
      <c r="M130" s="236">
        <v>18297.53</v>
      </c>
      <c r="N130" s="155">
        <v>0</v>
      </c>
      <c r="O130" s="156">
        <f t="shared" si="46"/>
      </c>
      <c r="P130" s="155">
        <v>2</v>
      </c>
      <c r="Q130" s="156">
        <f t="shared" si="236"/>
      </c>
      <c r="R130" s="160">
        <f t="shared" ref="R130:R133" si="74">L130+J130</f>
      </c>
      <c r="S130" s="237">
        <f t="shared" ref="S130:S133" si="128">M130+K130</f>
      </c>
      <c r="T130" s="159">
        <f t="shared" si="234"/>
      </c>
      <c r="U130" s="159">
        <f t="shared" si="2"/>
      </c>
      <c r="V130" s="169">
        <f t="shared" si="0"/>
      </c>
      <c r="W130" s="155">
        <v>5</v>
      </c>
      <c r="X130" s="169">
        <f t="shared" si="6"/>
      </c>
      <c r="Y130" s="169">
        <f t="shared" si="4"/>
      </c>
      <c r="Z130" s="159">
        <f t="shared" si="232"/>
      </c>
      <c r="AA130" s="159">
        <f t="shared" si="47"/>
      </c>
      <c r="AB130" s="159">
        <f t="shared" si="237"/>
      </c>
      <c r="AC130" s="156">
        <f t="shared" si="235"/>
      </c>
      <c r="AD130" s="156">
        <f t="shared" si="3"/>
      </c>
      <c r="AE130" s="156">
        <f t="shared" si="1"/>
      </c>
      <c r="AF130" s="156">
        <f t="shared" si="7"/>
      </c>
      <c r="AG130" s="156">
        <f t="shared" si="5"/>
      </c>
      <c r="AH130" s="156">
        <f t="shared" si="233"/>
      </c>
      <c r="AI130" s="156">
        <f t="shared" si="48"/>
      </c>
      <c r="AJ130" s="155">
        <v>50</v>
      </c>
      <c r="AK130" s="160">
        <v>50765</v>
      </c>
      <c r="AL130" s="160">
        <v>1099</v>
      </c>
      <c r="AM130" s="160">
        <v>1173</v>
      </c>
      <c r="AN130" s="160">
        <v>186</v>
      </c>
      <c r="AO130" s="149">
        <v>47</v>
      </c>
      <c r="AP130" s="160">
        <v>128</v>
      </c>
      <c r="AQ130" s="150">
        <v>175</v>
      </c>
      <c r="AR130" s="149">
        <v>5</v>
      </c>
      <c r="AS130" s="149">
        <v>11</v>
      </c>
      <c r="AT130" s="160">
        <v>3</v>
      </c>
      <c r="AU130" s="160">
        <v>28</v>
      </c>
      <c r="AV130" s="207"/>
      <c r="AW130" s="165"/>
      <c r="AX130" s="197">
        <f t="shared" ref="AX130:AX133" si="265">COUNT(AU130)</f>
      </c>
    </row>
    <row customHeight="true" ht="16.071428571428573" r="131">
      <c r="A131" s="234"/>
      <c r="B131" s="149" t="s">
        <v>174</v>
      </c>
      <c r="C131" s="150" t="s">
        <v>157</v>
      </c>
      <c r="D131" s="149" t="s">
        <v>163</v>
      </c>
      <c r="E131" s="149" t="s">
        <v>168</v>
      </c>
      <c r="F131" s="159">
        <f t="shared" si="184"/>
      </c>
      <c r="G131" s="152">
        <v>2513.09</v>
      </c>
      <c r="H131" s="152">
        <v>4445.89</v>
      </c>
      <c r="I131" s="235">
        <v>0</v>
      </c>
      <c r="J131" s="236">
        <v>1</v>
      </c>
      <c r="K131" s="236">
        <v>1065.329999999998</v>
      </c>
      <c r="L131" s="236">
        <v>2</v>
      </c>
      <c r="M131" s="236">
        <v>10772.529999999999</v>
      </c>
      <c r="N131" s="155">
        <v>1</v>
      </c>
      <c r="O131" s="156">
        <f t="shared" si="46"/>
      </c>
      <c r="P131" s="155">
        <v>2</v>
      </c>
      <c r="Q131" s="156">
        <f t="shared" si="236"/>
      </c>
      <c r="R131" s="160">
        <f t="shared" si="74"/>
      </c>
      <c r="S131" s="237">
        <f t="shared" si="128"/>
      </c>
      <c r="T131" s="159">
        <f t="shared" si="234"/>
      </c>
      <c r="U131" s="159">
        <f t="shared" si="2"/>
      </c>
      <c r="V131" s="169">
        <f t="shared" si="0"/>
      </c>
      <c r="W131" s="155">
        <v>2</v>
      </c>
      <c r="X131" s="169">
        <f t="shared" si="6"/>
      </c>
      <c r="Y131" s="169">
        <f t="shared" si="4"/>
      </c>
      <c r="Z131" s="159">
        <f t="shared" si="232"/>
      </c>
      <c r="AA131" s="159">
        <f t="shared" si="47"/>
      </c>
      <c r="AB131" s="159">
        <f t="shared" si="237"/>
      </c>
      <c r="AC131" s="156">
        <f t="shared" si="235"/>
      </c>
      <c r="AD131" s="156">
        <f t="shared" si="3"/>
      </c>
      <c r="AE131" s="156">
        <f t="shared" si="1"/>
      </c>
      <c r="AF131" s="156">
        <f t="shared" si="7"/>
      </c>
      <c r="AG131" s="156">
        <f t="shared" si="5"/>
      </c>
      <c r="AH131" s="156">
        <f t="shared" si="233"/>
      </c>
      <c r="AI131" s="156">
        <f t="shared" si="48"/>
      </c>
      <c r="AJ131" s="155">
        <v>52</v>
      </c>
      <c r="AK131" s="160">
        <v>45226</v>
      </c>
      <c r="AL131" s="160">
        <v>847</v>
      </c>
      <c r="AM131" s="160">
        <v>931</v>
      </c>
      <c r="AN131" s="160">
        <v>176</v>
      </c>
      <c r="AO131" s="149">
        <v>39</v>
      </c>
      <c r="AP131" s="160">
        <v>95</v>
      </c>
      <c r="AQ131" s="150">
        <v>142</v>
      </c>
      <c r="AR131" s="149">
        <v>3</v>
      </c>
      <c r="AS131" s="149">
        <v>8</v>
      </c>
      <c r="AT131" s="160">
        <v>1</v>
      </c>
      <c r="AU131" s="160">
        <v>15</v>
      </c>
      <c r="AV131" s="207"/>
      <c r="AW131" s="165"/>
      <c r="AX131" s="197">
        <f t="shared" si="265"/>
      </c>
    </row>
    <row customHeight="true" ht="16.071428571428573" r="132">
      <c r="A132" s="234"/>
      <c r="B132" s="149" t="s">
        <v>174</v>
      </c>
      <c r="C132" s="150" t="s">
        <v>157</v>
      </c>
      <c r="D132" s="149" t="s">
        <v>163</v>
      </c>
      <c r="E132" s="149" t="s">
        <v>171</v>
      </c>
      <c r="F132" s="159">
        <f t="shared" si="184"/>
      </c>
      <c r="G132" s="152">
        <v>1742.15</v>
      </c>
      <c r="H132" s="152">
        <v>2594.09</v>
      </c>
      <c r="I132" s="235">
        <v>0</v>
      </c>
      <c r="J132" s="236">
        <v>1</v>
      </c>
      <c r="K132" s="236">
        <v>4417.5</v>
      </c>
      <c r="L132" s="236">
        <v>0</v>
      </c>
      <c r="M132" s="236">
        <v>0</v>
      </c>
      <c r="N132" s="155">
        <v>0</v>
      </c>
      <c r="O132" s="156">
        <f t="shared" si="46"/>
      </c>
      <c r="P132" s="155">
        <v>0</v>
      </c>
      <c r="Q132" s="156">
        <f t="shared" si="236"/>
      </c>
      <c r="R132" s="160">
        <f t="shared" si="74"/>
      </c>
      <c r="S132" s="237">
        <f t="shared" si="128"/>
      </c>
      <c r="T132" s="159">
        <f t="shared" si="234"/>
      </c>
      <c r="U132" s="159">
        <f t="shared" si="2"/>
      </c>
      <c r="V132" s="169">
        <f t="shared" si="0"/>
      </c>
      <c r="W132" s="155">
        <v>1</v>
      </c>
      <c r="X132" s="169">
        <f t="shared" si="6"/>
      </c>
      <c r="Y132" s="169">
        <f t="shared" si="4"/>
      </c>
      <c r="Z132" s="159">
        <f t="shared" si="232"/>
      </c>
      <c r="AA132" s="159">
        <f t="shared" si="47"/>
      </c>
      <c r="AB132" s="159">
        <f t="shared" si="237"/>
      </c>
      <c r="AC132" s="156">
        <f t="shared" si="235"/>
      </c>
      <c r="AD132" s="156">
        <f t="shared" si="3"/>
      </c>
      <c r="AE132" s="156">
        <f t="shared" si="1"/>
      </c>
      <c r="AF132" s="156">
        <f t="shared" si="7"/>
      </c>
      <c r="AG132" s="156">
        <f t="shared" si="5"/>
      </c>
      <c r="AH132" s="156">
        <f t="shared" si="233"/>
      </c>
      <c r="AI132" s="156">
        <f t="shared" si="48"/>
      </c>
      <c r="AJ132" s="155">
        <v>53</v>
      </c>
      <c r="AK132" s="160">
        <v>45226</v>
      </c>
      <c r="AL132" s="160">
        <v>847</v>
      </c>
      <c r="AM132" s="160">
        <v>931</v>
      </c>
      <c r="AN132" s="160">
        <v>176</v>
      </c>
      <c r="AO132" s="149">
        <v>35</v>
      </c>
      <c r="AP132" s="160">
        <v>95</v>
      </c>
      <c r="AQ132" s="150">
        <v>142</v>
      </c>
      <c r="AR132" s="149">
        <v>3</v>
      </c>
      <c r="AS132" s="155">
        <v>8</v>
      </c>
      <c r="AT132" s="160">
        <v>1</v>
      </c>
      <c r="AU132" s="160">
        <v>15</v>
      </c>
      <c r="AV132" s="207"/>
      <c r="AW132" s="165"/>
      <c r="AX132" s="197">
        <f t="shared" si="265"/>
      </c>
    </row>
    <row customHeight="true" ht="16.071428571428573" r="133">
      <c r="A133" s="234"/>
      <c r="B133" s="149" t="s">
        <v>174</v>
      </c>
      <c r="C133" s="150" t="s">
        <v>157</v>
      </c>
      <c r="D133" s="149" t="s">
        <v>163</v>
      </c>
      <c r="E133" s="149" t="s">
        <v>172</v>
      </c>
      <c r="F133" s="159">
        <f t="shared" si="184"/>
      </c>
      <c r="G133" s="152">
        <v>1495.7</v>
      </c>
      <c r="H133" s="152">
        <v>1338.26</v>
      </c>
      <c r="I133" s="235">
        <v>0</v>
      </c>
      <c r="J133" s="236">
        <v>0</v>
      </c>
      <c r="K133" s="236">
        <v>0</v>
      </c>
      <c r="L133" s="236">
        <v>5</v>
      </c>
      <c r="M133" s="236">
        <v>21154.369999999995</v>
      </c>
      <c r="N133" s="155">
        <v>1</v>
      </c>
      <c r="O133" s="156">
        <f t="shared" si="46"/>
      </c>
      <c r="P133" s="155">
        <v>1</v>
      </c>
      <c r="Q133" s="156">
        <f t="shared" si="236"/>
      </c>
      <c r="R133" s="160">
        <f t="shared" si="74"/>
      </c>
      <c r="S133" s="237">
        <f t="shared" si="128"/>
      </c>
      <c r="T133" s="159">
        <f t="shared" si="234"/>
      </c>
      <c r="U133" s="159">
        <f t="shared" si="2"/>
      </c>
      <c r="V133" s="169">
        <f t="shared" si="0"/>
      </c>
      <c r="W133" s="155">
        <v>4</v>
      </c>
      <c r="X133" s="169">
        <f t="shared" si="6"/>
      </c>
      <c r="Y133" s="169">
        <f t="shared" si="4"/>
      </c>
      <c r="Z133" s="159">
        <f t="shared" si="232"/>
      </c>
      <c r="AA133" s="159">
        <f t="shared" si="47"/>
      </c>
      <c r="AB133" s="159">
        <f t="shared" si="237"/>
      </c>
      <c r="AC133" s="156">
        <f t="shared" si="235"/>
      </c>
      <c r="AD133" s="156">
        <f t="shared" si="3"/>
      </c>
      <c r="AE133" s="156">
        <f t="shared" si="1"/>
      </c>
      <c r="AF133" s="156">
        <f t="shared" si="7"/>
      </c>
      <c r="AG133" s="156">
        <f t="shared" si="5"/>
      </c>
      <c r="AH133" s="156">
        <f t="shared" si="233"/>
      </c>
      <c r="AI133" s="156">
        <f t="shared" si="48"/>
      </c>
      <c r="AJ133" s="155">
        <v>52</v>
      </c>
      <c r="AK133" s="160">
        <v>22480</v>
      </c>
      <c r="AL133" s="160">
        <v>710</v>
      </c>
      <c r="AM133" s="160">
        <v>816</v>
      </c>
      <c r="AN133" s="160">
        <v>79</v>
      </c>
      <c r="AO133" s="149">
        <v>19</v>
      </c>
      <c r="AP133" s="160">
        <v>106</v>
      </c>
      <c r="AQ133" s="150">
        <v>87</v>
      </c>
      <c r="AR133" s="149">
        <v>8</v>
      </c>
      <c r="AS133" s="160">
        <v>10</v>
      </c>
      <c r="AT133" s="160">
        <v>0</v>
      </c>
      <c r="AU133" s="155">
        <v>7</v>
      </c>
      <c r="AV133" s="207"/>
      <c r="AW133" s="165"/>
      <c r="AX133" s="197">
        <f t="shared" si="265"/>
      </c>
    </row>
    <row customHeight="true" ht="16.071428571428573" r="134">
      <c r="A134" s="234"/>
      <c r="B134" s="171" t="s">
        <v>162</v>
      </c>
      <c r="C134" s="171"/>
      <c r="D134" s="171"/>
      <c r="E134" s="171"/>
      <c r="F134" s="173">
        <f>SUM(F130:F133)</f>
      </c>
      <c r="G134" s="173">
        <f>SUM(G130:G133)</f>
      </c>
      <c r="H134" s="173">
        <f>SUM(H130:H133)</f>
      </c>
      <c r="I134" s="173">
        <f>SUM(I130:I133)</f>
      </c>
      <c r="J134" s="173">
        <f>SUM(J130:J133)</f>
      </c>
      <c r="K134" s="173">
        <f>SUM(K130:K133)</f>
      </c>
      <c r="L134" s="173">
        <f>SUM(L130:L133)</f>
      </c>
      <c r="M134" s="173">
        <f>SUM(M130:M133)</f>
      </c>
      <c r="N134" s="173">
        <f>SUM(N130:N133)</f>
      </c>
      <c r="O134" s="175">
        <f t="shared" si="46"/>
      </c>
      <c r="P134" s="173">
        <f>SUM(P130:P133)</f>
      </c>
      <c r="Q134" s="175">
        <f t="shared" si="236"/>
      </c>
      <c r="R134" s="173">
        <f>SUM(R130:R133)</f>
      </c>
      <c r="S134" s="173">
        <f>SUM(S130:S133)</f>
      </c>
      <c r="T134" s="173">
        <f t="shared" si="234"/>
      </c>
      <c r="U134" s="173">
        <f t="shared" si="2"/>
      </c>
      <c r="V134" s="194">
        <f t="shared" si="0"/>
      </c>
      <c r="W134" s="173">
        <f>SUM(W130:W133)</f>
      </c>
      <c r="X134" s="194">
        <f t="shared" si="6"/>
      </c>
      <c r="Y134" s="194">
        <f t="shared" si="4"/>
      </c>
      <c r="Z134" s="173">
        <f t="shared" si="232"/>
      </c>
      <c r="AA134" s="173">
        <f t="shared" si="47"/>
      </c>
      <c r="AB134" s="238">
        <f t="shared" si="237"/>
      </c>
      <c r="AC134" s="175">
        <f t="shared" si="235"/>
      </c>
      <c r="AD134" s="175">
        <f t="shared" si="3"/>
      </c>
      <c r="AE134" s="175">
        <f t="shared" si="1"/>
      </c>
      <c r="AF134" s="239">
        <f t="shared" si="7"/>
      </c>
      <c r="AG134" s="175">
        <f t="shared" si="5"/>
      </c>
      <c r="AH134" s="175">
        <f t="shared" si="233"/>
      </c>
      <c r="AI134" s="175">
        <f t="shared" si="48"/>
      </c>
      <c r="AJ134" s="178">
        <f>AVERAGE(AJ130:AJ133)</f>
      </c>
      <c r="AK134" s="173">
        <f>SUM(AK130:AK133)</f>
      </c>
      <c r="AL134" s="173">
        <f>SUM(AL130:AL133)</f>
      </c>
      <c r="AM134" s="173">
        <f>SUM(AM130:AM133)</f>
      </c>
      <c r="AN134" s="173">
        <f>SUM(AN130:AN133)</f>
      </c>
      <c r="AO134" s="173">
        <f>SUM(AO130:AO133)</f>
      </c>
      <c r="AP134" s="173">
        <f>SUM(AP130:AP133)</f>
      </c>
      <c r="AQ134" s="173">
        <f>SUM(AQ130:AQ133)</f>
      </c>
      <c r="AR134" s="173">
        <f>SUM(AR130:AR133)</f>
      </c>
      <c r="AS134" s="173">
        <f>SUM(AS130:AS133)</f>
      </c>
      <c r="AT134" s="173">
        <f>SUM(AT130:AT133)</f>
      </c>
      <c r="AU134" s="173">
        <f>SUM(AU130:AU133)</f>
      </c>
      <c r="AV134" s="207"/>
      <c r="AW134" s="180"/>
      <c r="AX134" s="181">
        <f>SUM(AX130:AX133)</f>
      </c>
    </row>
    <row customHeight="true" ht="16.071428571428573" r="135">
      <c r="A135" s="234"/>
      <c r="B135" s="184" t="s">
        <v>166</v>
      </c>
      <c r="C135" s="184"/>
      <c r="D135" s="184"/>
      <c r="E135" s="184"/>
      <c r="F135" s="185">
        <f>F129+F134</f>
      </c>
      <c r="G135" s="185">
        <f>G129+G134</f>
      </c>
      <c r="H135" s="185">
        <f>H129+H134</f>
      </c>
      <c r="I135" s="184">
        <f>I129+I134</f>
      </c>
      <c r="J135" s="184">
        <f>J129+J134</f>
      </c>
      <c r="K135" s="184">
        <f>K129+K134</f>
      </c>
      <c r="L135" s="184">
        <f>L129+L134</f>
      </c>
      <c r="M135" s="184">
        <f>M129+M134</f>
      </c>
      <c r="N135" s="184">
        <f>N129+N134</f>
      </c>
      <c r="O135" s="186">
        <f t="shared" si="46"/>
      </c>
      <c r="P135" s="184">
        <f>P129+P134</f>
      </c>
      <c r="Q135" s="186">
        <f t="shared" si="236"/>
      </c>
      <c r="R135" s="184">
        <f>R129+R134</f>
      </c>
      <c r="S135" s="240">
        <f>S129+S134</f>
      </c>
      <c r="T135" s="185">
        <f t="shared" si="234"/>
      </c>
      <c r="U135" s="185">
        <f t="shared" si="2"/>
      </c>
      <c r="V135" s="187">
        <f t="shared" si="0"/>
      </c>
      <c r="W135" s="184">
        <f>W129+W134</f>
      </c>
      <c r="X135" s="187">
        <f t="shared" si="6"/>
      </c>
      <c r="Y135" s="187">
        <f t="shared" si="4"/>
      </c>
      <c r="Z135" s="185">
        <f t="shared" si="232"/>
      </c>
      <c r="AA135" s="185">
        <f t="shared" si="47"/>
      </c>
      <c r="AB135" s="189">
        <f t="shared" si="237"/>
      </c>
      <c r="AC135" s="186">
        <f t="shared" si="235"/>
      </c>
      <c r="AD135" s="186">
        <f t="shared" si="3"/>
      </c>
      <c r="AE135" s="186">
        <f t="shared" si="1"/>
      </c>
      <c r="AF135" s="241">
        <f t="shared" si="7"/>
      </c>
      <c r="AG135" s="186">
        <f t="shared" si="5"/>
      </c>
      <c r="AH135" s="186">
        <f t="shared" si="233"/>
      </c>
      <c r="AI135" s="186">
        <f t="shared" si="48"/>
      </c>
      <c r="AJ135" s="190">
        <f>(AJ129+AJ134)/2</f>
      </c>
      <c r="AK135" s="184">
        <f>AK129+AK134</f>
      </c>
      <c r="AL135" s="184">
        <f>AL129+AL134</f>
      </c>
      <c r="AM135" s="184">
        <f>AM129+AM134</f>
      </c>
      <c r="AN135" s="184">
        <f>AN129+AN134</f>
      </c>
      <c r="AO135" s="184">
        <f>AO129+AO134</f>
      </c>
      <c r="AP135" s="184">
        <f>AP129+AP134</f>
      </c>
      <c r="AQ135" s="184">
        <f>AQ129+AQ134</f>
      </c>
      <c r="AR135" s="184">
        <f>AR129+AR134</f>
      </c>
      <c r="AS135" s="184">
        <f>AS129+AS134</f>
      </c>
      <c r="AT135" s="184">
        <f>AT129+AT134</f>
      </c>
      <c r="AU135" s="184">
        <f>AU129+AU134</f>
      </c>
      <c r="AV135" s="207"/>
      <c r="AW135" s="230">
        <f>AW129+AW134</f>
      </c>
      <c r="AX135" s="222">
        <f>AX129+AX134</f>
      </c>
    </row>
    <row customHeight="true" ht="16.071428571428573" r="136">
      <c r="A136" s="234">
        <v>46281</v>
      </c>
      <c r="B136" s="149" t="s">
        <v>170</v>
      </c>
      <c r="C136" s="150" t="s">
        <v>157</v>
      </c>
      <c r="D136" s="149" t="s">
        <v>169</v>
      </c>
      <c r="E136" s="150" t="s">
        <v>159</v>
      </c>
      <c r="F136" s="159">
        <f t="shared" ref="F136:F139" si="185">G136+H136+I136</f>
      </c>
      <c r="G136" s="152">
        <v>3600.21</v>
      </c>
      <c r="H136" s="152">
        <v>1937.2</v>
      </c>
      <c r="I136" s="235">
        <v>0</v>
      </c>
      <c r="J136" s="236">
        <v>2</v>
      </c>
      <c r="K136" s="236">
        <v>2835.19</v>
      </c>
      <c r="L136" s="236">
        <v>2</v>
      </c>
      <c r="M136" s="236">
        <v>8098.46</v>
      </c>
      <c r="N136" s="155">
        <v>1</v>
      </c>
      <c r="O136" s="156">
        <f t="shared" si="46"/>
      </c>
      <c r="P136" s="155">
        <v>2</v>
      </c>
      <c r="Q136" s="156">
        <f t="shared" si="236"/>
      </c>
      <c r="R136" s="160">
        <f t="shared" ref="R136:R139" si="75">L136+J136</f>
      </c>
      <c r="S136" s="237">
        <f t="shared" ref="S136:S139" si="129">M136+K136</f>
      </c>
      <c r="T136" s="159">
        <f t="shared" si="234"/>
      </c>
      <c r="U136" s="159">
        <f t="shared" si="2"/>
      </c>
      <c r="V136" s="160">
        <f t="shared" si="0"/>
      </c>
      <c r="W136" s="155">
        <v>3</v>
      </c>
      <c r="X136" s="169">
        <f t="shared" si="6"/>
      </c>
      <c r="Y136" s="169">
        <f t="shared" si="4"/>
      </c>
      <c r="Z136" s="159">
        <f t="shared" si="232"/>
      </c>
      <c r="AA136" s="159">
        <f t="shared" si="47"/>
      </c>
      <c r="AB136" s="159">
        <f t="shared" si="237"/>
      </c>
      <c r="AC136" s="156">
        <f t="shared" si="235"/>
      </c>
      <c r="AD136" s="156">
        <f t="shared" si="3"/>
      </c>
      <c r="AE136" s="156">
        <f t="shared" si="1"/>
      </c>
      <c r="AF136" s="156">
        <f t="shared" si="7"/>
      </c>
      <c r="AG136" s="156">
        <f t="shared" si="5"/>
      </c>
      <c r="AH136" s="156">
        <f t="shared" si="233"/>
      </c>
      <c r="AI136" s="156">
        <f t="shared" si="48"/>
      </c>
      <c r="AJ136" s="155">
        <v>45</v>
      </c>
      <c r="AK136" s="160">
        <v>35520</v>
      </c>
      <c r="AL136" s="160">
        <v>1161</v>
      </c>
      <c r="AM136" s="160">
        <v>1315</v>
      </c>
      <c r="AN136" s="160">
        <v>159</v>
      </c>
      <c r="AO136" s="149">
        <v>57</v>
      </c>
      <c r="AP136" s="149">
        <v>137</v>
      </c>
      <c r="AQ136" s="150">
        <v>176</v>
      </c>
      <c r="AR136" s="149">
        <v>6</v>
      </c>
      <c r="AS136" s="149">
        <v>17</v>
      </c>
      <c r="AT136" s="160">
        <v>3</v>
      </c>
      <c r="AU136" s="160">
        <v>8</v>
      </c>
      <c r="AV136" s="207"/>
      <c r="AW136" s="165"/>
      <c r="AX136" s="197">
        <f t="shared" ref="AX136:AX139" si="266">COUNT(AU136)</f>
      </c>
    </row>
    <row customHeight="true" ht="16.071428571428573" r="137">
      <c r="A137" s="234"/>
      <c r="B137" s="149" t="s">
        <v>170</v>
      </c>
      <c r="C137" s="150" t="s">
        <v>157</v>
      </c>
      <c r="D137" s="149" t="s">
        <v>169</v>
      </c>
      <c r="E137" s="150" t="s">
        <v>160</v>
      </c>
      <c r="F137" s="159">
        <f t="shared" si="185"/>
      </c>
      <c r="G137" s="152">
        <v>3876.44</v>
      </c>
      <c r="H137" s="152">
        <v>2499.9</v>
      </c>
      <c r="I137" s="235">
        <v>0</v>
      </c>
      <c r="J137" s="236">
        <v>1</v>
      </c>
      <c r="K137" s="236">
        <v>2086.1999999999994</v>
      </c>
      <c r="L137" s="236">
        <v>2</v>
      </c>
      <c r="M137" s="236">
        <v>4842.149999999999</v>
      </c>
      <c r="N137" s="155">
        <v>0</v>
      </c>
      <c r="O137" s="156">
        <f t="shared" si="46"/>
      </c>
      <c r="P137" s="155">
        <v>0</v>
      </c>
      <c r="Q137" s="156">
        <f t="shared" si="236"/>
      </c>
      <c r="R137" s="160">
        <f t="shared" si="75"/>
      </c>
      <c r="S137" s="237">
        <f t="shared" si="129"/>
      </c>
      <c r="T137" s="159">
        <f t="shared" si="234"/>
      </c>
      <c r="U137" s="159">
        <f t="shared" si="2"/>
      </c>
      <c r="V137" s="160">
        <f t="shared" si="0"/>
      </c>
      <c r="W137" s="155">
        <v>2</v>
      </c>
      <c r="X137" s="169">
        <f t="shared" si="6"/>
      </c>
      <c r="Y137" s="169">
        <f t="shared" si="4"/>
      </c>
      <c r="Z137" s="159">
        <f t="shared" si="232"/>
      </c>
      <c r="AA137" s="159">
        <f t="shared" si="47"/>
      </c>
      <c r="AB137" s="159">
        <f t="shared" si="237"/>
      </c>
      <c r="AC137" s="156">
        <f t="shared" si="235"/>
      </c>
      <c r="AD137" s="156">
        <f t="shared" si="3"/>
      </c>
      <c r="AE137" s="156">
        <f t="shared" si="1"/>
      </c>
      <c r="AF137" s="156">
        <f t="shared" si="7"/>
      </c>
      <c r="AG137" s="156">
        <f t="shared" si="5"/>
      </c>
      <c r="AH137" s="156">
        <f t="shared" si="233"/>
      </c>
      <c r="AI137" s="156">
        <f t="shared" si="48"/>
      </c>
      <c r="AJ137" s="155">
        <v>43</v>
      </c>
      <c r="AK137" s="160">
        <v>44867</v>
      </c>
      <c r="AL137" s="160">
        <v>1624</v>
      </c>
      <c r="AM137" s="160">
        <v>1793</v>
      </c>
      <c r="AN137" s="160">
        <v>199</v>
      </c>
      <c r="AO137" s="149">
        <v>50</v>
      </c>
      <c r="AP137" s="160">
        <v>120</v>
      </c>
      <c r="AQ137" s="150">
        <v>218</v>
      </c>
      <c r="AR137" s="149">
        <v>5</v>
      </c>
      <c r="AS137" s="160">
        <v>15</v>
      </c>
      <c r="AT137" s="160">
        <v>5</v>
      </c>
      <c r="AU137" s="160">
        <v>11</v>
      </c>
      <c r="AV137" s="207"/>
      <c r="AW137" s="165"/>
      <c r="AX137" s="197">
        <f t="shared" si="266"/>
      </c>
    </row>
    <row customHeight="true" ht="16.071428571428573" r="138">
      <c r="A138" s="234"/>
      <c r="B138" s="149" t="s">
        <v>170</v>
      </c>
      <c r="C138" s="150" t="s">
        <v>157</v>
      </c>
      <c r="D138" s="149" t="s">
        <v>169</v>
      </c>
      <c r="E138" s="150" t="s">
        <v>161</v>
      </c>
      <c r="F138" s="159">
        <f t="shared" si="185"/>
      </c>
      <c r="G138" s="152">
        <v>2219.37</v>
      </c>
      <c r="H138" s="152">
        <v>2694.84</v>
      </c>
      <c r="I138" s="235">
        <v>0</v>
      </c>
      <c r="J138" s="236">
        <v>2</v>
      </c>
      <c r="K138" s="236">
        <v>2675.6499999999996</v>
      </c>
      <c r="L138" s="236">
        <v>3</v>
      </c>
      <c r="M138" s="236">
        <v>4849.749999999998</v>
      </c>
      <c r="N138" s="155">
        <v>0</v>
      </c>
      <c r="O138" s="156">
        <f t="shared" si="46"/>
      </c>
      <c r="P138" s="155">
        <v>0</v>
      </c>
      <c r="Q138" s="156">
        <f t="shared" si="236"/>
      </c>
      <c r="R138" s="160">
        <f t="shared" si="75"/>
      </c>
      <c r="S138" s="237">
        <f t="shared" si="129"/>
      </c>
      <c r="T138" s="159">
        <f t="shared" si="234"/>
      </c>
      <c r="U138" s="159">
        <f t="shared" si="2"/>
      </c>
      <c r="V138" s="169">
        <f t="shared" si="0"/>
      </c>
      <c r="W138" s="155">
        <v>4</v>
      </c>
      <c r="X138" s="169">
        <f t="shared" si="6"/>
      </c>
      <c r="Y138" s="169">
        <f t="shared" si="4"/>
      </c>
      <c r="Z138" s="159">
        <f t="shared" si="232"/>
      </c>
      <c r="AA138" s="159">
        <f t="shared" si="47"/>
      </c>
      <c r="AB138" s="159">
        <f t="shared" si="237"/>
      </c>
      <c r="AC138" s="156">
        <f t="shared" si="235"/>
      </c>
      <c r="AD138" s="156">
        <f t="shared" si="3"/>
      </c>
      <c r="AE138" s="156">
        <f t="shared" si="1"/>
      </c>
      <c r="AF138" s="156">
        <f t="shared" si="7"/>
      </c>
      <c r="AG138" s="156">
        <f t="shared" si="5"/>
      </c>
      <c r="AH138" s="156">
        <f t="shared" si="233"/>
      </c>
      <c r="AI138" s="156">
        <f t="shared" si="48"/>
      </c>
      <c r="AJ138" s="155">
        <v>47</v>
      </c>
      <c r="AK138" s="160">
        <v>30161</v>
      </c>
      <c r="AL138" s="160">
        <v>839</v>
      </c>
      <c r="AM138" s="160">
        <v>903</v>
      </c>
      <c r="AN138" s="160">
        <v>170</v>
      </c>
      <c r="AO138" s="149">
        <v>44</v>
      </c>
      <c r="AP138" s="160">
        <v>111</v>
      </c>
      <c r="AQ138" s="150">
        <v>144</v>
      </c>
      <c r="AR138" s="149">
        <v>7</v>
      </c>
      <c r="AS138" s="160">
        <v>9</v>
      </c>
      <c r="AT138" s="160">
        <v>2</v>
      </c>
      <c r="AU138" s="160">
        <v>21</v>
      </c>
      <c r="AV138" s="207"/>
      <c r="AW138" s="165"/>
      <c r="AX138" s="197">
        <f t="shared" si="266"/>
      </c>
    </row>
    <row customHeight="true" ht="16.071428571428573" r="139">
      <c r="A139" s="234"/>
      <c r="B139" s="149" t="s">
        <v>170</v>
      </c>
      <c r="C139" s="150" t="s">
        <v>157</v>
      </c>
      <c r="D139" s="149" t="s">
        <v>169</v>
      </c>
      <c r="E139" s="150" t="s">
        <v>164</v>
      </c>
      <c r="F139" s="159">
        <f t="shared" si="185"/>
      </c>
      <c r="G139" s="152">
        <v>4516.36</v>
      </c>
      <c r="H139" s="152">
        <v>5337.53</v>
      </c>
      <c r="I139" s="235">
        <v>0</v>
      </c>
      <c r="J139" s="236">
        <v>0</v>
      </c>
      <c r="K139" s="236">
        <v>0</v>
      </c>
      <c r="L139" s="236">
        <v>4</v>
      </c>
      <c r="M139" s="236">
        <v>19040.609999999997</v>
      </c>
      <c r="N139" s="155">
        <v>1</v>
      </c>
      <c r="O139" s="156">
        <f t="shared" si="46"/>
      </c>
      <c r="P139" s="155">
        <v>2</v>
      </c>
      <c r="Q139" s="156">
        <f t="shared" si="236"/>
      </c>
      <c r="R139" s="160">
        <f t="shared" si="75"/>
      </c>
      <c r="S139" s="237">
        <f t="shared" si="129"/>
      </c>
      <c r="T139" s="159">
        <f t="shared" si="234"/>
      </c>
      <c r="U139" s="159">
        <f t="shared" si="2"/>
      </c>
      <c r="V139" s="169">
        <f t="shared" si="0"/>
      </c>
      <c r="W139" s="155">
        <v>3</v>
      </c>
      <c r="X139" s="169">
        <f t="shared" si="6"/>
      </c>
      <c r="Y139" s="169">
        <f t="shared" si="4"/>
      </c>
      <c r="Z139" s="159">
        <f t="shared" si="232"/>
      </c>
      <c r="AA139" s="159">
        <f t="shared" si="47"/>
      </c>
      <c r="AB139" s="159">
        <f t="shared" si="237"/>
      </c>
      <c r="AC139" s="156">
        <f t="shared" si="235"/>
      </c>
      <c r="AD139" s="156">
        <f t="shared" si="3"/>
      </c>
      <c r="AE139" s="156">
        <f t="shared" si="1"/>
      </c>
      <c r="AF139" s="156">
        <f t="shared" si="7"/>
      </c>
      <c r="AG139" s="156">
        <f t="shared" si="5"/>
      </c>
      <c r="AH139" s="156">
        <f t="shared" si="233"/>
      </c>
      <c r="AI139" s="156">
        <f t="shared" si="48"/>
      </c>
      <c r="AJ139" s="155">
        <v>50</v>
      </c>
      <c r="AK139" s="160">
        <v>64163</v>
      </c>
      <c r="AL139" s="160">
        <v>1504</v>
      </c>
      <c r="AM139" s="160">
        <v>1597</v>
      </c>
      <c r="AN139" s="160">
        <v>303</v>
      </c>
      <c r="AO139" s="149">
        <v>80</v>
      </c>
      <c r="AP139" s="155">
        <v>177</v>
      </c>
      <c r="AQ139" s="149">
        <v>230</v>
      </c>
      <c r="AR139" s="149">
        <v>6</v>
      </c>
      <c r="AS139" s="155">
        <v>17</v>
      </c>
      <c r="AT139" s="155">
        <v>1</v>
      </c>
      <c r="AU139" s="155">
        <v>40</v>
      </c>
      <c r="AV139" s="207"/>
      <c r="AW139" s="165"/>
      <c r="AX139" s="197">
        <f t="shared" si="266"/>
      </c>
    </row>
    <row customHeight="true" ht="16.071428571428573" r="140">
      <c r="A140" s="234"/>
      <c r="B140" s="171" t="s">
        <v>162</v>
      </c>
      <c r="C140" s="171"/>
      <c r="D140" s="171"/>
      <c r="E140" s="171"/>
      <c r="F140" s="173">
        <f>SUM(F136:F139)</f>
      </c>
      <c r="G140" s="173">
        <f>SUM(G136:G139)</f>
      </c>
      <c r="H140" s="173">
        <f>SUM(H136:H139)</f>
      </c>
      <c r="I140" s="173">
        <f>SUM(I136:I139)</f>
      </c>
      <c r="J140" s="173">
        <f>SUM(J136:J139)</f>
      </c>
      <c r="K140" s="173">
        <f>SUM(K136:K139)</f>
      </c>
      <c r="L140" s="173">
        <f>SUM(L136:L139)</f>
      </c>
      <c r="M140" s="173">
        <f>SUM(M136:M139)</f>
      </c>
      <c r="N140" s="173">
        <f>SUM(N136:N139)</f>
      </c>
      <c r="O140" s="175">
        <f t="shared" si="46"/>
      </c>
      <c r="P140" s="173">
        <f>SUM(P136:P139)</f>
      </c>
      <c r="Q140" s="175">
        <f t="shared" si="236"/>
      </c>
      <c r="R140" s="173">
        <f>SUM(R136:R139)</f>
      </c>
      <c r="S140" s="173">
        <f>SUM(S136:S139)</f>
      </c>
      <c r="T140" s="173">
        <f t="shared" si="234"/>
      </c>
      <c r="U140" s="173">
        <f t="shared" si="2"/>
      </c>
      <c r="V140" s="173">
        <f t="shared" si="0"/>
      </c>
      <c r="W140" s="173">
        <f>SUM(W136:W139)</f>
      </c>
      <c r="X140" s="194">
        <f t="shared" si="6"/>
      </c>
      <c r="Y140" s="194">
        <f t="shared" si="4"/>
      </c>
      <c r="Z140" s="173">
        <f t="shared" si="232"/>
      </c>
      <c r="AA140" s="173">
        <f t="shared" si="47"/>
      </c>
      <c r="AB140" s="238">
        <f t="shared" si="237"/>
      </c>
      <c r="AC140" s="175">
        <f t="shared" si="235"/>
      </c>
      <c r="AD140" s="175">
        <f t="shared" si="3"/>
      </c>
      <c r="AE140" s="175">
        <f t="shared" si="1"/>
      </c>
      <c r="AF140" s="175">
        <f t="shared" si="7"/>
      </c>
      <c r="AG140" s="175">
        <f t="shared" si="5"/>
      </c>
      <c r="AH140" s="175">
        <f t="shared" si="233"/>
      </c>
      <c r="AI140" s="175">
        <f t="shared" si="48"/>
      </c>
      <c r="AJ140" s="178">
        <f>AVERAGE(AJ136:AJ139)</f>
      </c>
      <c r="AK140" s="173">
        <f>SUM(AK136:AK139)</f>
      </c>
      <c r="AL140" s="173">
        <f>SUM(AL136:AL139)</f>
      </c>
      <c r="AM140" s="173">
        <f>SUM(AM136:AM139)</f>
      </c>
      <c r="AN140" s="173">
        <f>SUM(AN136:AN139)</f>
      </c>
      <c r="AO140" s="173">
        <f>SUM(AO136:AO139)</f>
      </c>
      <c r="AP140" s="173">
        <f>SUM(AP136:AP139)</f>
      </c>
      <c r="AQ140" s="173">
        <f>SUM(AQ136:AQ139)</f>
      </c>
      <c r="AR140" s="173">
        <f>SUM(AR136:AR139)</f>
      </c>
      <c r="AS140" s="173">
        <f>SUM(AS136:AS139)</f>
      </c>
      <c r="AT140" s="173">
        <f>SUM(AT136:AT139)</f>
      </c>
      <c r="AU140" s="173">
        <f>SUM(AU136:AU139)</f>
      </c>
      <c r="AV140" s="207"/>
      <c r="AW140" s="180"/>
      <c r="AX140" s="181">
        <f>SUM(AX136:AX139)</f>
      </c>
    </row>
    <row customHeight="true" ht="16.071428571428573" r="141">
      <c r="A141" s="234"/>
      <c r="B141" s="149" t="s">
        <v>170</v>
      </c>
      <c r="C141" s="150" t="s">
        <v>157</v>
      </c>
      <c r="D141" s="149" t="s">
        <v>163</v>
      </c>
      <c r="E141" s="150" t="s">
        <v>165</v>
      </c>
      <c r="F141" s="159">
        <f t="shared" ref="F141:F144" si="186">G141+H141+I141</f>
      </c>
      <c r="G141" s="152">
        <v>2533.37</v>
      </c>
      <c r="H141" s="152">
        <v>2989.06</v>
      </c>
      <c r="I141" s="235">
        <v>0</v>
      </c>
      <c r="J141" s="236">
        <v>1</v>
      </c>
      <c r="K141" s="236">
        <v>1055.4500000000007</v>
      </c>
      <c r="L141" s="236">
        <v>3</v>
      </c>
      <c r="M141" s="236">
        <v>4404.200000000004</v>
      </c>
      <c r="N141" s="155">
        <v>0</v>
      </c>
      <c r="O141" s="156">
        <f t="shared" si="46"/>
      </c>
      <c r="P141" s="155">
        <v>0</v>
      </c>
      <c r="Q141" s="156">
        <f t="shared" si="236"/>
      </c>
      <c r="R141" s="160">
        <f t="shared" ref="R141:R144" si="76">L141+J141</f>
      </c>
      <c r="S141" s="237">
        <f t="shared" ref="S141:S144" si="130">M141+K141</f>
      </c>
      <c r="T141" s="159">
        <f t="shared" si="234"/>
      </c>
      <c r="U141" s="159">
        <f t="shared" si="2"/>
      </c>
      <c r="V141" s="169">
        <f t="shared" si="0"/>
      </c>
      <c r="W141" s="155">
        <v>3</v>
      </c>
      <c r="X141" s="169">
        <f t="shared" si="6"/>
      </c>
      <c r="Y141" s="169">
        <f t="shared" si="4"/>
      </c>
      <c r="Z141" s="159">
        <f t="shared" si="232"/>
      </c>
      <c r="AA141" s="159">
        <f t="shared" si="47"/>
      </c>
      <c r="AB141" s="159">
        <f t="shared" si="237"/>
      </c>
      <c r="AC141" s="156">
        <f t="shared" si="235"/>
      </c>
      <c r="AD141" s="156">
        <f t="shared" si="3"/>
      </c>
      <c r="AE141" s="156">
        <f t="shared" si="1"/>
      </c>
      <c r="AF141" s="156">
        <f t="shared" si="7"/>
      </c>
      <c r="AG141" s="156">
        <f t="shared" si="5"/>
      </c>
      <c r="AH141" s="156">
        <f t="shared" si="233"/>
      </c>
      <c r="AI141" s="156">
        <f t="shared" si="48"/>
      </c>
      <c r="AJ141" s="155">
        <v>54</v>
      </c>
      <c r="AK141" s="160">
        <v>35822</v>
      </c>
      <c r="AL141" s="160">
        <v>698</v>
      </c>
      <c r="AM141" s="160">
        <v>754</v>
      </c>
      <c r="AN141" s="160">
        <v>162</v>
      </c>
      <c r="AO141" s="149">
        <v>41</v>
      </c>
      <c r="AP141" s="160">
        <v>119</v>
      </c>
      <c r="AQ141" s="150">
        <v>140</v>
      </c>
      <c r="AR141" s="149">
        <v>6</v>
      </c>
      <c r="AS141" s="149">
        <v>7</v>
      </c>
      <c r="AT141" s="160">
        <v>4</v>
      </c>
      <c r="AU141" s="160">
        <v>29</v>
      </c>
      <c r="AV141" s="207"/>
      <c r="AW141" s="165"/>
      <c r="AX141" s="197">
        <f t="shared" ref="AX141:AX144" si="267">COUNT(AU141)</f>
      </c>
    </row>
    <row customHeight="true" ht="16.071428571428573" r="142">
      <c r="A142" s="234"/>
      <c r="B142" s="149" t="s">
        <v>170</v>
      </c>
      <c r="C142" s="150" t="s">
        <v>157</v>
      </c>
      <c r="D142" s="149" t="s">
        <v>163</v>
      </c>
      <c r="E142" s="149" t="s">
        <v>168</v>
      </c>
      <c r="F142" s="159">
        <f t="shared" si="186"/>
      </c>
      <c r="G142" s="152">
        <v>2510.93</v>
      </c>
      <c r="H142" s="152">
        <v>3116.68</v>
      </c>
      <c r="I142" s="235">
        <v>0</v>
      </c>
      <c r="J142" s="236">
        <v>0</v>
      </c>
      <c r="K142" s="236">
        <v>0</v>
      </c>
      <c r="L142" s="236">
        <v>0</v>
      </c>
      <c r="M142" s="236">
        <v>0</v>
      </c>
      <c r="N142" s="155">
        <v>0</v>
      </c>
      <c r="O142" s="156">
        <f t="shared" si="46"/>
      </c>
      <c r="P142" s="155">
        <v>0</v>
      </c>
      <c r="Q142" s="156">
        <f t="shared" si="236"/>
      </c>
      <c r="R142" s="160">
        <f t="shared" si="76"/>
      </c>
      <c r="S142" s="237">
        <f t="shared" si="130"/>
      </c>
      <c r="T142" s="159">
        <f t="shared" si="234"/>
      </c>
      <c r="U142" s="159">
        <f t="shared" si="2"/>
      </c>
      <c r="V142" s="169">
        <f t="shared" si="0"/>
      </c>
      <c r="W142" s="155">
        <v>0</v>
      </c>
      <c r="X142" s="169">
        <f t="shared" si="6"/>
      </c>
      <c r="Y142" s="169">
        <f t="shared" si="4"/>
      </c>
      <c r="Z142" s="159">
        <f t="shared" si="232"/>
      </c>
      <c r="AA142" s="159">
        <f t="shared" si="47"/>
      </c>
      <c r="AB142" s="159">
        <f t="shared" si="237"/>
      </c>
      <c r="AC142" s="156">
        <f t="shared" si="235"/>
      </c>
      <c r="AD142" s="156">
        <f t="shared" si="3"/>
      </c>
      <c r="AE142" s="156">
        <f t="shared" si="1"/>
      </c>
      <c r="AF142" s="156">
        <f t="shared" si="7"/>
      </c>
      <c r="AG142" s="156">
        <f t="shared" si="5"/>
      </c>
      <c r="AH142" s="156">
        <f t="shared" si="233"/>
      </c>
      <c r="AI142" s="156">
        <f t="shared" si="48"/>
      </c>
      <c r="AJ142" s="155">
        <v>55</v>
      </c>
      <c r="AK142" s="160">
        <v>31827</v>
      </c>
      <c r="AL142" s="160">
        <v>722</v>
      </c>
      <c r="AM142" s="160">
        <v>778</v>
      </c>
      <c r="AN142" s="160">
        <v>194</v>
      </c>
      <c r="AO142" s="149">
        <v>29</v>
      </c>
      <c r="AP142" s="160">
        <v>76</v>
      </c>
      <c r="AQ142" s="150">
        <v>134</v>
      </c>
      <c r="AR142" s="149">
        <v>1</v>
      </c>
      <c r="AS142" s="149">
        <v>10</v>
      </c>
      <c r="AT142" s="160">
        <v>0</v>
      </c>
      <c r="AU142" s="160">
        <v>14</v>
      </c>
      <c r="AV142" s="207"/>
      <c r="AW142" s="165"/>
      <c r="AX142" s="197">
        <f t="shared" si="267"/>
      </c>
    </row>
    <row customHeight="true" ht="16.071428571428573" r="143">
      <c r="A143" s="234"/>
      <c r="B143" s="149" t="s">
        <v>170</v>
      </c>
      <c r="C143" s="150" t="s">
        <v>157</v>
      </c>
      <c r="D143" s="149" t="s">
        <v>163</v>
      </c>
      <c r="E143" s="149" t="s">
        <v>171</v>
      </c>
      <c r="F143" s="159">
        <f t="shared" si="186"/>
      </c>
      <c r="G143" s="152">
        <v>1559.17</v>
      </c>
      <c r="H143" s="152">
        <v>1775.89</v>
      </c>
      <c r="I143" s="235">
        <v>0</v>
      </c>
      <c r="J143" s="236">
        <v>0</v>
      </c>
      <c r="K143" s="236">
        <v>0</v>
      </c>
      <c r="L143" s="236">
        <v>3</v>
      </c>
      <c r="M143" s="236">
        <v>9023.239999999998</v>
      </c>
      <c r="N143" s="155">
        <v>1</v>
      </c>
      <c r="O143" s="156">
        <f t="shared" si="46"/>
      </c>
      <c r="P143" s="155">
        <v>1</v>
      </c>
      <c r="Q143" s="156">
        <f t="shared" si="236"/>
      </c>
      <c r="R143" s="160">
        <f t="shared" si="76"/>
      </c>
      <c r="S143" s="237">
        <f t="shared" si="130"/>
      </c>
      <c r="T143" s="159">
        <f t="shared" si="234"/>
      </c>
      <c r="U143" s="159">
        <f t="shared" si="2"/>
      </c>
      <c r="V143" s="169">
        <f t="shared" si="0"/>
      </c>
      <c r="W143" s="155">
        <v>3</v>
      </c>
      <c r="X143" s="169">
        <f t="shared" si="6"/>
      </c>
      <c r="Y143" s="169">
        <f t="shared" si="4"/>
      </c>
      <c r="Z143" s="159">
        <f t="shared" si="232"/>
      </c>
      <c r="AA143" s="159">
        <f t="shared" si="47"/>
      </c>
      <c r="AB143" s="159">
        <f t="shared" si="237"/>
      </c>
      <c r="AC143" s="156">
        <f t="shared" si="235"/>
      </c>
      <c r="AD143" s="156">
        <f t="shared" si="3"/>
      </c>
      <c r="AE143" s="156">
        <f t="shared" si="1"/>
      </c>
      <c r="AF143" s="156">
        <f t="shared" si="7"/>
      </c>
      <c r="AG143" s="156">
        <f t="shared" si="5"/>
      </c>
      <c r="AH143" s="156">
        <f t="shared" si="233"/>
      </c>
      <c r="AI143" s="156">
        <f t="shared" si="48"/>
      </c>
      <c r="AJ143" s="155">
        <v>56</v>
      </c>
      <c r="AK143" s="160">
        <v>23326</v>
      </c>
      <c r="AL143" s="160">
        <v>538</v>
      </c>
      <c r="AM143" s="160">
        <v>577</v>
      </c>
      <c r="AN143" s="160">
        <v>104</v>
      </c>
      <c r="AO143" s="149">
        <v>33</v>
      </c>
      <c r="AP143" s="160">
        <v>129</v>
      </c>
      <c r="AQ143" s="150">
        <v>80</v>
      </c>
      <c r="AR143" s="149">
        <v>3</v>
      </c>
      <c r="AS143" s="155">
        <v>8</v>
      </c>
      <c r="AT143" s="160">
        <v>0</v>
      </c>
      <c r="AU143" s="160">
        <v>17</v>
      </c>
      <c r="AV143" s="207"/>
      <c r="AW143" s="165"/>
      <c r="AX143" s="197">
        <f t="shared" si="267"/>
      </c>
    </row>
    <row customHeight="true" ht="16.071428571428573" r="144">
      <c r="A144" s="234"/>
      <c r="B144" s="149" t="s">
        <v>170</v>
      </c>
      <c r="C144" s="150" t="s">
        <v>157</v>
      </c>
      <c r="D144" s="149" t="s">
        <v>163</v>
      </c>
      <c r="E144" s="149" t="s">
        <v>172</v>
      </c>
      <c r="F144" s="159">
        <f t="shared" si="186"/>
      </c>
      <c r="G144" s="152">
        <v>1918.05</v>
      </c>
      <c r="H144" s="152">
        <v>842.59</v>
      </c>
      <c r="I144" s="235">
        <v>0</v>
      </c>
      <c r="J144" s="236">
        <v>3</v>
      </c>
      <c r="K144" s="236">
        <v>4849.359999999999</v>
      </c>
      <c r="L144" s="236">
        <v>0</v>
      </c>
      <c r="M144" s="236">
        <v>0</v>
      </c>
      <c r="N144" s="155">
        <v>2</v>
      </c>
      <c r="O144" s="156">
        <f t="shared" si="46"/>
      </c>
      <c r="P144" s="155">
        <v>1</v>
      </c>
      <c r="Q144" s="156">
        <f t="shared" si="236"/>
      </c>
      <c r="R144" s="160">
        <f t="shared" si="76"/>
      </c>
      <c r="S144" s="237">
        <f t="shared" si="130"/>
      </c>
      <c r="T144" s="159">
        <f t="shared" si="234"/>
      </c>
      <c r="U144" s="159">
        <f t="shared" si="2"/>
      </c>
      <c r="V144" s="169">
        <f t="shared" si="0"/>
      </c>
      <c r="W144" s="155">
        <v>3</v>
      </c>
      <c r="X144" s="169">
        <f t="shared" si="6"/>
      </c>
      <c r="Y144" s="169">
        <f t="shared" si="4"/>
      </c>
      <c r="Z144" s="159">
        <f t="shared" si="232"/>
      </c>
      <c r="AA144" s="159">
        <f t="shared" si="47"/>
      </c>
      <c r="AB144" s="159">
        <f t="shared" si="237"/>
      </c>
      <c r="AC144" s="156">
        <f t="shared" si="235"/>
      </c>
      <c r="AD144" s="156">
        <f t="shared" si="3"/>
      </c>
      <c r="AE144" s="156">
        <f t="shared" si="1"/>
      </c>
      <c r="AF144" s="156">
        <f t="shared" si="7"/>
      </c>
      <c r="AG144" s="156">
        <f t="shared" si="5"/>
      </c>
      <c r="AH144" s="156">
        <f t="shared" si="233"/>
      </c>
      <c r="AI144" s="156">
        <f t="shared" si="48"/>
      </c>
      <c r="AJ144" s="155">
        <v>57</v>
      </c>
      <c r="AK144" s="160">
        <v>27276</v>
      </c>
      <c r="AL144" s="160">
        <v>689</v>
      </c>
      <c r="AM144" s="160">
        <v>775</v>
      </c>
      <c r="AN144" s="160">
        <v>108</v>
      </c>
      <c r="AO144" s="149">
        <v>20</v>
      </c>
      <c r="AP144" s="160">
        <v>52</v>
      </c>
      <c r="AQ144" s="150">
        <v>97</v>
      </c>
      <c r="AR144" s="149">
        <v>3</v>
      </c>
      <c r="AS144" s="160">
        <v>5</v>
      </c>
      <c r="AT144" s="160">
        <v>2</v>
      </c>
      <c r="AU144" s="155">
        <v>5</v>
      </c>
      <c r="AV144" s="207"/>
      <c r="AW144" s="165"/>
      <c r="AX144" s="197">
        <f t="shared" si="267"/>
      </c>
    </row>
    <row customHeight="true" ht="16.071428571428573" r="145">
      <c r="A145" s="234"/>
      <c r="B145" s="171" t="s">
        <v>162</v>
      </c>
      <c r="C145" s="171"/>
      <c r="D145" s="171"/>
      <c r="E145" s="171"/>
      <c r="F145" s="173">
        <f>SUM(F141:F144)</f>
      </c>
      <c r="G145" s="173">
        <f>SUM(G141:G144)</f>
      </c>
      <c r="H145" s="173">
        <f>SUM(H141:H144)</f>
      </c>
      <c r="I145" s="173">
        <f>SUM(I141:I144)</f>
      </c>
      <c r="J145" s="173">
        <f>SUM(J141:J144)</f>
      </c>
      <c r="K145" s="173">
        <f>SUM(K141:K144)</f>
      </c>
      <c r="L145" s="173">
        <f>SUM(L141:L144)</f>
      </c>
      <c r="M145" s="173">
        <f>SUM(M141:M144)</f>
      </c>
      <c r="N145" s="173">
        <f>SUM(N141:N144)</f>
      </c>
      <c r="O145" s="175">
        <f t="shared" si="46"/>
      </c>
      <c r="P145" s="173">
        <f>SUM(P141:P144)</f>
      </c>
      <c r="Q145" s="175">
        <f t="shared" si="236"/>
      </c>
      <c r="R145" s="173">
        <f>SUM(R141:R144)</f>
      </c>
      <c r="S145" s="173">
        <f>SUM(S141:S144)</f>
      </c>
      <c r="T145" s="173">
        <f t="shared" si="234"/>
      </c>
      <c r="U145" s="173">
        <f t="shared" si="2"/>
      </c>
      <c r="V145" s="194">
        <f t="shared" si="0"/>
      </c>
      <c r="W145" s="173">
        <f>SUM(W141:W144)</f>
      </c>
      <c r="X145" s="194">
        <f t="shared" si="6"/>
      </c>
      <c r="Y145" s="194">
        <f t="shared" si="4"/>
      </c>
      <c r="Z145" s="173">
        <f t="shared" si="232"/>
      </c>
      <c r="AA145" s="173">
        <f t="shared" si="47"/>
      </c>
      <c r="AB145" s="238">
        <f t="shared" si="237"/>
      </c>
      <c r="AC145" s="175">
        <f t="shared" si="235"/>
      </c>
      <c r="AD145" s="175">
        <f t="shared" si="3"/>
      </c>
      <c r="AE145" s="175">
        <f t="shared" si="1"/>
      </c>
      <c r="AF145" s="239">
        <f t="shared" si="7"/>
      </c>
      <c r="AG145" s="175">
        <f t="shared" si="5"/>
      </c>
      <c r="AH145" s="175">
        <f t="shared" si="233"/>
      </c>
      <c r="AI145" s="175">
        <f t="shared" si="48"/>
      </c>
      <c r="AJ145" s="178">
        <f>AVERAGE(AJ141:AJ144)</f>
      </c>
      <c r="AK145" s="173">
        <f>SUM(AK141:AK144)</f>
      </c>
      <c r="AL145" s="173">
        <f>SUM(AL141:AL144)</f>
      </c>
      <c r="AM145" s="173">
        <f>SUM(AM141:AM144)</f>
      </c>
      <c r="AN145" s="173">
        <f>SUM(AN141:AN144)</f>
      </c>
      <c r="AO145" s="173">
        <f>SUM(AO141:AO144)</f>
      </c>
      <c r="AP145" s="173">
        <f>SUM(AP141:AP144)</f>
      </c>
      <c r="AQ145" s="173">
        <f>SUM(AQ141:AQ144)</f>
      </c>
      <c r="AR145" s="173">
        <f>SUM(AR141:AR144)</f>
      </c>
      <c r="AS145" s="173">
        <f>SUM(AS141:AS144)</f>
      </c>
      <c r="AT145" s="173">
        <f>SUM(AT141:AT144)</f>
      </c>
      <c r="AU145" s="173">
        <f>SUM(AU141:AU144)</f>
      </c>
      <c r="AV145" s="207"/>
      <c r="AW145" s="180"/>
      <c r="AX145" s="181">
        <f>SUM(AX141:AX144)</f>
      </c>
    </row>
    <row r="146">
      <c r="A146" s="234"/>
      <c r="B146" s="184" t="s">
        <v>166</v>
      </c>
      <c r="C146" s="184"/>
      <c r="D146" s="184"/>
      <c r="E146" s="184"/>
      <c r="F146" s="185">
        <f>F140+F145</f>
      </c>
      <c r="G146" s="185">
        <f>G140+G145</f>
      </c>
      <c r="H146" s="185">
        <f>H140+H145</f>
      </c>
      <c r="I146" s="184">
        <f>I140+I145</f>
      </c>
      <c r="J146" s="184">
        <f>J140+J145</f>
      </c>
      <c r="K146" s="184">
        <f>K140+K145</f>
      </c>
      <c r="L146" s="184">
        <f>L140+L145</f>
      </c>
      <c r="M146" s="184">
        <f>M140+M145</f>
      </c>
      <c r="N146" s="184">
        <f>N140+N145</f>
      </c>
      <c r="O146" s="186">
        <f t="shared" si="46"/>
      </c>
      <c r="P146" s="184">
        <f>P140+P145</f>
      </c>
      <c r="Q146" s="186">
        <f t="shared" si="236"/>
      </c>
      <c r="R146" s="184">
        <f>R140+R145</f>
      </c>
      <c r="S146" s="240">
        <f>S140+S145</f>
      </c>
      <c r="T146" s="185">
        <f t="shared" si="234"/>
      </c>
      <c r="U146" s="185">
        <f t="shared" si="2"/>
      </c>
      <c r="V146" s="187">
        <f t="shared" si="0"/>
      </c>
      <c r="W146" s="184">
        <f>W140+W145</f>
      </c>
      <c r="X146" s="187">
        <f t="shared" si="6"/>
      </c>
      <c r="Y146" s="187">
        <f t="shared" si="4"/>
      </c>
      <c r="Z146" s="185">
        <f t="shared" si="232"/>
      </c>
      <c r="AA146" s="185">
        <f t="shared" si="47"/>
      </c>
      <c r="AB146" s="189">
        <f t="shared" si="237"/>
      </c>
      <c r="AC146" s="186">
        <f t="shared" si="235"/>
      </c>
      <c r="AD146" s="186">
        <f t="shared" si="3"/>
      </c>
      <c r="AE146" s="186">
        <f t="shared" si="1"/>
      </c>
      <c r="AF146" s="241">
        <f t="shared" si="7"/>
      </c>
      <c r="AG146" s="186">
        <f t="shared" si="5"/>
      </c>
      <c r="AH146" s="186">
        <f t="shared" si="233"/>
      </c>
      <c r="AI146" s="186">
        <f t="shared" si="48"/>
      </c>
      <c r="AJ146" s="190">
        <f>(AJ140+AJ145)/2</f>
      </c>
      <c r="AK146" s="184">
        <f>AK140+AK145</f>
      </c>
      <c r="AL146" s="184">
        <f>AL140+AL145</f>
      </c>
      <c r="AM146" s="184">
        <f>AM140+AM145</f>
      </c>
      <c r="AN146" s="184">
        <f>AN140+AN145</f>
      </c>
      <c r="AO146" s="184">
        <f>AO140+AO145</f>
      </c>
      <c r="AP146" s="184">
        <f>AP140+AP145</f>
      </c>
      <c r="AQ146" s="184">
        <f>AQ140+AQ145</f>
      </c>
      <c r="AR146" s="184">
        <f>AR140+AR145</f>
      </c>
      <c r="AS146" s="184">
        <f>AS140+AS145</f>
      </c>
      <c r="AT146" s="184">
        <f>AT140+AT145</f>
      </c>
      <c r="AU146" s="184">
        <f>AU140+AU145</f>
      </c>
      <c r="AV146" s="207"/>
      <c r="AW146" s="230">
        <f>AW140+AW145</f>
      </c>
      <c r="AX146" s="222">
        <f>AX140+AX145</f>
      </c>
    </row>
    <row r="147">
      <c r="A147" s="234">
        <v>46282</v>
      </c>
      <c r="B147" s="149" t="s">
        <v>156</v>
      </c>
      <c r="C147" s="150" t="s">
        <v>157</v>
      </c>
      <c r="D147" s="149" t="s">
        <v>158</v>
      </c>
      <c r="E147" s="150" t="s">
        <v>159</v>
      </c>
      <c r="F147" s="159">
        <f t="shared" ref="F147:F150" si="187">G147+H147+I147</f>
      </c>
      <c r="G147" s="152">
        <v>2615.25</v>
      </c>
      <c r="H147" s="152">
        <v>2768.66</v>
      </c>
      <c r="I147" s="236">
        <v>0</v>
      </c>
      <c r="J147" s="236">
        <v>2</v>
      </c>
      <c r="K147" s="242">
        <v>3821.81</v>
      </c>
      <c r="L147" s="236">
        <v>4</v>
      </c>
      <c r="M147" s="236">
        <v>9547.83</v>
      </c>
      <c r="N147" s="155">
        <v>1</v>
      </c>
      <c r="O147" s="156">
        <f t="shared" si="46"/>
      </c>
      <c r="P147" s="155">
        <v>1</v>
      </c>
      <c r="Q147" s="156">
        <f t="shared" si="236"/>
      </c>
      <c r="R147" s="160">
        <f t="shared" ref="R147:R150" si="77">L147+J147</f>
      </c>
      <c r="S147" s="237">
        <f t="shared" ref="S147:S150" si="131">M147+K147</f>
      </c>
      <c r="T147" s="159">
        <f t="shared" si="234"/>
      </c>
      <c r="U147" s="159">
        <f t="shared" si="2"/>
      </c>
      <c r="V147" s="160">
        <f t="shared" si="0"/>
      </c>
      <c r="W147" s="155">
        <v>6</v>
      </c>
      <c r="X147" s="169">
        <f t="shared" si="6"/>
      </c>
      <c r="Y147" s="169">
        <f t="shared" si="4"/>
      </c>
      <c r="Z147" s="159">
        <f t="shared" si="232"/>
      </c>
      <c r="AA147" s="159">
        <f t="shared" si="47"/>
      </c>
      <c r="AB147" s="159">
        <f t="shared" si="237"/>
      </c>
      <c r="AC147" s="156">
        <f t="shared" si="235"/>
      </c>
      <c r="AD147" s="156">
        <f t="shared" si="3"/>
      </c>
      <c r="AE147" s="156">
        <f t="shared" si="1"/>
      </c>
      <c r="AF147" s="156">
        <f t="shared" si="7"/>
      </c>
      <c r="AG147" s="156">
        <f t="shared" si="5"/>
      </c>
      <c r="AH147" s="156">
        <f t="shared" si="233"/>
      </c>
      <c r="AI147" s="156">
        <f t="shared" si="48"/>
      </c>
      <c r="AJ147" s="155">
        <v>65</v>
      </c>
      <c r="AK147" s="160">
        <v>37124</v>
      </c>
      <c r="AL147" s="160">
        <v>739</v>
      </c>
      <c r="AM147" s="160">
        <v>801</v>
      </c>
      <c r="AN147" s="160">
        <v>152</v>
      </c>
      <c r="AO147" s="149">
        <v>42</v>
      </c>
      <c r="AP147" s="149">
        <v>171</v>
      </c>
      <c r="AQ147" s="150">
        <v>129</v>
      </c>
      <c r="AR147" s="149">
        <v>6</v>
      </c>
      <c r="AS147" s="149">
        <v>19</v>
      </c>
      <c r="AT147" s="160">
        <v>0</v>
      </c>
      <c r="AU147" s="160">
        <v>12</v>
      </c>
      <c r="AV147" s="207"/>
      <c r="AW147" s="165"/>
      <c r="AX147" s="197">
        <f t="shared" ref="AX147:AX150" si="268">COUNT(AU147)</f>
      </c>
    </row>
    <row r="148">
      <c r="A148" s="234"/>
      <c r="B148" s="149" t="s">
        <v>156</v>
      </c>
      <c r="C148" s="150" t="s">
        <v>157</v>
      </c>
      <c r="D148" s="149" t="s">
        <v>158</v>
      </c>
      <c r="E148" s="150" t="s">
        <v>160</v>
      </c>
      <c r="F148" s="159">
        <f t="shared" si="187"/>
      </c>
      <c r="G148" s="152">
        <v>2672.85</v>
      </c>
      <c r="H148" s="152">
        <v>3002.43</v>
      </c>
      <c r="I148" s="236">
        <v>0</v>
      </c>
      <c r="J148" s="236">
        <v>1</v>
      </c>
      <c r="K148" s="236">
        <v>1221.7</v>
      </c>
      <c r="L148" s="236">
        <v>2</v>
      </c>
      <c r="M148" s="236">
        <v>4367.93</v>
      </c>
      <c r="N148" s="155">
        <v>2</v>
      </c>
      <c r="O148" s="156">
        <f t="shared" si="46"/>
      </c>
      <c r="P148" s="155">
        <v>1</v>
      </c>
      <c r="Q148" s="156">
        <f t="shared" si="236"/>
      </c>
      <c r="R148" s="160">
        <f t="shared" si="77"/>
      </c>
      <c r="S148" s="237">
        <f t="shared" si="131"/>
      </c>
      <c r="T148" s="159">
        <f t="shared" si="234"/>
      </c>
      <c r="U148" s="159">
        <f t="shared" si="2"/>
      </c>
      <c r="V148" s="160">
        <f t="shared" si="0"/>
      </c>
      <c r="W148" s="155">
        <v>1</v>
      </c>
      <c r="X148" s="169">
        <f t="shared" si="6"/>
      </c>
      <c r="Y148" s="169">
        <f t="shared" si="4"/>
      </c>
      <c r="Z148" s="159">
        <f t="shared" si="232"/>
      </c>
      <c r="AA148" s="159">
        <f t="shared" si="47"/>
      </c>
      <c r="AB148" s="159">
        <f t="shared" si="237"/>
      </c>
      <c r="AC148" s="156">
        <f t="shared" si="235"/>
      </c>
      <c r="AD148" s="156">
        <f t="shared" si="3"/>
      </c>
      <c r="AE148" s="156">
        <f t="shared" si="1"/>
      </c>
      <c r="AF148" s="156">
        <f t="shared" si="7"/>
      </c>
      <c r="AG148" s="156">
        <f t="shared" si="5"/>
      </c>
      <c r="AH148" s="156">
        <f t="shared" si="233"/>
      </c>
      <c r="AI148" s="156">
        <f t="shared" si="48"/>
      </c>
      <c r="AJ148" s="155">
        <v>58</v>
      </c>
      <c r="AK148" s="160">
        <v>43975</v>
      </c>
      <c r="AL148" s="160">
        <v>919</v>
      </c>
      <c r="AM148" s="160">
        <v>975</v>
      </c>
      <c r="AN148" s="160">
        <v>145</v>
      </c>
      <c r="AO148" s="149">
        <v>40</v>
      </c>
      <c r="AP148" s="160">
        <v>132</v>
      </c>
      <c r="AQ148" s="150">
        <v>132</v>
      </c>
      <c r="AR148" s="149">
        <v>4</v>
      </c>
      <c r="AS148" s="160">
        <v>11</v>
      </c>
      <c r="AT148" s="160">
        <v>0</v>
      </c>
      <c r="AU148" s="160">
        <v>12</v>
      </c>
      <c r="AV148" s="207"/>
      <c r="AW148" s="165"/>
      <c r="AX148" s="197">
        <f t="shared" si="268"/>
      </c>
    </row>
    <row r="149">
      <c r="A149" s="234"/>
      <c r="B149" s="149" t="s">
        <v>156</v>
      </c>
      <c r="C149" s="150" t="s">
        <v>157</v>
      </c>
      <c r="D149" s="149" t="s">
        <v>158</v>
      </c>
      <c r="E149" s="150" t="s">
        <v>161</v>
      </c>
      <c r="F149" s="159">
        <f t="shared" si="187"/>
      </c>
      <c r="G149" s="152">
        <v>2598.64</v>
      </c>
      <c r="H149" s="152">
        <v>3277.22</v>
      </c>
      <c r="I149" s="236">
        <v>0</v>
      </c>
      <c r="J149" s="236">
        <v>2</v>
      </c>
      <c r="K149" s="236">
        <v>7721.040000000001</v>
      </c>
      <c r="L149" s="236">
        <v>3</v>
      </c>
      <c r="M149" s="236">
        <v>4608.909999999998</v>
      </c>
      <c r="N149" s="155">
        <v>1</v>
      </c>
      <c r="O149" s="156">
        <f t="shared" si="46"/>
      </c>
      <c r="P149" s="155">
        <v>1</v>
      </c>
      <c r="Q149" s="156">
        <f t="shared" si="236"/>
      </c>
      <c r="R149" s="160">
        <f t="shared" si="77"/>
      </c>
      <c r="S149" s="237">
        <f t="shared" si="131"/>
      </c>
      <c r="T149" s="159">
        <f t="shared" si="234"/>
      </c>
      <c r="U149" s="159">
        <f t="shared" si="2"/>
      </c>
      <c r="V149" s="169">
        <f t="shared" si="0"/>
      </c>
      <c r="W149" s="155">
        <v>4</v>
      </c>
      <c r="X149" s="169">
        <f t="shared" si="6"/>
      </c>
      <c r="Y149" s="169">
        <f t="shared" si="4"/>
      </c>
      <c r="Z149" s="159">
        <f t="shared" si="232"/>
      </c>
      <c r="AA149" s="159">
        <f t="shared" si="47"/>
      </c>
      <c r="AB149" s="159">
        <f t="shared" si="237"/>
      </c>
      <c r="AC149" s="156">
        <f t="shared" si="235"/>
      </c>
      <c r="AD149" s="156">
        <f t="shared" si="3"/>
      </c>
      <c r="AE149" s="156">
        <f t="shared" si="1"/>
      </c>
      <c r="AF149" s="156">
        <f t="shared" si="7"/>
      </c>
      <c r="AG149" s="156">
        <f t="shared" si="5"/>
      </c>
      <c r="AH149" s="156">
        <f t="shared" si="233"/>
      </c>
      <c r="AI149" s="156">
        <f t="shared" si="48"/>
      </c>
      <c r="AJ149" s="155">
        <v>57</v>
      </c>
      <c r="AK149" s="160">
        <v>38555</v>
      </c>
      <c r="AL149" s="160">
        <v>745</v>
      </c>
      <c r="AM149" s="160">
        <v>820</v>
      </c>
      <c r="AN149" s="160">
        <v>160</v>
      </c>
      <c r="AO149" s="149">
        <v>32</v>
      </c>
      <c r="AP149" s="160">
        <v>110</v>
      </c>
      <c r="AQ149" s="150">
        <v>138</v>
      </c>
      <c r="AR149" s="149">
        <v>5</v>
      </c>
      <c r="AS149" s="160">
        <v>16</v>
      </c>
      <c r="AT149" s="160">
        <v>1</v>
      </c>
      <c r="AU149" s="160">
        <v>8</v>
      </c>
      <c r="AV149" s="207"/>
      <c r="AW149" s="165"/>
      <c r="AX149" s="197">
        <f t="shared" si="268"/>
      </c>
    </row>
    <row r="150">
      <c r="A150" s="234"/>
      <c r="B150" s="149" t="s">
        <v>156</v>
      </c>
      <c r="C150" s="150" t="s">
        <v>157</v>
      </c>
      <c r="D150" s="149" t="s">
        <v>158</v>
      </c>
      <c r="E150" s="150" t="s">
        <v>164</v>
      </c>
      <c r="F150" s="159">
        <f t="shared" si="187"/>
      </c>
      <c r="G150" s="152">
        <v>3096.68</v>
      </c>
      <c r="H150" s="152">
        <v>2504.33</v>
      </c>
      <c r="I150" s="236">
        <v>0</v>
      </c>
      <c r="J150" s="236">
        <v>3</v>
      </c>
      <c r="K150" s="236">
        <v>3729.4000000000033</v>
      </c>
      <c r="L150" s="236">
        <v>4</v>
      </c>
      <c r="M150" s="236">
        <v>9719.57</v>
      </c>
      <c r="N150" s="155">
        <v>2</v>
      </c>
      <c r="O150" s="156">
        <f t="shared" si="46"/>
      </c>
      <c r="P150" s="155">
        <v>0</v>
      </c>
      <c r="Q150" s="156">
        <f t="shared" si="236"/>
      </c>
      <c r="R150" s="160">
        <f t="shared" si="77"/>
      </c>
      <c r="S150" s="237">
        <f t="shared" si="131"/>
      </c>
      <c r="T150" s="159">
        <f t="shared" si="234"/>
      </c>
      <c r="U150" s="159">
        <f t="shared" si="2"/>
      </c>
      <c r="V150" s="169">
        <f t="shared" si="0"/>
      </c>
      <c r="W150" s="155">
        <v>7</v>
      </c>
      <c r="X150" s="169">
        <f t="shared" si="6"/>
      </c>
      <c r="Y150" s="169">
        <f t="shared" si="4"/>
      </c>
      <c r="Z150" s="159">
        <f t="shared" si="232"/>
      </c>
      <c r="AA150" s="159">
        <f t="shared" si="47"/>
      </c>
      <c r="AB150" s="159">
        <f t="shared" si="237"/>
      </c>
      <c r="AC150" s="156">
        <f t="shared" si="235"/>
      </c>
      <c r="AD150" s="156">
        <f t="shared" si="3"/>
      </c>
      <c r="AE150" s="156">
        <f t="shared" si="1"/>
      </c>
      <c r="AF150" s="156">
        <f t="shared" si="7"/>
      </c>
      <c r="AG150" s="156">
        <f t="shared" si="5"/>
      </c>
      <c r="AH150" s="156">
        <f t="shared" si="233"/>
      </c>
      <c r="AI150" s="156">
        <f t="shared" si="48"/>
      </c>
      <c r="AJ150" s="155">
        <v>59</v>
      </c>
      <c r="AK150" s="160">
        <v>37829</v>
      </c>
      <c r="AL150" s="160">
        <v>943</v>
      </c>
      <c r="AM150" s="160">
        <v>1022</v>
      </c>
      <c r="AN150" s="160">
        <v>159</v>
      </c>
      <c r="AO150" s="149">
        <v>42</v>
      </c>
      <c r="AP150" s="155">
        <v>138</v>
      </c>
      <c r="AQ150" s="149">
        <v>146</v>
      </c>
      <c r="AR150" s="149">
        <v>7</v>
      </c>
      <c r="AS150" s="155">
        <v>12</v>
      </c>
      <c r="AT150" s="155">
        <v>1</v>
      </c>
      <c r="AU150" s="155">
        <v>10</v>
      </c>
      <c r="AV150" s="207"/>
      <c r="AW150" s="165"/>
      <c r="AX150" s="197">
        <f t="shared" si="268"/>
      </c>
    </row>
    <row r="151">
      <c r="A151" s="234"/>
      <c r="B151" s="171" t="s">
        <v>162</v>
      </c>
      <c r="C151" s="171"/>
      <c r="D151" s="171"/>
      <c r="E151" s="171"/>
      <c r="F151" s="173">
        <f>SUM(F147:F150)</f>
      </c>
      <c r="G151" s="173">
        <f>SUM(G147:G150)</f>
      </c>
      <c r="H151" s="173">
        <f>SUM(H147:H150)</f>
      </c>
      <c r="I151" s="173">
        <f>SUM(I147:I150)</f>
      </c>
      <c r="J151" s="173">
        <f>SUM(J147:J150)</f>
      </c>
      <c r="K151" s="173">
        <f>SUM(K147:K150)</f>
      </c>
      <c r="L151" s="173">
        <f>SUM(L147:L150)</f>
      </c>
      <c r="M151" s="173">
        <f>SUM(M147:M150)</f>
      </c>
      <c r="N151" s="173">
        <f>SUM(N147:N150)</f>
      </c>
      <c r="O151" s="175">
        <f t="shared" si="46"/>
      </c>
      <c r="P151" s="173">
        <f>SUM(P147:P150)</f>
      </c>
      <c r="Q151" s="175">
        <f t="shared" si="236"/>
      </c>
      <c r="R151" s="173">
        <f>SUM(R147:R150)</f>
      </c>
      <c r="S151" s="173">
        <f>SUM(S147:S150)</f>
      </c>
      <c r="T151" s="173">
        <f t="shared" si="234"/>
      </c>
      <c r="U151" s="173">
        <f t="shared" si="2"/>
      </c>
      <c r="V151" s="173">
        <f t="shared" si="0"/>
      </c>
      <c r="W151" s="173">
        <f>SUM(W147:W150)</f>
      </c>
      <c r="X151" s="194">
        <f t="shared" si="6"/>
      </c>
      <c r="Y151" s="194">
        <f t="shared" si="4"/>
      </c>
      <c r="Z151" s="173">
        <f t="shared" si="232"/>
      </c>
      <c r="AA151" s="173">
        <f t="shared" si="47"/>
      </c>
      <c r="AB151" s="238">
        <f t="shared" si="237"/>
      </c>
      <c r="AC151" s="175">
        <f t="shared" si="235"/>
      </c>
      <c r="AD151" s="175">
        <f t="shared" si="3"/>
      </c>
      <c r="AE151" s="175">
        <f t="shared" si="1"/>
      </c>
      <c r="AF151" s="175">
        <f t="shared" si="7"/>
      </c>
      <c r="AG151" s="175">
        <f t="shared" si="5"/>
      </c>
      <c r="AH151" s="175">
        <f t="shared" si="233"/>
      </c>
      <c r="AI151" s="175">
        <f t="shared" si="48"/>
      </c>
      <c r="AJ151" s="178">
        <f>AVERAGE(AJ147:AJ150)</f>
      </c>
      <c r="AK151" s="173">
        <f>SUM(AK147:AK150)</f>
      </c>
      <c r="AL151" s="173">
        <f>SUM(AL147:AL150)</f>
      </c>
      <c r="AM151" s="173">
        <f>SUM(AM147:AM150)</f>
      </c>
      <c r="AN151" s="173">
        <f>SUM(AN147:AN150)</f>
      </c>
      <c r="AO151" s="173">
        <f>SUM(AO147:AO150)</f>
      </c>
      <c r="AP151" s="173">
        <f>SUM(AP147:AP150)</f>
      </c>
      <c r="AQ151" s="173">
        <f>SUM(AQ147:AQ150)</f>
      </c>
      <c r="AR151" s="173">
        <f>SUM(AR147:AR150)</f>
      </c>
      <c r="AS151" s="173">
        <f>SUM(AS147:AS150)</f>
      </c>
      <c r="AT151" s="173">
        <f>SUM(AT147:AT150)</f>
      </c>
      <c r="AU151" s="173">
        <f>SUM(AU147:AU150)</f>
      </c>
      <c r="AV151" s="207"/>
      <c r="AW151" s="180"/>
      <c r="AX151" s="181">
        <f>SUM(AX147:AX150)</f>
      </c>
    </row>
    <row r="152">
      <c r="A152" s="234"/>
      <c r="B152" s="149" t="s">
        <v>156</v>
      </c>
      <c r="C152" s="150" t="s">
        <v>157</v>
      </c>
      <c r="D152" s="149" t="s">
        <v>169</v>
      </c>
      <c r="E152" s="150" t="s">
        <v>165</v>
      </c>
      <c r="F152" s="159">
        <f t="shared" ref="F152:F155" si="188">G152+H152+I152</f>
      </c>
      <c r="G152" s="152">
        <v>3641.75</v>
      </c>
      <c r="H152" s="152">
        <v>4147.84</v>
      </c>
      <c r="I152" s="236">
        <v>0</v>
      </c>
      <c r="J152" s="236">
        <v>1</v>
      </c>
      <c r="K152" s="236">
        <v>751.5499999999993</v>
      </c>
      <c r="L152" s="236">
        <v>4</v>
      </c>
      <c r="M152" s="236">
        <v>8648.909999999996</v>
      </c>
      <c r="N152" s="155">
        <v>2</v>
      </c>
      <c r="O152" s="156">
        <f t="shared" si="46"/>
      </c>
      <c r="P152" s="155">
        <v>0</v>
      </c>
      <c r="Q152" s="156">
        <f t="shared" si="236"/>
      </c>
      <c r="R152" s="160">
        <f t="shared" ref="R152:R155" si="78">L152+J152</f>
      </c>
      <c r="S152" s="237">
        <f t="shared" ref="S152:S155" si="132">M152+K152</f>
      </c>
      <c r="T152" s="159">
        <f t="shared" si="234"/>
      </c>
      <c r="U152" s="159">
        <f t="shared" si="2"/>
      </c>
      <c r="V152" s="169">
        <f t="shared" si="0"/>
      </c>
      <c r="W152" s="155">
        <v>5</v>
      </c>
      <c r="X152" s="169">
        <f t="shared" si="6"/>
      </c>
      <c r="Y152" s="169">
        <f t="shared" si="4"/>
      </c>
      <c r="Z152" s="159">
        <f t="shared" si="232"/>
      </c>
      <c r="AA152" s="159">
        <f t="shared" si="47"/>
      </c>
      <c r="AB152" s="159">
        <f t="shared" si="237"/>
      </c>
      <c r="AC152" s="156">
        <f t="shared" si="235"/>
      </c>
      <c r="AD152" s="156">
        <f t="shared" si="3"/>
      </c>
      <c r="AE152" s="156">
        <f t="shared" si="1"/>
      </c>
      <c r="AF152" s="156">
        <f t="shared" si="7"/>
      </c>
      <c r="AG152" s="156">
        <f t="shared" si="5"/>
      </c>
      <c r="AH152" s="156">
        <f t="shared" si="233"/>
      </c>
      <c r="AI152" s="156">
        <f t="shared" si="48"/>
      </c>
      <c r="AJ152" s="155">
        <v>60</v>
      </c>
      <c r="AK152" s="160">
        <v>60189</v>
      </c>
      <c r="AL152" s="160">
        <v>1277</v>
      </c>
      <c r="AM152" s="160">
        <v>1367</v>
      </c>
      <c r="AN152" s="160">
        <v>260</v>
      </c>
      <c r="AO152" s="149">
        <v>60</v>
      </c>
      <c r="AP152" s="160">
        <v>151</v>
      </c>
      <c r="AQ152" s="150">
        <v>208</v>
      </c>
      <c r="AR152" s="149">
        <v>8</v>
      </c>
      <c r="AS152" s="149">
        <v>24</v>
      </c>
      <c r="AT152" s="160">
        <v>5</v>
      </c>
      <c r="AU152" s="160">
        <v>15</v>
      </c>
      <c r="AV152" s="207"/>
      <c r="AW152" s="165"/>
      <c r="AX152" s="197">
        <f t="shared" ref="AX152:AX155" si="269">COUNT(AU152)</f>
      </c>
    </row>
    <row r="153">
      <c r="A153" s="234"/>
      <c r="B153" s="149" t="s">
        <v>156</v>
      </c>
      <c r="C153" s="150" t="s">
        <v>157</v>
      </c>
      <c r="D153" s="149" t="s">
        <v>169</v>
      </c>
      <c r="E153" s="149" t="s">
        <v>168</v>
      </c>
      <c r="F153" s="159">
        <f t="shared" si="188"/>
      </c>
      <c r="G153" s="152">
        <v>4082.41</v>
      </c>
      <c r="H153" s="152">
        <v>2634.99</v>
      </c>
      <c r="I153" s="236">
        <v>0</v>
      </c>
      <c r="J153" s="236">
        <v>1</v>
      </c>
      <c r="K153" s="236">
        <v>1286</v>
      </c>
      <c r="L153" s="236">
        <v>5</v>
      </c>
      <c r="M153" s="236">
        <v>10091.470000000001</v>
      </c>
      <c r="N153" s="155">
        <v>1</v>
      </c>
      <c r="O153" s="156">
        <f t="shared" si="46"/>
      </c>
      <c r="P153" s="155">
        <v>0</v>
      </c>
      <c r="Q153" s="156">
        <f t="shared" si="236"/>
      </c>
      <c r="R153" s="160">
        <f t="shared" si="78"/>
      </c>
      <c r="S153" s="237">
        <f t="shared" si="132"/>
      </c>
      <c r="T153" s="159">
        <f t="shared" si="234"/>
      </c>
      <c r="U153" s="159">
        <f t="shared" si="2"/>
      </c>
      <c r="V153" s="169">
        <f t="shared" si="0"/>
      </c>
      <c r="W153" s="155">
        <v>6</v>
      </c>
      <c r="X153" s="169">
        <f t="shared" si="6"/>
      </c>
      <c r="Y153" s="169">
        <f t="shared" si="4"/>
      </c>
      <c r="Z153" s="159">
        <f t="shared" si="232"/>
      </c>
      <c r="AA153" s="159">
        <f t="shared" si="47"/>
      </c>
      <c r="AB153" s="159">
        <f t="shared" si="237"/>
      </c>
      <c r="AC153" s="156">
        <f t="shared" si="235"/>
      </c>
      <c r="AD153" s="156">
        <f t="shared" si="3"/>
      </c>
      <c r="AE153" s="156">
        <f t="shared" si="1"/>
      </c>
      <c r="AF153" s="156">
        <f t="shared" si="7"/>
      </c>
      <c r="AG153" s="156">
        <f t="shared" si="5"/>
      </c>
      <c r="AH153" s="156">
        <f t="shared" si="233"/>
      </c>
      <c r="AI153" s="156">
        <f t="shared" si="48"/>
      </c>
      <c r="AJ153" s="155">
        <v>58</v>
      </c>
      <c r="AK153" s="160">
        <v>60680</v>
      </c>
      <c r="AL153" s="160">
        <v>1279</v>
      </c>
      <c r="AM153" s="160">
        <v>1367</v>
      </c>
      <c r="AN153" s="160">
        <v>263</v>
      </c>
      <c r="AO153" s="149">
        <v>59</v>
      </c>
      <c r="AP153" s="160">
        <v>122</v>
      </c>
      <c r="AQ153" s="150">
        <v>206</v>
      </c>
      <c r="AR153" s="149">
        <v>8</v>
      </c>
      <c r="AS153" s="149">
        <v>22</v>
      </c>
      <c r="AT153" s="160">
        <v>1</v>
      </c>
      <c r="AU153" s="160">
        <v>10</v>
      </c>
      <c r="AV153" s="207"/>
      <c r="AW153" s="165"/>
      <c r="AX153" s="197">
        <f t="shared" si="269"/>
      </c>
    </row>
    <row r="154">
      <c r="A154" s="234"/>
      <c r="B154" s="149" t="s">
        <v>156</v>
      </c>
      <c r="C154" s="150" t="s">
        <v>157</v>
      </c>
      <c r="D154" s="149" t="s">
        <v>169</v>
      </c>
      <c r="E154" s="149" t="s">
        <v>171</v>
      </c>
      <c r="F154" s="159">
        <f t="shared" si="188"/>
      </c>
      <c r="G154" s="152">
        <v>3122.06</v>
      </c>
      <c r="H154" s="152">
        <v>1812.76</v>
      </c>
      <c r="I154" s="236">
        <v>0</v>
      </c>
      <c r="J154" s="236">
        <v>1</v>
      </c>
      <c r="K154" s="236">
        <v>2965.1500000000015</v>
      </c>
      <c r="L154" s="236">
        <v>3</v>
      </c>
      <c r="M154" s="236">
        <v>4194.82</v>
      </c>
      <c r="N154" s="155">
        <v>1</v>
      </c>
      <c r="O154" s="156">
        <f t="shared" si="46"/>
      </c>
      <c r="P154" s="155">
        <v>1</v>
      </c>
      <c r="Q154" s="156">
        <f t="shared" si="236"/>
      </c>
      <c r="R154" s="160">
        <f t="shared" si="78"/>
      </c>
      <c r="S154" s="237">
        <f t="shared" si="132"/>
      </c>
      <c r="T154" s="159">
        <f t="shared" si="234"/>
      </c>
      <c r="U154" s="159">
        <f t="shared" si="2"/>
      </c>
      <c r="V154" s="169">
        <f t="shared" si="0"/>
      </c>
      <c r="W154" s="155">
        <v>3</v>
      </c>
      <c r="X154" s="169">
        <f t="shared" si="6"/>
      </c>
      <c r="Y154" s="169">
        <f t="shared" si="4"/>
      </c>
      <c r="Z154" s="159">
        <f t="shared" si="232"/>
      </c>
      <c r="AA154" s="159">
        <f t="shared" si="47"/>
      </c>
      <c r="AB154" s="159">
        <f t="shared" si="237"/>
      </c>
      <c r="AC154" s="156">
        <f t="shared" si="235"/>
      </c>
      <c r="AD154" s="156">
        <f t="shared" si="3"/>
      </c>
      <c r="AE154" s="156">
        <f t="shared" si="1"/>
      </c>
      <c r="AF154" s="156">
        <f t="shared" si="7"/>
      </c>
      <c r="AG154" s="156">
        <f t="shared" si="5"/>
      </c>
      <c r="AH154" s="156">
        <f t="shared" si="233"/>
      </c>
      <c r="AI154" s="156">
        <f t="shared" si="48"/>
      </c>
      <c r="AJ154" s="155">
        <v>59</v>
      </c>
      <c r="AK154" s="160">
        <v>43693</v>
      </c>
      <c r="AL154" s="160">
        <v>941</v>
      </c>
      <c r="AM154" s="160">
        <v>1020</v>
      </c>
      <c r="AN154" s="160">
        <v>194</v>
      </c>
      <c r="AO154" s="149">
        <v>44</v>
      </c>
      <c r="AP154" s="160">
        <v>139</v>
      </c>
      <c r="AQ154" s="150">
        <v>156</v>
      </c>
      <c r="AR154" s="149">
        <v>6</v>
      </c>
      <c r="AS154" s="155">
        <v>25</v>
      </c>
      <c r="AT154" s="160">
        <v>1</v>
      </c>
      <c r="AU154" s="160">
        <v>5</v>
      </c>
      <c r="AV154" s="207"/>
      <c r="AW154" s="165"/>
      <c r="AX154" s="197">
        <f t="shared" si="269"/>
      </c>
    </row>
    <row r="155">
      <c r="A155" s="234"/>
      <c r="B155" s="149" t="s">
        <v>156</v>
      </c>
      <c r="C155" s="150" t="s">
        <v>157</v>
      </c>
      <c r="D155" s="149" t="s">
        <v>169</v>
      </c>
      <c r="E155" s="149" t="s">
        <v>172</v>
      </c>
      <c r="F155" s="159">
        <f t="shared" si="188"/>
      </c>
      <c r="G155" s="152">
        <v>2173.18</v>
      </c>
      <c r="H155" s="152">
        <v>1129.83</v>
      </c>
      <c r="I155" s="236">
        <v>0</v>
      </c>
      <c r="J155" s="236">
        <v>0</v>
      </c>
      <c r="K155" s="236">
        <v>0</v>
      </c>
      <c r="L155" s="236">
        <v>3</v>
      </c>
      <c r="M155" s="236">
        <v>4623.6500000000015</v>
      </c>
      <c r="N155" s="155">
        <v>0</v>
      </c>
      <c r="O155" s="156">
        <f t="shared" si="46"/>
      </c>
      <c r="P155" s="155">
        <v>0</v>
      </c>
      <c r="Q155" s="156">
        <f t="shared" si="236"/>
      </c>
      <c r="R155" s="160">
        <f t="shared" si="78"/>
      </c>
      <c r="S155" s="237">
        <f t="shared" si="132"/>
      </c>
      <c r="T155" s="159">
        <f t="shared" si="234"/>
      </c>
      <c r="U155" s="159">
        <f t="shared" si="2"/>
      </c>
      <c r="V155" s="169">
        <f t="shared" si="0"/>
      </c>
      <c r="W155" s="155">
        <v>3</v>
      </c>
      <c r="X155" s="169">
        <f t="shared" si="6"/>
      </c>
      <c r="Y155" s="169">
        <f t="shared" si="4"/>
      </c>
      <c r="Z155" s="159">
        <f t="shared" si="232"/>
      </c>
      <c r="AA155" s="159">
        <f t="shared" si="47"/>
      </c>
      <c r="AB155" s="159">
        <f t="shared" si="237"/>
      </c>
      <c r="AC155" s="156">
        <f t="shared" si="235"/>
      </c>
      <c r="AD155" s="156">
        <f t="shared" si="3"/>
      </c>
      <c r="AE155" s="156">
        <f t="shared" si="1"/>
      </c>
      <c r="AF155" s="156">
        <f t="shared" si="7"/>
      </c>
      <c r="AG155" s="156">
        <f t="shared" si="5"/>
      </c>
      <c r="AH155" s="156">
        <f t="shared" si="233"/>
      </c>
      <c r="AI155" s="156">
        <f t="shared" si="48"/>
      </c>
      <c r="AJ155" s="155">
        <v>61</v>
      </c>
      <c r="AK155" s="160">
        <v>33213</v>
      </c>
      <c r="AL155" s="160">
        <v>846</v>
      </c>
      <c r="AM155" s="160">
        <v>952</v>
      </c>
      <c r="AN155" s="160">
        <v>132</v>
      </c>
      <c r="AO155" s="149">
        <v>27</v>
      </c>
      <c r="AP155" s="160">
        <v>95</v>
      </c>
      <c r="AQ155" s="150">
        <v>110</v>
      </c>
      <c r="AR155" s="149">
        <v>3</v>
      </c>
      <c r="AS155" s="160">
        <v>10</v>
      </c>
      <c r="AT155" s="160">
        <v>2</v>
      </c>
      <c r="AU155" s="155">
        <v>7</v>
      </c>
      <c r="AV155" s="207"/>
      <c r="AW155" s="165"/>
      <c r="AX155" s="197">
        <f t="shared" si="269"/>
      </c>
    </row>
    <row r="156">
      <c r="A156" s="234"/>
      <c r="B156" s="171" t="s">
        <v>162</v>
      </c>
      <c r="C156" s="171"/>
      <c r="D156" s="171"/>
      <c r="E156" s="171"/>
      <c r="F156" s="173">
        <f>SUM(F152:F155)</f>
      </c>
      <c r="G156" s="173">
        <f>SUM(G152:G155)</f>
      </c>
      <c r="H156" s="173">
        <f>SUM(H152:H155)</f>
      </c>
      <c r="I156" s="173">
        <f>SUM(I152:I155)</f>
      </c>
      <c r="J156" s="173">
        <f>SUM(J152:J155)</f>
      </c>
      <c r="K156" s="173">
        <f>SUM(K152:K155)</f>
      </c>
      <c r="L156" s="173">
        <f>SUM(L152:L155)</f>
      </c>
      <c r="M156" s="173">
        <f>SUM(M152:M155)</f>
      </c>
      <c r="N156" s="173">
        <f>SUM(N152:N155)</f>
      </c>
      <c r="O156" s="175">
        <f t="shared" si="46"/>
      </c>
      <c r="P156" s="173">
        <f>SUM(P152:P155)</f>
      </c>
      <c r="Q156" s="175">
        <f t="shared" si="236"/>
      </c>
      <c r="R156" s="173">
        <f>SUM(R152:R155)</f>
      </c>
      <c r="S156" s="173">
        <f>SUM(S152:S155)</f>
      </c>
      <c r="T156" s="173">
        <f t="shared" si="234"/>
      </c>
      <c r="U156" s="173">
        <f t="shared" si="2"/>
      </c>
      <c r="V156" s="194">
        <f t="shared" si="0"/>
      </c>
      <c r="W156" s="173">
        <f>SUM(W152:W155)</f>
      </c>
      <c r="X156" s="194">
        <f t="shared" si="6"/>
      </c>
      <c r="Y156" s="194">
        <f t="shared" si="4"/>
      </c>
      <c r="Z156" s="173">
        <f t="shared" si="232"/>
      </c>
      <c r="AA156" s="173">
        <f t="shared" si="47"/>
      </c>
      <c r="AB156" s="238">
        <f t="shared" si="237"/>
      </c>
      <c r="AC156" s="175">
        <f t="shared" si="235"/>
      </c>
      <c r="AD156" s="175">
        <f t="shared" si="3"/>
      </c>
      <c r="AE156" s="175">
        <f t="shared" si="1"/>
      </c>
      <c r="AF156" s="239">
        <f t="shared" si="7"/>
      </c>
      <c r="AG156" s="175">
        <f t="shared" si="5"/>
      </c>
      <c r="AH156" s="175">
        <f t="shared" si="233"/>
      </c>
      <c r="AI156" s="175">
        <f t="shared" si="48"/>
      </c>
      <c r="AJ156" s="178">
        <f>AVERAGE(AJ152:AJ155)</f>
      </c>
      <c r="AK156" s="173">
        <f>SUM(AK152:AK155)</f>
      </c>
      <c r="AL156" s="173">
        <f>SUM(AL152:AL155)</f>
      </c>
      <c r="AM156" s="173">
        <f>SUM(AM152:AM155)</f>
      </c>
      <c r="AN156" s="173">
        <f>SUM(AN152:AN155)</f>
      </c>
      <c r="AO156" s="173">
        <f>SUM(AO152:AO155)</f>
      </c>
      <c r="AP156" s="173">
        <f>SUM(AP152:AP155)</f>
      </c>
      <c r="AQ156" s="173">
        <f>SUM(AQ152:AQ155)</f>
      </c>
      <c r="AR156" s="173">
        <f>SUM(AR152:AR155)</f>
      </c>
      <c r="AS156" s="173">
        <f>SUM(AS152:AS155)</f>
      </c>
      <c r="AT156" s="173">
        <f>SUM(AT152:AT155)</f>
      </c>
      <c r="AU156" s="173">
        <f>SUM(AU152:AU155)</f>
      </c>
      <c r="AV156" s="207"/>
      <c r="AW156" s="180"/>
      <c r="AX156" s="181">
        <f>SUM(AX152:AX155)</f>
      </c>
    </row>
    <row r="157">
      <c r="A157" s="234"/>
      <c r="B157" s="184" t="s">
        <v>166</v>
      </c>
      <c r="C157" s="184"/>
      <c r="D157" s="184"/>
      <c r="E157" s="184"/>
      <c r="F157" s="185">
        <f>F151+F156</f>
      </c>
      <c r="G157" s="185">
        <f>G151+G156</f>
      </c>
      <c r="H157" s="185">
        <f>H151+H156</f>
      </c>
      <c r="I157" s="184">
        <f>I151+I156</f>
      </c>
      <c r="J157" s="184">
        <f>J151+J156</f>
      </c>
      <c r="K157" s="184">
        <f>K151+K156</f>
      </c>
      <c r="L157" s="184">
        <f>L151+L156</f>
      </c>
      <c r="M157" s="184">
        <f>M151+M156</f>
      </c>
      <c r="N157" s="184">
        <f>N151+N156</f>
      </c>
      <c r="O157" s="186">
        <f t="shared" si="46"/>
      </c>
      <c r="P157" s="184">
        <f>P151+P156</f>
      </c>
      <c r="Q157" s="186">
        <f t="shared" si="236"/>
      </c>
      <c r="R157" s="184">
        <f>R151+R156</f>
      </c>
      <c r="S157" s="240">
        <f>S151+S156</f>
      </c>
      <c r="T157" s="185">
        <f t="shared" si="234"/>
      </c>
      <c r="U157" s="185">
        <f t="shared" si="2"/>
      </c>
      <c r="V157" s="187">
        <f t="shared" si="0"/>
      </c>
      <c r="W157" s="184">
        <f>W151+W156</f>
      </c>
      <c r="X157" s="187">
        <f t="shared" si="6"/>
      </c>
      <c r="Y157" s="187">
        <f t="shared" si="4"/>
      </c>
      <c r="Z157" s="185">
        <f t="shared" si="232"/>
      </c>
      <c r="AA157" s="185">
        <f t="shared" si="47"/>
      </c>
      <c r="AB157" s="189">
        <f t="shared" si="237"/>
      </c>
      <c r="AC157" s="186">
        <f t="shared" si="235"/>
      </c>
      <c r="AD157" s="186">
        <f t="shared" si="3"/>
      </c>
      <c r="AE157" s="186">
        <f t="shared" si="1"/>
      </c>
      <c r="AF157" s="241">
        <f t="shared" si="7"/>
      </c>
      <c r="AG157" s="186">
        <f t="shared" si="5"/>
      </c>
      <c r="AH157" s="186">
        <f t="shared" si="233"/>
      </c>
      <c r="AI157" s="186">
        <f t="shared" si="48"/>
      </c>
      <c r="AJ157" s="190">
        <f>(AJ151+AJ156)/2</f>
      </c>
      <c r="AK157" s="184">
        <f>AK151+AK156</f>
      </c>
      <c r="AL157" s="184">
        <f>AL151+AL156</f>
      </c>
      <c r="AM157" s="184">
        <f>AM151+AM156</f>
      </c>
      <c r="AN157" s="184">
        <f>AN151+AN156</f>
      </c>
      <c r="AO157" s="184">
        <f>AO151+AO156</f>
      </c>
      <c r="AP157" s="184">
        <f>AP151+AP156</f>
      </c>
      <c r="AQ157" s="184">
        <f>AQ151+AQ156</f>
      </c>
      <c r="AR157" s="184">
        <f>AR151+AR156</f>
      </c>
      <c r="AS157" s="184">
        <f>AS151+AS156</f>
      </c>
      <c r="AT157" s="184">
        <f>AT151+AT156</f>
      </c>
      <c r="AU157" s="184">
        <f>AU151+AU156</f>
      </c>
      <c r="AV157" s="207"/>
      <c r="AW157" s="230">
        <f>AW151+AW156</f>
      </c>
      <c r="AX157" s="222">
        <f>AX151+AX156</f>
      </c>
    </row>
    <row r="158">
      <c r="A158" s="234">
        <v>46283</v>
      </c>
      <c r="B158" s="149" t="s">
        <v>156</v>
      </c>
      <c r="C158" s="150" t="s">
        <v>157</v>
      </c>
      <c r="D158" s="149" t="s">
        <v>158</v>
      </c>
      <c r="E158" s="150" t="s">
        <v>159</v>
      </c>
      <c r="F158" s="159">
        <f t="shared" ref="F158:F161" si="189">G158+H158+I158</f>
      </c>
      <c r="G158" s="152">
        <v>3462.67</v>
      </c>
      <c r="H158" s="152">
        <v>2525.72</v>
      </c>
      <c r="I158" s="236">
        <v>0</v>
      </c>
      <c r="J158" s="236">
        <v>0</v>
      </c>
      <c r="K158" s="242">
        <v>0</v>
      </c>
      <c r="L158" s="236">
        <v>4</v>
      </c>
      <c r="M158" s="236">
        <v>8253.6</v>
      </c>
      <c r="N158" s="155">
        <v>2</v>
      </c>
      <c r="O158" s="156">
        <f t="shared" si="46"/>
      </c>
      <c r="P158" s="155">
        <v>1</v>
      </c>
      <c r="Q158" s="156">
        <f t="shared" si="236"/>
      </c>
      <c r="R158" s="160">
        <f t="shared" ref="R158:R161" si="79">L158+J158</f>
      </c>
      <c r="S158" s="237">
        <f t="shared" ref="S158:S161" si="133">M158+K158</f>
      </c>
      <c r="T158" s="159">
        <f t="shared" si="234"/>
      </c>
      <c r="U158" s="159">
        <f t="shared" si="2"/>
      </c>
      <c r="V158" s="160">
        <f t="shared" si="0"/>
      </c>
      <c r="W158" s="155">
        <v>3</v>
      </c>
      <c r="X158" s="169">
        <f t="shared" si="6"/>
      </c>
      <c r="Y158" s="169">
        <f t="shared" si="4"/>
      </c>
      <c r="Z158" s="159">
        <f t="shared" si="232"/>
      </c>
      <c r="AA158" s="159">
        <f t="shared" si="47"/>
      </c>
      <c r="AB158" s="159">
        <f t="shared" si="237"/>
      </c>
      <c r="AC158" s="156">
        <f t="shared" si="235"/>
      </c>
      <c r="AD158" s="156">
        <f t="shared" si="3"/>
      </c>
      <c r="AE158" s="156">
        <f t="shared" si="1"/>
      </c>
      <c r="AF158" s="156">
        <f t="shared" si="7"/>
      </c>
      <c r="AG158" s="156">
        <f t="shared" si="5"/>
      </c>
      <c r="AH158" s="156">
        <f t="shared" si="233"/>
      </c>
      <c r="AI158" s="156">
        <f t="shared" si="48"/>
      </c>
      <c r="AJ158" s="155">
        <v>50</v>
      </c>
      <c r="AK158" s="160">
        <v>48016</v>
      </c>
      <c r="AL158" s="160">
        <v>900</v>
      </c>
      <c r="AM158" s="160">
        <v>964</v>
      </c>
      <c r="AN158" s="160">
        <v>177</v>
      </c>
      <c r="AO158" s="149">
        <v>50</v>
      </c>
      <c r="AP158" s="149">
        <v>126</v>
      </c>
      <c r="AQ158" s="150">
        <v>151</v>
      </c>
      <c r="AR158" s="149">
        <v>6</v>
      </c>
      <c r="AS158" s="149">
        <v>15</v>
      </c>
      <c r="AT158" s="160">
        <v>1</v>
      </c>
      <c r="AU158" s="160">
        <v>10</v>
      </c>
      <c r="AV158" s="207"/>
      <c r="AW158" s="165"/>
      <c r="AX158" s="197">
        <f t="shared" ref="AX158:AX161" si="270">COUNT(AU158)</f>
      </c>
    </row>
    <row r="159">
      <c r="A159" s="234"/>
      <c r="B159" s="149" t="s">
        <v>156</v>
      </c>
      <c r="C159" s="150" t="s">
        <v>157</v>
      </c>
      <c r="D159" s="149" t="s">
        <v>158</v>
      </c>
      <c r="E159" s="150" t="s">
        <v>160</v>
      </c>
      <c r="F159" s="159">
        <f t="shared" si="189"/>
      </c>
      <c r="G159" s="152">
        <v>2381.95</v>
      </c>
      <c r="H159" s="152">
        <v>2347.85</v>
      </c>
      <c r="I159" s="236">
        <v>0</v>
      </c>
      <c r="J159" s="236">
        <v>0</v>
      </c>
      <c r="K159" s="236">
        <v>0</v>
      </c>
      <c r="L159" s="236">
        <v>6</v>
      </c>
      <c r="M159" s="236">
        <v>15785.749999999998</v>
      </c>
      <c r="N159" s="155">
        <v>0</v>
      </c>
      <c r="O159" s="156">
        <f t="shared" si="46"/>
      </c>
      <c r="P159" s="155">
        <v>1</v>
      </c>
      <c r="Q159" s="156">
        <f t="shared" si="236"/>
      </c>
      <c r="R159" s="160">
        <f t="shared" si="79"/>
      </c>
      <c r="S159" s="237">
        <f t="shared" si="133"/>
      </c>
      <c r="T159" s="159">
        <f t="shared" si="234"/>
      </c>
      <c r="U159" s="159">
        <f t="shared" si="2"/>
      </c>
      <c r="V159" s="160">
        <f t="shared" si="0"/>
      </c>
      <c r="W159" s="155">
        <v>5</v>
      </c>
      <c r="X159" s="169">
        <f t="shared" si="6"/>
      </c>
      <c r="Y159" s="169">
        <f t="shared" si="4"/>
      </c>
      <c r="Z159" s="159">
        <f t="shared" si="232"/>
      </c>
      <c r="AA159" s="159">
        <f t="shared" si="47"/>
      </c>
      <c r="AB159" s="159">
        <f t="shared" si="237"/>
      </c>
      <c r="AC159" s="156">
        <f t="shared" si="235"/>
      </c>
      <c r="AD159" s="156">
        <f t="shared" si="3"/>
      </c>
      <c r="AE159" s="156">
        <f t="shared" si="1"/>
      </c>
      <c r="AF159" s="156">
        <f t="shared" si="7"/>
      </c>
      <c r="AG159" s="156">
        <f t="shared" si="5"/>
      </c>
      <c r="AH159" s="156">
        <f t="shared" si="233"/>
      </c>
      <c r="AI159" s="156">
        <f t="shared" si="48"/>
      </c>
      <c r="AJ159" s="155">
        <v>52</v>
      </c>
      <c r="AK159" s="160">
        <v>31488</v>
      </c>
      <c r="AL159" s="160">
        <v>695</v>
      </c>
      <c r="AM159" s="160">
        <v>761</v>
      </c>
      <c r="AN159" s="160">
        <v>162</v>
      </c>
      <c r="AO159" s="149">
        <v>33</v>
      </c>
      <c r="AP159" s="160">
        <v>132</v>
      </c>
      <c r="AQ159" s="150">
        <v>142</v>
      </c>
      <c r="AR159" s="149">
        <v>6</v>
      </c>
      <c r="AS159" s="160">
        <v>12</v>
      </c>
      <c r="AT159" s="160">
        <v>1</v>
      </c>
      <c r="AU159" s="160">
        <v>8</v>
      </c>
      <c r="AV159" s="207"/>
      <c r="AW159" s="165"/>
      <c r="AX159" s="197">
        <f t="shared" si="270"/>
      </c>
    </row>
    <row r="160">
      <c r="A160" s="234"/>
      <c r="B160" s="149" t="s">
        <v>156</v>
      </c>
      <c r="C160" s="150" t="s">
        <v>157</v>
      </c>
      <c r="D160" s="149" t="s">
        <v>158</v>
      </c>
      <c r="E160" s="150" t="s">
        <v>161</v>
      </c>
      <c r="F160" s="159">
        <f t="shared" si="189"/>
      </c>
      <c r="G160" s="152">
        <v>2606.91</v>
      </c>
      <c r="H160" s="152">
        <v>2332.91</v>
      </c>
      <c r="I160" s="236">
        <v>0</v>
      </c>
      <c r="J160" s="236">
        <v>0</v>
      </c>
      <c r="K160" s="236">
        <v>0</v>
      </c>
      <c r="L160" s="236">
        <v>3</v>
      </c>
      <c r="M160" s="236">
        <v>4765.350000000002</v>
      </c>
      <c r="N160" s="155">
        <v>0</v>
      </c>
      <c r="O160" s="156">
        <f t="shared" si="46"/>
      </c>
      <c r="P160" s="155">
        <v>0</v>
      </c>
      <c r="Q160" s="156">
        <f t="shared" si="236"/>
      </c>
      <c r="R160" s="160">
        <f t="shared" si="79"/>
      </c>
      <c r="S160" s="237">
        <f t="shared" si="133"/>
      </c>
      <c r="T160" s="159">
        <f t="shared" si="234"/>
      </c>
      <c r="U160" s="159">
        <f t="shared" si="2"/>
      </c>
      <c r="V160" s="169">
        <f t="shared" si="0"/>
      </c>
      <c r="W160" s="155">
        <v>3</v>
      </c>
      <c r="X160" s="169">
        <f t="shared" si="6"/>
      </c>
      <c r="Y160" s="169">
        <f t="shared" si="4"/>
      </c>
      <c r="Z160" s="159">
        <f t="shared" si="232"/>
      </c>
      <c r="AA160" s="159">
        <f t="shared" si="47"/>
      </c>
      <c r="AB160" s="159">
        <f t="shared" si="237"/>
      </c>
      <c r="AC160" s="156">
        <f t="shared" si="235"/>
      </c>
      <c r="AD160" s="156">
        <f t="shared" si="3"/>
      </c>
      <c r="AE160" s="156">
        <f t="shared" si="1"/>
      </c>
      <c r="AF160" s="156">
        <f t="shared" si="7"/>
      </c>
      <c r="AG160" s="156">
        <f t="shared" si="5"/>
      </c>
      <c r="AH160" s="156">
        <f t="shared" si="233"/>
      </c>
      <c r="AI160" s="156">
        <f t="shared" si="48"/>
      </c>
      <c r="AJ160" s="155">
        <v>54</v>
      </c>
      <c r="AK160" s="160">
        <v>36292</v>
      </c>
      <c r="AL160" s="160">
        <v>778</v>
      </c>
      <c r="AM160" s="160">
        <v>853</v>
      </c>
      <c r="AN160" s="160">
        <v>141</v>
      </c>
      <c r="AO160" s="149">
        <v>43</v>
      </c>
      <c r="AP160" s="160">
        <v>135</v>
      </c>
      <c r="AQ160" s="150">
        <v>126</v>
      </c>
      <c r="AR160" s="149">
        <v>4</v>
      </c>
      <c r="AS160" s="160">
        <v>8</v>
      </c>
      <c r="AT160" s="160">
        <v>2</v>
      </c>
      <c r="AU160" s="160">
        <v>11</v>
      </c>
      <c r="AV160" s="207"/>
      <c r="AW160" s="165"/>
      <c r="AX160" s="197">
        <f t="shared" si="270"/>
      </c>
    </row>
    <row r="161">
      <c r="A161" s="234"/>
      <c r="B161" s="149" t="s">
        <v>156</v>
      </c>
      <c r="C161" s="150" t="s">
        <v>157</v>
      </c>
      <c r="D161" s="149" t="s">
        <v>158</v>
      </c>
      <c r="E161" s="150" t="s">
        <v>164</v>
      </c>
      <c r="F161" s="159">
        <f t="shared" si="189"/>
      </c>
      <c r="G161" s="152">
        <v>3341.38</v>
      </c>
      <c r="H161" s="152">
        <v>2060.23</v>
      </c>
      <c r="I161" s="236">
        <v>0</v>
      </c>
      <c r="J161" s="236">
        <v>2</v>
      </c>
      <c r="K161" s="236">
        <v>2201.63</v>
      </c>
      <c r="L161" s="236">
        <v>5</v>
      </c>
      <c r="M161" s="236">
        <v>14874.719999999998</v>
      </c>
      <c r="N161" s="155">
        <v>2</v>
      </c>
      <c r="O161" s="156">
        <f t="shared" si="46"/>
      </c>
      <c r="P161" s="155">
        <v>2</v>
      </c>
      <c r="Q161" s="156">
        <f t="shared" si="236"/>
      </c>
      <c r="R161" s="160">
        <f t="shared" si="79"/>
      </c>
      <c r="S161" s="237">
        <f t="shared" si="133"/>
      </c>
      <c r="T161" s="159">
        <f t="shared" si="234"/>
      </c>
      <c r="U161" s="159">
        <f t="shared" si="2"/>
      </c>
      <c r="V161" s="169">
        <f t="shared" si="0"/>
      </c>
      <c r="W161" s="155">
        <v>3</v>
      </c>
      <c r="X161" s="169">
        <f t="shared" si="6"/>
      </c>
      <c r="Y161" s="169">
        <f t="shared" si="4"/>
      </c>
      <c r="Z161" s="159">
        <f t="shared" si="232"/>
      </c>
      <c r="AA161" s="159">
        <f t="shared" si="47"/>
      </c>
      <c r="AB161" s="159">
        <f t="shared" si="237"/>
      </c>
      <c r="AC161" s="156">
        <f t="shared" si="235"/>
      </c>
      <c r="AD161" s="156">
        <f t="shared" si="3"/>
      </c>
      <c r="AE161" s="156">
        <f t="shared" si="1"/>
      </c>
      <c r="AF161" s="156">
        <f t="shared" si="7"/>
      </c>
      <c r="AG161" s="156">
        <f t="shared" si="5"/>
      </c>
      <c r="AH161" s="156">
        <f t="shared" si="233"/>
      </c>
      <c r="AI161" s="156">
        <f t="shared" si="48"/>
      </c>
      <c r="AJ161" s="155">
        <v>53</v>
      </c>
      <c r="AK161" s="160">
        <v>44652</v>
      </c>
      <c r="AL161" s="160">
        <v>921</v>
      </c>
      <c r="AM161" s="160">
        <v>994</v>
      </c>
      <c r="AN161" s="160">
        <v>155</v>
      </c>
      <c r="AO161" s="149">
        <v>39</v>
      </c>
      <c r="AP161" s="155">
        <v>105</v>
      </c>
      <c r="AQ161" s="149">
        <v>109</v>
      </c>
      <c r="AR161" s="149">
        <v>8</v>
      </c>
      <c r="AS161" s="155">
        <v>20</v>
      </c>
      <c r="AT161" s="155">
        <v>1</v>
      </c>
      <c r="AU161" s="155">
        <v>9</v>
      </c>
      <c r="AV161" s="207"/>
      <c r="AW161" s="165"/>
      <c r="AX161" s="197">
        <f t="shared" si="270"/>
      </c>
    </row>
    <row r="162">
      <c r="A162" s="234"/>
      <c r="B162" s="171" t="s">
        <v>162</v>
      </c>
      <c r="C162" s="171"/>
      <c r="D162" s="171"/>
      <c r="E162" s="171"/>
      <c r="F162" s="173">
        <f>SUM(F158:F161)</f>
      </c>
      <c r="G162" s="173">
        <f>SUM(G158:G161)</f>
      </c>
      <c r="H162" s="173">
        <f>SUM(H158:H161)</f>
      </c>
      <c r="I162" s="173">
        <f>SUM(I158:I161)</f>
      </c>
      <c r="J162" s="173">
        <f>SUM(J158:J161)</f>
      </c>
      <c r="K162" s="173">
        <f>SUM(K158:K161)</f>
      </c>
      <c r="L162" s="173">
        <f>SUM(L158:L161)</f>
      </c>
      <c r="M162" s="173">
        <f>SUM(M158:M161)</f>
      </c>
      <c r="N162" s="173">
        <f>SUM(N158:N161)</f>
      </c>
      <c r="O162" s="175">
        <f t="shared" si="46"/>
      </c>
      <c r="P162" s="173">
        <f>SUM(P158:P161)</f>
      </c>
      <c r="Q162" s="175">
        <f t="shared" si="236"/>
      </c>
      <c r="R162" s="173">
        <f>SUM(R158:R161)</f>
      </c>
      <c r="S162" s="173">
        <f>SUM(S158:S161)</f>
      </c>
      <c r="T162" s="173">
        <f t="shared" si="234"/>
      </c>
      <c r="U162" s="173">
        <f t="shared" si="2"/>
      </c>
      <c r="V162" s="173">
        <f t="shared" si="0"/>
      </c>
      <c r="W162" s="173">
        <f>SUM(W158:W161)</f>
      </c>
      <c r="X162" s="194">
        <f t="shared" si="6"/>
      </c>
      <c r="Y162" s="194">
        <f t="shared" si="4"/>
      </c>
      <c r="Z162" s="173">
        <f t="shared" si="232"/>
      </c>
      <c r="AA162" s="173">
        <f t="shared" si="47"/>
      </c>
      <c r="AB162" s="238">
        <f t="shared" si="237"/>
      </c>
      <c r="AC162" s="175">
        <f t="shared" si="235"/>
      </c>
      <c r="AD162" s="175">
        <f t="shared" si="3"/>
      </c>
      <c r="AE162" s="175">
        <f t="shared" si="1"/>
      </c>
      <c r="AF162" s="175">
        <f t="shared" si="7"/>
      </c>
      <c r="AG162" s="175">
        <f t="shared" si="5"/>
      </c>
      <c r="AH162" s="175">
        <f t="shared" si="233"/>
      </c>
      <c r="AI162" s="175">
        <f t="shared" si="48"/>
      </c>
      <c r="AJ162" s="178">
        <f>AVERAGE(AJ158:AJ161)</f>
      </c>
      <c r="AK162" s="173">
        <f>SUM(AK158:AK161)</f>
      </c>
      <c r="AL162" s="173">
        <f>SUM(AL158:AL161)</f>
      </c>
      <c r="AM162" s="173">
        <f>SUM(AM158:AM161)</f>
      </c>
      <c r="AN162" s="173">
        <f>SUM(AN158:AN161)</f>
      </c>
      <c r="AO162" s="173">
        <f>SUM(AO158:AO161)</f>
      </c>
      <c r="AP162" s="173">
        <f>SUM(AP158:AP161)</f>
      </c>
      <c r="AQ162" s="173">
        <f>SUM(AQ158:AQ161)</f>
      </c>
      <c r="AR162" s="173">
        <f>SUM(AR158:AR161)</f>
      </c>
      <c r="AS162" s="173">
        <f>SUM(AS158:AS161)</f>
      </c>
      <c r="AT162" s="173">
        <f>SUM(AT158:AT161)</f>
      </c>
      <c r="AU162" s="173">
        <f>SUM(AU158:AU161)</f>
      </c>
      <c r="AV162" s="207"/>
      <c r="AW162" s="180"/>
      <c r="AX162" s="181">
        <f>SUM(AX158:AX161)</f>
      </c>
    </row>
    <row r="163">
      <c r="A163" s="234"/>
      <c r="B163" s="149" t="s">
        <v>156</v>
      </c>
      <c r="C163" s="150" t="s">
        <v>157</v>
      </c>
      <c r="D163" s="149" t="s">
        <v>163</v>
      </c>
      <c r="E163" s="150" t="s">
        <v>165</v>
      </c>
      <c r="F163" s="159">
        <f t="shared" ref="F163:F166" si="190">G163+H163+I163</f>
      </c>
      <c r="G163" s="152">
        <v>3380.18</v>
      </c>
      <c r="H163" s="152">
        <v>1850.51</v>
      </c>
      <c r="I163" s="236">
        <v>0</v>
      </c>
      <c r="J163" s="236">
        <v>1</v>
      </c>
      <c r="K163" s="236">
        <v>843.0299999999997</v>
      </c>
      <c r="L163" s="236">
        <v>6</v>
      </c>
      <c r="M163" s="236">
        <v>14291.93</v>
      </c>
      <c r="N163" s="155">
        <v>3</v>
      </c>
      <c r="O163" s="156">
        <f t="shared" si="46"/>
      </c>
      <c r="P163" s="155">
        <v>1</v>
      </c>
      <c r="Q163" s="156">
        <f t="shared" si="236"/>
      </c>
      <c r="R163" s="160">
        <f t="shared" ref="R163:R166" si="80">L163+J163</f>
      </c>
      <c r="S163" s="237">
        <f t="shared" ref="S163:S166" si="134">M163+K163</f>
      </c>
      <c r="T163" s="159">
        <f t="shared" si="234"/>
      </c>
      <c r="U163" s="159">
        <f t="shared" si="2"/>
      </c>
      <c r="V163" s="169">
        <f t="shared" si="0"/>
      </c>
      <c r="W163" s="155">
        <v>7</v>
      </c>
      <c r="X163" s="169">
        <f t="shared" si="6"/>
      </c>
      <c r="Y163" s="169">
        <f t="shared" si="4"/>
      </c>
      <c r="Z163" s="159">
        <f t="shared" si="232"/>
      </c>
      <c r="AA163" s="159">
        <f t="shared" si="47"/>
      </c>
      <c r="AB163" s="159">
        <f t="shared" si="237"/>
      </c>
      <c r="AC163" s="156">
        <f t="shared" si="235"/>
      </c>
      <c r="AD163" s="156">
        <f t="shared" si="3"/>
      </c>
      <c r="AE163" s="156">
        <f t="shared" si="1"/>
      </c>
      <c r="AF163" s="156">
        <f t="shared" si="7"/>
      </c>
      <c r="AG163" s="156">
        <f t="shared" si="5"/>
      </c>
      <c r="AH163" s="156">
        <f t="shared" si="233"/>
      </c>
      <c r="AI163" s="156">
        <f t="shared" si="48"/>
      </c>
      <c r="AJ163" s="155">
        <v>57</v>
      </c>
      <c r="AK163" s="160">
        <v>41082</v>
      </c>
      <c r="AL163" s="160">
        <v>906</v>
      </c>
      <c r="AM163" s="160">
        <v>1002</v>
      </c>
      <c r="AN163" s="160">
        <v>169</v>
      </c>
      <c r="AO163" s="149">
        <v>35</v>
      </c>
      <c r="AP163" s="160">
        <v>130</v>
      </c>
      <c r="AQ163" s="150">
        <v>156</v>
      </c>
      <c r="AR163" s="149">
        <v>7</v>
      </c>
      <c r="AS163" s="149">
        <v>16</v>
      </c>
      <c r="AT163" s="160">
        <v>1</v>
      </c>
      <c r="AU163" s="160">
        <v>9</v>
      </c>
      <c r="AV163" s="207"/>
      <c r="AW163" s="165"/>
      <c r="AX163" s="197">
        <f t="shared" ref="AX163:AX166" si="271">COUNT(AU163)</f>
      </c>
    </row>
    <row r="164">
      <c r="A164" s="234"/>
      <c r="B164" s="149" t="s">
        <v>156</v>
      </c>
      <c r="C164" s="150" t="s">
        <v>157</v>
      </c>
      <c r="D164" s="149" t="s">
        <v>163</v>
      </c>
      <c r="E164" s="149" t="s">
        <v>168</v>
      </c>
      <c r="F164" s="159">
        <f t="shared" si="190"/>
      </c>
      <c r="G164" s="152">
        <v>4138.6</v>
      </c>
      <c r="H164" s="152">
        <v>3068.9</v>
      </c>
      <c r="I164" s="236">
        <v>0</v>
      </c>
      <c r="J164" s="236">
        <v>0</v>
      </c>
      <c r="K164" s="236">
        <v>0</v>
      </c>
      <c r="L164" s="236">
        <v>3</v>
      </c>
      <c r="M164" s="236">
        <v>4695.8499999999985</v>
      </c>
      <c r="N164" s="155">
        <v>0</v>
      </c>
      <c r="O164" s="156">
        <f t="shared" si="46"/>
      </c>
      <c r="P164" s="155">
        <v>0</v>
      </c>
      <c r="Q164" s="156">
        <f t="shared" si="236"/>
      </c>
      <c r="R164" s="160">
        <f t="shared" si="80"/>
      </c>
      <c r="S164" s="237">
        <f t="shared" si="134"/>
      </c>
      <c r="T164" s="159">
        <f t="shared" si="234"/>
      </c>
      <c r="U164" s="159">
        <f t="shared" si="2"/>
      </c>
      <c r="V164" s="169">
        <f t="shared" si="0"/>
      </c>
      <c r="W164" s="155">
        <v>3</v>
      </c>
      <c r="X164" s="169">
        <f t="shared" si="6"/>
      </c>
      <c r="Y164" s="169">
        <f t="shared" si="4"/>
      </c>
      <c r="Z164" s="159">
        <f t="shared" si="232"/>
      </c>
      <c r="AA164" s="159">
        <f t="shared" si="47"/>
      </c>
      <c r="AB164" s="159">
        <f t="shared" si="237"/>
      </c>
      <c r="AC164" s="156">
        <f t="shared" si="235"/>
      </c>
      <c r="AD164" s="156">
        <f t="shared" si="3"/>
      </c>
      <c r="AE164" s="156">
        <f t="shared" si="1"/>
      </c>
      <c r="AF164" s="156">
        <f t="shared" si="7"/>
      </c>
      <c r="AG164" s="156">
        <f t="shared" si="5"/>
      </c>
      <c r="AH164" s="156">
        <f t="shared" si="233"/>
      </c>
      <c r="AI164" s="156">
        <f t="shared" si="48"/>
      </c>
      <c r="AJ164" s="155">
        <v>58</v>
      </c>
      <c r="AK164" s="160">
        <v>56582</v>
      </c>
      <c r="AL164" s="160">
        <v>1261</v>
      </c>
      <c r="AM164" s="160">
        <v>1388</v>
      </c>
      <c r="AN164" s="160">
        <v>193</v>
      </c>
      <c r="AO164" s="149">
        <v>49</v>
      </c>
      <c r="AP164" s="160">
        <v>136</v>
      </c>
      <c r="AQ164" s="150">
        <v>186</v>
      </c>
      <c r="AR164" s="149">
        <v>4</v>
      </c>
      <c r="AS164" s="149">
        <v>17</v>
      </c>
      <c r="AT164" s="160">
        <v>2</v>
      </c>
      <c r="AU164" s="160">
        <v>11</v>
      </c>
      <c r="AV164" s="207"/>
      <c r="AW164" s="165"/>
      <c r="AX164" s="197">
        <f t="shared" si="271"/>
      </c>
    </row>
    <row r="165">
      <c r="A165" s="234"/>
      <c r="B165" s="149" t="s">
        <v>156</v>
      </c>
      <c r="C165" s="150" t="s">
        <v>157</v>
      </c>
      <c r="D165" s="149" t="s">
        <v>163</v>
      </c>
      <c r="E165" s="149" t="s">
        <v>171</v>
      </c>
      <c r="F165" s="159">
        <f t="shared" si="190"/>
      </c>
      <c r="G165" s="152">
        <v>3397.19</v>
      </c>
      <c r="H165" s="152">
        <v>4599.06</v>
      </c>
      <c r="I165" s="236">
        <v>0</v>
      </c>
      <c r="J165" s="236">
        <v>2</v>
      </c>
      <c r="K165" s="236">
        <v>2503.16</v>
      </c>
      <c r="L165" s="236">
        <v>3</v>
      </c>
      <c r="M165" s="236">
        <v>4908.940000000002</v>
      </c>
      <c r="N165" s="155">
        <v>3</v>
      </c>
      <c r="O165" s="156">
        <f t="shared" si="46"/>
      </c>
      <c r="P165" s="155">
        <v>1</v>
      </c>
      <c r="Q165" s="156">
        <f t="shared" si="236"/>
      </c>
      <c r="R165" s="160">
        <f t="shared" si="80"/>
      </c>
      <c r="S165" s="237">
        <f t="shared" si="134"/>
      </c>
      <c r="T165" s="159">
        <f t="shared" si="234"/>
      </c>
      <c r="U165" s="159">
        <f t="shared" si="2"/>
      </c>
      <c r="V165" s="169">
        <f t="shared" si="0"/>
      </c>
      <c r="W165" s="155">
        <v>3</v>
      </c>
      <c r="X165" s="169">
        <f t="shared" si="6"/>
      </c>
      <c r="Y165" s="169">
        <f t="shared" si="4"/>
      </c>
      <c r="Z165" s="159">
        <f t="shared" si="232"/>
      </c>
      <c r="AA165" s="159">
        <f t="shared" si="47"/>
      </c>
      <c r="AB165" s="159">
        <f t="shared" si="237"/>
      </c>
      <c r="AC165" s="156">
        <f t="shared" si="235"/>
      </c>
      <c r="AD165" s="156">
        <f t="shared" si="3"/>
      </c>
      <c r="AE165" s="156">
        <f t="shared" si="1"/>
      </c>
      <c r="AF165" s="156">
        <f t="shared" si="7"/>
      </c>
      <c r="AG165" s="156">
        <f t="shared" si="5"/>
      </c>
      <c r="AH165" s="156">
        <f t="shared" si="233"/>
      </c>
      <c r="AI165" s="156">
        <f t="shared" si="48"/>
      </c>
      <c r="AJ165" s="155">
        <v>58</v>
      </c>
      <c r="AK165" s="160">
        <v>65530</v>
      </c>
      <c r="AL165" s="160">
        <v>1350</v>
      </c>
      <c r="AM165" s="160">
        <v>1495</v>
      </c>
      <c r="AN165" s="160">
        <v>197</v>
      </c>
      <c r="AO165" s="149">
        <v>56</v>
      </c>
      <c r="AP165" s="160">
        <v>183</v>
      </c>
      <c r="AQ165" s="150">
        <v>218</v>
      </c>
      <c r="AR165" s="149">
        <v>6</v>
      </c>
      <c r="AS165" s="155">
        <v>19</v>
      </c>
      <c r="AT165" s="160">
        <v>0</v>
      </c>
      <c r="AU165" s="160">
        <v>16</v>
      </c>
      <c r="AV165" s="207"/>
      <c r="AW165" s="165"/>
      <c r="AX165" s="197">
        <f t="shared" si="271"/>
      </c>
    </row>
    <row r="166">
      <c r="A166" s="234"/>
      <c r="B166" s="149" t="s">
        <v>156</v>
      </c>
      <c r="C166" s="150" t="s">
        <v>157</v>
      </c>
      <c r="D166" s="149" t="s">
        <v>163</v>
      </c>
      <c r="E166" s="149" t="s">
        <v>172</v>
      </c>
      <c r="F166" s="159">
        <f t="shared" si="190"/>
      </c>
      <c r="G166" s="152">
        <v>1705.68</v>
      </c>
      <c r="H166" s="152">
        <v>1640.56</v>
      </c>
      <c r="I166" s="236">
        <v>0</v>
      </c>
      <c r="J166" s="236">
        <v>1</v>
      </c>
      <c r="K166" s="236">
        <v>846.0000000000009</v>
      </c>
      <c r="L166" s="236">
        <v>1</v>
      </c>
      <c r="M166" s="236">
        <v>1299.5999999999913</v>
      </c>
      <c r="N166" s="155">
        <v>1</v>
      </c>
      <c r="O166" s="156">
        <f t="shared" si="46"/>
      </c>
      <c r="P166" s="155">
        <v>0</v>
      </c>
      <c r="Q166" s="156">
        <f t="shared" si="236"/>
      </c>
      <c r="R166" s="160">
        <f t="shared" si="80"/>
      </c>
      <c r="S166" s="237">
        <f t="shared" si="134"/>
      </c>
      <c r="T166" s="159">
        <f t="shared" si="234"/>
      </c>
      <c r="U166" s="159">
        <f t="shared" si="2"/>
      </c>
      <c r="V166" s="169">
        <f t="shared" si="0"/>
      </c>
      <c r="W166" s="155">
        <v>2</v>
      </c>
      <c r="X166" s="169">
        <f t="shared" si="6"/>
      </c>
      <c r="Y166" s="169">
        <f t="shared" si="4"/>
      </c>
      <c r="Z166" s="159">
        <f t="shared" si="232"/>
      </c>
      <c r="AA166" s="159">
        <f t="shared" si="47"/>
      </c>
      <c r="AB166" s="159">
        <f t="shared" si="237"/>
      </c>
      <c r="AC166" s="156">
        <f t="shared" si="235"/>
      </c>
      <c r="AD166" s="156">
        <f t="shared" si="3"/>
      </c>
      <c r="AE166" s="156">
        <f t="shared" si="1"/>
      </c>
      <c r="AF166" s="156">
        <f t="shared" si="7"/>
      </c>
      <c r="AG166" s="156">
        <f t="shared" si="5"/>
      </c>
      <c r="AH166" s="156">
        <f t="shared" si="233"/>
      </c>
      <c r="AI166" s="156">
        <f t="shared" si="48"/>
      </c>
      <c r="AJ166" s="155">
        <v>59</v>
      </c>
      <c r="AK166" s="160">
        <v>32752</v>
      </c>
      <c r="AL166" s="160">
        <v>818</v>
      </c>
      <c r="AM166" s="160">
        <v>909</v>
      </c>
      <c r="AN166" s="160">
        <v>102</v>
      </c>
      <c r="AO166" s="149">
        <v>37</v>
      </c>
      <c r="AP166" s="160">
        <v>110</v>
      </c>
      <c r="AQ166" s="150">
        <v>109</v>
      </c>
      <c r="AR166" s="149">
        <v>2</v>
      </c>
      <c r="AS166" s="160">
        <v>6</v>
      </c>
      <c r="AT166" s="160">
        <v>1</v>
      </c>
      <c r="AU166" s="155">
        <v>6</v>
      </c>
      <c r="AV166" s="207"/>
      <c r="AW166" s="165"/>
      <c r="AX166" s="197">
        <f t="shared" si="271"/>
      </c>
    </row>
    <row r="167">
      <c r="A167" s="234"/>
      <c r="B167" s="171" t="s">
        <v>162</v>
      </c>
      <c r="C167" s="171"/>
      <c r="D167" s="171"/>
      <c r="E167" s="171"/>
      <c r="F167" s="173">
        <f>SUM(F163:F166)</f>
      </c>
      <c r="G167" s="173">
        <f>SUM(G163:G166)</f>
      </c>
      <c r="H167" s="173">
        <f>SUM(H163:H166)</f>
      </c>
      <c r="I167" s="173">
        <f>SUM(I163:I166)</f>
      </c>
      <c r="J167" s="173">
        <f>SUM(J163:J166)</f>
      </c>
      <c r="K167" s="173">
        <f>SUM(K163:K166)</f>
      </c>
      <c r="L167" s="173">
        <f>SUM(L163:L166)</f>
      </c>
      <c r="M167" s="173">
        <f>SUM(M163:M166)</f>
      </c>
      <c r="N167" s="173">
        <f>SUM(N163:N166)</f>
      </c>
      <c r="O167" s="175">
        <f t="shared" si="46"/>
      </c>
      <c r="P167" s="173">
        <f>SUM(P163:P166)</f>
      </c>
      <c r="Q167" s="175">
        <f t="shared" si="236"/>
      </c>
      <c r="R167" s="173">
        <f>SUM(R163:R166)</f>
      </c>
      <c r="S167" s="173">
        <f>SUM(S163:S166)</f>
      </c>
      <c r="T167" s="173">
        <f t="shared" si="234"/>
      </c>
      <c r="U167" s="173">
        <f t="shared" si="2"/>
      </c>
      <c r="V167" s="194">
        <f t="shared" si="0"/>
      </c>
      <c r="W167" s="173">
        <f>SUM(W163:W166)</f>
      </c>
      <c r="X167" s="194">
        <f t="shared" si="6"/>
      </c>
      <c r="Y167" s="194">
        <f t="shared" si="4"/>
      </c>
      <c r="Z167" s="173">
        <f t="shared" si="232"/>
      </c>
      <c r="AA167" s="173">
        <f t="shared" si="47"/>
      </c>
      <c r="AB167" s="238">
        <f t="shared" si="237"/>
      </c>
      <c r="AC167" s="175">
        <f t="shared" si="235"/>
      </c>
      <c r="AD167" s="175">
        <f t="shared" si="3"/>
      </c>
      <c r="AE167" s="175">
        <f t="shared" si="1"/>
      </c>
      <c r="AF167" s="239">
        <f t="shared" si="7"/>
      </c>
      <c r="AG167" s="175">
        <f t="shared" si="5"/>
      </c>
      <c r="AH167" s="175">
        <f t="shared" si="233"/>
      </c>
      <c r="AI167" s="175">
        <f t="shared" si="48"/>
      </c>
      <c r="AJ167" s="178">
        <f>AVERAGE(AJ163:AJ166)</f>
      </c>
      <c r="AK167" s="173">
        <f>SUM(AK163:AK166)</f>
      </c>
      <c r="AL167" s="173">
        <f>SUM(AL163:AL166)</f>
      </c>
      <c r="AM167" s="173">
        <f>SUM(AM163:AM166)</f>
      </c>
      <c r="AN167" s="173">
        <f>SUM(AN163:AN166)</f>
      </c>
      <c r="AO167" s="173">
        <f>SUM(AO163:AO166)</f>
      </c>
      <c r="AP167" s="173">
        <f>SUM(AP163:AP166)</f>
      </c>
      <c r="AQ167" s="173">
        <f>SUM(AQ163:AQ166)</f>
      </c>
      <c r="AR167" s="173">
        <f>SUM(AR163:AR166)</f>
      </c>
      <c r="AS167" s="173">
        <f>SUM(AS163:AS166)</f>
      </c>
      <c r="AT167" s="173">
        <f>SUM(AT163:AT166)</f>
      </c>
      <c r="AU167" s="173">
        <f>SUM(AU163:AU166)</f>
      </c>
      <c r="AV167" s="207"/>
      <c r="AW167" s="180"/>
      <c r="AX167" s="181">
        <f>SUM(AX163:AX166)</f>
      </c>
    </row>
    <row r="168">
      <c r="A168" s="234"/>
      <c r="B168" s="184" t="s">
        <v>166</v>
      </c>
      <c r="C168" s="184"/>
      <c r="D168" s="184"/>
      <c r="E168" s="184"/>
      <c r="F168" s="185">
        <f>F162+F167</f>
      </c>
      <c r="G168" s="185">
        <f>G162+G167</f>
      </c>
      <c r="H168" s="185">
        <f>H162+H167</f>
      </c>
      <c r="I168" s="184">
        <f>I162+I167</f>
      </c>
      <c r="J168" s="184">
        <f>J162+J167</f>
      </c>
      <c r="K168" s="184">
        <f>K162+K167</f>
      </c>
      <c r="L168" s="184">
        <f>L162+L167</f>
      </c>
      <c r="M168" s="184">
        <f>M162+M167</f>
      </c>
      <c r="N168" s="184">
        <f>N162+N167</f>
      </c>
      <c r="O168" s="186">
        <f t="shared" si="46"/>
      </c>
      <c r="P168" s="184">
        <f>P162+P167</f>
      </c>
      <c r="Q168" s="186">
        <f t="shared" si="236"/>
      </c>
      <c r="R168" s="184">
        <f>R162+R167</f>
      </c>
      <c r="S168" s="240">
        <f>S162+S167</f>
      </c>
      <c r="T168" s="185">
        <f t="shared" si="234"/>
      </c>
      <c r="U168" s="185">
        <f t="shared" si="2"/>
      </c>
      <c r="V168" s="187">
        <f t="shared" si="0"/>
      </c>
      <c r="W168" s="184">
        <f>W162+W167</f>
      </c>
      <c r="X168" s="187">
        <f t="shared" si="6"/>
      </c>
      <c r="Y168" s="187">
        <f t="shared" si="4"/>
      </c>
      <c r="Z168" s="185">
        <f t="shared" si="232"/>
      </c>
      <c r="AA168" s="185">
        <f t="shared" si="47"/>
      </c>
      <c r="AB168" s="189">
        <f t="shared" si="237"/>
      </c>
      <c r="AC168" s="186">
        <f t="shared" si="235"/>
      </c>
      <c r="AD168" s="186">
        <f t="shared" si="3"/>
      </c>
      <c r="AE168" s="186">
        <f t="shared" si="1"/>
      </c>
      <c r="AF168" s="241">
        <f t="shared" si="7"/>
      </c>
      <c r="AG168" s="186">
        <f t="shared" si="5"/>
      </c>
      <c r="AH168" s="186">
        <f t="shared" si="233"/>
      </c>
      <c r="AI168" s="186">
        <f t="shared" si="48"/>
      </c>
      <c r="AJ168" s="190">
        <f>(AJ162+AJ167)/2</f>
      </c>
      <c r="AK168" s="184">
        <f>AK162+AK167</f>
      </c>
      <c r="AL168" s="184">
        <f>AL162+AL167</f>
      </c>
      <c r="AM168" s="184">
        <f>AM162+AM167</f>
      </c>
      <c r="AN168" s="184">
        <f>AN162+AN167</f>
      </c>
      <c r="AO168" s="184">
        <f>AO162+AO167</f>
      </c>
      <c r="AP168" s="184">
        <f>AP162+AP167</f>
      </c>
      <c r="AQ168" s="184">
        <f>AQ162+AQ167</f>
      </c>
      <c r="AR168" s="184">
        <f>AR162+AR167</f>
      </c>
      <c r="AS168" s="184">
        <f>AS162+AS167</f>
      </c>
      <c r="AT168" s="184">
        <f>AT162+AT167</f>
      </c>
      <c r="AU168" s="184">
        <f>AU162+AU167</f>
      </c>
      <c r="AV168" s="207"/>
      <c r="AW168" s="230">
        <f>AW162+AW167</f>
      </c>
      <c r="AX168" s="222">
        <f>AX162+AX167</f>
      </c>
    </row>
    <row r="169">
      <c r="A169" s="234">
        <v>46284</v>
      </c>
      <c r="B169" s="149" t="s">
        <v>156</v>
      </c>
      <c r="C169" s="150" t="s">
        <v>157</v>
      </c>
      <c r="D169" s="149" t="s">
        <v>158</v>
      </c>
      <c r="E169" s="149" t="s">
        <v>175</v>
      </c>
      <c r="F169" s="159">
        <f t="shared" ref="F169:F172" si="191">G169+H169+I169</f>
      </c>
      <c r="G169" s="152">
        <v>2799.7</v>
      </c>
      <c r="H169" s="152">
        <v>1965.85</v>
      </c>
      <c r="I169" s="236">
        <v>0</v>
      </c>
      <c r="J169" s="236">
        <v>0</v>
      </c>
      <c r="K169" s="242">
        <v>0</v>
      </c>
      <c r="L169" s="236">
        <v>7</v>
      </c>
      <c r="M169" s="236">
        <v>15432</v>
      </c>
      <c r="N169" s="155">
        <v>0</v>
      </c>
      <c r="O169" s="156">
        <f t="shared" si="46"/>
      </c>
      <c r="P169" s="155">
        <v>0</v>
      </c>
      <c r="Q169" s="156">
        <f t="shared" si="236"/>
      </c>
      <c r="R169" s="160">
        <f t="shared" ref="R169:R172" si="81">L169+J169</f>
      </c>
      <c r="S169" s="237">
        <f t="shared" ref="S169:S172" si="135">M169+K169</f>
      </c>
      <c r="T169" s="159">
        <f t="shared" si="234"/>
      </c>
      <c r="U169" s="159">
        <f t="shared" si="2"/>
      </c>
      <c r="V169" s="160">
        <f t="shared" si="0"/>
      </c>
      <c r="W169" s="155">
        <v>7</v>
      </c>
      <c r="X169" s="169">
        <f t="shared" si="6"/>
      </c>
      <c r="Y169" s="169">
        <f t="shared" si="4"/>
      </c>
      <c r="Z169" s="159">
        <f t="shared" si="232"/>
      </c>
      <c r="AA169" s="159">
        <f t="shared" si="47"/>
      </c>
      <c r="AB169" s="159">
        <f t="shared" si="237"/>
      </c>
      <c r="AC169" s="156">
        <f t="shared" si="235"/>
      </c>
      <c r="AD169" s="156">
        <f t="shared" si="3"/>
      </c>
      <c r="AE169" s="156">
        <f t="shared" si="1"/>
      </c>
      <c r="AF169" s="156">
        <f t="shared" si="7"/>
      </c>
      <c r="AG169" s="156">
        <f t="shared" si="5"/>
      </c>
      <c r="AH169" s="156">
        <f t="shared" si="233"/>
      </c>
      <c r="AI169" s="156">
        <f t="shared" si="48"/>
      </c>
      <c r="AJ169" s="155">
        <v>75</v>
      </c>
      <c r="AK169" s="160">
        <v>31382</v>
      </c>
      <c r="AL169" s="160">
        <v>955</v>
      </c>
      <c r="AM169" s="160">
        <v>1034</v>
      </c>
      <c r="AN169" s="160">
        <v>165</v>
      </c>
      <c r="AO169" s="149">
        <v>50</v>
      </c>
      <c r="AP169" s="149">
        <v>160</v>
      </c>
      <c r="AQ169" s="150">
        <v>158</v>
      </c>
      <c r="AR169" s="149">
        <v>11</v>
      </c>
      <c r="AS169" s="149">
        <v>14</v>
      </c>
      <c r="AT169" s="160">
        <v>3</v>
      </c>
      <c r="AU169" s="160">
        <v>8</v>
      </c>
      <c r="AV169" s="207"/>
      <c r="AW169" s="165"/>
      <c r="AX169" s="197">
        <f t="shared" ref="AX169:AX172" si="272">COUNT(AU169)</f>
      </c>
    </row>
    <row r="170">
      <c r="A170" s="234"/>
      <c r="B170" s="149" t="s">
        <v>156</v>
      </c>
      <c r="C170" s="150" t="s">
        <v>157</v>
      </c>
      <c r="D170" s="149" t="s">
        <v>158</v>
      </c>
      <c r="E170" s="149" t="s">
        <v>176</v>
      </c>
      <c r="F170" s="159">
        <f t="shared" si="191"/>
      </c>
      <c r="G170" s="152">
        <v>3567.53</v>
      </c>
      <c r="H170" s="152">
        <v>2022.54</v>
      </c>
      <c r="I170" s="236">
        <v>0</v>
      </c>
      <c r="J170" s="236">
        <v>0</v>
      </c>
      <c r="K170" s="236">
        <v>0</v>
      </c>
      <c r="L170" s="236">
        <v>5</v>
      </c>
      <c r="M170" s="236">
        <v>11259.099999999999</v>
      </c>
      <c r="N170" s="155">
        <v>0</v>
      </c>
      <c r="O170" s="156">
        <f t="shared" si="46"/>
      </c>
      <c r="P170" s="155">
        <v>0</v>
      </c>
      <c r="Q170" s="156">
        <f t="shared" si="236"/>
      </c>
      <c r="R170" s="160">
        <f t="shared" si="81"/>
      </c>
      <c r="S170" s="237">
        <f t="shared" si="135"/>
      </c>
      <c r="T170" s="159">
        <f t="shared" si="234"/>
      </c>
      <c r="U170" s="159">
        <f t="shared" si="2"/>
      </c>
      <c r="V170" s="160">
        <f t="shared" si="0"/>
      </c>
      <c r="W170" s="155">
        <v>4</v>
      </c>
      <c r="X170" s="169">
        <f t="shared" si="6"/>
      </c>
      <c r="Y170" s="169">
        <f t="shared" si="4"/>
      </c>
      <c r="Z170" s="159">
        <f t="shared" si="232"/>
      </c>
      <c r="AA170" s="159">
        <f t="shared" si="47"/>
      </c>
      <c r="AB170" s="159">
        <f t="shared" si="237"/>
      </c>
      <c r="AC170" s="156">
        <f t="shared" si="235"/>
      </c>
      <c r="AD170" s="156">
        <f t="shared" si="3"/>
      </c>
      <c r="AE170" s="156">
        <f t="shared" si="1"/>
      </c>
      <c r="AF170" s="156">
        <f t="shared" si="7"/>
      </c>
      <c r="AG170" s="156">
        <f t="shared" si="5"/>
      </c>
      <c r="AH170" s="156">
        <f t="shared" si="233"/>
      </c>
      <c r="AI170" s="156">
        <f t="shared" si="48"/>
      </c>
      <c r="AJ170" s="155">
        <v>69</v>
      </c>
      <c r="AK170" s="160">
        <v>35157</v>
      </c>
      <c r="AL170" s="160">
        <v>1028</v>
      </c>
      <c r="AM170" s="160">
        <v>1115</v>
      </c>
      <c r="AN170" s="160">
        <v>166</v>
      </c>
      <c r="AO170" s="149">
        <v>45</v>
      </c>
      <c r="AP170" s="160">
        <v>99</v>
      </c>
      <c r="AQ170" s="150">
        <v>147</v>
      </c>
      <c r="AR170" s="149">
        <v>6</v>
      </c>
      <c r="AS170" s="160">
        <v>18</v>
      </c>
      <c r="AT170" s="160">
        <v>1</v>
      </c>
      <c r="AU170" s="160">
        <v>4</v>
      </c>
      <c r="AV170" s="207"/>
      <c r="AW170" s="165"/>
      <c r="AX170" s="197">
        <f t="shared" si="272"/>
      </c>
    </row>
    <row r="171">
      <c r="A171" s="234"/>
      <c r="B171" s="149" t="s">
        <v>156</v>
      </c>
      <c r="C171" s="150" t="s">
        <v>157</v>
      </c>
      <c r="D171" s="149" t="s">
        <v>158</v>
      </c>
      <c r="E171" s="149" t="s">
        <v>177</v>
      </c>
      <c r="F171" s="159">
        <f t="shared" si="191"/>
      </c>
      <c r="G171" s="152">
        <v>2859.85</v>
      </c>
      <c r="H171" s="152">
        <v>882.75</v>
      </c>
      <c r="I171" s="236">
        <v>0</v>
      </c>
      <c r="J171" s="236">
        <v>0</v>
      </c>
      <c r="K171" s="236">
        <v>0</v>
      </c>
      <c r="L171" s="236">
        <v>1</v>
      </c>
      <c r="M171" s="236">
        <v>3879.8499999999985</v>
      </c>
      <c r="N171" s="155">
        <v>0</v>
      </c>
      <c r="O171" s="156">
        <f t="shared" si="46"/>
      </c>
      <c r="P171" s="155">
        <v>1</v>
      </c>
      <c r="Q171" s="156">
        <f t="shared" si="236"/>
      </c>
      <c r="R171" s="160">
        <f t="shared" si="81"/>
      </c>
      <c r="S171" s="237">
        <f t="shared" si="135"/>
      </c>
      <c r="T171" s="159">
        <f t="shared" si="234"/>
      </c>
      <c r="U171" s="159">
        <f t="shared" si="2"/>
      </c>
      <c r="V171" s="169">
        <f t="shared" si="0"/>
      </c>
      <c r="W171" s="155">
        <v>0</v>
      </c>
      <c r="X171" s="169">
        <f t="shared" si="6"/>
      </c>
      <c r="Y171" s="169">
        <f t="shared" si="4"/>
      </c>
      <c r="Z171" s="159">
        <f t="shared" si="232"/>
      </c>
      <c r="AA171" s="159">
        <f t="shared" si="47"/>
      </c>
      <c r="AB171" s="159">
        <f t="shared" si="237"/>
      </c>
      <c r="AC171" s="156">
        <f t="shared" si="235"/>
      </c>
      <c r="AD171" s="156">
        <f t="shared" si="3"/>
      </c>
      <c r="AE171" s="156">
        <f t="shared" si="1"/>
      </c>
      <c r="AF171" s="156">
        <f t="shared" si="7"/>
      </c>
      <c r="AG171" s="156">
        <f t="shared" si="5"/>
      </c>
      <c r="AH171" s="156">
        <f t="shared" si="233"/>
      </c>
      <c r="AI171" s="156">
        <f t="shared" si="48"/>
      </c>
      <c r="AJ171" s="155">
        <v>62</v>
      </c>
      <c r="AK171" s="160">
        <v>22234</v>
      </c>
      <c r="AL171" s="160">
        <v>792</v>
      </c>
      <c r="AM171" s="160">
        <v>887</v>
      </c>
      <c r="AN171" s="160">
        <v>99</v>
      </c>
      <c r="AO171" s="149">
        <v>27</v>
      </c>
      <c r="AP171" s="160">
        <v>63</v>
      </c>
      <c r="AQ171" s="150">
        <v>98</v>
      </c>
      <c r="AR171" s="149">
        <v>1</v>
      </c>
      <c r="AS171" s="160">
        <v>8</v>
      </c>
      <c r="AT171" s="160">
        <v>0</v>
      </c>
      <c r="AU171" s="160">
        <v>7</v>
      </c>
      <c r="AV171" s="207"/>
      <c r="AW171" s="165"/>
      <c r="AX171" s="197">
        <f t="shared" si="272"/>
      </c>
    </row>
    <row r="172">
      <c r="A172" s="234"/>
      <c r="B172" s="149" t="s">
        <v>156</v>
      </c>
      <c r="C172" s="150" t="s">
        <v>157</v>
      </c>
      <c r="D172" s="149" t="s">
        <v>158</v>
      </c>
      <c r="E172" s="149" t="s">
        <v>178</v>
      </c>
      <c r="F172" s="159">
        <f t="shared" si="191"/>
      </c>
      <c r="G172" s="152">
        <v>3533.91</v>
      </c>
      <c r="H172" s="152">
        <v>2408.46</v>
      </c>
      <c r="I172" s="236">
        <v>0</v>
      </c>
      <c r="J172" s="236">
        <v>1</v>
      </c>
      <c r="K172" s="236">
        <v>1397.93</v>
      </c>
      <c r="L172" s="236">
        <v>3</v>
      </c>
      <c r="M172" s="236">
        <v>11064.519999999997</v>
      </c>
      <c r="N172" s="155">
        <v>1</v>
      </c>
      <c r="O172" s="156">
        <f t="shared" si="46"/>
      </c>
      <c r="P172" s="155">
        <v>1</v>
      </c>
      <c r="Q172" s="156">
        <f t="shared" si="236"/>
      </c>
      <c r="R172" s="160">
        <f t="shared" si="81"/>
      </c>
      <c r="S172" s="237">
        <f t="shared" si="135"/>
      </c>
      <c r="T172" s="159">
        <f t="shared" si="234"/>
      </c>
      <c r="U172" s="159">
        <f t="shared" si="2"/>
      </c>
      <c r="V172" s="169">
        <f t="shared" si="0"/>
      </c>
      <c r="W172" s="155">
        <v>4</v>
      </c>
      <c r="X172" s="169">
        <f t="shared" si="6"/>
      </c>
      <c r="Y172" s="169">
        <f t="shared" si="4"/>
      </c>
      <c r="Z172" s="159">
        <f t="shared" si="232"/>
      </c>
      <c r="AA172" s="159">
        <f t="shared" si="47"/>
      </c>
      <c r="AB172" s="159">
        <f t="shared" si="237"/>
      </c>
      <c r="AC172" s="156">
        <f t="shared" si="235"/>
      </c>
      <c r="AD172" s="156">
        <f t="shared" si="3"/>
      </c>
      <c r="AE172" s="156">
        <f t="shared" si="1"/>
      </c>
      <c r="AF172" s="156">
        <f t="shared" si="7"/>
      </c>
      <c r="AG172" s="156">
        <f t="shared" si="5"/>
      </c>
      <c r="AH172" s="156">
        <f t="shared" si="233"/>
      </c>
      <c r="AI172" s="156">
        <f t="shared" si="48"/>
      </c>
      <c r="AJ172" s="155">
        <v>65</v>
      </c>
      <c r="AK172" s="160">
        <v>34433</v>
      </c>
      <c r="AL172" s="160">
        <v>880</v>
      </c>
      <c r="AM172" s="160">
        <v>936</v>
      </c>
      <c r="AN172" s="160">
        <v>178</v>
      </c>
      <c r="AO172" s="149">
        <v>47</v>
      </c>
      <c r="AP172" s="155">
        <v>131</v>
      </c>
      <c r="AQ172" s="149">
        <v>149</v>
      </c>
      <c r="AR172" s="149">
        <v>5</v>
      </c>
      <c r="AS172" s="155">
        <v>10</v>
      </c>
      <c r="AT172" s="155">
        <v>0</v>
      </c>
      <c r="AU172" s="155">
        <v>6</v>
      </c>
      <c r="AV172" s="207"/>
      <c r="AW172" s="165"/>
      <c r="AX172" s="197">
        <f t="shared" si="272"/>
      </c>
    </row>
    <row r="173">
      <c r="A173" s="234"/>
      <c r="B173" s="171" t="s">
        <v>162</v>
      </c>
      <c r="C173" s="171"/>
      <c r="D173" s="171"/>
      <c r="E173" s="171"/>
      <c r="F173" s="173">
        <f>SUM(F169:F172)</f>
      </c>
      <c r="G173" s="173">
        <f>SUM(G169:G172)</f>
      </c>
      <c r="H173" s="173">
        <f>SUM(H169:H172)</f>
      </c>
      <c r="I173" s="173">
        <f>SUM(I169:I172)</f>
      </c>
      <c r="J173" s="173">
        <f>SUM(J169:J172)</f>
      </c>
      <c r="K173" s="173">
        <f>SUM(K169:K172)</f>
      </c>
      <c r="L173" s="173">
        <f>SUM(L169:L172)</f>
      </c>
      <c r="M173" s="173">
        <f>SUM(M169:M172)</f>
      </c>
      <c r="N173" s="173">
        <f>SUM(N169:N172)</f>
      </c>
      <c r="O173" s="175">
        <f t="shared" si="46"/>
      </c>
      <c r="P173" s="173">
        <f>SUM(P169:P172)</f>
      </c>
      <c r="Q173" s="175">
        <f t="shared" si="236"/>
      </c>
      <c r="R173" s="173">
        <f>SUM(R169:R172)</f>
      </c>
      <c r="S173" s="173">
        <f>SUM(S169:S172)</f>
      </c>
      <c r="T173" s="173">
        <f t="shared" si="234"/>
      </c>
      <c r="U173" s="173">
        <f t="shared" si="2"/>
      </c>
      <c r="V173" s="173">
        <f t="shared" si="0"/>
      </c>
      <c r="W173" s="173">
        <f>SUM(W169:W172)</f>
      </c>
      <c r="X173" s="194">
        <f t="shared" si="6"/>
      </c>
      <c r="Y173" s="194">
        <f t="shared" si="4"/>
      </c>
      <c r="Z173" s="173">
        <f t="shared" si="232"/>
      </c>
      <c r="AA173" s="173">
        <f t="shared" si="47"/>
      </c>
      <c r="AB173" s="238">
        <f t="shared" si="237"/>
      </c>
      <c r="AC173" s="175">
        <f t="shared" si="235"/>
      </c>
      <c r="AD173" s="175">
        <f t="shared" si="3"/>
      </c>
      <c r="AE173" s="175">
        <f t="shared" si="1"/>
      </c>
      <c r="AF173" s="175">
        <f t="shared" si="7"/>
      </c>
      <c r="AG173" s="175">
        <f t="shared" si="5"/>
      </c>
      <c r="AH173" s="175">
        <f t="shared" si="233"/>
      </c>
      <c r="AI173" s="175">
        <f t="shared" si="48"/>
      </c>
      <c r="AJ173" s="178">
        <f>AVERAGE(AJ169:AJ172)</f>
      </c>
      <c r="AK173" s="173">
        <f>SUM(AK169:AK172)</f>
      </c>
      <c r="AL173" s="173">
        <f>SUM(AL169:AL172)</f>
      </c>
      <c r="AM173" s="173">
        <f>SUM(AM169:AM172)</f>
      </c>
      <c r="AN173" s="173">
        <f>SUM(AN169:AN172)</f>
      </c>
      <c r="AO173" s="173">
        <f>SUM(AO169:AO172)</f>
      </c>
      <c r="AP173" s="173">
        <f>SUM(AP169:AP172)</f>
      </c>
      <c r="AQ173" s="173">
        <f>SUM(AQ169:AQ172)</f>
      </c>
      <c r="AR173" s="173">
        <f>SUM(AR169:AR172)</f>
      </c>
      <c r="AS173" s="173">
        <f>SUM(AS169:AS172)</f>
      </c>
      <c r="AT173" s="173">
        <f>SUM(AT169:AT172)</f>
      </c>
      <c r="AU173" s="173">
        <f>SUM(AU169:AU172)</f>
      </c>
      <c r="AV173" s="207"/>
      <c r="AW173" s="180"/>
      <c r="AX173" s="181">
        <f>SUM(AX169:AX172)</f>
      </c>
    </row>
    <row r="174">
      <c r="A174" s="234"/>
      <c r="B174" s="149" t="s">
        <v>156</v>
      </c>
      <c r="C174" s="150" t="s">
        <v>157</v>
      </c>
      <c r="D174" s="149" t="s">
        <v>169</v>
      </c>
      <c r="E174" s="150" t="s">
        <v>159</v>
      </c>
      <c r="F174" s="159">
        <f t="shared" ref="F174:F177" si="192">G174+H174+I174</f>
      </c>
      <c r="G174" s="152">
        <v>3399.67</v>
      </c>
      <c r="H174" s="152">
        <v>1937.57</v>
      </c>
      <c r="I174" s="236">
        <v>0</v>
      </c>
      <c r="J174" s="236">
        <v>1</v>
      </c>
      <c r="K174" s="236">
        <v>1647.0000000000002</v>
      </c>
      <c r="L174" s="236">
        <v>4</v>
      </c>
      <c r="M174" s="236">
        <v>15545.090000000004</v>
      </c>
      <c r="N174" s="155">
        <v>1</v>
      </c>
      <c r="O174" s="156">
        <f t="shared" si="46"/>
      </c>
      <c r="P174" s="155">
        <v>1</v>
      </c>
      <c r="Q174" s="156">
        <f t="shared" si="236"/>
      </c>
      <c r="R174" s="160">
        <f t="shared" ref="R174:R177" si="82">L174+J174</f>
      </c>
      <c r="S174" s="237">
        <f t="shared" ref="S174:S177" si="136">M174+K174</f>
      </c>
      <c r="T174" s="159">
        <f t="shared" si="234"/>
      </c>
      <c r="U174" s="159">
        <f t="shared" si="2"/>
      </c>
      <c r="V174" s="169">
        <f t="shared" si="0"/>
      </c>
      <c r="W174" s="155">
        <v>4</v>
      </c>
      <c r="X174" s="169">
        <f t="shared" si="6"/>
      </c>
      <c r="Y174" s="169">
        <f t="shared" si="4"/>
      </c>
      <c r="Z174" s="159">
        <f t="shared" si="232"/>
      </c>
      <c r="AA174" s="159">
        <f t="shared" si="47"/>
      </c>
      <c r="AB174" s="159">
        <f t="shared" si="237"/>
      </c>
      <c r="AC174" s="156">
        <f t="shared" si="235"/>
      </c>
      <c r="AD174" s="156">
        <f t="shared" si="3"/>
      </c>
      <c r="AE174" s="156">
        <f t="shared" si="1"/>
      </c>
      <c r="AF174" s="156">
        <f t="shared" si="7"/>
      </c>
      <c r="AG174" s="156">
        <f t="shared" si="5"/>
      </c>
      <c r="AH174" s="156">
        <f t="shared" si="233"/>
      </c>
      <c r="AI174" s="156">
        <f t="shared" si="48"/>
      </c>
      <c r="AJ174" s="155">
        <v>65</v>
      </c>
      <c r="AK174" s="160">
        <v>32238</v>
      </c>
      <c r="AL174" s="160">
        <v>897</v>
      </c>
      <c r="AM174" s="160">
        <v>978</v>
      </c>
      <c r="AN174" s="160">
        <v>177</v>
      </c>
      <c r="AO174" s="149">
        <v>55</v>
      </c>
      <c r="AP174" s="160">
        <v>126</v>
      </c>
      <c r="AQ174" s="150">
        <v>160</v>
      </c>
      <c r="AR174" s="149">
        <v>6</v>
      </c>
      <c r="AS174" s="149">
        <v>16</v>
      </c>
      <c r="AT174" s="160">
        <v>2</v>
      </c>
      <c r="AU174" s="160">
        <v>10</v>
      </c>
      <c r="AV174" s="207"/>
      <c r="AW174" s="165"/>
      <c r="AX174" s="197">
        <f t="shared" ref="AX174:AX177" si="273">COUNT(AU174)</f>
      </c>
    </row>
    <row r="175">
      <c r="A175" s="234"/>
      <c r="B175" s="149" t="s">
        <v>156</v>
      </c>
      <c r="C175" s="150" t="s">
        <v>157</v>
      </c>
      <c r="D175" s="149" t="s">
        <v>169</v>
      </c>
      <c r="E175" s="150" t="s">
        <v>160</v>
      </c>
      <c r="F175" s="159">
        <f t="shared" si="192"/>
      </c>
      <c r="G175" s="152">
        <v>5122.24</v>
      </c>
      <c r="H175" s="152">
        <v>1445.14</v>
      </c>
      <c r="I175" s="236">
        <v>0</v>
      </c>
      <c r="J175" s="236">
        <v>1</v>
      </c>
      <c r="K175" s="236">
        <v>835.0500000000002</v>
      </c>
      <c r="L175" s="236">
        <v>7</v>
      </c>
      <c r="M175" s="236">
        <v>17345.75</v>
      </c>
      <c r="N175" s="155">
        <v>0</v>
      </c>
      <c r="O175" s="156">
        <f t="shared" si="46"/>
      </c>
      <c r="P175" s="155">
        <v>0</v>
      </c>
      <c r="Q175" s="156">
        <f t="shared" si="236"/>
      </c>
      <c r="R175" s="160">
        <f t="shared" si="82"/>
      </c>
      <c r="S175" s="237">
        <f t="shared" si="136"/>
      </c>
      <c r="T175" s="159">
        <f t="shared" si="234"/>
      </c>
      <c r="U175" s="159">
        <f t="shared" si="2"/>
      </c>
      <c r="V175" s="169">
        <f t="shared" si="0"/>
      </c>
      <c r="W175" s="155">
        <v>6</v>
      </c>
      <c r="X175" s="169">
        <f t="shared" si="6"/>
      </c>
      <c r="Y175" s="169">
        <f t="shared" si="4"/>
      </c>
      <c r="Z175" s="159">
        <f t="shared" si="232"/>
      </c>
      <c r="AA175" s="159">
        <f t="shared" si="47"/>
      </c>
      <c r="AB175" s="159">
        <f t="shared" si="237"/>
      </c>
      <c r="AC175" s="156">
        <f t="shared" si="235"/>
      </c>
      <c r="AD175" s="156">
        <f t="shared" si="3"/>
      </c>
      <c r="AE175" s="156">
        <f t="shared" si="1"/>
      </c>
      <c r="AF175" s="156">
        <f t="shared" si="7"/>
      </c>
      <c r="AG175" s="156">
        <f t="shared" si="5"/>
      </c>
      <c r="AH175" s="156">
        <f t="shared" si="233"/>
      </c>
      <c r="AI175" s="156">
        <f t="shared" si="48"/>
      </c>
      <c r="AJ175" s="155">
        <v>60</v>
      </c>
      <c r="AK175" s="160">
        <v>45327</v>
      </c>
      <c r="AL175" s="160">
        <v>1716</v>
      </c>
      <c r="AM175" s="160">
        <v>1884</v>
      </c>
      <c r="AN175" s="160">
        <v>193</v>
      </c>
      <c r="AO175" s="149">
        <v>53</v>
      </c>
      <c r="AP175" s="160">
        <v>162</v>
      </c>
      <c r="AQ175" s="150">
        <v>176</v>
      </c>
      <c r="AR175" s="149">
        <v>11</v>
      </c>
      <c r="AS175" s="149">
        <v>16</v>
      </c>
      <c r="AT175" s="160">
        <v>2</v>
      </c>
      <c r="AU175" s="160">
        <v>4</v>
      </c>
      <c r="AV175" s="207"/>
      <c r="AW175" s="165"/>
      <c r="AX175" s="197">
        <f t="shared" si="273"/>
      </c>
    </row>
    <row r="176">
      <c r="A176" s="234"/>
      <c r="B176" s="149" t="s">
        <v>156</v>
      </c>
      <c r="C176" s="150" t="s">
        <v>157</v>
      </c>
      <c r="D176" s="149" t="s">
        <v>169</v>
      </c>
      <c r="E176" s="150" t="s">
        <v>161</v>
      </c>
      <c r="F176" s="159">
        <f t="shared" si="192"/>
      </c>
      <c r="G176" s="152">
        <v>4582.72</v>
      </c>
      <c r="H176" s="152">
        <v>917.27</v>
      </c>
      <c r="I176" s="236">
        <v>0</v>
      </c>
      <c r="J176" s="236">
        <v>2</v>
      </c>
      <c r="K176" s="236">
        <v>4755.7</v>
      </c>
      <c r="L176" s="236">
        <v>2</v>
      </c>
      <c r="M176" s="236">
        <v>2806.300000000003</v>
      </c>
      <c r="N176" s="155">
        <v>0</v>
      </c>
      <c r="O176" s="156">
        <f t="shared" si="46"/>
      </c>
      <c r="P176" s="155">
        <v>0</v>
      </c>
      <c r="Q176" s="156">
        <f t="shared" si="236"/>
      </c>
      <c r="R176" s="160">
        <f t="shared" si="82"/>
      </c>
      <c r="S176" s="237">
        <f t="shared" si="136"/>
      </c>
      <c r="T176" s="159">
        <f t="shared" si="234"/>
      </c>
      <c r="U176" s="159">
        <f t="shared" si="2"/>
      </c>
      <c r="V176" s="169">
        <f t="shared" si="0"/>
      </c>
      <c r="W176" s="155">
        <v>4</v>
      </c>
      <c r="X176" s="169">
        <f t="shared" si="6"/>
      </c>
      <c r="Y176" s="169">
        <f t="shared" si="4"/>
      </c>
      <c r="Z176" s="159">
        <f t="shared" si="232"/>
      </c>
      <c r="AA176" s="159">
        <f t="shared" si="47"/>
      </c>
      <c r="AB176" s="159">
        <f t="shared" si="237"/>
      </c>
      <c r="AC176" s="156">
        <f t="shared" si="235"/>
      </c>
      <c r="AD176" s="156">
        <f t="shared" si="3"/>
      </c>
      <c r="AE176" s="156">
        <f t="shared" si="1"/>
      </c>
      <c r="AF176" s="156">
        <f t="shared" si="7"/>
      </c>
      <c r="AG176" s="156">
        <f t="shared" si="5"/>
      </c>
      <c r="AH176" s="156">
        <f t="shared" si="233"/>
      </c>
      <c r="AI176" s="156">
        <f t="shared" si="48"/>
      </c>
      <c r="AJ176" s="155">
        <v>57</v>
      </c>
      <c r="AK176" s="160">
        <v>40174</v>
      </c>
      <c r="AL176" s="160">
        <v>1671</v>
      </c>
      <c r="AM176" s="160">
        <v>1808</v>
      </c>
      <c r="AN176" s="160">
        <v>168</v>
      </c>
      <c r="AO176" s="149">
        <v>54</v>
      </c>
      <c r="AP176" s="160">
        <v>202</v>
      </c>
      <c r="AQ176" s="150">
        <v>184</v>
      </c>
      <c r="AR176" s="149">
        <v>5</v>
      </c>
      <c r="AS176" s="155">
        <v>16</v>
      </c>
      <c r="AT176" s="160">
        <v>5</v>
      </c>
      <c r="AU176" s="160">
        <v>0</v>
      </c>
      <c r="AV176" s="207"/>
      <c r="AW176" s="165"/>
      <c r="AX176" s="197">
        <f t="shared" si="273"/>
      </c>
    </row>
    <row r="177">
      <c r="A177" s="234"/>
      <c r="B177" s="149" t="s">
        <v>156</v>
      </c>
      <c r="C177" s="150" t="s">
        <v>157</v>
      </c>
      <c r="D177" s="149" t="s">
        <v>169</v>
      </c>
      <c r="E177" s="150" t="s">
        <v>164</v>
      </c>
      <c r="F177" s="159">
        <f t="shared" si="192"/>
      </c>
      <c r="G177" s="152">
        <v>4900.77</v>
      </c>
      <c r="H177" s="152">
        <v>922.94</v>
      </c>
      <c r="I177" s="236">
        <v>0</v>
      </c>
      <c r="J177" s="236">
        <v>1</v>
      </c>
      <c r="K177" s="236">
        <v>835.0499999999993</v>
      </c>
      <c r="L177" s="236">
        <v>4</v>
      </c>
      <c r="M177" s="236">
        <v>10679.539999999994</v>
      </c>
      <c r="N177" s="155">
        <v>2</v>
      </c>
      <c r="O177" s="156">
        <f t="shared" si="46"/>
      </c>
      <c r="P177" s="155">
        <v>2</v>
      </c>
      <c r="Q177" s="156">
        <f t="shared" si="236"/>
      </c>
      <c r="R177" s="160">
        <f t="shared" si="82"/>
      </c>
      <c r="S177" s="237">
        <f t="shared" si="136"/>
      </c>
      <c r="T177" s="159">
        <f t="shared" si="234"/>
      </c>
      <c r="U177" s="159">
        <f t="shared" si="2"/>
      </c>
      <c r="V177" s="169">
        <f t="shared" si="0"/>
      </c>
      <c r="W177" s="155">
        <v>3</v>
      </c>
      <c r="X177" s="169">
        <f t="shared" si="6"/>
      </c>
      <c r="Y177" s="169">
        <f t="shared" si="4"/>
      </c>
      <c r="Z177" s="159">
        <f t="shared" si="232"/>
      </c>
      <c r="AA177" s="159">
        <f t="shared" si="47"/>
      </c>
      <c r="AB177" s="159">
        <f t="shared" si="237"/>
      </c>
      <c r="AC177" s="156">
        <f t="shared" si="235"/>
      </c>
      <c r="AD177" s="156">
        <f t="shared" si="3"/>
      </c>
      <c r="AE177" s="156">
        <f t="shared" si="1"/>
      </c>
      <c r="AF177" s="156">
        <f t="shared" si="7"/>
      </c>
      <c r="AG177" s="156">
        <f t="shared" si="5"/>
      </c>
      <c r="AH177" s="156">
        <f t="shared" si="233"/>
      </c>
      <c r="AI177" s="156">
        <f t="shared" si="48"/>
      </c>
      <c r="AJ177" s="155">
        <v>53</v>
      </c>
      <c r="AK177" s="160">
        <v>38018</v>
      </c>
      <c r="AL177" s="160">
        <v>1661</v>
      </c>
      <c r="AM177" s="160">
        <v>1835</v>
      </c>
      <c r="AN177" s="160">
        <v>188</v>
      </c>
      <c r="AO177" s="149">
        <v>47</v>
      </c>
      <c r="AP177" s="160">
        <v>120</v>
      </c>
      <c r="AQ177" s="150">
        <v>194</v>
      </c>
      <c r="AR177" s="149">
        <v>10</v>
      </c>
      <c r="AS177" s="160">
        <v>18</v>
      </c>
      <c r="AT177" s="160">
        <v>1</v>
      </c>
      <c r="AU177" s="155">
        <v>1</v>
      </c>
      <c r="AV177" s="207"/>
      <c r="AW177" s="165"/>
      <c r="AX177" s="197">
        <f t="shared" si="273"/>
      </c>
    </row>
    <row r="178">
      <c r="A178" s="234"/>
      <c r="B178" s="171" t="s">
        <v>162</v>
      </c>
      <c r="C178" s="171"/>
      <c r="D178" s="171"/>
      <c r="E178" s="171"/>
      <c r="F178" s="173">
        <f>SUM(F174:F177)</f>
      </c>
      <c r="G178" s="173">
        <f>SUM(G174:G177)</f>
      </c>
      <c r="H178" s="173">
        <f>SUM(H174:H177)</f>
      </c>
      <c r="I178" s="173">
        <f>SUM(I174:I177)</f>
      </c>
      <c r="J178" s="173">
        <f>SUM(J174:J177)</f>
      </c>
      <c r="K178" s="173">
        <f>SUM(K174:K177)</f>
      </c>
      <c r="L178" s="173">
        <f>SUM(L174:L177)</f>
      </c>
      <c r="M178" s="173">
        <f>SUM(M174:M177)</f>
      </c>
      <c r="N178" s="173">
        <f>SUM(N174:N177)</f>
      </c>
      <c r="O178" s="175">
        <f t="shared" si="46"/>
      </c>
      <c r="P178" s="173">
        <f>SUM(P174:P177)</f>
      </c>
      <c r="Q178" s="175">
        <f t="shared" si="236"/>
      </c>
      <c r="R178" s="173">
        <f>SUM(R174:R177)</f>
      </c>
      <c r="S178" s="173">
        <f>SUM(S174:S177)</f>
      </c>
      <c r="T178" s="173">
        <f t="shared" si="234"/>
      </c>
      <c r="U178" s="173">
        <f t="shared" si="2"/>
      </c>
      <c r="V178" s="194">
        <f t="shared" si="0"/>
      </c>
      <c r="W178" s="173">
        <f>SUM(W174:W177)</f>
      </c>
      <c r="X178" s="194">
        <f t="shared" si="6"/>
      </c>
      <c r="Y178" s="194">
        <f t="shared" si="4"/>
      </c>
      <c r="Z178" s="173">
        <f t="shared" si="232"/>
      </c>
      <c r="AA178" s="173">
        <f t="shared" si="47"/>
      </c>
      <c r="AB178" s="238">
        <f t="shared" si="237"/>
      </c>
      <c r="AC178" s="175">
        <f t="shared" si="235"/>
      </c>
      <c r="AD178" s="175">
        <f t="shared" si="3"/>
      </c>
      <c r="AE178" s="175">
        <f t="shared" si="1"/>
      </c>
      <c r="AF178" s="239">
        <f t="shared" si="7"/>
      </c>
      <c r="AG178" s="175">
        <f t="shared" si="5"/>
      </c>
      <c r="AH178" s="175">
        <f t="shared" si="233"/>
      </c>
      <c r="AI178" s="175">
        <f t="shared" si="48"/>
      </c>
      <c r="AJ178" s="178">
        <f>AVERAGE(AJ174:AJ177)</f>
      </c>
      <c r="AK178" s="173">
        <f>SUM(AK174:AK177)</f>
      </c>
      <c r="AL178" s="173">
        <f>SUM(AL174:AL177)</f>
      </c>
      <c r="AM178" s="173">
        <f>SUM(AM174:AM177)</f>
      </c>
      <c r="AN178" s="173">
        <f>SUM(AN174:AN177)</f>
      </c>
      <c r="AO178" s="173">
        <f>SUM(AO174:AO177)</f>
      </c>
      <c r="AP178" s="173">
        <f>SUM(AP174:AP177)</f>
      </c>
      <c r="AQ178" s="173">
        <f>SUM(AQ174:AQ177)</f>
      </c>
      <c r="AR178" s="173">
        <f>SUM(AR174:AR177)</f>
      </c>
      <c r="AS178" s="173">
        <f>SUM(AS174:AS177)</f>
      </c>
      <c r="AT178" s="173">
        <f>SUM(AT174:AT177)</f>
      </c>
      <c r="AU178" s="173">
        <f>SUM(AU174:AU177)</f>
      </c>
      <c r="AV178" s="207"/>
      <c r="AW178" s="180"/>
      <c r="AX178" s="181">
        <f>SUM(AX174:AX177)</f>
      </c>
    </row>
    <row customHeight="true" ht="16.071428571428573" r="179">
      <c r="A179" s="234"/>
      <c r="B179" s="197" t="s">
        <v>156</v>
      </c>
      <c r="C179" s="197" t="s">
        <v>157</v>
      </c>
      <c r="D179" s="197" t="s">
        <v>163</v>
      </c>
      <c r="E179" s="197" t="s">
        <v>165</v>
      </c>
      <c r="F179" s="199">
        <f t="shared" ref="F179:F182" si="193">G179+H179+I179</f>
      </c>
      <c r="G179" s="221">
        <v>5787.26</v>
      </c>
      <c r="H179" s="221">
        <v>1044.66</v>
      </c>
      <c r="I179" s="236">
        <v>0</v>
      </c>
      <c r="J179" s="236">
        <v>0</v>
      </c>
      <c r="K179" s="236">
        <v>0</v>
      </c>
      <c r="L179" s="236">
        <v>3</v>
      </c>
      <c r="M179" s="236">
        <v>7659.6600000000035</v>
      </c>
      <c r="N179" s="155">
        <v>1</v>
      </c>
      <c r="O179" s="203">
        <f t="shared" si="46"/>
      </c>
      <c r="P179" s="155">
        <v>0</v>
      </c>
      <c r="Q179" s="203">
        <f t="shared" si="236"/>
      </c>
      <c r="R179" s="160">
        <f t="shared" ref="R179:R182" si="83">L179+J179</f>
      </c>
      <c r="S179" s="209">
        <f t="shared" ref="S179:S182" si="137">M179+K179</f>
      </c>
      <c r="T179" s="199">
        <f t="shared" si="234"/>
      </c>
      <c r="U179" s="199">
        <f t="shared" si="2"/>
      </c>
      <c r="V179" s="204">
        <f t="shared" si="0"/>
      </c>
      <c r="W179" s="155">
        <v>3</v>
      </c>
      <c r="X179" s="204">
        <f t="shared" si="6"/>
      </c>
      <c r="Y179" s="204">
        <f t="shared" si="4"/>
      </c>
      <c r="Z179" s="199">
        <f t="shared" si="232"/>
      </c>
      <c r="AA179" s="199">
        <f t="shared" si="47"/>
      </c>
      <c r="AB179" s="199">
        <f t="shared" si="237"/>
      </c>
      <c r="AC179" s="203">
        <f t="shared" si="235"/>
      </c>
      <c r="AD179" s="203">
        <f t="shared" si="3"/>
      </c>
      <c r="AE179" s="203">
        <f t="shared" si="1"/>
      </c>
      <c r="AF179" s="203">
        <f t="shared" si="7"/>
      </c>
      <c r="AG179" s="203">
        <f t="shared" si="5"/>
      </c>
      <c r="AH179" s="203">
        <f t="shared" si="233"/>
      </c>
      <c r="AI179" s="203">
        <f t="shared" si="48"/>
      </c>
      <c r="AJ179" s="155">
        <v>51</v>
      </c>
      <c r="AK179" s="160">
        <v>56405</v>
      </c>
      <c r="AL179" s="160">
        <v>2120</v>
      </c>
      <c r="AM179" s="160">
        <v>2301</v>
      </c>
      <c r="AN179" s="160">
        <v>201</v>
      </c>
      <c r="AO179" s="149">
        <v>55</v>
      </c>
      <c r="AP179" s="160">
        <v>132</v>
      </c>
      <c r="AQ179" s="150">
        <v>206</v>
      </c>
      <c r="AR179" s="149">
        <v>6</v>
      </c>
      <c r="AS179" s="149">
        <v>25</v>
      </c>
      <c r="AT179" s="160">
        <v>1</v>
      </c>
      <c r="AU179" s="160">
        <v>4</v>
      </c>
      <c r="AV179" s="207"/>
      <c r="AW179" s="165"/>
      <c r="AX179" s="197">
        <f t="shared" ref="AX179:AX182" si="274">COUNT(AU179)</f>
      </c>
    </row>
    <row customHeight="true" ht="16.071428571428573" r="180">
      <c r="A180" s="234"/>
      <c r="B180" s="197" t="s">
        <v>156</v>
      </c>
      <c r="C180" s="197" t="s">
        <v>157</v>
      </c>
      <c r="D180" s="197" t="s">
        <v>163</v>
      </c>
      <c r="E180" s="197" t="s">
        <v>168</v>
      </c>
      <c r="F180" s="199">
        <f t="shared" si="193"/>
      </c>
      <c r="G180" s="221">
        <v>4091.68</v>
      </c>
      <c r="H180" s="221">
        <v>1836.8</v>
      </c>
      <c r="I180" s="236">
        <v>0</v>
      </c>
      <c r="J180" s="236">
        <v>3</v>
      </c>
      <c r="K180" s="236">
        <v>10648.940000000002</v>
      </c>
      <c r="L180" s="236">
        <v>5</v>
      </c>
      <c r="M180" s="236">
        <v>12362.919999999984</v>
      </c>
      <c r="N180" s="155">
        <v>2</v>
      </c>
      <c r="O180" s="203">
        <f t="shared" si="46"/>
      </c>
      <c r="P180" s="155">
        <v>4</v>
      </c>
      <c r="Q180" s="203">
        <f t="shared" si="236"/>
      </c>
      <c r="R180" s="160">
        <f t="shared" si="83"/>
      </c>
      <c r="S180" s="209">
        <f t="shared" si="137"/>
      </c>
      <c r="T180" s="199">
        <f t="shared" si="234"/>
      </c>
      <c r="U180" s="199">
        <f t="shared" si="2"/>
      </c>
      <c r="V180" s="204">
        <f t="shared" si="0"/>
      </c>
      <c r="W180" s="155">
        <v>5</v>
      </c>
      <c r="X180" s="204">
        <f t="shared" si="6"/>
      </c>
      <c r="Y180" s="204">
        <f t="shared" si="4"/>
      </c>
      <c r="Z180" s="199">
        <f t="shared" si="232"/>
      </c>
      <c r="AA180" s="199">
        <f t="shared" si="47"/>
      </c>
      <c r="AB180" s="199">
        <f t="shared" si="237"/>
      </c>
      <c r="AC180" s="203">
        <f t="shared" si="235"/>
      </c>
      <c r="AD180" s="203">
        <f t="shared" si="3"/>
      </c>
      <c r="AE180" s="203">
        <f t="shared" si="1"/>
      </c>
      <c r="AF180" s="203">
        <f t="shared" si="7"/>
      </c>
      <c r="AG180" s="203">
        <f t="shared" si="5"/>
      </c>
      <c r="AH180" s="203">
        <f t="shared" si="233"/>
      </c>
      <c r="AI180" s="203">
        <f t="shared" si="48"/>
      </c>
      <c r="AJ180" s="155">
        <v>50</v>
      </c>
      <c r="AK180" s="160">
        <v>46267</v>
      </c>
      <c r="AL180" s="160">
        <v>1495</v>
      </c>
      <c r="AM180" s="160">
        <v>1659</v>
      </c>
      <c r="AN180" s="160">
        <v>162</v>
      </c>
      <c r="AO180" s="149">
        <v>30</v>
      </c>
      <c r="AP180" s="160">
        <v>73</v>
      </c>
      <c r="AQ180" s="150">
        <v>150</v>
      </c>
      <c r="AR180" s="149">
        <v>11</v>
      </c>
      <c r="AS180" s="149">
        <v>12</v>
      </c>
      <c r="AT180" s="160">
        <v>2</v>
      </c>
      <c r="AU180" s="160">
        <v>10</v>
      </c>
      <c r="AV180" s="207"/>
      <c r="AW180" s="165"/>
      <c r="AX180" s="197">
        <f t="shared" si="274"/>
      </c>
    </row>
    <row customHeight="true" ht="16.071428571428573" r="181">
      <c r="A181" s="234"/>
      <c r="B181" s="197" t="s">
        <v>156</v>
      </c>
      <c r="C181" s="197" t="s">
        <v>157</v>
      </c>
      <c r="D181" s="197" t="s">
        <v>163</v>
      </c>
      <c r="E181" s="197" t="s">
        <v>171</v>
      </c>
      <c r="F181" s="199">
        <f t="shared" si="193"/>
      </c>
      <c r="G181" s="221">
        <v>3561.1</v>
      </c>
      <c r="H181" s="221">
        <v>944.27</v>
      </c>
      <c r="I181" s="236">
        <v>0</v>
      </c>
      <c r="J181" s="236">
        <v>2</v>
      </c>
      <c r="K181" s="236">
        <v>2929.2299999999996</v>
      </c>
      <c r="L181" s="236">
        <v>3</v>
      </c>
      <c r="M181" s="236">
        <v>9223.330000000016</v>
      </c>
      <c r="N181" s="155">
        <v>1</v>
      </c>
      <c r="O181" s="203">
        <f t="shared" si="46"/>
      </c>
      <c r="P181" s="155">
        <v>1</v>
      </c>
      <c r="Q181" s="203">
        <f t="shared" si="236"/>
      </c>
      <c r="R181" s="160">
        <f t="shared" si="83"/>
      </c>
      <c r="S181" s="209">
        <f t="shared" si="137"/>
      </c>
      <c r="T181" s="199">
        <f t="shared" si="234"/>
      </c>
      <c r="U181" s="199">
        <f t="shared" si="2"/>
      </c>
      <c r="V181" s="204">
        <f t="shared" si="0"/>
      </c>
      <c r="W181" s="155">
        <v>3</v>
      </c>
      <c r="X181" s="204">
        <f t="shared" si="6"/>
      </c>
      <c r="Y181" s="204">
        <f t="shared" si="4"/>
      </c>
      <c r="Z181" s="199">
        <f t="shared" si="232"/>
      </c>
      <c r="AA181" s="199">
        <f t="shared" si="47"/>
      </c>
      <c r="AB181" s="199">
        <f t="shared" si="237"/>
      </c>
      <c r="AC181" s="203">
        <f t="shared" si="235"/>
      </c>
      <c r="AD181" s="203">
        <f t="shared" si="3"/>
      </c>
      <c r="AE181" s="203">
        <f t="shared" si="1"/>
      </c>
      <c r="AF181" s="203">
        <f t="shared" si="7"/>
      </c>
      <c r="AG181" s="203">
        <f t="shared" si="5"/>
      </c>
      <c r="AH181" s="203">
        <f t="shared" si="233"/>
      </c>
      <c r="AI181" s="203">
        <f t="shared" si="48"/>
      </c>
      <c r="AJ181" s="155">
        <v>50</v>
      </c>
      <c r="AK181" s="160">
        <v>35372</v>
      </c>
      <c r="AL181" s="160">
        <v>1421</v>
      </c>
      <c r="AM181" s="160">
        <v>1552</v>
      </c>
      <c r="AN181" s="160">
        <v>153</v>
      </c>
      <c r="AO181" s="149">
        <v>38</v>
      </c>
      <c r="AP181" s="160">
        <v>102</v>
      </c>
      <c r="AQ181" s="150">
        <v>156</v>
      </c>
      <c r="AR181" s="149">
        <v>6</v>
      </c>
      <c r="AS181" s="155">
        <v>11</v>
      </c>
      <c r="AT181" s="160">
        <v>1</v>
      </c>
      <c r="AU181" s="155">
        <v>1</v>
      </c>
      <c r="AV181" s="207"/>
      <c r="AW181" s="165"/>
      <c r="AX181" s="197">
        <f t="shared" si="274"/>
      </c>
    </row>
    <row customHeight="true" ht="16.071428571428573" r="182">
      <c r="A182" s="234"/>
      <c r="B182" s="197" t="s">
        <v>156</v>
      </c>
      <c r="C182" s="197" t="s">
        <v>157</v>
      </c>
      <c r="D182" s="197" t="s">
        <v>163</v>
      </c>
      <c r="E182" s="197" t="s">
        <v>172</v>
      </c>
      <c r="F182" s="199">
        <f t="shared" si="193"/>
      </c>
      <c r="G182" s="221">
        <v>2922.05</v>
      </c>
      <c r="H182" s="221">
        <v>1287.3</v>
      </c>
      <c r="I182" s="236">
        <v>0</v>
      </c>
      <c r="J182" s="236">
        <v>2</v>
      </c>
      <c r="K182" s="236">
        <v>2489.949999999997</v>
      </c>
      <c r="L182" s="236">
        <v>3</v>
      </c>
      <c r="M182" s="236">
        <v>8537.859999999986</v>
      </c>
      <c r="N182" s="155">
        <v>3</v>
      </c>
      <c r="O182" s="203">
        <f t="shared" si="46"/>
      </c>
      <c r="P182" s="155">
        <v>1</v>
      </c>
      <c r="Q182" s="203">
        <f t="shared" si="236"/>
      </c>
      <c r="R182" s="160">
        <f t="shared" si="83"/>
      </c>
      <c r="S182" s="209">
        <f t="shared" si="137"/>
      </c>
      <c r="T182" s="199">
        <f t="shared" si="234"/>
      </c>
      <c r="U182" s="199">
        <f t="shared" si="2"/>
      </c>
      <c r="V182" s="204">
        <f t="shared" si="0"/>
      </c>
      <c r="W182" s="155">
        <v>4</v>
      </c>
      <c r="X182" s="204">
        <f t="shared" si="6"/>
      </c>
      <c r="Y182" s="204">
        <f t="shared" si="4"/>
      </c>
      <c r="Z182" s="199">
        <f t="shared" si="232"/>
      </c>
      <c r="AA182" s="199">
        <f t="shared" si="47"/>
      </c>
      <c r="AB182" s="199">
        <f t="shared" si="237"/>
      </c>
      <c r="AC182" s="203">
        <f t="shared" si="235"/>
      </c>
      <c r="AD182" s="203">
        <f t="shared" si="3"/>
      </c>
      <c r="AE182" s="203">
        <f t="shared" si="1"/>
      </c>
      <c r="AF182" s="203">
        <f t="shared" si="7"/>
      </c>
      <c r="AG182" s="203">
        <f t="shared" si="5"/>
      </c>
      <c r="AH182" s="203">
        <f t="shared" si="233"/>
      </c>
      <c r="AI182" s="203">
        <f t="shared" si="48"/>
      </c>
      <c r="AJ182" s="155">
        <v>51</v>
      </c>
      <c r="AK182" s="160">
        <v>40973</v>
      </c>
      <c r="AL182" s="160">
        <v>1576</v>
      </c>
      <c r="AM182" s="160">
        <v>1733</v>
      </c>
      <c r="AN182" s="160">
        <v>136</v>
      </c>
      <c r="AO182" s="149">
        <v>41</v>
      </c>
      <c r="AP182" s="160">
        <v>105</v>
      </c>
      <c r="AQ182" s="150">
        <v>142</v>
      </c>
      <c r="AR182" s="149">
        <v>5</v>
      </c>
      <c r="AS182" s="160">
        <v>14</v>
      </c>
      <c r="AT182" s="160">
        <v>3</v>
      </c>
      <c r="AU182" s="155">
        <v>5</v>
      </c>
      <c r="AV182" s="207"/>
      <c r="AW182" s="165"/>
      <c r="AX182" s="197">
        <f t="shared" si="274"/>
      </c>
    </row>
    <row customHeight="true" ht="16.071428571428573" r="183">
      <c r="A183" s="234"/>
      <c r="B183" s="213" t="s">
        <v>162</v>
      </c>
      <c r="C183" s="213"/>
      <c r="D183" s="213"/>
      <c r="E183" s="213"/>
      <c r="F183" s="182">
        <f>SUM(F179:F182)</f>
      </c>
      <c r="G183" s="182">
        <f>SUM(G179:G182)</f>
      </c>
      <c r="H183" s="182">
        <f>SUM(H179:H182)</f>
      </c>
      <c r="I183" s="182">
        <f>SUM(I179:I182)</f>
      </c>
      <c r="J183" s="182">
        <f>SUM(J179:J182)</f>
      </c>
      <c r="K183" s="182">
        <f>SUM(K179:K182)</f>
      </c>
      <c r="L183" s="182">
        <f>SUM(L179:L182)</f>
      </c>
      <c r="M183" s="182">
        <f>SUM(M179:M182)</f>
      </c>
      <c r="N183" s="182">
        <f>SUM(N179:N182)</f>
      </c>
      <c r="O183" s="183">
        <f t="shared" si="46"/>
      </c>
      <c r="P183" s="182">
        <f>SUM(P179:P182)</f>
      </c>
      <c r="Q183" s="183">
        <f t="shared" si="236"/>
      </c>
      <c r="R183" s="182">
        <f>SUM(R179:R182)</f>
      </c>
      <c r="S183" s="182">
        <f>SUM(S179:S182)</f>
      </c>
      <c r="T183" s="182">
        <f t="shared" si="234"/>
      </c>
      <c r="U183" s="182">
        <f t="shared" si="2"/>
      </c>
      <c r="V183" s="216">
        <f t="shared" si="0"/>
      </c>
      <c r="W183" s="182">
        <f>SUM(W179:W182)</f>
      </c>
      <c r="X183" s="216">
        <f t="shared" si="6"/>
      </c>
      <c r="Y183" s="216">
        <f t="shared" si="4"/>
      </c>
      <c r="Z183" s="182">
        <f t="shared" si="232"/>
      </c>
      <c r="AA183" s="182">
        <f t="shared" si="47"/>
      </c>
      <c r="AB183" s="217">
        <f t="shared" si="237"/>
      </c>
      <c r="AC183" s="183">
        <f t="shared" si="235"/>
      </c>
      <c r="AD183" s="183">
        <f t="shared" si="3"/>
      </c>
      <c r="AE183" s="183">
        <f t="shared" si="1"/>
      </c>
      <c r="AF183" s="243">
        <f t="shared" si="7"/>
      </c>
      <c r="AG183" s="183">
        <f t="shared" si="5"/>
      </c>
      <c r="AH183" s="183">
        <f t="shared" si="233"/>
      </c>
      <c r="AI183" s="183">
        <f t="shared" si="48"/>
      </c>
      <c r="AJ183" s="219">
        <f>AVERAGE(AJ179:AJ182)</f>
      </c>
      <c r="AK183" s="182">
        <f>SUM(AK179:AK182)</f>
      </c>
      <c r="AL183" s="182">
        <f>SUM(AL179:AL182)</f>
      </c>
      <c r="AM183" s="182">
        <f>SUM(AM179:AM182)</f>
      </c>
      <c r="AN183" s="182">
        <f>SUM(AN179:AN182)</f>
      </c>
      <c r="AO183" s="182">
        <f>SUM(AO179:AO182)</f>
      </c>
      <c r="AP183" s="182">
        <f>SUM(AP179:AP182)</f>
      </c>
      <c r="AQ183" s="182">
        <f>SUM(AQ179:AQ182)</f>
      </c>
      <c r="AR183" s="182">
        <f>SUM(AR179:AR182)</f>
      </c>
      <c r="AS183" s="182">
        <f>SUM(AS179:AS182)</f>
      </c>
      <c r="AT183" s="182">
        <f>SUM(AT179:AT182)</f>
      </c>
      <c r="AU183" s="182">
        <f>SUM(AU179:AU182)</f>
      </c>
      <c r="AV183" s="207"/>
      <c r="AW183" s="180"/>
      <c r="AX183" s="181">
        <f>SUM(AX179:AX182)</f>
      </c>
    </row>
    <row r="184">
      <c r="A184" s="234"/>
      <c r="B184" s="184" t="s">
        <v>166</v>
      </c>
      <c r="C184" s="184"/>
      <c r="D184" s="184"/>
      <c r="E184" s="184"/>
      <c r="F184" s="185">
        <f>F173+F178+F183</f>
      </c>
      <c r="G184" s="185">
        <f>G173+G178+G183</f>
      </c>
      <c r="H184" s="185">
        <f>H173+H178+H183</f>
      </c>
      <c r="I184" s="184">
        <f>I173+I178+I183</f>
      </c>
      <c r="J184" s="184">
        <f>J173+J178+J183</f>
      </c>
      <c r="K184" s="184">
        <f>K173+K178+K183</f>
      </c>
      <c r="L184" s="184">
        <f>L173+L178+L183</f>
      </c>
      <c r="M184" s="184">
        <f>M173+M178+M183</f>
      </c>
      <c r="N184" s="184">
        <f>N173+N178+N183</f>
      </c>
      <c r="O184" s="186">
        <f t="shared" si="46"/>
      </c>
      <c r="P184" s="184">
        <f>P173+P178+P183</f>
      </c>
      <c r="Q184" s="186">
        <f t="shared" si="236"/>
      </c>
      <c r="R184" s="184">
        <f>R173+R178+R183</f>
      </c>
      <c r="S184" s="185">
        <f>S173+S178+S183</f>
      </c>
      <c r="T184" s="185">
        <f t="shared" si="234"/>
      </c>
      <c r="U184" s="185">
        <f t="shared" si="2"/>
      </c>
      <c r="V184" s="187">
        <f t="shared" si="0"/>
      </c>
      <c r="W184" s="184">
        <f>W173+W178+W183</f>
      </c>
      <c r="X184" s="187">
        <f t="shared" si="6"/>
      </c>
      <c r="Y184" s="187">
        <f t="shared" si="4"/>
      </c>
      <c r="Z184" s="185">
        <f t="shared" si="232"/>
      </c>
      <c r="AA184" s="185">
        <f t="shared" si="47"/>
      </c>
      <c r="AB184" s="189">
        <f t="shared" si="237"/>
      </c>
      <c r="AC184" s="186">
        <f t="shared" si="235"/>
      </c>
      <c r="AD184" s="186">
        <f t="shared" si="3"/>
      </c>
      <c r="AE184" s="186">
        <f t="shared" si="1"/>
      </c>
      <c r="AF184" s="241">
        <f t="shared" si="7"/>
      </c>
      <c r="AG184" s="186">
        <f t="shared" si="5"/>
      </c>
      <c r="AH184" s="186">
        <f t="shared" si="233"/>
      </c>
      <c r="AI184" s="186">
        <f t="shared" si="48"/>
      </c>
      <c r="AJ184" s="190">
        <f>(AJ173+AJ178+AJ183)/3</f>
      </c>
      <c r="AK184" s="184">
        <f>AK173+AK178+AK183</f>
      </c>
      <c r="AL184" s="184">
        <f>AL173+AL178+AL183</f>
      </c>
      <c r="AM184" s="184">
        <f>AM173+AM178+AM183</f>
      </c>
      <c r="AN184" s="184">
        <f>AN173+AN178+AN183</f>
      </c>
      <c r="AO184" s="184">
        <f>AO173+AO178+AO183</f>
      </c>
      <c r="AP184" s="184">
        <f>AP173+AP178+AP183</f>
      </c>
      <c r="AQ184" s="184">
        <f>AQ173+AQ178+AQ183</f>
      </c>
      <c r="AR184" s="184">
        <f>AR173+AR178+AR183</f>
      </c>
      <c r="AS184" s="184">
        <f>AS173+AS178+AS183</f>
      </c>
      <c r="AT184" s="184">
        <f>AT173+AT178+AT183</f>
      </c>
      <c r="AU184" s="184">
        <f>AU173+AU178+AU183</f>
      </c>
      <c r="AV184" s="207"/>
      <c r="AW184" s="184">
        <f>AW173+AW178+AW183</f>
      </c>
      <c r="AX184" s="184">
        <f>AX173+AX178+AX183</f>
      </c>
    </row>
    <row r="185">
      <c r="A185" s="234">
        <v>46285</v>
      </c>
      <c r="B185" s="149" t="s">
        <v>174</v>
      </c>
      <c r="C185" s="150" t="s">
        <v>157</v>
      </c>
      <c r="D185" s="149" t="s">
        <v>158</v>
      </c>
      <c r="E185" s="149" t="s">
        <v>175</v>
      </c>
      <c r="F185" s="159">
        <f t="shared" ref="F185:F188" si="194">G185+H185+I185</f>
      </c>
      <c r="G185" s="152">
        <v>4865.72</v>
      </c>
      <c r="H185" s="152">
        <v>3146.09</v>
      </c>
      <c r="I185" s="236">
        <v>0</v>
      </c>
      <c r="J185" s="236">
        <v>0</v>
      </c>
      <c r="K185" s="242">
        <v>0</v>
      </c>
      <c r="L185" s="236">
        <v>1</v>
      </c>
      <c r="M185" s="236">
        <v>1429.56</v>
      </c>
      <c r="N185" s="155">
        <v>1</v>
      </c>
      <c r="O185" s="156">
        <f t="shared" si="46"/>
      </c>
      <c r="P185" s="155">
        <v>0</v>
      </c>
      <c r="Q185" s="156">
        <f t="shared" si="236"/>
      </c>
      <c r="R185" s="244">
        <f t="shared" ref="R185:R188" si="84">L185+J185</f>
      </c>
      <c r="S185" s="237">
        <f t="shared" ref="S185:S188" si="138">M185+K185</f>
      </c>
      <c r="T185" s="159">
        <f t="shared" si="234"/>
      </c>
      <c r="U185" s="159">
        <f t="shared" si="2"/>
      </c>
      <c r="V185" s="160">
        <f t="shared" si="0"/>
      </c>
      <c r="W185" s="155">
        <v>1</v>
      </c>
      <c r="X185" s="169">
        <f t="shared" si="6"/>
      </c>
      <c r="Y185" s="169">
        <f t="shared" si="4"/>
      </c>
      <c r="Z185" s="159">
        <f t="shared" si="232"/>
      </c>
      <c r="AA185" s="159">
        <f t="shared" si="47"/>
      </c>
      <c r="AB185" s="159">
        <f t="shared" si="237"/>
      </c>
      <c r="AC185" s="156">
        <f t="shared" si="235"/>
      </c>
      <c r="AD185" s="156">
        <f t="shared" si="3"/>
      </c>
      <c r="AE185" s="156">
        <f t="shared" si="1"/>
      </c>
      <c r="AF185" s="156">
        <f t="shared" si="7"/>
      </c>
      <c r="AG185" s="156">
        <f t="shared" si="5"/>
      </c>
      <c r="AH185" s="156">
        <f t="shared" si="233"/>
      </c>
      <c r="AI185" s="156">
        <f t="shared" si="48"/>
      </c>
      <c r="AJ185" s="155">
        <v>44</v>
      </c>
      <c r="AK185" s="160">
        <v>51182</v>
      </c>
      <c r="AL185" s="160">
        <v>1511</v>
      </c>
      <c r="AM185" s="160">
        <v>1681</v>
      </c>
      <c r="AN185" s="160">
        <v>217</v>
      </c>
      <c r="AO185" s="149">
        <v>45</v>
      </c>
      <c r="AP185" s="149">
        <v>124</v>
      </c>
      <c r="AQ185" s="150">
        <v>218</v>
      </c>
      <c r="AR185" s="149">
        <v>3</v>
      </c>
      <c r="AS185" s="149">
        <v>16</v>
      </c>
      <c r="AT185" s="160">
        <v>3</v>
      </c>
      <c r="AU185" s="160">
        <v>9</v>
      </c>
      <c r="AV185" s="207"/>
      <c r="AW185" s="165"/>
      <c r="AX185" s="197">
        <f t="shared" ref="AX185:AX188" si="275">COUNT(AU185)</f>
      </c>
    </row>
    <row r="186">
      <c r="A186" s="234"/>
      <c r="B186" s="149" t="s">
        <v>174</v>
      </c>
      <c r="C186" s="150" t="s">
        <v>157</v>
      </c>
      <c r="D186" s="149" t="s">
        <v>158</v>
      </c>
      <c r="E186" s="149" t="s">
        <v>176</v>
      </c>
      <c r="F186" s="159">
        <f t="shared" si="194"/>
      </c>
      <c r="G186" s="152">
        <v>1980.85</v>
      </c>
      <c r="H186" s="152">
        <v>2185.03</v>
      </c>
      <c r="I186" s="236">
        <v>0</v>
      </c>
      <c r="J186" s="236">
        <v>1</v>
      </c>
      <c r="K186" s="236">
        <v>7792.8</v>
      </c>
      <c r="L186" s="236">
        <v>3</v>
      </c>
      <c r="M186" s="236">
        <v>9333.75</v>
      </c>
      <c r="N186" s="155">
        <v>3</v>
      </c>
      <c r="O186" s="156">
        <f t="shared" si="46"/>
      </c>
      <c r="P186" s="155">
        <v>2</v>
      </c>
      <c r="Q186" s="156">
        <f t="shared" si="236"/>
      </c>
      <c r="R186" s="244">
        <f t="shared" si="84"/>
      </c>
      <c r="S186" s="237">
        <f t="shared" si="138"/>
      </c>
      <c r="T186" s="159">
        <f t="shared" si="234"/>
      </c>
      <c r="U186" s="159">
        <f t="shared" si="2"/>
      </c>
      <c r="V186" s="160">
        <f t="shared" si="0"/>
      </c>
      <c r="W186" s="155">
        <v>1</v>
      </c>
      <c r="X186" s="169">
        <f t="shared" si="6"/>
      </c>
      <c r="Y186" s="169">
        <f t="shared" si="4"/>
      </c>
      <c r="Z186" s="159">
        <f t="shared" si="232"/>
      </c>
      <c r="AA186" s="159">
        <f t="shared" si="47"/>
      </c>
      <c r="AB186" s="159">
        <f t="shared" si="237"/>
      </c>
      <c r="AC186" s="156">
        <f t="shared" si="235"/>
      </c>
      <c r="AD186" s="156">
        <f t="shared" si="3"/>
      </c>
      <c r="AE186" s="156">
        <f t="shared" si="1"/>
      </c>
      <c r="AF186" s="156">
        <f t="shared" si="7"/>
      </c>
      <c r="AG186" s="156">
        <f t="shared" si="5"/>
      </c>
      <c r="AH186" s="156">
        <f t="shared" si="233"/>
      </c>
      <c r="AI186" s="156">
        <f t="shared" si="48"/>
      </c>
      <c r="AJ186" s="155">
        <v>61</v>
      </c>
      <c r="AK186" s="160">
        <v>22364</v>
      </c>
      <c r="AL186" s="160">
        <v>574</v>
      </c>
      <c r="AM186" s="160">
        <v>657</v>
      </c>
      <c r="AN186" s="160">
        <v>106</v>
      </c>
      <c r="AO186" s="149">
        <v>30</v>
      </c>
      <c r="AP186" s="160">
        <v>96</v>
      </c>
      <c r="AQ186" s="150">
        <v>120</v>
      </c>
      <c r="AR186" s="149">
        <v>8</v>
      </c>
      <c r="AS186" s="155">
        <v>11</v>
      </c>
      <c r="AT186" s="155">
        <v>1</v>
      </c>
      <c r="AU186" s="155">
        <v>4</v>
      </c>
      <c r="AV186" s="207"/>
      <c r="AW186" s="165"/>
      <c r="AX186" s="197">
        <f t="shared" si="275"/>
      </c>
    </row>
    <row r="187">
      <c r="A187" s="234"/>
      <c r="B187" s="149" t="s">
        <v>174</v>
      </c>
      <c r="C187" s="150" t="s">
        <v>157</v>
      </c>
      <c r="D187" s="149" t="s">
        <v>158</v>
      </c>
      <c r="E187" s="149" t="s">
        <v>177</v>
      </c>
      <c r="F187" s="159">
        <f t="shared" si="194"/>
      </c>
      <c r="G187" s="152">
        <v>2011.05</v>
      </c>
      <c r="H187" s="152">
        <v>1972.12</v>
      </c>
      <c r="I187" s="236">
        <v>0</v>
      </c>
      <c r="J187" s="236">
        <v>0</v>
      </c>
      <c r="K187" s="236">
        <v>0</v>
      </c>
      <c r="L187" s="236">
        <v>2</v>
      </c>
      <c r="M187" s="236">
        <v>4156.25</v>
      </c>
      <c r="N187" s="155">
        <v>0</v>
      </c>
      <c r="O187" s="156">
        <f t="shared" si="46"/>
      </c>
      <c r="P187" s="155">
        <v>0</v>
      </c>
      <c r="Q187" s="156">
        <f t="shared" si="236"/>
      </c>
      <c r="R187" s="244">
        <f t="shared" si="84"/>
      </c>
      <c r="S187" s="237">
        <f t="shared" si="138"/>
      </c>
      <c r="T187" s="159">
        <f t="shared" si="234"/>
      </c>
      <c r="U187" s="159">
        <f t="shared" si="2"/>
      </c>
      <c r="V187" s="169">
        <f t="shared" si="0"/>
      </c>
      <c r="W187" s="155">
        <v>2</v>
      </c>
      <c r="X187" s="169">
        <f t="shared" si="6"/>
      </c>
      <c r="Y187" s="169">
        <f t="shared" si="4"/>
      </c>
      <c r="Z187" s="159">
        <f t="shared" si="232"/>
      </c>
      <c r="AA187" s="159">
        <f t="shared" si="47"/>
      </c>
      <c r="AB187" s="159">
        <f t="shared" si="237"/>
      </c>
      <c r="AC187" s="156">
        <f t="shared" si="235"/>
      </c>
      <c r="AD187" s="156">
        <f t="shared" si="3"/>
      </c>
      <c r="AE187" s="156">
        <f t="shared" si="1"/>
      </c>
      <c r="AF187" s="156">
        <f t="shared" si="7"/>
      </c>
      <c r="AG187" s="156">
        <f t="shared" si="5"/>
      </c>
      <c r="AH187" s="156">
        <f t="shared" si="233"/>
      </c>
      <c r="AI187" s="156">
        <f t="shared" si="48"/>
      </c>
      <c r="AJ187" s="155">
        <v>64</v>
      </c>
      <c r="AK187" s="160">
        <v>21186</v>
      </c>
      <c r="AL187" s="160">
        <v>574</v>
      </c>
      <c r="AM187" s="160">
        <v>676</v>
      </c>
      <c r="AN187" s="160">
        <v>114</v>
      </c>
      <c r="AO187" s="149">
        <v>25</v>
      </c>
      <c r="AP187" s="160">
        <v>85</v>
      </c>
      <c r="AQ187" s="150">
        <v>120</v>
      </c>
      <c r="AR187" s="149">
        <v>2</v>
      </c>
      <c r="AS187" s="160">
        <v>5</v>
      </c>
      <c r="AT187" s="160">
        <v>1</v>
      </c>
      <c r="AU187" s="160">
        <v>2</v>
      </c>
      <c r="AV187" s="207"/>
      <c r="AW187" s="165"/>
      <c r="AX187" s="197">
        <f t="shared" si="275"/>
      </c>
    </row>
    <row r="188">
      <c r="A188" s="234"/>
      <c r="B188" s="149" t="s">
        <v>174</v>
      </c>
      <c r="C188" s="150" t="s">
        <v>157</v>
      </c>
      <c r="D188" s="149" t="s">
        <v>158</v>
      </c>
      <c r="E188" s="149" t="s">
        <v>178</v>
      </c>
      <c r="F188" s="159">
        <f t="shared" si="194"/>
      </c>
      <c r="G188" s="152">
        <v>2378.69</v>
      </c>
      <c r="H188" s="152">
        <v>1341.88</v>
      </c>
      <c r="I188" s="236">
        <v>0</v>
      </c>
      <c r="J188" s="236">
        <v>1</v>
      </c>
      <c r="K188" s="236">
        <v>1014.5999999999995</v>
      </c>
      <c r="L188" s="236">
        <v>0</v>
      </c>
      <c r="M188" s="236">
        <v>0</v>
      </c>
      <c r="N188" s="155">
        <v>0</v>
      </c>
      <c r="O188" s="156">
        <f t="shared" si="46"/>
      </c>
      <c r="P188" s="155">
        <v>0</v>
      </c>
      <c r="Q188" s="156">
        <f t="shared" si="236"/>
      </c>
      <c r="R188" s="244">
        <f t="shared" si="84"/>
      </c>
      <c r="S188" s="237">
        <f t="shared" si="138"/>
      </c>
      <c r="T188" s="159">
        <f t="shared" si="234"/>
      </c>
      <c r="U188" s="159">
        <f t="shared" si="2"/>
      </c>
      <c r="V188" s="169">
        <f t="shared" si="0"/>
      </c>
      <c r="W188" s="155">
        <v>1</v>
      </c>
      <c r="X188" s="169">
        <f t="shared" si="6"/>
      </c>
      <c r="Y188" s="169">
        <f t="shared" si="4"/>
      </c>
      <c r="Z188" s="159">
        <f t="shared" si="232"/>
      </c>
      <c r="AA188" s="159">
        <f t="shared" si="47"/>
      </c>
      <c r="AB188" s="159">
        <f t="shared" si="237"/>
      </c>
      <c r="AC188" s="156">
        <f t="shared" si="235"/>
      </c>
      <c r="AD188" s="156">
        <f t="shared" si="3"/>
      </c>
      <c r="AE188" s="156">
        <f t="shared" si="1"/>
      </c>
      <c r="AF188" s="156">
        <f t="shared" si="7"/>
      </c>
      <c r="AG188" s="156">
        <f t="shared" si="5"/>
      </c>
      <c r="AH188" s="156">
        <f t="shared" si="233"/>
      </c>
      <c r="AI188" s="156">
        <f t="shared" si="48"/>
      </c>
      <c r="AJ188" s="155">
        <v>64</v>
      </c>
      <c r="AK188" s="160">
        <v>21150</v>
      </c>
      <c r="AL188" s="160">
        <v>523</v>
      </c>
      <c r="AM188" s="160">
        <v>607</v>
      </c>
      <c r="AN188" s="160">
        <v>111</v>
      </c>
      <c r="AO188" s="149">
        <v>30</v>
      </c>
      <c r="AP188" s="155">
        <v>113</v>
      </c>
      <c r="AQ188" s="149">
        <v>89</v>
      </c>
      <c r="AR188" s="149">
        <v>2</v>
      </c>
      <c r="AS188" s="155">
        <v>5</v>
      </c>
      <c r="AT188" s="155">
        <v>2</v>
      </c>
      <c r="AU188" s="155">
        <v>3</v>
      </c>
      <c r="AV188" s="207"/>
      <c r="AW188" s="165"/>
      <c r="AX188" s="197">
        <f t="shared" si="275"/>
      </c>
    </row>
    <row r="189">
      <c r="A189" s="234"/>
      <c r="B189" s="171" t="s">
        <v>162</v>
      </c>
      <c r="C189" s="171"/>
      <c r="D189" s="171"/>
      <c r="E189" s="171"/>
      <c r="F189" s="173">
        <f>SUM(F185:F188)</f>
      </c>
      <c r="G189" s="173">
        <f>SUM(G185:G188)</f>
      </c>
      <c r="H189" s="173">
        <f>SUM(H185:H188)</f>
      </c>
      <c r="I189" s="173">
        <f>SUM(I185:I188)</f>
      </c>
      <c r="J189" s="173">
        <f>SUM(J185:J188)</f>
      </c>
      <c r="K189" s="173">
        <f>SUM(K185:K188)</f>
      </c>
      <c r="L189" s="173">
        <f>SUM(L185:L188)</f>
      </c>
      <c r="M189" s="173">
        <f>SUM(M185:M188)</f>
      </c>
      <c r="N189" s="173">
        <f>SUM(N185:N188)</f>
      </c>
      <c r="O189" s="175">
        <f t="shared" si="46"/>
      </c>
      <c r="P189" s="173">
        <f>SUM(P185:P188)</f>
      </c>
      <c r="Q189" s="175">
        <f t="shared" si="236"/>
      </c>
      <c r="R189" s="178">
        <f>SUM(R185:R188)</f>
      </c>
      <c r="S189" s="173">
        <f>SUM(S185:S188)</f>
      </c>
      <c r="T189" s="173">
        <f t="shared" si="234"/>
      </c>
      <c r="U189" s="173">
        <f t="shared" si="2"/>
      </c>
      <c r="V189" s="173">
        <f t="shared" si="0"/>
      </c>
      <c r="W189" s="173">
        <f>SUM(W185:W188)</f>
      </c>
      <c r="X189" s="194">
        <f t="shared" si="6"/>
      </c>
      <c r="Y189" s="194">
        <f t="shared" si="4"/>
      </c>
      <c r="Z189" s="173">
        <f t="shared" si="232"/>
      </c>
      <c r="AA189" s="173">
        <f t="shared" si="47"/>
      </c>
      <c r="AB189" s="238">
        <f t="shared" si="237"/>
      </c>
      <c r="AC189" s="175">
        <f t="shared" si="235"/>
      </c>
      <c r="AD189" s="175">
        <f t="shared" si="3"/>
      </c>
      <c r="AE189" s="175">
        <f t="shared" si="1"/>
      </c>
      <c r="AF189" s="175">
        <f t="shared" si="7"/>
      </c>
      <c r="AG189" s="175">
        <f t="shared" si="5"/>
      </c>
      <c r="AH189" s="175">
        <f t="shared" si="233"/>
      </c>
      <c r="AI189" s="175">
        <f t="shared" si="48"/>
      </c>
      <c r="AJ189" s="178">
        <f>AVERAGE(AJ185:AJ188)</f>
      </c>
      <c r="AK189" s="173">
        <f>SUM(AK185:AK188)</f>
      </c>
      <c r="AL189" s="173">
        <f>SUM(AL185:AL188)</f>
      </c>
      <c r="AM189" s="173">
        <f>SUM(AM185:AM188)</f>
      </c>
      <c r="AN189" s="173">
        <f>SUM(AN185:AN188)</f>
      </c>
      <c r="AO189" s="173">
        <f>SUM(AO185:AO188)</f>
      </c>
      <c r="AP189" s="173">
        <f>SUM(AP185:AP188)</f>
      </c>
      <c r="AQ189" s="173">
        <f>SUM(AQ185:AQ188)</f>
      </c>
      <c r="AR189" s="173">
        <f>SUM(AR185:AR188)</f>
      </c>
      <c r="AS189" s="173">
        <f>SUM(AS185:AS188)</f>
      </c>
      <c r="AT189" s="173">
        <f>SUM(AT185:AT188)</f>
      </c>
      <c r="AU189" s="173">
        <f>SUM(AU185:AU188)</f>
      </c>
      <c r="AV189" s="207"/>
      <c r="AW189" s="180"/>
      <c r="AX189" s="181">
        <f>SUM(AX185:AX188)</f>
      </c>
    </row>
    <row r="190">
      <c r="A190" s="234"/>
      <c r="B190" s="149" t="s">
        <v>174</v>
      </c>
      <c r="C190" s="150" t="s">
        <v>157</v>
      </c>
      <c r="D190" s="149" t="s">
        <v>169</v>
      </c>
      <c r="E190" s="150" t="s">
        <v>159</v>
      </c>
      <c r="F190" s="159">
        <f t="shared" ref="F190:F193" si="195">G190+H190+I190</f>
      </c>
      <c r="G190" s="152">
        <v>2603.4</v>
      </c>
      <c r="H190" s="152">
        <v>1109.85</v>
      </c>
      <c r="I190" s="236">
        <v>0</v>
      </c>
      <c r="J190" s="236">
        <v>1</v>
      </c>
      <c r="K190" s="236">
        <v>1286</v>
      </c>
      <c r="L190" s="236">
        <v>2</v>
      </c>
      <c r="M190" s="236">
        <v>3669.499999999998</v>
      </c>
      <c r="N190" s="155">
        <v>1</v>
      </c>
      <c r="O190" s="156">
        <f t="shared" si="46"/>
      </c>
      <c r="P190" s="155">
        <v>0</v>
      </c>
      <c r="Q190" s="156">
        <f t="shared" si="236"/>
      </c>
      <c r="R190" s="244">
        <f t="shared" ref="R190:R193" si="85">L190+J190</f>
      </c>
      <c r="S190" s="237">
        <f t="shared" ref="S190:S193" si="139">M190+K190</f>
      </c>
      <c r="T190" s="159">
        <f t="shared" si="234"/>
      </c>
      <c r="U190" s="159">
        <f t="shared" si="2"/>
      </c>
      <c r="V190" s="169">
        <f t="shared" si="0"/>
      </c>
      <c r="W190" s="155">
        <v>2</v>
      </c>
      <c r="X190" s="169">
        <f t="shared" si="6"/>
      </c>
      <c r="Y190" s="169">
        <f t="shared" si="4"/>
      </c>
      <c r="Z190" s="159">
        <f t="shared" si="232"/>
      </c>
      <c r="AA190" s="159">
        <f t="shared" si="47"/>
      </c>
      <c r="AB190" s="159">
        <f t="shared" si="237"/>
      </c>
      <c r="AC190" s="156">
        <f t="shared" si="235"/>
      </c>
      <c r="AD190" s="156">
        <f t="shared" si="3"/>
      </c>
      <c r="AE190" s="156">
        <f t="shared" si="1"/>
      </c>
      <c r="AF190" s="156">
        <f t="shared" si="7"/>
      </c>
      <c r="AG190" s="156">
        <f t="shared" si="5"/>
      </c>
      <c r="AH190" s="156">
        <f t="shared" si="233"/>
      </c>
      <c r="AI190" s="156">
        <f t="shared" si="48"/>
      </c>
      <c r="AJ190" s="155">
        <v>63</v>
      </c>
      <c r="AK190" s="160">
        <v>20018</v>
      </c>
      <c r="AL190" s="160">
        <v>561</v>
      </c>
      <c r="AM190" s="160">
        <v>666</v>
      </c>
      <c r="AN190" s="160">
        <v>118</v>
      </c>
      <c r="AO190" s="149">
        <v>45</v>
      </c>
      <c r="AP190" s="160">
        <v>78</v>
      </c>
      <c r="AQ190" s="150">
        <v>111</v>
      </c>
      <c r="AR190" s="149">
        <v>4</v>
      </c>
      <c r="AS190" s="149">
        <v>5</v>
      </c>
      <c r="AT190" s="160">
        <v>0</v>
      </c>
      <c r="AU190" s="160">
        <v>1</v>
      </c>
      <c r="AV190" s="207"/>
      <c r="AW190" s="165"/>
      <c r="AX190" s="197">
        <f t="shared" ref="AX190:AX193" si="276">COUNT(AU190)</f>
      </c>
    </row>
    <row r="191">
      <c r="A191" s="234"/>
      <c r="B191" s="149" t="s">
        <v>174</v>
      </c>
      <c r="C191" s="150" t="s">
        <v>157</v>
      </c>
      <c r="D191" s="149" t="s">
        <v>169</v>
      </c>
      <c r="E191" s="150" t="s">
        <v>160</v>
      </c>
      <c r="F191" s="159">
        <f t="shared" si="195"/>
      </c>
      <c r="G191" s="152">
        <v>3240.14</v>
      </c>
      <c r="H191" s="152">
        <v>1306.59</v>
      </c>
      <c r="I191" s="236">
        <v>0</v>
      </c>
      <c r="J191" s="236">
        <v>2</v>
      </c>
      <c r="K191" s="236">
        <v>2015.2399999999998</v>
      </c>
      <c r="L191" s="236">
        <v>2</v>
      </c>
      <c r="M191" s="236">
        <v>2606.420000000002</v>
      </c>
      <c r="N191" s="155">
        <v>3</v>
      </c>
      <c r="O191" s="156">
        <f t="shared" si="46"/>
      </c>
      <c r="P191" s="155">
        <v>0</v>
      </c>
      <c r="Q191" s="156">
        <f t="shared" si="236"/>
      </c>
      <c r="R191" s="244">
        <f t="shared" si="85"/>
      </c>
      <c r="S191" s="237">
        <f t="shared" si="139"/>
      </c>
      <c r="T191" s="159">
        <f t="shared" si="234"/>
      </c>
      <c r="U191" s="159">
        <f t="shared" si="2"/>
      </c>
      <c r="V191" s="169">
        <f t="shared" si="0"/>
      </c>
      <c r="W191" s="155">
        <v>3</v>
      </c>
      <c r="X191" s="169">
        <f t="shared" si="6"/>
      </c>
      <c r="Y191" s="169">
        <f t="shared" si="4"/>
      </c>
      <c r="Z191" s="159">
        <f t="shared" si="232"/>
      </c>
      <c r="AA191" s="159">
        <f t="shared" si="47"/>
      </c>
      <c r="AB191" s="159">
        <f t="shared" si="237"/>
      </c>
      <c r="AC191" s="156">
        <f t="shared" si="235"/>
      </c>
      <c r="AD191" s="156">
        <f t="shared" si="3"/>
      </c>
      <c r="AE191" s="156">
        <f t="shared" si="1"/>
      </c>
      <c r="AF191" s="156">
        <f t="shared" si="7"/>
      </c>
      <c r="AG191" s="156">
        <f t="shared" si="5"/>
      </c>
      <c r="AH191" s="156">
        <f t="shared" si="233"/>
      </c>
      <c r="AI191" s="156">
        <f t="shared" si="48"/>
      </c>
      <c r="AJ191" s="155">
        <v>63</v>
      </c>
      <c r="AK191" s="160">
        <v>28294</v>
      </c>
      <c r="AL191" s="160">
        <v>667</v>
      </c>
      <c r="AM191" s="160">
        <v>761</v>
      </c>
      <c r="AN191" s="160">
        <v>133</v>
      </c>
      <c r="AO191" s="149">
        <v>40</v>
      </c>
      <c r="AP191" s="160">
        <v>105</v>
      </c>
      <c r="AQ191" s="150">
        <v>128</v>
      </c>
      <c r="AR191" s="149">
        <v>8</v>
      </c>
      <c r="AS191" s="149">
        <v>14</v>
      </c>
      <c r="AT191" s="160">
        <v>3</v>
      </c>
      <c r="AU191" s="160">
        <v>4</v>
      </c>
      <c r="AV191" s="207"/>
      <c r="AW191" s="165"/>
      <c r="AX191" s="197">
        <f t="shared" si="276"/>
      </c>
    </row>
    <row r="192">
      <c r="A192" s="234"/>
      <c r="B192" s="149" t="s">
        <v>174</v>
      </c>
      <c r="C192" s="150" t="s">
        <v>157</v>
      </c>
      <c r="D192" s="149" t="s">
        <v>169</v>
      </c>
      <c r="E192" s="150" t="s">
        <v>161</v>
      </c>
      <c r="F192" s="159">
        <f t="shared" si="195"/>
      </c>
      <c r="G192" s="152">
        <v>2768.95</v>
      </c>
      <c r="H192" s="152">
        <v>741.6</v>
      </c>
      <c r="I192" s="236">
        <v>0</v>
      </c>
      <c r="J192" s="236">
        <v>1</v>
      </c>
      <c r="K192" s="236">
        <v>1221.7000000000007</v>
      </c>
      <c r="L192" s="236">
        <v>3</v>
      </c>
      <c r="M192" s="236">
        <v>7543.25</v>
      </c>
      <c r="N192" s="155">
        <v>0</v>
      </c>
      <c r="O192" s="156">
        <f t="shared" si="46"/>
      </c>
      <c r="P192" s="155">
        <v>0</v>
      </c>
      <c r="Q192" s="156">
        <f t="shared" si="236"/>
      </c>
      <c r="R192" s="244">
        <f t="shared" si="85"/>
      </c>
      <c r="S192" s="237">
        <f t="shared" si="139"/>
      </c>
      <c r="T192" s="159">
        <f t="shared" si="234"/>
      </c>
      <c r="U192" s="159">
        <f t="shared" si="2"/>
      </c>
      <c r="V192" s="169">
        <f t="shared" si="0"/>
      </c>
      <c r="W192" s="155">
        <v>3</v>
      </c>
      <c r="X192" s="169">
        <f t="shared" si="6"/>
      </c>
      <c r="Y192" s="169">
        <f t="shared" si="4"/>
      </c>
      <c r="Z192" s="159">
        <f t="shared" si="232"/>
      </c>
      <c r="AA192" s="159">
        <f t="shared" si="47"/>
      </c>
      <c r="AB192" s="159">
        <f t="shared" si="237"/>
      </c>
      <c r="AC192" s="156">
        <f t="shared" si="235"/>
      </c>
      <c r="AD192" s="156">
        <f t="shared" si="3"/>
      </c>
      <c r="AE192" s="156">
        <f t="shared" si="1"/>
      </c>
      <c r="AF192" s="156">
        <f t="shared" si="7"/>
      </c>
      <c r="AG192" s="156">
        <f t="shared" si="5"/>
      </c>
      <c r="AH192" s="156">
        <f t="shared" si="233"/>
      </c>
      <c r="AI192" s="156">
        <f t="shared" si="48"/>
      </c>
      <c r="AJ192" s="155">
        <v>63</v>
      </c>
      <c r="AK192" s="160">
        <v>30547</v>
      </c>
      <c r="AL192" s="160">
        <v>662</v>
      </c>
      <c r="AM192" s="160">
        <v>730</v>
      </c>
      <c r="AN192" s="160">
        <v>123</v>
      </c>
      <c r="AO192" s="149">
        <v>32</v>
      </c>
      <c r="AP192" s="160">
        <v>77</v>
      </c>
      <c r="AQ192" s="150">
        <v>95</v>
      </c>
      <c r="AR192" s="149">
        <v>5</v>
      </c>
      <c r="AS192" s="155">
        <v>11</v>
      </c>
      <c r="AT192" s="160">
        <v>1</v>
      </c>
      <c r="AU192" s="160">
        <v>4</v>
      </c>
      <c r="AV192" s="207"/>
      <c r="AW192" s="165"/>
      <c r="AX192" s="197">
        <f t="shared" si="276"/>
      </c>
    </row>
    <row r="193">
      <c r="A193" s="234"/>
      <c r="B193" s="149" t="s">
        <v>174</v>
      </c>
      <c r="C193" s="150" t="s">
        <v>157</v>
      </c>
      <c r="D193" s="149" t="s">
        <v>169</v>
      </c>
      <c r="E193" s="150" t="s">
        <v>164</v>
      </c>
      <c r="F193" s="159">
        <f t="shared" si="195"/>
      </c>
      <c r="G193" s="152">
        <v>2352.29</v>
      </c>
      <c r="H193" s="152">
        <v>1448.15</v>
      </c>
      <c r="I193" s="236">
        <v>0</v>
      </c>
      <c r="J193" s="236">
        <v>1</v>
      </c>
      <c r="K193" s="236">
        <v>1055.449999999999</v>
      </c>
      <c r="L193" s="236">
        <v>6</v>
      </c>
      <c r="M193" s="236">
        <v>24146.729999999992</v>
      </c>
      <c r="N193" s="155">
        <v>1</v>
      </c>
      <c r="O193" s="156">
        <f t="shared" si="46"/>
      </c>
      <c r="P193" s="155">
        <v>3</v>
      </c>
      <c r="Q193" s="156">
        <f t="shared" si="236"/>
      </c>
      <c r="R193" s="244">
        <f t="shared" si="85"/>
      </c>
      <c r="S193" s="237">
        <f t="shared" si="139"/>
      </c>
      <c r="T193" s="159">
        <f t="shared" si="234"/>
      </c>
      <c r="U193" s="159">
        <f t="shared" si="2"/>
      </c>
      <c r="V193" s="169">
        <f t="shared" si="0"/>
      </c>
      <c r="W193" s="155">
        <v>4</v>
      </c>
      <c r="X193" s="169">
        <f t="shared" si="6"/>
      </c>
      <c r="Y193" s="169">
        <f t="shared" si="4"/>
      </c>
      <c r="Z193" s="159">
        <f t="shared" si="232"/>
      </c>
      <c r="AA193" s="159">
        <f t="shared" si="47"/>
      </c>
      <c r="AB193" s="159">
        <f t="shared" si="237"/>
      </c>
      <c r="AC193" s="156">
        <f t="shared" si="235"/>
      </c>
      <c r="AD193" s="156">
        <f t="shared" si="3"/>
      </c>
      <c r="AE193" s="156">
        <f t="shared" si="1"/>
      </c>
      <c r="AF193" s="156">
        <f t="shared" si="7"/>
      </c>
      <c r="AG193" s="156">
        <f t="shared" si="5"/>
      </c>
      <c r="AH193" s="156">
        <f t="shared" si="233"/>
      </c>
      <c r="AI193" s="156">
        <f t="shared" si="48"/>
      </c>
      <c r="AJ193" s="155">
        <v>65</v>
      </c>
      <c r="AK193" s="160">
        <v>26861</v>
      </c>
      <c r="AL193" s="160">
        <v>530</v>
      </c>
      <c r="AM193" s="160">
        <v>575</v>
      </c>
      <c r="AN193" s="160">
        <v>152</v>
      </c>
      <c r="AO193" s="149">
        <v>43</v>
      </c>
      <c r="AP193" s="160">
        <v>115</v>
      </c>
      <c r="AQ193" s="150">
        <v>118</v>
      </c>
      <c r="AR193" s="149">
        <v>10</v>
      </c>
      <c r="AS193" s="160">
        <v>11</v>
      </c>
      <c r="AT193" s="160">
        <v>2</v>
      </c>
      <c r="AU193" s="155">
        <v>2</v>
      </c>
      <c r="AV193" s="207"/>
      <c r="AW193" s="165"/>
      <c r="AX193" s="197">
        <f t="shared" si="276"/>
      </c>
    </row>
    <row r="194">
      <c r="A194" s="234"/>
      <c r="B194" s="171" t="s">
        <v>162</v>
      </c>
      <c r="C194" s="171"/>
      <c r="D194" s="171"/>
      <c r="E194" s="171"/>
      <c r="F194" s="173">
        <f>SUM(F190:F193)</f>
      </c>
      <c r="G194" s="173">
        <f>SUM(G190:G193)</f>
      </c>
      <c r="H194" s="173">
        <f>SUM(H190:H193)</f>
      </c>
      <c r="I194" s="173">
        <f>SUM(I190:I193)</f>
      </c>
      <c r="J194" s="173">
        <f>SUM(J190:J193)</f>
      </c>
      <c r="K194" s="173">
        <f>SUM(K190:K193)</f>
      </c>
      <c r="L194" s="173">
        <f>SUM(L190:L193)</f>
      </c>
      <c r="M194" s="173">
        <f>SUM(M190:M193)</f>
      </c>
      <c r="N194" s="173">
        <f>SUM(N190:N193)</f>
      </c>
      <c r="O194" s="175">
        <f t="shared" si="46"/>
      </c>
      <c r="P194" s="173">
        <f>SUM(P190:P193)</f>
      </c>
      <c r="Q194" s="175">
        <f t="shared" si="236"/>
      </c>
      <c r="R194" s="178">
        <f>SUM(R190:R193)</f>
      </c>
      <c r="S194" s="173">
        <f>SUM(S190:S193)</f>
      </c>
      <c r="T194" s="173">
        <f t="shared" si="234"/>
      </c>
      <c r="U194" s="173">
        <f t="shared" si="2"/>
      </c>
      <c r="V194" s="194">
        <f t="shared" si="0"/>
      </c>
      <c r="W194" s="173">
        <f>SUM(W190:W193)</f>
      </c>
      <c r="X194" s="194">
        <f t="shared" si="6"/>
      </c>
      <c r="Y194" s="194">
        <f t="shared" si="4"/>
      </c>
      <c r="Z194" s="173">
        <f t="shared" si="232"/>
      </c>
      <c r="AA194" s="173">
        <f t="shared" si="47"/>
      </c>
      <c r="AB194" s="238">
        <f t="shared" si="237"/>
      </c>
      <c r="AC194" s="175">
        <f t="shared" si="235"/>
      </c>
      <c r="AD194" s="175">
        <f t="shared" si="3"/>
      </c>
      <c r="AE194" s="175">
        <f t="shared" si="1"/>
      </c>
      <c r="AF194" s="239">
        <f t="shared" si="7"/>
      </c>
      <c r="AG194" s="175">
        <f t="shared" si="5"/>
      </c>
      <c r="AH194" s="175">
        <f t="shared" si="233"/>
      </c>
      <c r="AI194" s="175">
        <f t="shared" si="48"/>
      </c>
      <c r="AJ194" s="178">
        <f>AVERAGE(AJ190:AJ193)</f>
      </c>
      <c r="AK194" s="173">
        <f>SUM(AK190:AK193)</f>
      </c>
      <c r="AL194" s="173">
        <f>SUM(AL190:AL193)</f>
      </c>
      <c r="AM194" s="173">
        <f>SUM(AM190:AM193)</f>
      </c>
      <c r="AN194" s="173">
        <f>SUM(AN190:AN193)</f>
      </c>
      <c r="AO194" s="173">
        <f>SUM(AO190:AO193)</f>
      </c>
      <c r="AP194" s="173">
        <f>SUM(AP190:AP193)</f>
      </c>
      <c r="AQ194" s="173">
        <f>SUM(AQ190:AQ193)</f>
      </c>
      <c r="AR194" s="173">
        <f>SUM(AR190:AR193)</f>
      </c>
      <c r="AS194" s="173">
        <f>SUM(AS190:AS193)</f>
      </c>
      <c r="AT194" s="173">
        <f>SUM(AT190:AT193)</f>
      </c>
      <c r="AU194" s="173">
        <f>SUM(AU190:AU193)</f>
      </c>
      <c r="AV194" s="207"/>
      <c r="AW194" s="180"/>
      <c r="AX194" s="181">
        <f>SUM(AX190:AX193)</f>
      </c>
    </row>
    <row r="195">
      <c r="A195" s="234"/>
      <c r="B195" s="150" t="s">
        <v>174</v>
      </c>
      <c r="C195" s="150" t="s">
        <v>157</v>
      </c>
      <c r="D195" s="149" t="s">
        <v>179</v>
      </c>
      <c r="E195" s="150" t="s">
        <v>165</v>
      </c>
      <c r="F195" s="159">
        <f t="shared" ref="F195:F198" si="196">G195+H195+I195</f>
      </c>
      <c r="G195" s="152">
        <v>3382.55</v>
      </c>
      <c r="H195" s="152">
        <v>1044.79</v>
      </c>
      <c r="I195" s="236">
        <v>0</v>
      </c>
      <c r="J195" s="236">
        <v>1</v>
      </c>
      <c r="K195" s="236">
        <v>949.9099999999999</v>
      </c>
      <c r="L195" s="236">
        <v>2</v>
      </c>
      <c r="M195" s="236">
        <v>4695.960000000006</v>
      </c>
      <c r="N195" s="155">
        <v>2</v>
      </c>
      <c r="O195" s="156">
        <f t="shared" si="46"/>
      </c>
      <c r="P195" s="155">
        <v>1</v>
      </c>
      <c r="Q195" s="156">
        <f t="shared" si="236"/>
      </c>
      <c r="R195" s="244">
        <f t="shared" ref="R195:R198" si="86">L195+J195</f>
      </c>
      <c r="S195" s="237">
        <f t="shared" ref="S195:S198" si="140">M195+K195</f>
      </c>
      <c r="T195" s="159">
        <f t="shared" si="234"/>
      </c>
      <c r="U195" s="159">
        <f t="shared" si="2"/>
      </c>
      <c r="V195" s="169">
        <f t="shared" si="0"/>
      </c>
      <c r="W195" s="155">
        <v>1</v>
      </c>
      <c r="X195" s="169">
        <f t="shared" si="6"/>
      </c>
      <c r="Y195" s="169">
        <f t="shared" si="4"/>
      </c>
      <c r="Z195" s="159">
        <f t="shared" si="232"/>
      </c>
      <c r="AA195" s="159">
        <f t="shared" si="47"/>
      </c>
      <c r="AB195" s="159">
        <f t="shared" si="237"/>
      </c>
      <c r="AC195" s="156">
        <f t="shared" si="235"/>
      </c>
      <c r="AD195" s="156">
        <f t="shared" si="3"/>
      </c>
      <c r="AE195" s="156">
        <f t="shared" si="1"/>
      </c>
      <c r="AF195" s="156">
        <f t="shared" si="7"/>
      </c>
      <c r="AG195" s="156">
        <f t="shared" si="5"/>
      </c>
      <c r="AH195" s="156">
        <f t="shared" si="233"/>
      </c>
      <c r="AI195" s="156">
        <f t="shared" si="48"/>
      </c>
      <c r="AJ195" s="155">
        <v>64</v>
      </c>
      <c r="AK195" s="160">
        <v>32640</v>
      </c>
      <c r="AL195" s="160">
        <v>711</v>
      </c>
      <c r="AM195" s="160">
        <v>776</v>
      </c>
      <c r="AN195" s="160">
        <v>144</v>
      </c>
      <c r="AO195" s="149">
        <v>32</v>
      </c>
      <c r="AP195" s="160">
        <v>118</v>
      </c>
      <c r="AQ195" s="150">
        <v>127</v>
      </c>
      <c r="AR195" s="149">
        <v>6</v>
      </c>
      <c r="AS195" s="149">
        <v>13</v>
      </c>
      <c r="AT195" s="160">
        <v>0</v>
      </c>
      <c r="AU195" s="160">
        <v>4</v>
      </c>
      <c r="AV195" s="207"/>
      <c r="AW195" s="165"/>
      <c r="AX195" s="197">
        <f t="shared" ref="AX195:AX198" si="277">COUNT(AU195)</f>
      </c>
    </row>
    <row r="196">
      <c r="A196" s="234"/>
      <c r="B196" s="150" t="s">
        <v>174</v>
      </c>
      <c r="C196" s="150" t="s">
        <v>157</v>
      </c>
      <c r="D196" s="150" t="s">
        <v>179</v>
      </c>
      <c r="E196" s="150" t="s">
        <v>168</v>
      </c>
      <c r="F196" s="159">
        <f t="shared" si="196"/>
      </c>
      <c r="G196" s="152">
        <v>3119.15</v>
      </c>
      <c r="H196" s="152">
        <v>837.64</v>
      </c>
      <c r="I196" s="236">
        <v>0</v>
      </c>
      <c r="J196" s="236">
        <v>1</v>
      </c>
      <c r="K196" s="236">
        <v>1482.300000000001</v>
      </c>
      <c r="L196" s="236">
        <v>0</v>
      </c>
      <c r="M196" s="236">
        <v>0</v>
      </c>
      <c r="N196" s="155">
        <v>1</v>
      </c>
      <c r="O196" s="156">
        <f t="shared" si="46"/>
      </c>
      <c r="P196" s="155">
        <v>0</v>
      </c>
      <c r="Q196" s="156">
        <f t="shared" si="236"/>
      </c>
      <c r="R196" s="244">
        <f t="shared" si="86"/>
      </c>
      <c r="S196" s="237">
        <f t="shared" si="140"/>
      </c>
      <c r="T196" s="159">
        <f t="shared" si="234"/>
      </c>
      <c r="U196" s="159">
        <f t="shared" si="2"/>
      </c>
      <c r="V196" s="169">
        <f t="shared" si="0"/>
      </c>
      <c r="W196" s="155">
        <v>1</v>
      </c>
      <c r="X196" s="169">
        <f t="shared" si="6"/>
      </c>
      <c r="Y196" s="169">
        <f t="shared" si="4"/>
      </c>
      <c r="Z196" s="159">
        <f t="shared" si="232"/>
      </c>
      <c r="AA196" s="159">
        <f t="shared" si="47"/>
      </c>
      <c r="AB196" s="159">
        <f t="shared" si="237"/>
      </c>
      <c r="AC196" s="156">
        <f t="shared" si="235"/>
      </c>
      <c r="AD196" s="156">
        <f t="shared" si="3"/>
      </c>
      <c r="AE196" s="156">
        <f t="shared" si="1"/>
      </c>
      <c r="AF196" s="156">
        <f t="shared" si="7"/>
      </c>
      <c r="AG196" s="156">
        <f t="shared" si="5"/>
      </c>
      <c r="AH196" s="156">
        <f t="shared" si="233"/>
      </c>
      <c r="AI196" s="156">
        <f t="shared" si="48"/>
      </c>
      <c r="AJ196" s="155">
        <v>64</v>
      </c>
      <c r="AK196" s="160">
        <v>31751</v>
      </c>
      <c r="AL196" s="160">
        <v>739</v>
      </c>
      <c r="AM196" s="160">
        <v>804</v>
      </c>
      <c r="AN196" s="160">
        <v>155</v>
      </c>
      <c r="AO196" s="149">
        <v>44</v>
      </c>
      <c r="AP196" s="160">
        <v>108</v>
      </c>
      <c r="AQ196" s="150">
        <v>122</v>
      </c>
      <c r="AR196" s="149">
        <v>1</v>
      </c>
      <c r="AS196" s="149">
        <v>10</v>
      </c>
      <c r="AT196" s="160">
        <v>2</v>
      </c>
      <c r="AU196" s="160">
        <v>3</v>
      </c>
      <c r="AV196" s="207"/>
      <c r="AW196" s="165"/>
      <c r="AX196" s="197">
        <f t="shared" si="277"/>
      </c>
    </row>
    <row r="197">
      <c r="A197" s="234"/>
      <c r="B197" s="150" t="s">
        <v>174</v>
      </c>
      <c r="C197" s="150" t="s">
        <v>157</v>
      </c>
      <c r="D197" s="150" t="s">
        <v>179</v>
      </c>
      <c r="E197" s="150" t="s">
        <v>171</v>
      </c>
      <c r="F197" s="159">
        <f t="shared" si="196"/>
      </c>
      <c r="G197" s="152">
        <v>2556.01</v>
      </c>
      <c r="H197" s="152">
        <v>752.67</v>
      </c>
      <c r="I197" s="236">
        <v>0</v>
      </c>
      <c r="J197" s="236">
        <v>0</v>
      </c>
      <c r="K197" s="236">
        <v>0</v>
      </c>
      <c r="L197" s="236">
        <v>0</v>
      </c>
      <c r="M197" s="236">
        <v>0</v>
      </c>
      <c r="N197" s="155">
        <v>0</v>
      </c>
      <c r="O197" s="156">
        <f t="shared" si="46"/>
      </c>
      <c r="P197" s="155">
        <v>0</v>
      </c>
      <c r="Q197" s="156">
        <f t="shared" si="236"/>
      </c>
      <c r="R197" s="244">
        <f t="shared" si="86"/>
      </c>
      <c r="S197" s="237">
        <f t="shared" si="140"/>
      </c>
      <c r="T197" s="159">
        <f t="shared" si="234"/>
      </c>
      <c r="U197" s="159">
        <f t="shared" si="2"/>
      </c>
      <c r="V197" s="169">
        <f t="shared" si="0"/>
      </c>
      <c r="W197" s="155">
        <v>0</v>
      </c>
      <c r="X197" s="169">
        <f t="shared" si="6"/>
      </c>
      <c r="Y197" s="169">
        <f t="shared" si="4"/>
      </c>
      <c r="Z197" s="159">
        <f t="shared" si="232"/>
      </c>
      <c r="AA197" s="159">
        <f t="shared" si="47"/>
      </c>
      <c r="AB197" s="159">
        <f t="shared" si="237"/>
      </c>
      <c r="AC197" s="156">
        <f t="shared" si="235"/>
      </c>
      <c r="AD197" s="156">
        <f t="shared" si="3"/>
      </c>
      <c r="AE197" s="156">
        <f t="shared" si="1"/>
      </c>
      <c r="AF197" s="156">
        <f t="shared" si="7"/>
      </c>
      <c r="AG197" s="156">
        <f t="shared" si="5"/>
      </c>
      <c r="AH197" s="156">
        <f t="shared" si="233"/>
      </c>
      <c r="AI197" s="156">
        <f t="shared" si="48"/>
      </c>
      <c r="AJ197" s="155">
        <v>62</v>
      </c>
      <c r="AK197" s="160">
        <v>28433</v>
      </c>
      <c r="AL197" s="160">
        <v>638</v>
      </c>
      <c r="AM197" s="160">
        <v>675</v>
      </c>
      <c r="AN197" s="160">
        <v>101</v>
      </c>
      <c r="AO197" s="149">
        <v>25</v>
      </c>
      <c r="AP197" s="160">
        <v>103</v>
      </c>
      <c r="AQ197" s="150">
        <v>93</v>
      </c>
      <c r="AR197" s="149">
        <v>1</v>
      </c>
      <c r="AS197" s="155">
        <v>9</v>
      </c>
      <c r="AT197" s="160">
        <v>1</v>
      </c>
      <c r="AU197" s="155">
        <v>1</v>
      </c>
      <c r="AV197" s="207"/>
      <c r="AW197" s="165"/>
      <c r="AX197" s="197">
        <f t="shared" si="277"/>
      </c>
    </row>
    <row r="198">
      <c r="A198" s="234"/>
      <c r="B198" s="150" t="s">
        <v>174</v>
      </c>
      <c r="C198" s="150" t="s">
        <v>157</v>
      </c>
      <c r="D198" s="150" t="s">
        <v>179</v>
      </c>
      <c r="E198" s="150" t="s">
        <v>172</v>
      </c>
      <c r="F198" s="159">
        <f t="shared" si="196"/>
      </c>
      <c r="G198" s="152">
        <v>2078.88</v>
      </c>
      <c r="H198" s="152">
        <v>1373.69</v>
      </c>
      <c r="I198" s="236">
        <v>0</v>
      </c>
      <c r="J198" s="236">
        <v>2</v>
      </c>
      <c r="K198" s="236">
        <v>7676.580000000002</v>
      </c>
      <c r="L198" s="236">
        <v>2</v>
      </c>
      <c r="M198" s="236">
        <v>6482.909999999996</v>
      </c>
      <c r="N198" s="155">
        <v>2</v>
      </c>
      <c r="O198" s="156">
        <f t="shared" si="46"/>
      </c>
      <c r="P198" s="155">
        <v>3</v>
      </c>
      <c r="Q198" s="156">
        <f t="shared" si="236"/>
      </c>
      <c r="R198" s="244">
        <f t="shared" si="86"/>
      </c>
      <c r="S198" s="237">
        <f t="shared" si="140"/>
      </c>
      <c r="T198" s="159">
        <f t="shared" si="234"/>
      </c>
      <c r="U198" s="159">
        <f t="shared" si="2"/>
      </c>
      <c r="V198" s="169">
        <f t="shared" si="0"/>
      </c>
      <c r="W198" s="155">
        <v>4</v>
      </c>
      <c r="X198" s="169">
        <f t="shared" si="6"/>
      </c>
      <c r="Y198" s="169">
        <f t="shared" si="4"/>
      </c>
      <c r="Z198" s="159">
        <f t="shared" si="232"/>
      </c>
      <c r="AA198" s="159">
        <f t="shared" si="47"/>
      </c>
      <c r="AB198" s="159">
        <f t="shared" si="237"/>
      </c>
      <c r="AC198" s="156">
        <f t="shared" si="235"/>
      </c>
      <c r="AD198" s="156">
        <f t="shared" si="3"/>
      </c>
      <c r="AE198" s="156">
        <f t="shared" si="1"/>
      </c>
      <c r="AF198" s="156">
        <f t="shared" si="7"/>
      </c>
      <c r="AG198" s="156">
        <f t="shared" si="5"/>
      </c>
      <c r="AH198" s="156">
        <f t="shared" si="233"/>
      </c>
      <c r="AI198" s="156">
        <f t="shared" si="48"/>
      </c>
      <c r="AJ198" s="155">
        <v>61</v>
      </c>
      <c r="AK198" s="160">
        <v>28892</v>
      </c>
      <c r="AL198" s="160">
        <v>899</v>
      </c>
      <c r="AM198" s="160">
        <v>1001</v>
      </c>
      <c r="AN198" s="160">
        <v>110</v>
      </c>
      <c r="AO198" s="149">
        <v>31</v>
      </c>
      <c r="AP198" s="160">
        <v>137</v>
      </c>
      <c r="AQ198" s="150">
        <v>97</v>
      </c>
      <c r="AR198" s="149">
        <v>8</v>
      </c>
      <c r="AS198" s="160">
        <v>19</v>
      </c>
      <c r="AT198" s="160">
        <v>2</v>
      </c>
      <c r="AU198" s="155">
        <v>4</v>
      </c>
      <c r="AV198" s="207"/>
      <c r="AW198" s="165"/>
      <c r="AX198" s="197">
        <f t="shared" si="277"/>
      </c>
    </row>
    <row r="199">
      <c r="A199" s="234"/>
      <c r="B199" s="171" t="s">
        <v>162</v>
      </c>
      <c r="C199" s="171"/>
      <c r="D199" s="171"/>
      <c r="E199" s="171"/>
      <c r="F199" s="173">
        <f>SUM(F195:F198)</f>
      </c>
      <c r="G199" s="173">
        <f>SUM(G195:G198)</f>
      </c>
      <c r="H199" s="173">
        <f>SUM(H195:H198)</f>
      </c>
      <c r="I199" s="173">
        <f>SUM(I195:I198)</f>
      </c>
      <c r="J199" s="173">
        <f>SUM(J195:J198)</f>
      </c>
      <c r="K199" s="173">
        <f>SUM(K195:K198)</f>
      </c>
      <c r="L199" s="173">
        <f>SUM(L195:L198)</f>
      </c>
      <c r="M199" s="173">
        <f>SUM(M195:M198)</f>
      </c>
      <c r="N199" s="173">
        <f>SUM(N195:N198)</f>
      </c>
      <c r="O199" s="175">
        <f t="shared" si="46"/>
      </c>
      <c r="P199" s="173">
        <f>SUM(P195:P198)</f>
      </c>
      <c r="Q199" s="175">
        <f t="shared" si="236"/>
      </c>
      <c r="R199" s="178">
        <f>SUM(R195:R198)</f>
      </c>
      <c r="S199" s="173">
        <f>SUM(S195:S198)</f>
      </c>
      <c r="T199" s="173">
        <f t="shared" si="234"/>
      </c>
      <c r="U199" s="173">
        <f t="shared" si="2"/>
      </c>
      <c r="V199" s="194">
        <f t="shared" si="0"/>
      </c>
      <c r="W199" s="173">
        <f>SUM(W195:W198)</f>
      </c>
      <c r="X199" s="194">
        <f t="shared" si="6"/>
      </c>
      <c r="Y199" s="194">
        <f t="shared" si="4"/>
      </c>
      <c r="Z199" s="173">
        <f t="shared" si="232"/>
      </c>
      <c r="AA199" s="173">
        <f t="shared" si="47"/>
      </c>
      <c r="AB199" s="238">
        <f t="shared" si="237"/>
      </c>
      <c r="AC199" s="175">
        <f t="shared" si="235"/>
      </c>
      <c r="AD199" s="175">
        <f t="shared" si="3"/>
      </c>
      <c r="AE199" s="175">
        <f t="shared" si="1"/>
      </c>
      <c r="AF199" s="245">
        <f t="shared" si="7"/>
      </c>
      <c r="AG199" s="175">
        <f t="shared" si="5"/>
      </c>
      <c r="AH199" s="175">
        <f t="shared" si="233"/>
      </c>
      <c r="AI199" s="175">
        <f t="shared" si="48"/>
      </c>
      <c r="AJ199" s="178">
        <f>AVERAGE(AJ195:AJ198)</f>
      </c>
      <c r="AK199" s="173">
        <f>SUM(AK195:AK198)</f>
      </c>
      <c r="AL199" s="173">
        <f>SUM(AL195:AL198)</f>
      </c>
      <c r="AM199" s="173">
        <f>SUM(AM195:AM198)</f>
      </c>
      <c r="AN199" s="173">
        <f>SUM(AN195:AN198)</f>
      </c>
      <c r="AO199" s="173">
        <f>SUM(AO195:AO198)</f>
      </c>
      <c r="AP199" s="173">
        <f>SUM(AP195:AP198)</f>
      </c>
      <c r="AQ199" s="173">
        <f>SUM(AQ195:AQ198)</f>
      </c>
      <c r="AR199" s="173">
        <f>SUM(AR195:AR198)</f>
      </c>
      <c r="AS199" s="173">
        <f>SUM(AS195:AS198)</f>
      </c>
      <c r="AT199" s="173">
        <f>SUM(AT195:AT198)</f>
      </c>
      <c r="AU199" s="173">
        <f>SUM(AU195:AU198)</f>
      </c>
      <c r="AV199" s="207"/>
      <c r="AW199" s="180"/>
      <c r="AX199" s="181">
        <f>SUM(AX195:AX198)</f>
      </c>
    </row>
    <row r="200">
      <c r="A200" s="234"/>
      <c r="B200" s="184" t="s">
        <v>166</v>
      </c>
      <c r="C200" s="184"/>
      <c r="D200" s="184"/>
      <c r="E200" s="184"/>
      <c r="F200" s="185">
        <f>F189+F194+F199</f>
      </c>
      <c r="G200" s="185">
        <f>G189+G194+G199</f>
      </c>
      <c r="H200" s="185">
        <f>H189+H194+H199</f>
      </c>
      <c r="I200" s="184">
        <f>I189+I194+I199</f>
      </c>
      <c r="J200" s="184">
        <f>J189+J194+J199</f>
      </c>
      <c r="K200" s="184">
        <f>K189+K194+K199</f>
      </c>
      <c r="L200" s="184">
        <f>L189+L194+L199</f>
      </c>
      <c r="M200" s="184">
        <f>M189+M194+M199</f>
      </c>
      <c r="N200" s="184">
        <f>N189+N194+N199</f>
      </c>
      <c r="O200" s="186">
        <f t="shared" si="46"/>
      </c>
      <c r="P200" s="184">
        <f>P189+P194+P199</f>
      </c>
      <c r="Q200" s="186">
        <f t="shared" si="236"/>
      </c>
      <c r="R200" s="190">
        <f>R189+R194+R199</f>
      </c>
      <c r="S200" s="185">
        <f>S189+S194+S199</f>
      </c>
      <c r="T200" s="185">
        <f t="shared" si="234"/>
      </c>
      <c r="U200" s="185">
        <f t="shared" si="2"/>
      </c>
      <c r="V200" s="187">
        <f t="shared" si="0"/>
      </c>
      <c r="W200" s="184">
        <f>W189+W194+W199</f>
      </c>
      <c r="X200" s="187">
        <f t="shared" si="6"/>
      </c>
      <c r="Y200" s="187">
        <f t="shared" si="4"/>
      </c>
      <c r="Z200" s="185">
        <f t="shared" si="232"/>
      </c>
      <c r="AA200" s="185">
        <f t="shared" si="47"/>
      </c>
      <c r="AB200" s="189">
        <f t="shared" si="237"/>
      </c>
      <c r="AC200" s="186">
        <f t="shared" si="235"/>
      </c>
      <c r="AD200" s="186">
        <f t="shared" si="3"/>
      </c>
      <c r="AE200" s="186">
        <f t="shared" si="1"/>
      </c>
      <c r="AF200" s="241">
        <f t="shared" si="7"/>
      </c>
      <c r="AG200" s="186">
        <f t="shared" si="5"/>
      </c>
      <c r="AH200" s="186">
        <f t="shared" si="233"/>
      </c>
      <c r="AI200" s="186">
        <f t="shared" si="48"/>
      </c>
      <c r="AJ200" s="190">
        <f>(AJ189+AJ194+AJ199)/3</f>
      </c>
      <c r="AK200" s="184">
        <f>AK189+AK194+AK199</f>
      </c>
      <c r="AL200" s="184">
        <f>AL189+AL194+AL199</f>
      </c>
      <c r="AM200" s="184">
        <f>AM189+AM194+AM199</f>
      </c>
      <c r="AN200" s="184">
        <f>AN189+AN194+AN199</f>
      </c>
      <c r="AO200" s="184">
        <f>AO189+AO194+AO199</f>
      </c>
      <c r="AP200" s="184">
        <f>AP189+AP194+AP199</f>
      </c>
      <c r="AQ200" s="184">
        <f>AQ189+AQ194+AQ199</f>
      </c>
      <c r="AR200" s="184">
        <f>AR189+AR194+AR199</f>
      </c>
      <c r="AS200" s="184">
        <f>AS189+AS194+AS199</f>
      </c>
      <c r="AT200" s="184">
        <f>AT189+AT194+AT199</f>
      </c>
      <c r="AU200" s="184">
        <f>AU189+AU194+AU199</f>
      </c>
      <c r="AV200" s="207"/>
      <c r="AW200" s="184">
        <f>AW189+AW194+AW199</f>
      </c>
      <c r="AX200" s="184">
        <f>AX189+AX194+AX199</f>
      </c>
    </row>
    <row r="201">
      <c r="A201" s="234">
        <v>46286</v>
      </c>
      <c r="B201" s="149" t="s">
        <v>156</v>
      </c>
      <c r="C201" s="150" t="s">
        <v>157</v>
      </c>
      <c r="D201" s="149" t="s">
        <v>158</v>
      </c>
      <c r="E201" s="149" t="s">
        <v>175</v>
      </c>
      <c r="F201" s="159">
        <f t="shared" ref="F201:F204" si="197">G201+H201+I201</f>
      </c>
      <c r="G201" s="152">
        <v>3084.4</v>
      </c>
      <c r="H201" s="152">
        <v>1401.66</v>
      </c>
      <c r="I201" s="236">
        <v>0</v>
      </c>
      <c r="J201" s="236">
        <v>0</v>
      </c>
      <c r="K201" s="242">
        <v>0</v>
      </c>
      <c r="L201" s="236">
        <v>2</v>
      </c>
      <c r="M201" s="236">
        <v>16746.66</v>
      </c>
      <c r="N201" s="155">
        <v>0</v>
      </c>
      <c r="O201" s="156">
        <f t="shared" si="46"/>
      </c>
      <c r="P201" s="155">
        <v>2</v>
      </c>
      <c r="Q201" s="156">
        <f t="shared" si="236"/>
      </c>
      <c r="R201" s="244">
        <f t="shared" ref="R201:R204" si="87">L201+J201</f>
      </c>
      <c r="S201" s="237">
        <f t="shared" ref="S201:S204" si="141">M201+K201</f>
      </c>
      <c r="T201" s="159">
        <f t="shared" si="234"/>
      </c>
      <c r="U201" s="159">
        <f t="shared" si="2"/>
      </c>
      <c r="V201" s="160">
        <f t="shared" si="0"/>
      </c>
      <c r="W201" s="155">
        <v>1</v>
      </c>
      <c r="X201" s="169">
        <f t="shared" si="6"/>
      </c>
      <c r="Y201" s="169">
        <f t="shared" si="4"/>
      </c>
      <c r="Z201" s="159">
        <f t="shared" si="232"/>
      </c>
      <c r="AA201" s="159">
        <f t="shared" si="47"/>
      </c>
      <c r="AB201" s="159">
        <f t="shared" si="237"/>
      </c>
      <c r="AC201" s="156">
        <f t="shared" si="235"/>
      </c>
      <c r="AD201" s="156">
        <f t="shared" si="3"/>
      </c>
      <c r="AE201" s="156">
        <f t="shared" si="1"/>
      </c>
      <c r="AF201" s="156">
        <f t="shared" si="7"/>
      </c>
      <c r="AG201" s="156">
        <f t="shared" si="5"/>
      </c>
      <c r="AH201" s="156">
        <f t="shared" si="233"/>
      </c>
      <c r="AI201" s="156">
        <f t="shared" si="48"/>
      </c>
      <c r="AJ201" s="155">
        <v>47</v>
      </c>
      <c r="AK201" s="160">
        <v>28909</v>
      </c>
      <c r="AL201" s="160">
        <v>766</v>
      </c>
      <c r="AM201" s="160">
        <v>826</v>
      </c>
      <c r="AN201" s="160">
        <v>147</v>
      </c>
      <c r="AO201" s="149">
        <v>28</v>
      </c>
      <c r="AP201" s="149">
        <v>101</v>
      </c>
      <c r="AQ201" s="150">
        <v>108</v>
      </c>
      <c r="AR201" s="149">
        <v>2</v>
      </c>
      <c r="AS201" s="149">
        <v>16</v>
      </c>
      <c r="AT201" s="160">
        <v>1</v>
      </c>
      <c r="AU201" s="160">
        <v>6</v>
      </c>
      <c r="AV201" s="207"/>
      <c r="AW201" s="165"/>
      <c r="AX201" s="197">
        <f t="shared" ref="AX201:AX204" si="278">COUNT(AU201)</f>
      </c>
    </row>
    <row r="202">
      <c r="A202" s="234"/>
      <c r="B202" s="149" t="s">
        <v>156</v>
      </c>
      <c r="C202" s="150" t="s">
        <v>157</v>
      </c>
      <c r="D202" s="149" t="s">
        <v>158</v>
      </c>
      <c r="E202" s="149" t="s">
        <v>176</v>
      </c>
      <c r="F202" s="159">
        <f t="shared" si="197"/>
      </c>
      <c r="G202" s="152">
        <v>3763.64</v>
      </c>
      <c r="H202" s="152">
        <v>1503.97</v>
      </c>
      <c r="I202" s="236">
        <v>0</v>
      </c>
      <c r="J202" s="236">
        <v>0</v>
      </c>
      <c r="K202" s="236">
        <v>0</v>
      </c>
      <c r="L202" s="236">
        <v>2</v>
      </c>
      <c r="M202" s="236">
        <v>5397.25</v>
      </c>
      <c r="N202" s="155">
        <v>1</v>
      </c>
      <c r="O202" s="156">
        <f t="shared" si="46"/>
      </c>
      <c r="P202" s="155">
        <v>0</v>
      </c>
      <c r="Q202" s="156">
        <f t="shared" si="236"/>
      </c>
      <c r="R202" s="244">
        <f t="shared" si="87"/>
      </c>
      <c r="S202" s="237">
        <f t="shared" si="141"/>
      </c>
      <c r="T202" s="159">
        <f t="shared" si="234"/>
      </c>
      <c r="U202" s="159">
        <f t="shared" si="2"/>
      </c>
      <c r="V202" s="160">
        <f t="shared" si="0"/>
      </c>
      <c r="W202" s="155">
        <v>2</v>
      </c>
      <c r="X202" s="169">
        <f t="shared" si="6"/>
      </c>
      <c r="Y202" s="169">
        <f t="shared" si="4"/>
      </c>
      <c r="Z202" s="159">
        <f t="shared" si="232"/>
      </c>
      <c r="AA202" s="159">
        <f t="shared" si="47"/>
      </c>
      <c r="AB202" s="159">
        <f t="shared" si="237"/>
      </c>
      <c r="AC202" s="156">
        <f t="shared" si="235"/>
      </c>
      <c r="AD202" s="156">
        <f t="shared" si="3"/>
      </c>
      <c r="AE202" s="156">
        <f t="shared" si="1"/>
      </c>
      <c r="AF202" s="156">
        <f t="shared" si="7"/>
      </c>
      <c r="AG202" s="156">
        <f t="shared" si="5"/>
      </c>
      <c r="AH202" s="156">
        <f t="shared" si="233"/>
      </c>
      <c r="AI202" s="156">
        <f t="shared" si="48"/>
      </c>
      <c r="AJ202" s="155">
        <v>49</v>
      </c>
      <c r="AK202" s="160">
        <v>27332</v>
      </c>
      <c r="AL202" s="160">
        <v>903</v>
      </c>
      <c r="AM202" s="160">
        <v>1004</v>
      </c>
      <c r="AN202" s="160">
        <v>153</v>
      </c>
      <c r="AO202" s="149">
        <v>41</v>
      </c>
      <c r="AP202" s="160">
        <v>134</v>
      </c>
      <c r="AQ202" s="150">
        <v>149</v>
      </c>
      <c r="AR202" s="149">
        <v>4</v>
      </c>
      <c r="AS202" s="155">
        <v>12</v>
      </c>
      <c r="AT202" s="155">
        <v>3</v>
      </c>
      <c r="AU202" s="155">
        <v>4</v>
      </c>
      <c r="AV202" s="207"/>
      <c r="AW202" s="165"/>
      <c r="AX202" s="197">
        <f t="shared" si="278"/>
      </c>
    </row>
    <row r="203">
      <c r="A203" s="234"/>
      <c r="B203" s="149" t="s">
        <v>156</v>
      </c>
      <c r="C203" s="150" t="s">
        <v>157</v>
      </c>
      <c r="D203" s="149" t="s">
        <v>158</v>
      </c>
      <c r="E203" s="149" t="s">
        <v>177</v>
      </c>
      <c r="F203" s="159">
        <f t="shared" si="197"/>
      </c>
      <c r="G203" s="152">
        <v>3781.5</v>
      </c>
      <c r="H203" s="152">
        <v>1271.61</v>
      </c>
      <c r="I203" s="236">
        <v>0</v>
      </c>
      <c r="J203" s="236">
        <v>2</v>
      </c>
      <c r="K203" s="236">
        <v>7642.710000000001</v>
      </c>
      <c r="L203" s="236">
        <v>4</v>
      </c>
      <c r="M203" s="236">
        <v>10982.000000000004</v>
      </c>
      <c r="N203" s="155">
        <v>0</v>
      </c>
      <c r="O203" s="156">
        <f t="shared" si="46"/>
      </c>
      <c r="P203" s="155">
        <v>2</v>
      </c>
      <c r="Q203" s="156">
        <f t="shared" si="236"/>
      </c>
      <c r="R203" s="244">
        <f t="shared" si="87"/>
      </c>
      <c r="S203" s="237">
        <f t="shared" si="141"/>
      </c>
      <c r="T203" s="159">
        <f t="shared" si="234"/>
      </c>
      <c r="U203" s="159">
        <f t="shared" si="2"/>
      </c>
      <c r="V203" s="169">
        <f t="shared" si="0"/>
      </c>
      <c r="W203" s="155">
        <v>6</v>
      </c>
      <c r="X203" s="169">
        <f t="shared" si="6"/>
      </c>
      <c r="Y203" s="169">
        <f t="shared" si="4"/>
      </c>
      <c r="Z203" s="159">
        <f t="shared" si="232"/>
      </c>
      <c r="AA203" s="159">
        <f t="shared" si="47"/>
      </c>
      <c r="AB203" s="159">
        <f t="shared" si="237"/>
      </c>
      <c r="AC203" s="156">
        <f t="shared" si="235"/>
      </c>
      <c r="AD203" s="156">
        <f t="shared" si="3"/>
      </c>
      <c r="AE203" s="156">
        <f t="shared" si="1"/>
      </c>
      <c r="AF203" s="156">
        <f t="shared" si="7"/>
      </c>
      <c r="AG203" s="156">
        <f t="shared" si="5"/>
      </c>
      <c r="AH203" s="156">
        <f t="shared" si="233"/>
      </c>
      <c r="AI203" s="156">
        <f t="shared" si="48"/>
      </c>
      <c r="AJ203" s="155">
        <v>54</v>
      </c>
      <c r="AK203" s="160">
        <v>27321</v>
      </c>
      <c r="AL203" s="160">
        <v>657</v>
      </c>
      <c r="AM203" s="160">
        <v>803</v>
      </c>
      <c r="AN203" s="160">
        <v>136</v>
      </c>
      <c r="AO203" s="149">
        <v>29</v>
      </c>
      <c r="AP203" s="160">
        <v>136</v>
      </c>
      <c r="AQ203" s="150">
        <v>125</v>
      </c>
      <c r="AR203" s="149">
        <v>8</v>
      </c>
      <c r="AS203" s="160">
        <v>15</v>
      </c>
      <c r="AT203" s="160">
        <v>1</v>
      </c>
      <c r="AU203" s="160">
        <v>3</v>
      </c>
      <c r="AV203" s="207"/>
      <c r="AW203" s="165"/>
      <c r="AX203" s="197">
        <f t="shared" si="278"/>
      </c>
    </row>
    <row r="204">
      <c r="A204" s="234"/>
      <c r="B204" s="149" t="s">
        <v>156</v>
      </c>
      <c r="C204" s="150" t="s">
        <v>157</v>
      </c>
      <c r="D204" s="149" t="s">
        <v>158</v>
      </c>
      <c r="E204" s="149" t="s">
        <v>178</v>
      </c>
      <c r="F204" s="159">
        <f t="shared" si="197"/>
      </c>
      <c r="G204" s="152">
        <v>5384.67</v>
      </c>
      <c r="H204" s="152">
        <v>1450.23</v>
      </c>
      <c r="I204" s="236">
        <v>0</v>
      </c>
      <c r="J204" s="236">
        <v>2</v>
      </c>
      <c r="K204" s="236">
        <v>4736.700000000001</v>
      </c>
      <c r="L204" s="236">
        <v>3</v>
      </c>
      <c r="M204" s="236">
        <v>6286.4000000000015</v>
      </c>
      <c r="N204" s="155">
        <v>0</v>
      </c>
      <c r="O204" s="156">
        <f t="shared" si="46"/>
      </c>
      <c r="P204" s="155">
        <v>0</v>
      </c>
      <c r="Q204" s="156">
        <f t="shared" si="236"/>
      </c>
      <c r="R204" s="244">
        <f t="shared" si="87"/>
      </c>
      <c r="S204" s="237">
        <f t="shared" si="141"/>
      </c>
      <c r="T204" s="159">
        <f t="shared" si="234"/>
      </c>
      <c r="U204" s="159">
        <f t="shared" si="2"/>
      </c>
      <c r="V204" s="169">
        <f t="shared" si="0"/>
      </c>
      <c r="W204" s="155">
        <v>5</v>
      </c>
      <c r="X204" s="169">
        <f t="shared" si="6"/>
      </c>
      <c r="Y204" s="169">
        <f t="shared" si="4"/>
      </c>
      <c r="Z204" s="159">
        <f t="shared" si="232"/>
      </c>
      <c r="AA204" s="159">
        <f t="shared" si="47"/>
      </c>
      <c r="AB204" s="159">
        <f t="shared" si="237"/>
      </c>
      <c r="AC204" s="156">
        <f t="shared" si="235"/>
      </c>
      <c r="AD204" s="156">
        <f t="shared" si="3"/>
      </c>
      <c r="AE204" s="156">
        <f t="shared" si="1"/>
      </c>
      <c r="AF204" s="156">
        <f t="shared" si="7"/>
      </c>
      <c r="AG204" s="156">
        <f t="shared" si="5"/>
      </c>
      <c r="AH204" s="156">
        <f t="shared" si="233"/>
      </c>
      <c r="AI204" s="156">
        <f t="shared" si="48"/>
      </c>
      <c r="AJ204" s="155">
        <v>53</v>
      </c>
      <c r="AK204" s="160">
        <v>53732</v>
      </c>
      <c r="AL204" s="160">
        <v>954</v>
      </c>
      <c r="AM204" s="160">
        <v>1124</v>
      </c>
      <c r="AN204" s="160">
        <v>170</v>
      </c>
      <c r="AO204" s="149">
        <v>47</v>
      </c>
      <c r="AP204" s="155">
        <v>144</v>
      </c>
      <c r="AQ204" s="149">
        <v>144</v>
      </c>
      <c r="AR204" s="149">
        <v>6</v>
      </c>
      <c r="AS204" s="155">
        <v>12</v>
      </c>
      <c r="AT204" s="155">
        <v>6</v>
      </c>
      <c r="AU204" s="155">
        <v>5</v>
      </c>
      <c r="AV204" s="207"/>
      <c r="AW204" s="165"/>
      <c r="AX204" s="197">
        <f t="shared" si="278"/>
      </c>
    </row>
    <row r="205">
      <c r="A205" s="234"/>
      <c r="B205" s="171" t="s">
        <v>162</v>
      </c>
      <c r="C205" s="171"/>
      <c r="D205" s="171"/>
      <c r="E205" s="171"/>
      <c r="F205" s="173">
        <f>SUM(F201:F204)</f>
      </c>
      <c r="G205" s="173">
        <f>SUM(G201:G204)</f>
      </c>
      <c r="H205" s="173">
        <f>SUM(H201:H204)</f>
      </c>
      <c r="I205" s="173">
        <f>SUM(I201:I204)</f>
      </c>
      <c r="J205" s="173">
        <f>SUM(J201:J204)</f>
      </c>
      <c r="K205" s="173">
        <f>SUM(K201:K204)</f>
      </c>
      <c r="L205" s="173">
        <f>SUM(L201:L204)</f>
      </c>
      <c r="M205" s="173">
        <f>SUM(M201:M204)</f>
      </c>
      <c r="N205" s="173">
        <f>SUM(N201:N204)</f>
      </c>
      <c r="O205" s="175">
        <f t="shared" si="46"/>
      </c>
      <c r="P205" s="173">
        <f>SUM(P201:P204)</f>
      </c>
      <c r="Q205" s="175">
        <f t="shared" si="236"/>
      </c>
      <c r="R205" s="178">
        <f>SUM(R201:R204)</f>
      </c>
      <c r="S205" s="173">
        <f>SUM(S201:S204)</f>
      </c>
      <c r="T205" s="173">
        <f t="shared" si="234"/>
      </c>
      <c r="U205" s="173">
        <f t="shared" si="2"/>
      </c>
      <c r="V205" s="173">
        <f t="shared" si="0"/>
      </c>
      <c r="W205" s="173">
        <f>SUM(W201:W204)</f>
      </c>
      <c r="X205" s="194">
        <f t="shared" si="6"/>
      </c>
      <c r="Y205" s="194">
        <f t="shared" si="4"/>
      </c>
      <c r="Z205" s="173">
        <f t="shared" si="232"/>
      </c>
      <c r="AA205" s="173">
        <f t="shared" si="47"/>
      </c>
      <c r="AB205" s="238">
        <f t="shared" si="237"/>
      </c>
      <c r="AC205" s="175">
        <f t="shared" si="235"/>
      </c>
      <c r="AD205" s="175">
        <f t="shared" si="3"/>
      </c>
      <c r="AE205" s="175">
        <f t="shared" si="1"/>
      </c>
      <c r="AF205" s="175">
        <f t="shared" si="7"/>
      </c>
      <c r="AG205" s="175">
        <f t="shared" si="5"/>
      </c>
      <c r="AH205" s="175">
        <f t="shared" si="233"/>
      </c>
      <c r="AI205" s="175">
        <f t="shared" si="48"/>
      </c>
      <c r="AJ205" s="178">
        <f>AVERAGE(AJ201:AJ204)</f>
      </c>
      <c r="AK205" s="173">
        <f>SUM(AK201:AK204)</f>
      </c>
      <c r="AL205" s="173">
        <f>SUM(AL201:AL204)</f>
      </c>
      <c r="AM205" s="173">
        <f>SUM(AM201:AM204)</f>
      </c>
      <c r="AN205" s="173">
        <f>SUM(AN201:AN204)</f>
      </c>
      <c r="AO205" s="173">
        <f>SUM(AO201:AO204)</f>
      </c>
      <c r="AP205" s="173">
        <f>SUM(AP201:AP204)</f>
      </c>
      <c r="AQ205" s="173">
        <f>SUM(AQ201:AQ204)</f>
      </c>
      <c r="AR205" s="173">
        <f>SUM(AR201:AR204)</f>
      </c>
      <c r="AS205" s="173">
        <f>SUM(AS201:AS204)</f>
      </c>
      <c r="AT205" s="173">
        <f>SUM(AT201:AT204)</f>
      </c>
      <c r="AU205" s="173">
        <f>SUM(AU201:AU204)</f>
      </c>
      <c r="AV205" s="207"/>
      <c r="AW205" s="180"/>
      <c r="AX205" s="181">
        <f>SUM(AX201:AX204)</f>
      </c>
    </row>
    <row r="206">
      <c r="A206" s="234"/>
      <c r="B206" s="149" t="s">
        <v>156</v>
      </c>
      <c r="C206" s="150" t="s">
        <v>157</v>
      </c>
      <c r="D206" s="149" t="s">
        <v>163</v>
      </c>
      <c r="E206" s="150" t="s">
        <v>159</v>
      </c>
      <c r="F206" s="159">
        <f t="shared" ref="F206:F209" si="198">G206+H206+I206</f>
      </c>
      <c r="G206" s="152">
        <v>3369.64</v>
      </c>
      <c r="H206" s="152">
        <v>1207.69</v>
      </c>
      <c r="I206" s="236">
        <v>0</v>
      </c>
      <c r="J206" s="236">
        <v>2</v>
      </c>
      <c r="K206" s="236">
        <v>3002.41</v>
      </c>
      <c r="L206" s="236">
        <v>2</v>
      </c>
      <c r="M206" s="236">
        <v>3930.1500000000015</v>
      </c>
      <c r="N206" s="155">
        <v>1</v>
      </c>
      <c r="O206" s="156">
        <f t="shared" si="46"/>
      </c>
      <c r="P206" s="155">
        <v>1</v>
      </c>
      <c r="Q206" s="156">
        <f t="shared" si="236"/>
      </c>
      <c r="R206" s="244">
        <f t="shared" ref="R206:R209" si="88">L206+J206</f>
      </c>
      <c r="S206" s="237">
        <f t="shared" ref="S206:S209" si="142">M206+K206</f>
      </c>
      <c r="T206" s="159">
        <f t="shared" si="234"/>
      </c>
      <c r="U206" s="159">
        <f t="shared" si="2"/>
      </c>
      <c r="V206" s="169">
        <f t="shared" si="0"/>
      </c>
      <c r="W206" s="155">
        <v>2</v>
      </c>
      <c r="X206" s="169">
        <f t="shared" si="6"/>
      </c>
      <c r="Y206" s="169">
        <f t="shared" si="4"/>
      </c>
      <c r="Z206" s="159">
        <f t="shared" si="232"/>
      </c>
      <c r="AA206" s="159">
        <f t="shared" si="47"/>
      </c>
      <c r="AB206" s="159">
        <f t="shared" si="237"/>
      </c>
      <c r="AC206" s="156">
        <f t="shared" si="235"/>
      </c>
      <c r="AD206" s="156">
        <f t="shared" si="3"/>
      </c>
      <c r="AE206" s="156">
        <f t="shared" si="1"/>
      </c>
      <c r="AF206" s="156">
        <f t="shared" si="7"/>
      </c>
      <c r="AG206" s="156">
        <f t="shared" si="5"/>
      </c>
      <c r="AH206" s="156">
        <f t="shared" si="233"/>
      </c>
      <c r="AI206" s="156">
        <f t="shared" si="48"/>
      </c>
      <c r="AJ206" s="155">
        <v>54</v>
      </c>
      <c r="AK206" s="160">
        <v>34602</v>
      </c>
      <c r="AL206" s="160">
        <v>731</v>
      </c>
      <c r="AM206" s="160">
        <v>827</v>
      </c>
      <c r="AN206" s="160">
        <v>146</v>
      </c>
      <c r="AO206" s="149">
        <v>31</v>
      </c>
      <c r="AP206" s="160">
        <v>99</v>
      </c>
      <c r="AQ206" s="150">
        <v>114</v>
      </c>
      <c r="AR206" s="149">
        <v>6</v>
      </c>
      <c r="AS206" s="149">
        <v>11</v>
      </c>
      <c r="AT206" s="155">
        <v>1</v>
      </c>
      <c r="AU206" s="155">
        <v>3</v>
      </c>
      <c r="AV206" s="207"/>
      <c r="AW206" s="165"/>
      <c r="AX206" s="197">
        <f t="shared" ref="AX206:AX209" si="279">COUNT(AU206)</f>
      </c>
    </row>
    <row r="207">
      <c r="A207" s="234"/>
      <c r="B207" s="149" t="s">
        <v>156</v>
      </c>
      <c r="C207" s="150" t="s">
        <v>157</v>
      </c>
      <c r="D207" s="149" t="s">
        <v>163</v>
      </c>
      <c r="E207" s="150" t="s">
        <v>160</v>
      </c>
      <c r="F207" s="159">
        <f t="shared" si="198"/>
      </c>
      <c r="G207" s="152">
        <v>3473.58</v>
      </c>
      <c r="H207" s="152">
        <v>1114.67</v>
      </c>
      <c r="I207" s="236">
        <v>0</v>
      </c>
      <c r="J207" s="236">
        <v>0</v>
      </c>
      <c r="K207" s="236">
        <v>0</v>
      </c>
      <c r="L207" s="236">
        <v>4</v>
      </c>
      <c r="M207" s="236">
        <v>11500.11</v>
      </c>
      <c r="N207" s="155">
        <v>2</v>
      </c>
      <c r="O207" s="156">
        <f t="shared" si="46"/>
      </c>
      <c r="P207" s="155">
        <v>3</v>
      </c>
      <c r="Q207" s="156">
        <f t="shared" si="236"/>
      </c>
      <c r="R207" s="244">
        <f t="shared" si="88"/>
      </c>
      <c r="S207" s="237">
        <f t="shared" si="142"/>
      </c>
      <c r="T207" s="159">
        <f t="shared" si="234"/>
      </c>
      <c r="U207" s="159">
        <f t="shared" si="2"/>
      </c>
      <c r="V207" s="169">
        <f t="shared" si="0"/>
      </c>
      <c r="W207" s="155">
        <v>3</v>
      </c>
      <c r="X207" s="169">
        <f t="shared" si="6"/>
      </c>
      <c r="Y207" s="169">
        <f t="shared" si="4"/>
      </c>
      <c r="Z207" s="159">
        <f t="shared" si="232"/>
      </c>
      <c r="AA207" s="159">
        <f t="shared" si="47"/>
      </c>
      <c r="AB207" s="159">
        <f t="shared" si="237"/>
      </c>
      <c r="AC207" s="156">
        <f t="shared" si="235"/>
      </c>
      <c r="AD207" s="156">
        <f t="shared" si="3"/>
      </c>
      <c r="AE207" s="156">
        <f t="shared" si="1"/>
      </c>
      <c r="AF207" s="156">
        <f t="shared" si="7"/>
      </c>
      <c r="AG207" s="156">
        <f t="shared" si="5"/>
      </c>
      <c r="AH207" s="156">
        <f t="shared" si="233"/>
      </c>
      <c r="AI207" s="156">
        <f t="shared" si="48"/>
      </c>
      <c r="AJ207" s="155">
        <v>53</v>
      </c>
      <c r="AK207" s="160">
        <v>40173</v>
      </c>
      <c r="AL207" s="160">
        <v>871</v>
      </c>
      <c r="AM207" s="160">
        <v>1002</v>
      </c>
      <c r="AN207" s="160">
        <v>112</v>
      </c>
      <c r="AO207" s="149">
        <v>31</v>
      </c>
      <c r="AP207" s="160">
        <v>91</v>
      </c>
      <c r="AQ207" s="150">
        <v>101</v>
      </c>
      <c r="AR207" s="149">
        <v>4</v>
      </c>
      <c r="AS207" s="149">
        <v>3</v>
      </c>
      <c r="AT207" s="160">
        <v>1</v>
      </c>
      <c r="AU207" s="160">
        <v>8</v>
      </c>
      <c r="AV207" s="207"/>
      <c r="AW207" s="165"/>
      <c r="AX207" s="197">
        <f t="shared" si="279"/>
      </c>
    </row>
    <row r="208">
      <c r="A208" s="234"/>
      <c r="B208" s="149" t="s">
        <v>156</v>
      </c>
      <c r="C208" s="150" t="s">
        <v>157</v>
      </c>
      <c r="D208" s="149" t="s">
        <v>163</v>
      </c>
      <c r="E208" s="150" t="s">
        <v>161</v>
      </c>
      <c r="F208" s="159">
        <f t="shared" si="198"/>
      </c>
      <c r="G208" s="152">
        <v>2899.24</v>
      </c>
      <c r="H208" s="152">
        <v>1628.89</v>
      </c>
      <c r="I208" s="236">
        <v>0</v>
      </c>
      <c r="J208" s="236">
        <v>2</v>
      </c>
      <c r="K208" s="236">
        <v>2316.199999999999</v>
      </c>
      <c r="L208" s="236">
        <v>2</v>
      </c>
      <c r="M208" s="236">
        <v>2457.649999999994</v>
      </c>
      <c r="N208" s="155">
        <v>1</v>
      </c>
      <c r="O208" s="156">
        <f t="shared" si="46"/>
      </c>
      <c r="P208" s="155">
        <v>0</v>
      </c>
      <c r="Q208" s="156">
        <f t="shared" si="236"/>
      </c>
      <c r="R208" s="244">
        <f t="shared" si="88"/>
      </c>
      <c r="S208" s="237">
        <f t="shared" si="142"/>
      </c>
      <c r="T208" s="159">
        <f t="shared" si="234"/>
      </c>
      <c r="U208" s="159">
        <f t="shared" si="2"/>
      </c>
      <c r="V208" s="169">
        <f t="shared" si="0"/>
      </c>
      <c r="W208" s="155">
        <v>3</v>
      </c>
      <c r="X208" s="169">
        <f t="shared" si="6"/>
      </c>
      <c r="Y208" s="169">
        <f t="shared" si="4"/>
      </c>
      <c r="Z208" s="159">
        <f t="shared" si="232"/>
      </c>
      <c r="AA208" s="159">
        <f t="shared" si="47"/>
      </c>
      <c r="AB208" s="159">
        <f t="shared" si="237"/>
      </c>
      <c r="AC208" s="156">
        <f t="shared" si="235"/>
      </c>
      <c r="AD208" s="156">
        <f t="shared" si="3"/>
      </c>
      <c r="AE208" s="156">
        <f t="shared" si="1"/>
      </c>
      <c r="AF208" s="156">
        <f t="shared" si="7"/>
      </c>
      <c r="AG208" s="156">
        <f t="shared" si="5"/>
      </c>
      <c r="AH208" s="156">
        <f t="shared" si="233"/>
      </c>
      <c r="AI208" s="156">
        <f t="shared" si="48"/>
      </c>
      <c r="AJ208" s="155">
        <v>52</v>
      </c>
      <c r="AK208" s="160">
        <v>37711</v>
      </c>
      <c r="AL208" s="160">
        <v>798</v>
      </c>
      <c r="AM208" s="160">
        <v>932</v>
      </c>
      <c r="AN208" s="160">
        <v>100</v>
      </c>
      <c r="AO208" s="149">
        <v>36</v>
      </c>
      <c r="AP208" s="160">
        <v>94</v>
      </c>
      <c r="AQ208" s="150">
        <v>90</v>
      </c>
      <c r="AR208" s="149">
        <v>5</v>
      </c>
      <c r="AS208" s="155">
        <v>4</v>
      </c>
      <c r="AT208" s="160">
        <v>2</v>
      </c>
      <c r="AU208" s="160">
        <v>4</v>
      </c>
      <c r="AV208" s="207"/>
      <c r="AW208" s="165"/>
      <c r="AX208" s="197">
        <f t="shared" si="279"/>
      </c>
    </row>
    <row r="209">
      <c r="A209" s="234"/>
      <c r="B209" s="149" t="s">
        <v>156</v>
      </c>
      <c r="C209" s="150" t="s">
        <v>157</v>
      </c>
      <c r="D209" s="149" t="s">
        <v>163</v>
      </c>
      <c r="E209" s="150" t="s">
        <v>164</v>
      </c>
      <c r="F209" s="159">
        <f t="shared" si="198"/>
      </c>
      <c r="G209" s="152">
        <v>3156.76</v>
      </c>
      <c r="H209" s="152">
        <v>1044.58</v>
      </c>
      <c r="I209" s="236">
        <v>0</v>
      </c>
      <c r="J209" s="236">
        <v>2</v>
      </c>
      <c r="K209" s="236">
        <v>3921.0000000000036</v>
      </c>
      <c r="L209" s="236">
        <v>2</v>
      </c>
      <c r="M209" s="236">
        <v>4870.9000000000015</v>
      </c>
      <c r="N209" s="155">
        <v>0</v>
      </c>
      <c r="O209" s="156">
        <f t="shared" si="46"/>
      </c>
      <c r="P209" s="155">
        <v>0</v>
      </c>
      <c r="Q209" s="156">
        <f t="shared" si="236"/>
      </c>
      <c r="R209" s="244">
        <f t="shared" si="88"/>
      </c>
      <c r="S209" s="237">
        <f t="shared" si="142"/>
      </c>
      <c r="T209" s="159">
        <f t="shared" si="234"/>
      </c>
      <c r="U209" s="159">
        <f t="shared" si="2"/>
      </c>
      <c r="V209" s="169">
        <f t="shared" si="0"/>
      </c>
      <c r="W209" s="155">
        <v>2</v>
      </c>
      <c r="X209" s="169">
        <f t="shared" si="6"/>
      </c>
      <c r="Y209" s="169">
        <f t="shared" si="4"/>
      </c>
      <c r="Z209" s="159">
        <f t="shared" si="232"/>
      </c>
      <c r="AA209" s="159">
        <f t="shared" si="47"/>
      </c>
      <c r="AB209" s="159">
        <f t="shared" si="237"/>
      </c>
      <c r="AC209" s="156">
        <f t="shared" si="235"/>
      </c>
      <c r="AD209" s="156">
        <f t="shared" si="3"/>
      </c>
      <c r="AE209" s="156">
        <f t="shared" si="1"/>
      </c>
      <c r="AF209" s="156">
        <f t="shared" si="7"/>
      </c>
      <c r="AG209" s="156">
        <f t="shared" si="5"/>
      </c>
      <c r="AH209" s="156">
        <f t="shared" si="233"/>
      </c>
      <c r="AI209" s="156">
        <f t="shared" si="48"/>
      </c>
      <c r="AJ209" s="155">
        <v>54</v>
      </c>
      <c r="AK209" s="160">
        <v>30231</v>
      </c>
      <c r="AL209" s="160">
        <v>663</v>
      </c>
      <c r="AM209" s="160">
        <v>726</v>
      </c>
      <c r="AN209" s="160">
        <v>127</v>
      </c>
      <c r="AO209" s="149">
        <v>45</v>
      </c>
      <c r="AP209" s="160">
        <v>139</v>
      </c>
      <c r="AQ209" s="150">
        <v>121</v>
      </c>
      <c r="AR209" s="149">
        <v>6</v>
      </c>
      <c r="AS209" s="160">
        <v>8</v>
      </c>
      <c r="AT209" s="160">
        <v>1</v>
      </c>
      <c r="AU209" s="155">
        <v>8</v>
      </c>
      <c r="AV209" s="207"/>
      <c r="AW209" s="165"/>
      <c r="AX209" s="197">
        <f t="shared" si="279"/>
      </c>
    </row>
    <row r="210">
      <c r="A210" s="234"/>
      <c r="B210" s="171" t="s">
        <v>162</v>
      </c>
      <c r="C210" s="171"/>
      <c r="D210" s="171"/>
      <c r="E210" s="171"/>
      <c r="F210" s="173">
        <f>SUM(F206:F209)</f>
      </c>
      <c r="G210" s="173">
        <f>SUM(G206:G209)</f>
      </c>
      <c r="H210" s="173">
        <f>SUM(H206:H209)</f>
      </c>
      <c r="I210" s="173">
        <f>SUM(I206:I209)</f>
      </c>
      <c r="J210" s="173">
        <f>SUM(J206:J209)</f>
      </c>
      <c r="K210" s="173">
        <f>SUM(K206:K209)</f>
      </c>
      <c r="L210" s="173">
        <f>SUM(L206:L209)</f>
      </c>
      <c r="M210" s="173">
        <f>SUM(M206:M209)</f>
      </c>
      <c r="N210" s="173">
        <f>SUM(N206:N209)</f>
      </c>
      <c r="O210" s="175">
        <f t="shared" si="46"/>
      </c>
      <c r="P210" s="173">
        <f>SUM(P206:P209)</f>
      </c>
      <c r="Q210" s="175">
        <f t="shared" si="236"/>
      </c>
      <c r="R210" s="178">
        <f>SUM(R206:R209)</f>
      </c>
      <c r="S210" s="173">
        <f>SUM(S206:S209)</f>
      </c>
      <c r="T210" s="173">
        <f t="shared" si="234"/>
      </c>
      <c r="U210" s="173">
        <f t="shared" si="2"/>
      </c>
      <c r="V210" s="194">
        <f t="shared" si="0"/>
      </c>
      <c r="W210" s="173">
        <f>SUM(W206:W209)</f>
      </c>
      <c r="X210" s="194">
        <f t="shared" si="6"/>
      </c>
      <c r="Y210" s="194">
        <f t="shared" si="4"/>
      </c>
      <c r="Z210" s="173">
        <f t="shared" si="232"/>
      </c>
      <c r="AA210" s="173">
        <f t="shared" si="47"/>
      </c>
      <c r="AB210" s="238">
        <f t="shared" si="237"/>
      </c>
      <c r="AC210" s="175">
        <f t="shared" si="235"/>
      </c>
      <c r="AD210" s="175">
        <f t="shared" si="3"/>
      </c>
      <c r="AE210" s="175">
        <f t="shared" si="1"/>
      </c>
      <c r="AF210" s="239">
        <f t="shared" si="7"/>
      </c>
      <c r="AG210" s="175">
        <f t="shared" si="5"/>
      </c>
      <c r="AH210" s="175">
        <f t="shared" si="233"/>
      </c>
      <c r="AI210" s="175">
        <f t="shared" si="48"/>
      </c>
      <c r="AJ210" s="178">
        <f>AVERAGE(AJ206:AJ209)</f>
      </c>
      <c r="AK210" s="173">
        <f>SUM(AK206:AK209)</f>
      </c>
      <c r="AL210" s="173">
        <f>SUM(AL206:AL209)</f>
      </c>
      <c r="AM210" s="173">
        <f>SUM(AM206:AM209)</f>
      </c>
      <c r="AN210" s="173">
        <f>SUM(AN206:AN209)</f>
      </c>
      <c r="AO210" s="173">
        <f>SUM(AO206:AO209)</f>
      </c>
      <c r="AP210" s="173">
        <f>SUM(AP206:AP209)</f>
      </c>
      <c r="AQ210" s="173">
        <f>SUM(AQ206:AQ209)</f>
      </c>
      <c r="AR210" s="173">
        <f>SUM(AR206:AR209)</f>
      </c>
      <c r="AS210" s="173">
        <f>SUM(AS206:AS209)</f>
      </c>
      <c r="AT210" s="173">
        <f>SUM(AT206:AT209)</f>
      </c>
      <c r="AU210" s="173">
        <f>SUM(AU206:AU209)</f>
      </c>
      <c r="AV210" s="207"/>
      <c r="AW210" s="180"/>
      <c r="AX210" s="181">
        <f>SUM(AX206:AX209)</f>
      </c>
    </row>
    <row r="211">
      <c r="A211" s="234"/>
      <c r="B211" s="149" t="s">
        <v>156</v>
      </c>
      <c r="C211" s="150" t="s">
        <v>157</v>
      </c>
      <c r="D211" s="149" t="s">
        <v>169</v>
      </c>
      <c r="E211" s="150" t="s">
        <v>165</v>
      </c>
      <c r="F211" s="159">
        <f t="shared" ref="F211:F214" si="199">G211+H211+I211</f>
      </c>
      <c r="G211" s="152">
        <v>5900.79</v>
      </c>
      <c r="H211" s="152">
        <v>514.75</v>
      </c>
      <c r="I211" s="236">
        <v>0</v>
      </c>
      <c r="J211" s="236">
        <v>1</v>
      </c>
      <c r="K211" s="236">
        <v>855</v>
      </c>
      <c r="L211" s="236">
        <v>6</v>
      </c>
      <c r="M211" s="236">
        <v>10591.420000000006</v>
      </c>
      <c r="N211" s="155">
        <v>1</v>
      </c>
      <c r="O211" s="156">
        <f t="shared" si="46"/>
      </c>
      <c r="P211" s="155">
        <v>0</v>
      </c>
      <c r="Q211" s="156">
        <f t="shared" si="236"/>
      </c>
      <c r="R211" s="244">
        <f t="shared" ref="R211:R214" si="89">L211+J211</f>
      </c>
      <c r="S211" s="237">
        <f t="shared" ref="S211:S214" si="143">M211+K211</f>
      </c>
      <c r="T211" s="159">
        <f t="shared" si="234"/>
      </c>
      <c r="U211" s="159">
        <f t="shared" si="2"/>
      </c>
      <c r="V211" s="169">
        <f t="shared" si="0"/>
      </c>
      <c r="W211" s="155">
        <v>7</v>
      </c>
      <c r="X211" s="169">
        <f t="shared" si="6"/>
      </c>
      <c r="Y211" s="169">
        <f t="shared" si="4"/>
      </c>
      <c r="Z211" s="159">
        <f t="shared" si="232"/>
      </c>
      <c r="AA211" s="159">
        <f t="shared" si="47"/>
      </c>
      <c r="AB211" s="159">
        <f t="shared" si="237"/>
      </c>
      <c r="AC211" s="156">
        <f t="shared" si="235"/>
      </c>
      <c r="AD211" s="156">
        <f t="shared" si="3"/>
      </c>
      <c r="AE211" s="156">
        <f t="shared" si="1"/>
      </c>
      <c r="AF211" s="156">
        <f t="shared" si="7"/>
      </c>
      <c r="AG211" s="156">
        <f t="shared" si="5"/>
      </c>
      <c r="AH211" s="156">
        <f t="shared" si="233"/>
      </c>
      <c r="AI211" s="156">
        <f t="shared" si="48"/>
      </c>
      <c r="AJ211" s="155">
        <v>55</v>
      </c>
      <c r="AK211" s="160">
        <v>48167</v>
      </c>
      <c r="AL211" s="160">
        <v>1147</v>
      </c>
      <c r="AM211" s="160">
        <v>1244</v>
      </c>
      <c r="AN211" s="160">
        <v>259</v>
      </c>
      <c r="AO211" s="149">
        <v>52</v>
      </c>
      <c r="AP211" s="160">
        <v>179</v>
      </c>
      <c r="AQ211" s="150">
        <v>200</v>
      </c>
      <c r="AR211" s="149">
        <v>9</v>
      </c>
      <c r="AS211" s="149">
        <v>13</v>
      </c>
      <c r="AT211" s="160">
        <v>1</v>
      </c>
      <c r="AU211" s="160">
        <v>2</v>
      </c>
      <c r="AV211" s="207"/>
      <c r="AW211" s="165"/>
      <c r="AX211" s="197">
        <f t="shared" ref="AX211:AX214" si="280">COUNT(AU211)</f>
      </c>
    </row>
    <row r="212">
      <c r="A212" s="234"/>
      <c r="B212" s="149" t="s">
        <v>156</v>
      </c>
      <c r="C212" s="150" t="s">
        <v>157</v>
      </c>
      <c r="D212" s="149" t="s">
        <v>169</v>
      </c>
      <c r="E212" s="150" t="s">
        <v>168</v>
      </c>
      <c r="F212" s="159">
        <f t="shared" si="199"/>
      </c>
      <c r="G212" s="152">
        <v>8233.97</v>
      </c>
      <c r="H212" s="152">
        <v>1226.99</v>
      </c>
      <c r="I212" s="236">
        <v>0</v>
      </c>
      <c r="J212" s="236">
        <v>4</v>
      </c>
      <c r="K212" s="236">
        <v>11114.199999999997</v>
      </c>
      <c r="L212" s="236">
        <v>8</v>
      </c>
      <c r="M212" s="236">
        <v>14061.069999999992</v>
      </c>
      <c r="N212" s="155">
        <v>4</v>
      </c>
      <c r="O212" s="156">
        <f t="shared" si="46"/>
      </c>
      <c r="P212" s="155">
        <v>2</v>
      </c>
      <c r="Q212" s="156">
        <f t="shared" si="236"/>
      </c>
      <c r="R212" s="244">
        <f t="shared" si="89"/>
      </c>
      <c r="S212" s="237">
        <f t="shared" si="143"/>
      </c>
      <c r="T212" s="159">
        <f t="shared" si="234"/>
      </c>
      <c r="U212" s="159">
        <f t="shared" si="2"/>
      </c>
      <c r="V212" s="169">
        <f t="shared" si="0"/>
      </c>
      <c r="W212" s="155">
        <v>10</v>
      </c>
      <c r="X212" s="169">
        <f t="shared" si="6"/>
      </c>
      <c r="Y212" s="169">
        <f t="shared" si="4"/>
      </c>
      <c r="Z212" s="159">
        <f t="shared" si="232"/>
      </c>
      <c r="AA212" s="159">
        <f t="shared" si="47"/>
      </c>
      <c r="AB212" s="159">
        <f t="shared" si="237"/>
      </c>
      <c r="AC212" s="156">
        <f t="shared" si="235"/>
      </c>
      <c r="AD212" s="156">
        <f t="shared" si="3"/>
      </c>
      <c r="AE212" s="156">
        <f t="shared" si="1"/>
      </c>
      <c r="AF212" s="156">
        <f t="shared" si="7"/>
      </c>
      <c r="AG212" s="156">
        <f t="shared" si="5"/>
      </c>
      <c r="AH212" s="156">
        <f t="shared" si="233"/>
      </c>
      <c r="AI212" s="156">
        <f t="shared" si="48"/>
      </c>
      <c r="AJ212" s="155">
        <v>56</v>
      </c>
      <c r="AK212" s="160">
        <v>67967</v>
      </c>
      <c r="AL212" s="160">
        <v>2039</v>
      </c>
      <c r="AM212" s="160">
        <v>2249</v>
      </c>
      <c r="AN212" s="160">
        <v>352</v>
      </c>
      <c r="AO212" s="149">
        <v>76</v>
      </c>
      <c r="AP212" s="160">
        <v>209</v>
      </c>
      <c r="AQ212" s="150">
        <v>318</v>
      </c>
      <c r="AR212" s="149">
        <v>13</v>
      </c>
      <c r="AS212" s="149">
        <v>19</v>
      </c>
      <c r="AT212" s="160">
        <v>8</v>
      </c>
      <c r="AU212" s="160">
        <v>1</v>
      </c>
      <c r="AV212" s="207"/>
      <c r="AW212" s="165"/>
      <c r="AX212" s="197">
        <f t="shared" si="280"/>
      </c>
    </row>
    <row r="213">
      <c r="A213" s="234"/>
      <c r="B213" s="149" t="s">
        <v>156</v>
      </c>
      <c r="C213" s="150" t="s">
        <v>157</v>
      </c>
      <c r="D213" s="149" t="s">
        <v>169</v>
      </c>
      <c r="E213" s="150" t="s">
        <v>171</v>
      </c>
      <c r="F213" s="159">
        <f t="shared" si="199"/>
      </c>
      <c r="G213" s="152">
        <v>4492.95</v>
      </c>
      <c r="H213" s="152">
        <v>682.3</v>
      </c>
      <c r="I213" s="236">
        <v>0</v>
      </c>
      <c r="J213" s="236">
        <v>4</v>
      </c>
      <c r="K213" s="236">
        <v>11268.040000000008</v>
      </c>
      <c r="L213" s="236">
        <v>2</v>
      </c>
      <c r="M213" s="236">
        <v>2888</v>
      </c>
      <c r="N213" s="155">
        <v>4</v>
      </c>
      <c r="O213" s="156">
        <f t="shared" si="46"/>
      </c>
      <c r="P213" s="155">
        <v>2</v>
      </c>
      <c r="Q213" s="156">
        <f t="shared" si="236"/>
      </c>
      <c r="R213" s="244">
        <f t="shared" si="89"/>
      </c>
      <c r="S213" s="237">
        <f t="shared" si="143"/>
      </c>
      <c r="T213" s="159">
        <f t="shared" si="234"/>
      </c>
      <c r="U213" s="159">
        <f t="shared" si="2"/>
      </c>
      <c r="V213" s="169">
        <f t="shared" si="0"/>
      </c>
      <c r="W213" s="155">
        <v>4</v>
      </c>
      <c r="X213" s="169">
        <f t="shared" si="6"/>
      </c>
      <c r="Y213" s="169">
        <f t="shared" si="4"/>
      </c>
      <c r="Z213" s="159">
        <f t="shared" si="232"/>
      </c>
      <c r="AA213" s="159">
        <f t="shared" si="47"/>
      </c>
      <c r="AB213" s="159">
        <f t="shared" si="237"/>
      </c>
      <c r="AC213" s="156">
        <f t="shared" si="235"/>
      </c>
      <c r="AD213" s="156">
        <f t="shared" si="3"/>
      </c>
      <c r="AE213" s="156">
        <f t="shared" si="1"/>
      </c>
      <c r="AF213" s="156">
        <f t="shared" si="7"/>
      </c>
      <c r="AG213" s="156">
        <f t="shared" si="5"/>
      </c>
      <c r="AH213" s="156">
        <f t="shared" si="233"/>
      </c>
      <c r="AI213" s="156">
        <f t="shared" si="48"/>
      </c>
      <c r="AJ213" s="155">
        <v>56</v>
      </c>
      <c r="AK213" s="160">
        <v>52259</v>
      </c>
      <c r="AL213" s="160">
        <v>1135</v>
      </c>
      <c r="AM213" s="160">
        <v>1244</v>
      </c>
      <c r="AN213" s="160">
        <v>203</v>
      </c>
      <c r="AO213" s="149">
        <v>44</v>
      </c>
      <c r="AP213" s="160">
        <v>125</v>
      </c>
      <c r="AQ213" s="150">
        <v>169</v>
      </c>
      <c r="AR213" s="149">
        <v>6</v>
      </c>
      <c r="AS213" s="155">
        <v>22</v>
      </c>
      <c r="AT213" s="160">
        <v>2</v>
      </c>
      <c r="AU213" s="155">
        <v>3</v>
      </c>
      <c r="AV213" s="207"/>
      <c r="AW213" s="165"/>
      <c r="AX213" s="197">
        <f t="shared" si="280"/>
      </c>
    </row>
    <row r="214">
      <c r="A214" s="234"/>
      <c r="B214" s="149" t="s">
        <v>156</v>
      </c>
      <c r="C214" s="150" t="s">
        <v>157</v>
      </c>
      <c r="D214" s="149" t="s">
        <v>169</v>
      </c>
      <c r="E214" s="150" t="s">
        <v>172</v>
      </c>
      <c r="F214" s="159">
        <f t="shared" si="199"/>
      </c>
      <c r="G214" s="152">
        <v>2872.9</v>
      </c>
      <c r="H214" s="152">
        <v>989.05</v>
      </c>
      <c r="I214" s="236">
        <v>0</v>
      </c>
      <c r="J214" s="236">
        <v>1</v>
      </c>
      <c r="K214" s="236">
        <v>1914.4700000000012</v>
      </c>
      <c r="L214" s="236">
        <v>2</v>
      </c>
      <c r="M214" s="236">
        <v>7498.349999999991</v>
      </c>
      <c r="N214" s="155">
        <v>1</v>
      </c>
      <c r="O214" s="156">
        <f t="shared" si="46"/>
      </c>
      <c r="P214" s="155">
        <v>1</v>
      </c>
      <c r="Q214" s="156">
        <f t="shared" si="236"/>
      </c>
      <c r="R214" s="244">
        <f t="shared" si="89"/>
      </c>
      <c r="S214" s="237">
        <f t="shared" si="143"/>
      </c>
      <c r="T214" s="159">
        <f t="shared" si="234"/>
      </c>
      <c r="U214" s="159">
        <f t="shared" si="2"/>
      </c>
      <c r="V214" s="169">
        <f t="shared" si="0"/>
      </c>
      <c r="W214" s="155">
        <v>2</v>
      </c>
      <c r="X214" s="169">
        <f t="shared" si="6"/>
      </c>
      <c r="Y214" s="169">
        <f t="shared" si="4"/>
      </c>
      <c r="Z214" s="159">
        <f t="shared" si="232"/>
      </c>
      <c r="AA214" s="159">
        <f t="shared" si="47"/>
      </c>
      <c r="AB214" s="159">
        <f t="shared" si="237"/>
      </c>
      <c r="AC214" s="156">
        <f t="shared" si="235"/>
      </c>
      <c r="AD214" s="156">
        <f t="shared" si="3"/>
      </c>
      <c r="AE214" s="156">
        <f t="shared" si="1"/>
      </c>
      <c r="AF214" s="156">
        <f t="shared" si="7"/>
      </c>
      <c r="AG214" s="156">
        <f t="shared" si="5"/>
      </c>
      <c r="AH214" s="156">
        <f t="shared" si="233"/>
      </c>
      <c r="AI214" s="156">
        <f t="shared" si="48"/>
      </c>
      <c r="AJ214" s="155">
        <v>56</v>
      </c>
      <c r="AK214" s="160">
        <v>43540</v>
      </c>
      <c r="AL214" s="160">
        <v>1094</v>
      </c>
      <c r="AM214" s="160">
        <v>1346</v>
      </c>
      <c r="AN214" s="160">
        <v>104</v>
      </c>
      <c r="AO214" s="149">
        <v>30</v>
      </c>
      <c r="AP214" s="160">
        <v>60</v>
      </c>
      <c r="AQ214" s="150">
        <v>101</v>
      </c>
      <c r="AR214" s="149">
        <v>3</v>
      </c>
      <c r="AS214" s="160">
        <v>13</v>
      </c>
      <c r="AT214" s="160">
        <v>1</v>
      </c>
      <c r="AU214" s="155">
        <v>4</v>
      </c>
      <c r="AV214" s="207"/>
      <c r="AW214" s="165"/>
      <c r="AX214" s="197">
        <f t="shared" si="280"/>
      </c>
    </row>
    <row r="215">
      <c r="A215" s="234"/>
      <c r="B215" s="171" t="s">
        <v>162</v>
      </c>
      <c r="C215" s="171"/>
      <c r="D215" s="171"/>
      <c r="E215" s="171"/>
      <c r="F215" s="173">
        <f>SUM(F211:F214)</f>
      </c>
      <c r="G215" s="173">
        <f>SUM(G211:G214)</f>
      </c>
      <c r="H215" s="173">
        <f>SUM(H211:H214)</f>
      </c>
      <c r="I215" s="173">
        <f>SUM(I211:I214)</f>
      </c>
      <c r="J215" s="173">
        <f>SUM(J211:J214)</f>
      </c>
      <c r="K215" s="173">
        <f>SUM(K211:K214)</f>
      </c>
      <c r="L215" s="173">
        <f>SUM(L211:L214)</f>
      </c>
      <c r="M215" s="173">
        <f>SUM(M211:M214)</f>
      </c>
      <c r="N215" s="173">
        <f>SUM(N211:N214)</f>
      </c>
      <c r="O215" s="175">
        <f t="shared" si="46"/>
      </c>
      <c r="P215" s="173">
        <f>SUM(P211:P214)</f>
      </c>
      <c r="Q215" s="175">
        <f t="shared" si="236"/>
      </c>
      <c r="R215" s="178">
        <f>SUM(R211:R214)</f>
      </c>
      <c r="S215" s="173">
        <f>SUM(S211:S214)</f>
      </c>
      <c r="T215" s="173">
        <f t="shared" si="234"/>
      </c>
      <c r="U215" s="173">
        <f t="shared" si="2"/>
      </c>
      <c r="V215" s="194">
        <f t="shared" si="0"/>
      </c>
      <c r="W215" s="173">
        <f>SUM(W211:W214)</f>
      </c>
      <c r="X215" s="194">
        <f t="shared" si="6"/>
      </c>
      <c r="Y215" s="194">
        <f t="shared" si="4"/>
      </c>
      <c r="Z215" s="173">
        <f t="shared" si="232"/>
      </c>
      <c r="AA215" s="173">
        <f t="shared" si="47"/>
      </c>
      <c r="AB215" s="238">
        <f t="shared" si="237"/>
      </c>
      <c r="AC215" s="175">
        <f t="shared" si="235"/>
      </c>
      <c r="AD215" s="175">
        <f t="shared" si="3"/>
      </c>
      <c r="AE215" s="175">
        <f t="shared" si="1"/>
      </c>
      <c r="AF215" s="245">
        <f t="shared" si="7"/>
      </c>
      <c r="AG215" s="175">
        <f t="shared" si="5"/>
      </c>
      <c r="AH215" s="175">
        <f t="shared" si="233"/>
      </c>
      <c r="AI215" s="175">
        <f t="shared" si="48"/>
      </c>
      <c r="AJ215" s="178">
        <f>AVERAGE(AJ211:AJ214)</f>
      </c>
      <c r="AK215" s="173">
        <f>SUM(AK211:AK214)</f>
      </c>
      <c r="AL215" s="173">
        <f>SUM(AL211:AL214)</f>
      </c>
      <c r="AM215" s="173">
        <f>SUM(AM211:AM214)</f>
      </c>
      <c r="AN215" s="173">
        <f>SUM(AN211:AN214)</f>
      </c>
      <c r="AO215" s="173">
        <f>SUM(AO211:AO214)</f>
      </c>
      <c r="AP215" s="173">
        <f>SUM(AP211:AP214)</f>
      </c>
      <c r="AQ215" s="173">
        <f>SUM(AQ211:AQ214)</f>
      </c>
      <c r="AR215" s="173">
        <f>SUM(AR211:AR214)</f>
      </c>
      <c r="AS215" s="173">
        <f>SUM(AS211:AS214)</f>
      </c>
      <c r="AT215" s="173">
        <f>SUM(AT211:AT214)</f>
      </c>
      <c r="AU215" s="173">
        <f>SUM(AU211:AU214)</f>
      </c>
      <c r="AV215" s="207"/>
      <c r="AW215" s="180"/>
      <c r="AX215" s="181">
        <f>SUM(AX211:AX214)</f>
      </c>
    </row>
    <row r="216">
      <c r="A216" s="234"/>
      <c r="B216" s="184" t="s">
        <v>166</v>
      </c>
      <c r="C216" s="184"/>
      <c r="D216" s="184"/>
      <c r="E216" s="184"/>
      <c r="F216" s="185">
        <f>F205+F210+F215</f>
      </c>
      <c r="G216" s="185">
        <f>G205+G210+G215</f>
      </c>
      <c r="H216" s="185">
        <f>H205+H210+H215</f>
      </c>
      <c r="I216" s="184">
        <f>I205+I210+I215</f>
      </c>
      <c r="J216" s="184">
        <f>J205+J210+J215</f>
      </c>
      <c r="K216" s="184">
        <f>K205+K210+K215</f>
      </c>
      <c r="L216" s="184">
        <f>L205+L210+L215</f>
      </c>
      <c r="M216" s="184">
        <f>M205+M210+M215</f>
      </c>
      <c r="N216" s="184">
        <f>N205+N210+N215</f>
      </c>
      <c r="O216" s="186">
        <f t="shared" si="46"/>
      </c>
      <c r="P216" s="184">
        <f>P205+P210+P215</f>
      </c>
      <c r="Q216" s="186">
        <f t="shared" si="236"/>
      </c>
      <c r="R216" s="190">
        <f>R205+R210+R215</f>
      </c>
      <c r="S216" s="185">
        <f>S205+S210+S215</f>
      </c>
      <c r="T216" s="185">
        <f t="shared" si="234"/>
      </c>
      <c r="U216" s="185">
        <f t="shared" si="2"/>
      </c>
      <c r="V216" s="187">
        <f t="shared" si="0"/>
      </c>
      <c r="W216" s="184">
        <f>W205+W210+W215</f>
      </c>
      <c r="X216" s="187">
        <f t="shared" si="6"/>
      </c>
      <c r="Y216" s="187">
        <f t="shared" si="4"/>
      </c>
      <c r="Z216" s="185">
        <f t="shared" si="232"/>
      </c>
      <c r="AA216" s="185">
        <f t="shared" si="47"/>
      </c>
      <c r="AB216" s="189">
        <f t="shared" si="237"/>
      </c>
      <c r="AC216" s="186">
        <f t="shared" si="235"/>
      </c>
      <c r="AD216" s="186">
        <f t="shared" si="3"/>
      </c>
      <c r="AE216" s="186">
        <f t="shared" si="1"/>
      </c>
      <c r="AF216" s="241">
        <f t="shared" si="7"/>
      </c>
      <c r="AG216" s="186">
        <f t="shared" si="5"/>
      </c>
      <c r="AH216" s="186">
        <f t="shared" si="233"/>
      </c>
      <c r="AI216" s="186">
        <f t="shared" si="48"/>
      </c>
      <c r="AJ216" s="190">
        <f>(AJ205+AJ210+AJ215)/3</f>
      </c>
      <c r="AK216" s="184">
        <f>AK205+AK210+AK215</f>
      </c>
      <c r="AL216" s="184">
        <f>AL205+AL210+AL215</f>
      </c>
      <c r="AM216" s="184">
        <f>AM205+AM210+AM215</f>
      </c>
      <c r="AN216" s="184">
        <f>AN205+AN210+AN215</f>
      </c>
      <c r="AO216" s="184">
        <f>AO205+AO210+AO215</f>
      </c>
      <c r="AP216" s="184">
        <f>AP205+AP210+AP215</f>
      </c>
      <c r="AQ216" s="184">
        <f>AQ205+AQ210+AQ215</f>
      </c>
      <c r="AR216" s="184">
        <f>AR205+AR210+AR215</f>
      </c>
      <c r="AS216" s="184">
        <f>AS205+AS210+AS215</f>
      </c>
      <c r="AT216" s="184">
        <f>AT205+AT210+AT215</f>
      </c>
      <c r="AU216" s="184">
        <f>AU205+AU210+AU215</f>
      </c>
      <c r="AV216" s="207"/>
      <c r="AW216" s="184">
        <f>AW205+AW210+AW215</f>
      </c>
      <c r="AX216" s="184">
        <f>AX205+AX210+AX215</f>
      </c>
    </row>
    <row r="217">
      <c r="A217" s="234">
        <v>46287</v>
      </c>
      <c r="B217" s="149" t="s">
        <v>156</v>
      </c>
      <c r="C217" s="150" t="s">
        <v>157</v>
      </c>
      <c r="D217" s="149" t="s">
        <v>158</v>
      </c>
      <c r="E217" s="149" t="s">
        <v>175</v>
      </c>
      <c r="F217" s="159">
        <f t="shared" ref="F217:F220" si="200">G217+H217+I217</f>
      </c>
      <c r="G217" s="152">
        <v>4140.46</v>
      </c>
      <c r="H217" s="152">
        <v>1366.29</v>
      </c>
      <c r="I217" s="236">
        <v>0</v>
      </c>
      <c r="J217" s="236">
        <v>1</v>
      </c>
      <c r="K217" s="242">
        <v>3895.39</v>
      </c>
      <c r="L217" s="236">
        <v>6</v>
      </c>
      <c r="M217" s="236">
        <v>7998.150000000001</v>
      </c>
      <c r="N217" s="155">
        <v>1</v>
      </c>
      <c r="O217" s="156">
        <f t="shared" si="46"/>
      </c>
      <c r="P217" s="155">
        <v>1</v>
      </c>
      <c r="Q217" s="156">
        <f t="shared" si="236"/>
      </c>
      <c r="R217" s="244">
        <f t="shared" ref="R217:R220" si="90">L217+J217</f>
      </c>
      <c r="S217" s="237">
        <f t="shared" ref="S217:S220" si="144">M217+K217</f>
      </c>
      <c r="T217" s="159">
        <f t="shared" si="234"/>
      </c>
      <c r="U217" s="159">
        <f t="shared" si="2"/>
      </c>
      <c r="V217" s="160">
        <f t="shared" si="0"/>
      </c>
      <c r="W217" s="155">
        <v>6</v>
      </c>
      <c r="X217" s="169">
        <f t="shared" si="6"/>
      </c>
      <c r="Y217" s="169">
        <f t="shared" si="4"/>
      </c>
      <c r="Z217" s="159">
        <f t="shared" si="232"/>
      </c>
      <c r="AA217" s="159">
        <f t="shared" si="47"/>
      </c>
      <c r="AB217" s="159">
        <f t="shared" si="237"/>
      </c>
      <c r="AC217" s="156">
        <f t="shared" si="235"/>
      </c>
      <c r="AD217" s="156">
        <f t="shared" si="3"/>
      </c>
      <c r="AE217" s="156">
        <f t="shared" si="1"/>
      </c>
      <c r="AF217" s="156">
        <f t="shared" si="7"/>
      </c>
      <c r="AG217" s="156">
        <f t="shared" si="5"/>
      </c>
      <c r="AH217" s="156">
        <f t="shared" si="233"/>
      </c>
      <c r="AI217" s="156">
        <f t="shared" si="48"/>
      </c>
      <c r="AJ217" s="155">
        <v>56</v>
      </c>
      <c r="AK217" s="160">
        <v>32643</v>
      </c>
      <c r="AL217" s="160">
        <v>984</v>
      </c>
      <c r="AM217" s="160">
        <v>1188</v>
      </c>
      <c r="AN217" s="160">
        <v>158</v>
      </c>
      <c r="AO217" s="149">
        <v>47</v>
      </c>
      <c r="AP217" s="149">
        <v>122</v>
      </c>
      <c r="AQ217" s="150">
        <v>162</v>
      </c>
      <c r="AR217" s="149">
        <v>10</v>
      </c>
      <c r="AS217" s="149">
        <v>19</v>
      </c>
      <c r="AT217" s="160">
        <v>1</v>
      </c>
      <c r="AU217" s="160">
        <v>2</v>
      </c>
      <c r="AV217" s="207"/>
      <c r="AW217" s="165"/>
      <c r="AX217" s="197">
        <f t="shared" ref="AX217:AX220" si="281">COUNT(AU217)</f>
      </c>
    </row>
    <row r="218">
      <c r="A218" s="234"/>
      <c r="B218" s="149" t="s">
        <v>156</v>
      </c>
      <c r="C218" s="150" t="s">
        <v>157</v>
      </c>
      <c r="D218" s="149" t="s">
        <v>158</v>
      </c>
      <c r="E218" s="149" t="s">
        <v>176</v>
      </c>
      <c r="F218" s="159">
        <f t="shared" si="200"/>
      </c>
      <c r="G218" s="152">
        <v>4366.57</v>
      </c>
      <c r="H218" s="152">
        <v>1999.92</v>
      </c>
      <c r="I218" s="236">
        <v>0</v>
      </c>
      <c r="J218" s="236">
        <v>0</v>
      </c>
      <c r="K218" s="236">
        <v>0</v>
      </c>
      <c r="L218" s="236">
        <v>5</v>
      </c>
      <c r="M218" s="236">
        <v>12367.009999999998</v>
      </c>
      <c r="N218" s="155">
        <v>1</v>
      </c>
      <c r="O218" s="156">
        <f t="shared" si="46"/>
      </c>
      <c r="P218" s="155">
        <v>1</v>
      </c>
      <c r="Q218" s="156">
        <f t="shared" si="236"/>
      </c>
      <c r="R218" s="244">
        <f t="shared" si="90"/>
      </c>
      <c r="S218" s="237">
        <f t="shared" si="144"/>
      </c>
      <c r="T218" s="159">
        <f t="shared" si="234"/>
      </c>
      <c r="U218" s="159">
        <f t="shared" si="2"/>
      </c>
      <c r="V218" s="160">
        <f t="shared" si="0"/>
      </c>
      <c r="W218" s="155">
        <v>5</v>
      </c>
      <c r="X218" s="169">
        <f t="shared" si="6"/>
      </c>
      <c r="Y218" s="169">
        <f t="shared" si="4"/>
      </c>
      <c r="Z218" s="159">
        <f t="shared" si="232"/>
      </c>
      <c r="AA218" s="159">
        <f t="shared" si="47"/>
      </c>
      <c r="AB218" s="159">
        <f t="shared" si="237"/>
      </c>
      <c r="AC218" s="156">
        <f t="shared" si="235"/>
      </c>
      <c r="AD218" s="156">
        <f t="shared" si="3"/>
      </c>
      <c r="AE218" s="156">
        <f t="shared" si="1"/>
      </c>
      <c r="AF218" s="156">
        <f t="shared" si="7"/>
      </c>
      <c r="AG218" s="156">
        <f t="shared" si="5"/>
      </c>
      <c r="AH218" s="156">
        <f t="shared" si="233"/>
      </c>
      <c r="AI218" s="156">
        <f t="shared" si="48"/>
      </c>
      <c r="AJ218" s="155">
        <v>54</v>
      </c>
      <c r="AK218" s="160">
        <v>40471</v>
      </c>
      <c r="AL218" s="160">
        <v>1378</v>
      </c>
      <c r="AM218" s="160">
        <v>1899</v>
      </c>
      <c r="AN218" s="160">
        <v>145</v>
      </c>
      <c r="AO218" s="149">
        <v>52</v>
      </c>
      <c r="AP218" s="160">
        <v>238</v>
      </c>
      <c r="AQ218" s="150">
        <v>216</v>
      </c>
      <c r="AR218" s="149">
        <v>5</v>
      </c>
      <c r="AS218" s="155">
        <v>16</v>
      </c>
      <c r="AT218" s="155">
        <v>3</v>
      </c>
      <c r="AU218" s="155">
        <v>5</v>
      </c>
      <c r="AV218" s="207"/>
      <c r="AW218" s="165"/>
      <c r="AX218" s="197">
        <f t="shared" si="281"/>
      </c>
    </row>
    <row r="219">
      <c r="A219" s="234"/>
      <c r="B219" s="149" t="s">
        <v>156</v>
      </c>
      <c r="C219" s="150" t="s">
        <v>157</v>
      </c>
      <c r="D219" s="149" t="s">
        <v>158</v>
      </c>
      <c r="E219" s="149" t="s">
        <v>177</v>
      </c>
      <c r="F219" s="159">
        <f t="shared" si="200"/>
      </c>
      <c r="G219" s="152">
        <v>4632.71</v>
      </c>
      <c r="H219" s="152">
        <v>2148.98</v>
      </c>
      <c r="I219" s="236">
        <v>0</v>
      </c>
      <c r="J219" s="236">
        <v>0</v>
      </c>
      <c r="K219" s="236">
        <v>0</v>
      </c>
      <c r="L219" s="236">
        <v>3</v>
      </c>
      <c r="M219" s="236">
        <v>9187.170000000002</v>
      </c>
      <c r="N219" s="155">
        <v>0</v>
      </c>
      <c r="O219" s="156">
        <f t="shared" si="46"/>
      </c>
      <c r="P219" s="155">
        <v>1</v>
      </c>
      <c r="Q219" s="156">
        <f t="shared" si="236"/>
      </c>
      <c r="R219" s="244">
        <f t="shared" si="90"/>
      </c>
      <c r="S219" s="237">
        <f t="shared" si="144"/>
      </c>
      <c r="T219" s="159">
        <f t="shared" si="234"/>
      </c>
      <c r="U219" s="159">
        <f t="shared" si="2"/>
      </c>
      <c r="V219" s="169">
        <f t="shared" si="0"/>
      </c>
      <c r="W219" s="155">
        <v>2</v>
      </c>
      <c r="X219" s="169">
        <f t="shared" si="6"/>
      </c>
      <c r="Y219" s="169">
        <f t="shared" si="4"/>
      </c>
      <c r="Z219" s="159">
        <f t="shared" si="232"/>
      </c>
      <c r="AA219" s="159">
        <f t="shared" si="47"/>
      </c>
      <c r="AB219" s="159">
        <f t="shared" si="237"/>
      </c>
      <c r="AC219" s="156">
        <f t="shared" si="235"/>
      </c>
      <c r="AD219" s="156">
        <f t="shared" si="3"/>
      </c>
      <c r="AE219" s="156">
        <f t="shared" si="1"/>
      </c>
      <c r="AF219" s="156">
        <f t="shared" si="7"/>
      </c>
      <c r="AG219" s="156">
        <f t="shared" si="5"/>
      </c>
      <c r="AH219" s="156">
        <f t="shared" si="233"/>
      </c>
      <c r="AI219" s="156">
        <f t="shared" si="48"/>
      </c>
      <c r="AJ219" s="155">
        <v>51</v>
      </c>
      <c r="AK219" s="160">
        <v>37964</v>
      </c>
      <c r="AL219" s="160">
        <v>1439</v>
      </c>
      <c r="AM219" s="160">
        <v>1853</v>
      </c>
      <c r="AN219" s="160">
        <v>166</v>
      </c>
      <c r="AO219" s="149">
        <v>51</v>
      </c>
      <c r="AP219" s="160">
        <v>115</v>
      </c>
      <c r="AQ219" s="150">
        <v>201</v>
      </c>
      <c r="AR219" s="149">
        <v>6</v>
      </c>
      <c r="AS219" s="160">
        <v>13</v>
      </c>
      <c r="AT219" s="160">
        <v>2</v>
      </c>
      <c r="AU219" s="160">
        <v>6</v>
      </c>
      <c r="AV219" s="207"/>
      <c r="AW219" s="165"/>
      <c r="AX219" s="197">
        <f t="shared" si="281"/>
      </c>
    </row>
    <row r="220">
      <c r="A220" s="234"/>
      <c r="B220" s="149" t="s">
        <v>156</v>
      </c>
      <c r="C220" s="150" t="s">
        <v>157</v>
      </c>
      <c r="D220" s="149" t="s">
        <v>158</v>
      </c>
      <c r="E220" s="149" t="s">
        <v>178</v>
      </c>
      <c r="F220" s="159">
        <f t="shared" si="200"/>
      </c>
      <c r="G220" s="152">
        <v>3007.33</v>
      </c>
      <c r="H220" s="152">
        <v>963.27</v>
      </c>
      <c r="I220" s="236">
        <v>0</v>
      </c>
      <c r="J220" s="236">
        <v>0</v>
      </c>
      <c r="K220" s="236">
        <v>0</v>
      </c>
      <c r="L220" s="236">
        <v>1</v>
      </c>
      <c r="M220" s="236">
        <v>2855</v>
      </c>
      <c r="N220" s="155">
        <v>0</v>
      </c>
      <c r="O220" s="156">
        <f t="shared" si="46"/>
      </c>
      <c r="P220" s="155">
        <v>0</v>
      </c>
      <c r="Q220" s="156">
        <f t="shared" si="236"/>
      </c>
      <c r="R220" s="244">
        <f t="shared" si="90"/>
      </c>
      <c r="S220" s="237">
        <f t="shared" si="144"/>
      </c>
      <c r="T220" s="159">
        <f t="shared" si="234"/>
      </c>
      <c r="U220" s="159">
        <f t="shared" si="2"/>
      </c>
      <c r="V220" s="169">
        <f t="shared" si="0"/>
      </c>
      <c r="W220" s="155">
        <v>0</v>
      </c>
      <c r="X220" s="169">
        <f t="shared" si="6"/>
      </c>
      <c r="Y220" s="169">
        <f t="shared" si="4"/>
      </c>
      <c r="Z220" s="159">
        <f t="shared" si="232"/>
      </c>
      <c r="AA220" s="159">
        <f t="shared" si="47"/>
      </c>
      <c r="AB220" s="159">
        <f t="shared" si="237"/>
      </c>
      <c r="AC220" s="156">
        <f t="shared" si="235"/>
      </c>
      <c r="AD220" s="156">
        <f t="shared" si="3"/>
      </c>
      <c r="AE220" s="156">
        <f t="shared" si="1"/>
      </c>
      <c r="AF220" s="156">
        <f t="shared" si="7"/>
      </c>
      <c r="AG220" s="156">
        <f t="shared" si="5"/>
      </c>
      <c r="AH220" s="156">
        <f t="shared" si="233"/>
      </c>
      <c r="AI220" s="156">
        <f t="shared" si="48"/>
      </c>
      <c r="AJ220" s="155">
        <v>51</v>
      </c>
      <c r="AK220" s="160">
        <v>24862</v>
      </c>
      <c r="AL220" s="160">
        <v>956</v>
      </c>
      <c r="AM220" s="160">
        <v>1125</v>
      </c>
      <c r="AN220" s="160">
        <v>125</v>
      </c>
      <c r="AO220" s="149">
        <v>37</v>
      </c>
      <c r="AP220" s="155">
        <v>107</v>
      </c>
      <c r="AQ220" s="149">
        <v>118</v>
      </c>
      <c r="AR220" s="149">
        <v>1</v>
      </c>
      <c r="AS220" s="155">
        <v>10</v>
      </c>
      <c r="AT220" s="155">
        <v>0</v>
      </c>
      <c r="AU220" s="155">
        <v>1</v>
      </c>
      <c r="AV220" s="207"/>
      <c r="AW220" s="165"/>
      <c r="AX220" s="197">
        <f t="shared" si="281"/>
      </c>
    </row>
    <row r="221">
      <c r="A221" s="234"/>
      <c r="B221" s="171" t="s">
        <v>162</v>
      </c>
      <c r="C221" s="171"/>
      <c r="D221" s="171"/>
      <c r="E221" s="171"/>
      <c r="F221" s="173">
        <f>SUM(F217:F220)</f>
      </c>
      <c r="G221" s="173">
        <f>SUM(G217:G220)</f>
      </c>
      <c r="H221" s="173">
        <f>SUM(H217:H220)</f>
      </c>
      <c r="I221" s="173">
        <f>SUM(I217:I220)</f>
      </c>
      <c r="J221" s="173">
        <f>SUM(J217:J220)</f>
      </c>
      <c r="K221" s="173">
        <f>SUM(K217:K220)</f>
      </c>
      <c r="L221" s="173">
        <f>SUM(L217:L220)</f>
      </c>
      <c r="M221" s="173">
        <f>SUM(M217:M220)</f>
      </c>
      <c r="N221" s="173">
        <f>SUM(N217:N220)</f>
      </c>
      <c r="O221" s="175">
        <f t="shared" si="46"/>
      </c>
      <c r="P221" s="173">
        <f>SUM(P217:P220)</f>
      </c>
      <c r="Q221" s="175">
        <f t="shared" si="236"/>
      </c>
      <c r="R221" s="178">
        <f>SUM(R217:R220)</f>
      </c>
      <c r="S221" s="173">
        <f>SUM(S217:S220)</f>
      </c>
      <c r="T221" s="173">
        <f t="shared" si="234"/>
      </c>
      <c r="U221" s="173">
        <f t="shared" si="2"/>
      </c>
      <c r="V221" s="173">
        <f t="shared" si="0"/>
      </c>
      <c r="W221" s="173">
        <f>SUM(W217:W220)</f>
      </c>
      <c r="X221" s="194">
        <f t="shared" si="6"/>
      </c>
      <c r="Y221" s="194">
        <f t="shared" si="4"/>
      </c>
      <c r="Z221" s="173">
        <f t="shared" si="232"/>
      </c>
      <c r="AA221" s="173">
        <f t="shared" si="47"/>
      </c>
      <c r="AB221" s="238">
        <f t="shared" si="237"/>
      </c>
      <c r="AC221" s="175">
        <f t="shared" si="235"/>
      </c>
      <c r="AD221" s="175">
        <f t="shared" si="3"/>
      </c>
      <c r="AE221" s="175">
        <f t="shared" si="1"/>
      </c>
      <c r="AF221" s="175">
        <f t="shared" si="7"/>
      </c>
      <c r="AG221" s="175">
        <f t="shared" si="5"/>
      </c>
      <c r="AH221" s="175">
        <f t="shared" si="233"/>
      </c>
      <c r="AI221" s="175">
        <f t="shared" si="48"/>
      </c>
      <c r="AJ221" s="178">
        <f>AVERAGE(AJ217:AJ220)</f>
      </c>
      <c r="AK221" s="173">
        <f>SUM(AK217:AK220)</f>
      </c>
      <c r="AL221" s="173">
        <f>SUM(AL217:AL220)</f>
      </c>
      <c r="AM221" s="173">
        <f>SUM(AM217:AM220)</f>
      </c>
      <c r="AN221" s="173">
        <f>SUM(AN217:AN220)</f>
      </c>
      <c r="AO221" s="173">
        <f>SUM(AO217:AO220)</f>
      </c>
      <c r="AP221" s="173">
        <f>SUM(AP217:AP220)</f>
      </c>
      <c r="AQ221" s="173">
        <f>SUM(AQ217:AQ220)</f>
      </c>
      <c r="AR221" s="173">
        <f>SUM(AR217:AR220)</f>
      </c>
      <c r="AS221" s="173">
        <f>SUM(AS217:AS220)</f>
      </c>
      <c r="AT221" s="173">
        <f>SUM(AT217:AT220)</f>
      </c>
      <c r="AU221" s="173">
        <f>SUM(AU217:AU220)</f>
      </c>
      <c r="AV221" s="207"/>
      <c r="AW221" s="180"/>
      <c r="AX221" s="181">
        <f>SUM(AX217:AX220)</f>
      </c>
    </row>
    <row r="222">
      <c r="A222" s="234"/>
      <c r="B222" s="149" t="s">
        <v>156</v>
      </c>
      <c r="C222" s="150" t="s">
        <v>157</v>
      </c>
      <c r="D222" s="149" t="s">
        <v>163</v>
      </c>
      <c r="E222" s="150" t="s">
        <v>159</v>
      </c>
      <c r="F222" s="159">
        <f t="shared" ref="F222:F225" si="201">G222+H222+I222</f>
      </c>
      <c r="G222" s="152">
        <v>3375.35</v>
      </c>
      <c r="H222" s="152">
        <v>967.13</v>
      </c>
      <c r="I222" s="236">
        <v>0</v>
      </c>
      <c r="J222" s="236">
        <v>0</v>
      </c>
      <c r="K222" s="236">
        <v>0</v>
      </c>
      <c r="L222" s="236">
        <v>3</v>
      </c>
      <c r="M222" s="236">
        <v>9200.559999999998</v>
      </c>
      <c r="N222" s="155">
        <v>0</v>
      </c>
      <c r="O222" s="156">
        <f t="shared" si="46"/>
      </c>
      <c r="P222" s="155">
        <v>1</v>
      </c>
      <c r="Q222" s="156">
        <f t="shared" si="236"/>
      </c>
      <c r="R222" s="244">
        <f t="shared" ref="R222:R225" si="91">L222+J222</f>
      </c>
      <c r="S222" s="237">
        <f t="shared" ref="S222:S225" si="145">M222+K222</f>
      </c>
      <c r="T222" s="159">
        <f t="shared" si="234"/>
      </c>
      <c r="U222" s="159">
        <f t="shared" si="2"/>
      </c>
      <c r="V222" s="169">
        <f t="shared" si="0"/>
      </c>
      <c r="W222" s="155">
        <v>2</v>
      </c>
      <c r="X222" s="169">
        <f t="shared" si="6"/>
      </c>
      <c r="Y222" s="169">
        <f t="shared" si="4"/>
      </c>
      <c r="Z222" s="159">
        <f t="shared" si="232"/>
      </c>
      <c r="AA222" s="159">
        <f t="shared" si="47"/>
      </c>
      <c r="AB222" s="159">
        <f t="shared" si="237"/>
      </c>
      <c r="AC222" s="156">
        <f t="shared" si="235"/>
      </c>
      <c r="AD222" s="156">
        <f t="shared" si="3"/>
      </c>
      <c r="AE222" s="156">
        <f t="shared" si="1"/>
      </c>
      <c r="AF222" s="156">
        <f t="shared" si="7"/>
      </c>
      <c r="AG222" s="156">
        <f t="shared" si="5"/>
      </c>
      <c r="AH222" s="156">
        <f t="shared" si="233"/>
      </c>
      <c r="AI222" s="156">
        <f t="shared" si="48"/>
      </c>
      <c r="AJ222" s="155">
        <v>49</v>
      </c>
      <c r="AK222" s="160">
        <v>30451</v>
      </c>
      <c r="AL222" s="160">
        <v>953</v>
      </c>
      <c r="AM222" s="160">
        <v>1135</v>
      </c>
      <c r="AN222" s="160">
        <v>104</v>
      </c>
      <c r="AO222" s="149">
        <v>33</v>
      </c>
      <c r="AP222" s="160">
        <v>75</v>
      </c>
      <c r="AQ222" s="150">
        <v>115</v>
      </c>
      <c r="AR222" s="149">
        <v>4</v>
      </c>
      <c r="AS222" s="149">
        <v>9</v>
      </c>
      <c r="AT222" s="155">
        <v>2</v>
      </c>
      <c r="AU222" s="155">
        <v>1</v>
      </c>
      <c r="AV222" s="207"/>
      <c r="AW222" s="165"/>
      <c r="AX222" s="197">
        <f t="shared" ref="AX222:AX225" si="282">COUNT(AU222)</f>
      </c>
    </row>
    <row r="223">
      <c r="A223" s="234"/>
      <c r="B223" s="149" t="s">
        <v>156</v>
      </c>
      <c r="C223" s="150" t="s">
        <v>157</v>
      </c>
      <c r="D223" s="149" t="s">
        <v>163</v>
      </c>
      <c r="E223" s="150" t="s">
        <v>160</v>
      </c>
      <c r="F223" s="159">
        <f t="shared" si="201"/>
      </c>
      <c r="G223" s="152">
        <v>2877.13</v>
      </c>
      <c r="H223" s="152">
        <v>928.05</v>
      </c>
      <c r="I223" s="236">
        <v>0</v>
      </c>
      <c r="J223" s="236">
        <v>2</v>
      </c>
      <c r="K223" s="236">
        <v>3619.4099999999994</v>
      </c>
      <c r="L223" s="236">
        <v>4</v>
      </c>
      <c r="M223" s="236">
        <v>8102.270000000004</v>
      </c>
      <c r="N223" s="155">
        <v>3</v>
      </c>
      <c r="O223" s="156">
        <f t="shared" si="46"/>
      </c>
      <c r="P223" s="155">
        <v>0</v>
      </c>
      <c r="Q223" s="156">
        <f t="shared" si="236"/>
      </c>
      <c r="R223" s="244">
        <f t="shared" si="91"/>
      </c>
      <c r="S223" s="237">
        <f t="shared" si="145"/>
      </c>
      <c r="T223" s="159">
        <f t="shared" si="234"/>
      </c>
      <c r="U223" s="159">
        <f t="shared" si="2"/>
      </c>
      <c r="V223" s="169">
        <f t="shared" si="0"/>
      </c>
      <c r="W223" s="155">
        <v>3</v>
      </c>
      <c r="X223" s="169">
        <f t="shared" si="6"/>
      </c>
      <c r="Y223" s="169">
        <f t="shared" si="4"/>
      </c>
      <c r="Z223" s="159">
        <f t="shared" si="232"/>
      </c>
      <c r="AA223" s="159">
        <f t="shared" si="47"/>
      </c>
      <c r="AB223" s="159">
        <f t="shared" si="237"/>
      </c>
      <c r="AC223" s="156">
        <f t="shared" si="235"/>
      </c>
      <c r="AD223" s="156">
        <f t="shared" si="3"/>
      </c>
      <c r="AE223" s="156">
        <f t="shared" si="1"/>
      </c>
      <c r="AF223" s="156">
        <f t="shared" si="7"/>
      </c>
      <c r="AG223" s="156">
        <f t="shared" si="5"/>
      </c>
      <c r="AH223" s="156">
        <f t="shared" si="233"/>
      </c>
      <c r="AI223" s="156">
        <f t="shared" si="48"/>
      </c>
      <c r="AJ223" s="155">
        <v>49</v>
      </c>
      <c r="AK223" s="160">
        <v>28265</v>
      </c>
      <c r="AL223" s="160">
        <v>754</v>
      </c>
      <c r="AM223" s="160">
        <v>1004</v>
      </c>
      <c r="AN223" s="160">
        <v>105</v>
      </c>
      <c r="AO223" s="149">
        <v>37</v>
      </c>
      <c r="AP223" s="160">
        <v>107</v>
      </c>
      <c r="AQ223" s="150">
        <v>104</v>
      </c>
      <c r="AR223" s="149">
        <v>6</v>
      </c>
      <c r="AS223" s="149">
        <v>8</v>
      </c>
      <c r="AT223" s="160">
        <v>1</v>
      </c>
      <c r="AU223" s="160">
        <v>4</v>
      </c>
      <c r="AV223" s="207"/>
      <c r="AW223" s="165"/>
      <c r="AX223" s="197">
        <f t="shared" si="282"/>
      </c>
    </row>
    <row r="224">
      <c r="A224" s="234"/>
      <c r="B224" s="149" t="s">
        <v>156</v>
      </c>
      <c r="C224" s="150" t="s">
        <v>157</v>
      </c>
      <c r="D224" s="149" t="s">
        <v>163</v>
      </c>
      <c r="E224" s="150" t="s">
        <v>161</v>
      </c>
      <c r="F224" s="159">
        <f t="shared" si="201"/>
      </c>
      <c r="G224" s="152">
        <v>3130.71</v>
      </c>
      <c r="H224" s="152">
        <v>1087.27</v>
      </c>
      <c r="I224" s="236">
        <v>0</v>
      </c>
      <c r="J224" s="236">
        <v>0</v>
      </c>
      <c r="K224" s="236">
        <v>0</v>
      </c>
      <c r="L224" s="236">
        <v>3</v>
      </c>
      <c r="M224" s="236">
        <v>8239.269999999997</v>
      </c>
      <c r="N224" s="155">
        <v>0</v>
      </c>
      <c r="O224" s="156">
        <f t="shared" si="46"/>
      </c>
      <c r="P224" s="155">
        <v>1</v>
      </c>
      <c r="Q224" s="156">
        <f t="shared" si="236"/>
      </c>
      <c r="R224" s="244">
        <f t="shared" si="91"/>
      </c>
      <c r="S224" s="237">
        <f t="shared" si="145"/>
      </c>
      <c r="T224" s="159">
        <f t="shared" si="234"/>
      </c>
      <c r="U224" s="159">
        <f t="shared" si="2"/>
      </c>
      <c r="V224" s="169">
        <f t="shared" si="0"/>
      </c>
      <c r="W224" s="155">
        <v>2</v>
      </c>
      <c r="X224" s="169">
        <f t="shared" si="6"/>
      </c>
      <c r="Y224" s="169">
        <f t="shared" si="4"/>
      </c>
      <c r="Z224" s="159">
        <f t="shared" si="232"/>
      </c>
      <c r="AA224" s="159">
        <f t="shared" si="47"/>
      </c>
      <c r="AB224" s="159">
        <f t="shared" si="237"/>
      </c>
      <c r="AC224" s="156">
        <f t="shared" si="235"/>
      </c>
      <c r="AD224" s="156">
        <f t="shared" si="3"/>
      </c>
      <c r="AE224" s="156">
        <f t="shared" si="1"/>
      </c>
      <c r="AF224" s="156">
        <f t="shared" si="7"/>
      </c>
      <c r="AG224" s="156">
        <f t="shared" si="5"/>
      </c>
      <c r="AH224" s="156">
        <f t="shared" si="233"/>
      </c>
      <c r="AI224" s="156">
        <f t="shared" si="48"/>
      </c>
      <c r="AJ224" s="155">
        <v>48</v>
      </c>
      <c r="AK224" s="160">
        <v>29157</v>
      </c>
      <c r="AL224" s="160">
        <v>876</v>
      </c>
      <c r="AM224" s="160">
        <v>1046</v>
      </c>
      <c r="AN224" s="160">
        <v>122</v>
      </c>
      <c r="AO224" s="149">
        <v>31</v>
      </c>
      <c r="AP224" s="160">
        <v>96</v>
      </c>
      <c r="AQ224" s="150">
        <v>117</v>
      </c>
      <c r="AR224" s="149">
        <v>3</v>
      </c>
      <c r="AS224" s="155">
        <v>12</v>
      </c>
      <c r="AT224" s="155">
        <v>1</v>
      </c>
      <c r="AU224" s="155">
        <v>1</v>
      </c>
      <c r="AV224" s="207"/>
      <c r="AW224" s="165"/>
      <c r="AX224" s="197">
        <f t="shared" si="282"/>
      </c>
    </row>
    <row customHeight="true" ht="16.071428571428573" r="225">
      <c r="A225" s="234"/>
      <c r="B225" s="149" t="s">
        <v>156</v>
      </c>
      <c r="C225" s="150" t="s">
        <v>157</v>
      </c>
      <c r="D225" s="149" t="s">
        <v>163</v>
      </c>
      <c r="E225" s="150" t="s">
        <v>164</v>
      </c>
      <c r="F225" s="159">
        <f t="shared" si="201"/>
      </c>
      <c r="G225" s="152">
        <v>5203.33</v>
      </c>
      <c r="H225" s="152">
        <v>2205.35</v>
      </c>
      <c r="I225" s="236">
        <v>0</v>
      </c>
      <c r="J225" s="236">
        <v>1</v>
      </c>
      <c r="K225" s="236">
        <v>1877.58</v>
      </c>
      <c r="L225" s="236">
        <v>5</v>
      </c>
      <c r="M225" s="236">
        <v>7688.830000000009</v>
      </c>
      <c r="N225" s="155">
        <v>3</v>
      </c>
      <c r="O225" s="156">
        <f t="shared" si="46"/>
      </c>
      <c r="P225" s="155">
        <v>0</v>
      </c>
      <c r="Q225" s="156">
        <f t="shared" si="236"/>
      </c>
      <c r="R225" s="244">
        <f t="shared" si="91"/>
      </c>
      <c r="S225" s="237">
        <f t="shared" si="145"/>
      </c>
      <c r="T225" s="159">
        <f t="shared" si="234"/>
      </c>
      <c r="U225" s="159">
        <f t="shared" si="2"/>
      </c>
      <c r="V225" s="169">
        <f t="shared" si="0"/>
      </c>
      <c r="W225" s="155">
        <v>6</v>
      </c>
      <c r="X225" s="169">
        <f t="shared" si="6"/>
      </c>
      <c r="Y225" s="169">
        <f t="shared" si="4"/>
      </c>
      <c r="Z225" s="159">
        <f t="shared" si="232"/>
      </c>
      <c r="AA225" s="159">
        <f t="shared" si="47"/>
      </c>
      <c r="AB225" s="159">
        <f t="shared" si="237"/>
      </c>
      <c r="AC225" s="156">
        <f t="shared" si="235"/>
      </c>
      <c r="AD225" s="156">
        <f t="shared" si="3"/>
      </c>
      <c r="AE225" s="156">
        <f t="shared" si="1"/>
      </c>
      <c r="AF225" s="156">
        <f t="shared" si="7"/>
      </c>
      <c r="AG225" s="156">
        <f t="shared" si="5"/>
      </c>
      <c r="AH225" s="156">
        <f t="shared" si="233"/>
      </c>
      <c r="AI225" s="156">
        <f t="shared" si="48"/>
      </c>
      <c r="AJ225" s="155">
        <v>47</v>
      </c>
      <c r="AK225" s="160">
        <v>41625</v>
      </c>
      <c r="AL225" s="160">
        <v>1504</v>
      </c>
      <c r="AM225" s="160">
        <v>1787</v>
      </c>
      <c r="AN225" s="160">
        <v>182</v>
      </c>
      <c r="AO225" s="149">
        <v>60</v>
      </c>
      <c r="AP225" s="160">
        <v>154</v>
      </c>
      <c r="AQ225" s="150">
        <v>185</v>
      </c>
      <c r="AR225" s="149">
        <v>8</v>
      </c>
      <c r="AS225" s="160">
        <v>15</v>
      </c>
      <c r="AT225" s="160">
        <v>3</v>
      </c>
      <c r="AU225" s="155">
        <v>8</v>
      </c>
      <c r="AV225" s="207"/>
      <c r="AW225" s="165"/>
      <c r="AX225" s="197">
        <f t="shared" si="282"/>
      </c>
    </row>
    <row customHeight="true" ht="16.071428571428573" r="226">
      <c r="A226" s="234"/>
      <c r="B226" s="171" t="s">
        <v>162</v>
      </c>
      <c r="C226" s="171"/>
      <c r="D226" s="171"/>
      <c r="E226" s="171"/>
      <c r="F226" s="173">
        <f>SUM(F222:F225)</f>
      </c>
      <c r="G226" s="173">
        <f>SUM(G222:G225)</f>
      </c>
      <c r="H226" s="173">
        <f>SUM(H222:H225)</f>
      </c>
      <c r="I226" s="173">
        <f>SUM(I222:I225)</f>
      </c>
      <c r="J226" s="173">
        <f>SUM(J222:J225)</f>
      </c>
      <c r="K226" s="173">
        <f>SUM(K222:K225)</f>
      </c>
      <c r="L226" s="173">
        <f>SUM(L222:L225)</f>
      </c>
      <c r="M226" s="173">
        <f>SUM(M222:M225)</f>
      </c>
      <c r="N226" s="173">
        <f>SUM(N222:N225)</f>
      </c>
      <c r="O226" s="175">
        <f t="shared" si="46"/>
      </c>
      <c r="P226" s="173">
        <f>SUM(P222:P225)</f>
      </c>
      <c r="Q226" s="175">
        <f t="shared" si="236"/>
      </c>
      <c r="R226" s="178">
        <f>SUM(R222:R225)</f>
      </c>
      <c r="S226" s="173">
        <f>SUM(S222:S225)</f>
      </c>
      <c r="T226" s="173">
        <f t="shared" si="234"/>
      </c>
      <c r="U226" s="173">
        <f t="shared" si="2"/>
      </c>
      <c r="V226" s="194">
        <f t="shared" si="0"/>
      </c>
      <c r="W226" s="173">
        <f>SUM(W222:W225)</f>
      </c>
      <c r="X226" s="194">
        <f t="shared" si="6"/>
      </c>
      <c r="Y226" s="194">
        <f t="shared" si="4"/>
      </c>
      <c r="Z226" s="173">
        <f t="shared" si="232"/>
      </c>
      <c r="AA226" s="173">
        <f t="shared" si="47"/>
      </c>
      <c r="AB226" s="238">
        <f t="shared" si="237"/>
      </c>
      <c r="AC226" s="175">
        <f t="shared" si="235"/>
      </c>
      <c r="AD226" s="175">
        <f t="shared" si="3"/>
      </c>
      <c r="AE226" s="175">
        <f t="shared" si="1"/>
      </c>
      <c r="AF226" s="239">
        <f t="shared" si="7"/>
      </c>
      <c r="AG226" s="175">
        <f t="shared" si="5"/>
      </c>
      <c r="AH226" s="175">
        <f t="shared" si="233"/>
      </c>
      <c r="AI226" s="175">
        <f t="shared" si="48"/>
      </c>
      <c r="AJ226" s="178">
        <f>AVERAGE(AJ222:AJ225)</f>
      </c>
      <c r="AK226" s="173">
        <f>SUM(AK222:AK225)</f>
      </c>
      <c r="AL226" s="173">
        <f>SUM(AL222:AL225)</f>
      </c>
      <c r="AM226" s="173">
        <f>SUM(AM222:AM225)</f>
      </c>
      <c r="AN226" s="173">
        <f>SUM(AN222:AN225)</f>
      </c>
      <c r="AO226" s="173">
        <f>SUM(AO222:AO225)</f>
      </c>
      <c r="AP226" s="173">
        <f>SUM(AP222:AP225)</f>
      </c>
      <c r="AQ226" s="173">
        <f>SUM(AQ222:AQ225)</f>
      </c>
      <c r="AR226" s="173">
        <f>SUM(AR222:AR225)</f>
      </c>
      <c r="AS226" s="173">
        <f>SUM(AS222:AS225)</f>
      </c>
      <c r="AT226" s="173">
        <f>SUM(AT222:AT225)</f>
      </c>
      <c r="AU226" s="173">
        <f>SUM(AU222:AU225)</f>
      </c>
      <c r="AV226" s="207"/>
      <c r="AW226" s="180"/>
      <c r="AX226" s="181">
        <f>SUM(AX222:AX225)</f>
      </c>
    </row>
    <row customHeight="true" ht="16.071428571428573" r="227">
      <c r="A227" s="234"/>
      <c r="B227" s="149" t="s">
        <v>156</v>
      </c>
      <c r="C227" s="150" t="s">
        <v>157</v>
      </c>
      <c r="D227" s="149" t="s">
        <v>169</v>
      </c>
      <c r="E227" s="150" t="s">
        <v>165</v>
      </c>
      <c r="F227" s="159">
        <f t="shared" ref="F227:F230" si="202">G227+H227+I227</f>
      </c>
      <c r="G227" s="152">
        <v>3702.15</v>
      </c>
      <c r="H227" s="152">
        <v>1813.77</v>
      </c>
      <c r="I227" s="236">
        <v>0</v>
      </c>
      <c r="J227" s="236">
        <v>1</v>
      </c>
      <c r="K227" s="236">
        <v>3875</v>
      </c>
      <c r="L227" s="236">
        <v>1</v>
      </c>
      <c r="M227" s="236">
        <v>3470.350000000006</v>
      </c>
      <c r="N227" s="155">
        <v>0</v>
      </c>
      <c r="O227" s="156">
        <f t="shared" si="46"/>
      </c>
      <c r="P227" s="155">
        <v>0</v>
      </c>
      <c r="Q227" s="156">
        <f t="shared" si="236"/>
      </c>
      <c r="R227" s="244">
        <f t="shared" ref="R227:R230" si="92">L227+J227</f>
      </c>
      <c r="S227" s="237">
        <f t="shared" ref="S227:S230" si="146">M227+K227</f>
      </c>
      <c r="T227" s="159">
        <f t="shared" si="234"/>
      </c>
      <c r="U227" s="159">
        <f t="shared" si="2"/>
      </c>
      <c r="V227" s="169">
        <f t="shared" si="0"/>
      </c>
      <c r="W227" s="155">
        <v>2</v>
      </c>
      <c r="X227" s="169">
        <f t="shared" si="6"/>
      </c>
      <c r="Y227" s="169">
        <f t="shared" si="4"/>
      </c>
      <c r="Z227" s="159">
        <f t="shared" si="232"/>
      </c>
      <c r="AA227" s="159">
        <f t="shared" si="47"/>
      </c>
      <c r="AB227" s="159">
        <f t="shared" si="237"/>
      </c>
      <c r="AC227" s="156">
        <f t="shared" si="235"/>
      </c>
      <c r="AD227" s="156">
        <f t="shared" si="3"/>
      </c>
      <c r="AE227" s="156">
        <f t="shared" si="1"/>
      </c>
      <c r="AF227" s="156">
        <f t="shared" si="7"/>
      </c>
      <c r="AG227" s="156">
        <f t="shared" si="5"/>
      </c>
      <c r="AH227" s="156">
        <f t="shared" si="233"/>
      </c>
      <c r="AI227" s="156">
        <f t="shared" si="48"/>
      </c>
      <c r="AJ227" s="155">
        <v>49</v>
      </c>
      <c r="AK227" s="160">
        <v>30987</v>
      </c>
      <c r="AL227" s="160">
        <v>1063</v>
      </c>
      <c r="AM227" s="160">
        <v>1296</v>
      </c>
      <c r="AN227" s="160">
        <v>162</v>
      </c>
      <c r="AO227" s="149">
        <v>44</v>
      </c>
      <c r="AP227" s="160">
        <v>120</v>
      </c>
      <c r="AQ227" s="150">
        <v>153</v>
      </c>
      <c r="AR227" s="149">
        <v>2</v>
      </c>
      <c r="AS227" s="149">
        <v>13</v>
      </c>
      <c r="AT227" s="155">
        <v>2</v>
      </c>
      <c r="AU227" s="155">
        <v>4</v>
      </c>
      <c r="AV227" s="207"/>
      <c r="AW227" s="165"/>
      <c r="AX227" s="197">
        <f t="shared" ref="AX227:AX230" si="283">COUNT(AU227)</f>
      </c>
    </row>
    <row customHeight="true" ht="16.071428571428573" r="228">
      <c r="A228" s="234"/>
      <c r="B228" s="149" t="s">
        <v>156</v>
      </c>
      <c r="C228" s="150" t="s">
        <v>157</v>
      </c>
      <c r="D228" s="149" t="s">
        <v>169</v>
      </c>
      <c r="E228" s="150" t="s">
        <v>168</v>
      </c>
      <c r="F228" s="159">
        <f t="shared" si="202"/>
      </c>
      <c r="G228" s="152">
        <v>3866.51</v>
      </c>
      <c r="H228" s="152">
        <v>841.34</v>
      </c>
      <c r="I228" s="236">
        <v>0</v>
      </c>
      <c r="J228" s="236">
        <v>0</v>
      </c>
      <c r="K228" s="236">
        <v>0</v>
      </c>
      <c r="L228" s="236">
        <v>1</v>
      </c>
      <c r="M228" s="236">
        <v>1096.1100000000006</v>
      </c>
      <c r="N228" s="155">
        <v>1</v>
      </c>
      <c r="O228" s="156">
        <f t="shared" si="46"/>
      </c>
      <c r="P228" s="155">
        <v>0</v>
      </c>
      <c r="Q228" s="156">
        <f t="shared" si="236"/>
      </c>
      <c r="R228" s="244">
        <f t="shared" si="92"/>
      </c>
      <c r="S228" s="237">
        <f t="shared" si="146"/>
      </c>
      <c r="T228" s="159">
        <f t="shared" si="234"/>
      </c>
      <c r="U228" s="159">
        <f t="shared" si="2"/>
      </c>
      <c r="V228" s="169">
        <f t="shared" si="0"/>
      </c>
      <c r="W228" s="155">
        <v>0</v>
      </c>
      <c r="X228" s="169">
        <f t="shared" si="6"/>
      </c>
      <c r="Y228" s="169">
        <f t="shared" si="4"/>
      </c>
      <c r="Z228" s="159">
        <f t="shared" si="232"/>
      </c>
      <c r="AA228" s="159">
        <f t="shared" si="47"/>
      </c>
      <c r="AB228" s="159">
        <f t="shared" si="237"/>
      </c>
      <c r="AC228" s="156">
        <f t="shared" si="235"/>
      </c>
      <c r="AD228" s="156">
        <f t="shared" si="3"/>
      </c>
      <c r="AE228" s="156">
        <f t="shared" si="1"/>
      </c>
      <c r="AF228" s="156">
        <f t="shared" si="7"/>
      </c>
      <c r="AG228" s="156">
        <f t="shared" si="5"/>
      </c>
      <c r="AH228" s="156">
        <f t="shared" si="233"/>
      </c>
      <c r="AI228" s="156">
        <f t="shared" si="48"/>
      </c>
      <c r="AJ228" s="155">
        <v>49</v>
      </c>
      <c r="AK228" s="160">
        <v>27240</v>
      </c>
      <c r="AL228" s="160">
        <v>978</v>
      </c>
      <c r="AM228" s="160">
        <v>1156</v>
      </c>
      <c r="AN228" s="160">
        <v>155</v>
      </c>
      <c r="AO228" s="149">
        <v>41</v>
      </c>
      <c r="AP228" s="160">
        <v>80</v>
      </c>
      <c r="AQ228" s="150">
        <v>150</v>
      </c>
      <c r="AR228" s="149">
        <v>3</v>
      </c>
      <c r="AS228" s="149">
        <v>14</v>
      </c>
      <c r="AT228" s="160">
        <v>3</v>
      </c>
      <c r="AU228" s="160">
        <v>0</v>
      </c>
      <c r="AV228" s="207"/>
      <c r="AW228" s="165"/>
      <c r="AX228" s="197">
        <f t="shared" si="283"/>
      </c>
    </row>
    <row customHeight="true" ht="16.071428571428573" r="229">
      <c r="A229" s="234"/>
      <c r="B229" s="149" t="s">
        <v>156</v>
      </c>
      <c r="C229" s="150" t="s">
        <v>157</v>
      </c>
      <c r="D229" s="149" t="s">
        <v>169</v>
      </c>
      <c r="E229" s="150" t="s">
        <v>171</v>
      </c>
      <c r="F229" s="159">
        <f t="shared" si="202"/>
      </c>
      <c r="G229" s="152">
        <v>3281.8</v>
      </c>
      <c r="H229" s="152">
        <v>1034.2</v>
      </c>
      <c r="I229" s="236">
        <v>0</v>
      </c>
      <c r="J229" s="236">
        <v>0</v>
      </c>
      <c r="K229" s="236">
        <v>0</v>
      </c>
      <c r="L229" s="236">
        <v>4</v>
      </c>
      <c r="M229" s="236">
        <v>5402.799999999988</v>
      </c>
      <c r="N229" s="155">
        <v>1</v>
      </c>
      <c r="O229" s="156">
        <f t="shared" si="46"/>
      </c>
      <c r="P229" s="155">
        <v>0</v>
      </c>
      <c r="Q229" s="156">
        <f t="shared" si="236"/>
      </c>
      <c r="R229" s="244">
        <f t="shared" si="92"/>
      </c>
      <c r="S229" s="237">
        <f t="shared" si="146"/>
      </c>
      <c r="T229" s="159">
        <f t="shared" si="234"/>
      </c>
      <c r="U229" s="159">
        <f t="shared" si="2"/>
      </c>
      <c r="V229" s="169">
        <f t="shared" si="0"/>
      </c>
      <c r="W229" s="155">
        <v>4</v>
      </c>
      <c r="X229" s="169">
        <f t="shared" si="6"/>
      </c>
      <c r="Y229" s="169">
        <f t="shared" si="4"/>
      </c>
      <c r="Z229" s="159">
        <f t="shared" si="232"/>
      </c>
      <c r="AA229" s="159">
        <f t="shared" si="47"/>
      </c>
      <c r="AB229" s="159">
        <f t="shared" si="237"/>
      </c>
      <c r="AC229" s="156">
        <f t="shared" si="235"/>
      </c>
      <c r="AD229" s="156">
        <f t="shared" si="3"/>
      </c>
      <c r="AE229" s="156">
        <f t="shared" si="1"/>
      </c>
      <c r="AF229" s="156">
        <f t="shared" si="7"/>
      </c>
      <c r="AG229" s="156">
        <f t="shared" si="5"/>
      </c>
      <c r="AH229" s="156">
        <f t="shared" si="233"/>
      </c>
      <c r="AI229" s="156">
        <f t="shared" si="48"/>
      </c>
      <c r="AJ229" s="155">
        <v>50</v>
      </c>
      <c r="AK229" s="160">
        <v>27042</v>
      </c>
      <c r="AL229" s="160">
        <v>1084</v>
      </c>
      <c r="AM229" s="160">
        <v>1362</v>
      </c>
      <c r="AN229" s="160">
        <v>147</v>
      </c>
      <c r="AO229" s="149">
        <v>39</v>
      </c>
      <c r="AP229" s="160">
        <v>125</v>
      </c>
      <c r="AQ229" s="150">
        <v>140</v>
      </c>
      <c r="AR229" s="149">
        <v>4</v>
      </c>
      <c r="AS229" s="155">
        <v>8</v>
      </c>
      <c r="AT229" s="160">
        <v>1</v>
      </c>
      <c r="AU229" s="155">
        <v>5</v>
      </c>
      <c r="AV229" s="207"/>
      <c r="AW229" s="165"/>
      <c r="AX229" s="197">
        <f t="shared" si="283"/>
      </c>
    </row>
    <row customHeight="true" ht="16.071428571428573" r="230">
      <c r="A230" s="234"/>
      <c r="B230" s="149" t="s">
        <v>156</v>
      </c>
      <c r="C230" s="150" t="s">
        <v>157</v>
      </c>
      <c r="D230" s="149" t="s">
        <v>169</v>
      </c>
      <c r="E230" s="150" t="s">
        <v>172</v>
      </c>
      <c r="F230" s="159">
        <f t="shared" si="202"/>
      </c>
      <c r="G230" s="152">
        <v>2195.42</v>
      </c>
      <c r="H230" s="152">
        <v>891.95</v>
      </c>
      <c r="I230" s="236">
        <v>0</v>
      </c>
      <c r="J230" s="236">
        <v>0</v>
      </c>
      <c r="K230" s="236">
        <v>0</v>
      </c>
      <c r="L230" s="236">
        <v>3</v>
      </c>
      <c r="M230" s="236">
        <v>5465.580000000002</v>
      </c>
      <c r="N230" s="155">
        <v>1</v>
      </c>
      <c r="O230" s="156">
        <f t="shared" si="46"/>
      </c>
      <c r="P230" s="155">
        <v>1</v>
      </c>
      <c r="Q230" s="156">
        <f t="shared" si="236"/>
      </c>
      <c r="R230" s="244">
        <f t="shared" si="92"/>
      </c>
      <c r="S230" s="237">
        <f t="shared" si="146"/>
      </c>
      <c r="T230" s="159">
        <f t="shared" si="234"/>
      </c>
      <c r="U230" s="159">
        <f t="shared" si="2"/>
      </c>
      <c r="V230" s="169">
        <f t="shared" si="0"/>
      </c>
      <c r="W230" s="155">
        <v>2</v>
      </c>
      <c r="X230" s="169">
        <f t="shared" si="6"/>
      </c>
      <c r="Y230" s="169">
        <f t="shared" si="4"/>
      </c>
      <c r="Z230" s="159">
        <f t="shared" si="232"/>
      </c>
      <c r="AA230" s="159">
        <f t="shared" si="47"/>
      </c>
      <c r="AB230" s="159">
        <f t="shared" si="237"/>
      </c>
      <c r="AC230" s="156">
        <f t="shared" si="235"/>
      </c>
      <c r="AD230" s="156">
        <f t="shared" si="3"/>
      </c>
      <c r="AE230" s="156">
        <f t="shared" si="1"/>
      </c>
      <c r="AF230" s="156">
        <f t="shared" si="7"/>
      </c>
      <c r="AG230" s="156">
        <f t="shared" si="5"/>
      </c>
      <c r="AH230" s="156">
        <f t="shared" si="233"/>
      </c>
      <c r="AI230" s="156">
        <f t="shared" si="48"/>
      </c>
      <c r="AJ230" s="155">
        <v>51</v>
      </c>
      <c r="AK230" s="160">
        <v>25538</v>
      </c>
      <c r="AL230" s="160">
        <v>939</v>
      </c>
      <c r="AM230" s="160">
        <v>1163</v>
      </c>
      <c r="AN230" s="160">
        <v>92</v>
      </c>
      <c r="AO230" s="149">
        <v>32</v>
      </c>
      <c r="AP230" s="160">
        <v>99</v>
      </c>
      <c r="AQ230" s="150">
        <v>98</v>
      </c>
      <c r="AR230" s="149">
        <v>6</v>
      </c>
      <c r="AS230" s="160">
        <v>13</v>
      </c>
      <c r="AT230" s="160">
        <v>1</v>
      </c>
      <c r="AU230" s="155">
        <v>6</v>
      </c>
      <c r="AV230" s="207"/>
      <c r="AW230" s="165"/>
      <c r="AX230" s="197">
        <f t="shared" si="283"/>
      </c>
    </row>
    <row customHeight="true" ht="16.071428571428573" r="231">
      <c r="A231" s="234"/>
      <c r="B231" s="171" t="s">
        <v>162</v>
      </c>
      <c r="C231" s="171"/>
      <c r="D231" s="171"/>
      <c r="E231" s="171"/>
      <c r="F231" s="173">
        <f>SUM(F227:F230)</f>
      </c>
      <c r="G231" s="173">
        <f>SUM(G227:G230)</f>
      </c>
      <c r="H231" s="173">
        <f>SUM(H227:H230)</f>
      </c>
      <c r="I231" s="173">
        <f>SUM(I227:I230)</f>
      </c>
      <c r="J231" s="173">
        <f>SUM(J227:J230)</f>
      </c>
      <c r="K231" s="173">
        <f>SUM(K227:K230)</f>
      </c>
      <c r="L231" s="173">
        <f>SUM(L227:L230)</f>
      </c>
      <c r="M231" s="173">
        <f>SUM(M227:M230)</f>
      </c>
      <c r="N231" s="173">
        <f>SUM(N227:N230)</f>
      </c>
      <c r="O231" s="175">
        <f t="shared" si="46"/>
      </c>
      <c r="P231" s="173">
        <f>SUM(P227:P230)</f>
      </c>
      <c r="Q231" s="175">
        <f t="shared" si="236"/>
      </c>
      <c r="R231" s="178">
        <f>SUM(R227:R230)</f>
      </c>
      <c r="S231" s="173">
        <f>SUM(S227:S230)</f>
      </c>
      <c r="T231" s="173">
        <f t="shared" si="234"/>
      </c>
      <c r="U231" s="173">
        <f t="shared" si="2"/>
      </c>
      <c r="V231" s="194">
        <f t="shared" si="0"/>
      </c>
      <c r="W231" s="173">
        <f>SUM(W227:W230)</f>
      </c>
      <c r="X231" s="194">
        <f t="shared" si="6"/>
      </c>
      <c r="Y231" s="194">
        <f t="shared" si="4"/>
      </c>
      <c r="Z231" s="173">
        <f t="shared" si="232"/>
      </c>
      <c r="AA231" s="173">
        <f t="shared" si="47"/>
      </c>
      <c r="AB231" s="238">
        <f t="shared" si="237"/>
      </c>
      <c r="AC231" s="175">
        <f t="shared" si="235"/>
      </c>
      <c r="AD231" s="175">
        <f t="shared" si="3"/>
      </c>
      <c r="AE231" s="175">
        <f t="shared" si="1"/>
      </c>
      <c r="AF231" s="245">
        <f t="shared" si="7"/>
      </c>
      <c r="AG231" s="175">
        <f t="shared" si="5"/>
      </c>
      <c r="AH231" s="175">
        <f t="shared" si="233"/>
      </c>
      <c r="AI231" s="175">
        <f t="shared" si="48"/>
      </c>
      <c r="AJ231" s="178">
        <f>AVERAGE(AJ227:AJ230)</f>
      </c>
      <c r="AK231" s="173">
        <f>SUM(AK227:AK230)</f>
      </c>
      <c r="AL231" s="173">
        <f>SUM(AL227:AL230)</f>
      </c>
      <c r="AM231" s="173">
        <f>SUM(AM227:AM230)</f>
      </c>
      <c r="AN231" s="173">
        <f>SUM(AN227:AN230)</f>
      </c>
      <c r="AO231" s="173">
        <f>SUM(AO227:AO230)</f>
      </c>
      <c r="AP231" s="173">
        <f>SUM(AP227:AP230)</f>
      </c>
      <c r="AQ231" s="173">
        <f>SUM(AQ227:AQ230)</f>
      </c>
      <c r="AR231" s="173">
        <f>SUM(AR227:AR230)</f>
      </c>
      <c r="AS231" s="173">
        <f>SUM(AS227:AS230)</f>
      </c>
      <c r="AT231" s="173">
        <f>SUM(AT227:AT230)</f>
      </c>
      <c r="AU231" s="173">
        <f>SUM(AU227:AU230)</f>
      </c>
      <c r="AV231" s="207"/>
      <c r="AW231" s="180"/>
      <c r="AX231" s="181">
        <f>SUM(AX227:AX230)</f>
      </c>
    </row>
    <row customHeight="true" ht="16.071428571428573" r="232">
      <c r="A232" s="234"/>
      <c r="B232" s="184" t="s">
        <v>166</v>
      </c>
      <c r="C232" s="184"/>
      <c r="D232" s="184"/>
      <c r="E232" s="184"/>
      <c r="F232" s="185">
        <f>F221+F226+F231</f>
      </c>
      <c r="G232" s="185">
        <f>G221+G226+G231</f>
      </c>
      <c r="H232" s="185">
        <f>H221+H226+H231</f>
      </c>
      <c r="I232" s="184">
        <f>I221+I226+I231</f>
      </c>
      <c r="J232" s="184">
        <f>J221+J226+J231</f>
      </c>
      <c r="K232" s="184">
        <f>K221+K226+K231</f>
      </c>
      <c r="L232" s="184">
        <f>L221+L226+L231</f>
      </c>
      <c r="M232" s="184">
        <f>M221+M226+M231</f>
      </c>
      <c r="N232" s="184">
        <f>N221+N226+N231</f>
      </c>
      <c r="O232" s="186">
        <f t="shared" si="46"/>
      </c>
      <c r="P232" s="184">
        <f>P221+P226+P231</f>
      </c>
      <c r="Q232" s="186">
        <f t="shared" si="236"/>
      </c>
      <c r="R232" s="190">
        <f>R221+R226+R231</f>
      </c>
      <c r="S232" s="185">
        <f>S221+S226+S231</f>
      </c>
      <c r="T232" s="185">
        <f t="shared" si="234"/>
      </c>
      <c r="U232" s="185">
        <f t="shared" si="2"/>
      </c>
      <c r="V232" s="187">
        <f t="shared" si="0"/>
      </c>
      <c r="W232" s="184">
        <f>W221+W226+W231</f>
      </c>
      <c r="X232" s="187">
        <f t="shared" si="6"/>
      </c>
      <c r="Y232" s="187">
        <f t="shared" si="4"/>
      </c>
      <c r="Z232" s="185">
        <f t="shared" si="232"/>
      </c>
      <c r="AA232" s="185">
        <f t="shared" si="47"/>
      </c>
      <c r="AB232" s="189">
        <f t="shared" si="237"/>
      </c>
      <c r="AC232" s="186">
        <f t="shared" si="235"/>
      </c>
      <c r="AD232" s="186">
        <f t="shared" si="3"/>
      </c>
      <c r="AE232" s="186">
        <f t="shared" si="1"/>
      </c>
      <c r="AF232" s="241">
        <f t="shared" si="7"/>
      </c>
      <c r="AG232" s="186">
        <f t="shared" si="5"/>
      </c>
      <c r="AH232" s="186">
        <f t="shared" si="233"/>
      </c>
      <c r="AI232" s="186">
        <f t="shared" si="48"/>
      </c>
      <c r="AJ232" s="190">
        <f>(AJ221+AJ226+AJ231)/3</f>
      </c>
      <c r="AK232" s="184">
        <f>AK221+AK226+AK231</f>
      </c>
      <c r="AL232" s="184">
        <f>AL221+AL226+AL231</f>
      </c>
      <c r="AM232" s="184">
        <f>AM221+AM226+AM231</f>
      </c>
      <c r="AN232" s="184">
        <f>AN221+AN226+AN231</f>
      </c>
      <c r="AO232" s="184">
        <f>AO221+AO226+AO231</f>
      </c>
      <c r="AP232" s="184">
        <f>AP221+AP226+AP231</f>
      </c>
      <c r="AQ232" s="184">
        <f>AQ221+AQ226+AQ231</f>
      </c>
      <c r="AR232" s="184">
        <f>AR221+AR226+AR231</f>
      </c>
      <c r="AS232" s="184">
        <f>AS221+AS226+AS231</f>
      </c>
      <c r="AT232" s="184">
        <f>AT221+AT226+AT231</f>
      </c>
      <c r="AU232" s="184">
        <f>AU221+AU226+AU231</f>
      </c>
      <c r="AV232" s="207"/>
      <c r="AW232" s="184">
        <f>AW221+AW226+AW231</f>
      </c>
      <c r="AX232" s="184">
        <f>AX221+AX226+AX231</f>
      </c>
    </row>
    <row customHeight="true" ht="16.071428571428573" r="233">
      <c r="A233" s="234">
        <v>46288</v>
      </c>
      <c r="B233" s="149" t="s">
        <v>156</v>
      </c>
      <c r="C233" s="150" t="s">
        <v>157</v>
      </c>
      <c r="D233" s="149" t="s">
        <v>158</v>
      </c>
      <c r="E233" s="149" t="s">
        <v>175</v>
      </c>
      <c r="F233" s="159">
        <f t="shared" ref="F233:F236" si="203">G233+H233+I233</f>
      </c>
      <c r="G233" s="152">
        <v>3392.26</v>
      </c>
      <c r="H233" s="152">
        <v>940.31</v>
      </c>
      <c r="I233" s="236">
        <v>0</v>
      </c>
      <c r="J233" s="236">
        <v>1</v>
      </c>
      <c r="K233" s="242">
        <v>1877.58</v>
      </c>
      <c r="L233" s="236">
        <v>4</v>
      </c>
      <c r="M233" s="236">
        <v>6714.98</v>
      </c>
      <c r="N233" s="155">
        <v>3</v>
      </c>
      <c r="O233" s="156">
        <f t="shared" si="46"/>
      </c>
      <c r="P233" s="155">
        <v>0</v>
      </c>
      <c r="Q233" s="156">
        <f t="shared" si="236"/>
      </c>
      <c r="R233" s="244">
        <f t="shared" ref="R233:R236" si="93">L233+J233</f>
      </c>
      <c r="S233" s="237">
        <f t="shared" ref="S233:S236" si="147">M233+K233</f>
      </c>
      <c r="T233" s="159">
        <f t="shared" si="234"/>
      </c>
      <c r="U233" s="159">
        <f t="shared" si="2"/>
      </c>
      <c r="V233" s="160">
        <f t="shared" si="0"/>
      </c>
      <c r="W233" s="155">
        <v>3</v>
      </c>
      <c r="X233" s="169">
        <f t="shared" si="6"/>
      </c>
      <c r="Y233" s="169">
        <f t="shared" si="4"/>
      </c>
      <c r="Z233" s="159">
        <f t="shared" si="232"/>
      </c>
      <c r="AA233" s="159">
        <f t="shared" si="47"/>
      </c>
      <c r="AB233" s="159">
        <f t="shared" si="237"/>
      </c>
      <c r="AC233" s="156">
        <f t="shared" si="235"/>
      </c>
      <c r="AD233" s="156">
        <f t="shared" si="3"/>
      </c>
      <c r="AE233" s="156">
        <f t="shared" si="1"/>
      </c>
      <c r="AF233" s="156">
        <f t="shared" si="7"/>
      </c>
      <c r="AG233" s="156">
        <f t="shared" si="5"/>
      </c>
      <c r="AH233" s="156">
        <f t="shared" si="233"/>
      </c>
      <c r="AI233" s="156">
        <f t="shared" si="48"/>
      </c>
      <c r="AJ233" s="155">
        <v>53</v>
      </c>
      <c r="AK233" s="160">
        <v>25467</v>
      </c>
      <c r="AL233" s="160">
        <v>842</v>
      </c>
      <c r="AM233" s="160">
        <v>999</v>
      </c>
      <c r="AN233" s="160">
        <v>123</v>
      </c>
      <c r="AO233" s="149">
        <v>37</v>
      </c>
      <c r="AP233" s="149">
        <v>81</v>
      </c>
      <c r="AQ233" s="150">
        <v>108</v>
      </c>
      <c r="AR233" s="149">
        <v>5</v>
      </c>
      <c r="AS233" s="149">
        <v>10</v>
      </c>
      <c r="AT233" s="160">
        <v>3</v>
      </c>
      <c r="AU233" s="160">
        <v>1</v>
      </c>
      <c r="AV233" s="207"/>
      <c r="AW233" s="165"/>
      <c r="AX233" s="197">
        <f t="shared" ref="AX233:AX236" si="284">COUNT(AU233)</f>
      </c>
    </row>
    <row customHeight="true" ht="16.071428571428573" r="234">
      <c r="A234" s="234"/>
      <c r="B234" s="149" t="s">
        <v>156</v>
      </c>
      <c r="C234" s="150" t="s">
        <v>157</v>
      </c>
      <c r="D234" s="149" t="s">
        <v>158</v>
      </c>
      <c r="E234" s="149" t="s">
        <v>176</v>
      </c>
      <c r="F234" s="159">
        <f t="shared" si="203"/>
      </c>
      <c r="G234" s="152">
        <v>3209.58</v>
      </c>
      <c r="H234" s="152">
        <v>2077.93</v>
      </c>
      <c r="I234" s="236">
        <v>0</v>
      </c>
      <c r="J234" s="236">
        <v>1</v>
      </c>
      <c r="K234" s="236">
        <v>855</v>
      </c>
      <c r="L234" s="236">
        <v>1</v>
      </c>
      <c r="M234" s="236">
        <v>1389</v>
      </c>
      <c r="N234" s="155">
        <v>0</v>
      </c>
      <c r="O234" s="156">
        <f t="shared" si="46"/>
      </c>
      <c r="P234" s="155">
        <v>0</v>
      </c>
      <c r="Q234" s="156">
        <f t="shared" si="236"/>
      </c>
      <c r="R234" s="244">
        <f t="shared" si="93"/>
      </c>
      <c r="S234" s="237">
        <f t="shared" si="147"/>
      </c>
      <c r="T234" s="159">
        <f t="shared" si="234"/>
      </c>
      <c r="U234" s="159">
        <f t="shared" si="2"/>
      </c>
      <c r="V234" s="160">
        <f t="shared" si="0"/>
      </c>
      <c r="W234" s="155">
        <v>1</v>
      </c>
      <c r="X234" s="169">
        <f t="shared" si="6"/>
      </c>
      <c r="Y234" s="169">
        <f t="shared" si="4"/>
      </c>
      <c r="Z234" s="159">
        <f t="shared" si="232"/>
      </c>
      <c r="AA234" s="159">
        <f t="shared" si="47"/>
      </c>
      <c r="AB234" s="159">
        <f t="shared" si="237"/>
      </c>
      <c r="AC234" s="156">
        <f t="shared" si="235"/>
      </c>
      <c r="AD234" s="156">
        <f t="shared" si="3"/>
      </c>
      <c r="AE234" s="156">
        <f t="shared" si="1"/>
      </c>
      <c r="AF234" s="156">
        <f t="shared" si="7"/>
      </c>
      <c r="AG234" s="156">
        <f t="shared" si="5"/>
      </c>
      <c r="AH234" s="156">
        <f t="shared" si="233"/>
      </c>
      <c r="AI234" s="156">
        <f t="shared" si="48"/>
      </c>
      <c r="AJ234" s="155">
        <v>52</v>
      </c>
      <c r="AK234" s="160">
        <v>24926</v>
      </c>
      <c r="AL234" s="160">
        <v>733</v>
      </c>
      <c r="AM234" s="160">
        <v>987</v>
      </c>
      <c r="AN234" s="160">
        <v>132</v>
      </c>
      <c r="AO234" s="149">
        <v>43</v>
      </c>
      <c r="AP234" s="160">
        <v>149</v>
      </c>
      <c r="AQ234" s="150">
        <v>150</v>
      </c>
      <c r="AR234" s="149">
        <v>5</v>
      </c>
      <c r="AS234" s="155">
        <v>11</v>
      </c>
      <c r="AT234" s="155">
        <v>1</v>
      </c>
      <c r="AU234" s="155">
        <v>4</v>
      </c>
      <c r="AV234" s="207"/>
      <c r="AW234" s="165"/>
      <c r="AX234" s="197">
        <f t="shared" si="284"/>
      </c>
    </row>
    <row customHeight="true" ht="16.071428571428573" r="235">
      <c r="A235" s="234"/>
      <c r="B235" s="149" t="s">
        <v>156</v>
      </c>
      <c r="C235" s="150" t="s">
        <v>157</v>
      </c>
      <c r="D235" s="149" t="s">
        <v>158</v>
      </c>
      <c r="E235" s="149" t="s">
        <v>177</v>
      </c>
      <c r="F235" s="159">
        <f t="shared" si="203"/>
      </c>
      <c r="G235" s="152">
        <v>2558.74</v>
      </c>
      <c r="H235" s="152">
        <v>1795.64</v>
      </c>
      <c r="I235" s="236">
        <v>0</v>
      </c>
      <c r="J235" s="236">
        <v>1</v>
      </c>
      <c r="K235" s="236">
        <v>1157.4</v>
      </c>
      <c r="L235" s="236">
        <v>0</v>
      </c>
      <c r="M235" s="236">
        <v>0</v>
      </c>
      <c r="N235" s="155">
        <v>1</v>
      </c>
      <c r="O235" s="156">
        <f t="shared" si="46"/>
      </c>
      <c r="P235" s="155">
        <v>0</v>
      </c>
      <c r="Q235" s="156">
        <f t="shared" si="236"/>
      </c>
      <c r="R235" s="244">
        <f t="shared" si="93"/>
      </c>
      <c r="S235" s="237">
        <f t="shared" si="147"/>
      </c>
      <c r="T235" s="159">
        <f t="shared" si="234"/>
      </c>
      <c r="U235" s="159">
        <f t="shared" si="2"/>
      </c>
      <c r="V235" s="169">
        <f t="shared" si="0"/>
      </c>
      <c r="W235" s="155">
        <v>1</v>
      </c>
      <c r="X235" s="169">
        <f t="shared" si="6"/>
      </c>
      <c r="Y235" s="169">
        <f t="shared" si="4"/>
      </c>
      <c r="Z235" s="159">
        <f t="shared" si="232"/>
      </c>
      <c r="AA235" s="159">
        <f t="shared" si="47"/>
      </c>
      <c r="AB235" s="159">
        <f t="shared" si="237"/>
      </c>
      <c r="AC235" s="156">
        <f t="shared" si="235"/>
      </c>
      <c r="AD235" s="156">
        <f t="shared" si="3"/>
      </c>
      <c r="AE235" s="156">
        <f t="shared" si="1"/>
      </c>
      <c r="AF235" s="156">
        <f t="shared" si="7"/>
      </c>
      <c r="AG235" s="156">
        <f t="shared" si="5"/>
      </c>
      <c r="AH235" s="156">
        <f t="shared" si="233"/>
      </c>
      <c r="AI235" s="156">
        <f t="shared" si="48"/>
      </c>
      <c r="AJ235" s="155">
        <v>55</v>
      </c>
      <c r="AK235" s="160">
        <v>20049</v>
      </c>
      <c r="AL235" s="160">
        <v>560</v>
      </c>
      <c r="AM235" s="160">
        <v>736</v>
      </c>
      <c r="AN235" s="160">
        <v>117</v>
      </c>
      <c r="AO235" s="149">
        <v>35</v>
      </c>
      <c r="AP235" s="160">
        <v>113</v>
      </c>
      <c r="AQ235" s="150">
        <v>108</v>
      </c>
      <c r="AR235" s="149">
        <v>3</v>
      </c>
      <c r="AS235" s="160">
        <v>4</v>
      </c>
      <c r="AT235" s="160">
        <v>0</v>
      </c>
      <c r="AU235" s="160">
        <v>5</v>
      </c>
      <c r="AV235" s="207"/>
      <c r="AW235" s="165"/>
      <c r="AX235" s="197">
        <f t="shared" si="284"/>
      </c>
    </row>
    <row customHeight="true" ht="16.071428571428573" r="236">
      <c r="A236" s="234"/>
      <c r="B236" s="149" t="s">
        <v>156</v>
      </c>
      <c r="C236" s="150" t="s">
        <v>157</v>
      </c>
      <c r="D236" s="149" t="s">
        <v>158</v>
      </c>
      <c r="E236" s="149" t="s">
        <v>178</v>
      </c>
      <c r="F236" s="159">
        <f t="shared" si="203"/>
      </c>
      <c r="G236" s="152">
        <v>2225.98</v>
      </c>
      <c r="H236" s="152">
        <v>1224.6</v>
      </c>
      <c r="I236" s="236">
        <v>0</v>
      </c>
      <c r="J236" s="236">
        <v>0</v>
      </c>
      <c r="K236" s="236">
        <v>0</v>
      </c>
      <c r="L236" s="236">
        <v>4</v>
      </c>
      <c r="M236" s="236">
        <v>5345.649999999998</v>
      </c>
      <c r="N236" s="155">
        <v>0</v>
      </c>
      <c r="O236" s="156">
        <f t="shared" si="46"/>
      </c>
      <c r="P236" s="155">
        <v>0</v>
      </c>
      <c r="Q236" s="156">
        <f t="shared" si="236"/>
      </c>
      <c r="R236" s="244">
        <f t="shared" si="93"/>
      </c>
      <c r="S236" s="237">
        <f t="shared" si="147"/>
      </c>
      <c r="T236" s="159">
        <f t="shared" si="234"/>
      </c>
      <c r="U236" s="159">
        <f t="shared" si="2"/>
      </c>
      <c r="V236" s="169">
        <f t="shared" si="0"/>
      </c>
      <c r="W236" s="155">
        <v>3</v>
      </c>
      <c r="X236" s="169">
        <f t="shared" si="6"/>
      </c>
      <c r="Y236" s="169">
        <f t="shared" si="4"/>
      </c>
      <c r="Z236" s="159">
        <f t="shared" si="232"/>
      </c>
      <c r="AA236" s="159">
        <f t="shared" si="47"/>
      </c>
      <c r="AB236" s="159">
        <f t="shared" si="237"/>
      </c>
      <c r="AC236" s="156">
        <f t="shared" si="235"/>
      </c>
      <c r="AD236" s="156">
        <f t="shared" si="3"/>
      </c>
      <c r="AE236" s="156">
        <f t="shared" si="1"/>
      </c>
      <c r="AF236" s="156">
        <f t="shared" si="7"/>
      </c>
      <c r="AG236" s="156">
        <f t="shared" si="5"/>
      </c>
      <c r="AH236" s="156">
        <f t="shared" si="233"/>
      </c>
      <c r="AI236" s="156">
        <f t="shared" si="48"/>
      </c>
      <c r="AJ236" s="155">
        <v>55</v>
      </c>
      <c r="AK236" s="160">
        <v>17367</v>
      </c>
      <c r="AL236" s="160">
        <v>421</v>
      </c>
      <c r="AM236" s="160">
        <v>543</v>
      </c>
      <c r="AN236" s="160">
        <v>79</v>
      </c>
      <c r="AO236" s="149">
        <v>25</v>
      </c>
      <c r="AP236" s="155">
        <v>86</v>
      </c>
      <c r="AQ236" s="149">
        <v>90</v>
      </c>
      <c r="AR236" s="149">
        <v>5</v>
      </c>
      <c r="AS236" s="155">
        <v>5</v>
      </c>
      <c r="AT236" s="155">
        <v>2</v>
      </c>
      <c r="AU236" s="155">
        <v>3</v>
      </c>
      <c r="AV236" s="207"/>
      <c r="AW236" s="165"/>
      <c r="AX236" s="197">
        <f t="shared" si="284"/>
      </c>
    </row>
    <row customHeight="true" ht="16.071428571428573" r="237">
      <c r="A237" s="234"/>
      <c r="B237" s="171" t="s">
        <v>162</v>
      </c>
      <c r="C237" s="171"/>
      <c r="D237" s="171"/>
      <c r="E237" s="171"/>
      <c r="F237" s="173">
        <f>SUM(F233:F236)</f>
      </c>
      <c r="G237" s="173">
        <f>SUM(G233:G236)</f>
      </c>
      <c r="H237" s="173">
        <f>SUM(H233:H236)</f>
      </c>
      <c r="I237" s="173">
        <f>SUM(I233:I236)</f>
      </c>
      <c r="J237" s="173">
        <f>SUM(J233:J236)</f>
      </c>
      <c r="K237" s="173">
        <f>SUM(K233:K236)</f>
      </c>
      <c r="L237" s="173">
        <f>SUM(L233:L236)</f>
      </c>
      <c r="M237" s="173">
        <f>SUM(M233:M236)</f>
      </c>
      <c r="N237" s="173">
        <f>SUM(N233:N236)</f>
      </c>
      <c r="O237" s="175">
        <f t="shared" si="46"/>
      </c>
      <c r="P237" s="173">
        <f>SUM(P233:P236)</f>
      </c>
      <c r="Q237" s="175">
        <f t="shared" si="236"/>
      </c>
      <c r="R237" s="178">
        <f>SUM(R233:R236)</f>
      </c>
      <c r="S237" s="173">
        <f>SUM(S233:S236)</f>
      </c>
      <c r="T237" s="173">
        <f t="shared" si="234"/>
      </c>
      <c r="U237" s="173">
        <f t="shared" si="2"/>
      </c>
      <c r="V237" s="173">
        <f t="shared" si="0"/>
      </c>
      <c r="W237" s="173">
        <f>SUM(W233:W236)</f>
      </c>
      <c r="X237" s="194">
        <f t="shared" si="6"/>
      </c>
      <c r="Y237" s="194">
        <f t="shared" si="4"/>
      </c>
      <c r="Z237" s="173">
        <f t="shared" si="232"/>
      </c>
      <c r="AA237" s="173">
        <f t="shared" si="47"/>
      </c>
      <c r="AB237" s="238">
        <f t="shared" si="237"/>
      </c>
      <c r="AC237" s="175">
        <f t="shared" si="235"/>
      </c>
      <c r="AD237" s="175">
        <f t="shared" si="3"/>
      </c>
      <c r="AE237" s="175">
        <f t="shared" si="1"/>
      </c>
      <c r="AF237" s="175">
        <f t="shared" si="7"/>
      </c>
      <c r="AG237" s="175">
        <f t="shared" si="5"/>
      </c>
      <c r="AH237" s="175">
        <f t="shared" si="233"/>
      </c>
      <c r="AI237" s="175">
        <f t="shared" si="48"/>
      </c>
      <c r="AJ237" s="178">
        <f>AVERAGE(AJ233:AJ236)</f>
      </c>
      <c r="AK237" s="173">
        <f>SUM(AK233:AK236)</f>
      </c>
      <c r="AL237" s="173">
        <f>SUM(AL233:AL236)</f>
      </c>
      <c r="AM237" s="173">
        <f>SUM(AM233:AM236)</f>
      </c>
      <c r="AN237" s="173">
        <f>SUM(AN233:AN236)</f>
      </c>
      <c r="AO237" s="173">
        <f>SUM(AO233:AO236)</f>
      </c>
      <c r="AP237" s="173">
        <f>SUM(AP233:AP236)</f>
      </c>
      <c r="AQ237" s="173">
        <f>SUM(AQ233:AQ236)</f>
      </c>
      <c r="AR237" s="173">
        <f>SUM(AR233:AR236)</f>
      </c>
      <c r="AS237" s="173">
        <f>SUM(AS233:AS236)</f>
      </c>
      <c r="AT237" s="173">
        <f>SUM(AT233:AT236)</f>
      </c>
      <c r="AU237" s="173">
        <f>SUM(AU233:AU236)</f>
      </c>
      <c r="AV237" s="207"/>
      <c r="AW237" s="180"/>
      <c r="AX237" s="181">
        <f>SUM(AX233:AX236)</f>
      </c>
    </row>
    <row customHeight="true" ht="16.071428571428573" r="238">
      <c r="A238" s="234"/>
      <c r="B238" s="149" t="s">
        <v>156</v>
      </c>
      <c r="C238" s="150" t="s">
        <v>157</v>
      </c>
      <c r="D238" s="149" t="s">
        <v>163</v>
      </c>
      <c r="E238" s="150" t="s">
        <v>159</v>
      </c>
      <c r="F238" s="159">
        <f t="shared" ref="F238:F241" si="204">G238+H238+I238</f>
      </c>
      <c r="G238" s="152">
        <v>2635.94</v>
      </c>
      <c r="H238" s="152">
        <v>775.7</v>
      </c>
      <c r="I238" s="236">
        <v>0</v>
      </c>
      <c r="J238" s="236">
        <v>0</v>
      </c>
      <c r="K238" s="236">
        <v>0</v>
      </c>
      <c r="L238" s="236">
        <v>3</v>
      </c>
      <c r="M238" s="236">
        <v>10285.559999999998</v>
      </c>
      <c r="N238" s="155">
        <v>1</v>
      </c>
      <c r="O238" s="156">
        <f t="shared" si="46"/>
      </c>
      <c r="P238" s="155">
        <v>0</v>
      </c>
      <c r="Q238" s="156">
        <f t="shared" si="236"/>
      </c>
      <c r="R238" s="244">
        <f t="shared" ref="R238:R241" si="94">L238+J238</f>
      </c>
      <c r="S238" s="237">
        <f t="shared" ref="S238:S241" si="148">M238+K238</f>
      </c>
      <c r="T238" s="159">
        <f t="shared" si="234"/>
      </c>
      <c r="U238" s="159">
        <f t="shared" si="2"/>
      </c>
      <c r="V238" s="169">
        <f t="shared" si="0"/>
      </c>
      <c r="W238" s="155">
        <v>3</v>
      </c>
      <c r="X238" s="169">
        <f t="shared" si="6"/>
      </c>
      <c r="Y238" s="169">
        <f t="shared" si="4"/>
      </c>
      <c r="Z238" s="159">
        <f t="shared" si="232"/>
      </c>
      <c r="AA238" s="159">
        <f t="shared" si="47"/>
      </c>
      <c r="AB238" s="159">
        <f t="shared" si="237"/>
      </c>
      <c r="AC238" s="156">
        <f t="shared" si="235"/>
      </c>
      <c r="AD238" s="156">
        <f t="shared" si="3"/>
      </c>
      <c r="AE238" s="156">
        <f t="shared" si="1"/>
      </c>
      <c r="AF238" s="156">
        <f t="shared" si="7"/>
      </c>
      <c r="AG238" s="156">
        <f t="shared" si="5"/>
      </c>
      <c r="AH238" s="156">
        <f t="shared" si="233"/>
      </c>
      <c r="AI238" s="156">
        <f t="shared" si="48"/>
      </c>
      <c r="AJ238" s="155">
        <v>57</v>
      </c>
      <c r="AK238" s="160">
        <v>20513</v>
      </c>
      <c r="AL238" s="160">
        <v>504</v>
      </c>
      <c r="AM238" s="160">
        <v>587</v>
      </c>
      <c r="AN238" s="160">
        <v>101</v>
      </c>
      <c r="AO238" s="149">
        <v>38</v>
      </c>
      <c r="AP238" s="160">
        <v>115</v>
      </c>
      <c r="AQ238" s="150">
        <v>100</v>
      </c>
      <c r="AR238" s="149">
        <v>5</v>
      </c>
      <c r="AS238" s="149">
        <v>9</v>
      </c>
      <c r="AT238" s="155">
        <v>3</v>
      </c>
      <c r="AU238" s="155">
        <v>2</v>
      </c>
      <c r="AV238" s="207"/>
      <c r="AW238" s="165"/>
      <c r="AX238" s="197">
        <f t="shared" ref="AX238:AX241" si="285">COUNT(AU238)</f>
      </c>
    </row>
    <row customHeight="true" ht="16.071428571428573" r="239">
      <c r="A239" s="234"/>
      <c r="B239" s="149" t="s">
        <v>156</v>
      </c>
      <c r="C239" s="150" t="s">
        <v>157</v>
      </c>
      <c r="D239" s="149" t="s">
        <v>163</v>
      </c>
      <c r="E239" s="150" t="s">
        <v>160</v>
      </c>
      <c r="F239" s="159">
        <f t="shared" si="204"/>
      </c>
      <c r="G239" s="152">
        <v>3329.85</v>
      </c>
      <c r="H239" s="152">
        <v>1661.94</v>
      </c>
      <c r="I239" s="236">
        <v>0</v>
      </c>
      <c r="J239" s="236">
        <v>2</v>
      </c>
      <c r="K239" s="236">
        <v>2823.4600000000005</v>
      </c>
      <c r="L239" s="236">
        <v>2</v>
      </c>
      <c r="M239" s="236">
        <v>11446.410000000003</v>
      </c>
      <c r="N239" s="155">
        <v>1</v>
      </c>
      <c r="O239" s="156">
        <f t="shared" si="46"/>
      </c>
      <c r="P239" s="155">
        <v>2</v>
      </c>
      <c r="Q239" s="156">
        <f t="shared" si="236"/>
      </c>
      <c r="R239" s="244">
        <f t="shared" si="94"/>
      </c>
      <c r="S239" s="237">
        <f t="shared" si="148"/>
      </c>
      <c r="T239" s="159">
        <f t="shared" si="234"/>
      </c>
      <c r="U239" s="159">
        <f t="shared" si="2"/>
      </c>
      <c r="V239" s="169">
        <f t="shared" si="0"/>
      </c>
      <c r="W239" s="155">
        <v>3</v>
      </c>
      <c r="X239" s="169">
        <f t="shared" si="6"/>
      </c>
      <c r="Y239" s="169">
        <f t="shared" si="4"/>
      </c>
      <c r="Z239" s="159">
        <f t="shared" si="232"/>
      </c>
      <c r="AA239" s="159">
        <f t="shared" si="47"/>
      </c>
      <c r="AB239" s="159">
        <f t="shared" si="237"/>
      </c>
      <c r="AC239" s="156">
        <f t="shared" si="235"/>
      </c>
      <c r="AD239" s="156">
        <f t="shared" si="3"/>
      </c>
      <c r="AE239" s="156">
        <f t="shared" si="1"/>
      </c>
      <c r="AF239" s="156">
        <f t="shared" si="7"/>
      </c>
      <c r="AG239" s="156">
        <f t="shared" si="5"/>
      </c>
      <c r="AH239" s="156">
        <f t="shared" si="233"/>
      </c>
      <c r="AI239" s="156">
        <f t="shared" si="48"/>
      </c>
      <c r="AJ239" s="155">
        <v>57</v>
      </c>
      <c r="AK239" s="160">
        <v>30375</v>
      </c>
      <c r="AL239" s="160">
        <v>705</v>
      </c>
      <c r="AM239" s="160">
        <v>875</v>
      </c>
      <c r="AN239" s="160">
        <v>91</v>
      </c>
      <c r="AO239" s="149">
        <v>27</v>
      </c>
      <c r="AP239" s="160">
        <v>71</v>
      </c>
      <c r="AQ239" s="150">
        <v>98</v>
      </c>
      <c r="AR239" s="149">
        <v>5</v>
      </c>
      <c r="AS239" s="149">
        <v>5</v>
      </c>
      <c r="AT239" s="155">
        <v>2</v>
      </c>
      <c r="AU239" s="155">
        <v>3</v>
      </c>
      <c r="AV239" s="207"/>
      <c r="AW239" s="165"/>
      <c r="AX239" s="197">
        <f t="shared" si="285"/>
      </c>
    </row>
    <row customHeight="true" ht="16.071428571428573" r="240">
      <c r="A240" s="234"/>
      <c r="B240" s="149" t="s">
        <v>156</v>
      </c>
      <c r="C240" s="150" t="s">
        <v>157</v>
      </c>
      <c r="D240" s="149" t="s">
        <v>163</v>
      </c>
      <c r="E240" s="150" t="s">
        <v>161</v>
      </c>
      <c r="F240" s="159">
        <f t="shared" si="204"/>
      </c>
      <c r="G240" s="152">
        <v>2415.61</v>
      </c>
      <c r="H240" s="152">
        <v>1413.8</v>
      </c>
      <c r="I240" s="236">
        <v>0</v>
      </c>
      <c r="J240" s="236">
        <v>4</v>
      </c>
      <c r="K240" s="236">
        <v>3745.7299999999996</v>
      </c>
      <c r="L240" s="236">
        <v>3</v>
      </c>
      <c r="M240" s="236">
        <v>10431.449999999997</v>
      </c>
      <c r="N240" s="155">
        <v>3</v>
      </c>
      <c r="O240" s="156">
        <f t="shared" si="46"/>
      </c>
      <c r="P240" s="155">
        <v>1</v>
      </c>
      <c r="Q240" s="156">
        <f t="shared" si="236"/>
      </c>
      <c r="R240" s="244">
        <f t="shared" si="94"/>
      </c>
      <c r="S240" s="237">
        <f t="shared" si="148"/>
      </c>
      <c r="T240" s="159">
        <f t="shared" si="234"/>
      </c>
      <c r="U240" s="159">
        <f t="shared" si="2"/>
      </c>
      <c r="V240" s="169">
        <f t="shared" si="0"/>
      </c>
      <c r="W240" s="155">
        <v>5</v>
      </c>
      <c r="X240" s="169">
        <f t="shared" si="6"/>
      </c>
      <c r="Y240" s="169">
        <f t="shared" si="4"/>
      </c>
      <c r="Z240" s="159">
        <f t="shared" si="232"/>
      </c>
      <c r="AA240" s="159">
        <f t="shared" si="47"/>
      </c>
      <c r="AB240" s="159">
        <f t="shared" si="237"/>
      </c>
      <c r="AC240" s="156">
        <f t="shared" si="235"/>
      </c>
      <c r="AD240" s="156">
        <f t="shared" si="3"/>
      </c>
      <c r="AE240" s="156">
        <f t="shared" si="1"/>
      </c>
      <c r="AF240" s="156">
        <f t="shared" si="7"/>
      </c>
      <c r="AG240" s="156">
        <f t="shared" si="5"/>
      </c>
      <c r="AH240" s="156">
        <f t="shared" si="233"/>
      </c>
      <c r="AI240" s="156">
        <f t="shared" si="48"/>
      </c>
      <c r="AJ240" s="155">
        <v>58</v>
      </c>
      <c r="AK240" s="160">
        <v>23754</v>
      </c>
      <c r="AL240" s="160">
        <v>547</v>
      </c>
      <c r="AM240" s="160">
        <v>737</v>
      </c>
      <c r="AN240" s="160">
        <v>83</v>
      </c>
      <c r="AO240" s="149">
        <v>38</v>
      </c>
      <c r="AP240" s="160">
        <v>134</v>
      </c>
      <c r="AQ240" s="150">
        <v>111</v>
      </c>
      <c r="AR240" s="149">
        <v>7</v>
      </c>
      <c r="AS240" s="155">
        <v>6</v>
      </c>
      <c r="AT240" s="155">
        <v>1</v>
      </c>
      <c r="AU240" s="155">
        <v>5</v>
      </c>
      <c r="AV240" s="207"/>
      <c r="AW240" s="165"/>
      <c r="AX240" s="197">
        <f t="shared" si="285"/>
      </c>
    </row>
    <row customHeight="true" ht="16.071428571428573" r="241">
      <c r="A241" s="234"/>
      <c r="B241" s="149" t="s">
        <v>156</v>
      </c>
      <c r="C241" s="150" t="s">
        <v>157</v>
      </c>
      <c r="D241" s="149" t="s">
        <v>163</v>
      </c>
      <c r="E241" s="150" t="s">
        <v>164</v>
      </c>
      <c r="F241" s="159">
        <f t="shared" si="204"/>
      </c>
      <c r="G241" s="152">
        <v>3139.49</v>
      </c>
      <c r="H241" s="152">
        <v>1567.31</v>
      </c>
      <c r="I241" s="236">
        <v>0</v>
      </c>
      <c r="J241" s="236">
        <v>0</v>
      </c>
      <c r="K241" s="236">
        <v>0</v>
      </c>
      <c r="L241" s="236">
        <v>2</v>
      </c>
      <c r="M241" s="236">
        <v>5142.3499999999985</v>
      </c>
      <c r="N241" s="155">
        <v>0</v>
      </c>
      <c r="O241" s="156">
        <f t="shared" si="46"/>
      </c>
      <c r="P241" s="155">
        <v>0</v>
      </c>
      <c r="Q241" s="156">
        <f t="shared" si="236"/>
      </c>
      <c r="R241" s="244">
        <f t="shared" si="94"/>
      </c>
      <c r="S241" s="237">
        <f t="shared" si="148"/>
      </c>
      <c r="T241" s="159">
        <f t="shared" si="234"/>
      </c>
      <c r="U241" s="159">
        <f t="shared" si="2"/>
      </c>
      <c r="V241" s="169">
        <f t="shared" si="0"/>
      </c>
      <c r="W241" s="155">
        <v>2</v>
      </c>
      <c r="X241" s="169">
        <f t="shared" si="6"/>
      </c>
      <c r="Y241" s="169">
        <f t="shared" si="4"/>
      </c>
      <c r="Z241" s="159">
        <f t="shared" si="232"/>
      </c>
      <c r="AA241" s="159">
        <f t="shared" si="47"/>
      </c>
      <c r="AB241" s="159">
        <f t="shared" si="237"/>
      </c>
      <c r="AC241" s="156">
        <f t="shared" si="235"/>
      </c>
      <c r="AD241" s="156">
        <f t="shared" si="3"/>
      </c>
      <c r="AE241" s="156">
        <f t="shared" si="1"/>
      </c>
      <c r="AF241" s="156">
        <f t="shared" si="7"/>
      </c>
      <c r="AG241" s="156">
        <f t="shared" si="5"/>
      </c>
      <c r="AH241" s="156">
        <f t="shared" si="233"/>
      </c>
      <c r="AI241" s="156">
        <f t="shared" si="48"/>
      </c>
      <c r="AJ241" s="155">
        <v>57</v>
      </c>
      <c r="AK241" s="160">
        <v>29182</v>
      </c>
      <c r="AL241" s="160">
        <v>646</v>
      </c>
      <c r="AM241" s="160">
        <v>786</v>
      </c>
      <c r="AN241" s="160">
        <v>116</v>
      </c>
      <c r="AO241" s="149">
        <v>27</v>
      </c>
      <c r="AP241" s="160">
        <v>86</v>
      </c>
      <c r="AQ241" s="150">
        <v>96</v>
      </c>
      <c r="AR241" s="149">
        <v>2</v>
      </c>
      <c r="AS241" s="160">
        <v>8</v>
      </c>
      <c r="AT241" s="160">
        <v>0</v>
      </c>
      <c r="AU241" s="155">
        <v>4</v>
      </c>
      <c r="AV241" s="207"/>
      <c r="AW241" s="165"/>
      <c r="AX241" s="197">
        <f t="shared" si="285"/>
      </c>
    </row>
    <row customHeight="true" ht="16.071428571428573" r="242">
      <c r="A242" s="234"/>
      <c r="B242" s="171" t="s">
        <v>162</v>
      </c>
      <c r="C242" s="171"/>
      <c r="D242" s="171"/>
      <c r="E242" s="171"/>
      <c r="F242" s="173">
        <f>SUM(F238:F241)</f>
      </c>
      <c r="G242" s="173">
        <f>SUM(G238:G241)</f>
      </c>
      <c r="H242" s="173">
        <f>SUM(H238:H241)</f>
      </c>
      <c r="I242" s="173">
        <f>SUM(I238:I241)</f>
      </c>
      <c r="J242" s="173">
        <f>SUM(J238:J241)</f>
      </c>
      <c r="K242" s="173">
        <f>SUM(K238:K241)</f>
      </c>
      <c r="L242" s="173">
        <f>SUM(L238:L241)</f>
      </c>
      <c r="M242" s="173">
        <f>SUM(M238:M241)</f>
      </c>
      <c r="N242" s="173">
        <f>SUM(N238:N241)</f>
      </c>
      <c r="O242" s="175">
        <f t="shared" si="46"/>
      </c>
      <c r="P242" s="173">
        <f>SUM(P238:P241)</f>
      </c>
      <c r="Q242" s="175">
        <f t="shared" si="236"/>
      </c>
      <c r="R242" s="178">
        <f>SUM(R238:R241)</f>
      </c>
      <c r="S242" s="173">
        <f>SUM(S238:S241)</f>
      </c>
      <c r="T242" s="173">
        <f t="shared" si="234"/>
      </c>
      <c r="U242" s="173">
        <f t="shared" si="2"/>
      </c>
      <c r="V242" s="194">
        <f t="shared" si="0"/>
      </c>
      <c r="W242" s="173">
        <f>SUM(W238:W241)</f>
      </c>
      <c r="X242" s="194">
        <f t="shared" si="6"/>
      </c>
      <c r="Y242" s="194">
        <f t="shared" si="4"/>
      </c>
      <c r="Z242" s="173">
        <f t="shared" si="232"/>
      </c>
      <c r="AA242" s="173">
        <f t="shared" si="47"/>
      </c>
      <c r="AB242" s="238">
        <f t="shared" si="237"/>
      </c>
      <c r="AC242" s="175">
        <f t="shared" si="235"/>
      </c>
      <c r="AD242" s="175">
        <f t="shared" si="3"/>
      </c>
      <c r="AE242" s="175">
        <f t="shared" si="1"/>
      </c>
      <c r="AF242" s="239">
        <f t="shared" si="7"/>
      </c>
      <c r="AG242" s="175">
        <f t="shared" si="5"/>
      </c>
      <c r="AH242" s="175">
        <f t="shared" si="233"/>
      </c>
      <c r="AI242" s="175">
        <f t="shared" si="48"/>
      </c>
      <c r="AJ242" s="178">
        <f>AVERAGE(AJ238:AJ241)</f>
      </c>
      <c r="AK242" s="173">
        <f>SUM(AK238:AK241)</f>
      </c>
      <c r="AL242" s="173">
        <f>SUM(AL238:AL241)</f>
      </c>
      <c r="AM242" s="173">
        <f>SUM(AM238:AM241)</f>
      </c>
      <c r="AN242" s="173">
        <f>SUM(AN238:AN241)</f>
      </c>
      <c r="AO242" s="173">
        <f>SUM(AO238:AO241)</f>
      </c>
      <c r="AP242" s="173">
        <f>SUM(AP238:AP241)</f>
      </c>
      <c r="AQ242" s="173">
        <f>SUM(AQ238:AQ241)</f>
      </c>
      <c r="AR242" s="173">
        <f>SUM(AR238:AR241)</f>
      </c>
      <c r="AS242" s="173">
        <f>SUM(AS238:AS241)</f>
      </c>
      <c r="AT242" s="173">
        <f>SUM(AT238:AT241)</f>
      </c>
      <c r="AU242" s="173">
        <f>SUM(AU238:AU241)</f>
      </c>
      <c r="AV242" s="207"/>
      <c r="AW242" s="180"/>
      <c r="AX242" s="181">
        <f>SUM(AX238:AX241)</f>
      </c>
    </row>
    <row customHeight="true" ht="16.071428571428573" r="243">
      <c r="A243" s="234"/>
      <c r="B243" s="149" t="s">
        <v>156</v>
      </c>
      <c r="C243" s="150" t="s">
        <v>157</v>
      </c>
      <c r="D243" s="149" t="s">
        <v>180</v>
      </c>
      <c r="E243" s="150" t="s">
        <v>165</v>
      </c>
      <c r="F243" s="159">
        <f t="shared" ref="F243:F246" si="205">G243+H243+I243</f>
      </c>
      <c r="G243" s="152">
        <v>2698.23</v>
      </c>
      <c r="H243" s="152">
        <v>1694.09</v>
      </c>
      <c r="I243" s="236">
        <v>0</v>
      </c>
      <c r="J243" s="236">
        <v>0</v>
      </c>
      <c r="K243" s="236">
        <v>0</v>
      </c>
      <c r="L243" s="236">
        <v>4</v>
      </c>
      <c r="M243" s="236">
        <v>9085.900000000001</v>
      </c>
      <c r="N243" s="155">
        <v>3</v>
      </c>
      <c r="O243" s="156">
        <f t="shared" si="46"/>
      </c>
      <c r="P243" s="155">
        <v>0</v>
      </c>
      <c r="Q243" s="156">
        <f t="shared" si="236"/>
      </c>
      <c r="R243" s="244">
        <f t="shared" ref="R243:R246" si="95">L243+J243</f>
      </c>
      <c r="S243" s="237">
        <f t="shared" ref="S243:S246" si="149">M243+K243</f>
      </c>
      <c r="T243" s="159">
        <f t="shared" si="234"/>
      </c>
      <c r="U243" s="159">
        <f t="shared" si="2"/>
      </c>
      <c r="V243" s="169">
        <f t="shared" si="0"/>
      </c>
      <c r="W243" s="155">
        <v>4</v>
      </c>
      <c r="X243" s="169">
        <f t="shared" si="6"/>
      </c>
      <c r="Y243" s="169">
        <f t="shared" si="4"/>
      </c>
      <c r="Z243" s="159">
        <f t="shared" si="232"/>
      </c>
      <c r="AA243" s="159">
        <f t="shared" si="47"/>
      </c>
      <c r="AB243" s="159">
        <f t="shared" si="237"/>
      </c>
      <c r="AC243" s="156">
        <f t="shared" si="235"/>
      </c>
      <c r="AD243" s="156">
        <f t="shared" si="3"/>
      </c>
      <c r="AE243" s="156">
        <f t="shared" si="1"/>
      </c>
      <c r="AF243" s="156">
        <f t="shared" si="7"/>
      </c>
      <c r="AG243" s="156">
        <f t="shared" si="5"/>
      </c>
      <c r="AH243" s="156">
        <f t="shared" si="233"/>
      </c>
      <c r="AI243" s="156">
        <f t="shared" si="48"/>
      </c>
      <c r="AJ243" s="155">
        <v>59</v>
      </c>
      <c r="AK243" s="160">
        <v>24038</v>
      </c>
      <c r="AL243" s="160">
        <v>622</v>
      </c>
      <c r="AM243" s="160">
        <v>818</v>
      </c>
      <c r="AN243" s="160">
        <v>41</v>
      </c>
      <c r="AO243" s="149">
        <v>13</v>
      </c>
      <c r="AP243" s="160">
        <v>154</v>
      </c>
      <c r="AQ243" s="150">
        <v>115</v>
      </c>
      <c r="AR243" s="149">
        <v>5</v>
      </c>
      <c r="AS243" s="149">
        <v>12</v>
      </c>
      <c r="AT243" s="155">
        <v>0</v>
      </c>
      <c r="AU243" s="155">
        <v>1</v>
      </c>
      <c r="AV243" s="207"/>
      <c r="AW243" s="165"/>
      <c r="AX243" s="197">
        <f t="shared" ref="AX243:AX246" si="286">COUNT(AU243)</f>
      </c>
    </row>
    <row customHeight="true" ht="16.071428571428573" r="244">
      <c r="A244" s="234"/>
      <c r="B244" s="149" t="s">
        <v>156</v>
      </c>
      <c r="C244" s="150" t="s">
        <v>157</v>
      </c>
      <c r="D244" s="149" t="s">
        <v>180</v>
      </c>
      <c r="E244" s="150" t="s">
        <v>168</v>
      </c>
      <c r="F244" s="159">
        <f t="shared" si="205"/>
      </c>
      <c r="G244" s="152">
        <v>2998.46</v>
      </c>
      <c r="H244" s="152">
        <v>887.4</v>
      </c>
      <c r="I244" s="236">
        <v>0</v>
      </c>
      <c r="J244" s="236">
        <v>0</v>
      </c>
      <c r="K244" s="236">
        <v>0</v>
      </c>
      <c r="L244" s="236">
        <v>2</v>
      </c>
      <c r="M244" s="236">
        <v>4379.110000000001</v>
      </c>
      <c r="N244" s="155">
        <v>1</v>
      </c>
      <c r="O244" s="156">
        <f t="shared" si="46"/>
      </c>
      <c r="P244" s="155">
        <v>1</v>
      </c>
      <c r="Q244" s="156">
        <f t="shared" si="236"/>
      </c>
      <c r="R244" s="244">
        <f t="shared" si="95"/>
      </c>
      <c r="S244" s="237">
        <f t="shared" si="149"/>
      </c>
      <c r="T244" s="159">
        <f t="shared" si="234"/>
      </c>
      <c r="U244" s="159">
        <f t="shared" si="2"/>
      </c>
      <c r="V244" s="169">
        <f t="shared" si="0"/>
      </c>
      <c r="W244" s="155">
        <v>1</v>
      </c>
      <c r="X244" s="169">
        <f t="shared" si="6"/>
      </c>
      <c r="Y244" s="169">
        <f t="shared" si="4"/>
      </c>
      <c r="Z244" s="159">
        <f t="shared" si="232"/>
      </c>
      <c r="AA244" s="159">
        <f t="shared" si="47"/>
      </c>
      <c r="AB244" s="159">
        <f t="shared" si="237"/>
      </c>
      <c r="AC244" s="156">
        <f t="shared" si="235"/>
      </c>
      <c r="AD244" s="156">
        <f t="shared" si="3"/>
      </c>
      <c r="AE244" s="156">
        <f t="shared" si="1"/>
      </c>
      <c r="AF244" s="156">
        <f t="shared" si="7"/>
      </c>
      <c r="AG244" s="156">
        <f t="shared" si="5"/>
      </c>
      <c r="AH244" s="156">
        <f t="shared" si="233"/>
      </c>
      <c r="AI244" s="156">
        <f t="shared" si="48"/>
      </c>
      <c r="AJ244" s="155">
        <v>60</v>
      </c>
      <c r="AK244" s="160">
        <v>29313</v>
      </c>
      <c r="AL244" s="160">
        <v>708</v>
      </c>
      <c r="AM244" s="160">
        <v>865</v>
      </c>
      <c r="AN244" s="160">
        <v>69</v>
      </c>
      <c r="AO244" s="149">
        <v>29</v>
      </c>
      <c r="AP244" s="160">
        <v>128</v>
      </c>
      <c r="AQ244" s="150">
        <v>113</v>
      </c>
      <c r="AR244" s="149">
        <v>4</v>
      </c>
      <c r="AS244" s="149">
        <v>11</v>
      </c>
      <c r="AT244" s="160">
        <v>2</v>
      </c>
      <c r="AU244" s="160">
        <v>1</v>
      </c>
      <c r="AV244" s="207"/>
      <c r="AW244" s="165"/>
      <c r="AX244" s="197">
        <f t="shared" si="286"/>
      </c>
    </row>
    <row customHeight="true" ht="16.071428571428573" r="245">
      <c r="A245" s="234"/>
      <c r="B245" s="149" t="s">
        <v>156</v>
      </c>
      <c r="C245" s="150" t="s">
        <v>157</v>
      </c>
      <c r="D245" s="149" t="s">
        <v>180</v>
      </c>
      <c r="E245" s="150" t="s">
        <v>171</v>
      </c>
      <c r="F245" s="159">
        <f t="shared" si="205"/>
      </c>
      <c r="G245" s="152">
        <v>2277.98</v>
      </c>
      <c r="H245" s="152">
        <v>1322.05</v>
      </c>
      <c r="I245" s="236">
        <v>0</v>
      </c>
      <c r="J245" s="236">
        <v>0</v>
      </c>
      <c r="K245" s="236">
        <v>0</v>
      </c>
      <c r="L245" s="236">
        <v>3</v>
      </c>
      <c r="M245" s="236">
        <v>9769.739999999998</v>
      </c>
      <c r="N245" s="155">
        <v>2</v>
      </c>
      <c r="O245" s="156">
        <f t="shared" si="46"/>
      </c>
      <c r="P245" s="155">
        <v>0</v>
      </c>
      <c r="Q245" s="156">
        <f t="shared" si="236"/>
      </c>
      <c r="R245" s="244">
        <f t="shared" si="95"/>
      </c>
      <c r="S245" s="237">
        <f t="shared" si="149"/>
      </c>
      <c r="T245" s="159">
        <f t="shared" si="234"/>
      </c>
      <c r="U245" s="159">
        <f t="shared" si="2"/>
      </c>
      <c r="V245" s="169">
        <f t="shared" si="0"/>
      </c>
      <c r="W245" s="155">
        <v>2</v>
      </c>
      <c r="X245" s="169">
        <f t="shared" si="6"/>
      </c>
      <c r="Y245" s="169">
        <f t="shared" si="4"/>
      </c>
      <c r="Z245" s="159">
        <f t="shared" si="232"/>
      </c>
      <c r="AA245" s="159">
        <f t="shared" si="47"/>
      </c>
      <c r="AB245" s="159">
        <f t="shared" si="237"/>
      </c>
      <c r="AC245" s="156">
        <f t="shared" si="235"/>
      </c>
      <c r="AD245" s="156">
        <f t="shared" si="3"/>
      </c>
      <c r="AE245" s="156">
        <f t="shared" si="1"/>
      </c>
      <c r="AF245" s="156">
        <f t="shared" si="7"/>
      </c>
      <c r="AG245" s="156">
        <f t="shared" si="5"/>
      </c>
      <c r="AH245" s="156">
        <f t="shared" si="233"/>
      </c>
      <c r="AI245" s="156">
        <f t="shared" si="48"/>
      </c>
      <c r="AJ245" s="155">
        <v>60</v>
      </c>
      <c r="AK245" s="160">
        <v>25912</v>
      </c>
      <c r="AL245" s="160">
        <v>709</v>
      </c>
      <c r="AM245" s="160">
        <v>807</v>
      </c>
      <c r="AN245" s="160">
        <v>141</v>
      </c>
      <c r="AO245" s="149">
        <v>46</v>
      </c>
      <c r="AP245" s="160">
        <v>121</v>
      </c>
      <c r="AQ245" s="150">
        <v>85</v>
      </c>
      <c r="AR245" s="149">
        <v>3</v>
      </c>
      <c r="AS245" s="155">
        <v>5</v>
      </c>
      <c r="AT245" s="160">
        <v>0</v>
      </c>
      <c r="AU245" s="155">
        <v>6</v>
      </c>
      <c r="AV245" s="207"/>
      <c r="AW245" s="165"/>
      <c r="AX245" s="197">
        <f t="shared" si="286"/>
      </c>
    </row>
    <row customHeight="true" ht="16.071428571428573" r="246">
      <c r="A246" s="234"/>
      <c r="B246" s="149" t="s">
        <v>156</v>
      </c>
      <c r="C246" s="150" t="s">
        <v>157</v>
      </c>
      <c r="D246" s="149" t="s">
        <v>180</v>
      </c>
      <c r="E246" s="150" t="s">
        <v>172</v>
      </c>
      <c r="F246" s="246">
        <f t="shared" si="205"/>
      </c>
      <c r="G246" s="247">
        <f>1854.78+1.85+0.01</f>
      </c>
      <c r="H246" s="247">
        <f>801.7+1.69+0.04</f>
      </c>
      <c r="I246" s="236">
        <v>0</v>
      </c>
      <c r="J246" s="236">
        <v>1</v>
      </c>
      <c r="K246" s="236">
        <v>751.5499999999993</v>
      </c>
      <c r="L246" s="236">
        <v>4</v>
      </c>
      <c r="M246" s="236">
        <v>5422.029999999999</v>
      </c>
      <c r="N246" s="155">
        <v>3</v>
      </c>
      <c r="O246" s="156">
        <f t="shared" si="46"/>
      </c>
      <c r="P246" s="155">
        <v>0</v>
      </c>
      <c r="Q246" s="156">
        <f t="shared" si="236"/>
      </c>
      <c r="R246" s="244">
        <f t="shared" si="95"/>
      </c>
      <c r="S246" s="237">
        <f t="shared" si="149"/>
      </c>
      <c r="T246" s="159">
        <f t="shared" si="234"/>
      </c>
      <c r="U246" s="159">
        <f t="shared" si="2"/>
      </c>
      <c r="V246" s="169">
        <f t="shared" si="0"/>
      </c>
      <c r="W246" s="155">
        <v>3</v>
      </c>
      <c r="X246" s="169">
        <f t="shared" si="6"/>
      </c>
      <c r="Y246" s="169">
        <f t="shared" si="4"/>
      </c>
      <c r="Z246" s="159">
        <f t="shared" si="232"/>
      </c>
      <c r="AA246" s="159">
        <f t="shared" si="47"/>
      </c>
      <c r="AB246" s="159">
        <f t="shared" si="237"/>
      </c>
      <c r="AC246" s="156">
        <f t="shared" si="235"/>
      </c>
      <c r="AD246" s="156">
        <f t="shared" si="3"/>
      </c>
      <c r="AE246" s="156">
        <f t="shared" si="1"/>
      </c>
      <c r="AF246" s="156">
        <f t="shared" si="7"/>
      </c>
      <c r="AG246" s="156">
        <f t="shared" si="5"/>
      </c>
      <c r="AH246" s="156">
        <f t="shared" si="233"/>
      </c>
      <c r="AI246" s="156">
        <f t="shared" si="48"/>
      </c>
      <c r="AJ246" s="155">
        <v>61</v>
      </c>
      <c r="AK246" s="160">
        <v>20959</v>
      </c>
      <c r="AL246" s="160">
        <v>777</v>
      </c>
      <c r="AM246" s="160">
        <v>940</v>
      </c>
      <c r="AN246" s="160">
        <v>96</v>
      </c>
      <c r="AO246" s="149">
        <v>34</v>
      </c>
      <c r="AP246" s="160">
        <v>99</v>
      </c>
      <c r="AQ246" s="150">
        <v>99</v>
      </c>
      <c r="AR246" s="149">
        <v>6</v>
      </c>
      <c r="AS246" s="160">
        <v>7</v>
      </c>
      <c r="AT246" s="160">
        <v>0</v>
      </c>
      <c r="AU246" s="155">
        <v>0</v>
      </c>
      <c r="AV246" s="207"/>
      <c r="AW246" s="165"/>
      <c r="AX246" s="197">
        <f t="shared" si="286"/>
      </c>
    </row>
    <row customHeight="true" ht="16.071428571428573" r="247">
      <c r="A247" s="234"/>
      <c r="B247" s="171" t="s">
        <v>162</v>
      </c>
      <c r="C247" s="171"/>
      <c r="D247" s="171"/>
      <c r="E247" s="171"/>
      <c r="F247" s="173">
        <f>SUM(F243:F246)</f>
      </c>
      <c r="G247" s="173">
        <f>SUM(G243:G246)</f>
      </c>
      <c r="H247" s="173">
        <f>SUM(H243:H246)</f>
      </c>
      <c r="I247" s="173">
        <f>SUM(I243:I246)</f>
      </c>
      <c r="J247" s="173">
        <f>SUM(J243:J246)</f>
      </c>
      <c r="K247" s="173">
        <f>SUM(K243:K246)</f>
      </c>
      <c r="L247" s="173">
        <f>SUM(L243:L246)</f>
      </c>
      <c r="M247" s="173">
        <f>SUM(M243:M246)</f>
      </c>
      <c r="N247" s="173">
        <f>SUM(N243:N246)</f>
      </c>
      <c r="O247" s="175">
        <f t="shared" si="46"/>
      </c>
      <c r="P247" s="173">
        <f>SUM(P243:P246)</f>
      </c>
      <c r="Q247" s="175">
        <f t="shared" si="236"/>
      </c>
      <c r="R247" s="178">
        <f>SUM(R243:R246)</f>
      </c>
      <c r="S247" s="173">
        <f>SUM(S243:S246)</f>
      </c>
      <c r="T247" s="173">
        <f t="shared" si="234"/>
      </c>
      <c r="U247" s="173">
        <f t="shared" si="2"/>
      </c>
      <c r="V247" s="194">
        <f t="shared" si="0"/>
      </c>
      <c r="W247" s="173">
        <f>SUM(W243:W246)</f>
      </c>
      <c r="X247" s="194">
        <f t="shared" si="6"/>
      </c>
      <c r="Y247" s="194">
        <f t="shared" si="4"/>
      </c>
      <c r="Z247" s="173">
        <f t="shared" si="232"/>
      </c>
      <c r="AA247" s="173">
        <f t="shared" si="47"/>
      </c>
      <c r="AB247" s="238">
        <f t="shared" si="237"/>
      </c>
      <c r="AC247" s="175">
        <f t="shared" si="235"/>
      </c>
      <c r="AD247" s="175">
        <f t="shared" si="3"/>
      </c>
      <c r="AE247" s="175">
        <f t="shared" si="1"/>
      </c>
      <c r="AF247" s="245">
        <f t="shared" si="7"/>
      </c>
      <c r="AG247" s="175">
        <f t="shared" si="5"/>
      </c>
      <c r="AH247" s="175">
        <f t="shared" si="233"/>
      </c>
      <c r="AI247" s="175">
        <f t="shared" si="48"/>
      </c>
      <c r="AJ247" s="178">
        <f>AVERAGE(AJ243:AJ246)</f>
      </c>
      <c r="AK247" s="173">
        <f>SUM(AK243:AK246)</f>
      </c>
      <c r="AL247" s="173">
        <f>SUM(AL243:AL246)</f>
      </c>
      <c r="AM247" s="173">
        <f>SUM(AM243:AM246)</f>
      </c>
      <c r="AN247" s="173">
        <f>SUM(AN243:AN246)</f>
      </c>
      <c r="AO247" s="173">
        <f>SUM(AO243:AO246)</f>
      </c>
      <c r="AP247" s="173">
        <f>SUM(AP243:AP246)</f>
      </c>
      <c r="AQ247" s="173">
        <f>SUM(AQ243:AQ246)</f>
      </c>
      <c r="AR247" s="173">
        <f>SUM(AR243:AR246)</f>
      </c>
      <c r="AS247" s="173">
        <f>SUM(AS243:AS246)</f>
      </c>
      <c r="AT247" s="173">
        <f>SUM(AT243:AT246)</f>
      </c>
      <c r="AU247" s="173">
        <f>SUM(AU243:AU246)</f>
      </c>
      <c r="AV247" s="207"/>
      <c r="AW247" s="180"/>
      <c r="AX247" s="181">
        <f>SUM(AX243:AX246)</f>
      </c>
    </row>
    <row customHeight="true" ht="16.071428571428573" r="248">
      <c r="A248" s="234"/>
      <c r="B248" s="184" t="s">
        <v>166</v>
      </c>
      <c r="C248" s="184"/>
      <c r="D248" s="184"/>
      <c r="E248" s="184"/>
      <c r="F248" s="185">
        <f>F237+F242+F247</f>
      </c>
      <c r="G248" s="185">
        <f>G237+G242+G247</f>
      </c>
      <c r="H248" s="185">
        <f>H237+H242+H247</f>
      </c>
      <c r="I248" s="184">
        <f>I237+I242+I247</f>
      </c>
      <c r="J248" s="184">
        <f>J237+J242+J247</f>
      </c>
      <c r="K248" s="184">
        <f>K237+K242+K247</f>
      </c>
      <c r="L248" s="184">
        <f>L237+L242+L247</f>
      </c>
      <c r="M248" s="184">
        <f>M237+M242+M247</f>
      </c>
      <c r="N248" s="184">
        <f>N237+N242+N247</f>
      </c>
      <c r="O248" s="186">
        <f t="shared" si="46"/>
      </c>
      <c r="P248" s="184">
        <f>P237+P242+P247</f>
      </c>
      <c r="Q248" s="186">
        <f t="shared" si="236"/>
      </c>
      <c r="R248" s="190">
        <f>R237+R242+R247</f>
      </c>
      <c r="S248" s="185">
        <f>S237+S242+S247</f>
      </c>
      <c r="T248" s="185">
        <f t="shared" si="234"/>
      </c>
      <c r="U248" s="185">
        <f t="shared" si="2"/>
      </c>
      <c r="V248" s="187">
        <f t="shared" si="0"/>
      </c>
      <c r="W248" s="184">
        <f>W237+W242+W247</f>
      </c>
      <c r="X248" s="187">
        <f t="shared" si="6"/>
      </c>
      <c r="Y248" s="187">
        <f t="shared" si="4"/>
      </c>
      <c r="Z248" s="185">
        <f t="shared" si="232"/>
      </c>
      <c r="AA248" s="185">
        <f t="shared" si="47"/>
      </c>
      <c r="AB248" s="189">
        <f t="shared" si="237"/>
      </c>
      <c r="AC248" s="186">
        <f t="shared" si="235"/>
      </c>
      <c r="AD248" s="186">
        <f t="shared" si="3"/>
      </c>
      <c r="AE248" s="186">
        <f t="shared" si="1"/>
      </c>
      <c r="AF248" s="241">
        <f t="shared" si="7"/>
      </c>
      <c r="AG248" s="186">
        <f t="shared" si="5"/>
      </c>
      <c r="AH248" s="186">
        <f t="shared" si="233"/>
      </c>
      <c r="AI248" s="186">
        <f t="shared" si="48"/>
      </c>
      <c r="AJ248" s="190">
        <f>(AJ237+AJ242+AJ247)/3</f>
      </c>
      <c r="AK248" s="184">
        <f>AK237+AK242+AK247</f>
      </c>
      <c r="AL248" s="184">
        <f>AL237+AL242+AL247</f>
      </c>
      <c r="AM248" s="184">
        <f>AM237+AM242+AM247</f>
      </c>
      <c r="AN248" s="184">
        <f>AN237+AN242+AN247</f>
      </c>
      <c r="AO248" s="184">
        <f>AO237+AO242+AO247</f>
      </c>
      <c r="AP248" s="184">
        <f>AP237+AP242+AP247</f>
      </c>
      <c r="AQ248" s="184">
        <f>AQ237+AQ242+AQ247</f>
      </c>
      <c r="AR248" s="184">
        <f>AR237+AR242+AR247</f>
      </c>
      <c r="AS248" s="184">
        <f>AS237+AS242+AS247</f>
      </c>
      <c r="AT248" s="184">
        <f>AT237+AT242+AT247</f>
      </c>
      <c r="AU248" s="184">
        <f>AU237+AU242+AU247</f>
      </c>
      <c r="AV248" s="207"/>
      <c r="AW248" s="184">
        <f>AW237+AW242+AW247</f>
      </c>
      <c r="AX248" s="184">
        <f>AX237+AX242+AX247</f>
      </c>
    </row>
    <row customHeight="true" ht="16.071428571428573" r="249">
      <c r="A249" s="234">
        <v>46289</v>
      </c>
      <c r="B249" s="149" t="s">
        <v>181</v>
      </c>
      <c r="C249" s="150" t="s">
        <v>157</v>
      </c>
      <c r="D249" s="149" t="s">
        <v>158</v>
      </c>
      <c r="E249" s="149" t="s">
        <v>175</v>
      </c>
      <c r="F249" s="159">
        <f t="shared" ref="F249:F252" si="206">G249+H249+I249</f>
      </c>
      <c r="G249" s="152">
        <v>2613.92</v>
      </c>
      <c r="H249" s="152">
        <v>1904.03</v>
      </c>
      <c r="I249" s="236">
        <v>0</v>
      </c>
      <c r="J249" s="236">
        <v>1</v>
      </c>
      <c r="K249" s="242">
        <v>936.7</v>
      </c>
      <c r="L249" s="236">
        <v>2</v>
      </c>
      <c r="M249" s="236">
        <v>6255.9</v>
      </c>
      <c r="N249" s="155">
        <v>0</v>
      </c>
      <c r="O249" s="156">
        <f t="shared" si="46"/>
      </c>
      <c r="P249" s="155">
        <v>0</v>
      </c>
      <c r="Q249" s="156">
        <f t="shared" si="236"/>
      </c>
      <c r="R249" s="244">
        <f t="shared" ref="R249:R252" si="96">L249+J249</f>
      </c>
      <c r="S249" s="237">
        <f t="shared" ref="S249:S252" si="150">M249+K249</f>
      </c>
      <c r="T249" s="159">
        <f t="shared" si="234"/>
      </c>
      <c r="U249" s="159">
        <f t="shared" si="2"/>
      </c>
      <c r="V249" s="160">
        <f t="shared" si="0"/>
      </c>
      <c r="W249" s="155">
        <v>3</v>
      </c>
      <c r="X249" s="169">
        <f t="shared" si="6"/>
      </c>
      <c r="Y249" s="169">
        <f t="shared" si="4"/>
      </c>
      <c r="Z249" s="159">
        <f t="shared" si="232"/>
      </c>
      <c r="AA249" s="159">
        <f t="shared" si="47"/>
      </c>
      <c r="AB249" s="159">
        <f t="shared" si="237"/>
      </c>
      <c r="AC249" s="156">
        <f t="shared" si="235"/>
      </c>
      <c r="AD249" s="156">
        <f t="shared" si="3"/>
      </c>
      <c r="AE249" s="156">
        <f t="shared" si="1"/>
      </c>
      <c r="AF249" s="156">
        <f t="shared" si="7"/>
      </c>
      <c r="AG249" s="156">
        <f t="shared" si="5"/>
      </c>
      <c r="AH249" s="156">
        <f t="shared" si="233"/>
      </c>
      <c r="AI249" s="156">
        <f t="shared" si="48"/>
      </c>
      <c r="AJ249" s="155">
        <v>53</v>
      </c>
      <c r="AK249" s="160">
        <v>21729</v>
      </c>
      <c r="AL249" s="160">
        <v>713</v>
      </c>
      <c r="AM249" s="160">
        <v>858</v>
      </c>
      <c r="AN249" s="160">
        <v>88</v>
      </c>
      <c r="AO249" s="149">
        <v>27</v>
      </c>
      <c r="AP249" s="149">
        <v>68</v>
      </c>
      <c r="AQ249" s="150">
        <v>111</v>
      </c>
      <c r="AR249" s="149">
        <v>4</v>
      </c>
      <c r="AS249" s="149">
        <v>6</v>
      </c>
      <c r="AT249" s="160">
        <v>0</v>
      </c>
      <c r="AU249" s="160">
        <v>5</v>
      </c>
      <c r="AV249" s="207"/>
      <c r="AW249" s="165"/>
      <c r="AX249" s="197">
        <f t="shared" ref="AX249:AX252" si="287">COUNT(AU249)</f>
      </c>
    </row>
    <row customHeight="true" ht="16.071428571428573" r="250">
      <c r="A250" s="234"/>
      <c r="B250" s="149" t="s">
        <v>181</v>
      </c>
      <c r="C250" s="150" t="s">
        <v>157</v>
      </c>
      <c r="D250" s="149" t="s">
        <v>158</v>
      </c>
      <c r="E250" s="149" t="s">
        <v>176</v>
      </c>
      <c r="F250" s="159">
        <f t="shared" si="206"/>
      </c>
      <c r="G250" s="152">
        <v>2068.75</v>
      </c>
      <c r="H250" s="152">
        <v>1276.91</v>
      </c>
      <c r="I250" s="236">
        <v>0</v>
      </c>
      <c r="J250" s="236">
        <v>0</v>
      </c>
      <c r="K250" s="236">
        <v>0</v>
      </c>
      <c r="L250" s="236">
        <v>4</v>
      </c>
      <c r="M250" s="236">
        <v>10987.85</v>
      </c>
      <c r="N250" s="155">
        <v>0</v>
      </c>
      <c r="O250" s="156">
        <f t="shared" si="46"/>
      </c>
      <c r="P250" s="155">
        <v>0</v>
      </c>
      <c r="Q250" s="156">
        <f t="shared" si="236"/>
      </c>
      <c r="R250" s="244">
        <f t="shared" si="96"/>
      </c>
      <c r="S250" s="237">
        <f t="shared" si="150"/>
      </c>
      <c r="T250" s="159">
        <f t="shared" si="234"/>
      </c>
      <c r="U250" s="159">
        <f t="shared" si="2"/>
      </c>
      <c r="V250" s="160">
        <f t="shared" si="0"/>
      </c>
      <c r="W250" s="155">
        <v>2</v>
      </c>
      <c r="X250" s="169">
        <f t="shared" si="6"/>
      </c>
      <c r="Y250" s="169">
        <f t="shared" si="4"/>
      </c>
      <c r="Z250" s="159">
        <f t="shared" si="232"/>
      </c>
      <c r="AA250" s="159">
        <f t="shared" si="47"/>
      </c>
      <c r="AB250" s="159">
        <f t="shared" si="237"/>
      </c>
      <c r="AC250" s="156">
        <f t="shared" si="235"/>
      </c>
      <c r="AD250" s="156">
        <f t="shared" si="3"/>
      </c>
      <c r="AE250" s="156">
        <f t="shared" si="1"/>
      </c>
      <c r="AF250" s="156">
        <f t="shared" si="7"/>
      </c>
      <c r="AG250" s="156">
        <f t="shared" si="5"/>
      </c>
      <c r="AH250" s="156">
        <f t="shared" si="233"/>
      </c>
      <c r="AI250" s="156">
        <f t="shared" si="48"/>
      </c>
      <c r="AJ250" s="155">
        <v>58</v>
      </c>
      <c r="AK250" s="160">
        <v>16368</v>
      </c>
      <c r="AL250" s="160">
        <v>428</v>
      </c>
      <c r="AM250" s="160">
        <v>541</v>
      </c>
      <c r="AN250" s="160">
        <v>76</v>
      </c>
      <c r="AO250" s="149">
        <v>30</v>
      </c>
      <c r="AP250" s="160">
        <v>91</v>
      </c>
      <c r="AQ250" s="150">
        <v>76</v>
      </c>
      <c r="AR250" s="149">
        <v>4</v>
      </c>
      <c r="AS250" s="155">
        <v>7</v>
      </c>
      <c r="AT250" s="155">
        <v>0</v>
      </c>
      <c r="AU250" s="155">
        <v>4</v>
      </c>
      <c r="AV250" s="207"/>
      <c r="AW250" s="165"/>
      <c r="AX250" s="197">
        <f t="shared" si="287"/>
      </c>
    </row>
    <row customHeight="true" ht="16.071428571428573" r="251">
      <c r="A251" s="234"/>
      <c r="B251" s="149" t="s">
        <v>181</v>
      </c>
      <c r="C251" s="150" t="s">
        <v>157</v>
      </c>
      <c r="D251" s="149" t="s">
        <v>158</v>
      </c>
      <c r="E251" s="149" t="s">
        <v>177</v>
      </c>
      <c r="F251" s="159">
        <f t="shared" si="206"/>
      </c>
      <c r="G251" s="152">
        <v>1863.15</v>
      </c>
      <c r="H251" s="152">
        <v>865.2</v>
      </c>
      <c r="I251" s="236">
        <v>0</v>
      </c>
      <c r="J251" s="236">
        <v>0</v>
      </c>
      <c r="K251" s="236">
        <v>0</v>
      </c>
      <c r="L251" s="236">
        <v>2</v>
      </c>
      <c r="M251" s="236">
        <v>3237.1100000000006</v>
      </c>
      <c r="N251" s="155">
        <v>1</v>
      </c>
      <c r="O251" s="156">
        <f t="shared" si="46"/>
      </c>
      <c r="P251" s="155">
        <v>0</v>
      </c>
      <c r="Q251" s="156">
        <f t="shared" si="236"/>
      </c>
      <c r="R251" s="244">
        <f t="shared" si="96"/>
      </c>
      <c r="S251" s="237">
        <f t="shared" si="150"/>
      </c>
      <c r="T251" s="159">
        <f t="shared" si="234"/>
      </c>
      <c r="U251" s="159">
        <f t="shared" si="2"/>
      </c>
      <c r="V251" s="169">
        <f t="shared" si="0"/>
      </c>
      <c r="W251" s="155">
        <v>2</v>
      </c>
      <c r="X251" s="169">
        <f t="shared" si="6"/>
      </c>
      <c r="Y251" s="169">
        <f t="shared" si="4"/>
      </c>
      <c r="Z251" s="159">
        <f t="shared" si="232"/>
      </c>
      <c r="AA251" s="159">
        <f t="shared" si="47"/>
      </c>
      <c r="AB251" s="159">
        <f t="shared" si="237"/>
      </c>
      <c r="AC251" s="156">
        <f t="shared" si="235"/>
      </c>
      <c r="AD251" s="156">
        <f t="shared" si="3"/>
      </c>
      <c r="AE251" s="156">
        <f t="shared" si="1"/>
      </c>
      <c r="AF251" s="156">
        <f t="shared" si="7"/>
      </c>
      <c r="AG251" s="156">
        <f t="shared" si="5"/>
      </c>
      <c r="AH251" s="156">
        <f t="shared" si="233"/>
      </c>
      <c r="AI251" s="156">
        <f t="shared" si="48"/>
      </c>
      <c r="AJ251" s="155">
        <v>64</v>
      </c>
      <c r="AK251" s="160">
        <v>14772</v>
      </c>
      <c r="AL251" s="160">
        <v>366</v>
      </c>
      <c r="AM251" s="160">
        <v>470</v>
      </c>
      <c r="AN251" s="160">
        <v>81</v>
      </c>
      <c r="AO251" s="149">
        <v>26</v>
      </c>
      <c r="AP251" s="160">
        <v>76</v>
      </c>
      <c r="AQ251" s="150">
        <v>84</v>
      </c>
      <c r="AR251" s="149">
        <v>3</v>
      </c>
      <c r="AS251" s="160">
        <v>7</v>
      </c>
      <c r="AT251" s="160">
        <v>0</v>
      </c>
      <c r="AU251" s="160">
        <v>0</v>
      </c>
      <c r="AV251" s="207"/>
      <c r="AW251" s="165"/>
      <c r="AX251" s="197">
        <f t="shared" si="287"/>
      </c>
    </row>
    <row customHeight="true" ht="16.071428571428573" r="252">
      <c r="A252" s="234"/>
      <c r="B252" s="149" t="s">
        <v>156</v>
      </c>
      <c r="C252" s="150" t="s">
        <v>157</v>
      </c>
      <c r="D252" s="149" t="s">
        <v>158</v>
      </c>
      <c r="E252" s="149" t="s">
        <v>178</v>
      </c>
      <c r="F252" s="159">
        <f t="shared" si="206"/>
      </c>
      <c r="G252" s="152">
        <v>2340.39</v>
      </c>
      <c r="H252" s="152">
        <v>770.82</v>
      </c>
      <c r="I252" s="236">
        <v>0</v>
      </c>
      <c r="J252" s="236">
        <v>1</v>
      </c>
      <c r="K252" s="236">
        <v>986</v>
      </c>
      <c r="L252" s="236">
        <v>2</v>
      </c>
      <c r="M252" s="236">
        <v>4785.91</v>
      </c>
      <c r="N252" s="155">
        <v>1</v>
      </c>
      <c r="O252" s="156">
        <f t="shared" si="46"/>
      </c>
      <c r="P252" s="155">
        <v>0</v>
      </c>
      <c r="Q252" s="156">
        <f t="shared" si="236"/>
      </c>
      <c r="R252" s="244">
        <f t="shared" si="96"/>
      </c>
      <c r="S252" s="237">
        <f t="shared" si="150"/>
      </c>
      <c r="T252" s="159">
        <f t="shared" si="234"/>
      </c>
      <c r="U252" s="159">
        <f t="shared" si="2"/>
      </c>
      <c r="V252" s="169">
        <f t="shared" si="0"/>
      </c>
      <c r="W252" s="155">
        <v>2</v>
      </c>
      <c r="X252" s="169">
        <f t="shared" si="6"/>
      </c>
      <c r="Y252" s="169">
        <f t="shared" si="4"/>
      </c>
      <c r="Z252" s="159">
        <f t="shared" si="232"/>
      </c>
      <c r="AA252" s="159">
        <f t="shared" si="47"/>
      </c>
      <c r="AB252" s="159">
        <f t="shared" si="237"/>
      </c>
      <c r="AC252" s="156">
        <f t="shared" si="235"/>
      </c>
      <c r="AD252" s="156">
        <f t="shared" si="3"/>
      </c>
      <c r="AE252" s="156">
        <f t="shared" si="1"/>
      </c>
      <c r="AF252" s="156">
        <f t="shared" si="7"/>
      </c>
      <c r="AG252" s="156">
        <f t="shared" si="5"/>
      </c>
      <c r="AH252" s="156">
        <f t="shared" si="233"/>
      </c>
      <c r="AI252" s="156">
        <f t="shared" si="48"/>
      </c>
      <c r="AJ252" s="155">
        <v>64</v>
      </c>
      <c r="AK252" s="160">
        <v>19567</v>
      </c>
      <c r="AL252" s="160">
        <v>425</v>
      </c>
      <c r="AM252" s="160">
        <v>524</v>
      </c>
      <c r="AN252" s="160">
        <v>73</v>
      </c>
      <c r="AO252" s="149">
        <v>22</v>
      </c>
      <c r="AP252" s="155">
        <v>77</v>
      </c>
      <c r="AQ252" s="149">
        <v>71</v>
      </c>
      <c r="AR252" s="149">
        <v>5</v>
      </c>
      <c r="AS252" s="155">
        <v>7</v>
      </c>
      <c r="AT252" s="155">
        <v>0</v>
      </c>
      <c r="AU252" s="155">
        <v>2</v>
      </c>
      <c r="AV252" s="207"/>
      <c r="AW252" s="165"/>
      <c r="AX252" s="197">
        <f t="shared" si="287"/>
      </c>
    </row>
    <row customHeight="true" ht="16.071428571428573" r="253">
      <c r="A253" s="234"/>
      <c r="B253" s="171" t="s">
        <v>162</v>
      </c>
      <c r="C253" s="171"/>
      <c r="D253" s="171"/>
      <c r="E253" s="171"/>
      <c r="F253" s="173">
        <f>SUM(F249:F252)</f>
      </c>
      <c r="G253" s="173">
        <f>SUM(G249:G252)</f>
      </c>
      <c r="H253" s="173">
        <f>SUM(H249:H252)</f>
      </c>
      <c r="I253" s="173">
        <f>SUM(I249:I252)</f>
      </c>
      <c r="J253" s="173">
        <f>SUM(J249:J252)</f>
      </c>
      <c r="K253" s="173">
        <f>SUM(K249:K252)</f>
      </c>
      <c r="L253" s="173">
        <f>SUM(L249:L252)</f>
      </c>
      <c r="M253" s="173">
        <f>SUM(M249:M252)</f>
      </c>
      <c r="N253" s="173">
        <f>SUM(N249:N252)</f>
      </c>
      <c r="O253" s="175">
        <f t="shared" si="46"/>
      </c>
      <c r="P253" s="173">
        <f>SUM(P249:P252)</f>
      </c>
      <c r="Q253" s="175">
        <f t="shared" si="236"/>
      </c>
      <c r="R253" s="178">
        <f>SUM(R249:R252)</f>
      </c>
      <c r="S253" s="173">
        <f>SUM(S249:S252)</f>
      </c>
      <c r="T253" s="173">
        <f t="shared" si="234"/>
      </c>
      <c r="U253" s="173">
        <f t="shared" si="2"/>
      </c>
      <c r="V253" s="173">
        <f t="shared" si="0"/>
      </c>
      <c r="W253" s="173">
        <f>SUM(W249:W252)</f>
      </c>
      <c r="X253" s="194">
        <f t="shared" si="6"/>
      </c>
      <c r="Y253" s="194">
        <f t="shared" si="4"/>
      </c>
      <c r="Z253" s="173">
        <f t="shared" si="232"/>
      </c>
      <c r="AA253" s="173">
        <f t="shared" si="47"/>
      </c>
      <c r="AB253" s="238">
        <f t="shared" si="237"/>
      </c>
      <c r="AC253" s="175">
        <f t="shared" si="235"/>
      </c>
      <c r="AD253" s="175">
        <f t="shared" si="3"/>
      </c>
      <c r="AE253" s="175">
        <f t="shared" si="1"/>
      </c>
      <c r="AF253" s="175">
        <f t="shared" si="7"/>
      </c>
      <c r="AG253" s="175">
        <f t="shared" si="5"/>
      </c>
      <c r="AH253" s="175">
        <f t="shared" si="233"/>
      </c>
      <c r="AI253" s="175">
        <f t="shared" si="48"/>
      </c>
      <c r="AJ253" s="178">
        <f>AVERAGE(AJ249:AJ252)</f>
      </c>
      <c r="AK253" s="173">
        <f>SUM(AK249:AK252)</f>
      </c>
      <c r="AL253" s="173">
        <f>SUM(AL249:AL252)</f>
      </c>
      <c r="AM253" s="173">
        <f>SUM(AM249:AM252)</f>
      </c>
      <c r="AN253" s="173">
        <f>SUM(AN249:AN252)</f>
      </c>
      <c r="AO253" s="173">
        <f>SUM(AO249:AO252)</f>
      </c>
      <c r="AP253" s="173">
        <f>SUM(AP249:AP252)</f>
      </c>
      <c r="AQ253" s="173">
        <f>SUM(AQ249:AQ252)</f>
      </c>
      <c r="AR253" s="173">
        <f>SUM(AR249:AR252)</f>
      </c>
      <c r="AS253" s="173">
        <f>SUM(AS249:AS252)</f>
      </c>
      <c r="AT253" s="173">
        <f>SUM(AT249:AT252)</f>
      </c>
      <c r="AU253" s="173">
        <f>SUM(AU249:AU252)</f>
      </c>
      <c r="AV253" s="207"/>
      <c r="AW253" s="180"/>
      <c r="AX253" s="181">
        <f>SUM(AX249:AX252)</f>
      </c>
    </row>
    <row customHeight="true" ht="16.071428571428573" r="254">
      <c r="A254" s="234"/>
      <c r="B254" s="149" t="s">
        <v>156</v>
      </c>
      <c r="C254" s="150" t="s">
        <v>157</v>
      </c>
      <c r="D254" s="149" t="s">
        <v>169</v>
      </c>
      <c r="E254" s="150" t="s">
        <v>159</v>
      </c>
      <c r="F254" s="159">
        <f t="shared" ref="F254:F257" si="207">G254+H254+I254</f>
      </c>
      <c r="G254" s="152">
        <v>1750.92</v>
      </c>
      <c r="H254" s="152">
        <v>576.92</v>
      </c>
      <c r="I254" s="236">
        <v>0</v>
      </c>
      <c r="J254" s="236">
        <v>0</v>
      </c>
      <c r="K254" s="236">
        <v>0</v>
      </c>
      <c r="L254" s="236">
        <v>0</v>
      </c>
      <c r="M254" s="236">
        <v>0</v>
      </c>
      <c r="N254" s="155">
        <v>0</v>
      </c>
      <c r="O254" s="156">
        <f t="shared" si="46"/>
      </c>
      <c r="P254" s="155">
        <v>0</v>
      </c>
      <c r="Q254" s="156">
        <f t="shared" si="236"/>
      </c>
      <c r="R254" s="244">
        <f t="shared" ref="R254:R257" si="97">L254+J254</f>
      </c>
      <c r="S254" s="237">
        <f t="shared" ref="S254:S257" si="151">M254+K254</f>
      </c>
      <c r="T254" s="159">
        <f t="shared" si="234"/>
      </c>
      <c r="U254" s="159">
        <f t="shared" si="2"/>
      </c>
      <c r="V254" s="169">
        <f t="shared" si="0"/>
      </c>
      <c r="W254" s="155">
        <v>0</v>
      </c>
      <c r="X254" s="169">
        <f t="shared" si="6"/>
      </c>
      <c r="Y254" s="169">
        <f t="shared" si="4"/>
      </c>
      <c r="Z254" s="159">
        <f t="shared" si="232"/>
      </c>
      <c r="AA254" s="159">
        <f t="shared" si="47"/>
      </c>
      <c r="AB254" s="159">
        <f t="shared" si="237"/>
      </c>
      <c r="AC254" s="156">
        <f t="shared" si="235"/>
      </c>
      <c r="AD254" s="156">
        <f t="shared" si="3"/>
      </c>
      <c r="AE254" s="156">
        <f t="shared" si="1"/>
      </c>
      <c r="AF254" s="156">
        <f t="shared" si="7"/>
      </c>
      <c r="AG254" s="156">
        <f t="shared" si="5"/>
      </c>
      <c r="AH254" s="156">
        <f t="shared" si="233"/>
      </c>
      <c r="AI254" s="156">
        <f t="shared" si="48"/>
      </c>
      <c r="AJ254" s="155">
        <v>60</v>
      </c>
      <c r="AK254" s="160">
        <v>16260</v>
      </c>
      <c r="AL254" s="160">
        <v>376</v>
      </c>
      <c r="AM254" s="160">
        <v>454</v>
      </c>
      <c r="AN254" s="160">
        <v>53</v>
      </c>
      <c r="AO254" s="149">
        <v>13</v>
      </c>
      <c r="AP254" s="160">
        <v>26</v>
      </c>
      <c r="AQ254" s="150">
        <v>50</v>
      </c>
      <c r="AR254" s="149">
        <v>0</v>
      </c>
      <c r="AS254" s="149">
        <v>5</v>
      </c>
      <c r="AT254" s="155">
        <v>1</v>
      </c>
      <c r="AU254" s="155">
        <v>0</v>
      </c>
      <c r="AV254" s="207"/>
      <c r="AW254" s="165"/>
      <c r="AX254" s="197">
        <f t="shared" ref="AX254:AX257" si="288">COUNT(AU254)</f>
      </c>
    </row>
    <row customHeight="true" ht="16.071428571428573" r="255">
      <c r="A255" s="234"/>
      <c r="B255" s="149" t="s">
        <v>156</v>
      </c>
      <c r="C255" s="150" t="s">
        <v>157</v>
      </c>
      <c r="D255" s="149" t="s">
        <v>169</v>
      </c>
      <c r="E255" s="150" t="s">
        <v>160</v>
      </c>
      <c r="F255" s="159">
        <f t="shared" si="207"/>
      </c>
      <c r="G255" s="152">
        <v>2023.24</v>
      </c>
      <c r="H255" s="152">
        <v>606.82</v>
      </c>
      <c r="I255" s="236">
        <v>0</v>
      </c>
      <c r="J255" s="236">
        <v>1</v>
      </c>
      <c r="K255" s="236">
        <v>1354.32</v>
      </c>
      <c r="L255" s="236">
        <v>3</v>
      </c>
      <c r="M255" s="236">
        <v>7386.41</v>
      </c>
      <c r="N255" s="155">
        <v>3</v>
      </c>
      <c r="O255" s="156">
        <f t="shared" si="46"/>
      </c>
      <c r="P255" s="155">
        <v>2</v>
      </c>
      <c r="Q255" s="156">
        <f t="shared" si="236"/>
      </c>
      <c r="R255" s="244">
        <f t="shared" si="97"/>
      </c>
      <c r="S255" s="237">
        <f t="shared" si="151"/>
      </c>
      <c r="T255" s="159">
        <f t="shared" si="234"/>
      </c>
      <c r="U255" s="159">
        <f t="shared" si="2"/>
      </c>
      <c r="V255" s="169">
        <f t="shared" si="0"/>
      </c>
      <c r="W255" s="155">
        <v>2</v>
      </c>
      <c r="X255" s="169">
        <f t="shared" si="6"/>
      </c>
      <c r="Y255" s="169">
        <f t="shared" si="4"/>
      </c>
      <c r="Z255" s="159">
        <f t="shared" si="232"/>
      </c>
      <c r="AA255" s="159">
        <f t="shared" si="47"/>
      </c>
      <c r="AB255" s="159">
        <f t="shared" si="237"/>
      </c>
      <c r="AC255" s="156">
        <f t="shared" si="235"/>
      </c>
      <c r="AD255" s="156">
        <f t="shared" si="3"/>
      </c>
      <c r="AE255" s="156">
        <f t="shared" si="1"/>
      </c>
      <c r="AF255" s="156">
        <f t="shared" si="7"/>
      </c>
      <c r="AG255" s="156">
        <f t="shared" si="5"/>
      </c>
      <c r="AH255" s="156">
        <f t="shared" si="233"/>
      </c>
      <c r="AI255" s="156">
        <f t="shared" si="48"/>
      </c>
      <c r="AJ255" s="155">
        <v>58</v>
      </c>
      <c r="AK255" s="160">
        <v>16908</v>
      </c>
      <c r="AL255" s="160">
        <v>582</v>
      </c>
      <c r="AM255" s="160">
        <v>733</v>
      </c>
      <c r="AN255" s="160">
        <v>66</v>
      </c>
      <c r="AO255" s="149">
        <v>19</v>
      </c>
      <c r="AP255" s="160">
        <v>67</v>
      </c>
      <c r="AQ255" s="150">
        <v>74</v>
      </c>
      <c r="AR255" s="149">
        <v>4</v>
      </c>
      <c r="AS255" s="149">
        <v>5</v>
      </c>
      <c r="AT255" s="155">
        <v>0</v>
      </c>
      <c r="AU255" s="155">
        <v>0</v>
      </c>
      <c r="AV255" s="207"/>
      <c r="AW255" s="165"/>
      <c r="AX255" s="197">
        <f t="shared" si="288"/>
      </c>
    </row>
    <row r="256">
      <c r="A256" s="234"/>
      <c r="B256" s="149" t="s">
        <v>156</v>
      </c>
      <c r="C256" s="150" t="s">
        <v>157</v>
      </c>
      <c r="D256" s="149" t="s">
        <v>169</v>
      </c>
      <c r="E256" s="150" t="s">
        <v>161</v>
      </c>
      <c r="F256" s="159">
        <f t="shared" si="207"/>
      </c>
      <c r="G256" s="152">
        <v>2082.75</v>
      </c>
      <c r="H256" s="152">
        <v>1115.64</v>
      </c>
      <c r="I256" s="236">
        <v>0</v>
      </c>
      <c r="J256" s="236">
        <v>0</v>
      </c>
      <c r="K256" s="236">
        <v>0</v>
      </c>
      <c r="L256" s="236">
        <v>2</v>
      </c>
      <c r="M256" s="236">
        <v>10205.049999999996</v>
      </c>
      <c r="N256" s="155">
        <v>0</v>
      </c>
      <c r="O256" s="156">
        <f t="shared" si="46"/>
      </c>
      <c r="P256" s="155">
        <v>1</v>
      </c>
      <c r="Q256" s="156">
        <f t="shared" si="236"/>
      </c>
      <c r="R256" s="244">
        <f t="shared" si="97"/>
      </c>
      <c r="S256" s="237">
        <f t="shared" si="151"/>
      </c>
      <c r="T256" s="159">
        <f t="shared" si="234"/>
      </c>
      <c r="U256" s="159">
        <f t="shared" si="2"/>
      </c>
      <c r="V256" s="169">
        <f t="shared" si="0"/>
      </c>
      <c r="W256" s="155">
        <v>1</v>
      </c>
      <c r="X256" s="169">
        <f t="shared" si="6"/>
      </c>
      <c r="Y256" s="169">
        <f t="shared" si="4"/>
      </c>
      <c r="Z256" s="159">
        <f t="shared" si="232"/>
      </c>
      <c r="AA256" s="159">
        <f t="shared" si="47"/>
      </c>
      <c r="AB256" s="159">
        <f t="shared" si="237"/>
      </c>
      <c r="AC256" s="156">
        <f t="shared" si="235"/>
      </c>
      <c r="AD256" s="156">
        <f t="shared" si="3"/>
      </c>
      <c r="AE256" s="156">
        <f t="shared" si="1"/>
      </c>
      <c r="AF256" s="156">
        <f t="shared" si="7"/>
      </c>
      <c r="AG256" s="156">
        <f t="shared" si="5"/>
      </c>
      <c r="AH256" s="156">
        <f t="shared" si="233"/>
      </c>
      <c r="AI256" s="156">
        <f t="shared" si="48"/>
      </c>
      <c r="AJ256" s="155">
        <v>58</v>
      </c>
      <c r="AK256" s="160">
        <v>19004</v>
      </c>
      <c r="AL256" s="160">
        <v>653</v>
      </c>
      <c r="AM256" s="160">
        <v>832</v>
      </c>
      <c r="AN256" s="160">
        <v>84</v>
      </c>
      <c r="AO256" s="149">
        <v>20</v>
      </c>
      <c r="AP256" s="160">
        <v>61</v>
      </c>
      <c r="AQ256" s="150">
        <v>84</v>
      </c>
      <c r="AR256" s="149">
        <v>2</v>
      </c>
      <c r="AS256" s="155">
        <v>3</v>
      </c>
      <c r="AT256" s="155">
        <v>1</v>
      </c>
      <c r="AU256" s="155">
        <v>2</v>
      </c>
      <c r="AV256" s="207"/>
      <c r="AW256" s="165"/>
      <c r="AX256" s="197">
        <f t="shared" si="288"/>
      </c>
    </row>
    <row r="257">
      <c r="A257" s="234"/>
      <c r="B257" s="149" t="s">
        <v>156</v>
      </c>
      <c r="C257" s="150" t="s">
        <v>157</v>
      </c>
      <c r="D257" s="149" t="s">
        <v>169</v>
      </c>
      <c r="E257" s="150" t="s">
        <v>164</v>
      </c>
      <c r="F257" s="159">
        <f t="shared" si="207"/>
      </c>
      <c r="G257" s="152">
        <v>1541.07</v>
      </c>
      <c r="H257" s="152">
        <v>1487.36</v>
      </c>
      <c r="I257" s="236">
        <v>0</v>
      </c>
      <c r="J257" s="236">
        <v>1</v>
      </c>
      <c r="K257" s="236">
        <v>803.7000000000003</v>
      </c>
      <c r="L257" s="236">
        <v>2</v>
      </c>
      <c r="M257" s="236">
        <v>4848.800000000003</v>
      </c>
      <c r="N257" s="155">
        <v>0</v>
      </c>
      <c r="O257" s="156">
        <f t="shared" si="46"/>
      </c>
      <c r="P257" s="155">
        <v>1</v>
      </c>
      <c r="Q257" s="156">
        <f t="shared" si="236"/>
      </c>
      <c r="R257" s="244">
        <f t="shared" si="97"/>
      </c>
      <c r="S257" s="237">
        <f t="shared" si="151"/>
      </c>
      <c r="T257" s="159">
        <f t="shared" si="234"/>
      </c>
      <c r="U257" s="159">
        <f t="shared" si="2"/>
      </c>
      <c r="V257" s="169">
        <f t="shared" si="0"/>
      </c>
      <c r="W257" s="155">
        <v>1</v>
      </c>
      <c r="X257" s="169">
        <f t="shared" si="6"/>
      </c>
      <c r="Y257" s="169">
        <f t="shared" si="4"/>
      </c>
      <c r="Z257" s="159">
        <f t="shared" si="232"/>
      </c>
      <c r="AA257" s="159">
        <f t="shared" si="47"/>
      </c>
      <c r="AB257" s="159">
        <f t="shared" si="237"/>
      </c>
      <c r="AC257" s="156">
        <f t="shared" si="235"/>
      </c>
      <c r="AD257" s="156">
        <f t="shared" si="3"/>
      </c>
      <c r="AE257" s="156">
        <f t="shared" si="1"/>
      </c>
      <c r="AF257" s="156">
        <f t="shared" si="7"/>
      </c>
      <c r="AG257" s="156">
        <f t="shared" si="5"/>
      </c>
      <c r="AH257" s="156">
        <f t="shared" si="233"/>
      </c>
      <c r="AI257" s="156">
        <f t="shared" si="48"/>
      </c>
      <c r="AJ257" s="155">
        <v>57</v>
      </c>
      <c r="AK257" s="160">
        <v>14830</v>
      </c>
      <c r="AL257" s="160">
        <v>455</v>
      </c>
      <c r="AM257" s="160">
        <v>639</v>
      </c>
      <c r="AN257" s="160">
        <v>74</v>
      </c>
      <c r="AO257" s="149">
        <v>25</v>
      </c>
      <c r="AP257" s="160">
        <v>53</v>
      </c>
      <c r="AQ257" s="150">
        <v>79</v>
      </c>
      <c r="AR257" s="149">
        <v>5</v>
      </c>
      <c r="AS257" s="155">
        <v>8</v>
      </c>
      <c r="AT257" s="155">
        <v>0</v>
      </c>
      <c r="AU257" s="155">
        <v>5</v>
      </c>
      <c r="AV257" s="207"/>
      <c r="AW257" s="165"/>
      <c r="AX257" s="197">
        <f t="shared" si="288"/>
      </c>
    </row>
    <row r="258">
      <c r="A258" s="234"/>
      <c r="B258" s="171" t="s">
        <v>162</v>
      </c>
      <c r="C258" s="171"/>
      <c r="D258" s="171"/>
      <c r="E258" s="171"/>
      <c r="F258" s="173">
        <f>SUM(F254:F257)</f>
      </c>
      <c r="G258" s="173">
        <f>SUM(G254:G257)</f>
      </c>
      <c r="H258" s="173">
        <f>SUM(H254:H257)</f>
      </c>
      <c r="I258" s="173">
        <f>SUM(I254:I257)</f>
      </c>
      <c r="J258" s="173">
        <f>SUM(J254:J257)</f>
      </c>
      <c r="K258" s="173">
        <f>SUM(K254:K257)</f>
      </c>
      <c r="L258" s="173">
        <f>SUM(L254:L257)</f>
      </c>
      <c r="M258" s="173">
        <f>SUM(M254:M257)</f>
      </c>
      <c r="N258" s="173">
        <f>SUM(N254:N257)</f>
      </c>
      <c r="O258" s="175">
        <f t="shared" si="46"/>
      </c>
      <c r="P258" s="173">
        <f>SUM(P254:P257)</f>
      </c>
      <c r="Q258" s="175">
        <f t="shared" si="236"/>
      </c>
      <c r="R258" s="178">
        <f>SUM(R254:R257)</f>
      </c>
      <c r="S258" s="173">
        <f>SUM(S254:S257)</f>
      </c>
      <c r="T258" s="173">
        <f t="shared" si="234"/>
      </c>
      <c r="U258" s="173">
        <f t="shared" si="2"/>
      </c>
      <c r="V258" s="194">
        <f t="shared" si="0"/>
      </c>
      <c r="W258" s="173">
        <f>SUM(W254:W257)</f>
      </c>
      <c r="X258" s="194">
        <f t="shared" si="6"/>
      </c>
      <c r="Y258" s="194">
        <f t="shared" si="4"/>
      </c>
      <c r="Z258" s="173">
        <f t="shared" si="232"/>
      </c>
      <c r="AA258" s="173">
        <f t="shared" si="47"/>
      </c>
      <c r="AB258" s="238">
        <f t="shared" si="237"/>
      </c>
      <c r="AC258" s="175">
        <f t="shared" si="235"/>
      </c>
      <c r="AD258" s="175">
        <f t="shared" si="3"/>
      </c>
      <c r="AE258" s="175">
        <f t="shared" si="1"/>
      </c>
      <c r="AF258" s="239">
        <f t="shared" si="7"/>
      </c>
      <c r="AG258" s="175">
        <f t="shared" si="5"/>
      </c>
      <c r="AH258" s="175">
        <f t="shared" si="233"/>
      </c>
      <c r="AI258" s="175">
        <f t="shared" si="48"/>
      </c>
      <c r="AJ258" s="178">
        <f>AVERAGE(AJ254:AJ257)</f>
      </c>
      <c r="AK258" s="173">
        <f>SUM(AK254:AK257)</f>
      </c>
      <c r="AL258" s="173">
        <f>SUM(AL254:AL257)</f>
      </c>
      <c r="AM258" s="173">
        <f>SUM(AM254:AM257)</f>
      </c>
      <c r="AN258" s="173">
        <f>SUM(AN254:AN257)</f>
      </c>
      <c r="AO258" s="173">
        <f>SUM(AO254:AO257)</f>
      </c>
      <c r="AP258" s="173">
        <f>SUM(AP254:AP257)</f>
      </c>
      <c r="AQ258" s="173">
        <f>SUM(AQ254:AQ257)</f>
      </c>
      <c r="AR258" s="173">
        <f>SUM(AR254:AR257)</f>
      </c>
      <c r="AS258" s="173">
        <f>SUM(AS254:AS257)</f>
      </c>
      <c r="AT258" s="173">
        <f>SUM(AT254:AT257)</f>
      </c>
      <c r="AU258" s="173">
        <f>SUM(AU254:AU257)</f>
      </c>
      <c r="AV258" s="207"/>
      <c r="AW258" s="180"/>
      <c r="AX258" s="181">
        <f>SUM(AX254:AX257)</f>
      </c>
    </row>
    <row r="259">
      <c r="A259" s="234"/>
      <c r="B259" s="149" t="s">
        <v>156</v>
      </c>
      <c r="C259" s="150" t="s">
        <v>157</v>
      </c>
      <c r="D259" s="149" t="s">
        <v>180</v>
      </c>
      <c r="E259" s="150" t="s">
        <v>165</v>
      </c>
      <c r="F259" s="159">
        <f t="shared" ref="F259:F262" si="208">G259+H259+I259</f>
      </c>
      <c r="G259" s="152">
        <v>2247.82</v>
      </c>
      <c r="H259" s="152">
        <v>1323.8</v>
      </c>
      <c r="I259" s="236">
        <v>0</v>
      </c>
      <c r="J259" s="236">
        <v>0</v>
      </c>
      <c r="K259" s="236">
        <v>0</v>
      </c>
      <c r="L259" s="236">
        <v>3</v>
      </c>
      <c r="M259" s="236">
        <v>4272.9100000000035</v>
      </c>
      <c r="N259" s="155">
        <v>1</v>
      </c>
      <c r="O259" s="156">
        <f t="shared" si="46"/>
      </c>
      <c r="P259" s="155">
        <v>0</v>
      </c>
      <c r="Q259" s="156">
        <f t="shared" si="236"/>
      </c>
      <c r="R259" s="244">
        <f t="shared" ref="R259:R262" si="98">L259+J259</f>
      </c>
      <c r="S259" s="237">
        <f t="shared" ref="S259:S262" si="152">M259+K259</f>
      </c>
      <c r="T259" s="159">
        <f t="shared" si="234"/>
      </c>
      <c r="U259" s="159">
        <f t="shared" si="2"/>
      </c>
      <c r="V259" s="169">
        <f t="shared" si="0"/>
      </c>
      <c r="W259" s="155">
        <v>2</v>
      </c>
      <c r="X259" s="169">
        <f t="shared" si="6"/>
      </c>
      <c r="Y259" s="169">
        <f t="shared" si="4"/>
      </c>
      <c r="Z259" s="159">
        <f t="shared" si="232"/>
      </c>
      <c r="AA259" s="159">
        <f t="shared" si="47"/>
      </c>
      <c r="AB259" s="159">
        <f t="shared" si="237"/>
      </c>
      <c r="AC259" s="156">
        <f t="shared" si="235"/>
      </c>
      <c r="AD259" s="156">
        <f t="shared" si="3"/>
      </c>
      <c r="AE259" s="156">
        <f t="shared" si="1"/>
      </c>
      <c r="AF259" s="156">
        <f t="shared" si="7"/>
      </c>
      <c r="AG259" s="156">
        <f t="shared" si="5"/>
      </c>
      <c r="AH259" s="156">
        <f t="shared" si="233"/>
      </c>
      <c r="AI259" s="156">
        <f t="shared" si="48"/>
      </c>
      <c r="AJ259" s="155">
        <v>57</v>
      </c>
      <c r="AK259" s="160">
        <v>17598</v>
      </c>
      <c r="AL259" s="160">
        <v>498</v>
      </c>
      <c r="AM259" s="160">
        <v>690</v>
      </c>
      <c r="AN259" s="160">
        <v>91</v>
      </c>
      <c r="AO259" s="149">
        <v>28</v>
      </c>
      <c r="AP259" s="160">
        <v>119</v>
      </c>
      <c r="AQ259" s="150">
        <v>89</v>
      </c>
      <c r="AR259" s="149">
        <v>5</v>
      </c>
      <c r="AS259" s="149">
        <v>5</v>
      </c>
      <c r="AT259" s="155">
        <v>1</v>
      </c>
      <c r="AU259" s="155">
        <v>3</v>
      </c>
      <c r="AV259" s="207"/>
      <c r="AW259" s="165"/>
      <c r="AX259" s="197">
        <f t="shared" ref="AX259:AX262" si="289">COUNT(AU259)</f>
      </c>
    </row>
    <row r="260">
      <c r="A260" s="234"/>
      <c r="B260" s="149" t="s">
        <v>156</v>
      </c>
      <c r="C260" s="150" t="s">
        <v>157</v>
      </c>
      <c r="D260" s="149" t="s">
        <v>180</v>
      </c>
      <c r="E260" s="150" t="s">
        <v>168</v>
      </c>
      <c r="F260" s="159">
        <f t="shared" si="208"/>
      </c>
      <c r="G260" s="152">
        <v>2416</v>
      </c>
      <c r="H260" s="152">
        <v>1809.46</v>
      </c>
      <c r="I260" s="236">
        <v>0</v>
      </c>
      <c r="J260" s="236">
        <v>3</v>
      </c>
      <c r="K260" s="236">
        <v>2938.7300000000005</v>
      </c>
      <c r="L260" s="236">
        <v>1</v>
      </c>
      <c r="M260" s="236">
        <v>4766.679999999993</v>
      </c>
      <c r="N260" s="155">
        <v>1</v>
      </c>
      <c r="O260" s="156">
        <f t="shared" si="46"/>
      </c>
      <c r="P260" s="155">
        <v>1</v>
      </c>
      <c r="Q260" s="156">
        <f t="shared" si="236"/>
      </c>
      <c r="R260" s="244">
        <f t="shared" si="98"/>
      </c>
      <c r="S260" s="237">
        <f t="shared" si="152"/>
      </c>
      <c r="T260" s="159">
        <f t="shared" si="234"/>
      </c>
      <c r="U260" s="159">
        <f t="shared" si="2"/>
      </c>
      <c r="V260" s="169">
        <f t="shared" si="0"/>
      </c>
      <c r="W260" s="155">
        <v>2</v>
      </c>
      <c r="X260" s="169">
        <f t="shared" si="6"/>
      </c>
      <c r="Y260" s="169">
        <f t="shared" si="4"/>
      </c>
      <c r="Z260" s="159">
        <f t="shared" si="232"/>
      </c>
      <c r="AA260" s="159">
        <f t="shared" si="47"/>
      </c>
      <c r="AB260" s="159">
        <f t="shared" si="237"/>
      </c>
      <c r="AC260" s="156">
        <f t="shared" si="235"/>
      </c>
      <c r="AD260" s="156">
        <f t="shared" si="3"/>
      </c>
      <c r="AE260" s="156">
        <f t="shared" si="1"/>
      </c>
      <c r="AF260" s="156">
        <f t="shared" si="7"/>
      </c>
      <c r="AG260" s="156">
        <f t="shared" si="5"/>
      </c>
      <c r="AH260" s="156">
        <f t="shared" si="233"/>
      </c>
      <c r="AI260" s="156">
        <f t="shared" si="48"/>
      </c>
      <c r="AJ260" s="155">
        <v>56</v>
      </c>
      <c r="AK260" s="160">
        <v>20995</v>
      </c>
      <c r="AL260" s="160">
        <v>611</v>
      </c>
      <c r="AM260" s="160">
        <v>833</v>
      </c>
      <c r="AN260" s="160">
        <v>103</v>
      </c>
      <c r="AO260" s="149">
        <v>38</v>
      </c>
      <c r="AP260" s="160">
        <v>113</v>
      </c>
      <c r="AQ260" s="150">
        <v>109</v>
      </c>
      <c r="AR260" s="149">
        <v>8</v>
      </c>
      <c r="AS260" s="149">
        <v>13</v>
      </c>
      <c r="AT260" s="160">
        <v>1</v>
      </c>
      <c r="AU260" s="160">
        <v>6</v>
      </c>
      <c r="AV260" s="207"/>
      <c r="AW260" s="165"/>
      <c r="AX260" s="197">
        <f t="shared" si="289"/>
      </c>
    </row>
    <row r="261">
      <c r="A261" s="234"/>
      <c r="B261" s="149" t="s">
        <v>156</v>
      </c>
      <c r="C261" s="150" t="s">
        <v>157</v>
      </c>
      <c r="D261" s="149" t="s">
        <v>180</v>
      </c>
      <c r="E261" s="150" t="s">
        <v>171</v>
      </c>
      <c r="F261" s="159">
        <f t="shared" si="208"/>
      </c>
      <c r="G261" s="152">
        <v>2013.9</v>
      </c>
      <c r="H261" s="152">
        <v>2042.07</v>
      </c>
      <c r="I261" s="236">
        <v>0</v>
      </c>
      <c r="J261" s="236">
        <v>1</v>
      </c>
      <c r="K261" s="236">
        <v>986</v>
      </c>
      <c r="L261" s="236">
        <v>2</v>
      </c>
      <c r="M261" s="236">
        <v>5871.950000000004</v>
      </c>
      <c r="N261" s="155">
        <v>0</v>
      </c>
      <c r="O261" s="156">
        <f t="shared" si="46"/>
      </c>
      <c r="P261" s="155">
        <v>0</v>
      </c>
      <c r="Q261" s="156">
        <f t="shared" si="236"/>
      </c>
      <c r="R261" s="244">
        <f t="shared" si="98"/>
      </c>
      <c r="S261" s="237">
        <f t="shared" si="152"/>
      </c>
      <c r="T261" s="159">
        <f t="shared" si="234"/>
      </c>
      <c r="U261" s="159">
        <f t="shared" si="2"/>
      </c>
      <c r="V261" s="169">
        <f t="shared" si="0"/>
      </c>
      <c r="W261" s="155">
        <v>3</v>
      </c>
      <c r="X261" s="169">
        <f t="shared" si="6"/>
      </c>
      <c r="Y261" s="169">
        <f t="shared" si="4"/>
      </c>
      <c r="Z261" s="159">
        <f t="shared" si="232"/>
      </c>
      <c r="AA261" s="159">
        <f t="shared" si="47"/>
      </c>
      <c r="AB261" s="159">
        <f t="shared" si="237"/>
      </c>
      <c r="AC261" s="156">
        <f t="shared" si="235"/>
      </c>
      <c r="AD261" s="156">
        <f t="shared" si="3"/>
      </c>
      <c r="AE261" s="156">
        <f t="shared" si="1"/>
      </c>
      <c r="AF261" s="156">
        <f t="shared" si="7"/>
      </c>
      <c r="AG261" s="156">
        <f t="shared" si="5"/>
      </c>
      <c r="AH261" s="156">
        <f t="shared" si="233"/>
      </c>
      <c r="AI261" s="156">
        <f t="shared" si="48"/>
      </c>
      <c r="AJ261" s="155">
        <v>55</v>
      </c>
      <c r="AK261" s="160">
        <v>25539</v>
      </c>
      <c r="AL261" s="160">
        <v>706</v>
      </c>
      <c r="AM261" s="160">
        <v>1008</v>
      </c>
      <c r="AN261" s="160">
        <v>111</v>
      </c>
      <c r="AO261" s="149">
        <v>42</v>
      </c>
      <c r="AP261" s="160">
        <v>150</v>
      </c>
      <c r="AQ261" s="150">
        <v>118</v>
      </c>
      <c r="AR261" s="149">
        <v>3</v>
      </c>
      <c r="AS261" s="155">
        <v>9</v>
      </c>
      <c r="AT261" s="155">
        <v>0</v>
      </c>
      <c r="AU261" s="155">
        <v>5</v>
      </c>
      <c r="AV261" s="207"/>
      <c r="AW261" s="165"/>
      <c r="AX261" s="197">
        <f t="shared" si="289"/>
      </c>
    </row>
    <row r="262">
      <c r="A262" s="234"/>
      <c r="B262" s="149" t="s">
        <v>156</v>
      </c>
      <c r="C262" s="150" t="s">
        <v>157</v>
      </c>
      <c r="D262" s="149" t="s">
        <v>180</v>
      </c>
      <c r="E262" s="150" t="s">
        <v>172</v>
      </c>
      <c r="F262" s="246">
        <f t="shared" si="208"/>
      </c>
      <c r="G262" s="247">
        <v>1528.29</v>
      </c>
      <c r="H262" s="247">
        <v>867.95</v>
      </c>
      <c r="I262" s="236">
        <v>0</v>
      </c>
      <c r="J262" s="236">
        <v>0</v>
      </c>
      <c r="K262" s="236">
        <v>0</v>
      </c>
      <c r="L262" s="236">
        <v>2</v>
      </c>
      <c r="M262" s="236">
        <v>3985.9000000000015</v>
      </c>
      <c r="N262" s="155">
        <v>0</v>
      </c>
      <c r="O262" s="156">
        <f t="shared" si="46"/>
      </c>
      <c r="P262" s="155">
        <v>1</v>
      </c>
      <c r="Q262" s="156">
        <f t="shared" si="236"/>
      </c>
      <c r="R262" s="244">
        <f t="shared" si="98"/>
      </c>
      <c r="S262" s="237">
        <f t="shared" si="152"/>
      </c>
      <c r="T262" s="159">
        <f t="shared" si="234"/>
      </c>
      <c r="U262" s="159">
        <f t="shared" si="2"/>
      </c>
      <c r="V262" s="169">
        <f t="shared" si="0"/>
      </c>
      <c r="W262" s="155">
        <v>2</v>
      </c>
      <c r="X262" s="169">
        <f t="shared" si="6"/>
      </c>
      <c r="Y262" s="169">
        <f t="shared" si="4"/>
      </c>
      <c r="Z262" s="159">
        <f t="shared" si="232"/>
      </c>
      <c r="AA262" s="159">
        <f t="shared" si="47"/>
      </c>
      <c r="AB262" s="159">
        <f t="shared" si="237"/>
      </c>
      <c r="AC262" s="156">
        <f t="shared" si="235"/>
      </c>
      <c r="AD262" s="156">
        <f t="shared" si="3"/>
      </c>
      <c r="AE262" s="156">
        <f t="shared" si="1"/>
      </c>
      <c r="AF262" s="156">
        <f t="shared" si="7"/>
      </c>
      <c r="AG262" s="156">
        <f t="shared" si="5"/>
      </c>
      <c r="AH262" s="156">
        <f t="shared" si="233"/>
      </c>
      <c r="AI262" s="156">
        <f t="shared" si="48"/>
      </c>
      <c r="AJ262" s="155">
        <v>55</v>
      </c>
      <c r="AK262" s="160">
        <v>27909</v>
      </c>
      <c r="AL262" s="160">
        <v>864</v>
      </c>
      <c r="AM262" s="160">
        <v>1159</v>
      </c>
      <c r="AN262" s="160">
        <v>66</v>
      </c>
      <c r="AO262" s="149">
        <v>25</v>
      </c>
      <c r="AP262" s="160">
        <v>125</v>
      </c>
      <c r="AQ262" s="150">
        <v>90</v>
      </c>
      <c r="AR262" s="149">
        <v>2</v>
      </c>
      <c r="AS262" s="160">
        <v>14</v>
      </c>
      <c r="AT262" s="160">
        <v>3</v>
      </c>
      <c r="AU262" s="155">
        <v>7</v>
      </c>
      <c r="AV262" s="207"/>
      <c r="AW262" s="165"/>
      <c r="AX262" s="197">
        <f t="shared" si="289"/>
      </c>
    </row>
    <row r="263">
      <c r="A263" s="234"/>
      <c r="B263" s="171" t="s">
        <v>162</v>
      </c>
      <c r="C263" s="171"/>
      <c r="D263" s="171"/>
      <c r="E263" s="171"/>
      <c r="F263" s="173">
        <f>SUM(F259:F262)</f>
      </c>
      <c r="G263" s="173">
        <f>SUM(G259:G262)</f>
      </c>
      <c r="H263" s="173">
        <f>SUM(H259:H262)</f>
      </c>
      <c r="I263" s="173">
        <f>SUM(I259:I262)</f>
      </c>
      <c r="J263" s="173">
        <f>SUM(J259:J262)</f>
      </c>
      <c r="K263" s="173">
        <f>SUM(K259:K262)</f>
      </c>
      <c r="L263" s="173">
        <f>SUM(L259:L262)</f>
      </c>
      <c r="M263" s="173">
        <f>SUM(M259:M262)</f>
      </c>
      <c r="N263" s="173">
        <f>SUM(N259:N262)</f>
      </c>
      <c r="O263" s="175">
        <f t="shared" si="46"/>
      </c>
      <c r="P263" s="173">
        <f>SUM(P259:P262)</f>
      </c>
      <c r="Q263" s="175">
        <f t="shared" si="236"/>
      </c>
      <c r="R263" s="178">
        <f>SUM(R259:R262)</f>
      </c>
      <c r="S263" s="173">
        <f>SUM(S259:S262)</f>
      </c>
      <c r="T263" s="173">
        <f t="shared" si="234"/>
      </c>
      <c r="U263" s="173">
        <f t="shared" si="2"/>
      </c>
      <c r="V263" s="194">
        <f t="shared" si="0"/>
      </c>
      <c r="W263" s="173">
        <f>SUM(W259:W262)</f>
      </c>
      <c r="X263" s="194">
        <f t="shared" si="6"/>
      </c>
      <c r="Y263" s="194">
        <f t="shared" si="4"/>
      </c>
      <c r="Z263" s="173">
        <f t="shared" si="232"/>
      </c>
      <c r="AA263" s="173">
        <f t="shared" si="47"/>
      </c>
      <c r="AB263" s="238">
        <f t="shared" si="237"/>
      </c>
      <c r="AC263" s="175">
        <f t="shared" si="235"/>
      </c>
      <c r="AD263" s="175">
        <f t="shared" si="3"/>
      </c>
      <c r="AE263" s="175">
        <f t="shared" si="1"/>
      </c>
      <c r="AF263" s="245">
        <f t="shared" si="7"/>
      </c>
      <c r="AG263" s="175">
        <f t="shared" si="5"/>
      </c>
      <c r="AH263" s="175">
        <f t="shared" si="233"/>
      </c>
      <c r="AI263" s="175">
        <f t="shared" si="48"/>
      </c>
      <c r="AJ263" s="178">
        <f>AVERAGE(AJ259:AJ262)</f>
      </c>
      <c r="AK263" s="173">
        <f>SUM(AK259:AK262)</f>
      </c>
      <c r="AL263" s="173">
        <f>SUM(AL259:AL262)</f>
      </c>
      <c r="AM263" s="173">
        <f>SUM(AM259:AM262)</f>
      </c>
      <c r="AN263" s="173">
        <f>SUM(AN259:AN262)</f>
      </c>
      <c r="AO263" s="173">
        <f>SUM(AO259:AO262)</f>
      </c>
      <c r="AP263" s="173">
        <f>SUM(AP259:AP262)</f>
      </c>
      <c r="AQ263" s="173">
        <f>SUM(AQ259:AQ262)</f>
      </c>
      <c r="AR263" s="173">
        <f>SUM(AR259:AR262)</f>
      </c>
      <c r="AS263" s="173">
        <f>SUM(AS259:AS262)</f>
      </c>
      <c r="AT263" s="173">
        <f>SUM(AT259:AT262)</f>
      </c>
      <c r="AU263" s="173">
        <f>SUM(AU259:AU262)</f>
      </c>
      <c r="AV263" s="207"/>
      <c r="AW263" s="180"/>
      <c r="AX263" s="181">
        <f>SUM(AX259:AX262)</f>
      </c>
    </row>
    <row r="264">
      <c r="A264" s="234"/>
      <c r="B264" s="184" t="s">
        <v>166</v>
      </c>
      <c r="C264" s="184"/>
      <c r="D264" s="184"/>
      <c r="E264" s="184"/>
      <c r="F264" s="185">
        <f>F253+F258+F263</f>
      </c>
      <c r="G264" s="185">
        <f>G253+G258+G263</f>
      </c>
      <c r="H264" s="185">
        <f>H253+H258+H263</f>
      </c>
      <c r="I264" s="184">
        <f>I253+I258+I263</f>
      </c>
      <c r="J264" s="184">
        <f>J253+J258+J263</f>
      </c>
      <c r="K264" s="184">
        <f>K253+K258+K263</f>
      </c>
      <c r="L264" s="184">
        <f>L253+L258+L263</f>
      </c>
      <c r="M264" s="184">
        <f>M253+M258+M263</f>
      </c>
      <c r="N264" s="184">
        <f>N253+N258+N263</f>
      </c>
      <c r="O264" s="186">
        <f t="shared" si="46"/>
      </c>
      <c r="P264" s="184">
        <f>P253+P258+P263</f>
      </c>
      <c r="Q264" s="186">
        <f t="shared" si="236"/>
      </c>
      <c r="R264" s="190">
        <f>R253+R258+R263</f>
      </c>
      <c r="S264" s="185">
        <f>S253+S258+S263</f>
      </c>
      <c r="T264" s="185">
        <f t="shared" si="234"/>
      </c>
      <c r="U264" s="185">
        <f t="shared" si="2"/>
      </c>
      <c r="V264" s="187">
        <f t="shared" si="0"/>
      </c>
      <c r="W264" s="184">
        <f>W253+W258+W263</f>
      </c>
      <c r="X264" s="187">
        <f t="shared" si="6"/>
      </c>
      <c r="Y264" s="187">
        <f t="shared" si="4"/>
      </c>
      <c r="Z264" s="185">
        <f t="shared" si="232"/>
      </c>
      <c r="AA264" s="185">
        <f t="shared" si="47"/>
      </c>
      <c r="AB264" s="189">
        <f t="shared" si="237"/>
      </c>
      <c r="AC264" s="186">
        <f t="shared" si="235"/>
      </c>
      <c r="AD264" s="186">
        <f t="shared" si="3"/>
      </c>
      <c r="AE264" s="186">
        <f t="shared" si="1"/>
      </c>
      <c r="AF264" s="241">
        <f t="shared" si="7"/>
      </c>
      <c r="AG264" s="186">
        <f t="shared" si="5"/>
      </c>
      <c r="AH264" s="186">
        <f t="shared" si="233"/>
      </c>
      <c r="AI264" s="186">
        <f t="shared" si="48"/>
      </c>
      <c r="AJ264" s="190">
        <f>(AJ253+AJ258+AJ263)/3</f>
      </c>
      <c r="AK264" s="184">
        <f>AK253+AK258+AK263</f>
      </c>
      <c r="AL264" s="184">
        <f>AL253+AL258+AL263</f>
      </c>
      <c r="AM264" s="184">
        <f>AM253+AM258+AM263</f>
      </c>
      <c r="AN264" s="184">
        <f>AN253+AN258+AN263</f>
      </c>
      <c r="AO264" s="184">
        <f>AO253+AO258+AO263</f>
      </c>
      <c r="AP264" s="184">
        <f>AP253+AP258+AP263</f>
      </c>
      <c r="AQ264" s="184">
        <f>AQ253+AQ258+AQ263</f>
      </c>
      <c r="AR264" s="184">
        <f>AR253+AR258+AR263</f>
      </c>
      <c r="AS264" s="184">
        <f>AS253+AS258+AS263</f>
      </c>
      <c r="AT264" s="184">
        <f>AT253+AT258+AT263</f>
      </c>
      <c r="AU264" s="184">
        <f>AU253+AU258+AU263</f>
      </c>
      <c r="AV264" s="207"/>
      <c r="AW264" s="184">
        <f>AW253+AW258+AW263</f>
      </c>
      <c r="AX264" s="184">
        <f>AX253+AX258+AX263</f>
      </c>
    </row>
    <row r="265">
      <c r="A265" s="234">
        <v>46290</v>
      </c>
      <c r="B265" s="149" t="s">
        <v>181</v>
      </c>
      <c r="C265" s="149" t="s">
        <v>182</v>
      </c>
      <c r="D265" s="149" t="s">
        <v>158</v>
      </c>
      <c r="E265" s="248" t="s">
        <v>183</v>
      </c>
      <c r="F265" s="159">
        <f t="shared" ref="F265:F268" si="209">G265+H265+I265</f>
      </c>
      <c r="G265" s="152">
        <v>2713.69</v>
      </c>
      <c r="H265" s="152">
        <v>1016.41</v>
      </c>
      <c r="I265" s="236">
        <v>0</v>
      </c>
      <c r="J265" s="236">
        <v>0</v>
      </c>
      <c r="K265" s="242">
        <v>0</v>
      </c>
      <c r="L265" s="236">
        <v>2</v>
      </c>
      <c r="M265" s="236">
        <v>2742.2</v>
      </c>
      <c r="N265" s="155">
        <v>1</v>
      </c>
      <c r="O265" s="156">
        <f t="shared" si="46"/>
      </c>
      <c r="P265" s="155">
        <v>0</v>
      </c>
      <c r="Q265" s="156">
        <f t="shared" si="236"/>
      </c>
      <c r="R265" s="244">
        <f t="shared" ref="R265:R268" si="99">L265+J265</f>
      </c>
      <c r="S265" s="237">
        <f t="shared" ref="S265:S268" si="153">M265+K265</f>
      </c>
      <c r="T265" s="159">
        <f t="shared" si="234"/>
      </c>
      <c r="U265" s="159">
        <f t="shared" si="2"/>
      </c>
      <c r="V265" s="160">
        <f t="shared" si="0"/>
      </c>
      <c r="W265" s="155">
        <v>2</v>
      </c>
      <c r="X265" s="169">
        <f t="shared" si="6"/>
      </c>
      <c r="Y265" s="169">
        <f t="shared" si="4"/>
      </c>
      <c r="Z265" s="159">
        <f t="shared" si="232"/>
      </c>
      <c r="AA265" s="159">
        <f t="shared" si="47"/>
      </c>
      <c r="AB265" s="159">
        <f t="shared" si="237"/>
      </c>
      <c r="AC265" s="156">
        <f t="shared" si="235"/>
      </c>
      <c r="AD265" s="156">
        <f t="shared" si="3"/>
      </c>
      <c r="AE265" s="156">
        <f t="shared" si="1"/>
      </c>
      <c r="AF265" s="156">
        <f t="shared" si="7"/>
      </c>
      <c r="AG265" s="156">
        <f t="shared" si="5"/>
      </c>
      <c r="AH265" s="156">
        <f t="shared" si="233"/>
      </c>
      <c r="AI265" s="156">
        <f t="shared" si="48"/>
      </c>
      <c r="AJ265" s="155">
        <v>41</v>
      </c>
      <c r="AK265" s="160">
        <v>24023</v>
      </c>
      <c r="AL265" s="160">
        <v>633</v>
      </c>
      <c r="AM265" s="160">
        <v>793</v>
      </c>
      <c r="AN265" s="160">
        <v>86</v>
      </c>
      <c r="AO265" s="149">
        <v>37</v>
      </c>
      <c r="AP265" s="149">
        <v>80</v>
      </c>
      <c r="AQ265" s="150">
        <v>84</v>
      </c>
      <c r="AR265" s="149">
        <v>4</v>
      </c>
      <c r="AS265" s="149">
        <v>3</v>
      </c>
      <c r="AT265" s="160">
        <v>0</v>
      </c>
      <c r="AU265" s="160">
        <v>3</v>
      </c>
      <c r="AV265" s="207"/>
      <c r="AW265" s="165"/>
      <c r="AX265" s="197">
        <f t="shared" ref="AX265:AX268" si="290">COUNT(AU265)</f>
      </c>
    </row>
    <row r="266">
      <c r="A266" s="234"/>
      <c r="B266" s="149" t="s">
        <v>181</v>
      </c>
      <c r="C266" s="149" t="s">
        <v>182</v>
      </c>
      <c r="D266" s="149" t="s">
        <v>158</v>
      </c>
      <c r="E266" s="248" t="s">
        <v>184</v>
      </c>
      <c r="F266" s="159">
        <f t="shared" si="209"/>
      </c>
      <c r="G266" s="152">
        <v>4010.97</v>
      </c>
      <c r="H266" s="152">
        <v>1222.95</v>
      </c>
      <c r="I266" s="236">
        <v>0</v>
      </c>
      <c r="J266" s="236">
        <v>1</v>
      </c>
      <c r="K266" s="236">
        <v>1111</v>
      </c>
      <c r="L266" s="236">
        <v>4</v>
      </c>
      <c r="M266" s="236">
        <v>7249.930000000001</v>
      </c>
      <c r="N266" s="155">
        <v>1</v>
      </c>
      <c r="O266" s="156">
        <f t="shared" si="46"/>
      </c>
      <c r="P266" s="155">
        <v>1</v>
      </c>
      <c r="Q266" s="156">
        <f t="shared" si="236"/>
      </c>
      <c r="R266" s="244">
        <f t="shared" si="99"/>
      </c>
      <c r="S266" s="237">
        <f t="shared" si="153"/>
      </c>
      <c r="T266" s="159">
        <f t="shared" si="234"/>
      </c>
      <c r="U266" s="159">
        <f t="shared" si="2"/>
      </c>
      <c r="V266" s="160">
        <f t="shared" si="0"/>
      </c>
      <c r="W266" s="155">
        <v>5</v>
      </c>
      <c r="X266" s="169">
        <f t="shared" si="6"/>
      </c>
      <c r="Y266" s="169">
        <f t="shared" si="4"/>
      </c>
      <c r="Z266" s="159">
        <f t="shared" si="232"/>
      </c>
      <c r="AA266" s="159">
        <f t="shared" si="47"/>
      </c>
      <c r="AB266" s="159">
        <f t="shared" si="237"/>
      </c>
      <c r="AC266" s="156">
        <f t="shared" si="235"/>
      </c>
      <c r="AD266" s="156">
        <f t="shared" si="3"/>
      </c>
      <c r="AE266" s="156">
        <f t="shared" si="1"/>
      </c>
      <c r="AF266" s="156">
        <f t="shared" si="7"/>
      </c>
      <c r="AG266" s="156">
        <f t="shared" si="5"/>
      </c>
      <c r="AH266" s="156">
        <f t="shared" si="233"/>
      </c>
      <c r="AI266" s="156">
        <f t="shared" si="48"/>
      </c>
      <c r="AJ266" s="155">
        <v>45</v>
      </c>
      <c r="AK266" s="160">
        <v>27804</v>
      </c>
      <c r="AL266" s="160">
        <v>1013</v>
      </c>
      <c r="AM266" s="160">
        <v>1204</v>
      </c>
      <c r="AN266" s="160">
        <v>121</v>
      </c>
      <c r="AO266" s="149">
        <v>50</v>
      </c>
      <c r="AP266" s="160">
        <v>166</v>
      </c>
      <c r="AQ266" s="150">
        <v>140</v>
      </c>
      <c r="AR266" s="149">
        <v>6</v>
      </c>
      <c r="AS266" s="155">
        <v>13</v>
      </c>
      <c r="AT266" s="155">
        <v>1</v>
      </c>
      <c r="AU266" s="155">
        <v>4</v>
      </c>
      <c r="AV266" s="207"/>
      <c r="AW266" s="165"/>
      <c r="AX266" s="197">
        <f t="shared" si="290"/>
      </c>
    </row>
    <row r="267">
      <c r="A267" s="234"/>
      <c r="B267" s="149" t="s">
        <v>181</v>
      </c>
      <c r="C267" s="149" t="s">
        <v>182</v>
      </c>
      <c r="D267" s="149" t="s">
        <v>158</v>
      </c>
      <c r="E267" s="248" t="s">
        <v>185</v>
      </c>
      <c r="F267" s="159">
        <f t="shared" si="209"/>
      </c>
      <c r="G267" s="152">
        <v>2313.5</v>
      </c>
      <c r="H267" s="152">
        <v>747.53</v>
      </c>
      <c r="I267" s="236">
        <v>0</v>
      </c>
      <c r="J267" s="236">
        <v>2</v>
      </c>
      <c r="K267" s="236">
        <v>9216.85</v>
      </c>
      <c r="L267" s="236">
        <v>3</v>
      </c>
      <c r="M267" s="236">
        <v>9285.89</v>
      </c>
      <c r="N267" s="155">
        <v>0</v>
      </c>
      <c r="O267" s="156">
        <f t="shared" si="46"/>
      </c>
      <c r="P267" s="155">
        <v>2</v>
      </c>
      <c r="Q267" s="156">
        <f t="shared" si="236"/>
      </c>
      <c r="R267" s="244">
        <f t="shared" si="99"/>
      </c>
      <c r="S267" s="237">
        <f t="shared" si="153"/>
      </c>
      <c r="T267" s="159">
        <f t="shared" si="234"/>
      </c>
      <c r="U267" s="159">
        <f t="shared" si="2"/>
      </c>
      <c r="V267" s="169">
        <f t="shared" si="0"/>
      </c>
      <c r="W267" s="155">
        <v>4</v>
      </c>
      <c r="X267" s="169">
        <f t="shared" si="6"/>
      </c>
      <c r="Y267" s="169">
        <f t="shared" si="4"/>
      </c>
      <c r="Z267" s="159">
        <f t="shared" si="232"/>
      </c>
      <c r="AA267" s="159">
        <f t="shared" si="47"/>
      </c>
      <c r="AB267" s="159">
        <f t="shared" si="237"/>
      </c>
      <c r="AC267" s="156">
        <f t="shared" si="235"/>
      </c>
      <c r="AD267" s="156">
        <f t="shared" si="3"/>
      </c>
      <c r="AE267" s="156">
        <f t="shared" si="1"/>
      </c>
      <c r="AF267" s="156">
        <f t="shared" si="7"/>
      </c>
      <c r="AG267" s="156">
        <f t="shared" si="5"/>
      </c>
      <c r="AH267" s="156">
        <f t="shared" si="233"/>
      </c>
      <c r="AI267" s="156">
        <f t="shared" si="48"/>
      </c>
      <c r="AJ267" s="155">
        <v>49</v>
      </c>
      <c r="AK267" s="160">
        <v>15684</v>
      </c>
      <c r="AL267" s="160">
        <v>614</v>
      </c>
      <c r="AM267" s="160">
        <v>818</v>
      </c>
      <c r="AN267" s="160">
        <v>66</v>
      </c>
      <c r="AO267" s="149">
        <v>21</v>
      </c>
      <c r="AP267" s="160">
        <v>94</v>
      </c>
      <c r="AQ267" s="150">
        <v>86</v>
      </c>
      <c r="AR267" s="149">
        <v>5</v>
      </c>
      <c r="AS267" s="160">
        <v>7</v>
      </c>
      <c r="AT267" s="160">
        <v>2</v>
      </c>
      <c r="AU267" s="160">
        <v>0</v>
      </c>
      <c r="AV267" s="207"/>
      <c r="AW267" s="165"/>
      <c r="AX267" s="197">
        <f t="shared" si="290"/>
      </c>
    </row>
    <row r="268">
      <c r="A268" s="234"/>
      <c r="B268" s="149" t="s">
        <v>181</v>
      </c>
      <c r="C268" s="149" t="s">
        <v>182</v>
      </c>
      <c r="D268" s="149" t="s">
        <v>158</v>
      </c>
      <c r="E268" s="149" t="s">
        <v>186</v>
      </c>
      <c r="F268" s="159">
        <f t="shared" si="209"/>
      </c>
      <c r="G268" s="152">
        <v>1963.96</v>
      </c>
      <c r="H268" s="152">
        <v>707.4</v>
      </c>
      <c r="I268" s="236">
        <v>0</v>
      </c>
      <c r="J268" s="236">
        <v>0</v>
      </c>
      <c r="K268" s="236">
        <v>0</v>
      </c>
      <c r="L268" s="236">
        <v>1</v>
      </c>
      <c r="M268" s="236">
        <v>4786.100000000002</v>
      </c>
      <c r="N268" s="155">
        <v>0</v>
      </c>
      <c r="O268" s="156">
        <f t="shared" si="46"/>
      </c>
      <c r="P268" s="155">
        <v>0</v>
      </c>
      <c r="Q268" s="156">
        <f t="shared" si="236"/>
      </c>
      <c r="R268" s="244">
        <f t="shared" si="99"/>
      </c>
      <c r="S268" s="237">
        <f t="shared" si="153"/>
      </c>
      <c r="T268" s="159">
        <f t="shared" si="234"/>
      </c>
      <c r="U268" s="159">
        <f t="shared" si="2"/>
      </c>
      <c r="V268" s="169">
        <f t="shared" si="0"/>
      </c>
      <c r="W268" s="155">
        <v>1</v>
      </c>
      <c r="X268" s="169">
        <f t="shared" si="6"/>
      </c>
      <c r="Y268" s="169">
        <f t="shared" si="4"/>
      </c>
      <c r="Z268" s="159">
        <f t="shared" si="232"/>
      </c>
      <c r="AA268" s="159">
        <f t="shared" si="47"/>
      </c>
      <c r="AB268" s="159">
        <f t="shared" si="237"/>
      </c>
      <c r="AC268" s="156">
        <f t="shared" si="235"/>
      </c>
      <c r="AD268" s="156">
        <f t="shared" si="3"/>
      </c>
      <c r="AE268" s="156">
        <f t="shared" si="1"/>
      </c>
      <c r="AF268" s="156">
        <f t="shared" si="7"/>
      </c>
      <c r="AG268" s="156">
        <f t="shared" si="5"/>
      </c>
      <c r="AH268" s="156">
        <f t="shared" si="233"/>
      </c>
      <c r="AI268" s="156">
        <f t="shared" si="48"/>
      </c>
      <c r="AJ268" s="155">
        <v>48</v>
      </c>
      <c r="AK268" s="160">
        <v>14369</v>
      </c>
      <c r="AL268" s="160">
        <v>555</v>
      </c>
      <c r="AM268" s="160">
        <v>668</v>
      </c>
      <c r="AN268" s="160">
        <v>66</v>
      </c>
      <c r="AO268" s="149">
        <v>24</v>
      </c>
      <c r="AP268" s="155">
        <v>87</v>
      </c>
      <c r="AQ268" s="149">
        <v>87</v>
      </c>
      <c r="AR268" s="149">
        <v>2</v>
      </c>
      <c r="AS268" s="155">
        <v>12</v>
      </c>
      <c r="AT268" s="155">
        <v>3</v>
      </c>
      <c r="AU268" s="155">
        <v>1</v>
      </c>
      <c r="AV268" s="207"/>
      <c r="AW268" s="165"/>
      <c r="AX268" s="197">
        <f t="shared" si="290"/>
      </c>
    </row>
    <row r="269">
      <c r="A269" s="234"/>
      <c r="B269" s="171" t="s">
        <v>162</v>
      </c>
      <c r="C269" s="171"/>
      <c r="D269" s="171"/>
      <c r="E269" s="171"/>
      <c r="F269" s="173">
        <f>SUM(F265:F268)</f>
      </c>
      <c r="G269" s="173">
        <f>SUM(G265:G268)</f>
      </c>
      <c r="H269" s="173">
        <f>SUM(H265:H268)</f>
      </c>
      <c r="I269" s="173">
        <f>SUM(I265:I268)</f>
      </c>
      <c r="J269" s="173">
        <f>SUM(J265:J268)</f>
      </c>
      <c r="K269" s="173">
        <f>SUM(K265:K268)</f>
      </c>
      <c r="L269" s="173">
        <f>SUM(L265:L268)</f>
      </c>
      <c r="M269" s="173">
        <f>SUM(M265:M268)</f>
      </c>
      <c r="N269" s="173">
        <f>SUM(N265:N268)</f>
      </c>
      <c r="O269" s="175">
        <f t="shared" si="46"/>
      </c>
      <c r="P269" s="173">
        <f>SUM(P265:P268)</f>
      </c>
      <c r="Q269" s="175">
        <f t="shared" si="236"/>
      </c>
      <c r="R269" s="178">
        <f>SUM(R265:R268)</f>
      </c>
      <c r="S269" s="173">
        <f>SUM(S265:S268)</f>
      </c>
      <c r="T269" s="173">
        <f t="shared" si="234"/>
      </c>
      <c r="U269" s="173">
        <f t="shared" si="2"/>
      </c>
      <c r="V269" s="173">
        <f t="shared" si="0"/>
      </c>
      <c r="W269" s="173">
        <f>SUM(W265:W268)</f>
      </c>
      <c r="X269" s="194">
        <f t="shared" si="6"/>
      </c>
      <c r="Y269" s="194">
        <f t="shared" si="4"/>
      </c>
      <c r="Z269" s="173">
        <f t="shared" si="232"/>
      </c>
      <c r="AA269" s="173">
        <f t="shared" si="47"/>
      </c>
      <c r="AB269" s="238">
        <f t="shared" si="237"/>
      </c>
      <c r="AC269" s="175">
        <f t="shared" si="235"/>
      </c>
      <c r="AD269" s="175">
        <f t="shared" si="3"/>
      </c>
      <c r="AE269" s="175">
        <f t="shared" si="1"/>
      </c>
      <c r="AF269" s="175">
        <f t="shared" si="7"/>
      </c>
      <c r="AG269" s="175">
        <f t="shared" si="5"/>
      </c>
      <c r="AH269" s="175">
        <f t="shared" si="233"/>
      </c>
      <c r="AI269" s="175">
        <f t="shared" si="48"/>
      </c>
      <c r="AJ269" s="178">
        <f>AVERAGE(AJ265:AJ268)</f>
      </c>
      <c r="AK269" s="173">
        <f>SUM(AK265:AK268)</f>
      </c>
      <c r="AL269" s="173">
        <f>SUM(AL265:AL268)</f>
      </c>
      <c r="AM269" s="173">
        <f>SUM(AM265:AM268)</f>
      </c>
      <c r="AN269" s="173">
        <f>SUM(AN265:AN268)</f>
      </c>
      <c r="AO269" s="173">
        <f>SUM(AO265:AO268)</f>
      </c>
      <c r="AP269" s="173">
        <f>SUM(AP265:AP268)</f>
      </c>
      <c r="AQ269" s="173">
        <f>SUM(AQ265:AQ268)</f>
      </c>
      <c r="AR269" s="173">
        <f>SUM(AR265:AR268)</f>
      </c>
      <c r="AS269" s="173">
        <f>SUM(AS265:AS268)</f>
      </c>
      <c r="AT269" s="173">
        <f>SUM(AT265:AT268)</f>
      </c>
      <c r="AU269" s="173">
        <f>SUM(AU265:AU268)</f>
      </c>
      <c r="AV269" s="207"/>
      <c r="AW269" s="180"/>
      <c r="AX269" s="181">
        <f>SUM(AX265:AX268)</f>
      </c>
    </row>
    <row r="270">
      <c r="A270" s="234"/>
      <c r="B270" s="149" t="s">
        <v>181</v>
      </c>
      <c r="C270" s="149" t="s">
        <v>182</v>
      </c>
      <c r="D270" s="149" t="s">
        <v>180</v>
      </c>
      <c r="E270" s="150" t="s">
        <v>175</v>
      </c>
      <c r="F270" s="159">
        <f t="shared" ref="F270:F273" si="210">G270+H270+I270</f>
      </c>
      <c r="G270" s="152">
        <v>2236.94</v>
      </c>
      <c r="H270" s="152">
        <v>210.31</v>
      </c>
      <c r="I270" s="236">
        <v>0</v>
      </c>
      <c r="J270" s="236">
        <v>0</v>
      </c>
      <c r="K270" s="236">
        <v>0</v>
      </c>
      <c r="L270" s="236">
        <v>1</v>
      </c>
      <c r="M270" s="236">
        <v>1371.8</v>
      </c>
      <c r="N270" s="155">
        <v>0</v>
      </c>
      <c r="O270" s="156">
        <f t="shared" si="46"/>
      </c>
      <c r="P270" s="155">
        <v>0</v>
      </c>
      <c r="Q270" s="156">
        <f t="shared" si="236"/>
      </c>
      <c r="R270" s="244">
        <f t="shared" ref="R270:R273" si="100">L270+J270</f>
      </c>
      <c r="S270" s="237">
        <f t="shared" ref="S270:S273" si="154">M270+K270</f>
      </c>
      <c r="T270" s="159">
        <f t="shared" si="234"/>
      </c>
      <c r="U270" s="159">
        <f t="shared" si="2"/>
      </c>
      <c r="V270" s="169">
        <f t="shared" si="0"/>
      </c>
      <c r="W270" s="155">
        <v>1</v>
      </c>
      <c r="X270" s="169">
        <f t="shared" si="6"/>
      </c>
      <c r="Y270" s="169">
        <f t="shared" si="4"/>
      </c>
      <c r="Z270" s="159">
        <f t="shared" si="232"/>
      </c>
      <c r="AA270" s="159">
        <f t="shared" si="47"/>
      </c>
      <c r="AB270" s="159">
        <f t="shared" si="237"/>
      </c>
      <c r="AC270" s="156">
        <f t="shared" si="235"/>
      </c>
      <c r="AD270" s="156">
        <f t="shared" si="3"/>
      </c>
      <c r="AE270" s="156">
        <f t="shared" si="1"/>
      </c>
      <c r="AF270" s="156">
        <f t="shared" si="7"/>
      </c>
      <c r="AG270" s="156">
        <f t="shared" si="5"/>
      </c>
      <c r="AH270" s="156">
        <f t="shared" si="233"/>
      </c>
      <c r="AI270" s="156">
        <f t="shared" si="48"/>
      </c>
      <c r="AJ270" s="155">
        <v>49</v>
      </c>
      <c r="AK270" s="160">
        <v>2484</v>
      </c>
      <c r="AL270" s="160">
        <v>505</v>
      </c>
      <c r="AM270" s="160">
        <v>613</v>
      </c>
      <c r="AN270" s="160">
        <v>71</v>
      </c>
      <c r="AO270" s="149">
        <v>31</v>
      </c>
      <c r="AP270" s="160">
        <v>76</v>
      </c>
      <c r="AQ270" s="150">
        <v>72</v>
      </c>
      <c r="AR270" s="149">
        <v>2</v>
      </c>
      <c r="AS270" s="149">
        <v>11</v>
      </c>
      <c r="AT270" s="155">
        <v>2</v>
      </c>
      <c r="AU270" s="155">
        <v>0</v>
      </c>
      <c r="AV270" s="207"/>
      <c r="AW270" s="165"/>
      <c r="AX270" s="197">
        <f t="shared" ref="AX270:AX273" si="291">COUNT(AU270)</f>
      </c>
    </row>
    <row r="271">
      <c r="A271" s="234"/>
      <c r="B271" s="149" t="s">
        <v>181</v>
      </c>
      <c r="C271" s="149" t="s">
        <v>182</v>
      </c>
      <c r="D271" s="149" t="s">
        <v>180</v>
      </c>
      <c r="E271" s="150" t="s">
        <v>176</v>
      </c>
      <c r="F271" s="159">
        <f t="shared" si="210"/>
      </c>
      <c r="G271" s="152">
        <v>1979.89</v>
      </c>
      <c r="H271" s="152">
        <v>663.4</v>
      </c>
      <c r="I271" s="236">
        <v>0</v>
      </c>
      <c r="J271" s="236">
        <v>0</v>
      </c>
      <c r="K271" s="236">
        <v>0</v>
      </c>
      <c r="L271" s="236">
        <v>2</v>
      </c>
      <c r="M271" s="236">
        <v>5615.75</v>
      </c>
      <c r="N271" s="155">
        <v>1</v>
      </c>
      <c r="O271" s="156">
        <f t="shared" si="46"/>
      </c>
      <c r="P271" s="155">
        <v>1</v>
      </c>
      <c r="Q271" s="156">
        <f t="shared" si="236"/>
      </c>
      <c r="R271" s="244">
        <f t="shared" si="100"/>
      </c>
      <c r="S271" s="237">
        <f t="shared" si="154"/>
      </c>
      <c r="T271" s="159">
        <f t="shared" si="234"/>
      </c>
      <c r="U271" s="159">
        <f t="shared" si="2"/>
      </c>
      <c r="V271" s="169">
        <f t="shared" si="0"/>
      </c>
      <c r="W271" s="155">
        <v>2</v>
      </c>
      <c r="X271" s="169">
        <f t="shared" si="6"/>
      </c>
      <c r="Y271" s="169">
        <f t="shared" si="4"/>
      </c>
      <c r="Z271" s="159">
        <f t="shared" si="232"/>
      </c>
      <c r="AA271" s="159">
        <f t="shared" si="47"/>
      </c>
      <c r="AB271" s="159">
        <f t="shared" si="237"/>
      </c>
      <c r="AC271" s="156">
        <f t="shared" si="235"/>
      </c>
      <c r="AD271" s="156">
        <f t="shared" si="3"/>
      </c>
      <c r="AE271" s="156">
        <f t="shared" si="1"/>
      </c>
      <c r="AF271" s="156">
        <f t="shared" si="7"/>
      </c>
      <c r="AG271" s="156">
        <f t="shared" si="5"/>
      </c>
      <c r="AH271" s="156">
        <f t="shared" si="233"/>
      </c>
      <c r="AI271" s="156">
        <f t="shared" si="48"/>
      </c>
      <c r="AJ271" s="155">
        <v>52</v>
      </c>
      <c r="AK271" s="160">
        <v>13170</v>
      </c>
      <c r="AL271" s="160">
        <v>382</v>
      </c>
      <c r="AM271" s="160">
        <v>538</v>
      </c>
      <c r="AN271" s="160">
        <v>60</v>
      </c>
      <c r="AO271" s="149">
        <v>17</v>
      </c>
      <c r="AP271" s="160">
        <v>62</v>
      </c>
      <c r="AQ271" s="150">
        <v>65</v>
      </c>
      <c r="AR271" s="149">
        <v>2</v>
      </c>
      <c r="AS271" s="149">
        <v>5</v>
      </c>
      <c r="AT271" s="155">
        <v>0</v>
      </c>
      <c r="AU271" s="155">
        <v>1</v>
      </c>
      <c r="AV271" s="207"/>
      <c r="AW271" s="165"/>
      <c r="AX271" s="197">
        <f t="shared" si="291"/>
      </c>
    </row>
    <row r="272">
      <c r="A272" s="234"/>
      <c r="B272" s="149" t="s">
        <v>181</v>
      </c>
      <c r="C272" s="149" t="s">
        <v>182</v>
      </c>
      <c r="D272" s="149" t="s">
        <v>180</v>
      </c>
      <c r="E272" s="150" t="s">
        <v>177</v>
      </c>
      <c r="F272" s="159">
        <f t="shared" si="210"/>
      </c>
      <c r="G272" s="152">
        <v>2175.46</v>
      </c>
      <c r="H272" s="152">
        <v>541.29</v>
      </c>
      <c r="I272" s="236">
        <v>0</v>
      </c>
      <c r="J272" s="236">
        <v>2</v>
      </c>
      <c r="K272" s="236">
        <v>2909.210000000001</v>
      </c>
      <c r="L272" s="236">
        <v>4</v>
      </c>
      <c r="M272" s="236">
        <v>10141.52</v>
      </c>
      <c r="N272" s="155">
        <v>0</v>
      </c>
      <c r="O272" s="156">
        <f t="shared" si="46"/>
      </c>
      <c r="P272" s="155">
        <v>2</v>
      </c>
      <c r="Q272" s="156">
        <f t="shared" si="236"/>
      </c>
      <c r="R272" s="244">
        <f t="shared" si="100"/>
      </c>
      <c r="S272" s="237">
        <f t="shared" si="154"/>
      </c>
      <c r="T272" s="159">
        <f t="shared" si="234"/>
      </c>
      <c r="U272" s="159">
        <f t="shared" si="2"/>
      </c>
      <c r="V272" s="169">
        <f t="shared" si="0"/>
      </c>
      <c r="W272" s="155">
        <v>2</v>
      </c>
      <c r="X272" s="169">
        <f t="shared" si="6"/>
      </c>
      <c r="Y272" s="169">
        <f t="shared" si="4"/>
      </c>
      <c r="Z272" s="159">
        <f t="shared" si="232"/>
      </c>
      <c r="AA272" s="159">
        <f t="shared" si="47"/>
      </c>
      <c r="AB272" s="159">
        <f t="shared" si="237"/>
      </c>
      <c r="AC272" s="156">
        <f t="shared" si="235"/>
      </c>
      <c r="AD272" s="156">
        <f t="shared" si="3"/>
      </c>
      <c r="AE272" s="156">
        <f t="shared" si="1"/>
      </c>
      <c r="AF272" s="156">
        <f t="shared" si="7"/>
      </c>
      <c r="AG272" s="156">
        <f t="shared" si="5"/>
      </c>
      <c r="AH272" s="156">
        <f t="shared" si="233"/>
      </c>
      <c r="AI272" s="156">
        <f t="shared" si="48"/>
      </c>
      <c r="AJ272" s="155">
        <v>53</v>
      </c>
      <c r="AK272" s="160">
        <v>15545</v>
      </c>
      <c r="AL272" s="160">
        <v>492</v>
      </c>
      <c r="AM272" s="160">
        <v>604</v>
      </c>
      <c r="AN272" s="160">
        <v>71</v>
      </c>
      <c r="AO272" s="149">
        <v>19</v>
      </c>
      <c r="AP272" s="160">
        <v>99</v>
      </c>
      <c r="AQ272" s="150">
        <v>70</v>
      </c>
      <c r="AR272" s="149">
        <v>8</v>
      </c>
      <c r="AS272" s="155">
        <v>7</v>
      </c>
      <c r="AT272" s="155">
        <v>2</v>
      </c>
      <c r="AU272" s="155">
        <v>3</v>
      </c>
      <c r="AV272" s="207"/>
      <c r="AW272" s="165"/>
      <c r="AX272" s="197">
        <f t="shared" si="291"/>
      </c>
    </row>
    <row r="273">
      <c r="A273" s="234"/>
      <c r="B273" s="149" t="s">
        <v>156</v>
      </c>
      <c r="C273" s="150" t="s">
        <v>157</v>
      </c>
      <c r="D273" s="149" t="s">
        <v>180</v>
      </c>
      <c r="E273" s="150" t="s">
        <v>178</v>
      </c>
      <c r="F273" s="159">
        <f t="shared" si="210"/>
      </c>
      <c r="G273" s="152">
        <v>2604.7</v>
      </c>
      <c r="H273" s="152">
        <v>619.24</v>
      </c>
      <c r="I273" s="236">
        <v>0</v>
      </c>
      <c r="J273" s="236">
        <v>0</v>
      </c>
      <c r="K273" s="236">
        <v>0</v>
      </c>
      <c r="L273" s="236">
        <v>1</v>
      </c>
      <c r="M273" s="236">
        <v>2516.020000000004</v>
      </c>
      <c r="N273" s="155">
        <v>1</v>
      </c>
      <c r="O273" s="156">
        <f t="shared" si="46"/>
      </c>
      <c r="P273" s="155">
        <v>1</v>
      </c>
      <c r="Q273" s="156">
        <f t="shared" si="236"/>
      </c>
      <c r="R273" s="244">
        <f t="shared" si="100"/>
      </c>
      <c r="S273" s="237">
        <f t="shared" si="154"/>
      </c>
      <c r="T273" s="159">
        <f t="shared" si="234"/>
      </c>
      <c r="U273" s="159">
        <f t="shared" si="2"/>
      </c>
      <c r="V273" s="169">
        <f t="shared" si="0"/>
      </c>
      <c r="W273" s="155">
        <v>1</v>
      </c>
      <c r="X273" s="169">
        <f t="shared" si="6"/>
      </c>
      <c r="Y273" s="169">
        <f t="shared" si="4"/>
      </c>
      <c r="Z273" s="159">
        <f t="shared" si="232"/>
      </c>
      <c r="AA273" s="159">
        <f t="shared" si="47"/>
      </c>
      <c r="AB273" s="159">
        <f t="shared" si="237"/>
      </c>
      <c r="AC273" s="156">
        <f t="shared" si="235"/>
      </c>
      <c r="AD273" s="156">
        <f t="shared" si="3"/>
      </c>
      <c r="AE273" s="156">
        <f t="shared" si="1"/>
      </c>
      <c r="AF273" s="156">
        <f t="shared" si="7"/>
      </c>
      <c r="AG273" s="156">
        <f t="shared" si="5"/>
      </c>
      <c r="AH273" s="156">
        <f t="shared" si="233"/>
      </c>
      <c r="AI273" s="156">
        <f t="shared" si="48"/>
      </c>
      <c r="AJ273" s="155">
        <v>53</v>
      </c>
      <c r="AK273" s="160">
        <v>19532</v>
      </c>
      <c r="AL273" s="160">
        <v>666</v>
      </c>
      <c r="AM273" s="160">
        <v>786</v>
      </c>
      <c r="AN273" s="160">
        <v>85</v>
      </c>
      <c r="AO273" s="149">
        <v>17</v>
      </c>
      <c r="AP273" s="160">
        <v>66</v>
      </c>
      <c r="AQ273" s="150">
        <v>77</v>
      </c>
      <c r="AR273" s="149">
        <v>1</v>
      </c>
      <c r="AS273" s="155">
        <v>8</v>
      </c>
      <c r="AT273" s="155">
        <v>0</v>
      </c>
      <c r="AU273" s="155">
        <v>1</v>
      </c>
      <c r="AV273" s="207"/>
      <c r="AW273" s="165"/>
      <c r="AX273" s="197">
        <f t="shared" si="291"/>
      </c>
    </row>
    <row r="274">
      <c r="A274" s="234"/>
      <c r="B274" s="171" t="s">
        <v>162</v>
      </c>
      <c r="C274" s="171"/>
      <c r="D274" s="171"/>
      <c r="E274" s="171"/>
      <c r="F274" s="173">
        <f>SUM(F270:F273)</f>
      </c>
      <c r="G274" s="173">
        <f>SUM(G270:G273)</f>
      </c>
      <c r="H274" s="173">
        <f>SUM(H270:H273)</f>
      </c>
      <c r="I274" s="173">
        <f>SUM(I270:I273)</f>
      </c>
      <c r="J274" s="173">
        <f>SUM(J270:J273)</f>
      </c>
      <c r="K274" s="173">
        <f>SUM(K270:K273)</f>
      </c>
      <c r="L274" s="173">
        <f>SUM(L270:L273)</f>
      </c>
      <c r="M274" s="173">
        <f>SUM(M270:M273)</f>
      </c>
      <c r="N274" s="173">
        <f>SUM(N270:N273)</f>
      </c>
      <c r="O274" s="175">
        <f t="shared" si="46"/>
      </c>
      <c r="P274" s="173">
        <f>SUM(P270:P273)</f>
      </c>
      <c r="Q274" s="175">
        <f t="shared" si="236"/>
      </c>
      <c r="R274" s="178">
        <f>SUM(R270:R273)</f>
      </c>
      <c r="S274" s="173">
        <f>SUM(S270:S273)</f>
      </c>
      <c r="T274" s="173">
        <f t="shared" si="234"/>
      </c>
      <c r="U274" s="173">
        <f t="shared" si="2"/>
      </c>
      <c r="V274" s="194">
        <f t="shared" si="0"/>
      </c>
      <c r="W274" s="173">
        <f>SUM(W270:W273)</f>
      </c>
      <c r="X274" s="194">
        <f t="shared" si="6"/>
      </c>
      <c r="Y274" s="194">
        <f t="shared" si="4"/>
      </c>
      <c r="Z274" s="173">
        <f t="shared" si="232"/>
      </c>
      <c r="AA274" s="173">
        <f t="shared" si="47"/>
      </c>
      <c r="AB274" s="238">
        <f t="shared" si="237"/>
      </c>
      <c r="AC274" s="175">
        <f t="shared" si="235"/>
      </c>
      <c r="AD274" s="175">
        <f t="shared" si="3"/>
      </c>
      <c r="AE274" s="175">
        <f t="shared" si="1"/>
      </c>
      <c r="AF274" s="239">
        <f t="shared" si="7"/>
      </c>
      <c r="AG274" s="175">
        <f t="shared" si="5"/>
      </c>
      <c r="AH274" s="175">
        <f t="shared" si="233"/>
      </c>
      <c r="AI274" s="175">
        <f t="shared" si="48"/>
      </c>
      <c r="AJ274" s="178">
        <f>AVERAGE(AJ270:AJ273)</f>
      </c>
      <c r="AK274" s="173">
        <f>SUM(AK270:AK273)</f>
      </c>
      <c r="AL274" s="173">
        <f>SUM(AL270:AL273)</f>
      </c>
      <c r="AM274" s="173">
        <f>SUM(AM270:AM273)</f>
      </c>
      <c r="AN274" s="173">
        <f>SUM(AN270:AN273)</f>
      </c>
      <c r="AO274" s="173">
        <f>SUM(AO270:AO273)</f>
      </c>
      <c r="AP274" s="173">
        <f>SUM(AP270:AP273)</f>
      </c>
      <c r="AQ274" s="173">
        <f>SUM(AQ270:AQ273)</f>
      </c>
      <c r="AR274" s="173">
        <f>SUM(AR270:AR273)</f>
      </c>
      <c r="AS274" s="173">
        <f>SUM(AS270:AS273)</f>
      </c>
      <c r="AT274" s="173">
        <f>SUM(AT270:AT273)</f>
      </c>
      <c r="AU274" s="173">
        <f>SUM(AU270:AU273)</f>
      </c>
      <c r="AV274" s="207"/>
      <c r="AW274" s="180"/>
      <c r="AX274" s="181">
        <f>SUM(AX270:AX273)</f>
      </c>
    </row>
    <row r="275">
      <c r="A275" s="234"/>
      <c r="B275" s="149" t="s">
        <v>156</v>
      </c>
      <c r="C275" s="150" t="s">
        <v>157</v>
      </c>
      <c r="D275" s="149" t="s">
        <v>163</v>
      </c>
      <c r="E275" s="150" t="s">
        <v>159</v>
      </c>
      <c r="F275" s="159">
        <f t="shared" ref="F275:F278" si="211">G275+H275+I275</f>
      </c>
      <c r="G275" s="152">
        <v>2518.06</v>
      </c>
      <c r="H275" s="152">
        <v>891.17</v>
      </c>
      <c r="I275" s="236">
        <v>0</v>
      </c>
      <c r="J275" s="236">
        <v>1</v>
      </c>
      <c r="K275" s="236">
        <v>1865.9599999999991</v>
      </c>
      <c r="L275" s="236">
        <v>3</v>
      </c>
      <c r="M275" s="236">
        <v>10994.509999999995</v>
      </c>
      <c r="N275" s="155">
        <v>0</v>
      </c>
      <c r="O275" s="156">
        <f t="shared" si="46"/>
      </c>
      <c r="P275" s="155">
        <v>2</v>
      </c>
      <c r="Q275" s="156">
        <f t="shared" si="236"/>
      </c>
      <c r="R275" s="244">
        <f t="shared" ref="R275:R278" si="101">L275+J275</f>
      </c>
      <c r="S275" s="237">
        <f t="shared" ref="S275:S278" si="155">M275+K275</f>
      </c>
      <c r="T275" s="159">
        <f t="shared" si="234"/>
      </c>
      <c r="U275" s="159">
        <f t="shared" si="2"/>
      </c>
      <c r="V275" s="169">
        <f t="shared" si="0"/>
      </c>
      <c r="W275" s="155">
        <v>3</v>
      </c>
      <c r="X275" s="169">
        <f t="shared" si="6"/>
      </c>
      <c r="Y275" s="169">
        <f t="shared" si="4"/>
      </c>
      <c r="Z275" s="159">
        <f t="shared" si="232"/>
      </c>
      <c r="AA275" s="159">
        <f t="shared" si="47"/>
      </c>
      <c r="AB275" s="159">
        <f t="shared" si="237"/>
      </c>
      <c r="AC275" s="156">
        <f t="shared" si="235"/>
      </c>
      <c r="AD275" s="156">
        <f t="shared" si="3"/>
      </c>
      <c r="AE275" s="156">
        <f t="shared" si="1"/>
      </c>
      <c r="AF275" s="156">
        <f t="shared" si="7"/>
      </c>
      <c r="AG275" s="156">
        <f t="shared" si="5"/>
      </c>
      <c r="AH275" s="156">
        <f t="shared" si="233"/>
      </c>
      <c r="AI275" s="156">
        <f t="shared" si="48"/>
      </c>
      <c r="AJ275" s="155">
        <v>53</v>
      </c>
      <c r="AK275" s="160">
        <v>20628</v>
      </c>
      <c r="AL275" s="160">
        <v>675</v>
      </c>
      <c r="AM275" s="160">
        <v>809</v>
      </c>
      <c r="AN275" s="160">
        <v>96</v>
      </c>
      <c r="AO275" s="149">
        <v>39</v>
      </c>
      <c r="AP275" s="160">
        <v>100</v>
      </c>
      <c r="AQ275" s="150">
        <v>84</v>
      </c>
      <c r="AR275" s="149">
        <v>5</v>
      </c>
      <c r="AS275" s="149">
        <v>9</v>
      </c>
      <c r="AT275" s="155">
        <v>1</v>
      </c>
      <c r="AU275" s="155">
        <v>3</v>
      </c>
      <c r="AV275" s="207"/>
      <c r="AW275" s="165"/>
      <c r="AX275" s="197">
        <f t="shared" ref="AX275:AX278" si="292">COUNT(AU275)</f>
      </c>
    </row>
    <row r="276">
      <c r="A276" s="234"/>
      <c r="B276" s="149" t="s">
        <v>156</v>
      </c>
      <c r="C276" s="150" t="s">
        <v>157</v>
      </c>
      <c r="D276" s="149" t="s">
        <v>163</v>
      </c>
      <c r="E276" s="150" t="s">
        <v>160</v>
      </c>
      <c r="F276" s="159">
        <f t="shared" si="211"/>
      </c>
      <c r="G276" s="152">
        <v>2176.24</v>
      </c>
      <c r="H276" s="152">
        <v>1278.88</v>
      </c>
      <c r="I276" s="236">
        <v>0</v>
      </c>
      <c r="J276" s="236">
        <v>2</v>
      </c>
      <c r="K276" s="236">
        <v>5639.200000000001</v>
      </c>
      <c r="L276" s="236">
        <v>0</v>
      </c>
      <c r="M276" s="236">
        <v>0</v>
      </c>
      <c r="N276" s="155">
        <v>0</v>
      </c>
      <c r="O276" s="156">
        <f t="shared" si="46"/>
      </c>
      <c r="P276" s="155">
        <v>0</v>
      </c>
      <c r="Q276" s="156">
        <f t="shared" si="236"/>
      </c>
      <c r="R276" s="244">
        <f t="shared" si="101"/>
      </c>
      <c r="S276" s="237">
        <f t="shared" si="155"/>
      </c>
      <c r="T276" s="159">
        <f t="shared" si="234"/>
      </c>
      <c r="U276" s="159">
        <f t="shared" si="2"/>
      </c>
      <c r="V276" s="169">
        <f t="shared" si="0"/>
      </c>
      <c r="W276" s="155">
        <v>0</v>
      </c>
      <c r="X276" s="169">
        <f t="shared" si="6"/>
      </c>
      <c r="Y276" s="169">
        <f t="shared" si="4"/>
      </c>
      <c r="Z276" s="159">
        <f t="shared" si="232"/>
      </c>
      <c r="AA276" s="159">
        <f t="shared" si="47"/>
      </c>
      <c r="AB276" s="159">
        <f t="shared" si="237"/>
      </c>
      <c r="AC276" s="156">
        <f t="shared" si="235"/>
      </c>
      <c r="AD276" s="156">
        <f t="shared" si="3"/>
      </c>
      <c r="AE276" s="156">
        <f t="shared" si="1"/>
      </c>
      <c r="AF276" s="156">
        <f t="shared" si="7"/>
      </c>
      <c r="AG276" s="156">
        <f t="shared" si="5"/>
      </c>
      <c r="AH276" s="156">
        <f t="shared" si="233"/>
      </c>
      <c r="AI276" s="156">
        <f t="shared" si="48"/>
      </c>
      <c r="AJ276" s="155">
        <v>54</v>
      </c>
      <c r="AK276" s="160">
        <v>21580</v>
      </c>
      <c r="AL276" s="160">
        <v>650</v>
      </c>
      <c r="AM276" s="160">
        <v>806</v>
      </c>
      <c r="AN276" s="160">
        <v>89</v>
      </c>
      <c r="AO276" s="149">
        <v>26</v>
      </c>
      <c r="AP276" s="160">
        <v>99</v>
      </c>
      <c r="AQ276" s="150">
        <v>95</v>
      </c>
      <c r="AR276" s="149">
        <v>2</v>
      </c>
      <c r="AS276" s="149">
        <v>10</v>
      </c>
      <c r="AT276" s="160">
        <v>1</v>
      </c>
      <c r="AU276" s="160">
        <v>6</v>
      </c>
      <c r="AV276" s="207"/>
      <c r="AW276" s="165"/>
      <c r="AX276" s="197">
        <f t="shared" si="292"/>
      </c>
    </row>
    <row r="277">
      <c r="A277" s="234"/>
      <c r="B277" s="149" t="s">
        <v>156</v>
      </c>
      <c r="C277" s="150" t="s">
        <v>157</v>
      </c>
      <c r="D277" s="149" t="s">
        <v>163</v>
      </c>
      <c r="E277" s="150" t="s">
        <v>161</v>
      </c>
      <c r="F277" s="159">
        <f t="shared" si="211"/>
      </c>
      <c r="G277" s="152">
        <v>2736.88</v>
      </c>
      <c r="H277" s="152">
        <v>1325.07</v>
      </c>
      <c r="I277" s="236">
        <v>0</v>
      </c>
      <c r="J277" s="236">
        <v>0</v>
      </c>
      <c r="K277" s="236">
        <v>0</v>
      </c>
      <c r="L277" s="236">
        <v>2</v>
      </c>
      <c r="M277" s="236">
        <v>8479.449999999997</v>
      </c>
      <c r="N277" s="155">
        <v>1</v>
      </c>
      <c r="O277" s="156">
        <f t="shared" si="46"/>
      </c>
      <c r="P277" s="155">
        <v>1</v>
      </c>
      <c r="Q277" s="156">
        <f t="shared" si="236"/>
      </c>
      <c r="R277" s="244">
        <f t="shared" si="101"/>
      </c>
      <c r="S277" s="237">
        <f t="shared" si="155"/>
      </c>
      <c r="T277" s="159">
        <f t="shared" si="234"/>
      </c>
      <c r="U277" s="159">
        <f t="shared" si="2"/>
      </c>
      <c r="V277" s="169">
        <f t="shared" si="0"/>
      </c>
      <c r="W277" s="155">
        <v>2</v>
      </c>
      <c r="X277" s="169">
        <f t="shared" si="6"/>
      </c>
      <c r="Y277" s="169">
        <f t="shared" si="4"/>
      </c>
      <c r="Z277" s="159">
        <f t="shared" si="232"/>
      </c>
      <c r="AA277" s="159">
        <f t="shared" si="47"/>
      </c>
      <c r="AB277" s="159">
        <f t="shared" si="237"/>
      </c>
      <c r="AC277" s="156">
        <f t="shared" si="235"/>
      </c>
      <c r="AD277" s="156">
        <f t="shared" si="3"/>
      </c>
      <c r="AE277" s="156">
        <f t="shared" si="1"/>
      </c>
      <c r="AF277" s="156">
        <f t="shared" si="7"/>
      </c>
      <c r="AG277" s="156">
        <f t="shared" si="5"/>
      </c>
      <c r="AH277" s="156">
        <f t="shared" si="233"/>
      </c>
      <c r="AI277" s="156">
        <f t="shared" si="48"/>
      </c>
      <c r="AJ277" s="155">
        <v>53</v>
      </c>
      <c r="AK277" s="160">
        <v>22365</v>
      </c>
      <c r="AL277" s="160">
        <v>899</v>
      </c>
      <c r="AM277" s="160">
        <v>1084</v>
      </c>
      <c r="AN277" s="160">
        <v>109</v>
      </c>
      <c r="AO277" s="149">
        <v>32</v>
      </c>
      <c r="AP277" s="160">
        <v>132</v>
      </c>
      <c r="AQ277" s="150">
        <v>125</v>
      </c>
      <c r="AR277" s="149">
        <v>3</v>
      </c>
      <c r="AS277" s="155">
        <v>6</v>
      </c>
      <c r="AT277" s="155">
        <v>0</v>
      </c>
      <c r="AU277" s="155">
        <v>2</v>
      </c>
      <c r="AV277" s="207"/>
      <c r="AW277" s="165"/>
      <c r="AX277" s="197">
        <f t="shared" si="292"/>
      </c>
    </row>
    <row r="278">
      <c r="A278" s="234"/>
      <c r="B278" s="149" t="s">
        <v>156</v>
      </c>
      <c r="C278" s="150" t="s">
        <v>157</v>
      </c>
      <c r="D278" s="149" t="s">
        <v>163</v>
      </c>
      <c r="E278" s="150" t="s">
        <v>164</v>
      </c>
      <c r="F278" s="246">
        <f t="shared" si="211"/>
      </c>
      <c r="G278" s="247">
        <v>3881.22</v>
      </c>
      <c r="H278" s="247">
        <v>1241.7</v>
      </c>
      <c r="I278" s="236">
        <v>0</v>
      </c>
      <c r="J278" s="236">
        <v>1</v>
      </c>
      <c r="K278" s="236">
        <v>1221.699999999997</v>
      </c>
      <c r="L278" s="236">
        <v>7</v>
      </c>
      <c r="M278" s="236">
        <v>11203.660000000003</v>
      </c>
      <c r="N278" s="155">
        <v>4</v>
      </c>
      <c r="O278" s="156">
        <f t="shared" si="46"/>
      </c>
      <c r="P278" s="155">
        <v>0</v>
      </c>
      <c r="Q278" s="156">
        <f t="shared" si="236"/>
      </c>
      <c r="R278" s="244">
        <f t="shared" si="101"/>
      </c>
      <c r="S278" s="237">
        <f t="shared" si="155"/>
      </c>
      <c r="T278" s="159">
        <f t="shared" si="234"/>
      </c>
      <c r="U278" s="159">
        <f t="shared" si="2"/>
      </c>
      <c r="V278" s="169">
        <f t="shared" si="0"/>
      </c>
      <c r="W278" s="155">
        <v>5</v>
      </c>
      <c r="X278" s="169">
        <f t="shared" si="6"/>
      </c>
      <c r="Y278" s="169">
        <f t="shared" si="4"/>
      </c>
      <c r="Z278" s="159">
        <f t="shared" si="232"/>
      </c>
      <c r="AA278" s="159">
        <f t="shared" si="47"/>
      </c>
      <c r="AB278" s="159">
        <f t="shared" si="237"/>
      </c>
      <c r="AC278" s="156">
        <f t="shared" si="235"/>
      </c>
      <c r="AD278" s="156">
        <f t="shared" si="3"/>
      </c>
      <c r="AE278" s="156">
        <f t="shared" si="1"/>
      </c>
      <c r="AF278" s="156">
        <f t="shared" si="7"/>
      </c>
      <c r="AG278" s="156">
        <f t="shared" si="5"/>
      </c>
      <c r="AH278" s="156">
        <f t="shared" si="233"/>
      </c>
      <c r="AI278" s="156">
        <f t="shared" si="48"/>
      </c>
      <c r="AJ278" s="155">
        <v>51</v>
      </c>
      <c r="AK278" s="160">
        <v>26978</v>
      </c>
      <c r="AL278" s="160">
        <v>1076</v>
      </c>
      <c r="AM278" s="160">
        <v>1306</v>
      </c>
      <c r="AN278" s="160">
        <v>107</v>
      </c>
      <c r="AO278" s="149">
        <v>36</v>
      </c>
      <c r="AP278" s="160">
        <v>98</v>
      </c>
      <c r="AQ278" s="150">
        <v>114</v>
      </c>
      <c r="AR278" s="149">
        <v>8</v>
      </c>
      <c r="AS278" s="160">
        <v>9</v>
      </c>
      <c r="AT278" s="160">
        <v>2</v>
      </c>
      <c r="AU278" s="155">
        <v>3</v>
      </c>
      <c r="AV278" s="207"/>
      <c r="AW278" s="165"/>
      <c r="AX278" s="197">
        <f t="shared" si="292"/>
      </c>
    </row>
    <row r="279">
      <c r="A279" s="234"/>
      <c r="B279" s="171" t="s">
        <v>162</v>
      </c>
      <c r="C279" s="171"/>
      <c r="D279" s="171"/>
      <c r="E279" s="171"/>
      <c r="F279" s="173">
        <f>SUM(F275:F278)</f>
      </c>
      <c r="G279" s="173">
        <f>SUM(G275:G278)</f>
      </c>
      <c r="H279" s="173">
        <f>SUM(H275:H278)</f>
      </c>
      <c r="I279" s="173">
        <f>SUM(I275:I278)</f>
      </c>
      <c r="J279" s="173">
        <f>SUM(J275:J278)</f>
      </c>
      <c r="K279" s="173">
        <f>SUM(K275:K278)</f>
      </c>
      <c r="L279" s="173">
        <f>SUM(L275:L278)</f>
      </c>
      <c r="M279" s="173">
        <f>SUM(M275:M278)</f>
      </c>
      <c r="N279" s="173">
        <f>SUM(N275:N278)</f>
      </c>
      <c r="O279" s="175">
        <f t="shared" si="46"/>
      </c>
      <c r="P279" s="173">
        <f>SUM(P275:P278)</f>
      </c>
      <c r="Q279" s="175">
        <f t="shared" si="236"/>
      </c>
      <c r="R279" s="178">
        <f>SUM(R275:R278)</f>
      </c>
      <c r="S279" s="173">
        <f>SUM(S275:S278)</f>
      </c>
      <c r="T279" s="173">
        <f t="shared" si="234"/>
      </c>
      <c r="U279" s="173">
        <f t="shared" si="2"/>
      </c>
      <c r="V279" s="194">
        <f t="shared" si="0"/>
      </c>
      <c r="W279" s="173">
        <f>SUM(W275:W278)</f>
      </c>
      <c r="X279" s="194">
        <f t="shared" si="6"/>
      </c>
      <c r="Y279" s="194">
        <f t="shared" si="4"/>
      </c>
      <c r="Z279" s="173">
        <f t="shared" si="232"/>
      </c>
      <c r="AA279" s="173">
        <f t="shared" si="47"/>
      </c>
      <c r="AB279" s="238">
        <f t="shared" si="237"/>
      </c>
      <c r="AC279" s="175">
        <f t="shared" si="235"/>
      </c>
      <c r="AD279" s="175">
        <f t="shared" si="3"/>
      </c>
      <c r="AE279" s="175">
        <f t="shared" si="1"/>
      </c>
      <c r="AF279" s="245">
        <f t="shared" si="7"/>
      </c>
      <c r="AG279" s="175">
        <f t="shared" si="5"/>
      </c>
      <c r="AH279" s="175">
        <f t="shared" si="233"/>
      </c>
      <c r="AI279" s="175">
        <f t="shared" si="48"/>
      </c>
      <c r="AJ279" s="178">
        <f>AVERAGE(AJ275:AJ278)</f>
      </c>
      <c r="AK279" s="173">
        <f>SUM(AK275:AK278)</f>
      </c>
      <c r="AL279" s="173">
        <f>SUM(AL275:AL278)</f>
      </c>
      <c r="AM279" s="173">
        <f>SUM(AM275:AM278)</f>
      </c>
      <c r="AN279" s="173">
        <f>SUM(AN275:AN278)</f>
      </c>
      <c r="AO279" s="173">
        <f>SUM(AO275:AO278)</f>
      </c>
      <c r="AP279" s="173">
        <f>SUM(AP275:AP278)</f>
      </c>
      <c r="AQ279" s="173">
        <f>SUM(AQ275:AQ278)</f>
      </c>
      <c r="AR279" s="173">
        <f>SUM(AR275:AR278)</f>
      </c>
      <c r="AS279" s="173">
        <f>SUM(AS275:AS278)</f>
      </c>
      <c r="AT279" s="173">
        <f>SUM(AT275:AT278)</f>
      </c>
      <c r="AU279" s="173">
        <f>SUM(AU275:AU278)</f>
      </c>
      <c r="AV279" s="207"/>
      <c r="AW279" s="180"/>
      <c r="AX279" s="181">
        <f>SUM(AX275:AX278)</f>
      </c>
    </row>
    <row customHeight="true" ht="16.071428571428573" r="280">
      <c r="A280" s="234"/>
      <c r="B280" s="149" t="s">
        <v>156</v>
      </c>
      <c r="C280" s="150" t="s">
        <v>157</v>
      </c>
      <c r="D280" s="149" t="s">
        <v>169</v>
      </c>
      <c r="E280" s="150" t="s">
        <v>165</v>
      </c>
      <c r="F280" s="246">
        <f t="shared" ref="F280:F283" si="212">G280+H280+I280</f>
      </c>
      <c r="G280" s="247">
        <v>3691.24</v>
      </c>
      <c r="H280" s="247">
        <v>1177.03</v>
      </c>
      <c r="I280" s="236">
        <v>0</v>
      </c>
      <c r="J280" s="236">
        <v>1</v>
      </c>
      <c r="K280" s="236">
        <v>846</v>
      </c>
      <c r="L280" s="236">
        <v>7</v>
      </c>
      <c r="M280" s="236">
        <v>13969</v>
      </c>
      <c r="N280" s="155">
        <v>0</v>
      </c>
      <c r="O280" s="156">
        <f t="shared" si="46"/>
      </c>
      <c r="P280" s="155">
        <v>0</v>
      </c>
      <c r="Q280" s="156">
        <f t="shared" si="236"/>
      </c>
      <c r="R280" s="244">
        <f t="shared" ref="R280:R283" si="102">L280+J280</f>
      </c>
      <c r="S280" s="237">
        <f t="shared" ref="S280:S283" si="156">M280+K280</f>
      </c>
      <c r="T280" s="159">
        <f t="shared" si="234"/>
      </c>
      <c r="U280" s="159">
        <f t="shared" si="2"/>
      </c>
      <c r="V280" s="169">
        <f t="shared" si="0"/>
      </c>
      <c r="W280" s="155">
        <v>7</v>
      </c>
      <c r="X280" s="169">
        <f t="shared" si="6"/>
      </c>
      <c r="Y280" s="169">
        <f t="shared" si="4"/>
      </c>
      <c r="Z280" s="159">
        <f t="shared" si="232"/>
      </c>
      <c r="AA280" s="159">
        <f t="shared" si="47"/>
      </c>
      <c r="AB280" s="159">
        <f t="shared" si="237"/>
      </c>
      <c r="AC280" s="156">
        <f t="shared" si="235"/>
      </c>
      <c r="AD280" s="156">
        <f t="shared" si="3"/>
      </c>
      <c r="AE280" s="156">
        <f t="shared" si="1"/>
      </c>
      <c r="AF280" s="156">
        <f t="shared" si="7"/>
      </c>
      <c r="AG280" s="156">
        <f t="shared" si="5"/>
      </c>
      <c r="AH280" s="156">
        <f t="shared" si="233"/>
      </c>
      <c r="AI280" s="156">
        <f t="shared" si="48"/>
      </c>
      <c r="AJ280" s="155">
        <v>52</v>
      </c>
      <c r="AK280" s="160">
        <v>28302</v>
      </c>
      <c r="AL280" s="160">
        <v>1424</v>
      </c>
      <c r="AM280" s="160">
        <v>1655</v>
      </c>
      <c r="AN280" s="160">
        <v>156</v>
      </c>
      <c r="AO280" s="149">
        <v>42</v>
      </c>
      <c r="AP280" s="160">
        <v>131</v>
      </c>
      <c r="AQ280" s="150">
        <v>179</v>
      </c>
      <c r="AR280" s="149">
        <v>8</v>
      </c>
      <c r="AS280" s="160">
        <v>16</v>
      </c>
      <c r="AT280" s="160">
        <v>2</v>
      </c>
      <c r="AU280" s="155">
        <v>1</v>
      </c>
      <c r="AV280" s="207"/>
      <c r="AW280" s="165"/>
      <c r="AX280" s="197">
        <f t="shared" ref="AX280:AX283" si="293">COUNT(AU280)</f>
      </c>
    </row>
    <row customHeight="true" ht="16.071428571428573" r="281">
      <c r="A281" s="234"/>
      <c r="B281" s="149" t="s">
        <v>156</v>
      </c>
      <c r="C281" s="150" t="s">
        <v>157</v>
      </c>
      <c r="D281" s="149" t="s">
        <v>169</v>
      </c>
      <c r="E281" s="150" t="s">
        <v>168</v>
      </c>
      <c r="F281" s="246">
        <f t="shared" si="212"/>
      </c>
      <c r="G281" s="247">
        <v>5911.49</v>
      </c>
      <c r="H281" s="247">
        <v>2790.14</v>
      </c>
      <c r="I281" s="236">
        <v>0</v>
      </c>
      <c r="J281" s="236">
        <v>1</v>
      </c>
      <c r="K281" s="236">
        <v>1564.6500000000015</v>
      </c>
      <c r="L281" s="236">
        <v>3</v>
      </c>
      <c r="M281" s="236">
        <v>4708.349999999991</v>
      </c>
      <c r="N281" s="155">
        <v>0</v>
      </c>
      <c r="O281" s="156">
        <f t="shared" si="46"/>
      </c>
      <c r="P281" s="155">
        <v>0</v>
      </c>
      <c r="Q281" s="156">
        <f t="shared" si="236"/>
      </c>
      <c r="R281" s="244">
        <f t="shared" si="102"/>
      </c>
      <c r="S281" s="237">
        <f t="shared" si="156"/>
      </c>
      <c r="T281" s="159">
        <f t="shared" si="234"/>
      </c>
      <c r="U281" s="159">
        <f t="shared" si="2"/>
      </c>
      <c r="V281" s="169">
        <f t="shared" si="0"/>
      </c>
      <c r="W281" s="155">
        <v>4</v>
      </c>
      <c r="X281" s="169">
        <f t="shared" si="6"/>
      </c>
      <c r="Y281" s="169">
        <f t="shared" si="4"/>
      </c>
      <c r="Z281" s="159">
        <f t="shared" si="232"/>
      </c>
      <c r="AA281" s="159">
        <f t="shared" si="47"/>
      </c>
      <c r="AB281" s="159">
        <f t="shared" si="237"/>
      </c>
      <c r="AC281" s="156">
        <f t="shared" si="235"/>
      </c>
      <c r="AD281" s="156">
        <f t="shared" si="3"/>
      </c>
      <c r="AE281" s="156">
        <f t="shared" si="1"/>
      </c>
      <c r="AF281" s="156">
        <f t="shared" si="7"/>
      </c>
      <c r="AG281" s="156">
        <f t="shared" si="5"/>
      </c>
      <c r="AH281" s="156">
        <f t="shared" si="233"/>
      </c>
      <c r="AI281" s="156">
        <f t="shared" si="48"/>
      </c>
      <c r="AJ281" s="155">
        <v>52</v>
      </c>
      <c r="AK281" s="160">
        <v>52928</v>
      </c>
      <c r="AL281" s="160">
        <v>2117</v>
      </c>
      <c r="AM281" s="160">
        <v>2459</v>
      </c>
      <c r="AN281" s="160">
        <v>243</v>
      </c>
      <c r="AO281" s="149">
        <v>55</v>
      </c>
      <c r="AP281" s="160">
        <v>158</v>
      </c>
      <c r="AQ281" s="150">
        <v>273</v>
      </c>
      <c r="AR281" s="149">
        <v>5</v>
      </c>
      <c r="AS281" s="160">
        <v>20</v>
      </c>
      <c r="AT281" s="160">
        <v>1</v>
      </c>
      <c r="AU281" s="155">
        <v>13</v>
      </c>
      <c r="AV281" s="207"/>
      <c r="AW281" s="165"/>
      <c r="AX281" s="197">
        <f t="shared" si="293"/>
      </c>
    </row>
    <row customHeight="true" ht="16.071428571428573" r="282">
      <c r="A282" s="234"/>
      <c r="B282" s="149" t="s">
        <v>156</v>
      </c>
      <c r="C282" s="150" t="s">
        <v>157</v>
      </c>
      <c r="D282" s="149" t="s">
        <v>169</v>
      </c>
      <c r="E282" s="150" t="s">
        <v>171</v>
      </c>
      <c r="F282" s="246">
        <f t="shared" si="212"/>
      </c>
      <c r="G282" s="247">
        <v>2899.46</v>
      </c>
      <c r="H282" s="247">
        <v>1540.65</v>
      </c>
      <c r="I282" s="236">
        <v>0</v>
      </c>
      <c r="J282" s="236">
        <v>0</v>
      </c>
      <c r="K282" s="236">
        <v>0</v>
      </c>
      <c r="L282" s="236">
        <v>6</v>
      </c>
      <c r="M282" s="236">
        <v>10645.630000000005</v>
      </c>
      <c r="N282" s="155">
        <v>1</v>
      </c>
      <c r="O282" s="156">
        <f t="shared" si="46"/>
      </c>
      <c r="P282" s="155">
        <v>1</v>
      </c>
      <c r="Q282" s="156">
        <f t="shared" si="236"/>
      </c>
      <c r="R282" s="244">
        <f t="shared" si="102"/>
      </c>
      <c r="S282" s="237">
        <f t="shared" si="156"/>
      </c>
      <c r="T282" s="159">
        <f t="shared" si="234"/>
      </c>
      <c r="U282" s="159">
        <f t="shared" si="2"/>
      </c>
      <c r="V282" s="169">
        <f t="shared" si="0"/>
      </c>
      <c r="W282" s="155">
        <v>5</v>
      </c>
      <c r="X282" s="169">
        <f t="shared" si="6"/>
      </c>
      <c r="Y282" s="169">
        <f t="shared" si="4"/>
      </c>
      <c r="Z282" s="159">
        <f t="shared" si="232"/>
      </c>
      <c r="AA282" s="159">
        <f t="shared" si="47"/>
      </c>
      <c r="AB282" s="159">
        <f t="shared" si="237"/>
      </c>
      <c r="AC282" s="156">
        <f t="shared" si="235"/>
      </c>
      <c r="AD282" s="156">
        <f t="shared" si="3"/>
      </c>
      <c r="AE282" s="156">
        <f t="shared" si="1"/>
      </c>
      <c r="AF282" s="156">
        <f t="shared" si="7"/>
      </c>
      <c r="AG282" s="156">
        <f t="shared" si="5"/>
      </c>
      <c r="AH282" s="156">
        <f t="shared" si="233"/>
      </c>
      <c r="AI282" s="156">
        <f t="shared" si="48"/>
      </c>
      <c r="AJ282" s="155">
        <v>54</v>
      </c>
      <c r="AK282" s="160">
        <v>28444</v>
      </c>
      <c r="AL282" s="160">
        <v>1067</v>
      </c>
      <c r="AM282" s="160">
        <v>1267</v>
      </c>
      <c r="AN282" s="160">
        <v>133</v>
      </c>
      <c r="AO282" s="149">
        <v>57</v>
      </c>
      <c r="AP282" s="160">
        <v>120</v>
      </c>
      <c r="AQ282" s="150">
        <v>157</v>
      </c>
      <c r="AR282" s="149">
        <v>7</v>
      </c>
      <c r="AS282" s="160">
        <v>13</v>
      </c>
      <c r="AT282" s="160">
        <v>2</v>
      </c>
      <c r="AU282" s="155">
        <v>7</v>
      </c>
      <c r="AV282" s="207"/>
      <c r="AW282" s="165"/>
      <c r="AX282" s="197">
        <f t="shared" si="293"/>
      </c>
    </row>
    <row customHeight="true" ht="16.071428571428573" r="283">
      <c r="A283" s="234"/>
      <c r="B283" s="149" t="s">
        <v>156</v>
      </c>
      <c r="C283" s="150" t="s">
        <v>157</v>
      </c>
      <c r="D283" s="149" t="s">
        <v>169</v>
      </c>
      <c r="E283" s="150" t="s">
        <v>172</v>
      </c>
      <c r="F283" s="246">
        <f t="shared" si="212"/>
      </c>
      <c r="G283" s="247">
        <v>2374.33</v>
      </c>
      <c r="H283" s="247">
        <v>1154.31</v>
      </c>
      <c r="I283" s="236">
        <v>0</v>
      </c>
      <c r="J283" s="236">
        <v>3</v>
      </c>
      <c r="K283" s="236">
        <v>6465.2</v>
      </c>
      <c r="L283" s="236">
        <v>5</v>
      </c>
      <c r="M283" s="236">
        <v>20562.2</v>
      </c>
      <c r="N283" s="155">
        <v>2</v>
      </c>
      <c r="O283" s="156">
        <f t="shared" si="46"/>
      </c>
      <c r="P283" s="155">
        <v>1</v>
      </c>
      <c r="Q283" s="156">
        <f t="shared" si="236"/>
      </c>
      <c r="R283" s="244">
        <f t="shared" si="102"/>
      </c>
      <c r="S283" s="237">
        <f t="shared" si="156"/>
      </c>
      <c r="T283" s="159">
        <f t="shared" si="234"/>
      </c>
      <c r="U283" s="159">
        <f t="shared" si="2"/>
      </c>
      <c r="V283" s="169">
        <f t="shared" si="0"/>
      </c>
      <c r="W283" s="155">
        <v>6</v>
      </c>
      <c r="X283" s="169">
        <f t="shared" si="6"/>
      </c>
      <c r="Y283" s="169">
        <f t="shared" si="4"/>
      </c>
      <c r="Z283" s="159">
        <f t="shared" si="232"/>
      </c>
      <c r="AA283" s="159">
        <f t="shared" si="47"/>
      </c>
      <c r="AB283" s="159">
        <f t="shared" si="237"/>
      </c>
      <c r="AC283" s="156">
        <f t="shared" si="235"/>
      </c>
      <c r="AD283" s="156">
        <f t="shared" si="3"/>
      </c>
      <c r="AE283" s="156">
        <f t="shared" si="1"/>
      </c>
      <c r="AF283" s="156">
        <f t="shared" si="7"/>
      </c>
      <c r="AG283" s="156">
        <f t="shared" si="5"/>
      </c>
      <c r="AH283" s="156">
        <f t="shared" si="233"/>
      </c>
      <c r="AI283" s="156">
        <f t="shared" si="48"/>
      </c>
      <c r="AJ283" s="155">
        <v>55</v>
      </c>
      <c r="AK283" s="160">
        <v>36244</v>
      </c>
      <c r="AL283" s="160">
        <v>1290</v>
      </c>
      <c r="AM283" s="160">
        <v>1539</v>
      </c>
      <c r="AN283" s="160">
        <v>144</v>
      </c>
      <c r="AO283" s="149">
        <v>36</v>
      </c>
      <c r="AP283" s="155">
        <v>110</v>
      </c>
      <c r="AQ283" s="149">
        <v>149</v>
      </c>
      <c r="AR283" s="149">
        <v>11</v>
      </c>
      <c r="AS283" s="160">
        <v>16</v>
      </c>
      <c r="AT283" s="160">
        <v>3</v>
      </c>
      <c r="AU283" s="155">
        <v>1</v>
      </c>
      <c r="AV283" s="207"/>
      <c r="AW283" s="165"/>
      <c r="AX283" s="197">
        <f t="shared" si="293"/>
      </c>
    </row>
    <row customHeight="true" ht="16.071428571428573" r="284">
      <c r="A284" s="234"/>
      <c r="B284" s="171" t="s">
        <v>162</v>
      </c>
      <c r="C284" s="171"/>
      <c r="D284" s="171"/>
      <c r="E284" s="171"/>
      <c r="F284" s="173">
        <f>SUM(F280:F283)</f>
      </c>
      <c r="G284" s="173">
        <f>SUM(G280:G283)</f>
      </c>
      <c r="H284" s="173">
        <f>SUM(H280:H283)</f>
      </c>
      <c r="I284" s="173">
        <f>SUM(I280:I283)</f>
      </c>
      <c r="J284" s="173">
        <f>SUM(J280:J283)</f>
      </c>
      <c r="K284" s="173">
        <f>SUM(K280:K283)</f>
      </c>
      <c r="L284" s="173">
        <f>SUM(L280:L283)</f>
      </c>
      <c r="M284" s="173">
        <f>SUM(M280:M283)</f>
      </c>
      <c r="N284" s="173">
        <f>SUM(N280:N283)</f>
      </c>
      <c r="O284" s="175">
        <f t="shared" si="46"/>
      </c>
      <c r="P284" s="173">
        <f>SUM(P280:P283)</f>
      </c>
      <c r="Q284" s="175">
        <f t="shared" si="236"/>
      </c>
      <c r="R284" s="178">
        <f>SUM(R280:R283)</f>
      </c>
      <c r="S284" s="173">
        <f>SUM(S280:S283)</f>
      </c>
      <c r="T284" s="173">
        <f t="shared" si="234"/>
      </c>
      <c r="U284" s="173">
        <f t="shared" si="2"/>
      </c>
      <c r="V284" s="194">
        <f t="shared" si="0"/>
      </c>
      <c r="W284" s="173">
        <f>SUM(W280:W283)</f>
      </c>
      <c r="X284" s="194">
        <f t="shared" si="6"/>
      </c>
      <c r="Y284" s="194">
        <f t="shared" si="4"/>
      </c>
      <c r="Z284" s="173">
        <f t="shared" si="232"/>
      </c>
      <c r="AA284" s="173">
        <f t="shared" si="47"/>
      </c>
      <c r="AB284" s="238">
        <f t="shared" si="237"/>
      </c>
      <c r="AC284" s="175">
        <f t="shared" si="235"/>
      </c>
      <c r="AD284" s="175">
        <f t="shared" si="3"/>
      </c>
      <c r="AE284" s="175">
        <f t="shared" si="1"/>
      </c>
      <c r="AF284" s="245">
        <f t="shared" si="7"/>
      </c>
      <c r="AG284" s="175">
        <f t="shared" si="5"/>
      </c>
      <c r="AH284" s="175">
        <f t="shared" si="233"/>
      </c>
      <c r="AI284" s="175">
        <f t="shared" si="48"/>
      </c>
      <c r="AJ284" s="178">
        <f>AVERAGE(AJ280:AJ283)</f>
      </c>
      <c r="AK284" s="173">
        <f>SUM(AK280:AK283)</f>
      </c>
      <c r="AL284" s="173">
        <f>SUM(AL280:AL283)</f>
      </c>
      <c r="AM284" s="173">
        <f>SUM(AM280:AM283)</f>
      </c>
      <c r="AN284" s="173">
        <f>SUM(AN280:AN283)</f>
      </c>
      <c r="AO284" s="173">
        <f>SUM(AO280:AO283)</f>
      </c>
      <c r="AP284" s="173">
        <f>SUM(AP280:AP283)</f>
      </c>
      <c r="AQ284" s="173">
        <f>SUM(AQ280:AQ283)</f>
      </c>
      <c r="AR284" s="173">
        <f>SUM(AR280:AR283)</f>
      </c>
      <c r="AS284" s="173">
        <f>SUM(AS280:AS283)</f>
      </c>
      <c r="AT284" s="173">
        <f>SUM(AT280:AT283)</f>
      </c>
      <c r="AU284" s="173">
        <f>SUM(AU280:AU283)</f>
      </c>
      <c r="AV284" s="207"/>
      <c r="AW284" s="180"/>
      <c r="AX284" s="181">
        <f>SUM(AX280:AX283)</f>
      </c>
    </row>
    <row r="285">
      <c r="A285" s="234"/>
      <c r="B285" s="184" t="s">
        <v>166</v>
      </c>
      <c r="C285" s="184"/>
      <c r="D285" s="184"/>
      <c r="E285" s="184"/>
      <c r="F285" s="185">
        <f>F269+F274+F279+F284</f>
      </c>
      <c r="G285" s="185">
        <f>G269+G274+G279+G284</f>
      </c>
      <c r="H285" s="185">
        <f>H269+H274+H279+H284</f>
      </c>
      <c r="I285" s="185">
        <f>I269+I274+I279+I284</f>
      </c>
      <c r="J285" s="185">
        <f>J269+J274+J279+J284</f>
      </c>
      <c r="K285" s="185">
        <f>K269+K274+K279+K284</f>
      </c>
      <c r="L285" s="185">
        <f>L269+L274+L279+L284</f>
      </c>
      <c r="M285" s="185">
        <f>M269+M274+M279+M284</f>
      </c>
      <c r="N285" s="185">
        <f>N269+N274+N279+N284</f>
      </c>
      <c r="O285" s="186">
        <f t="shared" si="46"/>
      </c>
      <c r="P285" s="184">
        <f>P269+P274+P279+P284</f>
      </c>
      <c r="Q285" s="186">
        <f t="shared" si="236"/>
      </c>
      <c r="R285" s="190">
        <f>R269+R274+R279+R284</f>
      </c>
      <c r="S285" s="185">
        <f>S269+S274+S279+S284</f>
      </c>
      <c r="T285" s="185">
        <f t="shared" si="234"/>
      </c>
      <c r="U285" s="185">
        <f t="shared" si="2"/>
      </c>
      <c r="V285" s="187">
        <f t="shared" si="0"/>
      </c>
      <c r="W285" s="184">
        <f>W269+W274+W279+W284</f>
      </c>
      <c r="X285" s="187">
        <f t="shared" si="6"/>
      </c>
      <c r="Y285" s="187">
        <f t="shared" si="4"/>
      </c>
      <c r="Z285" s="185">
        <f t="shared" si="232"/>
      </c>
      <c r="AA285" s="185">
        <f t="shared" si="47"/>
      </c>
      <c r="AB285" s="189">
        <f t="shared" si="237"/>
      </c>
      <c r="AC285" s="186">
        <f t="shared" si="235"/>
      </c>
      <c r="AD285" s="186">
        <f t="shared" si="3"/>
      </c>
      <c r="AE285" s="186">
        <f t="shared" si="1"/>
      </c>
      <c r="AF285" s="241">
        <f t="shared" si="7"/>
      </c>
      <c r="AG285" s="186">
        <f t="shared" si="5"/>
      </c>
      <c r="AH285" s="186">
        <f t="shared" si="233"/>
      </c>
      <c r="AI285" s="186">
        <f t="shared" si="48"/>
      </c>
      <c r="AJ285" s="190">
        <f>(AJ269+AJ274+AJ279+AJ284)/4</f>
      </c>
      <c r="AK285" s="184">
        <f>AK269+AK274+AK279+AK284</f>
      </c>
      <c r="AL285" s="184">
        <f>AL269+AL274+AL279+AL284</f>
      </c>
      <c r="AM285" s="184">
        <f>AM269+AM274+AM279+AM284</f>
      </c>
      <c r="AN285" s="184">
        <f>AN269+AN274+AN279+AN284</f>
      </c>
      <c r="AO285" s="184">
        <f>AO269+AO274+AO279+AO284</f>
      </c>
      <c r="AP285" s="184">
        <f>AP269+AP274+AP279+AP284</f>
      </c>
      <c r="AQ285" s="184">
        <f>AQ269+AQ274+AQ279+AQ284</f>
      </c>
      <c r="AR285" s="184">
        <f>AR269+AR274+AR279+AR284</f>
      </c>
      <c r="AS285" s="184">
        <f>AS269+AS274+AS279+AS284</f>
      </c>
      <c r="AT285" s="184">
        <f>AT269+AT274+AT279+AT284</f>
      </c>
      <c r="AU285" s="184">
        <f>AU269+AU274+AU279+AU284</f>
      </c>
      <c r="AV285" s="207"/>
      <c r="AW285" s="184">
        <f>AW269+AW274+AW279</f>
      </c>
      <c r="AX285" s="184">
        <f>AX269+AX274+AX279+AX284</f>
      </c>
    </row>
    <row r="286">
      <c r="A286" s="234">
        <v>46291</v>
      </c>
      <c r="B286" s="149" t="s">
        <v>181</v>
      </c>
      <c r="C286" s="149" t="s">
        <v>182</v>
      </c>
      <c r="D286" s="149" t="s">
        <v>158</v>
      </c>
      <c r="E286" s="248" t="s">
        <v>183</v>
      </c>
      <c r="F286" s="159">
        <f t="shared" ref="F286:F289" si="213">G286+H286+I286</f>
      </c>
      <c r="G286" s="152">
        <v>4061.33</v>
      </c>
      <c r="H286" s="152">
        <v>781.53</v>
      </c>
      <c r="I286" s="236">
        <v>0</v>
      </c>
      <c r="J286" s="236">
        <v>0</v>
      </c>
      <c r="K286" s="242">
        <v>0</v>
      </c>
      <c r="L286" s="236">
        <v>5</v>
      </c>
      <c r="M286" s="236">
        <v>21541.61</v>
      </c>
      <c r="N286" s="155">
        <v>0</v>
      </c>
      <c r="O286" s="156">
        <f t="shared" si="46"/>
      </c>
      <c r="P286" s="155">
        <v>2</v>
      </c>
      <c r="Q286" s="156">
        <f t="shared" si="236"/>
      </c>
      <c r="R286" s="244">
        <f t="shared" ref="R286:R289" si="8">J286+L286</f>
      </c>
      <c r="S286" s="237">
        <f t="shared" ref="S286:S289" si="27">K286+M286</f>
      </c>
      <c r="T286" s="159">
        <f t="shared" si="234"/>
      </c>
      <c r="U286" s="159">
        <f t="shared" si="2"/>
      </c>
      <c r="V286" s="160">
        <f t="shared" si="0"/>
      </c>
      <c r="W286" s="155">
        <v>4</v>
      </c>
      <c r="X286" s="169">
        <f t="shared" si="6"/>
      </c>
      <c r="Y286" s="169">
        <f t="shared" si="4"/>
      </c>
      <c r="Z286" s="159">
        <f t="shared" si="232"/>
      </c>
      <c r="AA286" s="159">
        <f t="shared" si="47"/>
      </c>
      <c r="AB286" s="159">
        <f t="shared" si="237"/>
      </c>
      <c r="AC286" s="156">
        <f t="shared" si="235"/>
      </c>
      <c r="AD286" s="156">
        <f t="shared" si="3"/>
      </c>
      <c r="AE286" s="156">
        <f t="shared" si="1"/>
      </c>
      <c r="AF286" s="156">
        <f t="shared" si="7"/>
      </c>
      <c r="AG286" s="156">
        <f t="shared" si="5"/>
      </c>
      <c r="AH286" s="156">
        <f t="shared" si="233"/>
      </c>
      <c r="AI286" s="156">
        <f t="shared" si="48"/>
      </c>
      <c r="AJ286" s="155">
        <v>36</v>
      </c>
      <c r="AK286" s="160">
        <v>28645</v>
      </c>
      <c r="AL286" s="160">
        <v>1082</v>
      </c>
      <c r="AM286" s="160">
        <v>1274</v>
      </c>
      <c r="AN286" s="160">
        <v>120</v>
      </c>
      <c r="AO286" s="149">
        <v>12</v>
      </c>
      <c r="AP286" s="149">
        <v>116</v>
      </c>
      <c r="AQ286" s="150">
        <v>152</v>
      </c>
      <c r="AR286" s="149">
        <v>8</v>
      </c>
      <c r="AS286" s="149">
        <v>13</v>
      </c>
      <c r="AT286" s="160">
        <v>1</v>
      </c>
      <c r="AU286" s="160">
        <v>2</v>
      </c>
      <c r="AV286" s="207"/>
      <c r="AW286" s="165"/>
      <c r="AX286" s="197">
        <f t="shared" ref="AX286:AX289" si="294">COUNT(AU286)</f>
      </c>
    </row>
    <row r="287">
      <c r="A287" s="234"/>
      <c r="B287" s="149" t="s">
        <v>181</v>
      </c>
      <c r="C287" s="149" t="s">
        <v>182</v>
      </c>
      <c r="D287" s="149" t="s">
        <v>158</v>
      </c>
      <c r="E287" s="248" t="s">
        <v>184</v>
      </c>
      <c r="F287" s="159">
        <f t="shared" si="213"/>
      </c>
      <c r="G287" s="152">
        <v>5348.95</v>
      </c>
      <c r="H287" s="152">
        <v>787.01</v>
      </c>
      <c r="I287" s="236">
        <v>0</v>
      </c>
      <c r="J287" s="236">
        <v>0</v>
      </c>
      <c r="K287" s="236">
        <v>0</v>
      </c>
      <c r="L287" s="236">
        <v>4</v>
      </c>
      <c r="M287" s="236">
        <v>8734.419999999998</v>
      </c>
      <c r="N287" s="155">
        <v>0</v>
      </c>
      <c r="O287" s="156">
        <f t="shared" si="46"/>
      </c>
      <c r="P287" s="155">
        <v>1</v>
      </c>
      <c r="Q287" s="156">
        <f t="shared" si="236"/>
      </c>
      <c r="R287" s="244">
        <f t="shared" si="8"/>
      </c>
      <c r="S287" s="237">
        <f t="shared" si="27"/>
      </c>
      <c r="T287" s="159">
        <f t="shared" si="234"/>
      </c>
      <c r="U287" s="159">
        <f t="shared" si="2"/>
      </c>
      <c r="V287" s="160">
        <f t="shared" si="0"/>
      </c>
      <c r="W287" s="155">
        <v>4</v>
      </c>
      <c r="X287" s="169">
        <f t="shared" si="6"/>
      </c>
      <c r="Y287" s="169">
        <f t="shared" si="4"/>
      </c>
      <c r="Z287" s="159">
        <f t="shared" si="232"/>
      </c>
      <c r="AA287" s="159">
        <f t="shared" si="47"/>
      </c>
      <c r="AB287" s="159">
        <f t="shared" si="237"/>
      </c>
      <c r="AC287" s="156">
        <f t="shared" si="235"/>
      </c>
      <c r="AD287" s="156">
        <f t="shared" si="3"/>
      </c>
      <c r="AE287" s="156">
        <f t="shared" si="1"/>
      </c>
      <c r="AF287" s="156">
        <f t="shared" si="7"/>
      </c>
      <c r="AG287" s="156">
        <f t="shared" si="5"/>
      </c>
      <c r="AH287" s="156">
        <f t="shared" si="233"/>
      </c>
      <c r="AI287" s="156">
        <f t="shared" si="48"/>
      </c>
      <c r="AJ287" s="155">
        <v>41</v>
      </c>
      <c r="AK287" s="160">
        <v>30347</v>
      </c>
      <c r="AL287" s="160">
        <v>1333</v>
      </c>
      <c r="AM287" s="160">
        <v>1515</v>
      </c>
      <c r="AN287" s="160">
        <v>131</v>
      </c>
      <c r="AO287" s="149">
        <v>82</v>
      </c>
      <c r="AP287" s="160">
        <v>131</v>
      </c>
      <c r="AQ287" s="150">
        <v>160</v>
      </c>
      <c r="AR287" s="149">
        <v>6</v>
      </c>
      <c r="AS287" s="155">
        <v>9</v>
      </c>
      <c r="AT287" s="155">
        <v>2</v>
      </c>
      <c r="AU287" s="155">
        <v>0</v>
      </c>
      <c r="AV287" s="207"/>
      <c r="AW287" s="165"/>
      <c r="AX287" s="197">
        <f t="shared" si="294"/>
      </c>
    </row>
    <row r="288">
      <c r="A288" s="234"/>
      <c r="B288" s="149" t="s">
        <v>181</v>
      </c>
      <c r="C288" s="149" t="s">
        <v>182</v>
      </c>
      <c r="D288" s="149" t="s">
        <v>158</v>
      </c>
      <c r="E288" s="248" t="s">
        <v>185</v>
      </c>
      <c r="F288" s="159">
        <f t="shared" si="213"/>
      </c>
      <c r="G288" s="152">
        <v>3551.93</v>
      </c>
      <c r="H288" s="152">
        <v>479.21</v>
      </c>
      <c r="I288" s="236">
        <v>0</v>
      </c>
      <c r="J288" s="236">
        <v>1</v>
      </c>
      <c r="K288" s="236">
        <v>1055.45</v>
      </c>
      <c r="L288" s="236">
        <v>2</v>
      </c>
      <c r="M288" s="236">
        <v>6194.720000000001</v>
      </c>
      <c r="N288" s="155">
        <v>0</v>
      </c>
      <c r="O288" s="156">
        <f t="shared" si="46"/>
      </c>
      <c r="P288" s="155">
        <v>1</v>
      </c>
      <c r="Q288" s="156">
        <f t="shared" si="236"/>
      </c>
      <c r="R288" s="244">
        <f t="shared" si="8"/>
      </c>
      <c r="S288" s="237">
        <f t="shared" si="27"/>
      </c>
      <c r="T288" s="159">
        <f t="shared" si="234"/>
      </c>
      <c r="U288" s="159">
        <f t="shared" si="2"/>
      </c>
      <c r="V288" s="169">
        <f t="shared" si="0"/>
      </c>
      <c r="W288" s="155">
        <v>3</v>
      </c>
      <c r="X288" s="169">
        <f t="shared" si="6"/>
      </c>
      <c r="Y288" s="169">
        <f t="shared" si="4"/>
      </c>
      <c r="Z288" s="159">
        <f t="shared" si="232"/>
      </c>
      <c r="AA288" s="159">
        <f t="shared" si="47"/>
      </c>
      <c r="AB288" s="159">
        <f t="shared" si="237"/>
      </c>
      <c r="AC288" s="156">
        <f t="shared" si="235"/>
      </c>
      <c r="AD288" s="156">
        <f t="shared" si="3"/>
      </c>
      <c r="AE288" s="156">
        <f t="shared" si="1"/>
      </c>
      <c r="AF288" s="156">
        <f t="shared" si="7"/>
      </c>
      <c r="AG288" s="156">
        <f t="shared" si="5"/>
      </c>
      <c r="AH288" s="156">
        <f t="shared" si="233"/>
      </c>
      <c r="AI288" s="156">
        <f t="shared" si="48"/>
      </c>
      <c r="AJ288" s="155">
        <v>42</v>
      </c>
      <c r="AK288" s="160">
        <v>21997</v>
      </c>
      <c r="AL288" s="160">
        <v>978</v>
      </c>
      <c r="AM288" s="160">
        <v>1191</v>
      </c>
      <c r="AN288" s="160">
        <v>113</v>
      </c>
      <c r="AO288" s="149">
        <v>38</v>
      </c>
      <c r="AP288" s="160">
        <v>132</v>
      </c>
      <c r="AQ288" s="150">
        <v>149</v>
      </c>
      <c r="AR288" s="149">
        <v>3</v>
      </c>
      <c r="AS288" s="160">
        <v>13</v>
      </c>
      <c r="AT288" s="160">
        <v>4</v>
      </c>
      <c r="AU288" s="160">
        <v>0</v>
      </c>
      <c r="AV288" s="207"/>
      <c r="AW288" s="165"/>
      <c r="AX288" s="197">
        <f t="shared" si="294"/>
      </c>
    </row>
    <row r="289">
      <c r="A289" s="234"/>
      <c r="B289" s="149" t="s">
        <v>181</v>
      </c>
      <c r="C289" s="149" t="s">
        <v>182</v>
      </c>
      <c r="D289" s="149" t="s">
        <v>158</v>
      </c>
      <c r="E289" s="149" t="s">
        <v>186</v>
      </c>
      <c r="F289" s="159">
        <f t="shared" si="213"/>
      </c>
      <c r="G289" s="152">
        <v>3402.52</v>
      </c>
      <c r="H289" s="152">
        <v>861.89</v>
      </c>
      <c r="I289" s="236">
        <v>0</v>
      </c>
      <c r="J289" s="236">
        <v>0</v>
      </c>
      <c r="K289" s="236">
        <v>0</v>
      </c>
      <c r="L289" s="236">
        <v>2</v>
      </c>
      <c r="M289" s="236">
        <v>3358.9000000000015</v>
      </c>
      <c r="N289" s="155">
        <v>0</v>
      </c>
      <c r="O289" s="156">
        <f t="shared" si="46"/>
      </c>
      <c r="P289" s="155">
        <v>0</v>
      </c>
      <c r="Q289" s="156">
        <f t="shared" si="236"/>
      </c>
      <c r="R289" s="244">
        <f t="shared" si="8"/>
      </c>
      <c r="S289" s="237">
        <f t="shared" si="27"/>
      </c>
      <c r="T289" s="159">
        <f t="shared" si="234"/>
      </c>
      <c r="U289" s="159">
        <f t="shared" si="2"/>
      </c>
      <c r="V289" s="169">
        <f t="shared" si="0"/>
      </c>
      <c r="W289" s="155">
        <v>0</v>
      </c>
      <c r="X289" s="169">
        <f t="shared" si="6"/>
      </c>
      <c r="Y289" s="169">
        <f t="shared" si="4"/>
      </c>
      <c r="Z289" s="159">
        <f t="shared" si="232"/>
      </c>
      <c r="AA289" s="159">
        <f t="shared" si="47"/>
      </c>
      <c r="AB289" s="159">
        <f t="shared" si="237"/>
      </c>
      <c r="AC289" s="156">
        <f t="shared" si="235"/>
      </c>
      <c r="AD289" s="156">
        <f t="shared" si="3"/>
      </c>
      <c r="AE289" s="156">
        <f t="shared" si="1"/>
      </c>
      <c r="AF289" s="156">
        <f t="shared" si="7"/>
      </c>
      <c r="AG289" s="156">
        <f t="shared" si="5"/>
      </c>
      <c r="AH289" s="156">
        <f t="shared" si="233"/>
      </c>
      <c r="AI289" s="156">
        <f t="shared" si="48"/>
      </c>
      <c r="AJ289" s="155">
        <v>44</v>
      </c>
      <c r="AK289" s="160">
        <v>22065</v>
      </c>
      <c r="AL289" s="160">
        <v>1061</v>
      </c>
      <c r="AM289" s="160">
        <v>1266</v>
      </c>
      <c r="AN289" s="160">
        <v>96</v>
      </c>
      <c r="AO289" s="149">
        <v>30</v>
      </c>
      <c r="AP289" s="155">
        <v>119</v>
      </c>
      <c r="AQ289" s="149">
        <v>120</v>
      </c>
      <c r="AR289" s="149">
        <v>6</v>
      </c>
      <c r="AS289" s="155">
        <v>15</v>
      </c>
      <c r="AT289" s="155">
        <v>4</v>
      </c>
      <c r="AU289" s="155">
        <v>2</v>
      </c>
      <c r="AV289" s="207"/>
      <c r="AW289" s="165"/>
      <c r="AX289" s="197">
        <f t="shared" si="294"/>
      </c>
    </row>
    <row r="290">
      <c r="A290" s="234"/>
      <c r="B290" s="171" t="s">
        <v>162</v>
      </c>
      <c r="C290" s="171"/>
      <c r="D290" s="171"/>
      <c r="E290" s="171"/>
      <c r="F290" s="173">
        <f>SUM(F286:F289)</f>
      </c>
      <c r="G290" s="173">
        <f>SUM(G286:G289)</f>
      </c>
      <c r="H290" s="173">
        <f>SUM(H286:H289)</f>
      </c>
      <c r="I290" s="173">
        <f>SUM(I286:I289)</f>
      </c>
      <c r="J290" s="173">
        <f>SUM(J286:J289)</f>
      </c>
      <c r="K290" s="173">
        <f>SUM(K286:K289)</f>
      </c>
      <c r="L290" s="173">
        <f>SUM(L286:L289)</f>
      </c>
      <c r="M290" s="173">
        <f>SUM(M286:M289)</f>
      </c>
      <c r="N290" s="173">
        <f>SUM(N286:N289)</f>
      </c>
      <c r="O290" s="175">
        <f t="shared" si="46"/>
      </c>
      <c r="P290" s="173">
        <f>SUM(P286:P289)</f>
      </c>
      <c r="Q290" s="175">
        <f t="shared" si="236"/>
      </c>
      <c r="R290" s="178">
        <f>SUM(R286:R289)</f>
      </c>
      <c r="S290" s="173">
        <f>SUM(S286:S289)</f>
      </c>
      <c r="T290" s="173">
        <f t="shared" si="234"/>
      </c>
      <c r="U290" s="173">
        <f t="shared" si="2"/>
      </c>
      <c r="V290" s="173">
        <f t="shared" si="0"/>
      </c>
      <c r="W290" s="173">
        <f>SUM(W286:W289)</f>
      </c>
      <c r="X290" s="194">
        <f t="shared" si="6"/>
      </c>
      <c r="Y290" s="194">
        <f t="shared" si="4"/>
      </c>
      <c r="Z290" s="173">
        <f t="shared" si="232"/>
      </c>
      <c r="AA290" s="173">
        <f t="shared" si="47"/>
      </c>
      <c r="AB290" s="238">
        <f t="shared" si="237"/>
      </c>
      <c r="AC290" s="175">
        <f t="shared" si="235"/>
      </c>
      <c r="AD290" s="175">
        <f t="shared" si="3"/>
      </c>
      <c r="AE290" s="175">
        <f t="shared" si="1"/>
      </c>
      <c r="AF290" s="175">
        <f t="shared" si="7"/>
      </c>
      <c r="AG290" s="175">
        <f t="shared" si="5"/>
      </c>
      <c r="AH290" s="175">
        <f t="shared" si="233"/>
      </c>
      <c r="AI290" s="175">
        <f t="shared" si="48"/>
      </c>
      <c r="AJ290" s="178">
        <f>AVERAGE(AJ286:AJ289)</f>
      </c>
      <c r="AK290" s="173">
        <f>SUM(AK286:AK289)</f>
      </c>
      <c r="AL290" s="173">
        <f>SUM(AL286:AL289)</f>
      </c>
      <c r="AM290" s="173">
        <f>SUM(AM286:AM289)</f>
      </c>
      <c r="AN290" s="173">
        <f>SUM(AN286:AN289)</f>
      </c>
      <c r="AO290" s="173">
        <f>SUM(AO286:AO289)</f>
      </c>
      <c r="AP290" s="173">
        <f>SUM(AP286:AP289)</f>
      </c>
      <c r="AQ290" s="173">
        <f>SUM(AQ286:AQ289)</f>
      </c>
      <c r="AR290" s="173">
        <f>SUM(AR286:AR289)</f>
      </c>
      <c r="AS290" s="173">
        <f>SUM(AS286:AS289)</f>
      </c>
      <c r="AT290" s="173">
        <f>SUM(AT286:AT289)</f>
      </c>
      <c r="AU290" s="173">
        <f>SUM(AU286:AU289)</f>
      </c>
      <c r="AV290" s="207"/>
      <c r="AW290" s="180"/>
      <c r="AX290" s="181">
        <f>SUM(AX286:AX289)</f>
      </c>
    </row>
    <row r="291">
      <c r="A291" s="234"/>
      <c r="B291" s="149" t="s">
        <v>181</v>
      </c>
      <c r="C291" s="149" t="s">
        <v>182</v>
      </c>
      <c r="D291" s="149" t="s">
        <v>163</v>
      </c>
      <c r="E291" s="150" t="s">
        <v>175</v>
      </c>
      <c r="F291" s="159">
        <f t="shared" ref="F291:F294" si="214">G291+H291+I291</f>
      </c>
      <c r="G291" s="152">
        <v>2795.39</v>
      </c>
      <c r="H291" s="152">
        <v>420.98</v>
      </c>
      <c r="I291" s="236">
        <v>0</v>
      </c>
      <c r="J291" s="236">
        <v>0</v>
      </c>
      <c r="K291" s="236">
        <v>0</v>
      </c>
      <c r="L291" s="236">
        <v>0</v>
      </c>
      <c r="M291" s="236">
        <v>0</v>
      </c>
      <c r="N291" s="155">
        <v>0</v>
      </c>
      <c r="O291" s="156">
        <f t="shared" si="46"/>
      </c>
      <c r="P291" s="155">
        <v>0</v>
      </c>
      <c r="Q291" s="156">
        <f t="shared" si="236"/>
      </c>
      <c r="R291" s="244">
        <f t="shared" ref="R291:R294" si="9">J291+L291</f>
      </c>
      <c r="S291" s="237">
        <f t="shared" ref="S291:S294" si="28">K291+M291</f>
      </c>
      <c r="T291" s="159">
        <f t="shared" si="234"/>
      </c>
      <c r="U291" s="159">
        <f t="shared" si="2"/>
      </c>
      <c r="V291" s="169">
        <f t="shared" si="0"/>
      </c>
      <c r="W291" s="155">
        <v>0</v>
      </c>
      <c r="X291" s="169">
        <f t="shared" si="6"/>
      </c>
      <c r="Y291" s="169">
        <f t="shared" si="4"/>
      </c>
      <c r="Z291" s="159">
        <f t="shared" si="232"/>
      </c>
      <c r="AA291" s="159">
        <f t="shared" si="47"/>
      </c>
      <c r="AB291" s="159">
        <f t="shared" si="237"/>
      </c>
      <c r="AC291" s="156">
        <f t="shared" si="235"/>
      </c>
      <c r="AD291" s="156">
        <f t="shared" si="3"/>
      </c>
      <c r="AE291" s="156">
        <f t="shared" si="1"/>
      </c>
      <c r="AF291" s="156">
        <f t="shared" si="7"/>
      </c>
      <c r="AG291" s="156">
        <f t="shared" si="5"/>
      </c>
      <c r="AH291" s="156">
        <f t="shared" si="233"/>
      </c>
      <c r="AI291" s="156">
        <f t="shared" si="48"/>
      </c>
      <c r="AJ291" s="155">
        <v>44</v>
      </c>
      <c r="AK291" s="160">
        <v>17022</v>
      </c>
      <c r="AL291" s="160">
        <v>867</v>
      </c>
      <c r="AM291" s="160">
        <v>1033</v>
      </c>
      <c r="AN291" s="160">
        <v>90</v>
      </c>
      <c r="AO291" s="149">
        <v>26</v>
      </c>
      <c r="AP291" s="160">
        <v>55</v>
      </c>
      <c r="AQ291" s="150">
        <v>100</v>
      </c>
      <c r="AR291" s="149">
        <v>1</v>
      </c>
      <c r="AS291" s="149">
        <v>5</v>
      </c>
      <c r="AT291" s="155">
        <v>2</v>
      </c>
      <c r="AU291" s="155">
        <v>1</v>
      </c>
      <c r="AV291" s="207"/>
      <c r="AW291" s="165"/>
      <c r="AX291" s="197">
        <f t="shared" ref="AX291:AX294" si="295">COUNT(AU291)</f>
      </c>
    </row>
    <row r="292">
      <c r="A292" s="234"/>
      <c r="B292" s="149" t="s">
        <v>181</v>
      </c>
      <c r="C292" s="149" t="s">
        <v>182</v>
      </c>
      <c r="D292" s="149" t="s">
        <v>163</v>
      </c>
      <c r="E292" s="150" t="s">
        <v>176</v>
      </c>
      <c r="F292" s="159">
        <f t="shared" si="214"/>
      </c>
      <c r="G292" s="152">
        <v>2203.34</v>
      </c>
      <c r="H292" s="152">
        <v>410.91</v>
      </c>
      <c r="I292" s="236">
        <v>0</v>
      </c>
      <c r="J292" s="236">
        <v>0</v>
      </c>
      <c r="K292" s="236">
        <v>0</v>
      </c>
      <c r="L292" s="236">
        <v>1</v>
      </c>
      <c r="M292" s="236">
        <v>2712.25</v>
      </c>
      <c r="N292" s="155">
        <v>0</v>
      </c>
      <c r="O292" s="156">
        <f t="shared" si="46"/>
      </c>
      <c r="P292" s="155">
        <v>0</v>
      </c>
      <c r="Q292" s="156">
        <f t="shared" si="236"/>
      </c>
      <c r="R292" s="244">
        <f t="shared" si="9"/>
      </c>
      <c r="S292" s="237">
        <f t="shared" si="28"/>
      </c>
      <c r="T292" s="159">
        <f t="shared" si="234"/>
      </c>
      <c r="U292" s="159">
        <f t="shared" si="2"/>
      </c>
      <c r="V292" s="169">
        <f t="shared" si="0"/>
      </c>
      <c r="W292" s="155">
        <v>1</v>
      </c>
      <c r="X292" s="169">
        <f t="shared" si="6"/>
      </c>
      <c r="Y292" s="169">
        <f t="shared" si="4"/>
      </c>
      <c r="Z292" s="159">
        <f t="shared" si="232"/>
      </c>
      <c r="AA292" s="159">
        <f t="shared" si="47"/>
      </c>
      <c r="AB292" s="159">
        <f t="shared" si="237"/>
      </c>
      <c r="AC292" s="156">
        <f t="shared" si="235"/>
      </c>
      <c r="AD292" s="156">
        <f t="shared" si="3"/>
      </c>
      <c r="AE292" s="156">
        <f t="shared" si="1"/>
      </c>
      <c r="AF292" s="156">
        <f t="shared" si="7"/>
      </c>
      <c r="AG292" s="156">
        <f t="shared" si="5"/>
      </c>
      <c r="AH292" s="156">
        <f t="shared" si="233"/>
      </c>
      <c r="AI292" s="156">
        <f t="shared" si="48"/>
      </c>
      <c r="AJ292" s="155">
        <v>44</v>
      </c>
      <c r="AK292" s="160">
        <v>11470</v>
      </c>
      <c r="AL292" s="160">
        <v>637</v>
      </c>
      <c r="AM292" s="160">
        <v>791</v>
      </c>
      <c r="AN292" s="160">
        <v>76</v>
      </c>
      <c r="AO292" s="149">
        <v>26</v>
      </c>
      <c r="AP292" s="160">
        <v>53</v>
      </c>
      <c r="AQ292" s="150">
        <v>85</v>
      </c>
      <c r="AR292" s="149">
        <v>1</v>
      </c>
      <c r="AS292" s="149">
        <v>8</v>
      </c>
      <c r="AT292" s="155">
        <v>5</v>
      </c>
      <c r="AU292" s="155">
        <v>2</v>
      </c>
      <c r="AV292" s="207"/>
      <c r="AW292" s="165"/>
      <c r="AX292" s="197">
        <f t="shared" si="295"/>
      </c>
    </row>
    <row r="293">
      <c r="A293" s="234"/>
      <c r="B293" s="149" t="s">
        <v>181</v>
      </c>
      <c r="C293" s="149" t="s">
        <v>182</v>
      </c>
      <c r="D293" s="149" t="s">
        <v>163</v>
      </c>
      <c r="E293" s="150" t="s">
        <v>177</v>
      </c>
      <c r="F293" s="159">
        <f t="shared" si="214"/>
      </c>
      <c r="G293" s="152">
        <v>2305.51</v>
      </c>
      <c r="H293" s="152">
        <v>533.67</v>
      </c>
      <c r="I293" s="236">
        <v>0</v>
      </c>
      <c r="J293" s="236">
        <v>1</v>
      </c>
      <c r="K293" s="236">
        <v>846</v>
      </c>
      <c r="L293" s="236">
        <v>2</v>
      </c>
      <c r="M293" s="236">
        <v>9213.099999999999</v>
      </c>
      <c r="N293" s="155">
        <v>0</v>
      </c>
      <c r="O293" s="156">
        <f t="shared" si="46"/>
      </c>
      <c r="P293" s="155">
        <v>0</v>
      </c>
      <c r="Q293" s="156">
        <f t="shared" si="236"/>
      </c>
      <c r="R293" s="244">
        <f t="shared" si="9"/>
      </c>
      <c r="S293" s="237">
        <f t="shared" si="28"/>
      </c>
      <c r="T293" s="159">
        <f t="shared" si="234"/>
      </c>
      <c r="U293" s="159">
        <f t="shared" si="2"/>
      </c>
      <c r="V293" s="169">
        <f t="shared" si="0"/>
      </c>
      <c r="W293" s="155">
        <v>3</v>
      </c>
      <c r="X293" s="169">
        <f t="shared" si="6"/>
      </c>
      <c r="Y293" s="169">
        <f t="shared" si="4"/>
      </c>
      <c r="Z293" s="159">
        <f t="shared" si="232"/>
      </c>
      <c r="AA293" s="159">
        <f t="shared" si="47"/>
      </c>
      <c r="AB293" s="159">
        <f t="shared" si="237"/>
      </c>
      <c r="AC293" s="156">
        <f t="shared" si="235"/>
      </c>
      <c r="AD293" s="156">
        <f t="shared" si="3"/>
      </c>
      <c r="AE293" s="156">
        <f t="shared" si="1"/>
      </c>
      <c r="AF293" s="156">
        <f t="shared" si="7"/>
      </c>
      <c r="AG293" s="156">
        <f t="shared" si="5"/>
      </c>
      <c r="AH293" s="156">
        <f t="shared" si="233"/>
      </c>
      <c r="AI293" s="156">
        <f t="shared" si="48"/>
      </c>
      <c r="AJ293" s="155">
        <v>44</v>
      </c>
      <c r="AK293" s="160">
        <v>13805</v>
      </c>
      <c r="AL293" s="160">
        <v>679</v>
      </c>
      <c r="AM293" s="160">
        <v>846</v>
      </c>
      <c r="AN293" s="160">
        <v>77</v>
      </c>
      <c r="AO293" s="149">
        <v>22</v>
      </c>
      <c r="AP293" s="160">
        <v>73</v>
      </c>
      <c r="AQ293" s="150">
        <v>89</v>
      </c>
      <c r="AR293" s="149">
        <v>5</v>
      </c>
      <c r="AS293" s="155">
        <v>9</v>
      </c>
      <c r="AT293" s="155">
        <v>1</v>
      </c>
      <c r="AU293" s="155">
        <v>3</v>
      </c>
      <c r="AV293" s="207"/>
      <c r="AW293" s="165"/>
      <c r="AX293" s="197">
        <f t="shared" si="295"/>
      </c>
    </row>
    <row r="294">
      <c r="A294" s="234"/>
      <c r="B294" s="149" t="s">
        <v>156</v>
      </c>
      <c r="C294" s="150" t="s">
        <v>157</v>
      </c>
      <c r="D294" s="149" t="s">
        <v>163</v>
      </c>
      <c r="E294" s="150" t="s">
        <v>178</v>
      </c>
      <c r="F294" s="159">
        <f t="shared" si="214"/>
      </c>
      <c r="G294" s="152">
        <v>3160.43</v>
      </c>
      <c r="H294" s="152">
        <v>633.93</v>
      </c>
      <c r="I294" s="236">
        <v>0</v>
      </c>
      <c r="J294" s="236">
        <v>0</v>
      </c>
      <c r="K294" s="236">
        <v>0</v>
      </c>
      <c r="L294" s="236">
        <v>3</v>
      </c>
      <c r="M294" s="236">
        <v>9515.270000000004</v>
      </c>
      <c r="N294" s="155">
        <v>1</v>
      </c>
      <c r="O294" s="156">
        <f t="shared" si="46"/>
      </c>
      <c r="P294" s="155">
        <v>2</v>
      </c>
      <c r="Q294" s="156">
        <f t="shared" si="236"/>
      </c>
      <c r="R294" s="244">
        <f t="shared" si="9"/>
      </c>
      <c r="S294" s="237">
        <f t="shared" si="28"/>
      </c>
      <c r="T294" s="159">
        <f t="shared" si="234"/>
      </c>
      <c r="U294" s="159">
        <f t="shared" si="2"/>
      </c>
      <c r="V294" s="169">
        <f t="shared" si="0"/>
      </c>
      <c r="W294" s="155">
        <v>2</v>
      </c>
      <c r="X294" s="169">
        <f t="shared" si="6"/>
      </c>
      <c r="Y294" s="169">
        <f t="shared" si="4"/>
      </c>
      <c r="Z294" s="159">
        <f t="shared" si="232"/>
      </c>
      <c r="AA294" s="159">
        <f t="shared" si="47"/>
      </c>
      <c r="AB294" s="159">
        <f t="shared" si="237"/>
      </c>
      <c r="AC294" s="156">
        <f t="shared" si="235"/>
      </c>
      <c r="AD294" s="156">
        <f t="shared" si="3"/>
      </c>
      <c r="AE294" s="156">
        <f t="shared" si="1"/>
      </c>
      <c r="AF294" s="156">
        <f t="shared" si="7"/>
      </c>
      <c r="AG294" s="156">
        <f t="shared" si="5"/>
      </c>
      <c r="AH294" s="156">
        <f t="shared" si="233"/>
      </c>
      <c r="AI294" s="156">
        <f t="shared" si="48"/>
      </c>
      <c r="AJ294" s="155">
        <v>45</v>
      </c>
      <c r="AK294" s="160">
        <v>21126</v>
      </c>
      <c r="AL294" s="160">
        <v>917</v>
      </c>
      <c r="AM294" s="160">
        <v>1146</v>
      </c>
      <c r="AN294" s="160">
        <v>98</v>
      </c>
      <c r="AO294" s="149">
        <v>25</v>
      </c>
      <c r="AP294" s="160">
        <v>98</v>
      </c>
      <c r="AQ294" s="150">
        <v>120</v>
      </c>
      <c r="AR294" s="149">
        <v>5</v>
      </c>
      <c r="AS294" s="155">
        <v>10</v>
      </c>
      <c r="AT294" s="155">
        <v>0</v>
      </c>
      <c r="AU294" s="155">
        <v>1</v>
      </c>
      <c r="AV294" s="207"/>
      <c r="AW294" s="165"/>
      <c r="AX294" s="197">
        <f t="shared" si="295"/>
      </c>
    </row>
    <row r="295">
      <c r="A295" s="234"/>
      <c r="B295" s="171" t="s">
        <v>162</v>
      </c>
      <c r="C295" s="171"/>
      <c r="D295" s="171"/>
      <c r="E295" s="171"/>
      <c r="F295" s="173">
        <f>SUM(F291:F294)</f>
      </c>
      <c r="G295" s="173">
        <f>SUM(G291:G294)</f>
      </c>
      <c r="H295" s="173">
        <f>SUM(H291:H294)</f>
      </c>
      <c r="I295" s="173">
        <f>SUM(I291:I294)</f>
      </c>
      <c r="J295" s="173">
        <f>SUM(J291:J294)</f>
      </c>
      <c r="K295" s="173">
        <f>SUM(K291:K294)</f>
      </c>
      <c r="L295" s="173">
        <f>SUM(L291:L294)</f>
      </c>
      <c r="M295" s="173">
        <f>SUM(M291:M294)</f>
      </c>
      <c r="N295" s="173">
        <f>SUM(N291:N294)</f>
      </c>
      <c r="O295" s="175">
        <f t="shared" si="46"/>
      </c>
      <c r="P295" s="173">
        <f>SUM(P291:P294)</f>
      </c>
      <c r="Q295" s="175">
        <f t="shared" si="236"/>
      </c>
      <c r="R295" s="178">
        <f>SUM(R291:R294)</f>
      </c>
      <c r="S295" s="173">
        <f>SUM(S291:S294)</f>
      </c>
      <c r="T295" s="173">
        <f t="shared" si="234"/>
      </c>
      <c r="U295" s="173">
        <f t="shared" si="2"/>
      </c>
      <c r="V295" s="194">
        <f t="shared" si="0"/>
      </c>
      <c r="W295" s="173">
        <f>SUM(W291:W294)</f>
      </c>
      <c r="X295" s="194">
        <f t="shared" si="6"/>
      </c>
      <c r="Y295" s="194">
        <f t="shared" si="4"/>
      </c>
      <c r="Z295" s="173">
        <f t="shared" si="232"/>
      </c>
      <c r="AA295" s="173">
        <f t="shared" si="47"/>
      </c>
      <c r="AB295" s="238">
        <f t="shared" si="237"/>
      </c>
      <c r="AC295" s="175">
        <f t="shared" si="235"/>
      </c>
      <c r="AD295" s="175">
        <f t="shared" si="3"/>
      </c>
      <c r="AE295" s="175">
        <f t="shared" si="1"/>
      </c>
      <c r="AF295" s="239">
        <f t="shared" si="7"/>
      </c>
      <c r="AG295" s="175">
        <f t="shared" si="5"/>
      </c>
      <c r="AH295" s="175">
        <f t="shared" si="233"/>
      </c>
      <c r="AI295" s="175">
        <f t="shared" si="48"/>
      </c>
      <c r="AJ295" s="178">
        <f>AVERAGE(AJ291:AJ294)</f>
      </c>
      <c r="AK295" s="173">
        <f>SUM(AK291:AK294)</f>
      </c>
      <c r="AL295" s="173">
        <f>SUM(AL291:AL294)</f>
      </c>
      <c r="AM295" s="173">
        <f>SUM(AM291:AM294)</f>
      </c>
      <c r="AN295" s="173">
        <f>SUM(AN291:AN294)</f>
      </c>
      <c r="AO295" s="173">
        <f>SUM(AO291:AO294)</f>
      </c>
      <c r="AP295" s="173">
        <f>SUM(AP291:AP294)</f>
      </c>
      <c r="AQ295" s="173">
        <f>SUM(AQ291:AQ294)</f>
      </c>
      <c r="AR295" s="173">
        <f>SUM(AR291:AR294)</f>
      </c>
      <c r="AS295" s="173">
        <f>SUM(AS291:AS294)</f>
      </c>
      <c r="AT295" s="173">
        <f>SUM(AT291:AT294)</f>
      </c>
      <c r="AU295" s="173">
        <f>SUM(AU291:AU294)</f>
      </c>
      <c r="AV295" s="207"/>
      <c r="AW295" s="180"/>
      <c r="AX295" s="181">
        <f>SUM(AX291:AX294)</f>
      </c>
    </row>
    <row r="296">
      <c r="A296" s="234"/>
      <c r="B296" s="149" t="s">
        <v>156</v>
      </c>
      <c r="C296" s="150" t="s">
        <v>157</v>
      </c>
      <c r="D296" s="149" t="s">
        <v>180</v>
      </c>
      <c r="E296" s="150" t="s">
        <v>159</v>
      </c>
      <c r="F296" s="159">
        <f t="shared" ref="F296:F299" si="215">G296+H296+I296</f>
      </c>
      <c r="G296" s="152">
        <v>3026.37</v>
      </c>
      <c r="H296" s="152">
        <v>501.74</v>
      </c>
      <c r="I296" s="236">
        <v>0</v>
      </c>
      <c r="J296" s="236">
        <v>2</v>
      </c>
      <c r="K296" s="236">
        <v>2799.21</v>
      </c>
      <c r="L296" s="236">
        <v>6</v>
      </c>
      <c r="M296" s="236">
        <v>14356.169999999998</v>
      </c>
      <c r="N296" s="155">
        <v>0</v>
      </c>
      <c r="O296" s="156">
        <f t="shared" si="46"/>
      </c>
      <c r="P296" s="155">
        <v>4</v>
      </c>
      <c r="Q296" s="156">
        <f t="shared" si="236"/>
      </c>
      <c r="R296" s="244">
        <f t="shared" ref="R296:R299" si="10">J296+L296</f>
      </c>
      <c r="S296" s="237">
        <f t="shared" ref="S296:S299" si="29">K296+M296</f>
      </c>
      <c r="T296" s="159">
        <f t="shared" si="234"/>
      </c>
      <c r="U296" s="159">
        <f t="shared" si="2"/>
      </c>
      <c r="V296" s="169">
        <f t="shared" si="0"/>
      </c>
      <c r="W296" s="155">
        <v>5</v>
      </c>
      <c r="X296" s="169">
        <f t="shared" si="6"/>
      </c>
      <c r="Y296" s="169">
        <f t="shared" si="4"/>
      </c>
      <c r="Z296" s="159">
        <f t="shared" si="232"/>
      </c>
      <c r="AA296" s="159">
        <f t="shared" si="47"/>
      </c>
      <c r="AB296" s="159">
        <f t="shared" si="237"/>
      </c>
      <c r="AC296" s="156">
        <f t="shared" si="235"/>
      </c>
      <c r="AD296" s="156">
        <f t="shared" si="3"/>
      </c>
      <c r="AE296" s="156">
        <f t="shared" si="1"/>
      </c>
      <c r="AF296" s="156">
        <f t="shared" si="7"/>
      </c>
      <c r="AG296" s="156">
        <f t="shared" si="5"/>
      </c>
      <c r="AH296" s="156">
        <f t="shared" si="233"/>
      </c>
      <c r="AI296" s="156">
        <f t="shared" si="48"/>
      </c>
      <c r="AJ296" s="155">
        <v>45</v>
      </c>
      <c r="AK296" s="160">
        <v>18027</v>
      </c>
      <c r="AL296" s="160">
        <v>808</v>
      </c>
      <c r="AM296" s="160">
        <v>999</v>
      </c>
      <c r="AN296" s="160">
        <v>85</v>
      </c>
      <c r="AO296" s="149">
        <v>39</v>
      </c>
      <c r="AP296" s="160">
        <v>172</v>
      </c>
      <c r="AQ296" s="150">
        <v>97</v>
      </c>
      <c r="AR296" s="149">
        <v>10</v>
      </c>
      <c r="AS296" s="149">
        <v>14</v>
      </c>
      <c r="AT296" s="155">
        <v>0</v>
      </c>
      <c r="AU296" s="155">
        <v>0</v>
      </c>
      <c r="AV296" s="207"/>
      <c r="AW296" s="165"/>
      <c r="AX296" s="197">
        <f t="shared" ref="AX296:AX299" si="296">COUNT(AU296)</f>
      </c>
    </row>
    <row r="297">
      <c r="A297" s="234"/>
      <c r="B297" s="149" t="s">
        <v>156</v>
      </c>
      <c r="C297" s="150" t="s">
        <v>157</v>
      </c>
      <c r="D297" s="149" t="s">
        <v>180</v>
      </c>
      <c r="E297" s="150" t="s">
        <v>160</v>
      </c>
      <c r="F297" s="159">
        <f t="shared" si="215"/>
      </c>
      <c r="G297" s="152">
        <v>3011.12</v>
      </c>
      <c r="H297" s="152">
        <v>395.32</v>
      </c>
      <c r="I297" s="236">
        <v>0</v>
      </c>
      <c r="J297" s="236">
        <v>1</v>
      </c>
      <c r="K297" s="236">
        <v>949.9099999999999</v>
      </c>
      <c r="L297" s="236">
        <v>2</v>
      </c>
      <c r="M297" s="236">
        <v>6895.820000000007</v>
      </c>
      <c r="N297" s="155">
        <v>2</v>
      </c>
      <c r="O297" s="156">
        <f t="shared" si="46"/>
      </c>
      <c r="P297" s="155">
        <v>1</v>
      </c>
      <c r="Q297" s="156">
        <f t="shared" si="236"/>
      </c>
      <c r="R297" s="244">
        <f t="shared" si="10"/>
      </c>
      <c r="S297" s="237">
        <f t="shared" si="29"/>
      </c>
      <c r="T297" s="159">
        <f t="shared" si="234"/>
      </c>
      <c r="U297" s="159">
        <f t="shared" si="2"/>
      </c>
      <c r="V297" s="169">
        <f t="shared" si="0"/>
      </c>
      <c r="W297" s="155">
        <v>2</v>
      </c>
      <c r="X297" s="169">
        <f t="shared" si="6"/>
      </c>
      <c r="Y297" s="169">
        <f t="shared" si="4"/>
      </c>
      <c r="Z297" s="159">
        <f t="shared" si="232"/>
      </c>
      <c r="AA297" s="159">
        <f t="shared" si="47"/>
      </c>
      <c r="AB297" s="159">
        <f t="shared" si="237"/>
      </c>
      <c r="AC297" s="156">
        <f t="shared" si="235"/>
      </c>
      <c r="AD297" s="156">
        <f t="shared" si="3"/>
      </c>
      <c r="AE297" s="156">
        <f t="shared" si="1"/>
      </c>
      <c r="AF297" s="156">
        <f t="shared" si="7"/>
      </c>
      <c r="AG297" s="156">
        <f t="shared" si="5"/>
      </c>
      <c r="AH297" s="156">
        <f t="shared" si="233"/>
      </c>
      <c r="AI297" s="156">
        <f t="shared" si="48"/>
      </c>
      <c r="AJ297" s="155">
        <v>45</v>
      </c>
      <c r="AK297" s="160">
        <v>22706</v>
      </c>
      <c r="AL297" s="160">
        <v>1050</v>
      </c>
      <c r="AM297" s="160">
        <v>1239</v>
      </c>
      <c r="AN297" s="160">
        <v>93</v>
      </c>
      <c r="AO297" s="149">
        <v>31</v>
      </c>
      <c r="AP297" s="160">
        <v>116</v>
      </c>
      <c r="AQ297" s="149">
        <v>110</v>
      </c>
      <c r="AR297" s="149">
        <v>4</v>
      </c>
      <c r="AS297" s="149">
        <v>8</v>
      </c>
      <c r="AT297" s="160">
        <v>2</v>
      </c>
      <c r="AU297" s="160">
        <v>0</v>
      </c>
      <c r="AV297" s="207"/>
      <c r="AW297" s="165"/>
      <c r="AX297" s="197">
        <f t="shared" si="296"/>
      </c>
    </row>
    <row r="298">
      <c r="A298" s="234"/>
      <c r="B298" s="149" t="s">
        <v>156</v>
      </c>
      <c r="C298" s="150" t="s">
        <v>157</v>
      </c>
      <c r="D298" s="149" t="s">
        <v>180</v>
      </c>
      <c r="E298" s="150" t="s">
        <v>161</v>
      </c>
      <c r="F298" s="159">
        <f t="shared" si="215"/>
      </c>
      <c r="G298" s="152">
        <v>3403.62</v>
      </c>
      <c r="H298" s="152">
        <v>709.26</v>
      </c>
      <c r="I298" s="236">
        <v>0</v>
      </c>
      <c r="J298" s="236">
        <v>3</v>
      </c>
      <c r="K298" s="236">
        <v>5727.0300000000025</v>
      </c>
      <c r="L298" s="236">
        <v>1</v>
      </c>
      <c r="M298" s="236">
        <v>1282</v>
      </c>
      <c r="N298" s="155">
        <v>1</v>
      </c>
      <c r="O298" s="156">
        <f t="shared" si="46"/>
      </c>
      <c r="P298" s="155">
        <v>1</v>
      </c>
      <c r="Q298" s="156">
        <f t="shared" si="236"/>
      </c>
      <c r="R298" s="244">
        <f t="shared" si="10"/>
      </c>
      <c r="S298" s="237">
        <f t="shared" si="29"/>
      </c>
      <c r="T298" s="159">
        <f t="shared" si="234"/>
      </c>
      <c r="U298" s="159">
        <f t="shared" si="2"/>
      </c>
      <c r="V298" s="169">
        <f t="shared" si="0"/>
      </c>
      <c r="W298" s="155">
        <v>3</v>
      </c>
      <c r="X298" s="169">
        <f t="shared" si="6"/>
      </c>
      <c r="Y298" s="169">
        <f t="shared" si="4"/>
      </c>
      <c r="Z298" s="159">
        <f t="shared" si="232"/>
      </c>
      <c r="AA298" s="159">
        <f t="shared" si="47"/>
      </c>
      <c r="AB298" s="159">
        <f t="shared" si="237"/>
      </c>
      <c r="AC298" s="156">
        <f t="shared" si="235"/>
      </c>
      <c r="AD298" s="156">
        <f t="shared" si="3"/>
      </c>
      <c r="AE298" s="156">
        <f t="shared" si="1"/>
      </c>
      <c r="AF298" s="156">
        <f t="shared" si="7"/>
      </c>
      <c r="AG298" s="156">
        <f t="shared" si="5"/>
      </c>
      <c r="AH298" s="156">
        <f t="shared" si="233"/>
      </c>
      <c r="AI298" s="156">
        <f t="shared" si="48"/>
      </c>
      <c r="AJ298" s="155">
        <v>44</v>
      </c>
      <c r="AK298" s="160">
        <v>23707</v>
      </c>
      <c r="AL298" s="160">
        <v>1057</v>
      </c>
      <c r="AM298" s="160">
        <v>1291</v>
      </c>
      <c r="AN298" s="160">
        <v>97</v>
      </c>
      <c r="AO298" s="149">
        <v>34</v>
      </c>
      <c r="AP298" s="160">
        <v>109</v>
      </c>
      <c r="AQ298" s="150">
        <v>129</v>
      </c>
      <c r="AR298" s="149">
        <v>5</v>
      </c>
      <c r="AS298" s="155">
        <v>11</v>
      </c>
      <c r="AT298" s="155">
        <v>2</v>
      </c>
      <c r="AU298" s="155">
        <v>3</v>
      </c>
      <c r="AV298" s="207"/>
      <c r="AW298" s="165"/>
      <c r="AX298" s="197">
        <f t="shared" si="296"/>
      </c>
    </row>
    <row r="299">
      <c r="A299" s="234"/>
      <c r="B299" s="149" t="s">
        <v>156</v>
      </c>
      <c r="C299" s="150" t="s">
        <v>157</v>
      </c>
      <c r="D299" s="149" t="s">
        <v>180</v>
      </c>
      <c r="E299" s="150" t="s">
        <v>164</v>
      </c>
      <c r="F299" s="246">
        <f t="shared" si="215"/>
      </c>
      <c r="G299" s="247">
        <v>3840.34</v>
      </c>
      <c r="H299" s="247">
        <v>1131.03</v>
      </c>
      <c r="I299" s="236">
        <v>0</v>
      </c>
      <c r="J299" s="236">
        <v>2</v>
      </c>
      <c r="K299" s="236">
        <v>2110.9000000000015</v>
      </c>
      <c r="L299" s="236">
        <v>5</v>
      </c>
      <c r="M299" s="236">
        <v>12405.859999999986</v>
      </c>
      <c r="N299" s="155">
        <v>1</v>
      </c>
      <c r="O299" s="156">
        <f t="shared" si="46"/>
      </c>
      <c r="P299" s="155">
        <v>0</v>
      </c>
      <c r="Q299" s="156">
        <f t="shared" si="236"/>
      </c>
      <c r="R299" s="244">
        <f t="shared" si="10"/>
      </c>
      <c r="S299" s="237">
        <f t="shared" si="29"/>
      </c>
      <c r="T299" s="159">
        <f t="shared" si="234"/>
      </c>
      <c r="U299" s="159">
        <f t="shared" si="2"/>
      </c>
      <c r="V299" s="169">
        <f t="shared" si="0"/>
      </c>
      <c r="W299" s="155">
        <v>6</v>
      </c>
      <c r="X299" s="169">
        <f t="shared" si="6"/>
      </c>
      <c r="Y299" s="169">
        <f t="shared" si="4"/>
      </c>
      <c r="Z299" s="159">
        <f t="shared" si="232"/>
      </c>
      <c r="AA299" s="159">
        <f t="shared" si="47"/>
      </c>
      <c r="AB299" s="159">
        <f t="shared" si="237"/>
      </c>
      <c r="AC299" s="156">
        <f t="shared" si="235"/>
      </c>
      <c r="AD299" s="156">
        <f t="shared" si="3"/>
      </c>
      <c r="AE299" s="156">
        <f t="shared" si="1"/>
      </c>
      <c r="AF299" s="156">
        <f t="shared" si="7"/>
      </c>
      <c r="AG299" s="156">
        <f t="shared" si="5"/>
      </c>
      <c r="AH299" s="156">
        <f t="shared" si="233"/>
      </c>
      <c r="AI299" s="156">
        <f t="shared" si="48"/>
      </c>
      <c r="AJ299" s="155">
        <v>45</v>
      </c>
      <c r="AK299" s="160">
        <v>27791</v>
      </c>
      <c r="AL299" s="160">
        <v>1211</v>
      </c>
      <c r="AM299" s="160">
        <v>1469</v>
      </c>
      <c r="AN299" s="160">
        <v>132</v>
      </c>
      <c r="AO299" s="149">
        <v>45</v>
      </c>
      <c r="AP299" s="160">
        <v>159</v>
      </c>
      <c r="AQ299" s="150">
        <v>167</v>
      </c>
      <c r="AR299" s="149">
        <v>9</v>
      </c>
      <c r="AS299" s="160">
        <v>18</v>
      </c>
      <c r="AT299" s="160">
        <v>2</v>
      </c>
      <c r="AU299" s="155">
        <v>2</v>
      </c>
      <c r="AV299" s="207"/>
      <c r="AW299" s="165"/>
      <c r="AX299" s="197">
        <f t="shared" si="296"/>
      </c>
    </row>
    <row r="300">
      <c r="A300" s="234"/>
      <c r="B300" s="171" t="s">
        <v>162</v>
      </c>
      <c r="C300" s="171"/>
      <c r="D300" s="171"/>
      <c r="E300" s="171"/>
      <c r="F300" s="173">
        <f>SUM(F296:F299)</f>
      </c>
      <c r="G300" s="173">
        <f>SUM(G296:G299)</f>
      </c>
      <c r="H300" s="173">
        <f>SUM(H296:H299)</f>
      </c>
      <c r="I300" s="173">
        <f>SUM(I296:I299)</f>
      </c>
      <c r="J300" s="173">
        <f>SUM(J296:J299)</f>
      </c>
      <c r="K300" s="173">
        <f>SUM(K296:K299)</f>
      </c>
      <c r="L300" s="173">
        <f>SUM(L296:L299)</f>
      </c>
      <c r="M300" s="173">
        <f>SUM(M296:M299)</f>
      </c>
      <c r="N300" s="173">
        <f>SUM(N296:N299)</f>
      </c>
      <c r="O300" s="175">
        <f t="shared" si="46"/>
      </c>
      <c r="P300" s="173">
        <f>SUM(P296:P299)</f>
      </c>
      <c r="Q300" s="175">
        <f t="shared" si="236"/>
      </c>
      <c r="R300" s="178">
        <f>SUM(R296:R299)</f>
      </c>
      <c r="S300" s="173">
        <f>SUM(S296:S299)</f>
      </c>
      <c r="T300" s="173">
        <f t="shared" si="234"/>
      </c>
      <c r="U300" s="173">
        <f t="shared" si="2"/>
      </c>
      <c r="V300" s="194">
        <f t="shared" si="0"/>
      </c>
      <c r="W300" s="173">
        <f>SUM(W296:W299)</f>
      </c>
      <c r="X300" s="194">
        <f t="shared" si="6"/>
      </c>
      <c r="Y300" s="194">
        <f t="shared" si="4"/>
      </c>
      <c r="Z300" s="173">
        <f t="shared" si="232"/>
      </c>
      <c r="AA300" s="173">
        <f t="shared" si="47"/>
      </c>
      <c r="AB300" s="238">
        <f t="shared" si="237"/>
      </c>
      <c r="AC300" s="175">
        <f t="shared" si="235"/>
      </c>
      <c r="AD300" s="175">
        <f t="shared" si="3"/>
      </c>
      <c r="AE300" s="175">
        <f t="shared" si="1"/>
      </c>
      <c r="AF300" s="245">
        <f t="shared" si="7"/>
      </c>
      <c r="AG300" s="175">
        <f t="shared" si="5"/>
      </c>
      <c r="AH300" s="175">
        <f t="shared" si="233"/>
      </c>
      <c r="AI300" s="175">
        <f t="shared" si="48"/>
      </c>
      <c r="AJ300" s="178">
        <f>AVERAGE(AJ296:AJ299)</f>
      </c>
      <c r="AK300" s="173">
        <f>SUM(AK296:AK299)</f>
      </c>
      <c r="AL300" s="173">
        <f>SUM(AL296:AL299)</f>
      </c>
      <c r="AM300" s="173">
        <f>SUM(AM296:AM299)</f>
      </c>
      <c r="AN300" s="173">
        <f>SUM(AN296:AN299)</f>
      </c>
      <c r="AO300" s="173">
        <f>SUM(AO296:AO299)</f>
      </c>
      <c r="AP300" s="173">
        <f>SUM(AP296:AP299)</f>
      </c>
      <c r="AQ300" s="173">
        <f>SUM(AQ296:AQ299)</f>
      </c>
      <c r="AR300" s="173">
        <f>SUM(AR296:AR299)</f>
      </c>
      <c r="AS300" s="173">
        <f>SUM(AS296:AS299)</f>
      </c>
      <c r="AT300" s="173">
        <f>SUM(AT296:AT299)</f>
      </c>
      <c r="AU300" s="173">
        <f>SUM(AU296:AU299)</f>
      </c>
      <c r="AV300" s="207"/>
      <c r="AW300" s="180"/>
      <c r="AX300" s="181">
        <f>SUM(AX296:AX299)</f>
      </c>
    </row>
    <row r="301">
      <c r="A301" s="234"/>
      <c r="B301" s="149" t="s">
        <v>156</v>
      </c>
      <c r="C301" s="150" t="s">
        <v>157</v>
      </c>
      <c r="D301" s="149" t="s">
        <v>179</v>
      </c>
      <c r="E301" s="150" t="s">
        <v>165</v>
      </c>
      <c r="F301" s="246">
        <f t="shared" ref="F301:F304" si="216">G301+H301+I301</f>
      </c>
      <c r="G301" s="247">
        <v>3483.36</v>
      </c>
      <c r="H301" s="247">
        <v>1616.4</v>
      </c>
      <c r="I301" s="236">
        <v>0</v>
      </c>
      <c r="J301" s="236">
        <v>0</v>
      </c>
      <c r="K301" s="236">
        <v>0</v>
      </c>
      <c r="L301" s="236">
        <v>5</v>
      </c>
      <c r="M301" s="236">
        <v>15007.160000000003</v>
      </c>
      <c r="N301" s="155">
        <v>2</v>
      </c>
      <c r="O301" s="156">
        <f t="shared" si="46"/>
      </c>
      <c r="P301" s="155">
        <v>2</v>
      </c>
      <c r="Q301" s="156">
        <f t="shared" si="236"/>
      </c>
      <c r="R301" s="249">
        <f t="shared" ref="R301:R304" si="11">J301+L301</f>
      </c>
      <c r="S301" s="237">
        <f t="shared" ref="S301:S304" si="30">K301+M301</f>
      </c>
      <c r="T301" s="159">
        <f t="shared" si="234"/>
      </c>
      <c r="U301" s="159">
        <f t="shared" si="2"/>
      </c>
      <c r="V301" s="169">
        <f t="shared" si="0"/>
      </c>
      <c r="W301" s="155">
        <v>2</v>
      </c>
      <c r="X301" s="169">
        <f t="shared" si="6"/>
      </c>
      <c r="Y301" s="169">
        <f t="shared" si="4"/>
      </c>
      <c r="Z301" s="159">
        <f t="shared" si="232"/>
      </c>
      <c r="AA301" s="159">
        <f t="shared" si="47"/>
      </c>
      <c r="AB301" s="159">
        <f t="shared" si="237"/>
      </c>
      <c r="AC301" s="156">
        <f t="shared" si="235"/>
      </c>
      <c r="AD301" s="156">
        <f t="shared" si="3"/>
      </c>
      <c r="AE301" s="156">
        <f t="shared" si="1"/>
      </c>
      <c r="AF301" s="156">
        <f t="shared" si="7"/>
      </c>
      <c r="AG301" s="156">
        <f t="shared" si="5"/>
      </c>
      <c r="AH301" s="156">
        <f t="shared" si="233"/>
      </c>
      <c r="AI301" s="156">
        <f t="shared" si="48"/>
      </c>
      <c r="AJ301" s="155">
        <v>48</v>
      </c>
      <c r="AK301" s="160">
        <v>27448</v>
      </c>
      <c r="AL301" s="160">
        <v>798</v>
      </c>
      <c r="AM301" s="160">
        <v>1004</v>
      </c>
      <c r="AN301" s="160">
        <v>130</v>
      </c>
      <c r="AO301" s="149">
        <v>43</v>
      </c>
      <c r="AP301" s="160">
        <v>154</v>
      </c>
      <c r="AQ301" s="150">
        <v>143</v>
      </c>
      <c r="AR301" s="149">
        <v>10</v>
      </c>
      <c r="AS301" s="160">
        <v>20</v>
      </c>
      <c r="AT301" s="160">
        <v>1</v>
      </c>
      <c r="AU301" s="155">
        <v>0</v>
      </c>
      <c r="AV301" s="207"/>
      <c r="AW301" s="165"/>
      <c r="AX301" s="197">
        <f t="shared" ref="AX301:AX304" si="297">COUNT(AU301)</f>
      </c>
    </row>
    <row r="302">
      <c r="A302" s="234"/>
      <c r="B302" s="149" t="s">
        <v>156</v>
      </c>
      <c r="C302" s="150" t="s">
        <v>157</v>
      </c>
      <c r="D302" s="149" t="s">
        <v>179</v>
      </c>
      <c r="E302" s="150" t="s">
        <v>168</v>
      </c>
      <c r="F302" s="246">
        <f t="shared" si="216"/>
      </c>
      <c r="G302" s="247">
        <v>5382.68</v>
      </c>
      <c r="H302" s="247">
        <v>1129.8</v>
      </c>
      <c r="I302" s="236">
        <v>0</v>
      </c>
      <c r="J302" s="236">
        <v>0</v>
      </c>
      <c r="K302" s="236">
        <v>0</v>
      </c>
      <c r="L302" s="236">
        <v>7</v>
      </c>
      <c r="M302" s="236">
        <v>16732.039999999994</v>
      </c>
      <c r="N302" s="155">
        <v>2</v>
      </c>
      <c r="O302" s="156">
        <f t="shared" si="46"/>
      </c>
      <c r="P302" s="155">
        <v>0</v>
      </c>
      <c r="Q302" s="156">
        <f t="shared" si="236"/>
      </c>
      <c r="R302" s="249">
        <f t="shared" si="11"/>
      </c>
      <c r="S302" s="237">
        <f t="shared" si="30"/>
      </c>
      <c r="T302" s="159">
        <f t="shared" si="234"/>
      </c>
      <c r="U302" s="159">
        <f t="shared" si="2"/>
      </c>
      <c r="V302" s="169">
        <f t="shared" si="0"/>
      </c>
      <c r="W302" s="155">
        <v>6</v>
      </c>
      <c r="X302" s="169">
        <f t="shared" si="6"/>
      </c>
      <c r="Y302" s="169">
        <f t="shared" si="4"/>
      </c>
      <c r="Z302" s="159">
        <f t="shared" si="232"/>
      </c>
      <c r="AA302" s="159">
        <f t="shared" si="47"/>
      </c>
      <c r="AB302" s="159">
        <f t="shared" si="237"/>
      </c>
      <c r="AC302" s="156">
        <f t="shared" si="235"/>
      </c>
      <c r="AD302" s="156">
        <f t="shared" si="3"/>
      </c>
      <c r="AE302" s="156">
        <f t="shared" si="1"/>
      </c>
      <c r="AF302" s="156">
        <f t="shared" si="7"/>
      </c>
      <c r="AG302" s="156">
        <f t="shared" si="5"/>
      </c>
      <c r="AH302" s="156">
        <f t="shared" si="233"/>
      </c>
      <c r="AI302" s="156">
        <f t="shared" si="48"/>
      </c>
      <c r="AJ302" s="155">
        <v>47</v>
      </c>
      <c r="AK302" s="160">
        <v>41926</v>
      </c>
      <c r="AL302" s="160">
        <v>1593</v>
      </c>
      <c r="AM302" s="160">
        <v>1852</v>
      </c>
      <c r="AN302" s="160">
        <v>144</v>
      </c>
      <c r="AO302" s="149">
        <v>35</v>
      </c>
      <c r="AP302" s="160">
        <v>138</v>
      </c>
      <c r="AQ302" s="150">
        <v>163</v>
      </c>
      <c r="AR302" s="149">
        <v>8</v>
      </c>
      <c r="AS302" s="160">
        <v>13</v>
      </c>
      <c r="AT302" s="160">
        <v>3</v>
      </c>
      <c r="AU302" s="155">
        <v>0</v>
      </c>
      <c r="AV302" s="207"/>
      <c r="AW302" s="165"/>
      <c r="AX302" s="197">
        <f t="shared" si="297"/>
      </c>
    </row>
    <row r="303">
      <c r="A303" s="234"/>
      <c r="B303" s="149" t="s">
        <v>156</v>
      </c>
      <c r="C303" s="150" t="s">
        <v>157</v>
      </c>
      <c r="D303" s="149" t="s">
        <v>179</v>
      </c>
      <c r="E303" s="150" t="s">
        <v>171</v>
      </c>
      <c r="F303" s="246">
        <f t="shared" si="216"/>
      </c>
      <c r="G303" s="247">
        <v>6059.64</v>
      </c>
      <c r="H303" s="247">
        <v>1654.62</v>
      </c>
      <c r="I303" s="236">
        <v>0</v>
      </c>
      <c r="J303" s="236">
        <v>1</v>
      </c>
      <c r="K303" s="236">
        <v>986</v>
      </c>
      <c r="L303" s="236">
        <v>5</v>
      </c>
      <c r="M303" s="236">
        <v>12988.849999999991</v>
      </c>
      <c r="N303" s="155">
        <v>0</v>
      </c>
      <c r="O303" s="156">
        <f t="shared" si="46"/>
      </c>
      <c r="P303" s="155">
        <v>0</v>
      </c>
      <c r="Q303" s="156">
        <f t="shared" si="236"/>
      </c>
      <c r="R303" s="249">
        <f t="shared" si="11"/>
      </c>
      <c r="S303" s="237">
        <f t="shared" si="30"/>
      </c>
      <c r="T303" s="159">
        <f t="shared" si="234"/>
      </c>
      <c r="U303" s="159">
        <f t="shared" si="2"/>
      </c>
      <c r="V303" s="169">
        <f t="shared" si="0"/>
      </c>
      <c r="W303" s="155">
        <v>3</v>
      </c>
      <c r="X303" s="169">
        <f t="shared" si="6"/>
      </c>
      <c r="Y303" s="169">
        <f t="shared" si="4"/>
      </c>
      <c r="Z303" s="159">
        <f t="shared" si="232"/>
      </c>
      <c r="AA303" s="159">
        <f t="shared" si="47"/>
      </c>
      <c r="AB303" s="159">
        <f t="shared" si="237"/>
      </c>
      <c r="AC303" s="156">
        <f t="shared" si="235"/>
      </c>
      <c r="AD303" s="156">
        <f t="shared" si="3"/>
      </c>
      <c r="AE303" s="156">
        <f t="shared" si="1"/>
      </c>
      <c r="AF303" s="156">
        <f t="shared" si="7"/>
      </c>
      <c r="AG303" s="156">
        <f t="shared" si="5"/>
      </c>
      <c r="AH303" s="156">
        <f t="shared" si="233"/>
      </c>
      <c r="AI303" s="156">
        <f t="shared" si="48"/>
      </c>
      <c r="AJ303" s="155">
        <v>46</v>
      </c>
      <c r="AK303" s="155">
        <v>54657</v>
      </c>
      <c r="AL303" s="160">
        <v>2542</v>
      </c>
      <c r="AM303" s="160">
        <v>2883</v>
      </c>
      <c r="AN303" s="160">
        <v>202</v>
      </c>
      <c r="AO303" s="149">
        <v>54</v>
      </c>
      <c r="AP303" s="160">
        <v>160</v>
      </c>
      <c r="AQ303" s="150">
        <v>249</v>
      </c>
      <c r="AR303" s="149">
        <v>6</v>
      </c>
      <c r="AS303" s="160">
        <v>22</v>
      </c>
      <c r="AT303" s="160">
        <v>4</v>
      </c>
      <c r="AU303" s="155">
        <v>2</v>
      </c>
      <c r="AV303" s="207"/>
      <c r="AW303" s="165"/>
      <c r="AX303" s="197">
        <f t="shared" si="297"/>
      </c>
    </row>
    <row r="304">
      <c r="A304" s="234"/>
      <c r="B304" s="149" t="s">
        <v>156</v>
      </c>
      <c r="C304" s="150" t="s">
        <v>157</v>
      </c>
      <c r="D304" s="149" t="s">
        <v>179</v>
      </c>
      <c r="E304" s="150" t="s">
        <v>172</v>
      </c>
      <c r="F304" s="246">
        <f t="shared" si="216"/>
      </c>
      <c r="G304" s="247">
        <v>2811.88</v>
      </c>
      <c r="H304" s="247">
        <v>1322.74</v>
      </c>
      <c r="I304" s="236">
        <v>0</v>
      </c>
      <c r="J304" s="236">
        <v>4</v>
      </c>
      <c r="K304" s="236">
        <v>16373.89</v>
      </c>
      <c r="L304" s="236">
        <v>6</v>
      </c>
      <c r="M304" s="236">
        <v>8731.460000000021</v>
      </c>
      <c r="N304" s="155">
        <v>3</v>
      </c>
      <c r="O304" s="156">
        <f t="shared" si="46"/>
      </c>
      <c r="P304" s="155">
        <v>5</v>
      </c>
      <c r="Q304" s="156">
        <f t="shared" si="236"/>
      </c>
      <c r="R304" s="249">
        <f t="shared" si="11"/>
      </c>
      <c r="S304" s="237">
        <f t="shared" si="30"/>
      </c>
      <c r="T304" s="159">
        <f t="shared" si="234"/>
      </c>
      <c r="U304" s="159">
        <f t="shared" si="2"/>
      </c>
      <c r="V304" s="169">
        <f t="shared" si="0"/>
      </c>
      <c r="W304" s="155">
        <v>9</v>
      </c>
      <c r="X304" s="169">
        <f t="shared" si="6"/>
      </c>
      <c r="Y304" s="169">
        <f t="shared" si="4"/>
      </c>
      <c r="Z304" s="159">
        <f t="shared" si="232"/>
      </c>
      <c r="AA304" s="159">
        <f t="shared" si="47"/>
      </c>
      <c r="AB304" s="159">
        <f t="shared" si="237"/>
      </c>
      <c r="AC304" s="156">
        <f t="shared" si="235"/>
      </c>
      <c r="AD304" s="156">
        <f t="shared" si="3"/>
      </c>
      <c r="AE304" s="156">
        <f t="shared" si="1"/>
      </c>
      <c r="AF304" s="156">
        <f t="shared" si="7"/>
      </c>
      <c r="AG304" s="156">
        <f t="shared" si="5"/>
      </c>
      <c r="AH304" s="156">
        <f t="shared" si="233"/>
      </c>
      <c r="AI304" s="156">
        <f t="shared" si="48"/>
      </c>
      <c r="AJ304" s="155">
        <v>48</v>
      </c>
      <c r="AK304" s="160">
        <v>32963</v>
      </c>
      <c r="AL304" s="160">
        <v>1192</v>
      </c>
      <c r="AM304" s="160">
        <v>1624</v>
      </c>
      <c r="AN304" s="160">
        <v>90</v>
      </c>
      <c r="AO304" s="149">
        <v>39</v>
      </c>
      <c r="AP304" s="160">
        <v>151</v>
      </c>
      <c r="AQ304" s="150">
        <v>131</v>
      </c>
      <c r="AR304" s="149">
        <v>11</v>
      </c>
      <c r="AS304" s="160">
        <v>18</v>
      </c>
      <c r="AT304" s="160">
        <v>1</v>
      </c>
      <c r="AU304" s="155">
        <v>0</v>
      </c>
      <c r="AV304" s="207"/>
      <c r="AW304" s="165"/>
      <c r="AX304" s="197">
        <f t="shared" si="297"/>
      </c>
    </row>
    <row r="305">
      <c r="A305" s="234"/>
      <c r="B305" s="171" t="s">
        <v>162</v>
      </c>
      <c r="C305" s="171"/>
      <c r="D305" s="171"/>
      <c r="E305" s="171"/>
      <c r="F305" s="173">
        <f>SUM(F301:F304)</f>
      </c>
      <c r="G305" s="173">
        <f>SUM(G301:G304)</f>
      </c>
      <c r="H305" s="173">
        <f>SUM(H301:H304)</f>
      </c>
      <c r="I305" s="173">
        <f>SUM(I301:I304)</f>
      </c>
      <c r="J305" s="173">
        <f>SUM(J301:J304)</f>
      </c>
      <c r="K305" s="173">
        <f>SUM(K301:K304)</f>
      </c>
      <c r="L305" s="173">
        <f>SUM(L301:L304)</f>
      </c>
      <c r="M305" s="173">
        <f>SUM(M301:M304)</f>
      </c>
      <c r="N305" s="173">
        <f>SUM(N301:N304)</f>
      </c>
      <c r="O305" s="175">
        <f t="shared" si="46"/>
      </c>
      <c r="P305" s="173">
        <f>SUM(P301:P304)</f>
      </c>
      <c r="Q305" s="175">
        <f t="shared" si="236"/>
      </c>
      <c r="R305" s="178">
        <f>SUM(R301:R304)</f>
      </c>
      <c r="S305" s="173">
        <f>SUM(S301:S304)</f>
      </c>
      <c r="T305" s="173">
        <f t="shared" si="234"/>
      </c>
      <c r="U305" s="173">
        <f t="shared" si="2"/>
      </c>
      <c r="V305" s="194">
        <f t="shared" si="0"/>
      </c>
      <c r="W305" s="173">
        <f>SUM(W301:W304)</f>
      </c>
      <c r="X305" s="194">
        <f t="shared" si="6"/>
      </c>
      <c r="Y305" s="194">
        <f t="shared" si="4"/>
      </c>
      <c r="Z305" s="173">
        <f t="shared" si="232"/>
      </c>
      <c r="AA305" s="173">
        <f t="shared" si="47"/>
      </c>
      <c r="AB305" s="238">
        <f t="shared" si="237"/>
      </c>
      <c r="AC305" s="175">
        <f t="shared" si="235"/>
      </c>
      <c r="AD305" s="175">
        <f t="shared" si="3"/>
      </c>
      <c r="AE305" s="175">
        <f t="shared" si="1"/>
      </c>
      <c r="AF305" s="245">
        <f t="shared" si="7"/>
      </c>
      <c r="AG305" s="175">
        <f t="shared" si="5"/>
      </c>
      <c r="AH305" s="175">
        <f t="shared" si="233"/>
      </c>
      <c r="AI305" s="175">
        <f t="shared" si="48"/>
      </c>
      <c r="AJ305" s="178">
        <f>AVERAGE(AJ301:AJ304)</f>
      </c>
      <c r="AK305" s="173">
        <f>SUM(AK301:AK304)</f>
      </c>
      <c r="AL305" s="173">
        <f>SUM(AL301:AL304)</f>
      </c>
      <c r="AM305" s="173">
        <f>SUM(AM301:AM304)</f>
      </c>
      <c r="AN305" s="173">
        <f>SUM(AN301:AN304)</f>
      </c>
      <c r="AO305" s="173">
        <f>SUM(AO301:AO304)</f>
      </c>
      <c r="AP305" s="173">
        <f>SUM(AP301:AP304)</f>
      </c>
      <c r="AQ305" s="173">
        <f>SUM(AQ301:AQ304)</f>
      </c>
      <c r="AR305" s="173">
        <f>SUM(AR301:AR304)</f>
      </c>
      <c r="AS305" s="173">
        <f>SUM(AS301:AS304)</f>
      </c>
      <c r="AT305" s="173">
        <f>SUM(AT301:AT304)</f>
      </c>
      <c r="AU305" s="173">
        <f>SUM(AU301:AU304)</f>
      </c>
      <c r="AV305" s="207"/>
      <c r="AW305" s="180"/>
      <c r="AX305" s="181">
        <f>SUM(AX301:AX304)</f>
      </c>
    </row>
    <row r="306">
      <c r="A306" s="234"/>
      <c r="B306" s="184" t="s">
        <v>166</v>
      </c>
      <c r="C306" s="184"/>
      <c r="D306" s="184"/>
      <c r="E306" s="184"/>
      <c r="F306" s="185">
        <f>F290+F295+F300+F305</f>
      </c>
      <c r="G306" s="185">
        <f>G290+G295+G300+G305</f>
      </c>
      <c r="H306" s="185">
        <f>H290+H295+H300+H305</f>
      </c>
      <c r="I306" s="185">
        <f>I290+I295+I300+I305</f>
      </c>
      <c r="J306" s="185">
        <f>J290+J295+J300+J305</f>
      </c>
      <c r="K306" s="185">
        <f>K290+K295+K300+K305</f>
      </c>
      <c r="L306" s="185">
        <f>L290+L295+L300+L305</f>
      </c>
      <c r="M306" s="185">
        <f>M290+M295+M300+M305</f>
      </c>
      <c r="N306" s="185">
        <f>N290+N295+N300+N305</f>
      </c>
      <c r="O306" s="186">
        <f t="shared" si="46"/>
      </c>
      <c r="P306" s="184">
        <f>P290+P295+P300+P305</f>
      </c>
      <c r="Q306" s="186">
        <f t="shared" si="236"/>
      </c>
      <c r="R306" s="190">
        <f>R290+R295+R300+R305</f>
      </c>
      <c r="S306" s="185">
        <f>S290+S295+S300+S305</f>
      </c>
      <c r="T306" s="185">
        <f t="shared" si="234"/>
      </c>
      <c r="U306" s="185">
        <f t="shared" si="2"/>
      </c>
      <c r="V306" s="187">
        <f t="shared" si="0"/>
      </c>
      <c r="W306" s="184">
        <f>W290+W295+W300+W305</f>
      </c>
      <c r="X306" s="187">
        <f t="shared" si="6"/>
      </c>
      <c r="Y306" s="187">
        <f t="shared" si="4"/>
      </c>
      <c r="Z306" s="185">
        <f t="shared" si="232"/>
      </c>
      <c r="AA306" s="185">
        <f t="shared" si="47"/>
      </c>
      <c r="AB306" s="189">
        <f t="shared" si="237"/>
      </c>
      <c r="AC306" s="186">
        <f t="shared" si="235"/>
      </c>
      <c r="AD306" s="186">
        <f t="shared" si="3"/>
      </c>
      <c r="AE306" s="186">
        <f t="shared" si="1"/>
      </c>
      <c r="AF306" s="241">
        <f t="shared" si="7"/>
      </c>
      <c r="AG306" s="186">
        <f t="shared" si="5"/>
      </c>
      <c r="AH306" s="186">
        <f t="shared" si="233"/>
      </c>
      <c r="AI306" s="186">
        <f t="shared" si="48"/>
      </c>
      <c r="AJ306" s="190">
        <f>(AJ290+AJ295+AJ300+AJ305)/4</f>
      </c>
      <c r="AK306" s="184">
        <f>AK290+AK295+AK300+AK305</f>
      </c>
      <c r="AL306" s="184">
        <f>AL290+AL295+AL300+AL305</f>
      </c>
      <c r="AM306" s="184">
        <f>AM290+AM295+AM300+AM305</f>
      </c>
      <c r="AN306" s="184">
        <f>AN290+AN295+AN300+AN305</f>
      </c>
      <c r="AO306" s="184">
        <f>AO290+AO295+AO300+AO305</f>
      </c>
      <c r="AP306" s="184">
        <f>AP290+AP295+AP300+AP305</f>
      </c>
      <c r="AQ306" s="184">
        <f>AQ290+AQ295+AQ300+AQ305</f>
      </c>
      <c r="AR306" s="184">
        <f>AR290+AR295+AR300+AR305</f>
      </c>
      <c r="AS306" s="184">
        <f>AS290+AS295+AS300+AS305</f>
      </c>
      <c r="AT306" s="184">
        <f>AT290+AT295+AT300+AT305</f>
      </c>
      <c r="AU306" s="184">
        <f>AU290+AU295+AU300+AU305</f>
      </c>
      <c r="AV306" s="207"/>
      <c r="AW306" s="184">
        <f>AW290+AW295+AW300</f>
      </c>
      <c r="AX306" s="184">
        <f>AX290+AX295+AX300+AX305</f>
      </c>
    </row>
    <row r="307">
      <c r="A307" s="234">
        <v>46292</v>
      </c>
      <c r="B307" s="149" t="s">
        <v>181</v>
      </c>
      <c r="C307" s="149" t="s">
        <v>182</v>
      </c>
      <c r="D307" s="149" t="s">
        <v>158</v>
      </c>
      <c r="E307" s="248" t="s">
        <v>183</v>
      </c>
      <c r="F307" s="159">
        <f t="shared" ref="F307:F310" si="217">G307+H307+I307</f>
      </c>
      <c r="G307" s="152">
        <v>3847.16</v>
      </c>
      <c r="H307" s="152">
        <v>1304.26</v>
      </c>
      <c r="I307" s="236">
        <v>0</v>
      </c>
      <c r="J307" s="236">
        <v>1</v>
      </c>
      <c r="K307" s="242">
        <v>3022.14</v>
      </c>
      <c r="L307" s="236">
        <v>1</v>
      </c>
      <c r="M307" s="236">
        <v>3356.35</v>
      </c>
      <c r="N307" s="155">
        <v>0</v>
      </c>
      <c r="O307" s="156">
        <f t="shared" si="46"/>
      </c>
      <c r="P307" s="155">
        <v>1</v>
      </c>
      <c r="Q307" s="156">
        <f t="shared" si="236"/>
      </c>
      <c r="R307" s="244">
        <f t="shared" ref="R307:R310" si="12">J307+L307</f>
      </c>
      <c r="S307" s="237">
        <f t="shared" ref="S307:S310" si="31">K307+M307</f>
      </c>
      <c r="T307" s="159">
        <f t="shared" si="234"/>
      </c>
      <c r="U307" s="159">
        <f t="shared" si="2"/>
      </c>
      <c r="V307" s="160">
        <f t="shared" si="0"/>
      </c>
      <c r="W307" s="155">
        <v>2</v>
      </c>
      <c r="X307" s="169">
        <f t="shared" si="6"/>
      </c>
      <c r="Y307" s="169">
        <f t="shared" si="4"/>
      </c>
      <c r="Z307" s="159">
        <f t="shared" si="232"/>
      </c>
      <c r="AA307" s="159">
        <f t="shared" si="47"/>
      </c>
      <c r="AB307" s="159">
        <f t="shared" si="237"/>
      </c>
      <c r="AC307" s="156">
        <f t="shared" si="235"/>
      </c>
      <c r="AD307" s="156">
        <f t="shared" si="3"/>
      </c>
      <c r="AE307" s="156">
        <f t="shared" si="1"/>
      </c>
      <c r="AF307" s="156">
        <f t="shared" si="7"/>
      </c>
      <c r="AG307" s="156">
        <f t="shared" si="5"/>
      </c>
      <c r="AH307" s="156">
        <f t="shared" si="233"/>
      </c>
      <c r="AI307" s="156">
        <f t="shared" si="48"/>
      </c>
      <c r="AJ307" s="155">
        <v>59</v>
      </c>
      <c r="AK307" s="160">
        <v>24567</v>
      </c>
      <c r="AL307" s="160">
        <v>834</v>
      </c>
      <c r="AM307" s="160">
        <v>1029</v>
      </c>
      <c r="AN307" s="160">
        <v>130</v>
      </c>
      <c r="AO307" s="149">
        <v>52</v>
      </c>
      <c r="AP307" s="149">
        <v>123</v>
      </c>
      <c r="AQ307" s="150">
        <v>159</v>
      </c>
      <c r="AR307" s="149">
        <v>3</v>
      </c>
      <c r="AS307" s="149">
        <v>9</v>
      </c>
      <c r="AT307" s="160">
        <v>2</v>
      </c>
      <c r="AU307" s="160">
        <v>3</v>
      </c>
      <c r="AV307" s="207"/>
      <c r="AW307" s="165"/>
      <c r="AX307" s="197">
        <f t="shared" ref="AX307:AX310" si="298">COUNT(AU307)</f>
      </c>
    </row>
    <row r="308">
      <c r="A308" s="234"/>
      <c r="B308" s="149" t="s">
        <v>181</v>
      </c>
      <c r="C308" s="149" t="s">
        <v>182</v>
      </c>
      <c r="D308" s="149" t="s">
        <v>158</v>
      </c>
      <c r="E308" s="248" t="s">
        <v>184</v>
      </c>
      <c r="F308" s="159">
        <f t="shared" si="217"/>
      </c>
      <c r="G308" s="152">
        <v>2082.63</v>
      </c>
      <c r="H308" s="152">
        <v>1503.38</v>
      </c>
      <c r="I308" s="236">
        <v>0</v>
      </c>
      <c r="J308" s="236">
        <v>2</v>
      </c>
      <c r="K308" s="236">
        <v>8883.34</v>
      </c>
      <c r="L308" s="236">
        <v>3</v>
      </c>
      <c r="M308" s="236">
        <v>8027.49</v>
      </c>
      <c r="N308" s="155">
        <v>1</v>
      </c>
      <c r="O308" s="156">
        <f t="shared" si="46"/>
      </c>
      <c r="P308" s="155">
        <v>3</v>
      </c>
      <c r="Q308" s="156">
        <f t="shared" si="236"/>
      </c>
      <c r="R308" s="244">
        <f t="shared" si="12"/>
      </c>
      <c r="S308" s="237">
        <f t="shared" si="31"/>
      </c>
      <c r="T308" s="159">
        <f t="shared" si="234"/>
      </c>
      <c r="U308" s="159">
        <f t="shared" si="2"/>
      </c>
      <c r="V308" s="160">
        <f t="shared" si="0"/>
      </c>
      <c r="W308" s="155">
        <v>3</v>
      </c>
      <c r="X308" s="169">
        <f t="shared" si="6"/>
      </c>
      <c r="Y308" s="169">
        <f t="shared" si="4"/>
      </c>
      <c r="Z308" s="159">
        <f t="shared" si="232"/>
      </c>
      <c r="AA308" s="159">
        <f t="shared" si="47"/>
      </c>
      <c r="AB308" s="159">
        <f t="shared" si="237"/>
      </c>
      <c r="AC308" s="156">
        <f t="shared" si="235"/>
      </c>
      <c r="AD308" s="156">
        <f t="shared" si="3"/>
      </c>
      <c r="AE308" s="156">
        <f t="shared" si="1"/>
      </c>
      <c r="AF308" s="156">
        <f t="shared" si="7"/>
      </c>
      <c r="AG308" s="156">
        <f t="shared" si="5"/>
      </c>
      <c r="AH308" s="156">
        <f t="shared" si="233"/>
      </c>
      <c r="AI308" s="156">
        <f t="shared" si="48"/>
      </c>
      <c r="AJ308" s="155">
        <v>65</v>
      </c>
      <c r="AK308" s="160">
        <v>14685</v>
      </c>
      <c r="AL308" s="160">
        <v>539</v>
      </c>
      <c r="AM308" s="160">
        <v>676</v>
      </c>
      <c r="AN308" s="160">
        <v>70</v>
      </c>
      <c r="AO308" s="149">
        <v>35</v>
      </c>
      <c r="AP308" s="160">
        <v>81</v>
      </c>
      <c r="AQ308" s="150">
        <v>101</v>
      </c>
      <c r="AR308" s="149">
        <v>7</v>
      </c>
      <c r="AS308" s="155">
        <v>4</v>
      </c>
      <c r="AT308" s="155">
        <v>0</v>
      </c>
      <c r="AU308" s="155">
        <v>1</v>
      </c>
      <c r="AV308" s="207"/>
      <c r="AW308" s="165"/>
      <c r="AX308" s="197">
        <f t="shared" si="298"/>
      </c>
    </row>
    <row r="309">
      <c r="A309" s="234"/>
      <c r="B309" s="149" t="s">
        <v>181</v>
      </c>
      <c r="C309" s="149" t="s">
        <v>182</v>
      </c>
      <c r="D309" s="149" t="s">
        <v>158</v>
      </c>
      <c r="E309" s="248" t="s">
        <v>185</v>
      </c>
      <c r="F309" s="159">
        <f t="shared" si="217"/>
      </c>
      <c r="G309" s="152">
        <v>1675.79</v>
      </c>
      <c r="H309" s="152">
        <v>1598.5</v>
      </c>
      <c r="I309" s="236">
        <v>0</v>
      </c>
      <c r="J309" s="236">
        <v>1</v>
      </c>
      <c r="K309" s="236">
        <v>2201.1900000000005</v>
      </c>
      <c r="L309" s="236">
        <v>1</v>
      </c>
      <c r="M309" s="236">
        <v>1217.8999999999996</v>
      </c>
      <c r="N309" s="155">
        <v>0</v>
      </c>
      <c r="O309" s="156">
        <f t="shared" si="46"/>
      </c>
      <c r="P309" s="155">
        <v>1</v>
      </c>
      <c r="Q309" s="156">
        <f t="shared" si="236"/>
      </c>
      <c r="R309" s="244">
        <f t="shared" si="12"/>
      </c>
      <c r="S309" s="237">
        <f t="shared" si="31"/>
      </c>
      <c r="T309" s="159">
        <f t="shared" si="234"/>
      </c>
      <c r="U309" s="159">
        <f t="shared" si="2"/>
      </c>
      <c r="V309" s="169">
        <f t="shared" si="0"/>
      </c>
      <c r="W309" s="155">
        <v>1</v>
      </c>
      <c r="X309" s="169">
        <f t="shared" si="6"/>
      </c>
      <c r="Y309" s="169">
        <f t="shared" si="4"/>
      </c>
      <c r="Z309" s="159">
        <f t="shared" si="232"/>
      </c>
      <c r="AA309" s="159">
        <f t="shared" si="47"/>
      </c>
      <c r="AB309" s="159">
        <f t="shared" si="237"/>
      </c>
      <c r="AC309" s="156">
        <f t="shared" si="235"/>
      </c>
      <c r="AD309" s="156">
        <f t="shared" si="3"/>
      </c>
      <c r="AE309" s="156">
        <f t="shared" si="1"/>
      </c>
      <c r="AF309" s="156">
        <f t="shared" si="7"/>
      </c>
      <c r="AG309" s="156">
        <f t="shared" si="5"/>
      </c>
      <c r="AH309" s="156">
        <f t="shared" si="233"/>
      </c>
      <c r="AI309" s="156">
        <f t="shared" si="48"/>
      </c>
      <c r="AJ309" s="155">
        <v>62</v>
      </c>
      <c r="AK309" s="160">
        <v>13815</v>
      </c>
      <c r="AL309" s="160">
        <v>410</v>
      </c>
      <c r="AM309" s="160">
        <v>564</v>
      </c>
      <c r="AN309" s="160">
        <v>66</v>
      </c>
      <c r="AO309" s="149">
        <v>21</v>
      </c>
      <c r="AP309" s="160">
        <v>75</v>
      </c>
      <c r="AQ309" s="150">
        <v>73</v>
      </c>
      <c r="AR309" s="149">
        <v>2</v>
      </c>
      <c r="AS309" s="160">
        <v>4</v>
      </c>
      <c r="AT309" s="160">
        <v>0</v>
      </c>
      <c r="AU309" s="160">
        <v>3</v>
      </c>
      <c r="AV309" s="207"/>
      <c r="AW309" s="165"/>
      <c r="AX309" s="197">
        <f t="shared" si="298"/>
      </c>
    </row>
    <row r="310">
      <c r="A310" s="234"/>
      <c r="B310" s="149" t="s">
        <v>181</v>
      </c>
      <c r="C310" s="149" t="s">
        <v>182</v>
      </c>
      <c r="D310" s="149" t="s">
        <v>158</v>
      </c>
      <c r="E310" s="149" t="s">
        <v>186</v>
      </c>
      <c r="F310" s="159">
        <f t="shared" si="217"/>
      </c>
      <c r="G310" s="152">
        <v>1575.41</v>
      </c>
      <c r="H310" s="152">
        <v>1895.36</v>
      </c>
      <c r="I310" s="236">
        <v>0</v>
      </c>
      <c r="J310" s="236">
        <v>0</v>
      </c>
      <c r="K310" s="236">
        <v>0</v>
      </c>
      <c r="L310" s="236">
        <v>3</v>
      </c>
      <c r="M310" s="236">
        <v>4094.499999999998</v>
      </c>
      <c r="N310" s="155">
        <v>1</v>
      </c>
      <c r="O310" s="156">
        <f t="shared" si="46"/>
      </c>
      <c r="P310" s="155">
        <v>0</v>
      </c>
      <c r="Q310" s="156">
        <f t="shared" si="236"/>
      </c>
      <c r="R310" s="244">
        <f t="shared" si="12"/>
      </c>
      <c r="S310" s="237">
        <f t="shared" si="31"/>
      </c>
      <c r="T310" s="159">
        <f t="shared" si="234"/>
      </c>
      <c r="U310" s="159">
        <f t="shared" si="2"/>
      </c>
      <c r="V310" s="169">
        <f t="shared" si="0"/>
      </c>
      <c r="W310" s="155">
        <v>1</v>
      </c>
      <c r="X310" s="169">
        <f t="shared" si="6"/>
      </c>
      <c r="Y310" s="169">
        <f t="shared" si="4"/>
      </c>
      <c r="Z310" s="159">
        <f t="shared" si="232"/>
      </c>
      <c r="AA310" s="159">
        <f t="shared" si="47"/>
      </c>
      <c r="AB310" s="159">
        <f t="shared" si="237"/>
      </c>
      <c r="AC310" s="156">
        <f t="shared" si="235"/>
      </c>
      <c r="AD310" s="156">
        <f t="shared" si="3"/>
      </c>
      <c r="AE310" s="156">
        <f t="shared" si="1"/>
      </c>
      <c r="AF310" s="156">
        <f t="shared" si="7"/>
      </c>
      <c r="AG310" s="156">
        <f t="shared" si="5"/>
      </c>
      <c r="AH310" s="156">
        <f t="shared" si="233"/>
      </c>
      <c r="AI310" s="156">
        <f t="shared" si="48"/>
      </c>
      <c r="AJ310" s="155">
        <v>63</v>
      </c>
      <c r="AK310" s="160">
        <v>15203</v>
      </c>
      <c r="AL310" s="160">
        <v>446</v>
      </c>
      <c r="AM310" s="160">
        <v>596</v>
      </c>
      <c r="AN310" s="160">
        <v>59</v>
      </c>
      <c r="AO310" s="149">
        <v>25</v>
      </c>
      <c r="AP310" s="155">
        <v>84</v>
      </c>
      <c r="AQ310" s="149">
        <v>81</v>
      </c>
      <c r="AR310" s="149">
        <v>5</v>
      </c>
      <c r="AS310" s="155">
        <v>6</v>
      </c>
      <c r="AT310" s="155">
        <v>1</v>
      </c>
      <c r="AU310" s="155">
        <v>3</v>
      </c>
      <c r="AV310" s="207"/>
      <c r="AW310" s="165"/>
      <c r="AX310" s="197">
        <f t="shared" si="298"/>
      </c>
    </row>
    <row r="311">
      <c r="A311" s="234"/>
      <c r="B311" s="171" t="s">
        <v>162</v>
      </c>
      <c r="C311" s="171"/>
      <c r="D311" s="171"/>
      <c r="E311" s="171"/>
      <c r="F311" s="173">
        <f>SUM(F307:F310)</f>
      </c>
      <c r="G311" s="173">
        <f>SUM(G307:G310)</f>
      </c>
      <c r="H311" s="173">
        <f>SUM(H307:H310)</f>
      </c>
      <c r="I311" s="173">
        <f>SUM(I307:I310)</f>
      </c>
      <c r="J311" s="173">
        <f>SUM(J307:J310)</f>
      </c>
      <c r="K311" s="173">
        <f>SUM(K307:K310)</f>
      </c>
      <c r="L311" s="173">
        <f>SUM(L307:L310)</f>
      </c>
      <c r="M311" s="173">
        <f>SUM(M307:M310)</f>
      </c>
      <c r="N311" s="173">
        <f>SUM(N307:N310)</f>
      </c>
      <c r="O311" s="175">
        <f t="shared" si="46"/>
      </c>
      <c r="P311" s="173">
        <f>SUM(P307:P310)</f>
      </c>
      <c r="Q311" s="175">
        <f t="shared" si="236"/>
      </c>
      <c r="R311" s="178">
        <f>SUM(R307:R310)</f>
      </c>
      <c r="S311" s="173">
        <f>SUM(S307:S310)</f>
      </c>
      <c r="T311" s="173">
        <f t="shared" si="234"/>
      </c>
      <c r="U311" s="173">
        <f t="shared" si="2"/>
      </c>
      <c r="V311" s="173">
        <f t="shared" si="0"/>
      </c>
      <c r="W311" s="173">
        <f>SUM(W307:W310)</f>
      </c>
      <c r="X311" s="194">
        <f t="shared" si="6"/>
      </c>
      <c r="Y311" s="194">
        <f t="shared" si="4"/>
      </c>
      <c r="Z311" s="173">
        <f t="shared" si="232"/>
      </c>
      <c r="AA311" s="173">
        <f t="shared" si="47"/>
      </c>
      <c r="AB311" s="238">
        <f t="shared" si="237"/>
      </c>
      <c r="AC311" s="175">
        <f t="shared" si="235"/>
      </c>
      <c r="AD311" s="175">
        <f t="shared" si="3"/>
      </c>
      <c r="AE311" s="175">
        <f t="shared" si="1"/>
      </c>
      <c r="AF311" s="175">
        <f t="shared" si="7"/>
      </c>
      <c r="AG311" s="175">
        <f t="shared" si="5"/>
      </c>
      <c r="AH311" s="175">
        <f t="shared" si="233"/>
      </c>
      <c r="AI311" s="175">
        <f t="shared" si="48"/>
      </c>
      <c r="AJ311" s="178">
        <f>AVERAGE(AJ307:AJ310)</f>
      </c>
      <c r="AK311" s="173">
        <f>SUM(AK307:AK310)</f>
      </c>
      <c r="AL311" s="173">
        <f>SUM(AL307:AL310)</f>
      </c>
      <c r="AM311" s="173">
        <f>SUM(AM307:AM310)</f>
      </c>
      <c r="AN311" s="173">
        <f>SUM(AN307:AN310)</f>
      </c>
      <c r="AO311" s="173">
        <f>SUM(AO307:AO310)</f>
      </c>
      <c r="AP311" s="173">
        <f>SUM(AP307:AP310)</f>
      </c>
      <c r="AQ311" s="173">
        <f>SUM(AQ307:AQ310)</f>
      </c>
      <c r="AR311" s="173">
        <f>SUM(AR307:AR310)</f>
      </c>
      <c r="AS311" s="173">
        <f>SUM(AS307:AS310)</f>
      </c>
      <c r="AT311" s="173">
        <f>SUM(AT307:AT310)</f>
      </c>
      <c r="AU311" s="173">
        <f>SUM(AU307:AU310)</f>
      </c>
      <c r="AV311" s="207"/>
      <c r="AW311" s="180"/>
      <c r="AX311" s="181">
        <f>SUM(AX307:AX310)</f>
      </c>
    </row>
    <row r="312">
      <c r="A312" s="234"/>
      <c r="B312" s="149" t="s">
        <v>181</v>
      </c>
      <c r="C312" s="149" t="s">
        <v>182</v>
      </c>
      <c r="D312" s="149" t="s">
        <v>163</v>
      </c>
      <c r="E312" s="150" t="s">
        <v>175</v>
      </c>
      <c r="F312" s="159">
        <f t="shared" ref="F312:F315" si="218">G312+H312+I312</f>
      </c>
      <c r="G312" s="152">
        <v>1414.5</v>
      </c>
      <c r="H312" s="152">
        <v>1495.91</v>
      </c>
      <c r="I312" s="236">
        <v>0</v>
      </c>
      <c r="J312" s="236">
        <v>0</v>
      </c>
      <c r="K312" s="236">
        <v>0</v>
      </c>
      <c r="L312" s="236">
        <v>4</v>
      </c>
      <c r="M312" s="236">
        <v>6805.299999999999</v>
      </c>
      <c r="N312" s="155">
        <v>2</v>
      </c>
      <c r="O312" s="156">
        <f t="shared" si="46"/>
      </c>
      <c r="P312" s="155">
        <v>1</v>
      </c>
      <c r="Q312" s="156">
        <f t="shared" si="236"/>
      </c>
      <c r="R312" s="244">
        <f t="shared" ref="R312:R315" si="13">J312+L312</f>
      </c>
      <c r="S312" s="237">
        <f t="shared" ref="S312:S315" si="32">K312+M312</f>
      </c>
      <c r="T312" s="159">
        <f t="shared" si="234"/>
      </c>
      <c r="U312" s="159">
        <f t="shared" si="2"/>
      </c>
      <c r="V312" s="169">
        <f t="shared" si="0"/>
      </c>
      <c r="W312" s="155">
        <v>4</v>
      </c>
      <c r="X312" s="169">
        <f t="shared" si="6"/>
      </c>
      <c r="Y312" s="169">
        <f t="shared" si="4"/>
      </c>
      <c r="Z312" s="159">
        <f t="shared" si="232"/>
      </c>
      <c r="AA312" s="159">
        <f t="shared" si="47"/>
      </c>
      <c r="AB312" s="159">
        <f t="shared" si="237"/>
      </c>
      <c r="AC312" s="156">
        <f t="shared" si="235"/>
      </c>
      <c r="AD312" s="156">
        <f t="shared" si="3"/>
      </c>
      <c r="AE312" s="156">
        <f t="shared" si="1"/>
      </c>
      <c r="AF312" s="156">
        <f t="shared" si="7"/>
      </c>
      <c r="AG312" s="156">
        <f t="shared" si="5"/>
      </c>
      <c r="AH312" s="156">
        <f t="shared" si="233"/>
      </c>
      <c r="AI312" s="156">
        <f t="shared" si="48"/>
      </c>
      <c r="AJ312" s="155">
        <v>65</v>
      </c>
      <c r="AK312" s="160">
        <v>12441</v>
      </c>
      <c r="AL312" s="160">
        <v>400</v>
      </c>
      <c r="AM312" s="160">
        <v>597</v>
      </c>
      <c r="AN312" s="160">
        <v>71</v>
      </c>
      <c r="AO312" s="149">
        <v>23</v>
      </c>
      <c r="AP312" s="160">
        <v>74</v>
      </c>
      <c r="AQ312" s="150">
        <v>81</v>
      </c>
      <c r="AR312" s="149">
        <v>8</v>
      </c>
      <c r="AS312" s="149">
        <v>4</v>
      </c>
      <c r="AT312" s="155">
        <v>1</v>
      </c>
      <c r="AU312" s="155">
        <v>1</v>
      </c>
      <c r="AV312" s="207"/>
      <c r="AW312" s="165"/>
      <c r="AX312" s="197">
        <f t="shared" ref="AX312:AX315" si="299">COUNT(AU312)</f>
      </c>
    </row>
    <row r="313">
      <c r="A313" s="234"/>
      <c r="B313" s="149" t="s">
        <v>181</v>
      </c>
      <c r="C313" s="149" t="s">
        <v>182</v>
      </c>
      <c r="D313" s="149" t="s">
        <v>163</v>
      </c>
      <c r="E313" s="150" t="s">
        <v>176</v>
      </c>
      <c r="F313" s="159">
        <f t="shared" si="218"/>
      </c>
      <c r="G313" s="152">
        <v>1700.14</v>
      </c>
      <c r="H313" s="152">
        <v>2026.28</v>
      </c>
      <c r="I313" s="236">
        <v>0</v>
      </c>
      <c r="J313" s="236">
        <v>1</v>
      </c>
      <c r="K313" s="236">
        <v>1111</v>
      </c>
      <c r="L313" s="236">
        <v>2</v>
      </c>
      <c r="M313" s="236">
        <v>2314.0099999999984</v>
      </c>
      <c r="N313" s="155">
        <v>1</v>
      </c>
      <c r="O313" s="156">
        <f t="shared" si="46"/>
      </c>
      <c r="P313" s="155">
        <v>0</v>
      </c>
      <c r="Q313" s="156">
        <f t="shared" si="236"/>
      </c>
      <c r="R313" s="244">
        <f t="shared" si="13"/>
      </c>
      <c r="S313" s="237">
        <f t="shared" si="32"/>
      </c>
      <c r="T313" s="159">
        <f t="shared" si="234"/>
      </c>
      <c r="U313" s="159">
        <f t="shared" si="2"/>
      </c>
      <c r="V313" s="169">
        <f t="shared" si="0"/>
      </c>
      <c r="W313" s="155">
        <v>3</v>
      </c>
      <c r="X313" s="169">
        <f t="shared" si="6"/>
      </c>
      <c r="Y313" s="169">
        <f t="shared" si="4"/>
      </c>
      <c r="Z313" s="159">
        <f t="shared" si="232"/>
      </c>
      <c r="AA313" s="159">
        <f t="shared" si="47"/>
      </c>
      <c r="AB313" s="159">
        <f t="shared" si="237"/>
      </c>
      <c r="AC313" s="156">
        <f t="shared" si="235"/>
      </c>
      <c r="AD313" s="156">
        <f t="shared" si="3"/>
      </c>
      <c r="AE313" s="156">
        <f t="shared" si="1"/>
      </c>
      <c r="AF313" s="156">
        <f t="shared" si="7"/>
      </c>
      <c r="AG313" s="156">
        <f t="shared" si="5"/>
      </c>
      <c r="AH313" s="156">
        <f t="shared" si="233"/>
      </c>
      <c r="AI313" s="156">
        <f t="shared" si="48"/>
      </c>
      <c r="AJ313" s="155">
        <v>64</v>
      </c>
      <c r="AK313" s="160">
        <v>13744</v>
      </c>
      <c r="AL313" s="160">
        <v>337</v>
      </c>
      <c r="AM313" s="160">
        <v>500</v>
      </c>
      <c r="AN313" s="160">
        <v>57</v>
      </c>
      <c r="AO313" s="149">
        <v>22</v>
      </c>
      <c r="AP313" s="160">
        <v>91</v>
      </c>
      <c r="AQ313" s="150">
        <v>77</v>
      </c>
      <c r="AR313" s="149">
        <v>3</v>
      </c>
      <c r="AS313" s="149">
        <v>11</v>
      </c>
      <c r="AT313" s="155">
        <v>0</v>
      </c>
      <c r="AU313" s="155">
        <v>2</v>
      </c>
      <c r="AV313" s="207"/>
      <c r="AW313" s="165"/>
      <c r="AX313" s="197">
        <f t="shared" si="299"/>
      </c>
    </row>
    <row r="314">
      <c r="A314" s="234"/>
      <c r="B314" s="149" t="s">
        <v>181</v>
      </c>
      <c r="C314" s="149" t="s">
        <v>182</v>
      </c>
      <c r="D314" s="149" t="s">
        <v>163</v>
      </c>
      <c r="E314" s="150" t="s">
        <v>177</v>
      </c>
      <c r="F314" s="159">
        <f t="shared" si="218"/>
      </c>
      <c r="G314" s="152">
        <v>1616</v>
      </c>
      <c r="H314" s="152">
        <v>2180.6</v>
      </c>
      <c r="I314" s="236">
        <v>0</v>
      </c>
      <c r="J314" s="236">
        <v>1</v>
      </c>
      <c r="K314" s="236">
        <v>879</v>
      </c>
      <c r="L314" s="236">
        <v>2</v>
      </c>
      <c r="M314" s="236">
        <v>6403.100000000002</v>
      </c>
      <c r="N314" s="155">
        <v>2</v>
      </c>
      <c r="O314" s="156">
        <f t="shared" si="46"/>
      </c>
      <c r="P314" s="155">
        <v>0</v>
      </c>
      <c r="Q314" s="156">
        <f t="shared" si="236"/>
      </c>
      <c r="R314" s="244">
        <f t="shared" si="13"/>
      </c>
      <c r="S314" s="237">
        <f t="shared" si="32"/>
      </c>
      <c r="T314" s="159">
        <f t="shared" si="234"/>
      </c>
      <c r="U314" s="159">
        <f t="shared" si="2"/>
      </c>
      <c r="V314" s="169">
        <f t="shared" si="0"/>
      </c>
      <c r="W314" s="155">
        <v>3</v>
      </c>
      <c r="X314" s="169">
        <f t="shared" si="6"/>
      </c>
      <c r="Y314" s="169">
        <f t="shared" si="4"/>
      </c>
      <c r="Z314" s="159">
        <f t="shared" si="232"/>
      </c>
      <c r="AA314" s="159">
        <f t="shared" si="47"/>
      </c>
      <c r="AB314" s="159">
        <f t="shared" si="237"/>
      </c>
      <c r="AC314" s="156">
        <f t="shared" si="235"/>
      </c>
      <c r="AD314" s="156">
        <f t="shared" si="3"/>
      </c>
      <c r="AE314" s="156">
        <f t="shared" si="1"/>
      </c>
      <c r="AF314" s="156">
        <f t="shared" si="7"/>
      </c>
      <c r="AG314" s="156">
        <f t="shared" si="5"/>
      </c>
      <c r="AH314" s="156">
        <f t="shared" si="233"/>
      </c>
      <c r="AI314" s="156">
        <f t="shared" si="48"/>
      </c>
      <c r="AJ314" s="155">
        <v>63</v>
      </c>
      <c r="AK314" s="160">
        <v>16291</v>
      </c>
      <c r="AL314" s="160">
        <v>405</v>
      </c>
      <c r="AM314" s="160">
        <v>603</v>
      </c>
      <c r="AN314" s="160">
        <v>66</v>
      </c>
      <c r="AO314" s="149">
        <v>25</v>
      </c>
      <c r="AP314" s="160">
        <v>64</v>
      </c>
      <c r="AQ314" s="150">
        <v>81</v>
      </c>
      <c r="AR314" s="149">
        <v>4</v>
      </c>
      <c r="AS314" s="155">
        <v>7</v>
      </c>
      <c r="AT314" s="155">
        <v>2</v>
      </c>
      <c r="AU314" s="155">
        <v>2</v>
      </c>
      <c r="AV314" s="207"/>
      <c r="AW314" s="165"/>
      <c r="AX314" s="197">
        <f t="shared" si="299"/>
      </c>
    </row>
    <row r="315">
      <c r="A315" s="234"/>
      <c r="B315" s="149" t="s">
        <v>187</v>
      </c>
      <c r="C315" s="150" t="s">
        <v>157</v>
      </c>
      <c r="D315" s="149" t="s">
        <v>163</v>
      </c>
      <c r="E315" s="150" t="s">
        <v>178</v>
      </c>
      <c r="F315" s="159">
        <f t="shared" si="218"/>
      </c>
      <c r="G315" s="152">
        <v>3115.61</v>
      </c>
      <c r="H315" s="152">
        <v>3381.16</v>
      </c>
      <c r="I315" s="236">
        <v>0</v>
      </c>
      <c r="J315" s="236">
        <v>0</v>
      </c>
      <c r="K315" s="236">
        <v>0</v>
      </c>
      <c r="L315" s="236">
        <v>6</v>
      </c>
      <c r="M315" s="236">
        <v>12535.960000000003</v>
      </c>
      <c r="N315" s="155">
        <v>3</v>
      </c>
      <c r="O315" s="156">
        <f t="shared" si="46"/>
      </c>
      <c r="P315" s="155">
        <v>1</v>
      </c>
      <c r="Q315" s="156">
        <f t="shared" si="236"/>
      </c>
      <c r="R315" s="244">
        <f t="shared" si="13"/>
      </c>
      <c r="S315" s="237">
        <f t="shared" si="32"/>
      </c>
      <c r="T315" s="159">
        <f t="shared" si="234"/>
      </c>
      <c r="U315" s="159">
        <f t="shared" si="2"/>
      </c>
      <c r="V315" s="169">
        <f t="shared" si="0"/>
      </c>
      <c r="W315" s="155">
        <v>5</v>
      </c>
      <c r="X315" s="169">
        <f t="shared" si="6"/>
      </c>
      <c r="Y315" s="169">
        <f t="shared" si="4"/>
      </c>
      <c r="Z315" s="159">
        <f t="shared" si="232"/>
      </c>
      <c r="AA315" s="159">
        <f t="shared" si="47"/>
      </c>
      <c r="AB315" s="159">
        <f t="shared" si="237"/>
      </c>
      <c r="AC315" s="156">
        <f t="shared" si="235"/>
      </c>
      <c r="AD315" s="156">
        <f t="shared" si="3"/>
      </c>
      <c r="AE315" s="156">
        <f t="shared" si="1"/>
      </c>
      <c r="AF315" s="156">
        <f t="shared" si="7"/>
      </c>
      <c r="AG315" s="156">
        <f t="shared" si="5"/>
      </c>
      <c r="AH315" s="156">
        <f t="shared" si="233"/>
      </c>
      <c r="AI315" s="156">
        <f t="shared" si="48"/>
      </c>
      <c r="AJ315" s="155">
        <v>61</v>
      </c>
      <c r="AK315" s="160">
        <v>31109</v>
      </c>
      <c r="AL315" s="160">
        <v>771</v>
      </c>
      <c r="AM315" s="160">
        <v>1080</v>
      </c>
      <c r="AN315" s="160">
        <v>114</v>
      </c>
      <c r="AO315" s="149">
        <v>36</v>
      </c>
      <c r="AP315" s="155">
        <v>87</v>
      </c>
      <c r="AQ315" s="149">
        <v>139</v>
      </c>
      <c r="AR315" s="149">
        <v>9</v>
      </c>
      <c r="AS315" s="155">
        <v>6</v>
      </c>
      <c r="AT315" s="155">
        <v>2</v>
      </c>
      <c r="AU315" s="155">
        <v>4</v>
      </c>
      <c r="AV315" s="207"/>
      <c r="AW315" s="165"/>
      <c r="AX315" s="197">
        <f t="shared" si="299"/>
      </c>
    </row>
    <row r="316">
      <c r="A316" s="234"/>
      <c r="B316" s="171" t="s">
        <v>162</v>
      </c>
      <c r="C316" s="171"/>
      <c r="D316" s="171"/>
      <c r="E316" s="171"/>
      <c r="F316" s="173">
        <f>SUM(F312:F315)</f>
      </c>
      <c r="G316" s="173">
        <f>SUM(G312:G315)</f>
      </c>
      <c r="H316" s="173">
        <f>SUM(H312:H315)</f>
      </c>
      <c r="I316" s="173">
        <f>SUM(I312:I315)</f>
      </c>
      <c r="J316" s="173">
        <f>SUM(J312:J315)</f>
      </c>
      <c r="K316" s="173">
        <f>SUM(K312:K315)</f>
      </c>
      <c r="L316" s="173">
        <f>SUM(L312:L315)</f>
      </c>
      <c r="M316" s="173">
        <f>SUM(M312:M315)</f>
      </c>
      <c r="N316" s="173">
        <f>SUM(N312:N315)</f>
      </c>
      <c r="O316" s="175">
        <f t="shared" si="46"/>
      </c>
      <c r="P316" s="173">
        <f>SUM(P312:P315)</f>
      </c>
      <c r="Q316" s="175">
        <f t="shared" si="236"/>
      </c>
      <c r="R316" s="178">
        <f>SUM(R312:R315)</f>
      </c>
      <c r="S316" s="173">
        <f>SUM(S312:S315)</f>
      </c>
      <c r="T316" s="173">
        <f t="shared" si="234"/>
      </c>
      <c r="U316" s="173">
        <f t="shared" si="2"/>
      </c>
      <c r="V316" s="194">
        <f t="shared" si="0"/>
      </c>
      <c r="W316" s="173">
        <f>SUM(W312:W315)</f>
      </c>
      <c r="X316" s="194">
        <f t="shared" si="6"/>
      </c>
      <c r="Y316" s="194">
        <f t="shared" si="4"/>
      </c>
      <c r="Z316" s="173">
        <f t="shared" si="232"/>
      </c>
      <c r="AA316" s="173">
        <f t="shared" si="47"/>
      </c>
      <c r="AB316" s="238">
        <f t="shared" si="237"/>
      </c>
      <c r="AC316" s="175">
        <f t="shared" si="235"/>
      </c>
      <c r="AD316" s="175">
        <f t="shared" si="3"/>
      </c>
      <c r="AE316" s="175">
        <f t="shared" si="1"/>
      </c>
      <c r="AF316" s="239">
        <f t="shared" si="7"/>
      </c>
      <c r="AG316" s="175">
        <f t="shared" si="5"/>
      </c>
      <c r="AH316" s="175">
        <f t="shared" si="233"/>
      </c>
      <c r="AI316" s="175">
        <f t="shared" si="48"/>
      </c>
      <c r="AJ316" s="178">
        <f>AVERAGE(AJ312:AJ315)</f>
      </c>
      <c r="AK316" s="173">
        <f>SUM(AK312:AK315)</f>
      </c>
      <c r="AL316" s="173">
        <f>SUM(AL312:AL315)</f>
      </c>
      <c r="AM316" s="173">
        <f>SUM(AM312:AM315)</f>
      </c>
      <c r="AN316" s="173">
        <f>SUM(AN312:AN315)</f>
      </c>
      <c r="AO316" s="173">
        <f>SUM(AO312:AO315)</f>
      </c>
      <c r="AP316" s="173">
        <f>SUM(AP312:AP315)</f>
      </c>
      <c r="AQ316" s="173">
        <f>SUM(AQ312:AQ315)</f>
      </c>
      <c r="AR316" s="173">
        <f>SUM(AR312:AR315)</f>
      </c>
      <c r="AS316" s="173">
        <f>SUM(AS312:AS315)</f>
      </c>
      <c r="AT316" s="173">
        <f>SUM(AT312:AT315)</f>
      </c>
      <c r="AU316" s="173">
        <f>SUM(AU312:AU315)</f>
      </c>
      <c r="AV316" s="207"/>
      <c r="AW316" s="180"/>
      <c r="AX316" s="181">
        <f>SUM(AX312:AX315)</f>
      </c>
    </row>
    <row r="317">
      <c r="A317" s="234"/>
      <c r="B317" s="149" t="s">
        <v>187</v>
      </c>
      <c r="C317" s="150" t="s">
        <v>157</v>
      </c>
      <c r="D317" s="149" t="s">
        <v>180</v>
      </c>
      <c r="E317" s="150" t="s">
        <v>159</v>
      </c>
      <c r="F317" s="159">
        <f t="shared" ref="F317:F320" si="219">G317+H317+I317</f>
      </c>
      <c r="G317" s="152">
        <v>2822.78</v>
      </c>
      <c r="H317" s="152">
        <v>3079.98</v>
      </c>
      <c r="I317" s="236">
        <v>0</v>
      </c>
      <c r="J317" s="236">
        <v>3</v>
      </c>
      <c r="K317" s="236">
        <v>4494.449999999999</v>
      </c>
      <c r="L317" s="236">
        <v>4</v>
      </c>
      <c r="M317" s="236">
        <v>11878.800000000003</v>
      </c>
      <c r="N317" s="155">
        <v>1</v>
      </c>
      <c r="O317" s="156">
        <f t="shared" si="46"/>
      </c>
      <c r="P317" s="155">
        <v>0</v>
      </c>
      <c r="Q317" s="156">
        <f t="shared" si="236"/>
      </c>
      <c r="R317" s="244">
        <f t="shared" ref="R317:R320" si="14">J317+L317</f>
      </c>
      <c r="S317" s="237">
        <f t="shared" ref="S317:S320" si="33">K317+M317</f>
      </c>
      <c r="T317" s="159">
        <f t="shared" si="234"/>
      </c>
      <c r="U317" s="159">
        <f t="shared" si="2"/>
      </c>
      <c r="V317" s="169">
        <f t="shared" si="0"/>
      </c>
      <c r="W317" s="155">
        <v>7</v>
      </c>
      <c r="X317" s="169">
        <f t="shared" si="6"/>
      </c>
      <c r="Y317" s="169">
        <f t="shared" si="4"/>
      </c>
      <c r="Z317" s="159">
        <f t="shared" si="232"/>
      </c>
      <c r="AA317" s="159">
        <f t="shared" si="47"/>
      </c>
      <c r="AB317" s="159">
        <f t="shared" si="237"/>
      </c>
      <c r="AC317" s="156">
        <f t="shared" si="235"/>
      </c>
      <c r="AD317" s="156">
        <f t="shared" si="3"/>
      </c>
      <c r="AE317" s="156">
        <f t="shared" si="1"/>
      </c>
      <c r="AF317" s="156">
        <f t="shared" si="7"/>
      </c>
      <c r="AG317" s="156">
        <f t="shared" si="5"/>
      </c>
      <c r="AH317" s="156">
        <f t="shared" si="233"/>
      </c>
      <c r="AI317" s="156">
        <f t="shared" si="48"/>
      </c>
      <c r="AJ317" s="155">
        <v>61</v>
      </c>
      <c r="AK317" s="160">
        <v>30837</v>
      </c>
      <c r="AL317" s="160">
        <v>666</v>
      </c>
      <c r="AM317" s="160">
        <v>875</v>
      </c>
      <c r="AN317" s="160">
        <v>109</v>
      </c>
      <c r="AO317" s="149">
        <v>31</v>
      </c>
      <c r="AP317" s="160">
        <v>126</v>
      </c>
      <c r="AQ317" s="150">
        <v>108</v>
      </c>
      <c r="AR317" s="149">
        <v>9</v>
      </c>
      <c r="AS317" s="149">
        <v>10</v>
      </c>
      <c r="AT317" s="155">
        <v>0</v>
      </c>
      <c r="AU317" s="155">
        <v>9</v>
      </c>
      <c r="AV317" s="207"/>
      <c r="AW317" s="165"/>
      <c r="AX317" s="197">
        <f t="shared" ref="AX317:AX320" si="300">COUNT(AU317)</f>
      </c>
    </row>
    <row r="318">
      <c r="A318" s="234"/>
      <c r="B318" s="149" t="s">
        <v>187</v>
      </c>
      <c r="C318" s="150" t="s">
        <v>157</v>
      </c>
      <c r="D318" s="149" t="s">
        <v>180</v>
      </c>
      <c r="E318" s="150" t="s">
        <v>160</v>
      </c>
      <c r="F318" s="159">
        <f t="shared" si="219"/>
      </c>
      <c r="G318" s="152">
        <v>3348.72</v>
      </c>
      <c r="H318" s="152">
        <v>3143.33</v>
      </c>
      <c r="I318" s="236">
        <v>0</v>
      </c>
      <c r="J318" s="236">
        <v>2</v>
      </c>
      <c r="K318" s="236">
        <v>3372.2000000000007</v>
      </c>
      <c r="L318" s="236">
        <v>5</v>
      </c>
      <c r="M318" s="236">
        <v>11285.529999999999</v>
      </c>
      <c r="N318" s="155">
        <v>1</v>
      </c>
      <c r="O318" s="156">
        <f t="shared" si="46"/>
      </c>
      <c r="P318" s="155">
        <v>1</v>
      </c>
      <c r="Q318" s="156">
        <f t="shared" si="236"/>
      </c>
      <c r="R318" s="244">
        <f t="shared" si="14"/>
      </c>
      <c r="S318" s="237">
        <f t="shared" si="33"/>
      </c>
      <c r="T318" s="159">
        <f t="shared" si="234"/>
      </c>
      <c r="U318" s="159">
        <f t="shared" si="2"/>
      </c>
      <c r="V318" s="169">
        <f t="shared" si="0"/>
      </c>
      <c r="W318" s="155">
        <v>5</v>
      </c>
      <c r="X318" s="169">
        <f t="shared" si="6"/>
      </c>
      <c r="Y318" s="169">
        <f t="shared" si="4"/>
      </c>
      <c r="Z318" s="159">
        <f t="shared" si="232"/>
      </c>
      <c r="AA318" s="159">
        <f t="shared" si="47"/>
      </c>
      <c r="AB318" s="159">
        <f t="shared" si="237"/>
      </c>
      <c r="AC318" s="156">
        <f t="shared" si="235"/>
      </c>
      <c r="AD318" s="156">
        <f t="shared" si="3"/>
      </c>
      <c r="AE318" s="156">
        <f t="shared" si="1"/>
      </c>
      <c r="AF318" s="156">
        <f t="shared" si="7"/>
      </c>
      <c r="AG318" s="156">
        <f t="shared" si="5"/>
      </c>
      <c r="AH318" s="156">
        <f t="shared" si="233"/>
      </c>
      <c r="AI318" s="156">
        <f t="shared" si="48"/>
      </c>
      <c r="AJ318" s="155">
        <v>61</v>
      </c>
      <c r="AK318" s="160">
        <v>36586</v>
      </c>
      <c r="AL318" s="160">
        <v>873</v>
      </c>
      <c r="AM318" s="160">
        <v>1093</v>
      </c>
      <c r="AN318" s="160">
        <v>103</v>
      </c>
      <c r="AO318" s="149">
        <v>53</v>
      </c>
      <c r="AP318" s="160">
        <v>187</v>
      </c>
      <c r="AQ318" s="149">
        <v>149</v>
      </c>
      <c r="AR318" s="149">
        <v>9</v>
      </c>
      <c r="AS318" s="149">
        <v>18</v>
      </c>
      <c r="AT318" s="155">
        <v>1</v>
      </c>
      <c r="AU318" s="155">
        <v>2</v>
      </c>
      <c r="AV318" s="207"/>
      <c r="AW318" s="165"/>
      <c r="AX318" s="197">
        <f t="shared" si="300"/>
      </c>
    </row>
    <row r="319">
      <c r="A319" s="234"/>
      <c r="B319" s="149" t="s">
        <v>187</v>
      </c>
      <c r="C319" s="150" t="s">
        <v>157</v>
      </c>
      <c r="D319" s="149" t="s">
        <v>180</v>
      </c>
      <c r="E319" s="150" t="s">
        <v>161</v>
      </c>
      <c r="F319" s="159">
        <f t="shared" si="219"/>
      </c>
      <c r="G319" s="152">
        <v>3843.57</v>
      </c>
      <c r="H319" s="152">
        <v>2508.66</v>
      </c>
      <c r="I319" s="236">
        <v>0</v>
      </c>
      <c r="J319" s="236">
        <v>1</v>
      </c>
      <c r="K319" s="236">
        <v>2810</v>
      </c>
      <c r="L319" s="236">
        <v>10</v>
      </c>
      <c r="M319" s="236">
        <v>25814.070000000007</v>
      </c>
      <c r="N319" s="155">
        <v>2</v>
      </c>
      <c r="O319" s="156">
        <f t="shared" si="46"/>
      </c>
      <c r="P319" s="155">
        <v>3</v>
      </c>
      <c r="Q319" s="156">
        <f t="shared" si="236"/>
      </c>
      <c r="R319" s="244">
        <f t="shared" si="14"/>
      </c>
      <c r="S319" s="237">
        <f t="shared" si="33"/>
      </c>
      <c r="T319" s="159">
        <f t="shared" si="234"/>
      </c>
      <c r="U319" s="159">
        <f t="shared" si="2"/>
      </c>
      <c r="V319" s="169">
        <f t="shared" si="0"/>
      </c>
      <c r="W319" s="155">
        <v>7</v>
      </c>
      <c r="X319" s="169">
        <f t="shared" si="6"/>
      </c>
      <c r="Y319" s="169">
        <f t="shared" si="4"/>
      </c>
      <c r="Z319" s="159">
        <f t="shared" si="232"/>
      </c>
      <c r="AA319" s="159">
        <f t="shared" si="47"/>
      </c>
      <c r="AB319" s="159">
        <f t="shared" si="237"/>
      </c>
      <c r="AC319" s="156">
        <f t="shared" si="235"/>
      </c>
      <c r="AD319" s="156">
        <f t="shared" si="3"/>
      </c>
      <c r="AE319" s="156">
        <f t="shared" si="1"/>
      </c>
      <c r="AF319" s="156">
        <f t="shared" si="7"/>
      </c>
      <c r="AG319" s="156">
        <f t="shared" si="5"/>
      </c>
      <c r="AH319" s="156">
        <f t="shared" si="233"/>
      </c>
      <c r="AI319" s="156">
        <f t="shared" si="48"/>
      </c>
      <c r="AJ319" s="155">
        <v>60</v>
      </c>
      <c r="AK319" s="160">
        <v>41687</v>
      </c>
      <c r="AL319" s="160">
        <v>1300</v>
      </c>
      <c r="AM319" s="160">
        <v>1504</v>
      </c>
      <c r="AN319" s="160">
        <v>185</v>
      </c>
      <c r="AO319" s="149">
        <v>54</v>
      </c>
      <c r="AP319" s="155">
        <v>185</v>
      </c>
      <c r="AQ319" s="149">
        <v>190</v>
      </c>
      <c r="AR319" s="149">
        <v>13</v>
      </c>
      <c r="AS319" s="155">
        <v>27</v>
      </c>
      <c r="AT319" s="155">
        <v>5</v>
      </c>
      <c r="AU319" s="155">
        <v>6</v>
      </c>
      <c r="AV319" s="207"/>
      <c r="AW319" s="165"/>
      <c r="AX319" s="197">
        <f t="shared" si="300"/>
      </c>
    </row>
    <row r="320">
      <c r="A320" s="234"/>
      <c r="B320" s="149" t="s">
        <v>187</v>
      </c>
      <c r="C320" s="150" t="s">
        <v>157</v>
      </c>
      <c r="D320" s="149" t="s">
        <v>180</v>
      </c>
      <c r="E320" s="150" t="s">
        <v>164</v>
      </c>
      <c r="F320" s="246">
        <f t="shared" si="219"/>
      </c>
      <c r="G320" s="247">
        <v>4559.72</v>
      </c>
      <c r="H320" s="247">
        <v>3170.81</v>
      </c>
      <c r="I320" s="236">
        <v>0</v>
      </c>
      <c r="J320" s="236">
        <v>3</v>
      </c>
      <c r="K320" s="236">
        <v>7260.629999999997</v>
      </c>
      <c r="L320" s="236">
        <v>7</v>
      </c>
      <c r="M320" s="236">
        <v>21680.100000000006</v>
      </c>
      <c r="N320" s="155">
        <v>2</v>
      </c>
      <c r="O320" s="156">
        <f t="shared" si="46"/>
      </c>
      <c r="P320" s="155">
        <v>4</v>
      </c>
      <c r="Q320" s="156">
        <f t="shared" si="236"/>
      </c>
      <c r="R320" s="244">
        <f t="shared" si="14"/>
      </c>
      <c r="S320" s="237">
        <f t="shared" si="33"/>
      </c>
      <c r="T320" s="159">
        <f t="shared" si="234"/>
      </c>
      <c r="U320" s="159">
        <f t="shared" si="2"/>
      </c>
      <c r="V320" s="169">
        <f t="shared" si="0"/>
      </c>
      <c r="W320" s="155">
        <v>6</v>
      </c>
      <c r="X320" s="169">
        <f t="shared" si="6"/>
      </c>
      <c r="Y320" s="169">
        <f t="shared" si="4"/>
      </c>
      <c r="Z320" s="159">
        <f t="shared" si="232"/>
      </c>
      <c r="AA320" s="159">
        <f t="shared" si="47"/>
      </c>
      <c r="AB320" s="159">
        <f t="shared" si="237"/>
      </c>
      <c r="AC320" s="156">
        <f t="shared" si="235"/>
      </c>
      <c r="AD320" s="156">
        <f t="shared" si="3"/>
      </c>
      <c r="AE320" s="156">
        <f t="shared" si="1"/>
      </c>
      <c r="AF320" s="156">
        <f t="shared" si="7"/>
      </c>
      <c r="AG320" s="156">
        <f t="shared" si="5"/>
      </c>
      <c r="AH320" s="156">
        <f t="shared" si="233"/>
      </c>
      <c r="AI320" s="156">
        <f t="shared" si="48"/>
      </c>
      <c r="AJ320" s="155">
        <v>57</v>
      </c>
      <c r="AK320" s="160">
        <v>52328</v>
      </c>
      <c r="AL320" s="160">
        <v>1566</v>
      </c>
      <c r="AM320" s="160">
        <v>1818</v>
      </c>
      <c r="AN320" s="160">
        <v>168</v>
      </c>
      <c r="AO320" s="149">
        <v>61</v>
      </c>
      <c r="AP320" s="155">
        <v>193</v>
      </c>
      <c r="AQ320" s="149">
        <v>220</v>
      </c>
      <c r="AR320" s="149">
        <v>13</v>
      </c>
      <c r="AS320" s="160">
        <v>16</v>
      </c>
      <c r="AT320" s="160">
        <v>3</v>
      </c>
      <c r="AU320" s="155">
        <v>5</v>
      </c>
      <c r="AV320" s="207"/>
      <c r="AW320" s="165"/>
      <c r="AX320" s="197">
        <f t="shared" si="300"/>
      </c>
    </row>
    <row r="321">
      <c r="A321" s="234"/>
      <c r="B321" s="171" t="s">
        <v>162</v>
      </c>
      <c r="C321" s="171"/>
      <c r="D321" s="171"/>
      <c r="E321" s="171"/>
      <c r="F321" s="173">
        <f>SUM(F317:F320)</f>
      </c>
      <c r="G321" s="173">
        <f>SUM(G317:G320)</f>
      </c>
      <c r="H321" s="173">
        <f>SUM(H317:H320)</f>
      </c>
      <c r="I321" s="173">
        <f>SUM(I317:I320)</f>
      </c>
      <c r="J321" s="173">
        <f>SUM(J317:J320)</f>
      </c>
      <c r="K321" s="173">
        <f>SUM(K317:K320)</f>
      </c>
      <c r="L321" s="173">
        <f>SUM(L317:L320)</f>
      </c>
      <c r="M321" s="173">
        <f>SUM(M317:M320)</f>
      </c>
      <c r="N321" s="173">
        <f>SUM(N317:N320)</f>
      </c>
      <c r="O321" s="175">
        <f t="shared" si="46"/>
      </c>
      <c r="P321" s="173">
        <f>SUM(P317:P320)</f>
      </c>
      <c r="Q321" s="175">
        <f t="shared" si="236"/>
      </c>
      <c r="R321" s="178">
        <f>SUM(R317:R320)</f>
      </c>
      <c r="S321" s="173">
        <f>SUM(S317:S320)</f>
      </c>
      <c r="T321" s="173">
        <f t="shared" si="234"/>
      </c>
      <c r="U321" s="173">
        <f t="shared" si="2"/>
      </c>
      <c r="V321" s="194">
        <f t="shared" si="0"/>
      </c>
      <c r="W321" s="173">
        <f>SUM(W317:W320)</f>
      </c>
      <c r="X321" s="194">
        <f t="shared" si="6"/>
      </c>
      <c r="Y321" s="194">
        <f t="shared" si="4"/>
      </c>
      <c r="Z321" s="173">
        <f t="shared" si="232"/>
      </c>
      <c r="AA321" s="173">
        <f t="shared" si="47"/>
      </c>
      <c r="AB321" s="238">
        <f t="shared" si="237"/>
      </c>
      <c r="AC321" s="175">
        <f t="shared" si="235"/>
      </c>
      <c r="AD321" s="175">
        <f t="shared" si="3"/>
      </c>
      <c r="AE321" s="175">
        <f t="shared" si="1"/>
      </c>
      <c r="AF321" s="245">
        <f t="shared" si="7"/>
      </c>
      <c r="AG321" s="175">
        <f t="shared" si="5"/>
      </c>
      <c r="AH321" s="175">
        <f t="shared" si="233"/>
      </c>
      <c r="AI321" s="175">
        <f t="shared" si="48"/>
      </c>
      <c r="AJ321" s="178">
        <f>AVERAGE(AJ317:AJ320)</f>
      </c>
      <c r="AK321" s="173">
        <f>SUM(AK317:AK320)</f>
      </c>
      <c r="AL321" s="173">
        <f>SUM(AL317:AL320)</f>
      </c>
      <c r="AM321" s="173">
        <f>SUM(AM317:AM320)</f>
      </c>
      <c r="AN321" s="173">
        <f>SUM(AN317:AN320)</f>
      </c>
      <c r="AO321" s="173">
        <f>SUM(AO317:AO320)</f>
      </c>
      <c r="AP321" s="173">
        <f>SUM(AP317:AP320)</f>
      </c>
      <c r="AQ321" s="173">
        <f>SUM(AQ317:AQ320)</f>
      </c>
      <c r="AR321" s="173">
        <f>SUM(AR317:AR320)</f>
      </c>
      <c r="AS321" s="173">
        <f>SUM(AS317:AS320)</f>
      </c>
      <c r="AT321" s="173">
        <f>SUM(AT317:AT320)</f>
      </c>
      <c r="AU321" s="173">
        <f>SUM(AU317:AU320)</f>
      </c>
      <c r="AV321" s="207"/>
      <c r="AW321" s="180"/>
      <c r="AX321" s="181">
        <f>SUM(AX317:AX320)</f>
      </c>
    </row>
    <row r="322">
      <c r="A322" s="234"/>
      <c r="B322" s="149" t="s">
        <v>187</v>
      </c>
      <c r="C322" s="150" t="s">
        <v>157</v>
      </c>
      <c r="D322" s="149" t="s">
        <v>169</v>
      </c>
      <c r="E322" s="150" t="s">
        <v>165</v>
      </c>
      <c r="F322" s="246">
        <f t="shared" ref="F322:F325" si="220">G322+H322+I322</f>
      </c>
      <c r="G322" s="247">
        <v>7868.99</v>
      </c>
      <c r="H322" s="247">
        <v>1660.65</v>
      </c>
      <c r="I322" s="236">
        <v>0</v>
      </c>
      <c r="J322" s="236">
        <v>5</v>
      </c>
      <c r="K322" s="236">
        <v>9572.849999999999</v>
      </c>
      <c r="L322" s="236">
        <v>3</v>
      </c>
      <c r="M322" s="236">
        <v>11567.740000000005</v>
      </c>
      <c r="N322" s="155">
        <v>2</v>
      </c>
      <c r="O322" s="156">
        <f t="shared" si="46"/>
      </c>
      <c r="P322" s="155">
        <v>3</v>
      </c>
      <c r="Q322" s="156">
        <f t="shared" si="236"/>
      </c>
      <c r="R322" s="249">
        <f t="shared" ref="R322:R325" si="15">J322+L322</f>
      </c>
      <c r="S322" s="237">
        <f t="shared" ref="S322:S325" si="34">K322+M322</f>
      </c>
      <c r="T322" s="159">
        <f t="shared" si="234"/>
      </c>
      <c r="U322" s="159">
        <f t="shared" si="2"/>
      </c>
      <c r="V322" s="169">
        <f t="shared" si="0"/>
      </c>
      <c r="W322" s="155">
        <v>9</v>
      </c>
      <c r="X322" s="169">
        <f t="shared" si="6"/>
      </c>
      <c r="Y322" s="169">
        <f t="shared" si="4"/>
      </c>
      <c r="Z322" s="159">
        <f t="shared" si="232"/>
      </c>
      <c r="AA322" s="159">
        <f t="shared" si="47"/>
      </c>
      <c r="AB322" s="159">
        <f t="shared" si="237"/>
      </c>
      <c r="AC322" s="156">
        <f t="shared" si="235"/>
      </c>
      <c r="AD322" s="156">
        <f t="shared" si="3"/>
      </c>
      <c r="AE322" s="156">
        <f t="shared" si="1"/>
      </c>
      <c r="AF322" s="156">
        <f t="shared" si="7"/>
      </c>
      <c r="AG322" s="156">
        <f t="shared" si="5"/>
      </c>
      <c r="AH322" s="156">
        <f t="shared" si="233"/>
      </c>
      <c r="AI322" s="156">
        <f t="shared" si="48"/>
      </c>
      <c r="AJ322" s="155">
        <v>54</v>
      </c>
      <c r="AK322" s="160">
        <v>63022</v>
      </c>
      <c r="AL322" s="160">
        <v>2721</v>
      </c>
      <c r="AM322" s="160">
        <v>3077</v>
      </c>
      <c r="AN322" s="160">
        <v>265</v>
      </c>
      <c r="AO322" s="149">
        <v>62</v>
      </c>
      <c r="AP322" s="160">
        <v>176</v>
      </c>
      <c r="AQ322" s="150">
        <v>277</v>
      </c>
      <c r="AR322" s="149">
        <v>11</v>
      </c>
      <c r="AS322" s="155">
        <v>26</v>
      </c>
      <c r="AT322" s="155">
        <v>7</v>
      </c>
      <c r="AU322" s="155">
        <v>4</v>
      </c>
      <c r="AV322" s="207"/>
      <c r="AW322" s="165"/>
      <c r="AX322" s="197">
        <f t="shared" ref="AX322:AX325" si="301">COUNT(AU322)</f>
      </c>
    </row>
    <row r="323">
      <c r="A323" s="234"/>
      <c r="B323" s="149" t="s">
        <v>187</v>
      </c>
      <c r="C323" s="150" t="s">
        <v>157</v>
      </c>
      <c r="D323" s="149" t="s">
        <v>169</v>
      </c>
      <c r="E323" s="150" t="s">
        <v>168</v>
      </c>
      <c r="F323" s="246">
        <f t="shared" si="220"/>
      </c>
      <c r="G323" s="247">
        <v>4519.5</v>
      </c>
      <c r="H323" s="247">
        <v>4397.49</v>
      </c>
      <c r="I323" s="236">
        <v>0</v>
      </c>
      <c r="J323" s="236">
        <v>2</v>
      </c>
      <c r="K323" s="236">
        <v>2232.980000000003</v>
      </c>
      <c r="L323" s="236">
        <v>6</v>
      </c>
      <c r="M323" s="236">
        <v>13410.199999999997</v>
      </c>
      <c r="N323" s="155">
        <v>0</v>
      </c>
      <c r="O323" s="156">
        <f t="shared" si="46"/>
      </c>
      <c r="P323" s="155">
        <v>2</v>
      </c>
      <c r="Q323" s="156">
        <f t="shared" si="236"/>
      </c>
      <c r="R323" s="249">
        <f t="shared" si="15"/>
      </c>
      <c r="S323" s="237">
        <f t="shared" si="34"/>
      </c>
      <c r="T323" s="159">
        <f t="shared" si="234"/>
      </c>
      <c r="U323" s="159">
        <f t="shared" si="2"/>
      </c>
      <c r="V323" s="169">
        <f t="shared" si="0"/>
      </c>
      <c r="W323" s="155">
        <v>7</v>
      </c>
      <c r="X323" s="169">
        <f t="shared" si="6"/>
      </c>
      <c r="Y323" s="169">
        <f t="shared" si="4"/>
      </c>
      <c r="Z323" s="159">
        <f t="shared" si="232"/>
      </c>
      <c r="AA323" s="159">
        <f t="shared" si="47"/>
      </c>
      <c r="AB323" s="159">
        <f t="shared" si="237"/>
      </c>
      <c r="AC323" s="156">
        <f t="shared" si="235"/>
      </c>
      <c r="AD323" s="156">
        <f t="shared" si="3"/>
      </c>
      <c r="AE323" s="156">
        <f t="shared" si="1"/>
      </c>
      <c r="AF323" s="156">
        <f t="shared" si="7"/>
      </c>
      <c r="AG323" s="156">
        <f t="shared" si="5"/>
      </c>
      <c r="AH323" s="156">
        <f t="shared" si="233"/>
      </c>
      <c r="AI323" s="156">
        <f t="shared" si="48"/>
      </c>
      <c r="AJ323" s="155">
        <v>53</v>
      </c>
      <c r="AK323" s="160">
        <v>48187</v>
      </c>
      <c r="AL323" s="160">
        <v>1950</v>
      </c>
      <c r="AM323" s="160">
        <v>2254</v>
      </c>
      <c r="AN323" s="160">
        <v>225</v>
      </c>
      <c r="AO323" s="149">
        <v>57</v>
      </c>
      <c r="AP323" s="160">
        <v>114</v>
      </c>
      <c r="AQ323" s="150">
        <v>246</v>
      </c>
      <c r="AR323" s="149">
        <v>10</v>
      </c>
      <c r="AS323" s="160">
        <v>19</v>
      </c>
      <c r="AT323" s="160">
        <v>4</v>
      </c>
      <c r="AU323" s="155">
        <v>12</v>
      </c>
      <c r="AV323" s="207"/>
      <c r="AW323" s="165"/>
      <c r="AX323" s="197">
        <f t="shared" si="301"/>
      </c>
    </row>
    <row r="324">
      <c r="A324" s="234"/>
      <c r="B324" s="149" t="s">
        <v>187</v>
      </c>
      <c r="C324" s="150" t="s">
        <v>157</v>
      </c>
      <c r="D324" s="149" t="s">
        <v>169</v>
      </c>
      <c r="E324" s="150" t="s">
        <v>171</v>
      </c>
      <c r="F324" s="246">
        <f t="shared" si="220"/>
      </c>
      <c r="G324" s="247">
        <v>5323.2</v>
      </c>
      <c r="H324" s="247">
        <v>6442.95</v>
      </c>
      <c r="I324" s="236">
        <v>0</v>
      </c>
      <c r="J324" s="236">
        <v>1</v>
      </c>
      <c r="K324" s="236">
        <v>751.5499999999956</v>
      </c>
      <c r="L324" s="236">
        <v>6</v>
      </c>
      <c r="M324" s="236">
        <v>10728.869999999995</v>
      </c>
      <c r="N324" s="155">
        <v>1</v>
      </c>
      <c r="O324" s="156">
        <f t="shared" si="46"/>
      </c>
      <c r="P324" s="155">
        <v>1</v>
      </c>
      <c r="Q324" s="156">
        <f t="shared" si="236"/>
      </c>
      <c r="R324" s="249">
        <f t="shared" si="15"/>
      </c>
      <c r="S324" s="237">
        <f t="shared" si="34"/>
      </c>
      <c r="T324" s="159">
        <f t="shared" si="234"/>
      </c>
      <c r="U324" s="159">
        <f t="shared" si="2"/>
      </c>
      <c r="V324" s="169">
        <f t="shared" si="0"/>
      </c>
      <c r="W324" s="155">
        <v>7</v>
      </c>
      <c r="X324" s="169">
        <f t="shared" si="6"/>
      </c>
      <c r="Y324" s="169">
        <f t="shared" si="4"/>
      </c>
      <c r="Z324" s="159">
        <f t="shared" si="232"/>
      </c>
      <c r="AA324" s="159">
        <f t="shared" si="47"/>
      </c>
      <c r="AB324" s="159">
        <f t="shared" si="237"/>
      </c>
      <c r="AC324" s="156">
        <f t="shared" si="235"/>
      </c>
      <c r="AD324" s="156">
        <f t="shared" si="3"/>
      </c>
      <c r="AE324" s="156">
        <f t="shared" si="1"/>
      </c>
      <c r="AF324" s="156">
        <f t="shared" si="7"/>
      </c>
      <c r="AG324" s="156">
        <f t="shared" si="5"/>
      </c>
      <c r="AH324" s="156">
        <f t="shared" si="233"/>
      </c>
      <c r="AI324" s="156">
        <f t="shared" si="48"/>
      </c>
      <c r="AJ324" s="155">
        <v>51</v>
      </c>
      <c r="AK324" s="155">
        <v>72525</v>
      </c>
      <c r="AL324" s="160">
        <v>2717</v>
      </c>
      <c r="AM324" s="160">
        <v>3237</v>
      </c>
      <c r="AN324" s="160">
        <v>253</v>
      </c>
      <c r="AO324" s="149">
        <v>57</v>
      </c>
      <c r="AP324" s="160">
        <v>120</v>
      </c>
      <c r="AQ324" s="150">
        <v>274</v>
      </c>
      <c r="AR324" s="149">
        <v>10</v>
      </c>
      <c r="AS324" s="160">
        <v>33</v>
      </c>
      <c r="AT324" s="160">
        <v>5</v>
      </c>
      <c r="AU324" s="155">
        <v>23</v>
      </c>
      <c r="AV324" s="207"/>
      <c r="AW324" s="165"/>
      <c r="AX324" s="197">
        <f t="shared" si="301"/>
      </c>
    </row>
    <row r="325">
      <c r="A325" s="234"/>
      <c r="B325" s="149" t="s">
        <v>187</v>
      </c>
      <c r="C325" s="150" t="s">
        <v>157</v>
      </c>
      <c r="D325" s="149" t="s">
        <v>169</v>
      </c>
      <c r="E325" s="150" t="s">
        <v>172</v>
      </c>
      <c r="F325" s="246">
        <f t="shared" si="220"/>
      </c>
      <c r="G325" s="247">
        <v>2046.19</v>
      </c>
      <c r="H325" s="247">
        <v>1809.3</v>
      </c>
      <c r="I325" s="236">
        <v>0</v>
      </c>
      <c r="J325" s="236">
        <v>1</v>
      </c>
      <c r="K325" s="236">
        <v>1286</v>
      </c>
      <c r="L325" s="236">
        <v>0</v>
      </c>
      <c r="M325" s="236">
        <v>0</v>
      </c>
      <c r="N325" s="155">
        <v>0</v>
      </c>
      <c r="O325" s="156">
        <f t="shared" si="46"/>
      </c>
      <c r="P325" s="155">
        <v>0</v>
      </c>
      <c r="Q325" s="156">
        <f t="shared" si="236"/>
      </c>
      <c r="R325" s="249">
        <f t="shared" si="15"/>
      </c>
      <c r="S325" s="237">
        <f t="shared" si="34"/>
      </c>
      <c r="T325" s="159">
        <f t="shared" si="234"/>
      </c>
      <c r="U325" s="159">
        <f t="shared" si="2"/>
      </c>
      <c r="V325" s="169">
        <f t="shared" si="0"/>
      </c>
      <c r="W325" s="155">
        <v>1</v>
      </c>
      <c r="X325" s="169">
        <f t="shared" si="6"/>
      </c>
      <c r="Y325" s="169">
        <f t="shared" si="4"/>
      </c>
      <c r="Z325" s="159">
        <f t="shared" si="232"/>
      </c>
      <c r="AA325" s="159">
        <f t="shared" si="47"/>
      </c>
      <c r="AB325" s="159">
        <f t="shared" si="237"/>
      </c>
      <c r="AC325" s="156">
        <f t="shared" si="235"/>
      </c>
      <c r="AD325" s="156">
        <f t="shared" si="3"/>
      </c>
      <c r="AE325" s="156">
        <f t="shared" si="1"/>
      </c>
      <c r="AF325" s="156">
        <f t="shared" si="7"/>
      </c>
      <c r="AG325" s="156">
        <f t="shared" si="5"/>
      </c>
      <c r="AH325" s="156">
        <f t="shared" si="233"/>
      </c>
      <c r="AI325" s="156">
        <f t="shared" si="48"/>
      </c>
      <c r="AJ325" s="155">
        <v>53</v>
      </c>
      <c r="AK325" s="160">
        <v>32386</v>
      </c>
      <c r="AL325" s="160">
        <v>1100</v>
      </c>
      <c r="AM325" s="160">
        <v>1372</v>
      </c>
      <c r="AN325" s="160">
        <v>89</v>
      </c>
      <c r="AO325" s="149">
        <v>29</v>
      </c>
      <c r="AP325" s="160">
        <v>89</v>
      </c>
      <c r="AQ325" s="150">
        <v>76</v>
      </c>
      <c r="AR325" s="149">
        <v>1</v>
      </c>
      <c r="AS325" s="160">
        <v>10</v>
      </c>
      <c r="AT325" s="160">
        <v>3</v>
      </c>
      <c r="AU325" s="155">
        <v>1</v>
      </c>
      <c r="AV325" s="207"/>
      <c r="AW325" s="165"/>
      <c r="AX325" s="197">
        <f t="shared" si="301"/>
      </c>
    </row>
    <row r="326">
      <c r="A326" s="234"/>
      <c r="B326" s="171" t="s">
        <v>162</v>
      </c>
      <c r="C326" s="171"/>
      <c r="D326" s="171"/>
      <c r="E326" s="171"/>
      <c r="F326" s="173">
        <f>SUM(F322:F325)</f>
      </c>
      <c r="G326" s="173">
        <f>SUM(G322:G325)</f>
      </c>
      <c r="H326" s="173">
        <f>SUM(H322:H325)</f>
      </c>
      <c r="I326" s="173">
        <f>SUM(I322:I325)</f>
      </c>
      <c r="J326" s="173">
        <f>SUM(J322:J325)</f>
      </c>
      <c r="K326" s="173">
        <f>SUM(K322:K325)</f>
      </c>
      <c r="L326" s="173">
        <f>SUM(L322:L325)</f>
      </c>
      <c r="M326" s="173">
        <f>SUM(M322:M325)</f>
      </c>
      <c r="N326" s="173">
        <f>SUM(N322:N325)</f>
      </c>
      <c r="O326" s="175">
        <f t="shared" si="46"/>
      </c>
      <c r="P326" s="173">
        <f>SUM(P322:P325)</f>
      </c>
      <c r="Q326" s="175">
        <f t="shared" si="236"/>
      </c>
      <c r="R326" s="178">
        <f>SUM(R322:R325)</f>
      </c>
      <c r="S326" s="173">
        <f>SUM(S322:S325)</f>
      </c>
      <c r="T326" s="173">
        <f t="shared" si="234"/>
      </c>
      <c r="U326" s="173">
        <f t="shared" si="2"/>
      </c>
      <c r="V326" s="194">
        <f t="shared" si="0"/>
      </c>
      <c r="W326" s="173">
        <f>SUM(W322:W325)</f>
      </c>
      <c r="X326" s="194">
        <f t="shared" si="6"/>
      </c>
      <c r="Y326" s="194">
        <f t="shared" si="4"/>
      </c>
      <c r="Z326" s="173">
        <f t="shared" si="232"/>
      </c>
      <c r="AA326" s="173">
        <f t="shared" si="47"/>
      </c>
      <c r="AB326" s="238">
        <f t="shared" si="237"/>
      </c>
      <c r="AC326" s="175">
        <f t="shared" si="235"/>
      </c>
      <c r="AD326" s="175">
        <f t="shared" si="3"/>
      </c>
      <c r="AE326" s="175">
        <f t="shared" si="1"/>
      </c>
      <c r="AF326" s="245">
        <f t="shared" si="7"/>
      </c>
      <c r="AG326" s="175">
        <f t="shared" si="5"/>
      </c>
      <c r="AH326" s="175">
        <f t="shared" si="233"/>
      </c>
      <c r="AI326" s="175">
        <f t="shared" si="48"/>
      </c>
      <c r="AJ326" s="178">
        <f>AVERAGE(AJ322:AJ325)</f>
      </c>
      <c r="AK326" s="173">
        <f>SUM(AK322:AK325)</f>
      </c>
      <c r="AL326" s="173">
        <f>SUM(AL322:AL325)</f>
      </c>
      <c r="AM326" s="173">
        <f>SUM(AM322:AM325)</f>
      </c>
      <c r="AN326" s="173">
        <f>SUM(AN322:AN325)</f>
      </c>
      <c r="AO326" s="173">
        <f>SUM(AO322:AO325)</f>
      </c>
      <c r="AP326" s="173">
        <f>SUM(AP322:AP325)</f>
      </c>
      <c r="AQ326" s="173">
        <f>SUM(AQ322:AQ325)</f>
      </c>
      <c r="AR326" s="173">
        <f>SUM(AR322:AR325)</f>
      </c>
      <c r="AS326" s="173">
        <f>SUM(AS322:AS325)</f>
      </c>
      <c r="AT326" s="173">
        <f>SUM(AT322:AT325)</f>
      </c>
      <c r="AU326" s="173">
        <f>SUM(AU322:AU325)</f>
      </c>
      <c r="AV326" s="207"/>
      <c r="AW326" s="180"/>
      <c r="AX326" s="181">
        <f>SUM(AX322:AX325)</f>
      </c>
    </row>
    <row r="327">
      <c r="A327" s="234"/>
      <c r="B327" s="184" t="s">
        <v>166</v>
      </c>
      <c r="C327" s="184"/>
      <c r="D327" s="184"/>
      <c r="E327" s="184"/>
      <c r="F327" s="185">
        <f>F311+F316+F321+F326</f>
      </c>
      <c r="G327" s="185">
        <f>G311+G316+G321+G326</f>
      </c>
      <c r="H327" s="185">
        <f>H311+H316+H321+H326</f>
      </c>
      <c r="I327" s="185">
        <f>I311+I316+I321+I326</f>
      </c>
      <c r="J327" s="185">
        <f>J311+J316+J321+J326</f>
      </c>
      <c r="K327" s="185">
        <f>K311+K316+K321+K326</f>
      </c>
      <c r="L327" s="185">
        <f>L311+L316+L321+L326</f>
      </c>
      <c r="M327" s="185">
        <f>M311+M316+M321+M326</f>
      </c>
      <c r="N327" s="185">
        <f>N311+N316+N321+N326</f>
      </c>
      <c r="O327" s="186">
        <f t="shared" si="46"/>
      </c>
      <c r="P327" s="184">
        <f>P311+P316+P321+P326</f>
      </c>
      <c r="Q327" s="186">
        <f t="shared" si="236"/>
      </c>
      <c r="R327" s="190">
        <f>R311+R316+R321+R326</f>
      </c>
      <c r="S327" s="185">
        <f>S311+S316+S321+S326</f>
      </c>
      <c r="T327" s="185">
        <f t="shared" si="234"/>
      </c>
      <c r="U327" s="185">
        <f t="shared" si="2"/>
      </c>
      <c r="V327" s="187">
        <f t="shared" si="0"/>
      </c>
      <c r="W327" s="184">
        <f>W311+W316+W321+W326</f>
      </c>
      <c r="X327" s="187">
        <f t="shared" si="6"/>
      </c>
      <c r="Y327" s="187">
        <f t="shared" si="4"/>
      </c>
      <c r="Z327" s="185">
        <f t="shared" si="232"/>
      </c>
      <c r="AA327" s="185">
        <f t="shared" si="47"/>
      </c>
      <c r="AB327" s="189">
        <f t="shared" si="237"/>
      </c>
      <c r="AC327" s="186">
        <f t="shared" si="235"/>
      </c>
      <c r="AD327" s="186">
        <f t="shared" si="3"/>
      </c>
      <c r="AE327" s="186">
        <f t="shared" si="1"/>
      </c>
      <c r="AF327" s="241">
        <f t="shared" si="7"/>
      </c>
      <c r="AG327" s="186">
        <f t="shared" si="5"/>
      </c>
      <c r="AH327" s="186">
        <f t="shared" si="233"/>
      </c>
      <c r="AI327" s="186">
        <f t="shared" si="48"/>
      </c>
      <c r="AJ327" s="190">
        <f>(AJ311+AJ316+AJ321+AJ326)/4</f>
      </c>
      <c r="AK327" s="184">
        <f>AK311+AK316+AK321+AK326</f>
      </c>
      <c r="AL327" s="184">
        <f>AL311+AL316+AL321+AL326</f>
      </c>
      <c r="AM327" s="184">
        <f>AM311+AM316+AM321+AM326</f>
      </c>
      <c r="AN327" s="184">
        <f>AN311+AN316+AN321+AN326</f>
      </c>
      <c r="AO327" s="184">
        <f>AO311+AO316+AO321+AO326</f>
      </c>
      <c r="AP327" s="184">
        <f>AP311+AP316+AP321+AP326</f>
      </c>
      <c r="AQ327" s="184">
        <f>AQ311+AQ316+AQ321+AQ326</f>
      </c>
      <c r="AR327" s="184">
        <f>AR311+AR316+AR321+AR326</f>
      </c>
      <c r="AS327" s="184">
        <f>AS311+AS316+AS321+AS326</f>
      </c>
      <c r="AT327" s="184">
        <f>AT311+AT316+AT321+AT326</f>
      </c>
      <c r="AU327" s="184">
        <f>AU311+AU316+AU321+AU326</f>
      </c>
      <c r="AV327" s="207"/>
      <c r="AW327" s="184">
        <f>AW311+AW316+AW321</f>
      </c>
      <c r="AX327" s="184">
        <f>AX311+AX316+AX321+AX326</f>
      </c>
    </row>
    <row r="328">
      <c r="A328" s="234">
        <v>46293</v>
      </c>
      <c r="B328" s="149" t="s">
        <v>188</v>
      </c>
      <c r="C328" s="149" t="s">
        <v>182</v>
      </c>
      <c r="D328" s="149" t="s">
        <v>163</v>
      </c>
      <c r="E328" s="248" t="s">
        <v>183</v>
      </c>
      <c r="F328" s="159">
        <f t="shared" ref="F328:F331" si="221">G328+H328+I328</f>
      </c>
      <c r="G328" s="152">
        <v>2880.2</v>
      </c>
      <c r="H328" s="152">
        <v>1364.53</v>
      </c>
      <c r="I328" s="236">
        <v>0</v>
      </c>
      <c r="J328" s="236">
        <v>1</v>
      </c>
      <c r="K328" s="242">
        <v>1559.14</v>
      </c>
      <c r="L328" s="236">
        <v>3</v>
      </c>
      <c r="M328" s="236">
        <v>5169.82</v>
      </c>
      <c r="N328" s="155">
        <v>1</v>
      </c>
      <c r="O328" s="156">
        <f t="shared" si="46"/>
      </c>
      <c r="P328" s="155">
        <v>1</v>
      </c>
      <c r="Q328" s="156">
        <f t="shared" si="236"/>
      </c>
      <c r="R328" s="244">
        <f t="shared" ref="R328:R331" si="16">J328+L328</f>
      </c>
      <c r="S328" s="237">
        <f t="shared" ref="S328:S331" si="35">K328+M328</f>
      </c>
      <c r="T328" s="159">
        <f t="shared" si="234"/>
      </c>
      <c r="U328" s="159">
        <f t="shared" si="2"/>
      </c>
      <c r="V328" s="160">
        <f t="shared" si="0"/>
      </c>
      <c r="W328" s="155">
        <v>4</v>
      </c>
      <c r="X328" s="169">
        <f t="shared" si="6"/>
      </c>
      <c r="Y328" s="169">
        <f t="shared" si="4"/>
      </c>
      <c r="Z328" s="159">
        <f t="shared" si="232"/>
      </c>
      <c r="AA328" s="159">
        <f t="shared" si="47"/>
      </c>
      <c r="AB328" s="159">
        <f t="shared" si="237"/>
      </c>
      <c r="AC328" s="156">
        <f t="shared" si="235"/>
      </c>
      <c r="AD328" s="156">
        <f t="shared" si="3"/>
      </c>
      <c r="AE328" s="156">
        <f t="shared" si="1"/>
      </c>
      <c r="AF328" s="156">
        <f t="shared" si="7"/>
      </c>
      <c r="AG328" s="156">
        <f t="shared" si="5"/>
      </c>
      <c r="AH328" s="156">
        <f t="shared" si="233"/>
      </c>
      <c r="AI328" s="156">
        <f t="shared" si="48"/>
      </c>
      <c r="AJ328" s="155">
        <v>63</v>
      </c>
      <c r="AK328" s="160">
        <v>20419</v>
      </c>
      <c r="AL328" s="160">
        <v>686</v>
      </c>
      <c r="AM328" s="160">
        <v>853</v>
      </c>
      <c r="AN328" s="160">
        <v>90</v>
      </c>
      <c r="AO328" s="149">
        <v>35</v>
      </c>
      <c r="AP328" s="149">
        <v>119</v>
      </c>
      <c r="AQ328" s="150">
        <v>135</v>
      </c>
      <c r="AR328" s="149">
        <v>5</v>
      </c>
      <c r="AS328" s="149">
        <v>12</v>
      </c>
      <c r="AT328" s="160">
        <v>1</v>
      </c>
      <c r="AU328" s="160">
        <v>3</v>
      </c>
      <c r="AV328" s="207"/>
      <c r="AW328" s="165"/>
      <c r="AX328" s="197">
        <f t="shared" ref="AX328:AX331" si="302">COUNT(AU328)</f>
      </c>
    </row>
    <row r="329">
      <c r="A329" s="234"/>
      <c r="B329" s="149" t="s">
        <v>188</v>
      </c>
      <c r="C329" s="149" t="s">
        <v>182</v>
      </c>
      <c r="D329" s="149" t="s">
        <v>163</v>
      </c>
      <c r="E329" s="248" t="s">
        <v>184</v>
      </c>
      <c r="F329" s="159">
        <f t="shared" si="221"/>
      </c>
      <c r="G329" s="152">
        <v>2438.01</v>
      </c>
      <c r="H329" s="152">
        <v>845.22</v>
      </c>
      <c r="I329" s="236">
        <v>0</v>
      </c>
      <c r="J329" s="236">
        <v>1</v>
      </c>
      <c r="K329" s="236">
        <v>3395</v>
      </c>
      <c r="L329" s="236">
        <v>3</v>
      </c>
      <c r="M329" s="236">
        <v>5727.28</v>
      </c>
      <c r="N329" s="155">
        <v>0</v>
      </c>
      <c r="O329" s="156">
        <f t="shared" si="46"/>
      </c>
      <c r="P329" s="155">
        <v>2</v>
      </c>
      <c r="Q329" s="156">
        <f t="shared" si="236"/>
      </c>
      <c r="R329" s="244">
        <f t="shared" si="16"/>
      </c>
      <c r="S329" s="237">
        <f t="shared" si="35"/>
      </c>
      <c r="T329" s="159">
        <f t="shared" si="234"/>
      </c>
      <c r="U329" s="159">
        <f t="shared" si="2"/>
      </c>
      <c r="V329" s="160">
        <f t="shared" si="0"/>
      </c>
      <c r="W329" s="155">
        <v>3</v>
      </c>
      <c r="X329" s="169">
        <f t="shared" si="6"/>
      </c>
      <c r="Y329" s="169">
        <f t="shared" si="4"/>
      </c>
      <c r="Z329" s="159">
        <f t="shared" si="232"/>
      </c>
      <c r="AA329" s="159">
        <f t="shared" si="47"/>
      </c>
      <c r="AB329" s="159">
        <f t="shared" si="237"/>
      </c>
      <c r="AC329" s="156">
        <f t="shared" si="235"/>
      </c>
      <c r="AD329" s="156">
        <f t="shared" si="3"/>
      </c>
      <c r="AE329" s="156">
        <f t="shared" si="1"/>
      </c>
      <c r="AF329" s="156">
        <f t="shared" si="7"/>
      </c>
      <c r="AG329" s="156">
        <f t="shared" si="5"/>
      </c>
      <c r="AH329" s="156">
        <f t="shared" si="233"/>
      </c>
      <c r="AI329" s="156">
        <f t="shared" si="48"/>
      </c>
      <c r="AJ329" s="155">
        <v>74</v>
      </c>
      <c r="AK329" s="160">
        <v>21687</v>
      </c>
      <c r="AL329" s="160">
        <v>473</v>
      </c>
      <c r="AM329" s="160">
        <v>596</v>
      </c>
      <c r="AN329" s="160">
        <v>103</v>
      </c>
      <c r="AO329" s="149">
        <v>35</v>
      </c>
      <c r="AP329" s="160">
        <v>117</v>
      </c>
      <c r="AQ329" s="150">
        <v>108</v>
      </c>
      <c r="AR329" s="149">
        <v>5</v>
      </c>
      <c r="AS329" s="155">
        <v>9</v>
      </c>
      <c r="AT329" s="155">
        <v>2</v>
      </c>
      <c r="AU329" s="155">
        <v>0</v>
      </c>
      <c r="AV329" s="207"/>
      <c r="AW329" s="165"/>
      <c r="AX329" s="197">
        <f t="shared" si="302"/>
      </c>
    </row>
    <row r="330">
      <c r="A330" s="234"/>
      <c r="B330" s="149" t="s">
        <v>188</v>
      </c>
      <c r="C330" s="149" t="s">
        <v>182</v>
      </c>
      <c r="D330" s="149" t="s">
        <v>163</v>
      </c>
      <c r="E330" s="248" t="s">
        <v>185</v>
      </c>
      <c r="F330" s="159">
        <f t="shared" si="221"/>
      </c>
      <c r="G330" s="152">
        <v>2080.15</v>
      </c>
      <c r="H330" s="152">
        <v>873.02</v>
      </c>
      <c r="I330" s="236">
        <v>0</v>
      </c>
      <c r="J330" s="236">
        <v>1</v>
      </c>
      <c r="K330" s="236">
        <v>1183.6999999999998</v>
      </c>
      <c r="L330" s="236">
        <v>5</v>
      </c>
      <c r="M330" s="236">
        <v>14770.599999999999</v>
      </c>
      <c r="N330" s="155">
        <v>0</v>
      </c>
      <c r="O330" s="156">
        <f t="shared" si="46"/>
      </c>
      <c r="P330" s="155">
        <v>0</v>
      </c>
      <c r="Q330" s="156">
        <f t="shared" si="236"/>
      </c>
      <c r="R330" s="244">
        <f t="shared" si="16"/>
      </c>
      <c r="S330" s="237">
        <f t="shared" si="35"/>
      </c>
      <c r="T330" s="159">
        <f t="shared" si="234"/>
      </c>
      <c r="U330" s="159">
        <f t="shared" si="2"/>
      </c>
      <c r="V330" s="169">
        <f t="shared" si="0"/>
      </c>
      <c r="W330" s="155">
        <v>2</v>
      </c>
      <c r="X330" s="169">
        <f t="shared" si="6"/>
      </c>
      <c r="Y330" s="169">
        <f t="shared" si="4"/>
      </c>
      <c r="Z330" s="159">
        <f t="shared" si="232"/>
      </c>
      <c r="AA330" s="159">
        <f t="shared" si="47"/>
      </c>
      <c r="AB330" s="159">
        <f t="shared" si="237"/>
      </c>
      <c r="AC330" s="156">
        <f t="shared" si="235"/>
      </c>
      <c r="AD330" s="156">
        <f t="shared" si="3"/>
      </c>
      <c r="AE330" s="156">
        <f t="shared" si="1"/>
      </c>
      <c r="AF330" s="156">
        <f t="shared" si="7"/>
      </c>
      <c r="AG330" s="156">
        <f t="shared" si="5"/>
      </c>
      <c r="AH330" s="156">
        <f t="shared" si="233"/>
      </c>
      <c r="AI330" s="156">
        <f t="shared" si="48"/>
      </c>
      <c r="AJ330" s="155">
        <v>72</v>
      </c>
      <c r="AK330" s="160">
        <v>17666</v>
      </c>
      <c r="AL330" s="160">
        <v>407</v>
      </c>
      <c r="AM330" s="160">
        <v>537</v>
      </c>
      <c r="AN330" s="160">
        <v>67</v>
      </c>
      <c r="AO330" s="149">
        <v>17</v>
      </c>
      <c r="AP330" s="160">
        <v>71</v>
      </c>
      <c r="AQ330" s="150">
        <v>75</v>
      </c>
      <c r="AR330" s="149">
        <v>7</v>
      </c>
      <c r="AS330" s="155">
        <v>7</v>
      </c>
      <c r="AT330" s="155">
        <v>6</v>
      </c>
      <c r="AU330" s="155">
        <v>0</v>
      </c>
      <c r="AV330" s="207"/>
      <c r="AW330" s="165"/>
      <c r="AX330" s="197">
        <f t="shared" si="302"/>
      </c>
    </row>
    <row r="331">
      <c r="A331" s="234"/>
      <c r="B331" s="149" t="s">
        <v>188</v>
      </c>
      <c r="C331" s="149" t="s">
        <v>182</v>
      </c>
      <c r="D331" s="149" t="s">
        <v>163</v>
      </c>
      <c r="E331" s="149" t="s">
        <v>186</v>
      </c>
      <c r="F331" s="159">
        <f t="shared" si="221"/>
      </c>
      <c r="G331" s="152">
        <v>2295.09</v>
      </c>
      <c r="H331" s="152">
        <v>708.62</v>
      </c>
      <c r="I331" s="236">
        <v>0</v>
      </c>
      <c r="J331" s="236">
        <v>1</v>
      </c>
      <c r="K331" s="236">
        <v>936.6999999999998</v>
      </c>
      <c r="L331" s="236">
        <v>2</v>
      </c>
      <c r="M331" s="236">
        <v>3920.760000000002</v>
      </c>
      <c r="N331" s="155">
        <v>2</v>
      </c>
      <c r="O331" s="156">
        <f t="shared" si="46"/>
      </c>
      <c r="P331" s="155">
        <v>1</v>
      </c>
      <c r="Q331" s="156">
        <f t="shared" si="236"/>
      </c>
      <c r="R331" s="244">
        <f t="shared" si="16"/>
      </c>
      <c r="S331" s="237">
        <f t="shared" si="35"/>
      </c>
      <c r="T331" s="159">
        <f t="shared" si="234"/>
      </c>
      <c r="U331" s="159">
        <f t="shared" si="2"/>
      </c>
      <c r="V331" s="169">
        <f t="shared" si="0"/>
      </c>
      <c r="W331" s="155">
        <v>2</v>
      </c>
      <c r="X331" s="169">
        <f t="shared" si="6"/>
      </c>
      <c r="Y331" s="169">
        <f t="shared" si="4"/>
      </c>
      <c r="Z331" s="159">
        <f t="shared" si="232"/>
      </c>
      <c r="AA331" s="159">
        <f t="shared" si="47"/>
      </c>
      <c r="AB331" s="159">
        <f t="shared" si="237"/>
      </c>
      <c r="AC331" s="156">
        <f t="shared" si="235"/>
      </c>
      <c r="AD331" s="156">
        <f t="shared" si="3"/>
      </c>
      <c r="AE331" s="156">
        <f t="shared" si="1"/>
      </c>
      <c r="AF331" s="156">
        <f t="shared" si="7"/>
      </c>
      <c r="AG331" s="156">
        <f t="shared" si="5"/>
      </c>
      <c r="AH331" s="156">
        <f t="shared" si="233"/>
      </c>
      <c r="AI331" s="156">
        <f t="shared" si="48"/>
      </c>
      <c r="AJ331" s="155">
        <v>68</v>
      </c>
      <c r="AK331" s="160">
        <v>19569</v>
      </c>
      <c r="AL331" s="160">
        <v>469</v>
      </c>
      <c r="AM331" s="160">
        <v>640</v>
      </c>
      <c r="AN331" s="160">
        <v>84</v>
      </c>
      <c r="AO331" s="149">
        <v>32</v>
      </c>
      <c r="AP331" s="155">
        <v>97</v>
      </c>
      <c r="AQ331" s="149">
        <v>89</v>
      </c>
      <c r="AR331" s="149">
        <v>4</v>
      </c>
      <c r="AS331" s="155">
        <v>6</v>
      </c>
      <c r="AT331" s="155">
        <v>5</v>
      </c>
      <c r="AU331" s="155">
        <v>1</v>
      </c>
      <c r="AV331" s="207"/>
      <c r="AW331" s="165"/>
      <c r="AX331" s="197">
        <f t="shared" si="302"/>
      </c>
    </row>
    <row r="332">
      <c r="A332" s="234"/>
      <c r="B332" s="171" t="s">
        <v>162</v>
      </c>
      <c r="C332" s="171"/>
      <c r="D332" s="171"/>
      <c r="E332" s="171"/>
      <c r="F332" s="173">
        <f>SUM(F328:F331)</f>
      </c>
      <c r="G332" s="173">
        <f>SUM(G328:G331)</f>
      </c>
      <c r="H332" s="173">
        <f>SUM(H328:H331)</f>
      </c>
      <c r="I332" s="173">
        <f>SUM(I328:I331)</f>
      </c>
      <c r="J332" s="173">
        <f>SUM(J328:J331)</f>
      </c>
      <c r="K332" s="173">
        <f>SUM(K328:K331)</f>
      </c>
      <c r="L332" s="173">
        <f>SUM(L328:L331)</f>
      </c>
      <c r="M332" s="173">
        <f>SUM(M328:M331)</f>
      </c>
      <c r="N332" s="173">
        <f>SUM(N328:N331)</f>
      </c>
      <c r="O332" s="175">
        <f t="shared" si="46"/>
      </c>
      <c r="P332" s="173">
        <f>SUM(P328:P331)</f>
      </c>
      <c r="Q332" s="175">
        <f t="shared" si="236"/>
      </c>
      <c r="R332" s="178">
        <f>SUM(R328:R331)</f>
      </c>
      <c r="S332" s="173">
        <f>SUM(S328:S331)</f>
      </c>
      <c r="T332" s="173">
        <f t="shared" si="234"/>
      </c>
      <c r="U332" s="173">
        <f t="shared" si="2"/>
      </c>
      <c r="V332" s="173">
        <f t="shared" si="0"/>
      </c>
      <c r="W332" s="173">
        <f>SUM(W328:W331)</f>
      </c>
      <c r="X332" s="194">
        <f t="shared" si="6"/>
      </c>
      <c r="Y332" s="194">
        <f t="shared" si="4"/>
      </c>
      <c r="Z332" s="173">
        <f t="shared" si="232"/>
      </c>
      <c r="AA332" s="173">
        <f t="shared" si="47"/>
      </c>
      <c r="AB332" s="238">
        <f t="shared" si="237"/>
      </c>
      <c r="AC332" s="175">
        <f t="shared" si="235"/>
      </c>
      <c r="AD332" s="175">
        <f t="shared" si="3"/>
      </c>
      <c r="AE332" s="175">
        <f t="shared" si="1"/>
      </c>
      <c r="AF332" s="175">
        <f t="shared" si="7"/>
      </c>
      <c r="AG332" s="175">
        <f t="shared" si="5"/>
      </c>
      <c r="AH332" s="175">
        <f t="shared" si="233"/>
      </c>
      <c r="AI332" s="175">
        <f t="shared" si="48"/>
      </c>
      <c r="AJ332" s="178">
        <f>AVERAGE(AJ328:AJ331)</f>
      </c>
      <c r="AK332" s="173">
        <f>SUM(AK328:AK331)</f>
      </c>
      <c r="AL332" s="173">
        <f>SUM(AL328:AL331)</f>
      </c>
      <c r="AM332" s="173">
        <f>SUM(AM328:AM331)</f>
      </c>
      <c r="AN332" s="173">
        <f>SUM(AN328:AN331)</f>
      </c>
      <c r="AO332" s="173">
        <f>SUM(AO328:AO331)</f>
      </c>
      <c r="AP332" s="173">
        <f>SUM(AP328:AP331)</f>
      </c>
      <c r="AQ332" s="173">
        <f>SUM(AQ328:AQ331)</f>
      </c>
      <c r="AR332" s="173">
        <f>SUM(AR328:AR331)</f>
      </c>
      <c r="AS332" s="173">
        <f>SUM(AS328:AS331)</f>
      </c>
      <c r="AT332" s="173">
        <f>SUM(AT328:AT331)</f>
      </c>
      <c r="AU332" s="173">
        <f>SUM(AU328:AU331)</f>
      </c>
      <c r="AV332" s="207"/>
      <c r="AW332" s="180"/>
      <c r="AX332" s="181">
        <f>SUM(AX328:AX331)</f>
      </c>
    </row>
    <row r="333">
      <c r="A333" s="234"/>
      <c r="B333" s="149" t="s">
        <v>188</v>
      </c>
      <c r="C333" s="149" t="s">
        <v>182</v>
      </c>
      <c r="D333" s="149" t="s">
        <v>158</v>
      </c>
      <c r="E333" s="150" t="s">
        <v>175</v>
      </c>
      <c r="F333" s="159">
        <f t="shared" ref="F333:F336" si="222">G333+H333+I333</f>
      </c>
      <c r="G333" s="152">
        <v>1673.03</v>
      </c>
      <c r="H333" s="152">
        <v>695.63</v>
      </c>
      <c r="I333" s="236">
        <v>0</v>
      </c>
      <c r="J333" s="236">
        <v>1</v>
      </c>
      <c r="K333" s="236">
        <v>999.8999999999996</v>
      </c>
      <c r="L333" s="236">
        <v>1</v>
      </c>
      <c r="M333" s="236">
        <v>3470.3499999999985</v>
      </c>
      <c r="N333" s="155">
        <v>1</v>
      </c>
      <c r="O333" s="156">
        <f t="shared" si="46"/>
      </c>
      <c r="P333" s="155">
        <v>0</v>
      </c>
      <c r="Q333" s="156">
        <f t="shared" si="236"/>
      </c>
      <c r="R333" s="244">
        <f t="shared" ref="R333:R336" si="17">J333+L333</f>
      </c>
      <c r="S333" s="237">
        <f t="shared" ref="S333:S336" si="36">K333+M333</f>
      </c>
      <c r="T333" s="159">
        <f t="shared" si="234"/>
      </c>
      <c r="U333" s="159">
        <f t="shared" si="2"/>
      </c>
      <c r="V333" s="169">
        <f t="shared" si="0"/>
      </c>
      <c r="W333" s="155">
        <v>2</v>
      </c>
      <c r="X333" s="169">
        <f t="shared" si="6"/>
      </c>
      <c r="Y333" s="169">
        <f t="shared" si="4"/>
      </c>
      <c r="Z333" s="159">
        <f t="shared" si="232"/>
      </c>
      <c r="AA333" s="159">
        <f t="shared" si="47"/>
      </c>
      <c r="AB333" s="159">
        <f t="shared" si="237"/>
      </c>
      <c r="AC333" s="156">
        <f t="shared" si="235"/>
      </c>
      <c r="AD333" s="156">
        <f t="shared" si="3"/>
      </c>
      <c r="AE333" s="156">
        <f t="shared" si="1"/>
      </c>
      <c r="AF333" s="156">
        <f t="shared" si="7"/>
      </c>
      <c r="AG333" s="156">
        <f t="shared" si="5"/>
      </c>
      <c r="AH333" s="156">
        <f t="shared" si="233"/>
      </c>
      <c r="AI333" s="156">
        <f t="shared" si="48"/>
      </c>
      <c r="AJ333" s="155">
        <v>67</v>
      </c>
      <c r="AK333" s="160">
        <v>13638</v>
      </c>
      <c r="AL333" s="160">
        <v>396</v>
      </c>
      <c r="AM333" s="160">
        <v>546</v>
      </c>
      <c r="AN333" s="160">
        <v>74</v>
      </c>
      <c r="AO333" s="149">
        <v>29</v>
      </c>
      <c r="AP333" s="160">
        <v>79</v>
      </c>
      <c r="AQ333" s="150">
        <v>91</v>
      </c>
      <c r="AR333" s="149">
        <v>2</v>
      </c>
      <c r="AS333" s="149">
        <v>5</v>
      </c>
      <c r="AT333" s="155">
        <v>2</v>
      </c>
      <c r="AU333" s="155">
        <v>1</v>
      </c>
      <c r="AV333" s="207"/>
      <c r="AW333" s="165"/>
      <c r="AX333" s="197">
        <f t="shared" ref="AX333:AX336" si="303">COUNT(AU333)</f>
      </c>
    </row>
    <row r="334">
      <c r="A334" s="234"/>
      <c r="B334" s="149" t="s">
        <v>188</v>
      </c>
      <c r="C334" s="149" t="s">
        <v>182</v>
      </c>
      <c r="D334" s="149" t="s">
        <v>158</v>
      </c>
      <c r="E334" s="150" t="s">
        <v>176</v>
      </c>
      <c r="F334" s="159">
        <f t="shared" si="222"/>
      </c>
      <c r="G334" s="152">
        <v>1627.01</v>
      </c>
      <c r="H334" s="152">
        <v>2806.97</v>
      </c>
      <c r="I334" s="236">
        <v>0</v>
      </c>
      <c r="J334" s="236">
        <v>1</v>
      </c>
      <c r="K334" s="236">
        <v>2669.500000000001</v>
      </c>
      <c r="L334" s="236">
        <v>2</v>
      </c>
      <c r="M334" s="236">
        <v>3496.800000000003</v>
      </c>
      <c r="N334" s="155">
        <v>0</v>
      </c>
      <c r="O334" s="156">
        <f t="shared" si="46"/>
      </c>
      <c r="P334" s="155">
        <v>0</v>
      </c>
      <c r="Q334" s="156">
        <f t="shared" si="236"/>
      </c>
      <c r="R334" s="244">
        <f t="shared" si="17"/>
      </c>
      <c r="S334" s="237">
        <f t="shared" si="36"/>
      </c>
      <c r="T334" s="159">
        <f t="shared" si="234"/>
      </c>
      <c r="U334" s="159">
        <f t="shared" si="2"/>
      </c>
      <c r="V334" s="169">
        <f t="shared" si="0"/>
      </c>
      <c r="W334" s="155">
        <v>2</v>
      </c>
      <c r="X334" s="169">
        <f t="shared" si="6"/>
      </c>
      <c r="Y334" s="169">
        <f t="shared" si="4"/>
      </c>
      <c r="Z334" s="159">
        <f t="shared" si="232"/>
      </c>
      <c r="AA334" s="159">
        <f t="shared" si="47"/>
      </c>
      <c r="AB334" s="159">
        <f t="shared" si="237"/>
      </c>
      <c r="AC334" s="156">
        <f t="shared" si="235"/>
      </c>
      <c r="AD334" s="156">
        <f t="shared" si="3"/>
      </c>
      <c r="AE334" s="156">
        <f t="shared" si="1"/>
      </c>
      <c r="AF334" s="156">
        <f t="shared" si="7"/>
      </c>
      <c r="AG334" s="156">
        <f t="shared" si="5"/>
      </c>
      <c r="AH334" s="156">
        <f t="shared" si="233"/>
      </c>
      <c r="AI334" s="156">
        <f t="shared" si="48"/>
      </c>
      <c r="AJ334" s="155">
        <v>64</v>
      </c>
      <c r="AK334" s="160">
        <v>20621</v>
      </c>
      <c r="AL334" s="160">
        <v>544</v>
      </c>
      <c r="AM334" s="160">
        <v>712</v>
      </c>
      <c r="AN334" s="160">
        <v>100</v>
      </c>
      <c r="AO334" s="149">
        <v>22</v>
      </c>
      <c r="AP334" s="160">
        <v>66</v>
      </c>
      <c r="AQ334" s="150">
        <v>95</v>
      </c>
      <c r="AR334" s="149">
        <v>4</v>
      </c>
      <c r="AS334" s="149">
        <v>2</v>
      </c>
      <c r="AT334" s="155">
        <v>1</v>
      </c>
      <c r="AU334" s="155">
        <v>6</v>
      </c>
      <c r="AV334" s="207"/>
      <c r="AW334" s="165"/>
      <c r="AX334" s="197">
        <f t="shared" si="303"/>
      </c>
    </row>
    <row r="335">
      <c r="A335" s="234"/>
      <c r="B335" s="149" t="s">
        <v>188</v>
      </c>
      <c r="C335" s="149" t="s">
        <v>182</v>
      </c>
      <c r="D335" s="149" t="s">
        <v>158</v>
      </c>
      <c r="E335" s="150" t="s">
        <v>177</v>
      </c>
      <c r="F335" s="159">
        <f t="shared" si="222"/>
      </c>
      <c r="G335" s="152">
        <v>2175.7</v>
      </c>
      <c r="H335" s="152">
        <v>881.87</v>
      </c>
      <c r="I335" s="236">
        <v>0</v>
      </c>
      <c r="J335" s="236">
        <v>0</v>
      </c>
      <c r="K335" s="236">
        <v>0</v>
      </c>
      <c r="L335" s="236">
        <v>4</v>
      </c>
      <c r="M335" s="236">
        <v>9000.11</v>
      </c>
      <c r="N335" s="155">
        <v>2</v>
      </c>
      <c r="O335" s="156">
        <f t="shared" si="46"/>
      </c>
      <c r="P335" s="155">
        <v>1</v>
      </c>
      <c r="Q335" s="156">
        <f t="shared" si="236"/>
      </c>
      <c r="R335" s="244">
        <f t="shared" si="17"/>
      </c>
      <c r="S335" s="237">
        <f t="shared" si="36"/>
      </c>
      <c r="T335" s="159">
        <f t="shared" si="234"/>
      </c>
      <c r="U335" s="159">
        <f t="shared" si="2"/>
      </c>
      <c r="V335" s="169">
        <f t="shared" si="0"/>
      </c>
      <c r="W335" s="155">
        <v>4</v>
      </c>
      <c r="X335" s="169">
        <f t="shared" si="6"/>
      </c>
      <c r="Y335" s="169">
        <f t="shared" si="4"/>
      </c>
      <c r="Z335" s="159">
        <f t="shared" si="232"/>
      </c>
      <c r="AA335" s="159">
        <f t="shared" si="47"/>
      </c>
      <c r="AB335" s="159">
        <f t="shared" si="237"/>
      </c>
      <c r="AC335" s="156">
        <f t="shared" si="235"/>
      </c>
      <c r="AD335" s="156">
        <f t="shared" si="3"/>
      </c>
      <c r="AE335" s="156">
        <f t="shared" si="1"/>
      </c>
      <c r="AF335" s="156">
        <f t="shared" si="7"/>
      </c>
      <c r="AG335" s="156">
        <f t="shared" si="5"/>
      </c>
      <c r="AH335" s="156">
        <f t="shared" si="233"/>
      </c>
      <c r="AI335" s="156">
        <f t="shared" si="48"/>
      </c>
      <c r="AJ335" s="155">
        <v>60</v>
      </c>
      <c r="AK335" s="160">
        <v>19098</v>
      </c>
      <c r="AL335" s="160">
        <v>595</v>
      </c>
      <c r="AM335" s="160">
        <v>819</v>
      </c>
      <c r="AN335" s="160">
        <v>93</v>
      </c>
      <c r="AO335" s="149">
        <v>28</v>
      </c>
      <c r="AP335" s="160">
        <v>61</v>
      </c>
      <c r="AQ335" s="150">
        <v>96</v>
      </c>
      <c r="AR335" s="149">
        <v>6</v>
      </c>
      <c r="AS335" s="155">
        <v>13</v>
      </c>
      <c r="AT335" s="155">
        <v>1</v>
      </c>
      <c r="AU335" s="155">
        <v>4</v>
      </c>
      <c r="AV335" s="207"/>
      <c r="AW335" s="165"/>
      <c r="AX335" s="197">
        <f t="shared" si="303"/>
      </c>
    </row>
    <row r="336">
      <c r="A336" s="234"/>
      <c r="B336" s="149" t="s">
        <v>156</v>
      </c>
      <c r="C336" s="150" t="s">
        <v>157</v>
      </c>
      <c r="D336" s="149" t="s">
        <v>158</v>
      </c>
      <c r="E336" s="150" t="s">
        <v>178</v>
      </c>
      <c r="F336" s="159">
        <f t="shared" si="222"/>
      </c>
      <c r="G336" s="152">
        <v>3438.46</v>
      </c>
      <c r="H336" s="152">
        <v>1683.8</v>
      </c>
      <c r="I336" s="236">
        <v>0</v>
      </c>
      <c r="J336" s="236">
        <v>0</v>
      </c>
      <c r="K336" s="236">
        <v>0</v>
      </c>
      <c r="L336" s="236">
        <v>3</v>
      </c>
      <c r="M336" s="236">
        <v>10909.949999999997</v>
      </c>
      <c r="N336" s="155">
        <v>0</v>
      </c>
      <c r="O336" s="156">
        <f t="shared" si="46"/>
      </c>
      <c r="P336" s="155">
        <v>0</v>
      </c>
      <c r="Q336" s="156">
        <f t="shared" si="236"/>
      </c>
      <c r="R336" s="244">
        <f t="shared" si="17"/>
      </c>
      <c r="S336" s="237">
        <f t="shared" si="36"/>
      </c>
      <c r="T336" s="159">
        <f t="shared" si="234"/>
      </c>
      <c r="U336" s="159">
        <f t="shared" si="2"/>
      </c>
      <c r="V336" s="169">
        <f t="shared" si="0"/>
      </c>
      <c r="W336" s="155">
        <v>3</v>
      </c>
      <c r="X336" s="169">
        <f t="shared" si="6"/>
      </c>
      <c r="Y336" s="169">
        <f t="shared" si="4"/>
      </c>
      <c r="Z336" s="159">
        <f t="shared" si="232"/>
      </c>
      <c r="AA336" s="159">
        <f t="shared" si="47"/>
      </c>
      <c r="AB336" s="159">
        <f t="shared" si="237"/>
      </c>
      <c r="AC336" s="156">
        <f t="shared" si="235"/>
      </c>
      <c r="AD336" s="156">
        <f t="shared" si="3"/>
      </c>
      <c r="AE336" s="156">
        <f t="shared" si="1"/>
      </c>
      <c r="AF336" s="156">
        <f t="shared" si="7"/>
      </c>
      <c r="AG336" s="156">
        <f t="shared" si="5"/>
      </c>
      <c r="AH336" s="156">
        <f t="shared" si="233"/>
      </c>
      <c r="AI336" s="156">
        <f t="shared" si="48"/>
      </c>
      <c r="AJ336" s="155">
        <v>59</v>
      </c>
      <c r="AK336" s="160">
        <v>34477</v>
      </c>
      <c r="AL336" s="160">
        <v>756</v>
      </c>
      <c r="AM336" s="160">
        <v>973</v>
      </c>
      <c r="AN336" s="160">
        <v>120</v>
      </c>
      <c r="AO336" s="149">
        <v>31</v>
      </c>
      <c r="AP336" s="155">
        <v>82</v>
      </c>
      <c r="AQ336" s="149">
        <v>132</v>
      </c>
      <c r="AR336" s="149">
        <v>4</v>
      </c>
      <c r="AS336" s="155">
        <v>11</v>
      </c>
      <c r="AT336" s="155">
        <v>1</v>
      </c>
      <c r="AU336" s="155">
        <v>2</v>
      </c>
      <c r="AV336" s="207"/>
      <c r="AW336" s="165"/>
      <c r="AX336" s="197">
        <f t="shared" si="303"/>
      </c>
    </row>
    <row r="337">
      <c r="A337" s="234"/>
      <c r="B337" s="171" t="s">
        <v>162</v>
      </c>
      <c r="C337" s="171"/>
      <c r="D337" s="171"/>
      <c r="E337" s="171"/>
      <c r="F337" s="173">
        <f>SUM(F333:F336)</f>
      </c>
      <c r="G337" s="173">
        <f>SUM(G333:G336)</f>
      </c>
      <c r="H337" s="173">
        <f>SUM(H333:H336)</f>
      </c>
      <c r="I337" s="173">
        <f>SUM(I333:I336)</f>
      </c>
      <c r="J337" s="173">
        <f>SUM(J333:J336)</f>
      </c>
      <c r="K337" s="173">
        <f>SUM(K333:K336)</f>
      </c>
      <c r="L337" s="173">
        <f>SUM(L333:L336)</f>
      </c>
      <c r="M337" s="173">
        <f>SUM(M333:M336)</f>
      </c>
      <c r="N337" s="173">
        <f>SUM(N333:N336)</f>
      </c>
      <c r="O337" s="175">
        <f t="shared" si="46"/>
      </c>
      <c r="P337" s="173">
        <f>SUM(P333:P336)</f>
      </c>
      <c r="Q337" s="175">
        <f t="shared" si="236"/>
      </c>
      <c r="R337" s="178">
        <f>SUM(R333:R336)</f>
      </c>
      <c r="S337" s="173">
        <f>SUM(S333:S336)</f>
      </c>
      <c r="T337" s="173">
        <f t="shared" si="234"/>
      </c>
      <c r="U337" s="173">
        <f t="shared" si="2"/>
      </c>
      <c r="V337" s="194">
        <f t="shared" si="0"/>
      </c>
      <c r="W337" s="173">
        <f>SUM(W333:W336)</f>
      </c>
      <c r="X337" s="194">
        <f t="shared" si="6"/>
      </c>
      <c r="Y337" s="194">
        <f t="shared" si="4"/>
      </c>
      <c r="Z337" s="173">
        <f t="shared" si="232"/>
      </c>
      <c r="AA337" s="173">
        <f t="shared" si="47"/>
      </c>
      <c r="AB337" s="238">
        <f t="shared" si="237"/>
      </c>
      <c r="AC337" s="175">
        <f t="shared" si="235"/>
      </c>
      <c r="AD337" s="175">
        <f t="shared" si="3"/>
      </c>
      <c r="AE337" s="175">
        <f t="shared" si="1"/>
      </c>
      <c r="AF337" s="239">
        <f t="shared" si="7"/>
      </c>
      <c r="AG337" s="175">
        <f t="shared" si="5"/>
      </c>
      <c r="AH337" s="175">
        <f t="shared" si="233"/>
      </c>
      <c r="AI337" s="175">
        <f t="shared" si="48"/>
      </c>
      <c r="AJ337" s="178">
        <f>AVERAGE(AJ333:AJ336)</f>
      </c>
      <c r="AK337" s="173">
        <f>SUM(AK333:AK336)</f>
      </c>
      <c r="AL337" s="173">
        <f>SUM(AL333:AL336)</f>
      </c>
      <c r="AM337" s="173">
        <f>SUM(AM333:AM336)</f>
      </c>
      <c r="AN337" s="173">
        <f>SUM(AN333:AN336)</f>
      </c>
      <c r="AO337" s="173">
        <f>SUM(AO333:AO336)</f>
      </c>
      <c r="AP337" s="173">
        <f>SUM(AP333:AP336)</f>
      </c>
      <c r="AQ337" s="173">
        <f>SUM(AQ333:AQ336)</f>
      </c>
      <c r="AR337" s="173">
        <f>SUM(AR333:AR336)</f>
      </c>
      <c r="AS337" s="173">
        <f>SUM(AS333:AS336)</f>
      </c>
      <c r="AT337" s="173">
        <f>SUM(AT333:AT336)</f>
      </c>
      <c r="AU337" s="173">
        <f>SUM(AU333:AU336)</f>
      </c>
      <c r="AV337" s="207"/>
      <c r="AW337" s="180"/>
      <c r="AX337" s="181">
        <f>SUM(AX333:AX336)</f>
      </c>
    </row>
    <row r="338">
      <c r="A338" s="234"/>
      <c r="B338" s="149" t="s">
        <v>156</v>
      </c>
      <c r="C338" s="150" t="s">
        <v>157</v>
      </c>
      <c r="D338" s="149" t="s">
        <v>169</v>
      </c>
      <c r="E338" s="150" t="s">
        <v>159</v>
      </c>
      <c r="F338" s="159">
        <f t="shared" ref="F338:F341" si="223">G338+H338+I338</f>
      </c>
      <c r="G338" s="152">
        <v>2323.5</v>
      </c>
      <c r="H338" s="152">
        <v>1268.26</v>
      </c>
      <c r="I338" s="236">
        <v>0</v>
      </c>
      <c r="J338" s="236">
        <v>1</v>
      </c>
      <c r="K338" s="236">
        <v>1967.9500000000007</v>
      </c>
      <c r="L338" s="236">
        <v>1</v>
      </c>
      <c r="M338" s="236">
        <v>10329.720000000001</v>
      </c>
      <c r="N338" s="155">
        <v>1</v>
      </c>
      <c r="O338" s="156">
        <f t="shared" si="46"/>
      </c>
      <c r="P338" s="155">
        <v>2</v>
      </c>
      <c r="Q338" s="156">
        <f t="shared" si="236"/>
      </c>
      <c r="R338" s="244">
        <f t="shared" ref="R338:R341" si="18">J338+L338</f>
      </c>
      <c r="S338" s="237">
        <f t="shared" ref="S338:S341" si="37">K338+M338</f>
      </c>
      <c r="T338" s="159">
        <f t="shared" si="234"/>
      </c>
      <c r="U338" s="159">
        <f t="shared" si="2"/>
      </c>
      <c r="V338" s="169">
        <f t="shared" si="0"/>
      </c>
      <c r="W338" s="155">
        <v>2</v>
      </c>
      <c r="X338" s="169">
        <f t="shared" si="6"/>
      </c>
      <c r="Y338" s="169">
        <f t="shared" si="4"/>
      </c>
      <c r="Z338" s="159">
        <f t="shared" si="232"/>
      </c>
      <c r="AA338" s="159">
        <f t="shared" si="47"/>
      </c>
      <c r="AB338" s="159">
        <f t="shared" si="237"/>
      </c>
      <c r="AC338" s="156">
        <f t="shared" si="235"/>
      </c>
      <c r="AD338" s="156">
        <f t="shared" si="3"/>
      </c>
      <c r="AE338" s="156">
        <f t="shared" si="1"/>
      </c>
      <c r="AF338" s="156">
        <f t="shared" si="7"/>
      </c>
      <c r="AG338" s="156">
        <f t="shared" si="5"/>
      </c>
      <c r="AH338" s="156">
        <f t="shared" si="233"/>
      </c>
      <c r="AI338" s="156">
        <f t="shared" si="48"/>
      </c>
      <c r="AJ338" s="155">
        <v>60</v>
      </c>
      <c r="AK338" s="160">
        <v>23091</v>
      </c>
      <c r="AL338" s="160">
        <v>544</v>
      </c>
      <c r="AM338" s="160">
        <v>682</v>
      </c>
      <c r="AN338" s="160">
        <v>123</v>
      </c>
      <c r="AO338" s="149">
        <v>34</v>
      </c>
      <c r="AP338" s="160">
        <v>78</v>
      </c>
      <c r="AQ338" s="150">
        <v>104</v>
      </c>
      <c r="AR338" s="149">
        <v>4</v>
      </c>
      <c r="AS338" s="149">
        <v>7</v>
      </c>
      <c r="AT338" s="155">
        <v>1</v>
      </c>
      <c r="AU338" s="155">
        <v>3</v>
      </c>
      <c r="AV338" s="207"/>
      <c r="AW338" s="165"/>
      <c r="AX338" s="197">
        <f t="shared" ref="AX338:AX341" si="304">COUNT(AU338)</f>
      </c>
    </row>
    <row r="339">
      <c r="A339" s="234"/>
      <c r="B339" s="149" t="s">
        <v>156</v>
      </c>
      <c r="C339" s="150" t="s">
        <v>157</v>
      </c>
      <c r="D339" s="149" t="s">
        <v>169</v>
      </c>
      <c r="E339" s="150" t="s">
        <v>160</v>
      </c>
      <c r="F339" s="159">
        <f t="shared" si="223"/>
      </c>
      <c r="G339" s="152">
        <v>3213.58</v>
      </c>
      <c r="H339" s="152">
        <v>1506.81</v>
      </c>
      <c r="I339" s="236">
        <v>0</v>
      </c>
      <c r="J339" s="236">
        <v>2</v>
      </c>
      <c r="K339" s="236">
        <v>3048.370000000001</v>
      </c>
      <c r="L339" s="236">
        <v>3</v>
      </c>
      <c r="M339" s="236">
        <v>6139.580000000002</v>
      </c>
      <c r="N339" s="155">
        <v>1</v>
      </c>
      <c r="O339" s="156">
        <f t="shared" si="46"/>
      </c>
      <c r="P339" s="155">
        <v>2</v>
      </c>
      <c r="Q339" s="156">
        <f t="shared" si="236"/>
      </c>
      <c r="R339" s="244">
        <f t="shared" si="18"/>
      </c>
      <c r="S339" s="237">
        <f t="shared" si="37"/>
      </c>
      <c r="T339" s="159">
        <f t="shared" si="234"/>
      </c>
      <c r="U339" s="159">
        <f t="shared" si="2"/>
      </c>
      <c r="V339" s="169">
        <f t="shared" si="0"/>
      </c>
      <c r="W339" s="155">
        <v>4</v>
      </c>
      <c r="X339" s="169">
        <f t="shared" si="6"/>
      </c>
      <c r="Y339" s="169">
        <f t="shared" si="4"/>
      </c>
      <c r="Z339" s="159">
        <f t="shared" si="232"/>
      </c>
      <c r="AA339" s="159">
        <f t="shared" si="47"/>
      </c>
      <c r="AB339" s="159">
        <f t="shared" si="237"/>
      </c>
      <c r="AC339" s="156">
        <f t="shared" si="235"/>
      </c>
      <c r="AD339" s="156">
        <f t="shared" si="3"/>
      </c>
      <c r="AE339" s="156">
        <f t="shared" si="1"/>
      </c>
      <c r="AF339" s="156">
        <f t="shared" si="7"/>
      </c>
      <c r="AG339" s="156">
        <f t="shared" si="5"/>
      </c>
      <c r="AH339" s="156">
        <f t="shared" si="233"/>
      </c>
      <c r="AI339" s="156">
        <f t="shared" si="48"/>
      </c>
      <c r="AJ339" s="155">
        <v>60</v>
      </c>
      <c r="AK339" s="160">
        <v>31010</v>
      </c>
      <c r="AL339" s="160">
        <v>764</v>
      </c>
      <c r="AM339" s="160">
        <v>965</v>
      </c>
      <c r="AN339" s="160">
        <v>142</v>
      </c>
      <c r="AO339" s="149">
        <v>50</v>
      </c>
      <c r="AP339" s="160">
        <v>119</v>
      </c>
      <c r="AQ339" s="149">
        <v>130</v>
      </c>
      <c r="AR339" s="149">
        <v>8</v>
      </c>
      <c r="AS339" s="149">
        <v>10</v>
      </c>
      <c r="AT339" s="155">
        <v>1</v>
      </c>
      <c r="AU339" s="155">
        <v>5</v>
      </c>
      <c r="AV339" s="207"/>
      <c r="AW339" s="165"/>
      <c r="AX339" s="197">
        <f t="shared" si="304"/>
      </c>
    </row>
    <row r="340">
      <c r="A340" s="234"/>
      <c r="B340" s="149" t="s">
        <v>156</v>
      </c>
      <c r="C340" s="150" t="s">
        <v>157</v>
      </c>
      <c r="D340" s="149" t="s">
        <v>169</v>
      </c>
      <c r="E340" s="150" t="s">
        <v>161</v>
      </c>
      <c r="F340" s="159">
        <f t="shared" si="223"/>
      </c>
      <c r="G340" s="152">
        <v>2861.28</v>
      </c>
      <c r="H340" s="152">
        <v>1356.2</v>
      </c>
      <c r="I340" s="236">
        <v>0</v>
      </c>
      <c r="J340" s="236">
        <v>1</v>
      </c>
      <c r="K340" s="236">
        <v>803.6999999999971</v>
      </c>
      <c r="L340" s="236">
        <v>4</v>
      </c>
      <c r="M340" s="236">
        <v>6312.369999999995</v>
      </c>
      <c r="N340" s="155">
        <v>1</v>
      </c>
      <c r="O340" s="156">
        <f t="shared" si="46"/>
      </c>
      <c r="P340" s="155">
        <v>0</v>
      </c>
      <c r="Q340" s="156">
        <f t="shared" si="236"/>
      </c>
      <c r="R340" s="244">
        <f t="shared" si="18"/>
      </c>
      <c r="S340" s="237">
        <f t="shared" si="37"/>
      </c>
      <c r="T340" s="159">
        <f t="shared" si="234"/>
      </c>
      <c r="U340" s="159">
        <f t="shared" si="2"/>
      </c>
      <c r="V340" s="169">
        <f t="shared" si="0"/>
      </c>
      <c r="W340" s="155">
        <v>5</v>
      </c>
      <c r="X340" s="169">
        <f t="shared" si="6"/>
      </c>
      <c r="Y340" s="169">
        <f t="shared" si="4"/>
      </c>
      <c r="Z340" s="159">
        <f t="shared" si="232"/>
      </c>
      <c r="AA340" s="159">
        <f t="shared" si="47"/>
      </c>
      <c r="AB340" s="159">
        <f t="shared" si="237"/>
      </c>
      <c r="AC340" s="156">
        <f t="shared" si="235"/>
      </c>
      <c r="AD340" s="156">
        <f t="shared" si="3"/>
      </c>
      <c r="AE340" s="156">
        <f t="shared" si="1"/>
      </c>
      <c r="AF340" s="156">
        <f t="shared" si="7"/>
      </c>
      <c r="AG340" s="156">
        <f t="shared" si="5"/>
      </c>
      <c r="AH340" s="156">
        <f t="shared" si="233"/>
      </c>
      <c r="AI340" s="156">
        <f t="shared" si="48"/>
      </c>
      <c r="AJ340" s="155">
        <v>62</v>
      </c>
      <c r="AK340" s="160">
        <v>27660</v>
      </c>
      <c r="AL340" s="160">
        <v>666</v>
      </c>
      <c r="AM340" s="160">
        <v>821</v>
      </c>
      <c r="AN340" s="160">
        <v>140</v>
      </c>
      <c r="AO340" s="149">
        <v>43</v>
      </c>
      <c r="AP340" s="155">
        <v>89</v>
      </c>
      <c r="AQ340" s="149">
        <v>121</v>
      </c>
      <c r="AR340" s="149">
        <v>7</v>
      </c>
      <c r="AS340" s="155">
        <v>11</v>
      </c>
      <c r="AT340" s="155">
        <v>0</v>
      </c>
      <c r="AU340" s="155">
        <v>3</v>
      </c>
      <c r="AV340" s="207"/>
      <c r="AW340" s="165"/>
      <c r="AX340" s="197">
        <f t="shared" si="304"/>
      </c>
    </row>
    <row r="341">
      <c r="A341" s="234"/>
      <c r="B341" s="149" t="s">
        <v>156</v>
      </c>
      <c r="C341" s="150" t="s">
        <v>157</v>
      </c>
      <c r="D341" s="149" t="s">
        <v>169</v>
      </c>
      <c r="E341" s="150" t="s">
        <v>164</v>
      </c>
      <c r="F341" s="246">
        <f t="shared" si="223"/>
      </c>
      <c r="G341" s="247">
        <v>3583.5</v>
      </c>
      <c r="H341" s="247">
        <v>1370.66</v>
      </c>
      <c r="I341" s="236">
        <v>0</v>
      </c>
      <c r="J341" s="236">
        <v>2</v>
      </c>
      <c r="K341" s="236">
        <v>5316.110000000001</v>
      </c>
      <c r="L341" s="236">
        <v>0</v>
      </c>
      <c r="M341" s="236">
        <v>0</v>
      </c>
      <c r="N341" s="155">
        <v>1</v>
      </c>
      <c r="O341" s="156">
        <f t="shared" si="46"/>
      </c>
      <c r="P341" s="155">
        <v>1</v>
      </c>
      <c r="Q341" s="156">
        <f t="shared" si="236"/>
      </c>
      <c r="R341" s="244">
        <f t="shared" si="18"/>
      </c>
      <c r="S341" s="237">
        <f t="shared" si="37"/>
      </c>
      <c r="T341" s="159">
        <f t="shared" si="234"/>
      </c>
      <c r="U341" s="159">
        <f t="shared" si="2"/>
      </c>
      <c r="V341" s="169">
        <f t="shared" si="0"/>
      </c>
      <c r="W341" s="155">
        <v>1</v>
      </c>
      <c r="X341" s="169">
        <f t="shared" si="6"/>
      </c>
      <c r="Y341" s="169">
        <f t="shared" si="4"/>
      </c>
      <c r="Z341" s="159">
        <f t="shared" si="232"/>
      </c>
      <c r="AA341" s="159">
        <f t="shared" si="47"/>
      </c>
      <c r="AB341" s="159">
        <f t="shared" si="237"/>
      </c>
      <c r="AC341" s="156">
        <f t="shared" si="235"/>
      </c>
      <c r="AD341" s="156">
        <f t="shared" si="3"/>
      </c>
      <c r="AE341" s="156">
        <f t="shared" si="1"/>
      </c>
      <c r="AF341" s="156">
        <f t="shared" si="7"/>
      </c>
      <c r="AG341" s="156">
        <f t="shared" si="5"/>
      </c>
      <c r="AH341" s="156">
        <f t="shared" si="233"/>
      </c>
      <c r="AI341" s="156">
        <f t="shared" si="48"/>
      </c>
      <c r="AJ341" s="155">
        <v>61</v>
      </c>
      <c r="AK341" s="160">
        <v>33560</v>
      </c>
      <c r="AL341" s="160">
        <v>831</v>
      </c>
      <c r="AM341" s="160">
        <v>989</v>
      </c>
      <c r="AN341" s="160">
        <v>126</v>
      </c>
      <c r="AO341" s="149">
        <v>26</v>
      </c>
      <c r="AP341" s="155">
        <v>84</v>
      </c>
      <c r="AQ341" s="149">
        <v>121</v>
      </c>
      <c r="AR341" s="149">
        <v>2</v>
      </c>
      <c r="AS341" s="160">
        <v>5</v>
      </c>
      <c r="AT341" s="160">
        <v>1</v>
      </c>
      <c r="AU341" s="155">
        <v>2</v>
      </c>
      <c r="AV341" s="207"/>
      <c r="AW341" s="165"/>
      <c r="AX341" s="197">
        <f t="shared" si="304"/>
      </c>
    </row>
    <row r="342">
      <c r="A342" s="234"/>
      <c r="B342" s="171" t="s">
        <v>162</v>
      </c>
      <c r="C342" s="171"/>
      <c r="D342" s="171"/>
      <c r="E342" s="171"/>
      <c r="F342" s="173">
        <f>SUM(F338:F341)</f>
      </c>
      <c r="G342" s="173">
        <f>SUM(G338:G341)</f>
      </c>
      <c r="H342" s="173">
        <f>SUM(H338:H341)</f>
      </c>
      <c r="I342" s="173">
        <f>SUM(I338:I341)</f>
      </c>
      <c r="J342" s="173">
        <f>SUM(J338:J341)</f>
      </c>
      <c r="K342" s="173">
        <f>SUM(K338:K341)</f>
      </c>
      <c r="L342" s="173">
        <f>SUM(L338:L341)</f>
      </c>
      <c r="M342" s="173">
        <f>SUM(M338:M341)</f>
      </c>
      <c r="N342" s="173">
        <f>SUM(N338:N341)</f>
      </c>
      <c r="O342" s="175">
        <f t="shared" si="46"/>
      </c>
      <c r="P342" s="173">
        <f>SUM(P338:P341)</f>
      </c>
      <c r="Q342" s="175">
        <f t="shared" si="236"/>
      </c>
      <c r="R342" s="178">
        <f>SUM(R338:R341)</f>
      </c>
      <c r="S342" s="173">
        <f>SUM(S338:S341)</f>
      </c>
      <c r="T342" s="173">
        <f t="shared" si="234"/>
      </c>
      <c r="U342" s="173">
        <f t="shared" si="2"/>
      </c>
      <c r="V342" s="194">
        <f t="shared" si="0"/>
      </c>
      <c r="W342" s="173">
        <f>SUM(W338:W341)</f>
      </c>
      <c r="X342" s="194">
        <f t="shared" si="6"/>
      </c>
      <c r="Y342" s="194">
        <f t="shared" si="4"/>
      </c>
      <c r="Z342" s="173">
        <f t="shared" si="232"/>
      </c>
      <c r="AA342" s="173">
        <f t="shared" si="47"/>
      </c>
      <c r="AB342" s="238">
        <f t="shared" si="237"/>
      </c>
      <c r="AC342" s="175">
        <f t="shared" si="235"/>
      </c>
      <c r="AD342" s="175">
        <f t="shared" si="3"/>
      </c>
      <c r="AE342" s="175">
        <f t="shared" si="1"/>
      </c>
      <c r="AF342" s="245">
        <f t="shared" si="7"/>
      </c>
      <c r="AG342" s="175">
        <f t="shared" si="5"/>
      </c>
      <c r="AH342" s="175">
        <f t="shared" si="233"/>
      </c>
      <c r="AI342" s="175">
        <f t="shared" si="48"/>
      </c>
      <c r="AJ342" s="178">
        <f>AVERAGE(AJ338:AJ341)</f>
      </c>
      <c r="AK342" s="173">
        <f>SUM(AK338:AK341)</f>
      </c>
      <c r="AL342" s="173">
        <f>SUM(AL338:AL341)</f>
      </c>
      <c r="AM342" s="173">
        <f>SUM(AM338:AM341)</f>
      </c>
      <c r="AN342" s="173">
        <f>SUM(AN338:AN341)</f>
      </c>
      <c r="AO342" s="173">
        <f>SUM(AO338:AO341)</f>
      </c>
      <c r="AP342" s="173">
        <f>SUM(AP338:AP341)</f>
      </c>
      <c r="AQ342" s="173">
        <f>SUM(AQ338:AQ341)</f>
      </c>
      <c r="AR342" s="173">
        <f>SUM(AR338:AR341)</f>
      </c>
      <c r="AS342" s="173">
        <f>SUM(AS338:AS341)</f>
      </c>
      <c r="AT342" s="173">
        <f>SUM(AT338:AT341)</f>
      </c>
      <c r="AU342" s="173">
        <f>SUM(AU338:AU341)</f>
      </c>
      <c r="AV342" s="207"/>
      <c r="AW342" s="180"/>
      <c r="AX342" s="181">
        <f>SUM(AX338:AX341)</f>
      </c>
    </row>
    <row r="343">
      <c r="A343" s="234"/>
      <c r="B343" s="149" t="s">
        <v>156</v>
      </c>
      <c r="C343" s="150" t="s">
        <v>157</v>
      </c>
      <c r="D343" s="149" t="s">
        <v>179</v>
      </c>
      <c r="E343" s="150" t="s">
        <v>165</v>
      </c>
      <c r="F343" s="246">
        <f t="shared" ref="F343:F346" si="224">G343+H343+I343</f>
      </c>
      <c r="G343" s="247">
        <v>3111.42</v>
      </c>
      <c r="H343" s="247">
        <v>866.73</v>
      </c>
      <c r="I343" s="236">
        <v>0</v>
      </c>
      <c r="J343" s="236">
        <v>0</v>
      </c>
      <c r="K343" s="236">
        <v>0</v>
      </c>
      <c r="L343" s="236">
        <v>3</v>
      </c>
      <c r="M343" s="236">
        <v>5226.699999999997</v>
      </c>
      <c r="N343" s="155">
        <v>1</v>
      </c>
      <c r="O343" s="156">
        <f t="shared" si="46"/>
      </c>
      <c r="P343" s="155">
        <v>0</v>
      </c>
      <c r="Q343" s="156">
        <f t="shared" si="236"/>
      </c>
      <c r="R343" s="249">
        <f t="shared" ref="R343:R346" si="19">J343+L343</f>
      </c>
      <c r="S343" s="237">
        <f t="shared" ref="S343:S346" si="38">K343+M343</f>
      </c>
      <c r="T343" s="159">
        <f t="shared" si="234"/>
      </c>
      <c r="U343" s="159">
        <f t="shared" si="2"/>
      </c>
      <c r="V343" s="169">
        <f t="shared" si="0"/>
      </c>
      <c r="W343" s="155">
        <v>3</v>
      </c>
      <c r="X343" s="169">
        <f t="shared" si="6"/>
      </c>
      <c r="Y343" s="169">
        <f t="shared" si="4"/>
      </c>
      <c r="Z343" s="159">
        <f t="shared" si="232"/>
      </c>
      <c r="AA343" s="159">
        <f t="shared" si="47"/>
      </c>
      <c r="AB343" s="159">
        <f t="shared" si="237"/>
      </c>
      <c r="AC343" s="156">
        <f t="shared" si="235"/>
      </c>
      <c r="AD343" s="156">
        <f t="shared" si="3"/>
      </c>
      <c r="AE343" s="156">
        <f t="shared" si="1"/>
      </c>
      <c r="AF343" s="156">
        <f t="shared" si="7"/>
      </c>
      <c r="AG343" s="156">
        <f t="shared" si="5"/>
      </c>
      <c r="AH343" s="156">
        <f t="shared" si="233"/>
      </c>
      <c r="AI343" s="156">
        <f t="shared" si="48"/>
      </c>
      <c r="AJ343" s="155">
        <v>61</v>
      </c>
      <c r="AK343" s="160">
        <v>23722</v>
      </c>
      <c r="AL343" s="160">
        <v>666</v>
      </c>
      <c r="AM343" s="160">
        <v>857</v>
      </c>
      <c r="AN343" s="160">
        <v>129</v>
      </c>
      <c r="AO343" s="149">
        <v>32</v>
      </c>
      <c r="AP343" s="160">
        <v>89</v>
      </c>
      <c r="AQ343" s="150">
        <v>131</v>
      </c>
      <c r="AR343" s="149">
        <v>6</v>
      </c>
      <c r="AS343" s="155">
        <v>13</v>
      </c>
      <c r="AT343" s="155">
        <v>0</v>
      </c>
      <c r="AU343" s="155">
        <v>0</v>
      </c>
      <c r="AV343" s="207"/>
      <c r="AW343" s="165"/>
      <c r="AX343" s="197">
        <f t="shared" ref="AX343:AX346" si="305">COUNT(AU343)</f>
      </c>
    </row>
    <row r="344">
      <c r="A344" s="234"/>
      <c r="B344" s="149" t="s">
        <v>156</v>
      </c>
      <c r="C344" s="150" t="s">
        <v>157</v>
      </c>
      <c r="D344" s="149" t="s">
        <v>179</v>
      </c>
      <c r="E344" s="150" t="s">
        <v>168</v>
      </c>
      <c r="F344" s="246">
        <f t="shared" si="224"/>
      </c>
      <c r="G344" s="247">
        <v>3422.89</v>
      </c>
      <c r="H344" s="247">
        <v>720.51</v>
      </c>
      <c r="I344" s="236">
        <v>0</v>
      </c>
      <c r="J344" s="236">
        <v>3</v>
      </c>
      <c r="K344" s="236">
        <v>8561.919999999998</v>
      </c>
      <c r="L344" s="236">
        <v>0</v>
      </c>
      <c r="M344" s="236">
        <v>0</v>
      </c>
      <c r="N344" s="155">
        <v>0</v>
      </c>
      <c r="O344" s="156">
        <f t="shared" si="46"/>
      </c>
      <c r="P344" s="155">
        <v>2</v>
      </c>
      <c r="Q344" s="156">
        <f t="shared" si="236"/>
      </c>
      <c r="R344" s="249">
        <f t="shared" si="19"/>
      </c>
      <c r="S344" s="237">
        <f t="shared" si="38"/>
      </c>
      <c r="T344" s="159">
        <f t="shared" si="234"/>
      </c>
      <c r="U344" s="159">
        <f t="shared" si="2"/>
      </c>
      <c r="V344" s="169">
        <f t="shared" si="0"/>
      </c>
      <c r="W344" s="155">
        <v>2</v>
      </c>
      <c r="X344" s="169">
        <f t="shared" si="6"/>
      </c>
      <c r="Y344" s="169">
        <f t="shared" si="4"/>
      </c>
      <c r="Z344" s="159">
        <f t="shared" si="232"/>
      </c>
      <c r="AA344" s="159">
        <f t="shared" si="47"/>
      </c>
      <c r="AB344" s="159">
        <f t="shared" si="237"/>
      </c>
      <c r="AC344" s="156">
        <f t="shared" si="235"/>
      </c>
      <c r="AD344" s="156">
        <f t="shared" si="3"/>
      </c>
      <c r="AE344" s="156">
        <f t="shared" si="1"/>
      </c>
      <c r="AF344" s="156">
        <f t="shared" si="7"/>
      </c>
      <c r="AG344" s="156">
        <f t="shared" si="5"/>
      </c>
      <c r="AH344" s="156">
        <f t="shared" si="233"/>
      </c>
      <c r="AI344" s="156">
        <f t="shared" si="48"/>
      </c>
      <c r="AJ344" s="155">
        <v>62</v>
      </c>
      <c r="AK344" s="160">
        <v>28811</v>
      </c>
      <c r="AL344" s="160">
        <v>818</v>
      </c>
      <c r="AM344" s="160">
        <v>1019</v>
      </c>
      <c r="AN344" s="160">
        <v>127</v>
      </c>
      <c r="AO344" s="149">
        <v>38</v>
      </c>
      <c r="AP344" s="160">
        <v>127</v>
      </c>
      <c r="AQ344" s="150">
        <v>141</v>
      </c>
      <c r="AR344" s="149">
        <v>5</v>
      </c>
      <c r="AS344" s="160">
        <v>17</v>
      </c>
      <c r="AT344" s="160">
        <v>1</v>
      </c>
      <c r="AU344" s="155">
        <v>0</v>
      </c>
      <c r="AV344" s="207"/>
      <c r="AW344" s="165"/>
      <c r="AX344" s="197">
        <f t="shared" si="305"/>
      </c>
    </row>
    <row r="345">
      <c r="A345" s="234"/>
      <c r="B345" s="149" t="s">
        <v>156</v>
      </c>
      <c r="C345" s="150" t="s">
        <v>157</v>
      </c>
      <c r="D345" s="149" t="s">
        <v>179</v>
      </c>
      <c r="E345" s="150" t="s">
        <v>171</v>
      </c>
      <c r="F345" s="246">
        <f t="shared" si="224"/>
      </c>
      <c r="G345" s="247">
        <v>2481.1</v>
      </c>
      <c r="H345" s="247">
        <v>756.9</v>
      </c>
      <c r="I345" s="236">
        <v>0</v>
      </c>
      <c r="J345" s="236">
        <v>0</v>
      </c>
      <c r="K345" s="236">
        <v>0</v>
      </c>
      <c r="L345" s="236">
        <v>0</v>
      </c>
      <c r="M345" s="236">
        <v>0</v>
      </c>
      <c r="N345" s="155">
        <v>0</v>
      </c>
      <c r="O345" s="156">
        <f t="shared" si="46"/>
      </c>
      <c r="P345" s="155">
        <v>0</v>
      </c>
      <c r="Q345" s="156">
        <f t="shared" si="236"/>
      </c>
      <c r="R345" s="249">
        <f t="shared" si="19"/>
      </c>
      <c r="S345" s="237">
        <f t="shared" si="38"/>
      </c>
      <c r="T345" s="159">
        <f t="shared" si="234"/>
      </c>
      <c r="U345" s="159">
        <f t="shared" si="2"/>
      </c>
      <c r="V345" s="169">
        <f t="shared" si="0"/>
      </c>
      <c r="W345" s="155">
        <v>0</v>
      </c>
      <c r="X345" s="169">
        <f t="shared" si="6"/>
      </c>
      <c r="Y345" s="169">
        <f t="shared" si="4"/>
      </c>
      <c r="Z345" s="159">
        <f t="shared" si="232"/>
      </c>
      <c r="AA345" s="159">
        <f t="shared" si="47"/>
      </c>
      <c r="AB345" s="159">
        <f t="shared" si="237"/>
      </c>
      <c r="AC345" s="156">
        <f t="shared" si="235"/>
      </c>
      <c r="AD345" s="156">
        <f t="shared" si="3"/>
      </c>
      <c r="AE345" s="156">
        <f t="shared" si="1"/>
      </c>
      <c r="AF345" s="156">
        <f t="shared" si="7"/>
      </c>
      <c r="AG345" s="156">
        <f t="shared" si="5"/>
      </c>
      <c r="AH345" s="156">
        <f t="shared" si="233"/>
      </c>
      <c r="AI345" s="156">
        <f t="shared" si="48"/>
      </c>
      <c r="AJ345" s="155">
        <v>62</v>
      </c>
      <c r="AK345" s="155">
        <v>21947</v>
      </c>
      <c r="AL345" s="160">
        <v>559</v>
      </c>
      <c r="AM345" s="160">
        <v>757</v>
      </c>
      <c r="AN345" s="160">
        <v>98</v>
      </c>
      <c r="AO345" s="149">
        <v>18</v>
      </c>
      <c r="AP345" s="160">
        <v>69</v>
      </c>
      <c r="AQ345" s="150">
        <v>82</v>
      </c>
      <c r="AR345" s="149">
        <v>0</v>
      </c>
      <c r="AS345" s="155">
        <v>7</v>
      </c>
      <c r="AT345" s="155">
        <v>0</v>
      </c>
      <c r="AU345" s="155">
        <v>3</v>
      </c>
      <c r="AV345" s="207"/>
      <c r="AW345" s="165"/>
      <c r="AX345" s="197">
        <f t="shared" si="305"/>
      </c>
    </row>
    <row r="346">
      <c r="A346" s="234"/>
      <c r="B346" s="149" t="s">
        <v>156</v>
      </c>
      <c r="C346" s="150" t="s">
        <v>157</v>
      </c>
      <c r="D346" s="149" t="s">
        <v>179</v>
      </c>
      <c r="E346" s="150" t="s">
        <v>172</v>
      </c>
      <c r="F346" s="246">
        <f t="shared" si="224"/>
      </c>
      <c r="G346" s="247">
        <v>1669.66</v>
      </c>
      <c r="H346" s="247">
        <v>305.93</v>
      </c>
      <c r="I346" s="236">
        <v>0</v>
      </c>
      <c r="J346" s="236">
        <v>3</v>
      </c>
      <c r="K346" s="236">
        <v>6650.950000000004</v>
      </c>
      <c r="L346" s="236">
        <v>1</v>
      </c>
      <c r="M346" s="236">
        <v>1371.800000000003</v>
      </c>
      <c r="N346" s="155">
        <v>0</v>
      </c>
      <c r="O346" s="156">
        <f t="shared" si="46"/>
      </c>
      <c r="P346" s="155">
        <v>1</v>
      </c>
      <c r="Q346" s="156">
        <f t="shared" si="236"/>
      </c>
      <c r="R346" s="249">
        <f t="shared" si="19"/>
      </c>
      <c r="S346" s="237">
        <f t="shared" si="38"/>
      </c>
      <c r="T346" s="159">
        <f t="shared" si="234"/>
      </c>
      <c r="U346" s="159">
        <f t="shared" si="2"/>
      </c>
      <c r="V346" s="169">
        <f t="shared" si="0"/>
      </c>
      <c r="W346" s="155">
        <v>2</v>
      </c>
      <c r="X346" s="169">
        <f t="shared" si="6"/>
      </c>
      <c r="Y346" s="169">
        <f t="shared" si="4"/>
      </c>
      <c r="Z346" s="159">
        <f t="shared" si="232"/>
      </c>
      <c r="AA346" s="159">
        <f t="shared" si="47"/>
      </c>
      <c r="AB346" s="159">
        <f t="shared" si="237"/>
      </c>
      <c r="AC346" s="156">
        <f t="shared" si="235"/>
      </c>
      <c r="AD346" s="156">
        <f t="shared" si="3"/>
      </c>
      <c r="AE346" s="156">
        <f t="shared" si="1"/>
      </c>
      <c r="AF346" s="156">
        <f t="shared" si="7"/>
      </c>
      <c r="AG346" s="156">
        <f t="shared" si="5"/>
      </c>
      <c r="AH346" s="156">
        <f t="shared" si="233"/>
      </c>
      <c r="AI346" s="156">
        <f t="shared" si="48"/>
      </c>
      <c r="AJ346" s="155">
        <v>65</v>
      </c>
      <c r="AK346" s="160">
        <v>17496</v>
      </c>
      <c r="AL346" s="160">
        <v>534</v>
      </c>
      <c r="AM346" s="160">
        <v>787</v>
      </c>
      <c r="AN346" s="160">
        <v>88</v>
      </c>
      <c r="AO346" s="149">
        <v>32</v>
      </c>
      <c r="AP346" s="160">
        <v>98</v>
      </c>
      <c r="AQ346" s="150">
        <v>90</v>
      </c>
      <c r="AR346" s="149">
        <v>5</v>
      </c>
      <c r="AS346" s="160">
        <v>8</v>
      </c>
      <c r="AT346" s="160">
        <v>3</v>
      </c>
      <c r="AU346" s="155">
        <v>2</v>
      </c>
      <c r="AV346" s="207"/>
      <c r="AW346" s="165"/>
      <c r="AX346" s="197">
        <f t="shared" si="305"/>
      </c>
    </row>
    <row r="347">
      <c r="A347" s="234"/>
      <c r="B347" s="171" t="s">
        <v>162</v>
      </c>
      <c r="C347" s="171"/>
      <c r="D347" s="171"/>
      <c r="E347" s="171"/>
      <c r="F347" s="173">
        <f>SUM(F343:F346)</f>
      </c>
      <c r="G347" s="173">
        <f>SUM(G343:G346)</f>
      </c>
      <c r="H347" s="173">
        <f>SUM(H343:H346)</f>
      </c>
      <c r="I347" s="173">
        <f>SUM(I343:I346)</f>
      </c>
      <c r="J347" s="173">
        <f>SUM(J343:J346)</f>
      </c>
      <c r="K347" s="173">
        <f>SUM(K343:K346)</f>
      </c>
      <c r="L347" s="173">
        <f>SUM(L343:L346)</f>
      </c>
      <c r="M347" s="173">
        <f>SUM(M343:M346)</f>
      </c>
      <c r="N347" s="173">
        <f>SUM(N343:N346)</f>
      </c>
      <c r="O347" s="175">
        <f t="shared" si="46"/>
      </c>
      <c r="P347" s="173">
        <f>SUM(P343:P346)</f>
      </c>
      <c r="Q347" s="175">
        <f t="shared" si="236"/>
      </c>
      <c r="R347" s="178">
        <f>SUM(R343:R346)</f>
      </c>
      <c r="S347" s="173">
        <f>SUM(S343:S346)</f>
      </c>
      <c r="T347" s="173">
        <f t="shared" si="234"/>
      </c>
      <c r="U347" s="173">
        <f t="shared" si="2"/>
      </c>
      <c r="V347" s="194">
        <f t="shared" si="0"/>
      </c>
      <c r="W347" s="173">
        <f>SUM(W343:W346)</f>
      </c>
      <c r="X347" s="194">
        <f t="shared" si="6"/>
      </c>
      <c r="Y347" s="194">
        <f t="shared" si="4"/>
      </c>
      <c r="Z347" s="173">
        <f t="shared" si="232"/>
      </c>
      <c r="AA347" s="173">
        <f t="shared" si="47"/>
      </c>
      <c r="AB347" s="238">
        <f t="shared" si="237"/>
      </c>
      <c r="AC347" s="175">
        <f t="shared" si="235"/>
      </c>
      <c r="AD347" s="175">
        <f t="shared" si="3"/>
      </c>
      <c r="AE347" s="175">
        <f t="shared" si="1"/>
      </c>
      <c r="AF347" s="245">
        <f t="shared" si="7"/>
      </c>
      <c r="AG347" s="175">
        <f t="shared" si="5"/>
      </c>
      <c r="AH347" s="175">
        <f t="shared" si="233"/>
      </c>
      <c r="AI347" s="175">
        <f t="shared" si="48"/>
      </c>
      <c r="AJ347" s="178">
        <f>AVERAGE(AJ343:AJ346)</f>
      </c>
      <c r="AK347" s="173">
        <f>SUM(AK343:AK346)</f>
      </c>
      <c r="AL347" s="173">
        <f>SUM(AL343:AL346)</f>
      </c>
      <c r="AM347" s="173">
        <f>SUM(AM343:AM346)</f>
      </c>
      <c r="AN347" s="173">
        <f>SUM(AN343:AN346)</f>
      </c>
      <c r="AO347" s="173">
        <f>SUM(AO343:AO346)</f>
      </c>
      <c r="AP347" s="173">
        <f>SUM(AP343:AP346)</f>
      </c>
      <c r="AQ347" s="173">
        <f>SUM(AQ343:AQ346)</f>
      </c>
      <c r="AR347" s="173">
        <f>SUM(AR343:AR346)</f>
      </c>
      <c r="AS347" s="173">
        <f>SUM(AS343:AS346)</f>
      </c>
      <c r="AT347" s="173">
        <f>SUM(AT343:AT346)</f>
      </c>
      <c r="AU347" s="173">
        <f>SUM(AU343:AU346)</f>
      </c>
      <c r="AV347" s="207"/>
      <c r="AW347" s="180"/>
      <c r="AX347" s="181">
        <f>SUM(AX343:AX346)</f>
      </c>
    </row>
    <row r="348">
      <c r="A348" s="234"/>
      <c r="B348" s="184" t="s">
        <v>166</v>
      </c>
      <c r="C348" s="184"/>
      <c r="D348" s="184"/>
      <c r="E348" s="184"/>
      <c r="F348" s="185">
        <f>F332+F337+F342+F347</f>
      </c>
      <c r="G348" s="185">
        <f>G332+G337+G342+G347</f>
      </c>
      <c r="H348" s="185">
        <f>H332+H337+H342+H347</f>
      </c>
      <c r="I348" s="185">
        <f>I332+I337+I342+I347</f>
      </c>
      <c r="J348" s="185">
        <f>J332+J337+J342+J347</f>
      </c>
      <c r="K348" s="185">
        <f>K332+K337+K342+K347</f>
      </c>
      <c r="L348" s="185">
        <f>L332+L337+L342+L347</f>
      </c>
      <c r="M348" s="185">
        <f>M332+M337+M342+M347</f>
      </c>
      <c r="N348" s="185">
        <f>N332+N337+N342+N347</f>
      </c>
      <c r="O348" s="186">
        <f t="shared" si="46"/>
      </c>
      <c r="P348" s="184">
        <f>P332+P337+P342+P347</f>
      </c>
      <c r="Q348" s="186">
        <f t="shared" si="236"/>
      </c>
      <c r="R348" s="190">
        <f>R332+R337+R342+R347</f>
      </c>
      <c r="S348" s="185">
        <f>S332+S337+S342+S347</f>
      </c>
      <c r="T348" s="185">
        <f t="shared" si="234"/>
      </c>
      <c r="U348" s="185">
        <f t="shared" si="2"/>
      </c>
      <c r="V348" s="187">
        <f t="shared" si="0"/>
      </c>
      <c r="W348" s="184">
        <f>W332+W337+W342+W347</f>
      </c>
      <c r="X348" s="187">
        <f t="shared" si="6"/>
      </c>
      <c r="Y348" s="187">
        <f t="shared" si="4"/>
      </c>
      <c r="Z348" s="185">
        <f t="shared" si="232"/>
      </c>
      <c r="AA348" s="185">
        <f t="shared" si="47"/>
      </c>
      <c r="AB348" s="189">
        <f t="shared" si="237"/>
      </c>
      <c r="AC348" s="186">
        <f t="shared" si="235"/>
      </c>
      <c r="AD348" s="186">
        <f t="shared" si="3"/>
      </c>
      <c r="AE348" s="186">
        <f t="shared" si="1"/>
      </c>
      <c r="AF348" s="241">
        <f t="shared" si="7"/>
      </c>
      <c r="AG348" s="186">
        <f t="shared" si="5"/>
      </c>
      <c r="AH348" s="186">
        <f t="shared" si="233"/>
      </c>
      <c r="AI348" s="186">
        <f t="shared" si="48"/>
      </c>
      <c r="AJ348" s="190">
        <f>(AJ332+AJ337+AJ342+AJ347)/4</f>
      </c>
      <c r="AK348" s="184">
        <f>AK332+AK337+AK342+AK347</f>
      </c>
      <c r="AL348" s="184">
        <f>AL332+AL337+AL342+AL347</f>
      </c>
      <c r="AM348" s="184">
        <f>AM332+AM337+AM342+AM347</f>
      </c>
      <c r="AN348" s="184">
        <f>AN332+AN337+AN342+AN347</f>
      </c>
      <c r="AO348" s="184">
        <f>AO332+AO337+AO342+AO347</f>
      </c>
      <c r="AP348" s="184">
        <f>AP332+AP337+AP342+AP347</f>
      </c>
      <c r="AQ348" s="184">
        <f>AQ332+AQ337+AQ342+AQ347</f>
      </c>
      <c r="AR348" s="184">
        <f>AR332+AR337+AR342+AR347</f>
      </c>
      <c r="AS348" s="184">
        <f>AS332+AS337+AS342+AS347</f>
      </c>
      <c r="AT348" s="184">
        <f>AT332+AT337+AT342+AT347</f>
      </c>
      <c r="AU348" s="184">
        <f>AU332+AU337+AU342+AU347</f>
      </c>
      <c r="AV348" s="207"/>
      <c r="AW348" s="184">
        <f>AW332+AW337+AW342</f>
      </c>
      <c r="AX348" s="184">
        <f>AX332+AX337+AX342+AX347</f>
      </c>
    </row>
    <row r="349">
      <c r="A349" s="234">
        <v>46294</v>
      </c>
      <c r="B349" s="149" t="s">
        <v>188</v>
      </c>
      <c r="C349" s="149" t="s">
        <v>182</v>
      </c>
      <c r="D349" s="149" t="s">
        <v>158</v>
      </c>
      <c r="E349" s="248" t="s">
        <v>183</v>
      </c>
      <c r="F349" s="159">
        <f t="shared" ref="F349:F352" si="225">G349+H349+I349</f>
      </c>
      <c r="G349" s="152">
        <v>2455.83</v>
      </c>
      <c r="H349" s="152">
        <v>988.35</v>
      </c>
      <c r="I349" s="236">
        <v>0</v>
      </c>
      <c r="J349" s="236">
        <v>1</v>
      </c>
      <c r="K349" s="242">
        <v>1055.45</v>
      </c>
      <c r="L349" s="236">
        <v>2</v>
      </c>
      <c r="M349" s="236">
        <v>10457.490000000002</v>
      </c>
      <c r="N349" s="155">
        <v>0</v>
      </c>
      <c r="O349" s="156">
        <f t="shared" si="46"/>
      </c>
      <c r="P349" s="155">
        <v>2</v>
      </c>
      <c r="Q349" s="156">
        <f t="shared" si="236"/>
      </c>
      <c r="R349" s="244">
        <f t="shared" ref="R349:R352" si="20">J349+L349</f>
      </c>
      <c r="S349" s="237">
        <f t="shared" ref="S349:S352" si="39">K349+M349</f>
      </c>
      <c r="T349" s="159">
        <f t="shared" si="234"/>
      </c>
      <c r="U349" s="159">
        <f t="shared" si="2"/>
      </c>
      <c r="V349" s="169">
        <f t="shared" si="0"/>
      </c>
      <c r="W349" s="155">
        <v>2</v>
      </c>
      <c r="X349" s="169">
        <f t="shared" si="6"/>
      </c>
      <c r="Y349" s="169">
        <f t="shared" si="4"/>
      </c>
      <c r="Z349" s="159">
        <f t="shared" si="232"/>
      </c>
      <c r="AA349" s="159">
        <f t="shared" si="47"/>
      </c>
      <c r="AB349" s="159">
        <f t="shared" si="237"/>
      </c>
      <c r="AC349" s="156">
        <f t="shared" si="235"/>
      </c>
      <c r="AD349" s="156">
        <f t="shared" si="3"/>
      </c>
      <c r="AE349" s="156">
        <f t="shared" si="1"/>
      </c>
      <c r="AF349" s="156">
        <f t="shared" si="7"/>
      </c>
      <c r="AG349" s="156">
        <f t="shared" si="5"/>
      </c>
      <c r="AH349" s="156">
        <f t="shared" si="233"/>
      </c>
      <c r="AI349" s="156">
        <f t="shared" si="48"/>
      </c>
      <c r="AJ349" s="155">
        <v>66</v>
      </c>
      <c r="AK349" s="160">
        <v>15959</v>
      </c>
      <c r="AL349" s="160">
        <v>468</v>
      </c>
      <c r="AM349" s="160">
        <v>602</v>
      </c>
      <c r="AN349" s="160">
        <v>100</v>
      </c>
      <c r="AO349" s="149">
        <v>28</v>
      </c>
      <c r="AP349" s="149">
        <v>125</v>
      </c>
      <c r="AQ349" s="150">
        <v>100</v>
      </c>
      <c r="AR349" s="149">
        <v>3</v>
      </c>
      <c r="AS349" s="149">
        <v>11</v>
      </c>
      <c r="AT349" s="155">
        <v>5</v>
      </c>
      <c r="AU349" s="155">
        <v>0</v>
      </c>
      <c r="AV349" s="207"/>
      <c r="AW349" s="165"/>
      <c r="AX349" s="197">
        <f t="shared" ref="AX349:AX352" si="306">COUNT(AU349)</f>
      </c>
    </row>
    <row r="350">
      <c r="A350" s="234"/>
      <c r="B350" s="149" t="s">
        <v>188</v>
      </c>
      <c r="C350" s="149" t="s">
        <v>182</v>
      </c>
      <c r="D350" s="149" t="s">
        <v>158</v>
      </c>
      <c r="E350" s="248" t="s">
        <v>184</v>
      </c>
      <c r="F350" s="159">
        <f t="shared" si="225"/>
      </c>
      <c r="G350" s="152">
        <v>2852.04</v>
      </c>
      <c r="H350" s="152">
        <v>1544.13</v>
      </c>
      <c r="I350" s="236">
        <v>0</v>
      </c>
      <c r="J350" s="236">
        <v>2</v>
      </c>
      <c r="K350" s="236">
        <v>5354.2</v>
      </c>
      <c r="L350" s="236">
        <v>7</v>
      </c>
      <c r="M350" s="236">
        <v>19251.3</v>
      </c>
      <c r="N350" s="155">
        <v>2</v>
      </c>
      <c r="O350" s="156">
        <f t="shared" si="46"/>
      </c>
      <c r="P350" s="155">
        <v>0</v>
      </c>
      <c r="Q350" s="156">
        <f t="shared" si="236"/>
      </c>
      <c r="R350" s="244">
        <f t="shared" si="20"/>
      </c>
      <c r="S350" s="237">
        <f t="shared" si="39"/>
      </c>
      <c r="T350" s="159">
        <f t="shared" si="234"/>
      </c>
      <c r="U350" s="159">
        <f t="shared" si="2"/>
      </c>
      <c r="V350" s="169">
        <f t="shared" si="0"/>
      </c>
      <c r="W350" s="155">
        <v>7</v>
      </c>
      <c r="X350" s="169">
        <f t="shared" si="6"/>
      </c>
      <c r="Y350" s="169">
        <f t="shared" si="4"/>
      </c>
      <c r="Z350" s="159">
        <f t="shared" si="232"/>
      </c>
      <c r="AA350" s="159">
        <f t="shared" si="47"/>
      </c>
      <c r="AB350" s="159">
        <f t="shared" si="237"/>
      </c>
      <c r="AC350" s="156">
        <f t="shared" si="235"/>
      </c>
      <c r="AD350" s="156">
        <f t="shared" si="3"/>
      </c>
      <c r="AE350" s="156">
        <f t="shared" si="1"/>
      </c>
      <c r="AF350" s="156">
        <f t="shared" si="7"/>
      </c>
      <c r="AG350" s="156">
        <f t="shared" si="5"/>
      </c>
      <c r="AH350" s="156">
        <f t="shared" si="233"/>
      </c>
      <c r="AI350" s="156">
        <f t="shared" si="48"/>
      </c>
      <c r="AJ350" s="155">
        <v>71</v>
      </c>
      <c r="AK350" s="160">
        <v>21820</v>
      </c>
      <c r="AL350" s="160">
        <v>517</v>
      </c>
      <c r="AM350" s="160">
        <v>652</v>
      </c>
      <c r="AN350" s="160">
        <v>117</v>
      </c>
      <c r="AO350" s="149">
        <v>44</v>
      </c>
      <c r="AP350" s="160">
        <v>118</v>
      </c>
      <c r="AQ350" s="150">
        <v>122</v>
      </c>
      <c r="AR350" s="149">
        <v>10</v>
      </c>
      <c r="AS350" s="155">
        <v>5</v>
      </c>
      <c r="AT350" s="155">
        <v>6</v>
      </c>
      <c r="AU350" s="155">
        <v>1</v>
      </c>
      <c r="AV350" s="207"/>
      <c r="AW350" s="165"/>
      <c r="AX350" s="197">
        <f t="shared" si="306"/>
      </c>
    </row>
    <row r="351">
      <c r="A351" s="234"/>
      <c r="B351" s="149" t="s">
        <v>188</v>
      </c>
      <c r="C351" s="149" t="s">
        <v>182</v>
      </c>
      <c r="D351" s="149" t="s">
        <v>158</v>
      </c>
      <c r="E351" s="248" t="s">
        <v>185</v>
      </c>
      <c r="F351" s="159">
        <f t="shared" si="225"/>
      </c>
      <c r="G351" s="152">
        <v>2810.61</v>
      </c>
      <c r="H351" s="152">
        <v>1751.89</v>
      </c>
      <c r="I351" s="236">
        <v>0</v>
      </c>
      <c r="J351" s="236">
        <v>2</v>
      </c>
      <c r="K351" s="236">
        <v>4629.319999999998</v>
      </c>
      <c r="L351" s="236">
        <v>2</v>
      </c>
      <c r="M351" s="236">
        <v>8589.900000000001</v>
      </c>
      <c r="N351" s="155">
        <v>0</v>
      </c>
      <c r="O351" s="156">
        <f t="shared" si="46"/>
      </c>
      <c r="P351" s="155">
        <v>3</v>
      </c>
      <c r="Q351" s="156">
        <f t="shared" si="236"/>
      </c>
      <c r="R351" s="244">
        <f t="shared" si="20"/>
      </c>
      <c r="S351" s="237">
        <f t="shared" si="39"/>
      </c>
      <c r="T351" s="159">
        <f t="shared" si="234"/>
      </c>
      <c r="U351" s="159">
        <f t="shared" si="2"/>
      </c>
      <c r="V351" s="169">
        <f t="shared" si="0"/>
      </c>
      <c r="W351" s="155">
        <v>1</v>
      </c>
      <c r="X351" s="169">
        <f t="shared" si="6"/>
      </c>
      <c r="Y351" s="169">
        <f t="shared" si="4"/>
      </c>
      <c r="Z351" s="159">
        <f t="shared" si="232"/>
      </c>
      <c r="AA351" s="159">
        <f t="shared" si="47"/>
      </c>
      <c r="AB351" s="159">
        <f t="shared" si="237"/>
      </c>
      <c r="AC351" s="156">
        <f t="shared" si="235"/>
      </c>
      <c r="AD351" s="156">
        <f t="shared" si="3"/>
      </c>
      <c r="AE351" s="156">
        <f t="shared" si="1"/>
      </c>
      <c r="AF351" s="156">
        <f t="shared" si="7"/>
      </c>
      <c r="AG351" s="156">
        <f t="shared" si="5"/>
      </c>
      <c r="AH351" s="156">
        <f t="shared" si="233"/>
      </c>
      <c r="AI351" s="156">
        <f t="shared" si="48"/>
      </c>
      <c r="AJ351" s="155">
        <v>73</v>
      </c>
      <c r="AK351" s="160">
        <v>22800</v>
      </c>
      <c r="AL351" s="160">
        <v>555</v>
      </c>
      <c r="AM351" s="160">
        <v>693</v>
      </c>
      <c r="AN351" s="160">
        <v>130</v>
      </c>
      <c r="AO351" s="149">
        <v>39</v>
      </c>
      <c r="AP351" s="160">
        <v>110</v>
      </c>
      <c r="AQ351" s="150">
        <v>137</v>
      </c>
      <c r="AR351" s="149">
        <v>4</v>
      </c>
      <c r="AS351" s="155">
        <v>10</v>
      </c>
      <c r="AT351" s="155">
        <v>3</v>
      </c>
      <c r="AU351" s="155">
        <v>5</v>
      </c>
      <c r="AV351" s="207"/>
      <c r="AW351" s="165"/>
      <c r="AX351" s="197">
        <f t="shared" si="306"/>
      </c>
    </row>
    <row r="352">
      <c r="A352" s="234"/>
      <c r="B352" s="149" t="s">
        <v>188</v>
      </c>
      <c r="C352" s="149" t="s">
        <v>182</v>
      </c>
      <c r="D352" s="149" t="s">
        <v>158</v>
      </c>
      <c r="E352" s="149" t="s">
        <v>186</v>
      </c>
      <c r="F352" s="159">
        <f t="shared" si="225"/>
      </c>
      <c r="G352" s="152">
        <v>5254.14</v>
      </c>
      <c r="H352" s="152">
        <v>3550.06</v>
      </c>
      <c r="I352" s="236">
        <v>0</v>
      </c>
      <c r="J352" s="236">
        <v>2</v>
      </c>
      <c r="K352" s="236">
        <v>9582.310000000001</v>
      </c>
      <c r="L352" s="236">
        <v>8</v>
      </c>
      <c r="M352" s="236">
        <v>23664.800000000003</v>
      </c>
      <c r="N352" s="155">
        <v>0</v>
      </c>
      <c r="O352" s="156">
        <f t="shared" si="46"/>
      </c>
      <c r="P352" s="155">
        <v>5</v>
      </c>
      <c r="Q352" s="156">
        <f t="shared" si="236"/>
      </c>
      <c r="R352" s="244">
        <f t="shared" si="20"/>
      </c>
      <c r="S352" s="237">
        <f t="shared" si="39"/>
      </c>
      <c r="T352" s="159">
        <f t="shared" si="234"/>
      </c>
      <c r="U352" s="159">
        <f t="shared" si="2"/>
      </c>
      <c r="V352" s="169">
        <f t="shared" si="0"/>
      </c>
      <c r="W352" s="155">
        <v>8</v>
      </c>
      <c r="X352" s="169">
        <f t="shared" si="6"/>
      </c>
      <c r="Y352" s="169">
        <f t="shared" si="4"/>
      </c>
      <c r="Z352" s="159">
        <f t="shared" si="232"/>
      </c>
      <c r="AA352" s="159">
        <f t="shared" si="47"/>
      </c>
      <c r="AB352" s="159">
        <f t="shared" si="237"/>
      </c>
      <c r="AC352" s="156">
        <f t="shared" si="235"/>
      </c>
      <c r="AD352" s="156">
        <f t="shared" si="3"/>
      </c>
      <c r="AE352" s="156">
        <f t="shared" si="1"/>
      </c>
      <c r="AF352" s="156">
        <f t="shared" si="7"/>
      </c>
      <c r="AG352" s="156">
        <f t="shared" si="5"/>
      </c>
      <c r="AH352" s="156">
        <f t="shared" si="233"/>
      </c>
      <c r="AI352" s="156">
        <f t="shared" si="48"/>
      </c>
      <c r="AJ352" s="155">
        <v>62</v>
      </c>
      <c r="AK352" s="160">
        <v>42768</v>
      </c>
      <c r="AL352" s="160">
        <v>1181</v>
      </c>
      <c r="AM352" s="160">
        <v>1519</v>
      </c>
      <c r="AN352" s="160">
        <v>174</v>
      </c>
      <c r="AO352" s="149">
        <v>53</v>
      </c>
      <c r="AP352" s="155">
        <v>172</v>
      </c>
      <c r="AQ352" s="149">
        <v>192</v>
      </c>
      <c r="AR352" s="149">
        <v>10</v>
      </c>
      <c r="AS352" s="155">
        <v>20</v>
      </c>
      <c r="AT352" s="155">
        <v>3</v>
      </c>
      <c r="AU352" s="155">
        <v>4</v>
      </c>
      <c r="AV352" s="207"/>
      <c r="AW352" s="165"/>
      <c r="AX352" s="197">
        <f t="shared" si="306"/>
      </c>
    </row>
    <row r="353">
      <c r="A353" s="234"/>
      <c r="B353" s="171" t="s">
        <v>162</v>
      </c>
      <c r="C353" s="171"/>
      <c r="D353" s="171"/>
      <c r="E353" s="171"/>
      <c r="F353" s="173">
        <f>SUM(F349:F352)</f>
      </c>
      <c r="G353" s="173">
        <f>SUM(G349:G352)</f>
      </c>
      <c r="H353" s="173">
        <f>SUM(H349:H352)</f>
      </c>
      <c r="I353" s="173">
        <f>SUM(I349:I352)</f>
      </c>
      <c r="J353" s="173">
        <f>SUM(J349:J352)</f>
      </c>
      <c r="K353" s="173">
        <f>SUM(K349:K352)</f>
      </c>
      <c r="L353" s="173">
        <f>SUM(L349:L352)</f>
      </c>
      <c r="M353" s="173">
        <f>SUM(M349:M352)</f>
      </c>
      <c r="N353" s="173">
        <f>SUM(N349:N352)</f>
      </c>
      <c r="O353" s="175">
        <f t="shared" si="46"/>
      </c>
      <c r="P353" s="173">
        <f>SUM(P349:P352)</f>
      </c>
      <c r="Q353" s="175">
        <f t="shared" si="236"/>
      </c>
      <c r="R353" s="178">
        <f>SUM(R349:R352)</f>
      </c>
      <c r="S353" s="173">
        <f>SUM(S349:S352)</f>
      </c>
      <c r="T353" s="173">
        <f t="shared" si="234"/>
      </c>
      <c r="U353" s="173">
        <f t="shared" si="2"/>
      </c>
      <c r="V353" s="173">
        <f t="shared" si="0"/>
      </c>
      <c r="W353" s="173">
        <f>SUM(W349:W352)</f>
      </c>
      <c r="X353" s="194">
        <f t="shared" si="6"/>
      </c>
      <c r="Y353" s="194">
        <f t="shared" si="4"/>
      </c>
      <c r="Z353" s="173">
        <f t="shared" si="232"/>
      </c>
      <c r="AA353" s="173">
        <f t="shared" si="47"/>
      </c>
      <c r="AB353" s="238">
        <f t="shared" si="237"/>
      </c>
      <c r="AC353" s="175">
        <f t="shared" si="235"/>
      </c>
      <c r="AD353" s="175">
        <f t="shared" si="3"/>
      </c>
      <c r="AE353" s="175">
        <f t="shared" si="1"/>
      </c>
      <c r="AF353" s="175">
        <f t="shared" si="7"/>
      </c>
      <c r="AG353" s="175">
        <f t="shared" si="5"/>
      </c>
      <c r="AH353" s="175">
        <f t="shared" si="233"/>
      </c>
      <c r="AI353" s="175">
        <f t="shared" si="48"/>
      </c>
      <c r="AJ353" s="178">
        <f>AVERAGE(AJ349:AJ352)</f>
      </c>
      <c r="AK353" s="173">
        <f>SUM(AK349:AK352)</f>
      </c>
      <c r="AL353" s="173">
        <f>SUM(AL349:AL352)</f>
      </c>
      <c r="AM353" s="173">
        <f>SUM(AM349:AM352)</f>
      </c>
      <c r="AN353" s="173">
        <f>SUM(AN349:AN352)</f>
      </c>
      <c r="AO353" s="173">
        <f>SUM(AO349:AO352)</f>
      </c>
      <c r="AP353" s="173">
        <f>SUM(AP349:AP352)</f>
      </c>
      <c r="AQ353" s="173">
        <f>SUM(AQ349:AQ352)</f>
      </c>
      <c r="AR353" s="173">
        <f>SUM(AR349:AR352)</f>
      </c>
      <c r="AS353" s="173">
        <f>SUM(AS349:AS352)</f>
      </c>
      <c r="AT353" s="173">
        <f>SUM(AT349:AT352)</f>
      </c>
      <c r="AU353" s="173">
        <f>SUM(AU349:AU352)</f>
      </c>
      <c r="AV353" s="207"/>
      <c r="AW353" s="180"/>
      <c r="AX353" s="181">
        <f>SUM(AX349:AX352)</f>
      </c>
    </row>
    <row r="354">
      <c r="A354" s="234"/>
      <c r="B354" s="149" t="s">
        <v>188</v>
      </c>
      <c r="C354" s="149" t="s">
        <v>182</v>
      </c>
      <c r="D354" s="149" t="s">
        <v>163</v>
      </c>
      <c r="E354" s="150" t="s">
        <v>175</v>
      </c>
      <c r="F354" s="159">
        <f t="shared" ref="F354:F357" si="226">G354+H354+I354</f>
      </c>
      <c r="G354" s="152">
        <v>4893.33</v>
      </c>
      <c r="H354" s="152">
        <v>5352.46</v>
      </c>
      <c r="I354" s="236">
        <v>0</v>
      </c>
      <c r="J354" s="236">
        <v>2</v>
      </c>
      <c r="K354" s="236">
        <v>2743.970000000001</v>
      </c>
      <c r="L354" s="236">
        <v>6</v>
      </c>
      <c r="M354" s="236">
        <v>17195.009999999995</v>
      </c>
      <c r="N354" s="155">
        <v>3</v>
      </c>
      <c r="O354" s="156">
        <f t="shared" si="46"/>
      </c>
      <c r="P354" s="155">
        <v>2</v>
      </c>
      <c r="Q354" s="156">
        <f t="shared" si="236"/>
      </c>
      <c r="R354" s="244">
        <f t="shared" ref="R354:R357" si="21">J354+L354</f>
      </c>
      <c r="S354" s="237">
        <f t="shared" ref="S354:S357" si="40">K354+M354</f>
      </c>
      <c r="T354" s="159">
        <f t="shared" si="234"/>
      </c>
      <c r="U354" s="159">
        <f t="shared" si="2"/>
      </c>
      <c r="V354" s="169">
        <f t="shared" si="0"/>
      </c>
      <c r="W354" s="155">
        <v>7</v>
      </c>
      <c r="X354" s="169">
        <f t="shared" si="6"/>
      </c>
      <c r="Y354" s="169">
        <f t="shared" si="4"/>
      </c>
      <c r="Z354" s="159">
        <f t="shared" si="232"/>
      </c>
      <c r="AA354" s="159">
        <f t="shared" si="47"/>
      </c>
      <c r="AB354" s="159">
        <f t="shared" si="237"/>
      </c>
      <c r="AC354" s="156">
        <f t="shared" si="235"/>
      </c>
      <c r="AD354" s="156">
        <f t="shared" si="3"/>
      </c>
      <c r="AE354" s="156">
        <f t="shared" si="1"/>
      </c>
      <c r="AF354" s="156">
        <f t="shared" si="7"/>
      </c>
      <c r="AG354" s="156">
        <f t="shared" si="5"/>
      </c>
      <c r="AH354" s="156">
        <f t="shared" si="233"/>
      </c>
      <c r="AI354" s="156">
        <f t="shared" si="48"/>
      </c>
      <c r="AJ354" s="155">
        <v>67</v>
      </c>
      <c r="AK354" s="160">
        <v>51364</v>
      </c>
      <c r="AL354" s="160">
        <v>1233</v>
      </c>
      <c r="AM354" s="160">
        <v>1685</v>
      </c>
      <c r="AN354" s="160">
        <v>244</v>
      </c>
      <c r="AO354" s="149">
        <v>63</v>
      </c>
      <c r="AP354" s="160">
        <v>210</v>
      </c>
      <c r="AQ354" s="150">
        <v>287</v>
      </c>
      <c r="AR354" s="149">
        <v>11</v>
      </c>
      <c r="AS354" s="149">
        <v>28</v>
      </c>
      <c r="AT354" s="155">
        <v>4</v>
      </c>
      <c r="AU354" s="155">
        <v>24</v>
      </c>
      <c r="AV354" s="207"/>
      <c r="AW354" s="165"/>
      <c r="AX354" s="197">
        <f t="shared" ref="AX354:AX357" si="307">COUNT(AU354)</f>
      </c>
    </row>
    <row r="355">
      <c r="A355" s="234"/>
      <c r="B355" s="149" t="s">
        <v>188</v>
      </c>
      <c r="C355" s="149" t="s">
        <v>182</v>
      </c>
      <c r="D355" s="149" t="s">
        <v>163</v>
      </c>
      <c r="E355" s="150" t="s">
        <v>176</v>
      </c>
      <c r="F355" s="159">
        <f t="shared" si="226"/>
      </c>
      <c r="G355" s="152">
        <v>4467.48</v>
      </c>
      <c r="H355" s="152">
        <v>4973.8</v>
      </c>
      <c r="I355" s="236">
        <v>0</v>
      </c>
      <c r="J355" s="236">
        <v>4</v>
      </c>
      <c r="K355" s="236">
        <v>6007.579999999998</v>
      </c>
      <c r="L355" s="236">
        <v>5</v>
      </c>
      <c r="M355" s="236">
        <v>11123.350000000006</v>
      </c>
      <c r="N355" s="155">
        <v>2</v>
      </c>
      <c r="O355" s="156">
        <f t="shared" si="46"/>
      </c>
      <c r="P355" s="155">
        <v>2</v>
      </c>
      <c r="Q355" s="156">
        <f t="shared" si="236"/>
      </c>
      <c r="R355" s="244">
        <f t="shared" si="21"/>
      </c>
      <c r="S355" s="237">
        <f t="shared" si="40"/>
      </c>
      <c r="T355" s="159">
        <f t="shared" si="234"/>
      </c>
      <c r="U355" s="159">
        <f t="shared" si="2"/>
      </c>
      <c r="V355" s="169">
        <f t="shared" si="0"/>
      </c>
      <c r="W355" s="155">
        <v>7</v>
      </c>
      <c r="X355" s="169">
        <f t="shared" si="6"/>
      </c>
      <c r="Y355" s="169">
        <f t="shared" si="4"/>
      </c>
      <c r="Z355" s="159">
        <f t="shared" si="232"/>
      </c>
      <c r="AA355" s="159">
        <f t="shared" si="47"/>
      </c>
      <c r="AB355" s="159">
        <f t="shared" si="237"/>
      </c>
      <c r="AC355" s="156">
        <f t="shared" si="235"/>
      </c>
      <c r="AD355" s="156">
        <f t="shared" si="3"/>
      </c>
      <c r="AE355" s="156">
        <f t="shared" si="1"/>
      </c>
      <c r="AF355" s="156">
        <f t="shared" si="7"/>
      </c>
      <c r="AG355" s="156">
        <f t="shared" si="5"/>
      </c>
      <c r="AH355" s="156">
        <f t="shared" si="233"/>
      </c>
      <c r="AI355" s="156">
        <f t="shared" si="48"/>
      </c>
      <c r="AJ355" s="155">
        <v>67</v>
      </c>
      <c r="AK355" s="160">
        <v>46585</v>
      </c>
      <c r="AL355" s="160">
        <v>1026</v>
      </c>
      <c r="AM355" s="160">
        <v>1334</v>
      </c>
      <c r="AN355" s="160">
        <v>201</v>
      </c>
      <c r="AO355" s="149">
        <v>61</v>
      </c>
      <c r="AP355" s="160">
        <v>157</v>
      </c>
      <c r="AQ355" s="150">
        <v>209</v>
      </c>
      <c r="AR355" s="149">
        <v>9</v>
      </c>
      <c r="AS355" s="149">
        <v>10</v>
      </c>
      <c r="AT355" s="155">
        <v>3</v>
      </c>
      <c r="AU355" s="155">
        <v>24</v>
      </c>
      <c r="AV355" s="207"/>
      <c r="AW355" s="165"/>
      <c r="AX355" s="197">
        <f t="shared" si="307"/>
      </c>
    </row>
    <row r="356">
      <c r="A356" s="234"/>
      <c r="B356" s="149" t="s">
        <v>188</v>
      </c>
      <c r="C356" s="149" t="s">
        <v>182</v>
      </c>
      <c r="D356" s="149" t="s">
        <v>163</v>
      </c>
      <c r="E356" s="150" t="s">
        <v>177</v>
      </c>
      <c r="F356" s="159">
        <f t="shared" si="226"/>
      </c>
      <c r="G356" s="152">
        <v>2766.86</v>
      </c>
      <c r="H356" s="152">
        <v>4787.27</v>
      </c>
      <c r="I356" s="236">
        <v>0</v>
      </c>
      <c r="J356" s="236">
        <v>2</v>
      </c>
      <c r="K356" s="236">
        <v>1623.329999999998</v>
      </c>
      <c r="L356" s="236">
        <v>3</v>
      </c>
      <c r="M356" s="236">
        <v>10283.449999999997</v>
      </c>
      <c r="N356" s="155">
        <v>1</v>
      </c>
      <c r="O356" s="156">
        <f t="shared" si="46"/>
      </c>
      <c r="P356" s="155">
        <v>0</v>
      </c>
      <c r="Q356" s="156">
        <f t="shared" si="236"/>
      </c>
      <c r="R356" s="244">
        <f t="shared" si="21"/>
      </c>
      <c r="S356" s="237">
        <f t="shared" si="40"/>
      </c>
      <c r="T356" s="159">
        <f t="shared" si="234"/>
      </c>
      <c r="U356" s="159">
        <f t="shared" si="2"/>
      </c>
      <c r="V356" s="169">
        <f t="shared" si="0"/>
      </c>
      <c r="W356" s="155">
        <v>4</v>
      </c>
      <c r="X356" s="169">
        <f t="shared" si="6"/>
      </c>
      <c r="Y356" s="169">
        <f t="shared" si="4"/>
      </c>
      <c r="Z356" s="159">
        <f t="shared" si="232"/>
      </c>
      <c r="AA356" s="159">
        <f t="shared" si="47"/>
      </c>
      <c r="AB356" s="159">
        <f t="shared" si="237"/>
      </c>
      <c r="AC356" s="156">
        <f t="shared" si="235"/>
      </c>
      <c r="AD356" s="156">
        <f t="shared" si="3"/>
      </c>
      <c r="AE356" s="156">
        <f t="shared" si="1"/>
      </c>
      <c r="AF356" s="156">
        <f t="shared" si="7"/>
      </c>
      <c r="AG356" s="156">
        <f t="shared" si="5"/>
      </c>
      <c r="AH356" s="156">
        <f t="shared" si="233"/>
      </c>
      <c r="AI356" s="156">
        <f t="shared" si="48"/>
      </c>
      <c r="AJ356" s="155">
        <v>66</v>
      </c>
      <c r="AK356" s="160">
        <v>39805</v>
      </c>
      <c r="AL356" s="160">
        <v>800</v>
      </c>
      <c r="AM356" s="160">
        <v>1089</v>
      </c>
      <c r="AN356" s="160">
        <v>195</v>
      </c>
      <c r="AO356" s="149">
        <v>42</v>
      </c>
      <c r="AP356" s="160">
        <v>111</v>
      </c>
      <c r="AQ356" s="150">
        <v>193</v>
      </c>
      <c r="AR356" s="149">
        <v>6</v>
      </c>
      <c r="AS356" s="155">
        <v>13</v>
      </c>
      <c r="AT356" s="155">
        <v>1</v>
      </c>
      <c r="AU356" s="155">
        <v>15</v>
      </c>
      <c r="AV356" s="207"/>
      <c r="AW356" s="165"/>
      <c r="AX356" s="197">
        <f t="shared" si="307"/>
      </c>
    </row>
    <row r="357">
      <c r="A357" s="234"/>
      <c r="B357" s="149" t="s">
        <v>156</v>
      </c>
      <c r="C357" s="150" t="s">
        <v>157</v>
      </c>
      <c r="D357" s="149" t="s">
        <v>163</v>
      </c>
      <c r="E357" s="150" t="s">
        <v>178</v>
      </c>
      <c r="F357" s="159">
        <f t="shared" si="226"/>
      </c>
      <c r="G357" s="152">
        <v>1474.9</v>
      </c>
      <c r="H357" s="152">
        <v>3603.43</v>
      </c>
      <c r="I357" s="236">
        <v>0</v>
      </c>
      <c r="J357" s="236">
        <v>0</v>
      </c>
      <c r="K357" s="236">
        <v>0</v>
      </c>
      <c r="L357" s="236">
        <v>2</v>
      </c>
      <c r="M357" s="236">
        <v>3405.75</v>
      </c>
      <c r="N357" s="155">
        <v>0</v>
      </c>
      <c r="O357" s="156">
        <f t="shared" si="46"/>
      </c>
      <c r="P357" s="155">
        <v>0</v>
      </c>
      <c r="Q357" s="156">
        <f t="shared" si="236"/>
      </c>
      <c r="R357" s="244">
        <f t="shared" si="21"/>
      </c>
      <c r="S357" s="237">
        <f t="shared" si="40"/>
      </c>
      <c r="T357" s="159">
        <f t="shared" si="234"/>
      </c>
      <c r="U357" s="159">
        <f t="shared" si="2"/>
      </c>
      <c r="V357" s="169">
        <f t="shared" si="0"/>
      </c>
      <c r="W357" s="155">
        <v>2</v>
      </c>
      <c r="X357" s="169">
        <f t="shared" si="6"/>
      </c>
      <c r="Y357" s="169">
        <f t="shared" si="4"/>
      </c>
      <c r="Z357" s="159">
        <f t="shared" si="232"/>
      </c>
      <c r="AA357" s="159">
        <f t="shared" si="47"/>
      </c>
      <c r="AB357" s="159">
        <f t="shared" si="237"/>
      </c>
      <c r="AC357" s="156">
        <f t="shared" si="235"/>
      </c>
      <c r="AD357" s="156">
        <f t="shared" si="3"/>
      </c>
      <c r="AE357" s="156">
        <f t="shared" si="1"/>
      </c>
      <c r="AF357" s="156">
        <f t="shared" si="7"/>
      </c>
      <c r="AG357" s="156">
        <f t="shared" si="5"/>
      </c>
      <c r="AH357" s="156">
        <f t="shared" si="233"/>
      </c>
      <c r="AI357" s="156">
        <f t="shared" si="48"/>
      </c>
      <c r="AJ357" s="155">
        <v>67</v>
      </c>
      <c r="AK357" s="160">
        <v>23965</v>
      </c>
      <c r="AL357" s="160">
        <v>488</v>
      </c>
      <c r="AM357" s="160">
        <v>607</v>
      </c>
      <c r="AN357" s="160">
        <v>122</v>
      </c>
      <c r="AO357" s="149">
        <v>35</v>
      </c>
      <c r="AP357" s="155">
        <v>108</v>
      </c>
      <c r="AQ357" s="149">
        <v>104</v>
      </c>
      <c r="AR357" s="149">
        <v>2</v>
      </c>
      <c r="AS357" s="155">
        <v>11</v>
      </c>
      <c r="AT357" s="155">
        <v>0</v>
      </c>
      <c r="AU357" s="155">
        <v>7</v>
      </c>
      <c r="AV357" s="207"/>
      <c r="AW357" s="165"/>
      <c r="AX357" s="197">
        <f t="shared" si="307"/>
      </c>
    </row>
    <row r="358">
      <c r="A358" s="234"/>
      <c r="B358" s="171" t="s">
        <v>162</v>
      </c>
      <c r="C358" s="171"/>
      <c r="D358" s="171"/>
      <c r="E358" s="171"/>
      <c r="F358" s="173">
        <f>SUM(F354:F357)</f>
      </c>
      <c r="G358" s="173">
        <f>SUM(G354:G357)</f>
      </c>
      <c r="H358" s="173">
        <f>SUM(H354:H357)</f>
      </c>
      <c r="I358" s="173">
        <f>SUM(I354:I357)</f>
      </c>
      <c r="J358" s="173">
        <f>SUM(J354:J357)</f>
      </c>
      <c r="K358" s="173">
        <f>SUM(K354:K357)</f>
      </c>
      <c r="L358" s="173">
        <f>SUM(L354:L357)</f>
      </c>
      <c r="M358" s="173">
        <f>SUM(M354:M357)</f>
      </c>
      <c r="N358" s="173">
        <f>SUM(N354:N357)</f>
      </c>
      <c r="O358" s="175">
        <f t="shared" si="46"/>
      </c>
      <c r="P358" s="173">
        <f>SUM(P354:P357)</f>
      </c>
      <c r="Q358" s="175">
        <f t="shared" si="236"/>
      </c>
      <c r="R358" s="178">
        <f>SUM(R354:R357)</f>
      </c>
      <c r="S358" s="173">
        <f>SUM(S354:S357)</f>
      </c>
      <c r="T358" s="173">
        <f t="shared" si="234"/>
      </c>
      <c r="U358" s="173">
        <f t="shared" si="2"/>
      </c>
      <c r="V358" s="194">
        <f t="shared" si="0"/>
      </c>
      <c r="W358" s="173">
        <f>SUM(W354:W357)</f>
      </c>
      <c r="X358" s="194">
        <f t="shared" si="6"/>
      </c>
      <c r="Y358" s="194">
        <f t="shared" si="4"/>
      </c>
      <c r="Z358" s="173">
        <f t="shared" si="232"/>
      </c>
      <c r="AA358" s="173">
        <f t="shared" si="47"/>
      </c>
      <c r="AB358" s="238">
        <f t="shared" si="237"/>
      </c>
      <c r="AC358" s="175">
        <f t="shared" si="235"/>
      </c>
      <c r="AD358" s="175">
        <f t="shared" si="3"/>
      </c>
      <c r="AE358" s="175">
        <f t="shared" si="1"/>
      </c>
      <c r="AF358" s="239">
        <f t="shared" si="7"/>
      </c>
      <c r="AG358" s="175">
        <f t="shared" si="5"/>
      </c>
      <c r="AH358" s="175">
        <f t="shared" si="233"/>
      </c>
      <c r="AI358" s="175">
        <f t="shared" si="48"/>
      </c>
      <c r="AJ358" s="178">
        <f>AVERAGE(AJ354:AJ357)</f>
      </c>
      <c r="AK358" s="173">
        <f>SUM(AK354:AK357)</f>
      </c>
      <c r="AL358" s="173">
        <f>SUM(AL354:AL357)</f>
      </c>
      <c r="AM358" s="173">
        <f>SUM(AM354:AM357)</f>
      </c>
      <c r="AN358" s="173">
        <f>SUM(AN354:AN357)</f>
      </c>
      <c r="AO358" s="173">
        <f>SUM(AO354:AO357)</f>
      </c>
      <c r="AP358" s="173">
        <f>SUM(AP354:AP357)</f>
      </c>
      <c r="AQ358" s="173">
        <f>SUM(AQ354:AQ357)</f>
      </c>
      <c r="AR358" s="173">
        <f>SUM(AR354:AR357)</f>
      </c>
      <c r="AS358" s="173">
        <f>SUM(AS354:AS357)</f>
      </c>
      <c r="AT358" s="173">
        <f>SUM(AT354:AT357)</f>
      </c>
      <c r="AU358" s="173">
        <f>SUM(AU354:AU357)</f>
      </c>
      <c r="AV358" s="207"/>
      <c r="AW358" s="180"/>
      <c r="AX358" s="181">
        <f>SUM(AX354:AX357)</f>
      </c>
    </row>
    <row r="359">
      <c r="A359" s="234"/>
      <c r="B359" s="149" t="s">
        <v>156</v>
      </c>
      <c r="C359" s="150" t="s">
        <v>157</v>
      </c>
      <c r="D359" s="149" t="s">
        <v>180</v>
      </c>
      <c r="E359" s="150" t="s">
        <v>159</v>
      </c>
      <c r="F359" s="159">
        <f t="shared" ref="F359:F362" si="227">G359+H359+I359</f>
      </c>
      <c r="G359" s="152">
        <v>1569.84</v>
      </c>
      <c r="H359" s="152">
        <v>1940.23</v>
      </c>
      <c r="I359" s="236">
        <v>0</v>
      </c>
      <c r="J359" s="236">
        <v>2</v>
      </c>
      <c r="K359" s="236">
        <v>2301.449999999997</v>
      </c>
      <c r="L359" s="236">
        <v>1</v>
      </c>
      <c r="M359" s="236">
        <v>1217.8999999999942</v>
      </c>
      <c r="N359" s="155">
        <v>0</v>
      </c>
      <c r="O359" s="156">
        <f t="shared" si="46"/>
      </c>
      <c r="P359" s="155">
        <v>0</v>
      </c>
      <c r="Q359" s="156">
        <f t="shared" si="236"/>
      </c>
      <c r="R359" s="244">
        <f t="shared" ref="R359:R362" si="22">J359+L359</f>
      </c>
      <c r="S359" s="237">
        <f t="shared" ref="S359:S362" si="41">K359+M359</f>
      </c>
      <c r="T359" s="159">
        <f t="shared" si="234"/>
      </c>
      <c r="U359" s="159">
        <f t="shared" si="2"/>
      </c>
      <c r="V359" s="169">
        <f t="shared" si="0"/>
      </c>
      <c r="W359" s="155">
        <v>3</v>
      </c>
      <c r="X359" s="169">
        <f t="shared" si="6"/>
      </c>
      <c r="Y359" s="169">
        <f t="shared" si="4"/>
      </c>
      <c r="Z359" s="159">
        <f t="shared" si="232"/>
      </c>
      <c r="AA359" s="159">
        <f t="shared" si="47"/>
      </c>
      <c r="AB359" s="159">
        <f t="shared" si="237"/>
      </c>
      <c r="AC359" s="156">
        <f t="shared" si="235"/>
      </c>
      <c r="AD359" s="156">
        <f t="shared" si="3"/>
      </c>
      <c r="AE359" s="156">
        <f t="shared" si="1"/>
      </c>
      <c r="AF359" s="156">
        <f t="shared" si="7"/>
      </c>
      <c r="AG359" s="156">
        <f t="shared" si="5"/>
      </c>
      <c r="AH359" s="156">
        <f t="shared" si="233"/>
      </c>
      <c r="AI359" s="156">
        <f t="shared" si="48"/>
      </c>
      <c r="AJ359" s="155">
        <v>67</v>
      </c>
      <c r="AK359" s="160">
        <v>16407</v>
      </c>
      <c r="AL359" s="160">
        <v>378</v>
      </c>
      <c r="AM359" s="160">
        <v>471</v>
      </c>
      <c r="AN359" s="160">
        <v>79</v>
      </c>
      <c r="AO359" s="149">
        <v>30</v>
      </c>
      <c r="AP359" s="160">
        <v>90</v>
      </c>
      <c r="AQ359" s="150">
        <v>84</v>
      </c>
      <c r="AR359" s="149">
        <v>3</v>
      </c>
      <c r="AS359" s="149">
        <v>8</v>
      </c>
      <c r="AT359" s="155">
        <v>3</v>
      </c>
      <c r="AU359" s="155">
        <v>6</v>
      </c>
      <c r="AV359" s="207"/>
      <c r="AW359" s="165"/>
      <c r="AX359" s="197">
        <f t="shared" ref="AX359:AX362" si="308">COUNT(AU359)</f>
      </c>
    </row>
    <row r="360">
      <c r="A360" s="234"/>
      <c r="B360" s="149" t="s">
        <v>156</v>
      </c>
      <c r="C360" s="150" t="s">
        <v>157</v>
      </c>
      <c r="D360" s="149" t="s">
        <v>180</v>
      </c>
      <c r="E360" s="150" t="s">
        <v>160</v>
      </c>
      <c r="F360" s="159">
        <f t="shared" si="227"/>
      </c>
      <c r="G360" s="152">
        <v>1847.32</v>
      </c>
      <c r="H360" s="152">
        <v>2144.22</v>
      </c>
      <c r="I360" s="236">
        <v>0</v>
      </c>
      <c r="J360" s="236">
        <v>0</v>
      </c>
      <c r="K360" s="236">
        <v>0</v>
      </c>
      <c r="L360" s="236">
        <v>1</v>
      </c>
      <c r="M360" s="236">
        <v>2141</v>
      </c>
      <c r="N360" s="155">
        <v>0</v>
      </c>
      <c r="O360" s="156">
        <f t="shared" si="46"/>
      </c>
      <c r="P360" s="155">
        <v>0</v>
      </c>
      <c r="Q360" s="156">
        <f t="shared" si="236"/>
      </c>
      <c r="R360" s="244">
        <f t="shared" si="22"/>
      </c>
      <c r="S360" s="237">
        <f t="shared" si="41"/>
      </c>
      <c r="T360" s="159">
        <f t="shared" si="234"/>
      </c>
      <c r="U360" s="159">
        <f t="shared" si="2"/>
      </c>
      <c r="V360" s="169">
        <f t="shared" si="0"/>
      </c>
      <c r="W360" s="155">
        <v>1</v>
      </c>
      <c r="X360" s="169">
        <f t="shared" si="6"/>
      </c>
      <c r="Y360" s="169">
        <f t="shared" si="4"/>
      </c>
      <c r="Z360" s="159">
        <f t="shared" si="232"/>
      </c>
      <c r="AA360" s="159">
        <f t="shared" si="47"/>
      </c>
      <c r="AB360" s="159">
        <f t="shared" si="237"/>
      </c>
      <c r="AC360" s="156">
        <f t="shared" si="235"/>
      </c>
      <c r="AD360" s="156">
        <f t="shared" si="3"/>
      </c>
      <c r="AE360" s="156">
        <f t="shared" si="1"/>
      </c>
      <c r="AF360" s="156">
        <f t="shared" si="7"/>
      </c>
      <c r="AG360" s="156">
        <f t="shared" si="5"/>
      </c>
      <c r="AH360" s="156">
        <f t="shared" si="233"/>
      </c>
      <c r="AI360" s="156">
        <f t="shared" si="48"/>
      </c>
      <c r="AJ360" s="155">
        <v>68</v>
      </c>
      <c r="AK360" s="160">
        <v>20862</v>
      </c>
      <c r="AL360" s="160">
        <v>423</v>
      </c>
      <c r="AM360" s="160">
        <v>563</v>
      </c>
      <c r="AN360" s="160">
        <v>99</v>
      </c>
      <c r="AO360" s="149">
        <v>25</v>
      </c>
      <c r="AP360" s="160">
        <v>101</v>
      </c>
      <c r="AQ360" s="149">
        <v>94</v>
      </c>
      <c r="AR360" s="149">
        <v>3</v>
      </c>
      <c r="AS360" s="149">
        <v>11</v>
      </c>
      <c r="AT360" s="155">
        <v>1</v>
      </c>
      <c r="AU360" s="155">
        <v>7</v>
      </c>
      <c r="AV360" s="207"/>
      <c r="AW360" s="165"/>
      <c r="AX360" s="197">
        <f t="shared" si="308"/>
      </c>
    </row>
    <row r="361">
      <c r="A361" s="234"/>
      <c r="B361" s="149" t="s">
        <v>156</v>
      </c>
      <c r="C361" s="150" t="s">
        <v>157</v>
      </c>
      <c r="D361" s="149" t="s">
        <v>180</v>
      </c>
      <c r="E361" s="150" t="s">
        <v>161</v>
      </c>
      <c r="F361" s="159">
        <f t="shared" si="227"/>
      </c>
      <c r="G361" s="152">
        <v>2233.67</v>
      </c>
      <c r="H361" s="152">
        <v>2440.61</v>
      </c>
      <c r="I361" s="236">
        <v>0</v>
      </c>
      <c r="J361" s="236">
        <v>1</v>
      </c>
      <c r="K361" s="236">
        <v>2086.2000000000044</v>
      </c>
      <c r="L361" s="236">
        <v>7</v>
      </c>
      <c r="M361" s="236">
        <v>11969.240000000005</v>
      </c>
      <c r="N361" s="155">
        <v>2</v>
      </c>
      <c r="O361" s="156">
        <f t="shared" si="46"/>
      </c>
      <c r="P361" s="155">
        <v>1</v>
      </c>
      <c r="Q361" s="156">
        <f t="shared" si="236"/>
      </c>
      <c r="R361" s="244">
        <f t="shared" si="22"/>
      </c>
      <c r="S361" s="237">
        <f t="shared" si="41"/>
      </c>
      <c r="T361" s="159">
        <f t="shared" si="234"/>
      </c>
      <c r="U361" s="159">
        <f t="shared" si="2"/>
      </c>
      <c r="V361" s="169">
        <f t="shared" si="0"/>
      </c>
      <c r="W361" s="155">
        <v>8</v>
      </c>
      <c r="X361" s="169">
        <f t="shared" si="6"/>
      </c>
      <c r="Y361" s="169">
        <f t="shared" si="4"/>
      </c>
      <c r="Z361" s="159">
        <f t="shared" si="232"/>
      </c>
      <c r="AA361" s="159">
        <f t="shared" si="47"/>
      </c>
      <c r="AB361" s="159">
        <f t="shared" si="237"/>
      </c>
      <c r="AC361" s="156">
        <f t="shared" si="235"/>
      </c>
      <c r="AD361" s="156">
        <f t="shared" si="3"/>
      </c>
      <c r="AE361" s="156">
        <f t="shared" si="1"/>
      </c>
      <c r="AF361" s="156">
        <f t="shared" si="7"/>
      </c>
      <c r="AG361" s="156">
        <f t="shared" si="5"/>
      </c>
      <c r="AH361" s="156">
        <f t="shared" si="233"/>
      </c>
      <c r="AI361" s="156">
        <f t="shared" si="48"/>
      </c>
      <c r="AJ361" s="155">
        <v>68</v>
      </c>
      <c r="AK361" s="160">
        <v>26645</v>
      </c>
      <c r="AL361" s="160">
        <v>556</v>
      </c>
      <c r="AM361" s="160">
        <v>743</v>
      </c>
      <c r="AN361" s="160">
        <v>128</v>
      </c>
      <c r="AO361" s="149">
        <v>44</v>
      </c>
      <c r="AP361" s="155">
        <v>201</v>
      </c>
      <c r="AQ361" s="149">
        <v>122</v>
      </c>
      <c r="AR361" s="149">
        <v>9</v>
      </c>
      <c r="AS361" s="155">
        <v>13</v>
      </c>
      <c r="AT361" s="155">
        <v>1</v>
      </c>
      <c r="AU361" s="155">
        <v>14</v>
      </c>
      <c r="AV361" s="207"/>
      <c r="AW361" s="165"/>
      <c r="AX361" s="197">
        <f t="shared" si="308"/>
      </c>
    </row>
    <row r="362">
      <c r="A362" s="234"/>
      <c r="B362" s="149" t="s">
        <v>156</v>
      </c>
      <c r="C362" s="150" t="s">
        <v>157</v>
      </c>
      <c r="D362" s="149" t="s">
        <v>180</v>
      </c>
      <c r="E362" s="150" t="s">
        <v>164</v>
      </c>
      <c r="F362" s="246">
        <f t="shared" si="227"/>
      </c>
      <c r="G362" s="247">
        <v>1941.1</v>
      </c>
      <c r="H362" s="247">
        <v>3173.92</v>
      </c>
      <c r="I362" s="236">
        <v>0</v>
      </c>
      <c r="J362" s="236">
        <v>1</v>
      </c>
      <c r="K362" s="236">
        <v>949.9099999999962</v>
      </c>
      <c r="L362" s="236">
        <v>4</v>
      </c>
      <c r="M362" s="236">
        <v>11207.399999999994</v>
      </c>
      <c r="N362" s="155">
        <v>1</v>
      </c>
      <c r="O362" s="156">
        <f t="shared" si="46"/>
      </c>
      <c r="P362" s="155">
        <v>0</v>
      </c>
      <c r="Q362" s="156">
        <f t="shared" si="236"/>
      </c>
      <c r="R362" s="244">
        <f t="shared" si="22"/>
      </c>
      <c r="S362" s="237">
        <f t="shared" si="41"/>
      </c>
      <c r="T362" s="159">
        <f t="shared" si="234"/>
      </c>
      <c r="U362" s="159">
        <f t="shared" si="2"/>
      </c>
      <c r="V362" s="169">
        <f t="shared" si="0"/>
      </c>
      <c r="W362" s="155">
        <v>5</v>
      </c>
      <c r="X362" s="169">
        <f t="shared" si="6"/>
      </c>
      <c r="Y362" s="169">
        <f t="shared" si="4"/>
      </c>
      <c r="Z362" s="159">
        <f t="shared" si="232"/>
      </c>
      <c r="AA362" s="159">
        <f t="shared" si="47"/>
      </c>
      <c r="AB362" s="159">
        <f t="shared" si="237"/>
      </c>
      <c r="AC362" s="156">
        <f t="shared" si="235"/>
      </c>
      <c r="AD362" s="156">
        <f t="shared" si="3"/>
      </c>
      <c r="AE362" s="156">
        <f t="shared" si="1"/>
      </c>
      <c r="AF362" s="156">
        <f t="shared" si="7"/>
      </c>
      <c r="AG362" s="156">
        <f t="shared" si="5"/>
      </c>
      <c r="AH362" s="156">
        <f t="shared" si="233"/>
      </c>
      <c r="AI362" s="156">
        <f t="shared" si="48"/>
      </c>
      <c r="AJ362" s="155">
        <v>69</v>
      </c>
      <c r="AK362" s="160">
        <v>27008</v>
      </c>
      <c r="AL362" s="160">
        <v>583</v>
      </c>
      <c r="AM362" s="160">
        <v>697</v>
      </c>
      <c r="AN362" s="160">
        <v>135</v>
      </c>
      <c r="AO362" s="149">
        <v>37</v>
      </c>
      <c r="AP362" s="155">
        <v>132</v>
      </c>
      <c r="AQ362" s="149">
        <v>135</v>
      </c>
      <c r="AR362" s="149">
        <v>6</v>
      </c>
      <c r="AS362" s="160">
        <v>10</v>
      </c>
      <c r="AT362" s="160">
        <v>2</v>
      </c>
      <c r="AU362" s="155">
        <v>16</v>
      </c>
      <c r="AV362" s="207"/>
      <c r="AW362" s="165"/>
      <c r="AX362" s="197">
        <f t="shared" si="308"/>
      </c>
    </row>
    <row r="363">
      <c r="A363" s="234"/>
      <c r="B363" s="171" t="s">
        <v>162</v>
      </c>
      <c r="C363" s="171"/>
      <c r="D363" s="171"/>
      <c r="E363" s="171"/>
      <c r="F363" s="173">
        <f>SUM(F359:F362)</f>
      </c>
      <c r="G363" s="173">
        <f>SUM(G359:G362)</f>
      </c>
      <c r="H363" s="173">
        <f>SUM(H359:H362)</f>
      </c>
      <c r="I363" s="173">
        <f>SUM(I359:I362)</f>
      </c>
      <c r="J363" s="173">
        <f>SUM(J359:J362)</f>
      </c>
      <c r="K363" s="173">
        <f>SUM(K359:K362)</f>
      </c>
      <c r="L363" s="173">
        <f>SUM(L359:L362)</f>
      </c>
      <c r="M363" s="173">
        <f>SUM(M359:M362)</f>
      </c>
      <c r="N363" s="173">
        <f>SUM(N359:N362)</f>
      </c>
      <c r="O363" s="175">
        <f t="shared" si="46"/>
      </c>
      <c r="P363" s="173">
        <f>SUM(P359:P362)</f>
      </c>
      <c r="Q363" s="175">
        <f t="shared" si="236"/>
      </c>
      <c r="R363" s="178">
        <f>SUM(R359:R362)</f>
      </c>
      <c r="S363" s="173">
        <f>SUM(S359:S362)</f>
      </c>
      <c r="T363" s="173">
        <f t="shared" si="234"/>
      </c>
      <c r="U363" s="173">
        <f t="shared" si="2"/>
      </c>
      <c r="V363" s="194">
        <f t="shared" si="0"/>
      </c>
      <c r="W363" s="173">
        <f>SUM(W359:W362)</f>
      </c>
      <c r="X363" s="194">
        <f t="shared" si="6"/>
      </c>
      <c r="Y363" s="194">
        <f t="shared" si="4"/>
      </c>
      <c r="Z363" s="173">
        <f t="shared" si="232"/>
      </c>
      <c r="AA363" s="173">
        <f t="shared" si="47"/>
      </c>
      <c r="AB363" s="238">
        <f t="shared" si="237"/>
      </c>
      <c r="AC363" s="175">
        <f t="shared" si="235"/>
      </c>
      <c r="AD363" s="175">
        <f t="shared" si="3"/>
      </c>
      <c r="AE363" s="175">
        <f t="shared" si="1"/>
      </c>
      <c r="AF363" s="245">
        <f t="shared" si="7"/>
      </c>
      <c r="AG363" s="175">
        <f t="shared" si="5"/>
      </c>
      <c r="AH363" s="175">
        <f t="shared" si="233"/>
      </c>
      <c r="AI363" s="175">
        <f t="shared" si="48"/>
      </c>
      <c r="AJ363" s="178">
        <f>AVERAGE(AJ359:AJ362)</f>
      </c>
      <c r="AK363" s="173">
        <f>SUM(AK359:AK362)</f>
      </c>
      <c r="AL363" s="173">
        <f>SUM(AL359:AL362)</f>
      </c>
      <c r="AM363" s="173">
        <f>SUM(AM359:AM362)</f>
      </c>
      <c r="AN363" s="173">
        <f>SUM(AN359:AN362)</f>
      </c>
      <c r="AO363" s="173">
        <f>SUM(AO359:AO362)</f>
      </c>
      <c r="AP363" s="173">
        <f>SUM(AP359:AP362)</f>
      </c>
      <c r="AQ363" s="173">
        <f>SUM(AQ359:AQ362)</f>
      </c>
      <c r="AR363" s="173">
        <f>SUM(AR359:AR362)</f>
      </c>
      <c r="AS363" s="173">
        <f>SUM(AS359:AS362)</f>
      </c>
      <c r="AT363" s="173">
        <f>SUM(AT359:AT362)</f>
      </c>
      <c r="AU363" s="173">
        <f>SUM(AU359:AU362)</f>
      </c>
      <c r="AV363" s="207"/>
      <c r="AW363" s="180"/>
      <c r="AX363" s="181">
        <f>SUM(AX359:AX362)</f>
      </c>
    </row>
    <row r="364">
      <c r="A364" s="234"/>
      <c r="B364" s="149" t="s">
        <v>156</v>
      </c>
      <c r="C364" s="150" t="s">
        <v>157</v>
      </c>
      <c r="D364" s="149" t="s">
        <v>169</v>
      </c>
      <c r="E364" s="150" t="s">
        <v>165</v>
      </c>
      <c r="F364" s="246">
        <f t="shared" ref="F364:F367" si="228">G364+H364+I364</f>
      </c>
      <c r="G364" s="247">
        <v>3109.91</v>
      </c>
      <c r="H364" s="247">
        <v>4532.85</v>
      </c>
      <c r="I364" s="236">
        <v>0</v>
      </c>
      <c r="J364" s="236">
        <v>1</v>
      </c>
      <c r="K364" s="236">
        <v>1553.25</v>
      </c>
      <c r="L364" s="236">
        <v>4</v>
      </c>
      <c r="M364" s="236">
        <v>8836.339999999997</v>
      </c>
      <c r="N364" s="155">
        <v>2</v>
      </c>
      <c r="O364" s="156">
        <f t="shared" si="46"/>
      </c>
      <c r="P364" s="155">
        <v>0</v>
      </c>
      <c r="Q364" s="156">
        <f t="shared" si="236"/>
      </c>
      <c r="R364" s="249">
        <f t="shared" ref="R364:R367" si="23">J364+L364</f>
      </c>
      <c r="S364" s="237">
        <f t="shared" ref="S364:S367" si="42">K364+M364</f>
      </c>
      <c r="T364" s="159">
        <f t="shared" si="234"/>
      </c>
      <c r="U364" s="159">
        <f t="shared" si="2"/>
      </c>
      <c r="V364" s="169">
        <f t="shared" si="0"/>
      </c>
      <c r="W364" s="155">
        <v>4</v>
      </c>
      <c r="X364" s="169">
        <f t="shared" si="6"/>
      </c>
      <c r="Y364" s="169">
        <f t="shared" si="4"/>
      </c>
      <c r="Z364" s="159">
        <f t="shared" si="232"/>
      </c>
      <c r="AA364" s="159">
        <f t="shared" si="47"/>
      </c>
      <c r="AB364" s="159">
        <f t="shared" si="237"/>
      </c>
      <c r="AC364" s="156">
        <f t="shared" si="235"/>
      </c>
      <c r="AD364" s="156">
        <f t="shared" si="3"/>
      </c>
      <c r="AE364" s="156">
        <f t="shared" si="1"/>
      </c>
      <c r="AF364" s="156">
        <f t="shared" si="7"/>
      </c>
      <c r="AG364" s="156">
        <f t="shared" si="5"/>
      </c>
      <c r="AH364" s="156">
        <f t="shared" si="233"/>
      </c>
      <c r="AI364" s="156">
        <f t="shared" si="48"/>
      </c>
      <c r="AJ364" s="155">
        <v>71</v>
      </c>
      <c r="AK364" s="160">
        <v>45008</v>
      </c>
      <c r="AL364" s="160">
        <v>870</v>
      </c>
      <c r="AM364" s="160">
        <v>1074</v>
      </c>
      <c r="AN364" s="160">
        <v>243</v>
      </c>
      <c r="AO364" s="149">
        <v>63</v>
      </c>
      <c r="AP364" s="160">
        <v>185</v>
      </c>
      <c r="AQ364" s="150">
        <v>195</v>
      </c>
      <c r="AR364" s="149">
        <v>10</v>
      </c>
      <c r="AS364" s="155">
        <v>23</v>
      </c>
      <c r="AT364" s="155">
        <v>3</v>
      </c>
      <c r="AU364" s="155">
        <v>12</v>
      </c>
      <c r="AV364" s="207"/>
      <c r="AW364" s="165"/>
      <c r="AX364" s="197">
        <f t="shared" ref="AX364:AX367" si="309">COUNT(AU364)</f>
      </c>
    </row>
    <row r="365">
      <c r="A365" s="234"/>
      <c r="B365" s="149" t="s">
        <v>156</v>
      </c>
      <c r="C365" s="150" t="s">
        <v>157</v>
      </c>
      <c r="D365" s="149" t="s">
        <v>169</v>
      </c>
      <c r="E365" s="150" t="s">
        <v>168</v>
      </c>
      <c r="F365" s="246">
        <f t="shared" si="228"/>
      </c>
      <c r="G365" s="247">
        <v>2657.07</v>
      </c>
      <c r="H365" s="247">
        <v>1919.61</v>
      </c>
      <c r="I365" s="236">
        <v>0</v>
      </c>
      <c r="J365" s="236">
        <v>2</v>
      </c>
      <c r="K365" s="236">
        <v>3322.050000000003</v>
      </c>
      <c r="L365" s="236">
        <v>3</v>
      </c>
      <c r="M365" s="236">
        <v>6518.809999999998</v>
      </c>
      <c r="N365" s="155">
        <v>1</v>
      </c>
      <c r="O365" s="156">
        <f t="shared" si="46"/>
      </c>
      <c r="P365" s="155">
        <v>0</v>
      </c>
      <c r="Q365" s="156">
        <f t="shared" si="236"/>
      </c>
      <c r="R365" s="249">
        <f t="shared" si="23"/>
      </c>
      <c r="S365" s="237">
        <f t="shared" si="42"/>
      </c>
      <c r="T365" s="159">
        <f t="shared" si="234"/>
      </c>
      <c r="U365" s="159">
        <f t="shared" si="2"/>
      </c>
      <c r="V365" s="169">
        <f t="shared" si="0"/>
      </c>
      <c r="W365" s="155">
        <v>4</v>
      </c>
      <c r="X365" s="169">
        <f t="shared" si="6"/>
      </c>
      <c r="Y365" s="169">
        <f t="shared" si="4"/>
      </c>
      <c r="Z365" s="159">
        <f t="shared" si="232"/>
      </c>
      <c r="AA365" s="159">
        <f t="shared" si="47"/>
      </c>
      <c r="AB365" s="159">
        <f t="shared" si="237"/>
      </c>
      <c r="AC365" s="156">
        <f t="shared" si="235"/>
      </c>
      <c r="AD365" s="156">
        <f t="shared" si="3"/>
      </c>
      <c r="AE365" s="156">
        <f t="shared" si="1"/>
      </c>
      <c r="AF365" s="156">
        <f t="shared" si="7"/>
      </c>
      <c r="AG365" s="156">
        <f t="shared" si="5"/>
      </c>
      <c r="AH365" s="156">
        <f t="shared" si="233"/>
      </c>
      <c r="AI365" s="156">
        <f t="shared" si="48"/>
      </c>
      <c r="AJ365" s="155">
        <v>75</v>
      </c>
      <c r="AK365" s="160">
        <v>25015</v>
      </c>
      <c r="AL365" s="160">
        <v>532</v>
      </c>
      <c r="AM365" s="160">
        <v>636</v>
      </c>
      <c r="AN365" s="160">
        <v>160</v>
      </c>
      <c r="AO365" s="149">
        <v>40</v>
      </c>
      <c r="AP365" s="160">
        <v>106</v>
      </c>
      <c r="AQ365" s="150">
        <v>141</v>
      </c>
      <c r="AR365" s="149">
        <v>8</v>
      </c>
      <c r="AS365" s="160">
        <v>9</v>
      </c>
      <c r="AT365" s="160">
        <v>2</v>
      </c>
      <c r="AU365" s="155">
        <v>7</v>
      </c>
      <c r="AV365" s="207"/>
      <c r="AW365" s="165"/>
      <c r="AX365" s="197">
        <f t="shared" si="309"/>
      </c>
    </row>
    <row r="366">
      <c r="A366" s="234"/>
      <c r="B366" s="149" t="s">
        <v>156</v>
      </c>
      <c r="C366" s="150" t="s">
        <v>157</v>
      </c>
      <c r="D366" s="149" t="s">
        <v>169</v>
      </c>
      <c r="E366" s="150" t="s">
        <v>171</v>
      </c>
      <c r="F366" s="246">
        <f t="shared" si="228"/>
      </c>
      <c r="G366" s="247">
        <v>2064.4</v>
      </c>
      <c r="H366" s="247">
        <v>1704.3</v>
      </c>
      <c r="I366" s="236">
        <v>0</v>
      </c>
      <c r="J366" s="236">
        <v>0</v>
      </c>
      <c r="K366" s="236">
        <v>0</v>
      </c>
      <c r="L366" s="236">
        <v>1</v>
      </c>
      <c r="M366" s="236">
        <v>1816.8800000000047</v>
      </c>
      <c r="N366" s="155">
        <v>1</v>
      </c>
      <c r="O366" s="156">
        <f t="shared" si="46"/>
      </c>
      <c r="P366" s="155">
        <v>0</v>
      </c>
      <c r="Q366" s="156">
        <f t="shared" si="236"/>
      </c>
      <c r="R366" s="249">
        <f t="shared" si="23"/>
      </c>
      <c r="S366" s="237">
        <f t="shared" si="42"/>
      </c>
      <c r="T366" s="159">
        <f t="shared" si="234"/>
      </c>
      <c r="U366" s="159">
        <f t="shared" si="2"/>
      </c>
      <c r="V366" s="169">
        <f t="shared" si="0"/>
      </c>
      <c r="W366" s="155">
        <v>1</v>
      </c>
      <c r="X366" s="169">
        <f t="shared" si="6"/>
      </c>
      <c r="Y366" s="169">
        <f t="shared" si="4"/>
      </c>
      <c r="Z366" s="159">
        <f t="shared" si="232"/>
      </c>
      <c r="AA366" s="159">
        <f t="shared" si="47"/>
      </c>
      <c r="AB366" s="159">
        <f t="shared" si="237"/>
      </c>
      <c r="AC366" s="156">
        <f t="shared" si="235"/>
      </c>
      <c r="AD366" s="156">
        <f t="shared" si="3"/>
      </c>
      <c r="AE366" s="156">
        <f t="shared" si="1"/>
      </c>
      <c r="AF366" s="156">
        <f t="shared" si="7"/>
      </c>
      <c r="AG366" s="156">
        <f t="shared" si="5"/>
      </c>
      <c r="AH366" s="156">
        <f t="shared" si="233"/>
      </c>
      <c r="AI366" s="156">
        <f t="shared" si="48"/>
      </c>
      <c r="AJ366" s="155">
        <v>77</v>
      </c>
      <c r="AK366" s="155">
        <v>25099</v>
      </c>
      <c r="AL366" s="160">
        <v>584</v>
      </c>
      <c r="AM366" s="160">
        <v>752</v>
      </c>
      <c r="AN366" s="160">
        <v>143</v>
      </c>
      <c r="AO366" s="149">
        <v>28</v>
      </c>
      <c r="AP366" s="160">
        <v>85</v>
      </c>
      <c r="AQ366" s="150">
        <v>122</v>
      </c>
      <c r="AR366" s="149">
        <v>2</v>
      </c>
      <c r="AS366" s="155">
        <v>11</v>
      </c>
      <c r="AT366" s="155">
        <v>3</v>
      </c>
      <c r="AU366" s="155">
        <v>8</v>
      </c>
      <c r="AV366" s="207"/>
      <c r="AW366" s="165"/>
      <c r="AX366" s="197">
        <f t="shared" si="309"/>
      </c>
    </row>
    <row r="367">
      <c r="A367" s="234"/>
      <c r="B367" s="149" t="s">
        <v>156</v>
      </c>
      <c r="C367" s="150" t="s">
        <v>157</v>
      </c>
      <c r="D367" s="149" t="s">
        <v>169</v>
      </c>
      <c r="E367" s="150" t="s">
        <v>172</v>
      </c>
      <c r="F367" s="246">
        <f t="shared" si="228"/>
      </c>
      <c r="G367" s="247">
        <v>1794.46</v>
      </c>
      <c r="H367" s="247">
        <v>1558.06</v>
      </c>
      <c r="I367" s="236">
        <v>0</v>
      </c>
      <c r="J367" s="236">
        <v>1</v>
      </c>
      <c r="K367" s="236">
        <v>2936.449999999997</v>
      </c>
      <c r="L367" s="236">
        <v>4</v>
      </c>
      <c r="M367" s="236">
        <v>15596.109999999986</v>
      </c>
      <c r="N367" s="155">
        <v>1</v>
      </c>
      <c r="O367" s="156">
        <f t="shared" si="46"/>
      </c>
      <c r="P367" s="155">
        <v>0</v>
      </c>
      <c r="Q367" s="156">
        <f t="shared" si="236"/>
      </c>
      <c r="R367" s="249">
        <f t="shared" si="23"/>
      </c>
      <c r="S367" s="237">
        <f t="shared" si="42"/>
      </c>
      <c r="T367" s="159">
        <f t="shared" si="234"/>
      </c>
      <c r="U367" s="159">
        <f t="shared" si="2"/>
      </c>
      <c r="V367" s="169">
        <f t="shared" si="0"/>
      </c>
      <c r="W367" s="155">
        <v>4</v>
      </c>
      <c r="X367" s="169">
        <f t="shared" si="6"/>
      </c>
      <c r="Y367" s="169">
        <f t="shared" si="4"/>
      </c>
      <c r="Z367" s="159">
        <f t="shared" si="232"/>
      </c>
      <c r="AA367" s="159">
        <f t="shared" si="47"/>
      </c>
      <c r="AB367" s="159">
        <f t="shared" si="237"/>
      </c>
      <c r="AC367" s="156">
        <f t="shared" si="235"/>
      </c>
      <c r="AD367" s="156">
        <f t="shared" si="3"/>
      </c>
      <c r="AE367" s="156">
        <f t="shared" si="1"/>
      </c>
      <c r="AF367" s="156">
        <f t="shared" si="7"/>
      </c>
      <c r="AG367" s="156">
        <f t="shared" si="5"/>
      </c>
      <c r="AH367" s="156">
        <f t="shared" si="233"/>
      </c>
      <c r="AI367" s="156">
        <f t="shared" si="48"/>
      </c>
      <c r="AJ367" s="155">
        <v>78</v>
      </c>
      <c r="AK367" s="160">
        <v>18472</v>
      </c>
      <c r="AL367" s="160">
        <v>596</v>
      </c>
      <c r="AM367" s="160">
        <v>784</v>
      </c>
      <c r="AN367" s="160">
        <v>102</v>
      </c>
      <c r="AO367" s="149">
        <v>27</v>
      </c>
      <c r="AP367" s="160">
        <v>41</v>
      </c>
      <c r="AQ367" s="150">
        <v>102</v>
      </c>
      <c r="AR367" s="149">
        <v>7</v>
      </c>
      <c r="AS367" s="160">
        <v>12</v>
      </c>
      <c r="AT367" s="160">
        <v>0</v>
      </c>
      <c r="AU367" s="155">
        <v>2</v>
      </c>
      <c r="AV367" s="207"/>
      <c r="AW367" s="165"/>
      <c r="AX367" s="197">
        <f t="shared" si="309"/>
      </c>
    </row>
    <row r="368">
      <c r="A368" s="234"/>
      <c r="B368" s="171" t="s">
        <v>162</v>
      </c>
      <c r="C368" s="171"/>
      <c r="D368" s="171"/>
      <c r="E368" s="171"/>
      <c r="F368" s="173">
        <f>SUM(F364:F367)</f>
      </c>
      <c r="G368" s="173">
        <f>SUM(G364:G367)</f>
      </c>
      <c r="H368" s="173">
        <f>SUM(H364:H367)</f>
      </c>
      <c r="I368" s="173">
        <f>SUM(I364:I367)</f>
      </c>
      <c r="J368" s="173">
        <f>SUM(J364:J367)</f>
      </c>
      <c r="K368" s="173">
        <f>SUM(K364:K367)</f>
      </c>
      <c r="L368" s="173">
        <f>SUM(L364:L367)</f>
      </c>
      <c r="M368" s="173">
        <f>SUM(M364:M367)</f>
      </c>
      <c r="N368" s="173">
        <f>SUM(N364:N367)</f>
      </c>
      <c r="O368" s="175">
        <f t="shared" si="46"/>
      </c>
      <c r="P368" s="173">
        <f>SUM(P364:P367)</f>
      </c>
      <c r="Q368" s="175">
        <f t="shared" si="236"/>
      </c>
      <c r="R368" s="178">
        <f>SUM(R364:R367)</f>
      </c>
      <c r="S368" s="173">
        <f>SUM(S364:S367)</f>
      </c>
      <c r="T368" s="173">
        <f t="shared" si="234"/>
      </c>
      <c r="U368" s="173">
        <f t="shared" si="2"/>
      </c>
      <c r="V368" s="194">
        <f t="shared" si="0"/>
      </c>
      <c r="W368" s="173">
        <f>SUM(W364:W367)</f>
      </c>
      <c r="X368" s="194">
        <f t="shared" si="6"/>
      </c>
      <c r="Y368" s="194">
        <f t="shared" si="4"/>
      </c>
      <c r="Z368" s="173">
        <f t="shared" si="232"/>
      </c>
      <c r="AA368" s="173">
        <f t="shared" si="47"/>
      </c>
      <c r="AB368" s="238">
        <f t="shared" si="237"/>
      </c>
      <c r="AC368" s="175">
        <f t="shared" si="235"/>
      </c>
      <c r="AD368" s="175">
        <f t="shared" si="3"/>
      </c>
      <c r="AE368" s="175">
        <f t="shared" si="1"/>
      </c>
      <c r="AF368" s="245">
        <f t="shared" si="7"/>
      </c>
      <c r="AG368" s="175">
        <f t="shared" si="5"/>
      </c>
      <c r="AH368" s="175">
        <f t="shared" si="233"/>
      </c>
      <c r="AI368" s="175">
        <f t="shared" si="48"/>
      </c>
      <c r="AJ368" s="178">
        <f>AVERAGE(AJ364:AJ367)</f>
      </c>
      <c r="AK368" s="173">
        <f>SUM(AK364:AK367)</f>
      </c>
      <c r="AL368" s="173">
        <f>SUM(AL364:AL367)</f>
      </c>
      <c r="AM368" s="173">
        <f>SUM(AM364:AM367)</f>
      </c>
      <c r="AN368" s="173">
        <f>SUM(AN364:AN367)</f>
      </c>
      <c r="AO368" s="173">
        <f>SUM(AO364:AO367)</f>
      </c>
      <c r="AP368" s="173">
        <f>SUM(AP364:AP367)</f>
      </c>
      <c r="AQ368" s="173">
        <f>SUM(AQ364:AQ367)</f>
      </c>
      <c r="AR368" s="173">
        <f>SUM(AR364:AR367)</f>
      </c>
      <c r="AS368" s="173">
        <f>SUM(AS364:AS367)</f>
      </c>
      <c r="AT368" s="173">
        <f>SUM(AT364:AT367)</f>
      </c>
      <c r="AU368" s="173">
        <f>SUM(AU364:AU367)</f>
      </c>
      <c r="AV368" s="207"/>
      <c r="AW368" s="180"/>
      <c r="AX368" s="181">
        <f>SUM(AX364:AX367)</f>
      </c>
    </row>
    <row r="369">
      <c r="A369" s="234"/>
      <c r="B369" s="184" t="s">
        <v>166</v>
      </c>
      <c r="C369" s="184"/>
      <c r="D369" s="184"/>
      <c r="E369" s="184"/>
      <c r="F369" s="185">
        <f>F353+F358+F363+F368</f>
      </c>
      <c r="G369" s="185">
        <f>G353+G358+G363+G368</f>
      </c>
      <c r="H369" s="185">
        <f>H353+H358+H363+H368</f>
      </c>
      <c r="I369" s="185">
        <f>I353+I358+I363+I368</f>
      </c>
      <c r="J369" s="185">
        <f>J353+J358+J363+J368</f>
      </c>
      <c r="K369" s="185">
        <f>K353+K358+K363+K368</f>
      </c>
      <c r="L369" s="185">
        <f>L353+L358+L363+L368</f>
      </c>
      <c r="M369" s="185">
        <f>M353+M358+M363+M368</f>
      </c>
      <c r="N369" s="185">
        <f>N353+N358+N363+N368</f>
      </c>
      <c r="O369" s="186">
        <f t="shared" si="46"/>
      </c>
      <c r="P369" s="184">
        <f>P353+P358+P363+P368</f>
      </c>
      <c r="Q369" s="186">
        <f t="shared" si="236"/>
      </c>
      <c r="R369" s="190">
        <f>R353+R358+R363+R368</f>
      </c>
      <c r="S369" s="185">
        <f>S353+S358+S363+S368</f>
      </c>
      <c r="T369" s="185">
        <f t="shared" si="234"/>
      </c>
      <c r="U369" s="185">
        <f t="shared" si="2"/>
      </c>
      <c r="V369" s="187">
        <f t="shared" si="0"/>
      </c>
      <c r="W369" s="184">
        <f>W353+W358+W363+W368</f>
      </c>
      <c r="X369" s="187">
        <f t="shared" si="6"/>
      </c>
      <c r="Y369" s="187">
        <f t="shared" si="4"/>
      </c>
      <c r="Z369" s="185">
        <f t="shared" si="232"/>
      </c>
      <c r="AA369" s="185">
        <f t="shared" si="47"/>
      </c>
      <c r="AB369" s="189">
        <f t="shared" si="237"/>
      </c>
      <c r="AC369" s="186">
        <f t="shared" si="235"/>
      </c>
      <c r="AD369" s="186">
        <f t="shared" si="3"/>
      </c>
      <c r="AE369" s="186">
        <f t="shared" si="1"/>
      </c>
      <c r="AF369" s="241">
        <f t="shared" si="7"/>
      </c>
      <c r="AG369" s="186">
        <f t="shared" si="5"/>
      </c>
      <c r="AH369" s="186">
        <f t="shared" si="233"/>
      </c>
      <c r="AI369" s="186">
        <f t="shared" si="48"/>
      </c>
      <c r="AJ369" s="190">
        <f>(AJ353+AJ358+AJ363+AJ368)/4</f>
      </c>
      <c r="AK369" s="184">
        <f>AK353+AK358+AK363+AK368</f>
      </c>
      <c r="AL369" s="184">
        <f>AL353+AL358+AL363+AL368</f>
      </c>
      <c r="AM369" s="184">
        <f>AM353+AM358+AM363+AM368</f>
      </c>
      <c r="AN369" s="184">
        <f>AN353+AN358+AN363+AN368</f>
      </c>
      <c r="AO369" s="184">
        <f>AO353+AO358+AO363+AO368</f>
      </c>
      <c r="AP369" s="184">
        <f>AP353+AP358+AP363+AP368</f>
      </c>
      <c r="AQ369" s="184">
        <f>AQ353+AQ358+AQ363+AQ368</f>
      </c>
      <c r="AR369" s="184">
        <f>AR353+AR358+AR363+AR368</f>
      </c>
      <c r="AS369" s="184">
        <f>AS353+AS358+AS363+AS368</f>
      </c>
      <c r="AT369" s="184">
        <f>AT353+AT358+AT363+AT368</f>
      </c>
      <c r="AU369" s="184">
        <f>AU353+AU358+AU363+AU368</f>
      </c>
      <c r="AV369" s="207"/>
      <c r="AW369" s="184">
        <f>AW353+AW358+AW363</f>
      </c>
      <c r="AX369" s="184">
        <f>AX353+AX358+AX363+AX368</f>
      </c>
    </row>
    <row r="370">
      <c r="A370" s="234">
        <v>46295</v>
      </c>
      <c r="B370" s="149" t="s">
        <v>189</v>
      </c>
      <c r="C370" s="149" t="s">
        <v>182</v>
      </c>
      <c r="D370" s="149" t="s">
        <v>180</v>
      </c>
      <c r="E370" s="248" t="s">
        <v>185</v>
      </c>
      <c r="F370" s="159">
        <f t="shared" ref="F370:F374" si="229">G370+H370+I370</f>
      </c>
      <c r="G370" s="152">
        <v>2532.21</v>
      </c>
      <c r="H370" s="152">
        <v>1130.22</v>
      </c>
      <c r="I370" s="236">
        <v>0</v>
      </c>
      <c r="J370" s="236">
        <v>2</v>
      </c>
      <c r="K370" s="242">
        <v>3650.85</v>
      </c>
      <c r="L370" s="236">
        <v>2</v>
      </c>
      <c r="M370" s="236">
        <v>4739.37</v>
      </c>
      <c r="N370" s="155">
        <v>2</v>
      </c>
      <c r="O370" s="156">
        <f t="shared" si="46"/>
      </c>
      <c r="P370" s="155">
        <v>1</v>
      </c>
      <c r="Q370" s="156">
        <f t="shared" si="236"/>
      </c>
      <c r="R370" s="244">
        <f t="shared" ref="R370:R374" si="24">J370+L370</f>
      </c>
      <c r="S370" s="237">
        <f t="shared" ref="S370:S374" si="43">K370+M370</f>
      </c>
      <c r="T370" s="159">
        <f t="shared" si="234"/>
      </c>
      <c r="U370" s="159">
        <f t="shared" si="2"/>
      </c>
      <c r="V370" s="169">
        <f t="shared" si="0"/>
      </c>
      <c r="W370" s="155">
        <v>4</v>
      </c>
      <c r="X370" s="169">
        <f t="shared" si="6"/>
      </c>
      <c r="Y370" s="169">
        <f t="shared" si="4"/>
      </c>
      <c r="Z370" s="159">
        <f t="shared" si="232"/>
      </c>
      <c r="AA370" s="159">
        <f t="shared" si="47"/>
      </c>
      <c r="AB370" s="159">
        <f t="shared" si="237"/>
      </c>
      <c r="AC370" s="156">
        <f t="shared" si="235"/>
      </c>
      <c r="AD370" s="156">
        <f t="shared" si="3"/>
      </c>
      <c r="AE370" s="156">
        <f t="shared" si="1"/>
      </c>
      <c r="AF370" s="156">
        <f t="shared" si="7"/>
      </c>
      <c r="AG370" s="156">
        <f t="shared" si="5"/>
      </c>
      <c r="AH370" s="156">
        <f t="shared" si="233"/>
      </c>
      <c r="AI370" s="156">
        <f t="shared" si="48"/>
      </c>
      <c r="AJ370" s="155">
        <v>54</v>
      </c>
      <c r="AK370" s="160">
        <v>14370</v>
      </c>
      <c r="AL370" s="160">
        <v>450</v>
      </c>
      <c r="AM370" s="160">
        <v>573</v>
      </c>
      <c r="AN370" s="160">
        <v>90</v>
      </c>
      <c r="AO370" s="149">
        <v>30</v>
      </c>
      <c r="AP370" s="149">
        <v>65</v>
      </c>
      <c r="AQ370" s="150">
        <v>97</v>
      </c>
      <c r="AR370" s="149">
        <v>5</v>
      </c>
      <c r="AS370" s="149">
        <v>8</v>
      </c>
      <c r="AT370" s="155">
        <v>1</v>
      </c>
      <c r="AU370" s="155">
        <v>3</v>
      </c>
      <c r="AV370" s="207"/>
      <c r="AW370" s="165"/>
      <c r="AX370" s="197">
        <f t="shared" ref="AX370:AX374" si="310">COUNT(AU370)</f>
      </c>
    </row>
    <row r="371">
      <c r="A371" s="234"/>
      <c r="B371" s="149" t="s">
        <v>189</v>
      </c>
      <c r="C371" s="149" t="s">
        <v>182</v>
      </c>
      <c r="D371" s="149" t="s">
        <v>180</v>
      </c>
      <c r="E371" s="248" t="s">
        <v>186</v>
      </c>
      <c r="F371" s="159">
        <f t="shared" si="229"/>
      </c>
      <c r="G371" s="152">
        <v>1749.58</v>
      </c>
      <c r="H371" s="152">
        <v>1737.11</v>
      </c>
      <c r="I371" s="236">
        <v>0</v>
      </c>
      <c r="J371" s="236">
        <v>1</v>
      </c>
      <c r="K371" s="236">
        <v>936.7000000000003</v>
      </c>
      <c r="L371" s="236">
        <v>1</v>
      </c>
      <c r="M371" s="236">
        <v>13071.240000000002</v>
      </c>
      <c r="N371" s="155">
        <v>0</v>
      </c>
      <c r="O371" s="156">
        <f t="shared" si="46"/>
      </c>
      <c r="P371" s="155">
        <v>1</v>
      </c>
      <c r="Q371" s="156">
        <f t="shared" si="236"/>
      </c>
      <c r="R371" s="244">
        <f t="shared" si="24"/>
      </c>
      <c r="S371" s="237">
        <f t="shared" si="43"/>
      </c>
      <c r="T371" s="159">
        <f t="shared" si="234"/>
      </c>
      <c r="U371" s="159">
        <f t="shared" si="2"/>
      </c>
      <c r="V371" s="169">
        <f t="shared" si="0"/>
      </c>
      <c r="W371" s="155">
        <v>2</v>
      </c>
      <c r="X371" s="169">
        <f t="shared" si="6"/>
      </c>
      <c r="Y371" s="169">
        <f t="shared" si="4"/>
      </c>
      <c r="Z371" s="159">
        <f t="shared" si="232"/>
      </c>
      <c r="AA371" s="159">
        <f t="shared" si="47"/>
      </c>
      <c r="AB371" s="159">
        <f t="shared" si="237"/>
      </c>
      <c r="AC371" s="156">
        <f t="shared" si="235"/>
      </c>
      <c r="AD371" s="156">
        <f t="shared" si="3"/>
      </c>
      <c r="AE371" s="156">
        <f t="shared" si="1"/>
      </c>
      <c r="AF371" s="156">
        <f t="shared" si="7"/>
      </c>
      <c r="AG371" s="156">
        <f t="shared" si="5"/>
      </c>
      <c r="AH371" s="156">
        <f t="shared" si="233"/>
      </c>
      <c r="AI371" s="156">
        <f t="shared" si="48"/>
      </c>
      <c r="AJ371" s="155">
        <v>56</v>
      </c>
      <c r="AK371" s="160">
        <v>12396</v>
      </c>
      <c r="AL371" s="160">
        <v>310</v>
      </c>
      <c r="AM371" s="160">
        <v>435</v>
      </c>
      <c r="AN371" s="160">
        <v>91</v>
      </c>
      <c r="AO371" s="149">
        <v>25</v>
      </c>
      <c r="AP371" s="160">
        <v>81</v>
      </c>
      <c r="AQ371" s="150">
        <v>80</v>
      </c>
      <c r="AR371" s="149">
        <v>2</v>
      </c>
      <c r="AS371" s="155">
        <v>6</v>
      </c>
      <c r="AT371" s="155">
        <v>1</v>
      </c>
      <c r="AU371" s="155">
        <v>6</v>
      </c>
      <c r="AV371" s="207"/>
      <c r="AW371" s="165"/>
      <c r="AX371" s="197">
        <f t="shared" si="310"/>
      </c>
    </row>
    <row r="372">
      <c r="A372" s="234"/>
      <c r="B372" s="149" t="s">
        <v>189</v>
      </c>
      <c r="C372" s="149" t="s">
        <v>182</v>
      </c>
      <c r="D372" s="149" t="s">
        <v>180</v>
      </c>
      <c r="E372" s="248" t="s">
        <v>175</v>
      </c>
      <c r="F372" s="159">
        <f t="shared" si="229"/>
      </c>
      <c r="G372" s="152">
        <v>3462.09</v>
      </c>
      <c r="H372" s="152">
        <v>4004.77</v>
      </c>
      <c r="I372" s="236">
        <v>0</v>
      </c>
      <c r="J372" s="236">
        <v>2</v>
      </c>
      <c r="K372" s="236">
        <v>1890.5</v>
      </c>
      <c r="L372" s="236">
        <v>7</v>
      </c>
      <c r="M372" s="236">
        <v>17202.019999999997</v>
      </c>
      <c r="N372" s="155">
        <v>1</v>
      </c>
      <c r="O372" s="156">
        <f t="shared" si="46"/>
      </c>
      <c r="P372" s="155">
        <v>2</v>
      </c>
      <c r="Q372" s="156">
        <f t="shared" si="236"/>
      </c>
      <c r="R372" s="244">
        <f t="shared" si="24"/>
      </c>
      <c r="S372" s="237">
        <f t="shared" si="43"/>
      </c>
      <c r="T372" s="159">
        <f t="shared" si="234"/>
      </c>
      <c r="U372" s="159">
        <f t="shared" si="2"/>
      </c>
      <c r="V372" s="169">
        <f t="shared" si="0"/>
      </c>
      <c r="W372" s="155">
        <v>7</v>
      </c>
      <c r="X372" s="169">
        <f t="shared" si="6"/>
      </c>
      <c r="Y372" s="169">
        <f t="shared" si="4"/>
      </c>
      <c r="Z372" s="159">
        <f t="shared" si="232"/>
      </c>
      <c r="AA372" s="159">
        <f t="shared" si="47"/>
      </c>
      <c r="AB372" s="159">
        <f t="shared" si="237"/>
      </c>
      <c r="AC372" s="156">
        <f t="shared" si="235"/>
      </c>
      <c r="AD372" s="156">
        <f t="shared" si="3"/>
      </c>
      <c r="AE372" s="156">
        <f t="shared" si="1"/>
      </c>
      <c r="AF372" s="156">
        <f t="shared" si="7"/>
      </c>
      <c r="AG372" s="156">
        <f t="shared" si="5"/>
      </c>
      <c r="AH372" s="156">
        <f t="shared" si="233"/>
      </c>
      <c r="AI372" s="156">
        <f t="shared" si="48"/>
      </c>
      <c r="AJ372" s="155">
        <v>62</v>
      </c>
      <c r="AK372" s="160">
        <v>24588</v>
      </c>
      <c r="AL372" s="160">
        <v>705</v>
      </c>
      <c r="AM372" s="160">
        <v>995</v>
      </c>
      <c r="AN372" s="160">
        <v>160</v>
      </c>
      <c r="AO372" s="149">
        <v>59</v>
      </c>
      <c r="AP372" s="160">
        <v>196</v>
      </c>
      <c r="AQ372" s="150">
        <v>165</v>
      </c>
      <c r="AR372" s="149">
        <v>11</v>
      </c>
      <c r="AS372" s="155">
        <v>15</v>
      </c>
      <c r="AT372" s="155">
        <v>5</v>
      </c>
      <c r="AU372" s="155">
        <v>16</v>
      </c>
      <c r="AV372" s="207"/>
      <c r="AW372" s="165"/>
      <c r="AX372" s="197">
        <f t="shared" si="310"/>
      </c>
    </row>
    <row r="373">
      <c r="A373" s="234"/>
      <c r="B373" s="149" t="s">
        <v>189</v>
      </c>
      <c r="C373" s="149" t="s">
        <v>182</v>
      </c>
      <c r="D373" s="149" t="s">
        <v>180</v>
      </c>
      <c r="E373" s="149" t="s">
        <v>176</v>
      </c>
      <c r="F373" s="159">
        <f t="shared" si="229"/>
      </c>
      <c r="G373" s="152">
        <v>2576.94</v>
      </c>
      <c r="H373" s="152">
        <v>2049.84</v>
      </c>
      <c r="I373" s="236">
        <v>0</v>
      </c>
      <c r="J373" s="236">
        <v>2</v>
      </c>
      <c r="K373" s="236">
        <v>4118.45</v>
      </c>
      <c r="L373" s="236">
        <v>3</v>
      </c>
      <c r="M373" s="236">
        <v>9154.300000000003</v>
      </c>
      <c r="N373" s="155">
        <v>1</v>
      </c>
      <c r="O373" s="156">
        <f t="shared" si="46"/>
      </c>
      <c r="P373" s="155">
        <v>3</v>
      </c>
      <c r="Q373" s="156">
        <f t="shared" si="236"/>
      </c>
      <c r="R373" s="244">
        <f t="shared" si="24"/>
      </c>
      <c r="S373" s="237">
        <f t="shared" si="43"/>
      </c>
      <c r="T373" s="159">
        <f t="shared" si="234"/>
      </c>
      <c r="U373" s="159">
        <f t="shared" si="2"/>
      </c>
      <c r="V373" s="169">
        <f t="shared" si="0"/>
      </c>
      <c r="W373" s="155">
        <v>5</v>
      </c>
      <c r="X373" s="169">
        <f t="shared" si="6"/>
      </c>
      <c r="Y373" s="169">
        <f t="shared" si="4"/>
      </c>
      <c r="Z373" s="159">
        <f t="shared" si="232"/>
      </c>
      <c r="AA373" s="159">
        <f t="shared" si="47"/>
      </c>
      <c r="AB373" s="159">
        <f t="shared" si="237"/>
      </c>
      <c r="AC373" s="156">
        <f t="shared" si="235"/>
      </c>
      <c r="AD373" s="156">
        <f t="shared" si="3"/>
      </c>
      <c r="AE373" s="156">
        <f t="shared" si="1"/>
      </c>
      <c r="AF373" s="156">
        <f t="shared" si="7"/>
      </c>
      <c r="AG373" s="156">
        <f t="shared" si="5"/>
      </c>
      <c r="AH373" s="156">
        <f t="shared" si="233"/>
      </c>
      <c r="AI373" s="156">
        <f t="shared" si="48"/>
      </c>
      <c r="AJ373" s="155">
        <v>64</v>
      </c>
      <c r="AK373" s="160">
        <v>18613</v>
      </c>
      <c r="AL373" s="160">
        <v>707</v>
      </c>
      <c r="AM373" s="160">
        <v>848</v>
      </c>
      <c r="AN373" s="160">
        <v>139</v>
      </c>
      <c r="AO373" s="149">
        <v>37</v>
      </c>
      <c r="AP373" s="155">
        <v>182</v>
      </c>
      <c r="AQ373" s="149">
        <v>150</v>
      </c>
      <c r="AR373" s="149">
        <v>8</v>
      </c>
      <c r="AS373" s="155">
        <v>10</v>
      </c>
      <c r="AT373" s="155">
        <v>1</v>
      </c>
      <c r="AU373" s="155">
        <v>2</v>
      </c>
      <c r="AV373" s="207"/>
      <c r="AW373" s="165"/>
      <c r="AX373" s="197">
        <f t="shared" si="310"/>
      </c>
    </row>
    <row customHeight="true" ht="16.071428571428573" r="374">
      <c r="A374" s="234"/>
      <c r="B374" s="149" t="s">
        <v>189</v>
      </c>
      <c r="C374" s="149" t="s">
        <v>182</v>
      </c>
      <c r="D374" s="149" t="s">
        <v>180</v>
      </c>
      <c r="E374" s="149" t="s">
        <v>177</v>
      </c>
      <c r="F374" s="159">
        <f t="shared" si="229"/>
      </c>
      <c r="G374" s="152">
        <v>2541.61</v>
      </c>
      <c r="H374" s="152">
        <v>2031.4</v>
      </c>
      <c r="I374" s="236">
        <v>0</v>
      </c>
      <c r="J374" s="236">
        <v>2</v>
      </c>
      <c r="K374" s="236">
        <v>5089.4400000000005</v>
      </c>
      <c r="L374" s="236">
        <v>6</v>
      </c>
      <c r="M374" s="236">
        <v>11961.300000000003</v>
      </c>
      <c r="N374" s="155">
        <v>1</v>
      </c>
      <c r="O374" s="156">
        <f t="shared" si="46"/>
      </c>
      <c r="P374" s="155">
        <v>0</v>
      </c>
      <c r="Q374" s="156">
        <f t="shared" si="236"/>
      </c>
      <c r="R374" s="244">
        <f t="shared" si="24"/>
      </c>
      <c r="S374" s="237">
        <f t="shared" si="43"/>
      </c>
      <c r="T374" s="159">
        <f t="shared" si="234"/>
      </c>
      <c r="U374" s="159">
        <f t="shared" si="2"/>
      </c>
      <c r="V374" s="169">
        <f t="shared" si="0"/>
      </c>
      <c r="W374" s="155">
        <v>5</v>
      </c>
      <c r="X374" s="169">
        <f t="shared" si="6"/>
      </c>
      <c r="Y374" s="169">
        <f t="shared" si="4"/>
      </c>
      <c r="Z374" s="159">
        <f t="shared" si="232"/>
      </c>
      <c r="AA374" s="159">
        <f t="shared" si="47"/>
      </c>
      <c r="AB374" s="159">
        <f t="shared" si="237"/>
      </c>
      <c r="AC374" s="156">
        <f t="shared" si="235"/>
      </c>
      <c r="AD374" s="156">
        <f t="shared" si="3"/>
      </c>
      <c r="AE374" s="156">
        <f t="shared" si="1"/>
      </c>
      <c r="AF374" s="156">
        <f t="shared" si="7"/>
      </c>
      <c r="AG374" s="156">
        <f t="shared" si="5"/>
      </c>
      <c r="AH374" s="156">
        <f t="shared" si="233"/>
      </c>
      <c r="AI374" s="156">
        <f t="shared" si="48"/>
      </c>
      <c r="AJ374" s="155">
        <v>66</v>
      </c>
      <c r="AK374" s="160">
        <v>19043</v>
      </c>
      <c r="AL374" s="160">
        <v>649</v>
      </c>
      <c r="AM374" s="160">
        <v>762</v>
      </c>
      <c r="AN374" s="160">
        <v>106</v>
      </c>
      <c r="AO374" s="149">
        <v>33</v>
      </c>
      <c r="AP374" s="155">
        <v>111</v>
      </c>
      <c r="AQ374" s="149">
        <v>129</v>
      </c>
      <c r="AR374" s="149">
        <v>9</v>
      </c>
      <c r="AS374" s="155">
        <v>12</v>
      </c>
      <c r="AT374" s="155">
        <v>0</v>
      </c>
      <c r="AU374" s="155">
        <v>6</v>
      </c>
      <c r="AV374" s="207"/>
      <c r="AW374" s="165"/>
      <c r="AX374" s="197">
        <f t="shared" si="310"/>
      </c>
    </row>
    <row r="375">
      <c r="A375" s="234"/>
      <c r="B375" s="171" t="s">
        <v>162</v>
      </c>
      <c r="C375" s="171"/>
      <c r="D375" s="171"/>
      <c r="E375" s="171"/>
      <c r="F375" s="173">
        <f>SUM(F370:F374)</f>
      </c>
      <c r="G375" s="173">
        <f>SUM(G370:G374)</f>
      </c>
      <c r="H375" s="173">
        <f>SUM(H370:H374)</f>
      </c>
      <c r="I375" s="173">
        <f>SUM(I370:I374)</f>
      </c>
      <c r="J375" s="173">
        <f>SUM(J370:J374)</f>
      </c>
      <c r="K375" s="173">
        <f>SUM(K370:K374)</f>
      </c>
      <c r="L375" s="173">
        <f>SUM(L370:L374)</f>
      </c>
      <c r="M375" s="173">
        <f>SUM(M370:M374)</f>
      </c>
      <c r="N375" s="250">
        <f>SUM(N370:N374)</f>
      </c>
      <c r="O375" s="175">
        <f t="shared" si="46"/>
      </c>
      <c r="P375" s="250">
        <f>SUM(P370:P374)</f>
      </c>
      <c r="Q375" s="175">
        <f t="shared" si="236"/>
      </c>
      <c r="R375" s="173">
        <f>SUM(R370:R374)</f>
      </c>
      <c r="S375" s="173">
        <f>SUM(S370:S374)</f>
      </c>
      <c r="T375" s="173">
        <f t="shared" si="234"/>
      </c>
      <c r="U375" s="173">
        <f t="shared" si="2"/>
      </c>
      <c r="V375" s="173">
        <f t="shared" si="0"/>
      </c>
      <c r="W375" s="173">
        <f>SUM(W370:W374)</f>
      </c>
      <c r="X375" s="194">
        <f t="shared" si="6"/>
      </c>
      <c r="Y375" s="194">
        <f t="shared" si="4"/>
      </c>
      <c r="Z375" s="173">
        <f t="shared" si="232"/>
      </c>
      <c r="AA375" s="173">
        <f t="shared" si="47"/>
      </c>
      <c r="AB375" s="238">
        <f t="shared" si="237"/>
      </c>
      <c r="AC375" s="175">
        <f t="shared" si="235"/>
      </c>
      <c r="AD375" s="175">
        <f t="shared" si="3"/>
      </c>
      <c r="AE375" s="175">
        <f t="shared" si="1"/>
      </c>
      <c r="AF375" s="175">
        <f t="shared" si="7"/>
      </c>
      <c r="AG375" s="175">
        <f t="shared" si="5"/>
      </c>
      <c r="AH375" s="175">
        <f t="shared" si="233"/>
      </c>
      <c r="AI375" s="175">
        <f t="shared" si="48"/>
      </c>
      <c r="AJ375" s="178">
        <f>AVERAGE(AJ370:AJ374)</f>
      </c>
      <c r="AK375" s="173">
        <f>SUM(AK370:AK374)</f>
      </c>
      <c r="AL375" s="173">
        <f>SUM(AL370:AL374)</f>
      </c>
      <c r="AM375" s="173">
        <f>SUM(AM370:AM374)</f>
      </c>
      <c r="AN375" s="173">
        <f>SUM(AN370:AN374)</f>
      </c>
      <c r="AO375" s="173">
        <f>SUM(AO370:AO374)</f>
      </c>
      <c r="AP375" s="173">
        <f>SUM(AP370:AP374)</f>
      </c>
      <c r="AQ375" s="173">
        <f>SUM(AQ370:AQ374)</f>
      </c>
      <c r="AR375" s="173">
        <f>SUM(AR370:AR374)</f>
      </c>
      <c r="AS375" s="173">
        <f>SUM(AS370:AS374)</f>
      </c>
      <c r="AT375" s="173">
        <f>SUM(AT370:AT374)</f>
      </c>
      <c r="AU375" s="173">
        <f>SUM(AU370:AU374)</f>
      </c>
      <c r="AV375" s="207"/>
      <c r="AW375" s="180"/>
      <c r="AX375" s="173">
        <f>SUM(AX370:AX374)</f>
      </c>
    </row>
    <row customHeight="true" ht="16.071428571428573" r="376">
      <c r="A376" s="234"/>
      <c r="B376" s="149" t="s">
        <v>156</v>
      </c>
      <c r="C376" s="150" t="s">
        <v>157</v>
      </c>
      <c r="D376" s="149" t="s">
        <v>163</v>
      </c>
      <c r="E376" s="150" t="s">
        <v>178</v>
      </c>
      <c r="F376" s="159">
        <f t="shared" ref="F376:F380" si="230">G376+H376+I376</f>
      </c>
      <c r="G376" s="152">
        <v>2106.09</v>
      </c>
      <c r="H376" s="152">
        <v>1838.7</v>
      </c>
      <c r="I376" s="236">
        <v>0</v>
      </c>
      <c r="J376" s="236">
        <v>1</v>
      </c>
      <c r="K376" s="236">
        <v>1055.449999999999</v>
      </c>
      <c r="L376" s="236">
        <v>1</v>
      </c>
      <c r="M376" s="236">
        <v>1371.800000000003</v>
      </c>
      <c r="N376" s="155">
        <v>0</v>
      </c>
      <c r="O376" s="156">
        <f t="shared" si="46"/>
      </c>
      <c r="P376" s="155">
        <v>0</v>
      </c>
      <c r="Q376" s="156">
        <f t="shared" si="236"/>
      </c>
      <c r="R376" s="244">
        <f t="shared" ref="R376:R380" si="25">J376+L376</f>
      </c>
      <c r="S376" s="237">
        <f t="shared" ref="S376:S380" si="44">K376+M376</f>
      </c>
      <c r="T376" s="159">
        <f t="shared" si="234"/>
      </c>
      <c r="U376" s="159">
        <f t="shared" si="2"/>
      </c>
      <c r="V376" s="169">
        <f t="shared" si="0"/>
      </c>
      <c r="W376" s="155">
        <v>2</v>
      </c>
      <c r="X376" s="169">
        <f t="shared" si="6"/>
      </c>
      <c r="Y376" s="169">
        <f t="shared" si="4"/>
      </c>
      <c r="Z376" s="159">
        <f t="shared" si="232"/>
      </c>
      <c r="AA376" s="159">
        <f t="shared" si="47"/>
      </c>
      <c r="AB376" s="159">
        <f t="shared" si="237"/>
      </c>
      <c r="AC376" s="156">
        <f t="shared" si="235"/>
      </c>
      <c r="AD376" s="156">
        <f t="shared" si="3"/>
      </c>
      <c r="AE376" s="156">
        <f t="shared" si="1"/>
      </c>
      <c r="AF376" s="156">
        <f t="shared" si="7"/>
      </c>
      <c r="AG376" s="156">
        <f t="shared" si="5"/>
      </c>
      <c r="AH376" s="156">
        <f t="shared" si="233"/>
      </c>
      <c r="AI376" s="156">
        <f t="shared" si="48"/>
      </c>
      <c r="AJ376" s="155">
        <v>64</v>
      </c>
      <c r="AK376" s="160">
        <v>17962</v>
      </c>
      <c r="AL376" s="160">
        <v>576</v>
      </c>
      <c r="AM376" s="160">
        <v>663</v>
      </c>
      <c r="AN376" s="160">
        <v>93</v>
      </c>
      <c r="AO376" s="149">
        <v>20</v>
      </c>
      <c r="AP376" s="160">
        <v>68</v>
      </c>
      <c r="AQ376" s="150">
        <v>94</v>
      </c>
      <c r="AR376" s="149">
        <v>3</v>
      </c>
      <c r="AS376" s="149">
        <v>9</v>
      </c>
      <c r="AT376" s="155">
        <v>1</v>
      </c>
      <c r="AU376" s="155">
        <v>3</v>
      </c>
      <c r="AV376" s="207"/>
      <c r="AW376" s="165"/>
      <c r="AX376" s="197">
        <f t="shared" ref="AX376:AX380" si="311">COUNT(AU376)</f>
      </c>
    </row>
    <row r="377">
      <c r="A377" s="234"/>
      <c r="B377" s="149" t="s">
        <v>156</v>
      </c>
      <c r="C377" s="150" t="s">
        <v>157</v>
      </c>
      <c r="D377" s="149" t="s">
        <v>163</v>
      </c>
      <c r="E377" s="150" t="s">
        <v>159</v>
      </c>
      <c r="F377" s="159">
        <f t="shared" si="230"/>
      </c>
      <c r="G377" s="152">
        <v>1790.74</v>
      </c>
      <c r="H377" s="152">
        <v>2242.74</v>
      </c>
      <c r="I377" s="236">
        <v>0</v>
      </c>
      <c r="J377" s="236">
        <v>0</v>
      </c>
      <c r="K377" s="236">
        <v>0</v>
      </c>
      <c r="L377" s="236">
        <v>1</v>
      </c>
      <c r="M377" s="236">
        <v>1588.3999999999942</v>
      </c>
      <c r="N377" s="155">
        <v>0</v>
      </c>
      <c r="O377" s="156">
        <f t="shared" si="46"/>
      </c>
      <c r="P377" s="155">
        <v>0</v>
      </c>
      <c r="Q377" s="156">
        <f t="shared" si="236"/>
      </c>
      <c r="R377" s="244">
        <f t="shared" si="25"/>
      </c>
      <c r="S377" s="237">
        <f t="shared" si="44"/>
      </c>
      <c r="T377" s="159">
        <f t="shared" si="234"/>
      </c>
      <c r="U377" s="159">
        <f t="shared" si="2"/>
      </c>
      <c r="V377" s="169">
        <f t="shared" si="0"/>
      </c>
      <c r="W377" s="155">
        <v>1</v>
      </c>
      <c r="X377" s="169">
        <f t="shared" si="6"/>
      </c>
      <c r="Y377" s="169">
        <f t="shared" si="4"/>
      </c>
      <c r="Z377" s="159">
        <f t="shared" si="232"/>
      </c>
      <c r="AA377" s="159">
        <f t="shared" si="47"/>
      </c>
      <c r="AB377" s="159">
        <f t="shared" si="237"/>
      </c>
      <c r="AC377" s="156">
        <f t="shared" si="235"/>
      </c>
      <c r="AD377" s="156">
        <f t="shared" si="3"/>
      </c>
      <c r="AE377" s="156">
        <f t="shared" si="1"/>
      </c>
      <c r="AF377" s="156">
        <f t="shared" si="7"/>
      </c>
      <c r="AG377" s="156">
        <f t="shared" si="5"/>
      </c>
      <c r="AH377" s="156">
        <f t="shared" si="233"/>
      </c>
      <c r="AI377" s="156">
        <f t="shared" si="48"/>
      </c>
      <c r="AJ377" s="155">
        <v>65</v>
      </c>
      <c r="AK377" s="160">
        <v>17757</v>
      </c>
      <c r="AL377" s="160">
        <v>504</v>
      </c>
      <c r="AM377" s="160">
        <v>615</v>
      </c>
      <c r="AN377" s="160">
        <v>108</v>
      </c>
      <c r="AO377" s="149">
        <v>35</v>
      </c>
      <c r="AP377" s="160">
        <v>126</v>
      </c>
      <c r="AQ377" s="150">
        <v>87</v>
      </c>
      <c r="AR377" s="149">
        <v>3</v>
      </c>
      <c r="AS377" s="149">
        <v>6</v>
      </c>
      <c r="AT377" s="155">
        <v>0</v>
      </c>
      <c r="AU377" s="155">
        <v>4</v>
      </c>
      <c r="AV377" s="207"/>
      <c r="AW377" s="165"/>
      <c r="AX377" s="197">
        <f t="shared" si="311"/>
      </c>
    </row>
    <row r="378">
      <c r="A378" s="234"/>
      <c r="B378" s="149" t="s">
        <v>156</v>
      </c>
      <c r="C378" s="150" t="s">
        <v>157</v>
      </c>
      <c r="D378" s="149" t="s">
        <v>163</v>
      </c>
      <c r="E378" s="150" t="s">
        <v>160</v>
      </c>
      <c r="F378" s="159">
        <f t="shared" si="230"/>
      </c>
      <c r="G378" s="152">
        <v>1965.48</v>
      </c>
      <c r="H378" s="152">
        <v>3863.37</v>
      </c>
      <c r="I378" s="236">
        <v>0</v>
      </c>
      <c r="J378" s="236">
        <v>1</v>
      </c>
      <c r="K378" s="236">
        <v>936.7000000000007</v>
      </c>
      <c r="L378" s="236">
        <v>5</v>
      </c>
      <c r="M378" s="236">
        <v>7899.390000000007</v>
      </c>
      <c r="N378" s="155">
        <v>2</v>
      </c>
      <c r="O378" s="156">
        <f t="shared" si="46"/>
      </c>
      <c r="P378" s="155">
        <v>1</v>
      </c>
      <c r="Q378" s="156">
        <f t="shared" si="236"/>
      </c>
      <c r="R378" s="244">
        <f t="shared" si="25"/>
      </c>
      <c r="S378" s="237">
        <f t="shared" si="44"/>
      </c>
      <c r="T378" s="159">
        <f t="shared" si="234"/>
      </c>
      <c r="U378" s="159">
        <f t="shared" si="2"/>
      </c>
      <c r="V378" s="169">
        <f t="shared" si="0"/>
      </c>
      <c r="W378" s="155">
        <v>5</v>
      </c>
      <c r="X378" s="169">
        <f t="shared" si="6"/>
      </c>
      <c r="Y378" s="169">
        <f t="shared" si="4"/>
      </c>
      <c r="Z378" s="159">
        <f t="shared" si="232"/>
      </c>
      <c r="AA378" s="159">
        <f t="shared" si="47"/>
      </c>
      <c r="AB378" s="159">
        <f t="shared" si="237"/>
      </c>
      <c r="AC378" s="156">
        <f t="shared" si="235"/>
      </c>
      <c r="AD378" s="156">
        <f t="shared" si="3"/>
      </c>
      <c r="AE378" s="156">
        <f t="shared" si="1"/>
      </c>
      <c r="AF378" s="156">
        <f t="shared" si="7"/>
      </c>
      <c r="AG378" s="156">
        <f t="shared" si="5"/>
      </c>
      <c r="AH378" s="156">
        <f t="shared" si="233"/>
      </c>
      <c r="AI378" s="156">
        <f t="shared" si="48"/>
      </c>
      <c r="AJ378" s="155">
        <v>66</v>
      </c>
      <c r="AK378" s="160">
        <v>22786</v>
      </c>
      <c r="AL378" s="160">
        <v>599</v>
      </c>
      <c r="AM378" s="160">
        <v>843</v>
      </c>
      <c r="AN378" s="160">
        <v>125</v>
      </c>
      <c r="AO378" s="149">
        <v>34</v>
      </c>
      <c r="AP378" s="160">
        <v>104</v>
      </c>
      <c r="AQ378" s="149">
        <v>124</v>
      </c>
      <c r="AR378" s="149">
        <v>6</v>
      </c>
      <c r="AS378" s="149">
        <v>4</v>
      </c>
      <c r="AT378" s="155">
        <v>0</v>
      </c>
      <c r="AU378" s="155">
        <v>10</v>
      </c>
      <c r="AV378" s="207"/>
      <c r="AW378" s="165"/>
      <c r="AX378" s="197">
        <f t="shared" si="311"/>
      </c>
    </row>
    <row r="379">
      <c r="A379" s="234"/>
      <c r="B379" s="149" t="s">
        <v>156</v>
      </c>
      <c r="C379" s="150" t="s">
        <v>157</v>
      </c>
      <c r="D379" s="149" t="s">
        <v>163</v>
      </c>
      <c r="E379" s="150" t="s">
        <v>161</v>
      </c>
      <c r="F379" s="159">
        <f t="shared" si="230"/>
      </c>
      <c r="G379" s="152">
        <v>1307.2</v>
      </c>
      <c r="H379" s="152">
        <v>2558.44</v>
      </c>
      <c r="I379" s="236">
        <v>0</v>
      </c>
      <c r="J379" s="236">
        <v>1</v>
      </c>
      <c r="K379" s="236">
        <v>751.5499999999993</v>
      </c>
      <c r="L379" s="236">
        <v>7</v>
      </c>
      <c r="M379" s="236">
        <v>32108.42</v>
      </c>
      <c r="N379" s="155">
        <v>3</v>
      </c>
      <c r="O379" s="156">
        <f t="shared" si="46"/>
      </c>
      <c r="P379" s="155">
        <v>4</v>
      </c>
      <c r="Q379" s="156">
        <f t="shared" si="236"/>
      </c>
      <c r="R379" s="244">
        <f t="shared" si="25"/>
      </c>
      <c r="S379" s="237">
        <f t="shared" si="44"/>
      </c>
      <c r="T379" s="159">
        <f t="shared" si="234"/>
      </c>
      <c r="U379" s="159">
        <f t="shared" si="2"/>
      </c>
      <c r="V379" s="169">
        <f t="shared" si="0"/>
      </c>
      <c r="W379" s="155">
        <v>5</v>
      </c>
      <c r="X379" s="169">
        <f t="shared" si="6"/>
      </c>
      <c r="Y379" s="169">
        <f t="shared" si="4"/>
      </c>
      <c r="Z379" s="159">
        <f t="shared" si="232"/>
      </c>
      <c r="AA379" s="159">
        <f t="shared" si="47"/>
      </c>
      <c r="AB379" s="159">
        <f t="shared" si="237"/>
      </c>
      <c r="AC379" s="156">
        <f t="shared" si="235"/>
      </c>
      <c r="AD379" s="156">
        <f t="shared" si="3"/>
      </c>
      <c r="AE379" s="156">
        <f t="shared" si="1"/>
      </c>
      <c r="AF379" s="156">
        <f t="shared" si="7"/>
      </c>
      <c r="AG379" s="156">
        <f t="shared" si="5"/>
      </c>
      <c r="AH379" s="156">
        <f t="shared" si="233"/>
      </c>
      <c r="AI379" s="156">
        <f t="shared" si="48"/>
      </c>
      <c r="AJ379" s="155">
        <v>68</v>
      </c>
      <c r="AK379" s="160">
        <v>18980</v>
      </c>
      <c r="AL379" s="160">
        <v>492</v>
      </c>
      <c r="AM379" s="160">
        <v>766</v>
      </c>
      <c r="AN379" s="160">
        <v>107</v>
      </c>
      <c r="AO379" s="149">
        <v>37</v>
      </c>
      <c r="AP379" s="155">
        <v>113</v>
      </c>
      <c r="AQ379" s="149">
        <v>121</v>
      </c>
      <c r="AR379" s="149">
        <v>9</v>
      </c>
      <c r="AS379" s="155">
        <v>9</v>
      </c>
      <c r="AT379" s="155">
        <v>3</v>
      </c>
      <c r="AU379" s="155">
        <v>11</v>
      </c>
      <c r="AV379" s="207"/>
      <c r="AW379" s="165"/>
      <c r="AX379" s="197">
        <f t="shared" si="311"/>
      </c>
    </row>
    <row r="380">
      <c r="A380" s="234"/>
      <c r="B380" s="149" t="s">
        <v>156</v>
      </c>
      <c r="C380" s="150" t="s">
        <v>157</v>
      </c>
      <c r="D380" s="149" t="s">
        <v>163</v>
      </c>
      <c r="E380" s="150" t="s">
        <v>164</v>
      </c>
      <c r="F380" s="246">
        <f t="shared" si="230"/>
      </c>
      <c r="G380" s="247">
        <v>1310.41</v>
      </c>
      <c r="H380" s="247">
        <v>2018.75</v>
      </c>
      <c r="I380" s="236">
        <v>0</v>
      </c>
      <c r="J380" s="236">
        <v>1</v>
      </c>
      <c r="K380" s="236">
        <v>3212.75</v>
      </c>
      <c r="L380" s="236">
        <v>2</v>
      </c>
      <c r="M380" s="236">
        <v>2633.4000000000087</v>
      </c>
      <c r="N380" s="155">
        <v>0</v>
      </c>
      <c r="O380" s="156">
        <f t="shared" si="46"/>
      </c>
      <c r="P380" s="155">
        <v>1</v>
      </c>
      <c r="Q380" s="156">
        <f t="shared" si="236"/>
      </c>
      <c r="R380" s="244">
        <f t="shared" si="25"/>
      </c>
      <c r="S380" s="237">
        <f t="shared" si="44"/>
      </c>
      <c r="T380" s="159">
        <f t="shared" si="234"/>
      </c>
      <c r="U380" s="159">
        <f t="shared" si="2"/>
      </c>
      <c r="V380" s="169">
        <f t="shared" si="0"/>
      </c>
      <c r="W380" s="155">
        <v>2</v>
      </c>
      <c r="X380" s="169">
        <f t="shared" si="6"/>
      </c>
      <c r="Y380" s="169">
        <f t="shared" si="4"/>
      </c>
      <c r="Z380" s="159">
        <f t="shared" si="232"/>
      </c>
      <c r="AA380" s="159">
        <f t="shared" si="47"/>
      </c>
      <c r="AB380" s="159">
        <f t="shared" si="237"/>
      </c>
      <c r="AC380" s="156">
        <f t="shared" si="235"/>
      </c>
      <c r="AD380" s="156">
        <f t="shared" si="3"/>
      </c>
      <c r="AE380" s="156">
        <f t="shared" si="1"/>
      </c>
      <c r="AF380" s="156">
        <f t="shared" si="7"/>
      </c>
      <c r="AG380" s="156">
        <f t="shared" si="5"/>
      </c>
      <c r="AH380" s="156">
        <f t="shared" si="233"/>
      </c>
      <c r="AI380" s="156">
        <f t="shared" si="48"/>
      </c>
      <c r="AJ380" s="155">
        <v>69</v>
      </c>
      <c r="AK380" s="160">
        <v>15332</v>
      </c>
      <c r="AL380" s="160">
        <v>402</v>
      </c>
      <c r="AM380" s="160">
        <v>579</v>
      </c>
      <c r="AN380" s="160">
        <v>87</v>
      </c>
      <c r="AO380" s="149">
        <v>19</v>
      </c>
      <c r="AP380" s="155">
        <v>71</v>
      </c>
      <c r="AQ380" s="149">
        <v>75</v>
      </c>
      <c r="AR380" s="149">
        <v>3</v>
      </c>
      <c r="AS380" s="160">
        <v>3</v>
      </c>
      <c r="AT380" s="160">
        <v>1</v>
      </c>
      <c r="AU380" s="155">
        <v>1</v>
      </c>
      <c r="AV380" s="207"/>
      <c r="AW380" s="165"/>
      <c r="AX380" s="197">
        <f t="shared" si="311"/>
      </c>
    </row>
    <row r="381">
      <c r="A381" s="234"/>
      <c r="B381" s="171" t="s">
        <v>162</v>
      </c>
      <c r="C381" s="171"/>
      <c r="D381" s="171"/>
      <c r="E381" s="171"/>
      <c r="F381" s="173">
        <f>SUM(F376:F380)</f>
      </c>
      <c r="G381" s="173">
        <f>SUM(G376:G380)</f>
      </c>
      <c r="H381" s="173">
        <f>SUM(H376:H380)</f>
      </c>
      <c r="I381" s="173">
        <f>SUM(I376:I380)</f>
      </c>
      <c r="J381" s="173">
        <f>SUM(J376:J380)</f>
      </c>
      <c r="K381" s="173">
        <f>SUM(K376:K380)</f>
      </c>
      <c r="L381" s="173">
        <f>SUM(L376:L380)</f>
      </c>
      <c r="M381" s="173">
        <f>SUM(M376:M380)</f>
      </c>
      <c r="N381" s="173">
        <f>SUM(N376:N380)</f>
      </c>
      <c r="O381" s="175">
        <f t="shared" si="46"/>
      </c>
      <c r="P381" s="173">
        <f>SUM(P376:P380)</f>
      </c>
      <c r="Q381" s="175">
        <f t="shared" si="236"/>
      </c>
      <c r="R381" s="173">
        <f>SUM(R376:R380)</f>
      </c>
      <c r="S381" s="173">
        <f>SUM(S376:S380)</f>
      </c>
      <c r="T381" s="173">
        <f t="shared" si="234"/>
      </c>
      <c r="U381" s="173">
        <f t="shared" si="2"/>
      </c>
      <c r="V381" s="194">
        <f t="shared" si="0"/>
      </c>
      <c r="W381" s="173">
        <f>SUM(W376:W380)</f>
      </c>
      <c r="X381" s="194">
        <f t="shared" si="6"/>
      </c>
      <c r="Y381" s="194">
        <f t="shared" si="4"/>
      </c>
      <c r="Z381" s="173">
        <f t="shared" si="232"/>
      </c>
      <c r="AA381" s="173">
        <f t="shared" si="47"/>
      </c>
      <c r="AB381" s="238">
        <f t="shared" si="237"/>
      </c>
      <c r="AC381" s="175">
        <f t="shared" si="235"/>
      </c>
      <c r="AD381" s="175">
        <f t="shared" si="3"/>
      </c>
      <c r="AE381" s="175">
        <f t="shared" si="1"/>
      </c>
      <c r="AF381" s="245">
        <f t="shared" si="7"/>
      </c>
      <c r="AG381" s="175">
        <f t="shared" si="5"/>
      </c>
      <c r="AH381" s="175">
        <f t="shared" si="233"/>
      </c>
      <c r="AI381" s="175">
        <f t="shared" si="48"/>
      </c>
      <c r="AJ381" s="178">
        <f>AVERAGE(AJ376:AJ380)</f>
      </c>
      <c r="AK381" s="173">
        <f>SUM(AK376:AK380)</f>
      </c>
      <c r="AL381" s="173">
        <f>SUM(AL376:AL380)</f>
      </c>
      <c r="AM381" s="173">
        <f>SUM(AM376:AM380)</f>
      </c>
      <c r="AN381" s="173">
        <f>SUM(AN376:AN380)</f>
      </c>
      <c r="AO381" s="173">
        <f>SUM(AO376:AO380)</f>
      </c>
      <c r="AP381" s="173">
        <f>SUM(AP376:AP380)</f>
      </c>
      <c r="AQ381" s="173">
        <f>SUM(AQ376:AQ380)</f>
      </c>
      <c r="AR381" s="173">
        <f>SUM(AR376:AR380)</f>
      </c>
      <c r="AS381" s="173">
        <f>SUM(AS376:AS380)</f>
      </c>
      <c r="AT381" s="173">
        <f>SUM(AT376:AT380)</f>
      </c>
      <c r="AU381" s="173">
        <f>SUM(AU376:AU380)</f>
      </c>
      <c r="AV381" s="207"/>
      <c r="AW381" s="180"/>
      <c r="AX381" s="173">
        <f>SUM(AX376:AX380)</f>
      </c>
    </row>
    <row r="382">
      <c r="A382" s="234"/>
      <c r="B382" s="149" t="s">
        <v>156</v>
      </c>
      <c r="C382" s="150" t="s">
        <v>157</v>
      </c>
      <c r="D382" s="149" t="s">
        <v>179</v>
      </c>
      <c r="E382" s="150" t="s">
        <v>165</v>
      </c>
      <c r="F382" s="246">
        <f t="shared" ref="F382:F385" si="231">G382+H382+I382</f>
      </c>
      <c r="G382" s="247">
        <v>2732.17</v>
      </c>
      <c r="H382" s="247">
        <v>2761.05</v>
      </c>
      <c r="I382" s="236">
        <v>0</v>
      </c>
      <c r="J382" s="236">
        <v>1</v>
      </c>
      <c r="K382" s="236">
        <v>879</v>
      </c>
      <c r="L382" s="236">
        <v>0</v>
      </c>
      <c r="M382" s="236">
        <v>0</v>
      </c>
      <c r="N382" s="155">
        <v>0</v>
      </c>
      <c r="O382" s="156">
        <f t="shared" si="46"/>
      </c>
      <c r="P382" s="155">
        <v>0</v>
      </c>
      <c r="Q382" s="156">
        <f t="shared" si="236"/>
      </c>
      <c r="R382" s="249">
        <f t="shared" ref="R382:R385" si="26">J382+L382</f>
      </c>
      <c r="S382" s="237">
        <f t="shared" ref="S382:S385" si="45">K382+M382</f>
      </c>
      <c r="T382" s="159">
        <f t="shared" si="234"/>
      </c>
      <c r="U382" s="159">
        <f t="shared" si="2"/>
      </c>
      <c r="V382" s="169">
        <f t="shared" si="0"/>
      </c>
      <c r="W382" s="155">
        <v>1</v>
      </c>
      <c r="X382" s="169">
        <f t="shared" si="6"/>
      </c>
      <c r="Y382" s="169">
        <f t="shared" si="4"/>
      </c>
      <c r="Z382" s="159">
        <f t="shared" si="232"/>
      </c>
      <c r="AA382" s="159">
        <f t="shared" si="47"/>
      </c>
      <c r="AB382" s="159">
        <f t="shared" si="237"/>
      </c>
      <c r="AC382" s="156">
        <f t="shared" si="235"/>
      </c>
      <c r="AD382" s="156">
        <f t="shared" si="3"/>
      </c>
      <c r="AE382" s="156">
        <f t="shared" si="1"/>
      </c>
      <c r="AF382" s="156">
        <f t="shared" si="7"/>
      </c>
      <c r="AG382" s="156">
        <f t="shared" si="5"/>
      </c>
      <c r="AH382" s="156">
        <f t="shared" si="233"/>
      </c>
      <c r="AI382" s="156">
        <f t="shared" si="48"/>
      </c>
      <c r="AJ382" s="155">
        <v>65</v>
      </c>
      <c r="AK382" s="160">
        <v>28634</v>
      </c>
      <c r="AL382" s="160">
        <v>856</v>
      </c>
      <c r="AM382" s="160">
        <v>1242</v>
      </c>
      <c r="AN382" s="160">
        <v>141</v>
      </c>
      <c r="AO382" s="149">
        <v>47</v>
      </c>
      <c r="AP382" s="160">
        <v>152</v>
      </c>
      <c r="AQ382" s="150">
        <v>148</v>
      </c>
      <c r="AR382" s="149">
        <v>3</v>
      </c>
      <c r="AS382" s="155">
        <v>17</v>
      </c>
      <c r="AT382" s="155">
        <v>4</v>
      </c>
      <c r="AU382" s="155">
        <v>7</v>
      </c>
      <c r="AV382" s="207"/>
      <c r="AW382" s="165"/>
      <c r="AX382" s="197">
        <f t="shared" ref="AX382:AX385" si="312">COUNT(AU382)</f>
      </c>
    </row>
    <row r="383">
      <c r="A383" s="234"/>
      <c r="B383" s="149" t="s">
        <v>156</v>
      </c>
      <c r="C383" s="150" t="s">
        <v>157</v>
      </c>
      <c r="D383" s="149" t="s">
        <v>179</v>
      </c>
      <c r="E383" s="150" t="s">
        <v>168</v>
      </c>
      <c r="F383" s="246">
        <f t="shared" si="231"/>
      </c>
      <c r="G383" s="247">
        <v>1823.34</v>
      </c>
      <c r="H383" s="247">
        <v>1682.01</v>
      </c>
      <c r="I383" s="236">
        <v>0</v>
      </c>
      <c r="J383" s="236">
        <v>0</v>
      </c>
      <c r="K383" s="236">
        <v>0</v>
      </c>
      <c r="L383" s="236">
        <v>1</v>
      </c>
      <c r="M383" s="236">
        <v>2196</v>
      </c>
      <c r="N383" s="155">
        <v>0</v>
      </c>
      <c r="O383" s="156">
        <f t="shared" si="46"/>
      </c>
      <c r="P383" s="155">
        <v>0</v>
      </c>
      <c r="Q383" s="156">
        <f t="shared" si="236"/>
      </c>
      <c r="R383" s="249">
        <f t="shared" si="26"/>
      </c>
      <c r="S383" s="237">
        <f t="shared" si="45"/>
      </c>
      <c r="T383" s="159">
        <f t="shared" si="234"/>
      </c>
      <c r="U383" s="159">
        <f t="shared" si="2"/>
      </c>
      <c r="V383" s="169">
        <f t="shared" si="0"/>
      </c>
      <c r="W383" s="155">
        <v>1</v>
      </c>
      <c r="X383" s="169">
        <f t="shared" si="6"/>
      </c>
      <c r="Y383" s="169">
        <f t="shared" si="4"/>
      </c>
      <c r="Z383" s="159">
        <f t="shared" si="232"/>
      </c>
      <c r="AA383" s="159">
        <f t="shared" si="47"/>
      </c>
      <c r="AB383" s="159">
        <f t="shared" si="237"/>
      </c>
      <c r="AC383" s="156">
        <f t="shared" si="235"/>
      </c>
      <c r="AD383" s="156">
        <f t="shared" si="3"/>
      </c>
      <c r="AE383" s="156">
        <f t="shared" si="1"/>
      </c>
      <c r="AF383" s="156">
        <f t="shared" si="7"/>
      </c>
      <c r="AG383" s="156">
        <f t="shared" si="5"/>
      </c>
      <c r="AH383" s="156">
        <f t="shared" si="233"/>
      </c>
      <c r="AI383" s="156">
        <f t="shared" si="48"/>
      </c>
      <c r="AJ383" s="155">
        <v>63</v>
      </c>
      <c r="AK383" s="160">
        <v>16999</v>
      </c>
      <c r="AL383" s="160">
        <v>523</v>
      </c>
      <c r="AM383" s="160">
        <v>836</v>
      </c>
      <c r="AN383" s="160">
        <v>82</v>
      </c>
      <c r="AO383" s="149">
        <v>33</v>
      </c>
      <c r="AP383" s="160">
        <v>80</v>
      </c>
      <c r="AQ383" s="150">
        <v>98</v>
      </c>
      <c r="AR383" s="149">
        <v>2</v>
      </c>
      <c r="AS383" s="160">
        <v>4</v>
      </c>
      <c r="AT383" s="160">
        <v>0</v>
      </c>
      <c r="AU383" s="155">
        <v>8</v>
      </c>
      <c r="AV383" s="207"/>
      <c r="AW383" s="165"/>
      <c r="AX383" s="197">
        <f t="shared" si="312"/>
      </c>
    </row>
    <row r="384">
      <c r="A384" s="234"/>
      <c r="B384" s="149" t="s">
        <v>156</v>
      </c>
      <c r="C384" s="150" t="s">
        <v>157</v>
      </c>
      <c r="D384" s="149" t="s">
        <v>179</v>
      </c>
      <c r="E384" s="150" t="s">
        <v>171</v>
      </c>
      <c r="F384" s="246">
        <f t="shared" si="231"/>
      </c>
      <c r="G384" s="247">
        <v>2373.99</v>
      </c>
      <c r="H384" s="247">
        <v>2032.92</v>
      </c>
      <c r="I384" s="236">
        <v>0</v>
      </c>
      <c r="J384" s="236">
        <v>1</v>
      </c>
      <c r="K384" s="236">
        <v>835.0500000000029</v>
      </c>
      <c r="L384" s="236">
        <v>2</v>
      </c>
      <c r="M384" s="236">
        <v>4703.4100000000035</v>
      </c>
      <c r="N384" s="155">
        <v>1</v>
      </c>
      <c r="O384" s="156">
        <f t="shared" si="46"/>
      </c>
      <c r="P384" s="155">
        <v>1</v>
      </c>
      <c r="Q384" s="156">
        <f t="shared" si="236"/>
      </c>
      <c r="R384" s="249">
        <f t="shared" si="26"/>
      </c>
      <c r="S384" s="237">
        <f t="shared" si="45"/>
      </c>
      <c r="T384" s="159">
        <f t="shared" si="234"/>
      </c>
      <c r="U384" s="159">
        <f t="shared" si="2"/>
      </c>
      <c r="V384" s="169">
        <f t="shared" si="0"/>
      </c>
      <c r="W384" s="155">
        <v>2</v>
      </c>
      <c r="X384" s="169">
        <f t="shared" si="6"/>
      </c>
      <c r="Y384" s="169">
        <f t="shared" si="4"/>
      </c>
      <c r="Z384" s="159">
        <f t="shared" si="232"/>
      </c>
      <c r="AA384" s="159">
        <f t="shared" si="47"/>
      </c>
      <c r="AB384" s="159">
        <f t="shared" si="237"/>
      </c>
      <c r="AC384" s="156">
        <f t="shared" si="235"/>
      </c>
      <c r="AD384" s="156">
        <f t="shared" si="3"/>
      </c>
      <c r="AE384" s="156">
        <f t="shared" si="1"/>
      </c>
      <c r="AF384" s="156">
        <f t="shared" si="7"/>
      </c>
      <c r="AG384" s="156">
        <f t="shared" si="5"/>
      </c>
      <c r="AH384" s="156">
        <f t="shared" si="233"/>
      </c>
      <c r="AI384" s="156">
        <f t="shared" si="48"/>
      </c>
      <c r="AJ384" s="155">
        <v>61</v>
      </c>
      <c r="AK384" s="155">
        <v>22361</v>
      </c>
      <c r="AL384" s="160">
        <v>818</v>
      </c>
      <c r="AM384" s="160">
        <v>1301</v>
      </c>
      <c r="AN384" s="160">
        <v>127</v>
      </c>
      <c r="AO384" s="149">
        <v>37</v>
      </c>
      <c r="AP384" s="160">
        <v>115</v>
      </c>
      <c r="AQ384" s="150">
        <v>136</v>
      </c>
      <c r="AR384" s="149">
        <v>4</v>
      </c>
      <c r="AS384" s="155">
        <v>17</v>
      </c>
      <c r="AT384" s="155">
        <v>2</v>
      </c>
      <c r="AU384" s="155">
        <v>5</v>
      </c>
      <c r="AV384" s="207"/>
      <c r="AW384" s="165"/>
      <c r="AX384" s="197">
        <f t="shared" si="312"/>
      </c>
    </row>
    <row r="385">
      <c r="A385" s="234"/>
      <c r="B385" s="149" t="s">
        <v>156</v>
      </c>
      <c r="C385" s="150" t="s">
        <v>157</v>
      </c>
      <c r="D385" s="149" t="s">
        <v>179</v>
      </c>
      <c r="E385" s="150" t="s">
        <v>172</v>
      </c>
      <c r="F385" s="246">
        <f t="shared" si="231"/>
      </c>
      <c r="G385" s="251">
        <v>1825.18</v>
      </c>
      <c r="H385" s="251">
        <v>2403.39</v>
      </c>
      <c r="I385" s="252">
        <v>0</v>
      </c>
      <c r="J385" s="252">
        <v>1</v>
      </c>
      <c r="K385" s="252">
        <v>936.6999999999971</v>
      </c>
      <c r="L385" s="252">
        <v>2</v>
      </c>
      <c r="M385" s="252">
        <v>10908.959999999992</v>
      </c>
      <c r="N385" s="253">
        <v>0</v>
      </c>
      <c r="O385" s="156">
        <f t="shared" si="46"/>
      </c>
      <c r="P385" s="253">
        <v>2</v>
      </c>
      <c r="Q385" s="156">
        <f t="shared" si="236"/>
      </c>
      <c r="R385" s="249">
        <f t="shared" si="26"/>
      </c>
      <c r="S385" s="237">
        <f t="shared" si="45"/>
      </c>
      <c r="T385" s="159">
        <f t="shared" si="234"/>
      </c>
      <c r="U385" s="159">
        <f t="shared" si="2"/>
      </c>
      <c r="V385" s="169">
        <f t="shared" si="0"/>
      </c>
      <c r="W385" s="253">
        <v>1</v>
      </c>
      <c r="X385" s="169">
        <f t="shared" si="6"/>
      </c>
      <c r="Y385" s="169">
        <f t="shared" si="4"/>
      </c>
      <c r="Z385" s="159">
        <f t="shared" si="232"/>
      </c>
      <c r="AA385" s="159">
        <f t="shared" si="47"/>
      </c>
      <c r="AB385" s="159">
        <f t="shared" si="237"/>
      </c>
      <c r="AC385" s="156">
        <f t="shared" si="235"/>
      </c>
      <c r="AD385" s="156">
        <f t="shared" si="3"/>
      </c>
      <c r="AE385" s="156">
        <f t="shared" si="1"/>
      </c>
      <c r="AF385" s="156">
        <f t="shared" si="7"/>
      </c>
      <c r="AG385" s="156">
        <f t="shared" si="5"/>
      </c>
      <c r="AH385" s="156">
        <f t="shared" si="233"/>
      </c>
      <c r="AI385" s="156">
        <f t="shared" si="48"/>
      </c>
      <c r="AJ385" s="253">
        <v>63</v>
      </c>
      <c r="AK385" s="254">
        <v>31076</v>
      </c>
      <c r="AL385" s="254">
        <v>1118</v>
      </c>
      <c r="AM385" s="254">
        <v>1520</v>
      </c>
      <c r="AN385" s="254">
        <v>131</v>
      </c>
      <c r="AO385" s="255">
        <v>38</v>
      </c>
      <c r="AP385" s="254">
        <v>164</v>
      </c>
      <c r="AQ385" s="256">
        <v>169</v>
      </c>
      <c r="AR385" s="255">
        <v>3</v>
      </c>
      <c r="AS385" s="254">
        <v>10</v>
      </c>
      <c r="AT385" s="254">
        <v>0</v>
      </c>
      <c r="AU385" s="253">
        <v>13</v>
      </c>
      <c r="AV385" s="207"/>
      <c r="AW385" s="165"/>
      <c r="AX385" s="197">
        <f t="shared" si="312"/>
      </c>
    </row>
    <row r="386">
      <c r="A386" s="234"/>
      <c r="B386" s="171" t="s">
        <v>162</v>
      </c>
      <c r="C386" s="171"/>
      <c r="D386" s="171"/>
      <c r="E386" s="171"/>
      <c r="F386" s="173">
        <f>SUM(F382:F385)</f>
      </c>
      <c r="G386" s="173">
        <f>SUM(G382:G385)</f>
      </c>
      <c r="H386" s="173">
        <f>SUM(H382:H385)</f>
      </c>
      <c r="I386" s="173">
        <f>SUM(I382:I385)</f>
      </c>
      <c r="J386" s="173">
        <f>SUM(J382:J385)</f>
      </c>
      <c r="K386" s="173">
        <f>SUM(K382:K385)</f>
      </c>
      <c r="L386" s="173">
        <f>SUM(L382:L385)</f>
      </c>
      <c r="M386" s="173">
        <f>SUM(M382:M385)</f>
      </c>
      <c r="N386" s="173">
        <f>SUM(N382:N385)</f>
      </c>
      <c r="O386" s="175">
        <f t="shared" si="46"/>
      </c>
      <c r="P386" s="173">
        <f>SUM(P382:P385)</f>
      </c>
      <c r="Q386" s="175">
        <f t="shared" si="236"/>
      </c>
      <c r="R386" s="178">
        <f>SUM(R382:R385)</f>
      </c>
      <c r="S386" s="173">
        <f>SUM(S382:S385)</f>
      </c>
      <c r="T386" s="173">
        <f t="shared" si="234"/>
      </c>
      <c r="U386" s="173">
        <f t="shared" si="2"/>
      </c>
      <c r="V386" s="194">
        <f t="shared" si="0"/>
      </c>
      <c r="W386" s="173">
        <f>SUM(W382:W385)</f>
      </c>
      <c r="X386" s="194">
        <f t="shared" si="6"/>
      </c>
      <c r="Y386" s="194">
        <f t="shared" si="4"/>
      </c>
      <c r="Z386" s="173">
        <f t="shared" si="232"/>
      </c>
      <c r="AA386" s="173">
        <f t="shared" si="47"/>
      </c>
      <c r="AB386" s="238">
        <f t="shared" si="237"/>
      </c>
      <c r="AC386" s="175">
        <f t="shared" si="235"/>
      </c>
      <c r="AD386" s="175">
        <f t="shared" si="3"/>
      </c>
      <c r="AE386" s="175">
        <f t="shared" si="1"/>
      </c>
      <c r="AF386" s="245">
        <f t="shared" si="7"/>
      </c>
      <c r="AG386" s="175">
        <f t="shared" si="5"/>
      </c>
      <c r="AH386" s="175">
        <f t="shared" si="233"/>
      </c>
      <c r="AI386" s="175">
        <f t="shared" si="48"/>
      </c>
      <c r="AJ386" s="178">
        <f>AVERAGE(AJ382:AJ385)</f>
      </c>
      <c r="AK386" s="173">
        <f>SUM(AK382:AK385)</f>
      </c>
      <c r="AL386" s="173">
        <f>SUM(AL382:AL385)</f>
      </c>
      <c r="AM386" s="173">
        <f>SUM(AM382:AM385)</f>
      </c>
      <c r="AN386" s="173">
        <f>SUM(AN382:AN385)</f>
      </c>
      <c r="AO386" s="173">
        <f>SUM(AO382:AO385)</f>
      </c>
      <c r="AP386" s="173">
        <f>SUM(AP382:AP385)</f>
      </c>
      <c r="AQ386" s="173">
        <f>SUM(AQ382:AQ385)</f>
      </c>
      <c r="AR386" s="173">
        <f>SUM(AR382:AR385)</f>
      </c>
      <c r="AS386" s="173">
        <f>SUM(AS382:AS385)</f>
      </c>
      <c r="AT386" s="173">
        <f>SUM(AT382:AT385)</f>
      </c>
      <c r="AU386" s="173">
        <f>SUM(AU382:AU385)</f>
      </c>
      <c r="AV386" s="207"/>
      <c r="AW386" s="180"/>
      <c r="AX386" s="181">
        <f>SUM(AX382:AX385)</f>
      </c>
    </row>
    <row r="387">
      <c r="A387" s="234"/>
      <c r="B387" s="184" t="s">
        <v>166</v>
      </c>
      <c r="C387" s="184"/>
      <c r="D387" s="184"/>
      <c r="E387" s="184"/>
      <c r="F387" s="185">
        <f>F375+F381+F386</f>
      </c>
      <c r="G387" s="185">
        <f>G375+G381+G386</f>
      </c>
      <c r="H387" s="185">
        <f>H375+H381+H386</f>
      </c>
      <c r="I387" s="185">
        <f>I375+I381+I386</f>
      </c>
      <c r="J387" s="185">
        <f>J375+J381+J386</f>
      </c>
      <c r="K387" s="185">
        <f>K375+K381+K386</f>
      </c>
      <c r="L387" s="185">
        <f>L375+L381+L386</f>
      </c>
      <c r="M387" s="185">
        <f>M375+M381+M386</f>
      </c>
      <c r="N387" s="185">
        <f>N375+N381+N386</f>
      </c>
      <c r="O387" s="186">
        <f t="shared" si="46"/>
      </c>
      <c r="P387" s="184">
        <f>P375+P381+P386</f>
      </c>
      <c r="Q387" s="186">
        <f t="shared" si="236"/>
      </c>
      <c r="R387" s="190">
        <f>R375+R381+R386</f>
      </c>
      <c r="S387" s="185">
        <f>S375+S381+S386</f>
      </c>
      <c r="T387" s="185">
        <f t="shared" si="234"/>
      </c>
      <c r="U387" s="185">
        <f t="shared" si="2"/>
      </c>
      <c r="V387" s="187">
        <f t="shared" si="0"/>
      </c>
      <c r="W387" s="184">
        <f>W375+W381+W386</f>
      </c>
      <c r="X387" s="187">
        <f t="shared" si="6"/>
      </c>
      <c r="Y387" s="187">
        <f t="shared" si="4"/>
      </c>
      <c r="Z387" s="185">
        <f t="shared" si="232"/>
      </c>
      <c r="AA387" s="185">
        <f t="shared" si="47"/>
      </c>
      <c r="AB387" s="189">
        <f t="shared" si="237"/>
      </c>
      <c r="AC387" s="186">
        <f t="shared" si="235"/>
      </c>
      <c r="AD387" s="186">
        <f t="shared" si="3"/>
      </c>
      <c r="AE387" s="186">
        <f t="shared" si="1"/>
      </c>
      <c r="AF387" s="241">
        <f t="shared" si="7"/>
      </c>
      <c r="AG387" s="186">
        <f t="shared" si="5"/>
      </c>
      <c r="AH387" s="186">
        <f t="shared" si="233"/>
      </c>
      <c r="AI387" s="186">
        <f t="shared" si="48"/>
      </c>
      <c r="AJ387" s="190">
        <f>(AJ375+AJ381+AJ386)/3</f>
      </c>
      <c r="AK387" s="184">
        <f>AK375+AK381+AK386</f>
      </c>
      <c r="AL387" s="184">
        <f>AL375+AL381+AL386</f>
      </c>
      <c r="AM387" s="184">
        <f>AM375+AM381+AM386</f>
      </c>
      <c r="AN387" s="184">
        <f>AN375+AN381+AN386</f>
      </c>
      <c r="AO387" s="184">
        <f>AO375+AO381+AO386</f>
      </c>
      <c r="AP387" s="184">
        <f>AP375+AP381+AP386</f>
      </c>
      <c r="AQ387" s="184">
        <f>AQ375+AQ381+AQ386</f>
      </c>
      <c r="AR387" s="184">
        <f>AR375+AR381+AR386</f>
      </c>
      <c r="AS387" s="184">
        <f>AS375+AS381+AS386</f>
      </c>
      <c r="AT387" s="184">
        <f>AT375+AT381+AT386</f>
      </c>
      <c r="AU387" s="184">
        <f>AU375+AU381+AU386</f>
      </c>
      <c r="AV387" s="207"/>
      <c r="AW387" s="184">
        <f>AW375+AW381</f>
      </c>
      <c r="AX387" s="184">
        <f>AX375+AX381+AX386</f>
      </c>
    </row>
    <row r="388">
      <c r="A388" s="145"/>
      <c r="B388" s="145"/>
      <c r="C388" s="145"/>
      <c r="D388" s="257" t="s">
        <v>190</v>
      </c>
      <c r="E388" s="257"/>
      <c r="F388" s="257"/>
      <c r="G388" s="257"/>
      <c r="H388" s="257"/>
      <c r="I388" s="258"/>
      <c r="J388" s="145">
        <f>J389-J387</f>
      </c>
      <c r="K388" s="145">
        <f>K389-K387</f>
      </c>
      <c r="L388" s="145">
        <f>L389-L387</f>
      </c>
      <c r="M388" s="145">
        <f>M389-M387</f>
      </c>
      <c r="N388" s="145"/>
      <c r="O388" s="145"/>
      <c r="P388" s="145"/>
      <c r="Q388" s="145"/>
      <c r="R388" s="259"/>
      <c r="S388" s="260"/>
      <c r="T388" s="145"/>
      <c r="U388" s="145"/>
      <c r="V388" s="145"/>
      <c r="W388" s="145"/>
      <c r="X388" s="145"/>
      <c r="Y388" s="145"/>
      <c r="Z388" s="145"/>
      <c r="AA388" s="145"/>
      <c r="AB388" s="145"/>
      <c r="AC388" s="145"/>
      <c r="AD388" s="145"/>
      <c r="AE388" s="145"/>
      <c r="AF388" s="145"/>
      <c r="AG388" s="145"/>
      <c r="AH388" s="145"/>
      <c r="AI388" s="145"/>
      <c r="AJ388" s="145"/>
      <c r="AK388" s="145"/>
      <c r="AL388" s="145"/>
      <c r="AM388" s="145"/>
      <c r="AN388" s="145"/>
      <c r="AO388" s="261">
        <f>AO389-AO387</f>
      </c>
      <c r="AP388" s="145"/>
      <c r="AQ388" s="262"/>
      <c r="AR388" s="262"/>
      <c r="AS388" s="145"/>
      <c r="AT388" s="145"/>
      <c r="AU388" s="145"/>
    </row>
    <row r="389">
      <c r="D389" s="257"/>
      <c r="E389" s="257"/>
      <c r="F389" s="257"/>
      <c r="G389" s="257"/>
      <c r="H389" s="257"/>
      <c r="I389" s="258"/>
      <c r="J389" s="262" cm="1">
        <f t="array" ref="J389:J389">IMPORTRANGE("https://meimeiwangluo.feishu.cn/sheets/OPkmswDbrhTC6ot1PIGcIyGJnFe","'Sheet1'!E13")</f>
      </c>
      <c r="K389" cm="1">
        <f t="array" ref="K389:K389">IMPORTRANGE("https://meimeiwangluo.feishu.cn/sheets/OPkmswDbrhTC6ot1PIGcIyGJnFe","'Sheet1'!E15")</f>
      </c>
      <c r="L389" s="262" cm="1">
        <f t="array" ref="L389:L389">IMPORTRANGE("https://meimeiwangluo.feishu.cn/sheets/OPkmswDbrhTC6ot1PIGcIyGJnFe","'Sheet1'!E17")</f>
      </c>
      <c r="M389" cm="1">
        <f t="array" ref="M389:M389">IMPORTRANGE("https://meimeiwangluo.feishu.cn/sheets/OPkmswDbrhTC6ot1PIGcIyGJnFe","'Sheet1'!E19")</f>
      </c>
      <c r="R389" s="259"/>
      <c r="AO389" s="263">
        <v>484</v>
      </c>
      <c r="AQ389" s="262"/>
      <c r="AR389" s="262"/>
      <c r="AX389" s="262"/>
    </row>
    <row r="390">
      <c r="B390" s="264"/>
      <c r="F390" s="262"/>
      <c r="G390" s="262"/>
      <c r="H390" s="262"/>
      <c r="R390" s="259"/>
      <c r="AQ390" s="262"/>
    </row>
    <row r="391">
      <c r="R391" s="259"/>
    </row>
    <row r="392">
      <c r="R392" s="259"/>
    </row>
    <row r="393">
      <c r="R393" s="259"/>
    </row>
    <row r="394">
      <c r="R394" s="259"/>
    </row>
    <row r="395">
      <c r="R395" s="259"/>
    </row>
    <row r="396">
      <c r="R396" s="259"/>
    </row>
    <row r="397">
      <c r="R397" s="259"/>
    </row>
    <row r="398">
      <c r="R398" s="259"/>
    </row>
    <row r="399">
      <c r="R399" s="259"/>
    </row>
    <row r="400">
      <c r="R400" s="259"/>
    </row>
    <row r="401">
      <c r="R401" s="259"/>
    </row>
    <row r="402">
      <c r="R402" s="259"/>
    </row>
    <row r="403">
      <c r="R403" s="259"/>
    </row>
    <row r="404">
      <c r="R404" s="259"/>
    </row>
    <row r="405">
      <c r="R405" s="259"/>
    </row>
    <row r="406">
      <c r="R406" s="259"/>
    </row>
    <row r="407">
      <c r="R407" s="259"/>
    </row>
    <row r="408">
      <c r="R408" s="259"/>
    </row>
    <row r="409">
      <c r="R409" s="259"/>
    </row>
    <row r="410">
      <c r="R410" s="259"/>
    </row>
    <row r="411">
      <c r="R411" s="259"/>
    </row>
    <row r="412">
      <c r="R412" s="259"/>
    </row>
    <row r="413">
      <c r="R413" s="259"/>
    </row>
    <row r="414">
      <c r="R414" s="259"/>
    </row>
    <row r="415">
      <c r="R415" s="259"/>
    </row>
    <row r="416">
      <c r="R416" s="259"/>
    </row>
    <row r="417">
      <c r="R417" s="259"/>
    </row>
    <row r="418">
      <c r="R418" s="259"/>
    </row>
    <row r="419">
      <c r="R419" s="259"/>
    </row>
    <row r="420">
      <c r="R420" s="259"/>
    </row>
    <row r="421">
      <c r="R421" s="259"/>
    </row>
    <row r="422">
      <c r="R422" s="259"/>
    </row>
    <row r="423">
      <c r="R423" s="259"/>
    </row>
    <row r="424">
      <c r="R424" s="259"/>
    </row>
    <row r="425">
      <c r="R425" s="259"/>
    </row>
    <row r="426">
      <c r="R426" s="259"/>
    </row>
    <row r="427">
      <c r="R427" s="259"/>
    </row>
    <row r="428">
      <c r="R428" s="259"/>
    </row>
    <row r="429">
      <c r="R429" s="259"/>
    </row>
    <row r="430">
      <c r="R430" s="259"/>
    </row>
    <row r="431">
      <c r="R431" s="259"/>
    </row>
    <row r="432">
      <c r="R432" s="259"/>
    </row>
    <row r="433">
      <c r="R433" s="259"/>
    </row>
    <row r="434">
      <c r="R434" s="259"/>
    </row>
    <row r="435">
      <c r="R435" s="259"/>
    </row>
    <row r="436">
      <c r="R436" s="259"/>
    </row>
    <row r="437">
      <c r="R437" s="259"/>
    </row>
    <row r="438">
      <c r="R438" s="259"/>
    </row>
    <row r="439">
      <c r="R439" s="259"/>
    </row>
    <row r="440">
      <c r="R440" s="259"/>
    </row>
    <row r="441">
      <c r="R441" s="259"/>
    </row>
    <row r="442">
      <c r="R442" s="259"/>
    </row>
    <row r="443">
      <c r="R443" s="259"/>
    </row>
    <row r="444">
      <c r="R444" s="259"/>
    </row>
    <row r="445">
      <c r="R445" s="259"/>
    </row>
    <row r="446">
      <c r="R446" s="259"/>
    </row>
    <row r="447">
      <c r="R447" s="259"/>
    </row>
    <row r="448">
      <c r="R448" s="259"/>
    </row>
    <row r="449">
      <c r="R449" s="259"/>
    </row>
    <row r="450">
      <c r="R450" s="259"/>
    </row>
    <row r="451">
      <c r="R451" s="259"/>
    </row>
    <row r="452">
      <c r="R452" s="259"/>
    </row>
    <row r="453">
      <c r="R453" s="259"/>
    </row>
    <row r="454">
      <c r="R454" s="259"/>
    </row>
    <row r="455">
      <c r="R455" s="259"/>
    </row>
    <row r="456">
      <c r="R456" s="259"/>
    </row>
    <row r="457">
      <c r="R457" s="259"/>
    </row>
    <row r="458">
      <c r="R458" s="259"/>
    </row>
    <row r="459">
      <c r="R459" s="259"/>
    </row>
    <row r="460">
      <c r="R460" s="259"/>
    </row>
    <row r="461">
      <c r="R461" s="259"/>
    </row>
    <row r="462">
      <c r="R462" s="259"/>
    </row>
    <row r="463">
      <c r="R463" s="259"/>
    </row>
    <row r="464">
      <c r="R464" s="259"/>
    </row>
    <row r="465">
      <c r="R465" s="259"/>
    </row>
    <row r="466">
      <c r="R466" s="259"/>
    </row>
    <row r="467">
      <c r="R467" s="259"/>
    </row>
    <row r="468">
      <c r="R468" s="259"/>
    </row>
    <row r="469">
      <c r="R469" s="259"/>
    </row>
    <row r="470">
      <c r="R470" s="259"/>
    </row>
    <row r="471">
      <c r="R471" s="259"/>
    </row>
    <row r="472">
      <c r="R472" s="259"/>
    </row>
    <row r="473">
      <c r="R473" s="259"/>
    </row>
    <row r="474">
      <c r="R474" s="259"/>
    </row>
    <row r="475">
      <c r="R475" s="259"/>
    </row>
    <row r="476">
      <c r="R476" s="259"/>
    </row>
    <row r="477">
      <c r="R477" s="259"/>
    </row>
    <row r="478">
      <c r="R478" s="259"/>
    </row>
    <row r="479">
      <c r="R479" s="259"/>
    </row>
    <row r="480">
      <c r="R480" s="259"/>
    </row>
    <row r="481">
      <c r="R481" s="259"/>
    </row>
    <row r="482">
      <c r="R482" s="259"/>
    </row>
    <row r="483">
      <c r="R483" s="259"/>
    </row>
    <row r="484">
      <c r="R484" s="259"/>
    </row>
    <row r="485">
      <c r="R485" s="259"/>
    </row>
    <row r="486">
      <c r="R486" s="259"/>
    </row>
    <row r="487">
      <c r="R487" s="259"/>
    </row>
    <row r="488">
      <c r="R488" s="259"/>
    </row>
    <row r="489">
      <c r="R489" s="259"/>
    </row>
    <row r="490">
      <c r="R490" s="259"/>
    </row>
    <row r="491">
      <c r="R491" s="259"/>
    </row>
    <row r="492">
      <c r="R492" s="259"/>
    </row>
    <row r="493">
      <c r="R493" s="259"/>
    </row>
    <row r="494">
      <c r="R494" s="259"/>
    </row>
    <row r="495">
      <c r="R495" s="259"/>
    </row>
    <row r="496">
      <c r="R496" s="259"/>
    </row>
    <row r="497">
      <c r="R497" s="259"/>
    </row>
    <row r="498">
      <c r="R498" s="259"/>
    </row>
    <row r="499">
      <c r="R499" s="259"/>
    </row>
    <row r="500">
      <c r="R500" s="259"/>
    </row>
    <row r="501">
      <c r="R501" s="259"/>
    </row>
    <row r="502">
      <c r="R502" s="259"/>
    </row>
    <row r="503">
      <c r="R503" s="259"/>
    </row>
    <row r="504">
      <c r="R504" s="259"/>
    </row>
    <row r="505">
      <c r="R505" s="259"/>
    </row>
    <row r="506">
      <c r="R506" s="259"/>
    </row>
    <row r="507">
      <c r="R507" s="259"/>
    </row>
    <row r="508">
      <c r="R508" s="259"/>
    </row>
    <row r="509">
      <c r="R509" s="259"/>
    </row>
    <row r="510">
      <c r="R510" s="259"/>
    </row>
    <row r="511">
      <c r="R511" s="259"/>
    </row>
    <row r="512">
      <c r="R512" s="259"/>
    </row>
    <row r="513">
      <c r="R513" s="259"/>
    </row>
    <row r="514">
      <c r="R514" s="259"/>
    </row>
    <row r="515">
      <c r="R515" s="259"/>
    </row>
    <row r="516">
      <c r="R516" s="259"/>
    </row>
    <row r="517">
      <c r="R517" s="259"/>
    </row>
  </sheetData>
  <autoFilter ref="A3:AX391"/>
  <mergeCells>
    <mergeCell ref="B279:E279"/>
    <mergeCell ref="B274:E274"/>
    <mergeCell ref="B269:E269"/>
    <mergeCell ref="B264:E264"/>
    <mergeCell ref="B263:E263"/>
    <mergeCell ref="B258:E258"/>
    <mergeCell ref="B253:E253"/>
    <mergeCell ref="A249:A264"/>
    <mergeCell ref="B248:E248"/>
    <mergeCell ref="B247:E247"/>
    <mergeCell ref="B242:E242"/>
    <mergeCell ref="B237:E237"/>
    <mergeCell ref="A233:A248"/>
    <mergeCell ref="B232:E232"/>
    <mergeCell ref="B231:E231"/>
    <mergeCell ref="B226:E226"/>
    <mergeCell ref="B221:E221"/>
    <mergeCell ref="A217:A232"/>
    <mergeCell ref="B216:E216"/>
    <mergeCell ref="B215:E215"/>
    <mergeCell ref="B210:E210"/>
    <mergeCell ref="B205:E205"/>
    <mergeCell ref="A201:A216"/>
    <mergeCell ref="B200:E200"/>
    <mergeCell ref="B199:E199"/>
    <mergeCell ref="B194:E194"/>
    <mergeCell ref="B189:E189"/>
    <mergeCell ref="A185:A200"/>
    <mergeCell ref="A169:A184"/>
    <mergeCell ref="B183:E183"/>
    <mergeCell ref="B184:E184"/>
    <mergeCell ref="B178:E178"/>
    <mergeCell ref="B173:E173"/>
    <mergeCell ref="B168:E168"/>
    <mergeCell ref="B167:E167"/>
    <mergeCell ref="B162:E162"/>
    <mergeCell ref="A158:A168"/>
    <mergeCell ref="B157:E157"/>
    <mergeCell ref="B156:E156"/>
    <mergeCell ref="B151:E151"/>
    <mergeCell ref="A147:A157"/>
    <mergeCell ref="B146:E146"/>
    <mergeCell ref="B145:E145"/>
    <mergeCell ref="B140:E140"/>
    <mergeCell ref="A136:A146"/>
    <mergeCell ref="B118:E118"/>
    <mergeCell ref="B113:E113"/>
    <mergeCell ref="B112:E112"/>
    <mergeCell ref="B107:E107"/>
    <mergeCell ref="A103:A113"/>
    <mergeCell ref="B102:E102"/>
    <mergeCell ref="B101:E101"/>
    <mergeCell ref="B96:E96"/>
    <mergeCell ref="A92:A102"/>
    <mergeCell ref="A81:A91"/>
    <mergeCell ref="B85:E85"/>
    <mergeCell ref="B90:E90"/>
    <mergeCell ref="B91:E91"/>
    <mergeCell ref="B53:E53"/>
    <mergeCell ref="B52:E52"/>
    <mergeCell ref="B49:E49"/>
    <mergeCell ref="A46:A53"/>
    <mergeCell ref="A28:A36"/>
    <mergeCell ref="B35:E35"/>
    <mergeCell ref="B36:E36"/>
    <mergeCell ref="B31:E31"/>
    <mergeCell ref="B23:E23"/>
    <mergeCell ref="A20:A27"/>
    <mergeCell ref="B26:E26"/>
    <mergeCell ref="B27:E27"/>
    <mergeCell ref="B11:E11"/>
    <mergeCell ref="B10:E10"/>
    <mergeCell ref="B7:E7"/>
    <mergeCell ref="T2:Y2"/>
    <mergeCell ref="Z2:AJ2"/>
    <mergeCell ref="AK2:AU2"/>
    <mergeCell ref="J2:S2"/>
    <mergeCell ref="F2:I2"/>
    <mergeCell ref="F1:Y1"/>
    <mergeCell ref="Z1:AU1"/>
    <mergeCell ref="AV1:AW1"/>
    <mergeCell ref="B1:E2"/>
    <mergeCell ref="A1:A3"/>
    <mergeCell ref="AX1:AX2"/>
    <mergeCell ref="A4:A11"/>
    <mergeCell ref="B15:E15"/>
    <mergeCell ref="A12:A19"/>
    <mergeCell ref="B18:E18"/>
    <mergeCell ref="B19:E19"/>
    <mergeCell ref="A37:A45"/>
    <mergeCell ref="B40:E40"/>
    <mergeCell ref="B44:E44"/>
    <mergeCell ref="B45:E45"/>
    <mergeCell ref="A54:A61"/>
    <mergeCell ref="B57:E57"/>
    <mergeCell ref="B60:E60"/>
    <mergeCell ref="B61:E61"/>
    <mergeCell ref="B65:E65"/>
    <mergeCell ref="B70:E70"/>
    <mergeCell ref="B69:E69"/>
    <mergeCell ref="A62:A70"/>
    <mergeCell ref="B74:E74"/>
    <mergeCell ref="B80:E80"/>
    <mergeCell ref="B79:E79"/>
    <mergeCell ref="A71:A80"/>
    <mergeCell ref="A114:A124"/>
    <mergeCell ref="B123:E123"/>
    <mergeCell ref="B124:E124"/>
    <mergeCell ref="A125:A135"/>
    <mergeCell ref="B129:E129"/>
    <mergeCell ref="B134:E134"/>
    <mergeCell ref="B135:E135"/>
    <mergeCell ref="B284:E284"/>
    <mergeCell ref="B285:E285"/>
    <mergeCell ref="A286:A306"/>
    <mergeCell ref="B290:E290"/>
    <mergeCell ref="B295:E295"/>
    <mergeCell ref="B300:E300"/>
    <mergeCell ref="B305:E305"/>
    <mergeCell ref="B306:E306"/>
    <mergeCell ref="A265:A285"/>
    <mergeCell ref="A307:A327"/>
    <mergeCell ref="B311:E311"/>
    <mergeCell ref="B316:E316"/>
    <mergeCell ref="B321:E321"/>
    <mergeCell ref="B326:E326"/>
    <mergeCell ref="B327:E327"/>
    <mergeCell ref="A328:A348"/>
    <mergeCell ref="B332:E332"/>
    <mergeCell ref="B337:E337"/>
    <mergeCell ref="B342:E342"/>
    <mergeCell ref="B347:E347"/>
    <mergeCell ref="B348:E348"/>
    <mergeCell ref="A349:A369"/>
    <mergeCell ref="B353:E353"/>
    <mergeCell ref="B358:E358"/>
    <mergeCell ref="B363:E363"/>
    <mergeCell ref="B368:E368"/>
    <mergeCell ref="B369:E369"/>
    <mergeCell ref="B375:E375"/>
    <mergeCell ref="D388:H389"/>
    <mergeCell ref="B387:E387"/>
    <mergeCell ref="B386:E386"/>
    <mergeCell ref="B381:E381"/>
    <mergeCell ref="A370:A387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4" ySplit="3"/>
    </sheetView>
  </sheetViews>
  <sheetFormatPr defaultRowHeight="16"/>
  <cols>
    <col collapsed="false" customWidth="true" hidden="false" max="44" min="44" style="0" width="11.211267605633802"/>
    <col collapsed="false" customWidth="true" hidden="false" max="46" min="46" style="0" width="11.211267605633802"/>
    <col collapsed="false" customWidth="true" hidden="false" max="48" min="48" style="0" width="11.211267605633802"/>
    <col collapsed="false" customWidth="true" hidden="false" max="50" min="50" style="0" width="11.211267605633802"/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40" min="40" style="0" width="11.211267605633802"/>
    <col collapsed="false" customWidth="true" hidden="false" max="42" min="42" style="0" width="11.211267605633802"/>
    <col collapsed="false" customWidth="true" hidden="false" max="47" min="47" style="0" width="11.211267605633802"/>
    <col collapsed="false" customWidth="true" hidden="false" max="49" min="49" style="0" width="11.211267605633802"/>
    <col collapsed="false" customWidth="true" hidden="false" max="21" min="21" style="0" width="11.211267605633802"/>
    <col collapsed="false" customWidth="true" hidden="false" max="41" min="41" style="0" width="11.211267605633802"/>
    <col collapsed="false" customWidth="true" hidden="false" max="43" min="43" style="0" width="11.211267605633802"/>
    <col collapsed="false" customWidth="true" hidden="false" max="45" min="45" style="0" width="11.211267605633802"/>
  </cols>
  <sheetData>
    <row r="1">
      <c r="A1" s="265" t="s">
        <v>191</v>
      </c>
      <c r="B1" s="266" t="s">
        <v>192</v>
      </c>
      <c r="C1" s="266"/>
      <c r="D1" s="266"/>
      <c r="E1" s="266"/>
      <c r="F1" s="267" t="s">
        <v>193</v>
      </c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8" t="s">
        <v>194</v>
      </c>
      <c r="AA1" s="268"/>
      <c r="AB1" s="268"/>
      <c r="AC1" s="268"/>
      <c r="AD1" s="268"/>
      <c r="AE1" s="268"/>
      <c r="AF1" s="268"/>
      <c r="AG1" s="268"/>
      <c r="AH1" s="268"/>
      <c r="AI1" s="268"/>
      <c r="AJ1" s="268"/>
      <c r="AK1" s="268"/>
      <c r="AL1" s="268"/>
      <c r="AM1" s="268"/>
      <c r="AN1" s="268"/>
      <c r="AO1" s="268"/>
      <c r="AP1" s="268"/>
      <c r="AQ1" s="268"/>
      <c r="AR1" s="269" t="s">
        <v>195</v>
      </c>
      <c r="AS1" s="270"/>
    </row>
    <row r="2">
      <c r="A2" s="266"/>
      <c r="B2" s="266"/>
      <c r="C2" s="266"/>
      <c r="D2" s="266"/>
      <c r="E2" s="266"/>
      <c r="F2" s="271" t="s">
        <v>196</v>
      </c>
      <c r="G2" s="272"/>
      <c r="H2" s="272"/>
      <c r="I2" s="272"/>
      <c r="J2" s="273" t="s">
        <v>197</v>
      </c>
      <c r="K2" s="274"/>
      <c r="L2" s="274"/>
      <c r="M2" s="274"/>
      <c r="N2" s="274"/>
      <c r="O2" s="274"/>
      <c r="P2" s="274"/>
      <c r="Q2" s="274"/>
      <c r="R2" s="274"/>
      <c r="S2" s="274"/>
      <c r="T2" s="275" t="s">
        <v>198</v>
      </c>
      <c r="U2" s="275"/>
      <c r="V2" s="275"/>
      <c r="W2" s="275"/>
      <c r="X2" s="275"/>
      <c r="Y2" s="275"/>
      <c r="Z2" s="276" t="s">
        <v>199</v>
      </c>
      <c r="AA2" s="276"/>
      <c r="AB2" s="276"/>
      <c r="AC2" s="276"/>
      <c r="AD2" s="276"/>
      <c r="AE2" s="276"/>
      <c r="AF2" s="276"/>
      <c r="AG2" s="276"/>
      <c r="AH2" s="276"/>
      <c r="AI2" s="276"/>
      <c r="AJ2" s="277" t="s">
        <v>200</v>
      </c>
      <c r="AK2" s="277"/>
      <c r="AL2" s="277"/>
      <c r="AM2" s="277"/>
      <c r="AN2" s="277"/>
      <c r="AO2" s="277"/>
      <c r="AP2" s="277"/>
      <c r="AQ2" s="277"/>
      <c r="AR2" s="278"/>
      <c r="AS2" s="278"/>
    </row>
    <row r="3">
      <c r="A3" s="266"/>
      <c r="B3" s="279" t="s">
        <v>201</v>
      </c>
      <c r="C3" s="279" t="s">
        <v>202</v>
      </c>
      <c r="D3" s="279" t="s">
        <v>203</v>
      </c>
      <c r="E3" s="279" t="s">
        <v>204</v>
      </c>
      <c r="F3" s="280" t="s">
        <v>205</v>
      </c>
      <c r="G3" s="271" t="s">
        <v>206</v>
      </c>
      <c r="H3" s="271" t="s">
        <v>207</v>
      </c>
      <c r="I3" s="271" t="s">
        <v>208</v>
      </c>
      <c r="J3" s="274" t="s">
        <v>209</v>
      </c>
      <c r="K3" s="281" t="s">
        <v>210</v>
      </c>
      <c r="L3" s="274" t="s">
        <v>211</v>
      </c>
      <c r="M3" s="274" t="s">
        <v>212</v>
      </c>
      <c r="N3" s="274" t="s">
        <v>213</v>
      </c>
      <c r="O3" s="274" t="s">
        <v>214</v>
      </c>
      <c r="P3" s="274" t="s">
        <v>215</v>
      </c>
      <c r="Q3" s="274" t="s">
        <v>216</v>
      </c>
      <c r="R3" s="274" t="s">
        <v>217</v>
      </c>
      <c r="S3" s="274" t="s">
        <v>218</v>
      </c>
      <c r="T3" s="275" t="s">
        <v>219</v>
      </c>
      <c r="U3" s="275"/>
      <c r="V3" s="275" t="s">
        <v>220</v>
      </c>
      <c r="W3" s="275" t="s">
        <v>221</v>
      </c>
      <c r="X3" s="275" t="s">
        <v>222</v>
      </c>
      <c r="Y3" s="275" t="s">
        <v>223</v>
      </c>
      <c r="Z3" s="282" t="s">
        <v>224</v>
      </c>
      <c r="AA3" s="282" t="s">
        <v>225</v>
      </c>
      <c r="AB3" s="282" t="s">
        <v>226</v>
      </c>
      <c r="AC3" s="282" t="s">
        <v>227</v>
      </c>
      <c r="AD3" s="282" t="s">
        <v>228</v>
      </c>
      <c r="AE3" s="282" t="s">
        <v>229</v>
      </c>
      <c r="AF3" s="282" t="s">
        <v>230</v>
      </c>
      <c r="AG3" s="282" t="s">
        <v>231</v>
      </c>
      <c r="AH3" s="282" t="s">
        <v>232</v>
      </c>
      <c r="AI3" s="282" t="s">
        <v>233</v>
      </c>
      <c r="AJ3" s="277" t="s">
        <v>234</v>
      </c>
      <c r="AK3" s="277" t="s">
        <v>235</v>
      </c>
      <c r="AL3" s="277" t="s">
        <v>236</v>
      </c>
      <c r="AM3" s="277" t="s">
        <v>237</v>
      </c>
      <c r="AN3" s="277" t="s">
        <v>238</v>
      </c>
      <c r="AO3" s="277" t="s">
        <v>239</v>
      </c>
      <c r="AP3" s="277" t="s">
        <v>240</v>
      </c>
      <c r="AQ3" s="277" t="s">
        <v>241</v>
      </c>
      <c r="AR3" s="283"/>
      <c r="AS3" s="284"/>
      <c r="AT3" s="285" t="s">
        <v>242</v>
      </c>
      <c r="AU3" s="285" t="s">
        <v>243</v>
      </c>
      <c r="AV3" s="285" t="s">
        <v>244</v>
      </c>
      <c r="AW3" s="286"/>
    </row>
    <row r="4">
      <c r="A4" s="287" t="s">
        <v>245</v>
      </c>
      <c r="B4" s="287" t="s">
        <v>246</v>
      </c>
      <c r="C4" s="287" t="s">
        <v>247</v>
      </c>
      <c r="D4" s="287" t="s">
        <v>248</v>
      </c>
      <c r="E4" s="288" t="s">
        <v>249</v>
      </c>
      <c r="F4" s="289">
        <f t="shared" ref="F4:F7" si="27">G4+H4+I4</f>
      </c>
      <c r="G4" s="290">
        <v>419.23</v>
      </c>
      <c r="H4" s="290">
        <v>52.19</v>
      </c>
      <c r="I4" s="290"/>
      <c r="J4" s="291"/>
      <c r="K4" s="292"/>
      <c r="L4" s="293"/>
      <c r="M4" s="293"/>
      <c r="N4" s="294">
        <v>0</v>
      </c>
      <c r="O4" s="294">
        <v>0</v>
      </c>
      <c r="P4" s="294">
        <v>0</v>
      </c>
      <c r="Q4" s="295">
        <f t="shared" ref="Q4:Q18" si="117">P4/N4</f>
      </c>
      <c r="R4" s="294">
        <v>0</v>
      </c>
      <c r="S4" s="295">
        <f t="shared" ref="S4:S18" si="22">R4/N4</f>
      </c>
      <c r="T4" s="290">
        <f t="shared" ref="T4:T18" si="24">O4/F4</f>
      </c>
      <c r="U4" s="290"/>
      <c r="V4" s="290">
        <f t="shared" ref="V4:V18" si="9">O4/N4</f>
      </c>
      <c r="W4" s="294">
        <v>0</v>
      </c>
      <c r="X4" s="290">
        <f t="shared" ref="X4:X220" si="11">F4/W4</f>
      </c>
      <c r="Y4" s="290">
        <f t="shared" ref="Y4:Y18" si="5">F4/N4</f>
      </c>
      <c r="Z4" s="296">
        <f t="shared" ref="Z4:Z18" si="7">F4/AK4</f>
      </c>
      <c r="AA4" s="296">
        <f t="shared" ref="AA4:AA18" si="0">F4/AJ4*1000</f>
      </c>
      <c r="AB4" s="295">
        <f t="shared" ref="AB4:AB18" si="1">AK4/AJ4</f>
      </c>
      <c r="AC4" s="295">
        <f t="shared" ref="AC4:AC18" si="147">AN4/AL4</f>
      </c>
      <c r="AD4" s="295">
        <f t="shared" ref="AD4:AD18" si="3">AM4/AL4</f>
      </c>
      <c r="AE4" s="295">
        <f t="shared" ref="AE4:AE8" si="171">N4/AU5</f>
      </c>
      <c r="AF4" s="295">
        <f t="shared" ref="AF4:AF18" si="143">AV4/AM4</f>
      </c>
      <c r="AG4" s="295">
        <f t="shared" ref="AG4:AG18" si="145">N4/AV4</f>
      </c>
      <c r="AH4" s="295">
        <f t="shared" ref="AH4:AH18" si="119">AT4/AL4</f>
      </c>
      <c r="AI4" s="294">
        <v>80</v>
      </c>
      <c r="AJ4" s="290">
        <v>2129</v>
      </c>
      <c r="AK4" s="290">
        <v>96</v>
      </c>
      <c r="AL4" s="290">
        <v>108</v>
      </c>
      <c r="AM4" s="290">
        <v>22</v>
      </c>
      <c r="AN4" s="290">
        <v>35</v>
      </c>
      <c r="AO4" s="290">
        <v>2</v>
      </c>
      <c r="AP4" s="290">
        <v>0</v>
      </c>
      <c r="AQ4" s="294">
        <v>4</v>
      </c>
      <c r="AR4" s="297"/>
      <c r="AS4" s="297"/>
      <c r="AT4" s="286">
        <v>17</v>
      </c>
      <c r="AU4" s="286">
        <v>11</v>
      </c>
      <c r="AV4" s="286">
        <v>1</v>
      </c>
    </row>
    <row r="5">
      <c r="A5" s="288"/>
      <c r="B5" s="287" t="s">
        <v>246</v>
      </c>
      <c r="C5" s="287" t="s">
        <v>247</v>
      </c>
      <c r="D5" s="287" t="s">
        <v>248</v>
      </c>
      <c r="E5" s="288" t="s">
        <v>250</v>
      </c>
      <c r="F5" s="289">
        <f t="shared" si="27"/>
      </c>
      <c r="G5" s="290">
        <v>590.33</v>
      </c>
      <c r="H5" s="290">
        <v>142.08</v>
      </c>
      <c r="I5" s="290"/>
      <c r="J5" s="293"/>
      <c r="K5" s="298"/>
      <c r="L5" s="293"/>
      <c r="M5" s="293"/>
      <c r="N5" s="294">
        <v>0</v>
      </c>
      <c r="O5" s="294">
        <v>0</v>
      </c>
      <c r="P5" s="294">
        <v>0</v>
      </c>
      <c r="Q5" s="295">
        <f t="shared" si="117"/>
      </c>
      <c r="R5" s="294">
        <v>0</v>
      </c>
      <c r="S5" s="295">
        <f t="shared" si="22"/>
      </c>
      <c r="T5" s="290">
        <f t="shared" si="24"/>
      </c>
      <c r="U5" s="290"/>
      <c r="V5" s="290">
        <f t="shared" si="9"/>
      </c>
      <c r="W5" s="294">
        <v>0</v>
      </c>
      <c r="X5" s="290">
        <f t="shared" si="11"/>
      </c>
      <c r="Y5" s="290">
        <f t="shared" si="5"/>
      </c>
      <c r="Z5" s="296">
        <f t="shared" si="7"/>
      </c>
      <c r="AA5" s="296">
        <f t="shared" si="0"/>
      </c>
      <c r="AB5" s="295">
        <f t="shared" si="1"/>
      </c>
      <c r="AC5" s="295">
        <f t="shared" si="147"/>
      </c>
      <c r="AD5" s="295">
        <f t="shared" si="3"/>
      </c>
      <c r="AE5" s="295">
        <f t="shared" si="171"/>
      </c>
      <c r="AF5" s="295">
        <f t="shared" si="143"/>
      </c>
      <c r="AG5" s="295">
        <f t="shared" si="145"/>
      </c>
      <c r="AH5" s="295">
        <f t="shared" si="119"/>
      </c>
      <c r="AI5" s="294">
        <v>60</v>
      </c>
      <c r="AJ5" s="290">
        <v>3637</v>
      </c>
      <c r="AK5" s="290">
        <v>171</v>
      </c>
      <c r="AL5" s="290">
        <v>199</v>
      </c>
      <c r="AM5" s="290">
        <v>24</v>
      </c>
      <c r="AN5" s="290">
        <v>31</v>
      </c>
      <c r="AO5" s="290">
        <v>2</v>
      </c>
      <c r="AP5" s="290">
        <v>0</v>
      </c>
      <c r="AQ5" s="294">
        <v>0</v>
      </c>
      <c r="AR5" s="297"/>
      <c r="AS5" s="297"/>
      <c r="AT5" s="286">
        <v>22</v>
      </c>
      <c r="AU5" s="286">
        <v>6</v>
      </c>
      <c r="AV5" s="286">
        <v>0</v>
      </c>
    </row>
    <row r="6">
      <c r="A6" s="288"/>
      <c r="B6" s="287" t="s">
        <v>246</v>
      </c>
      <c r="C6" s="287" t="s">
        <v>247</v>
      </c>
      <c r="D6" s="287" t="s">
        <v>248</v>
      </c>
      <c r="E6" s="288" t="s">
        <v>251</v>
      </c>
      <c r="F6" s="289">
        <f t="shared" si="27"/>
      </c>
      <c r="G6" s="290">
        <v>755.65</v>
      </c>
      <c r="H6" s="290">
        <v>277.21</v>
      </c>
      <c r="I6" s="290"/>
      <c r="J6" s="293"/>
      <c r="K6" s="298"/>
      <c r="L6" s="293"/>
      <c r="M6" s="293"/>
      <c r="N6" s="294">
        <v>0</v>
      </c>
      <c r="O6" s="294">
        <v>0</v>
      </c>
      <c r="P6" s="294">
        <v>0</v>
      </c>
      <c r="Q6" s="295">
        <f t="shared" si="117"/>
      </c>
      <c r="R6" s="294">
        <v>0</v>
      </c>
      <c r="S6" s="295">
        <f t="shared" si="22"/>
      </c>
      <c r="T6" s="290">
        <f t="shared" si="24"/>
      </c>
      <c r="U6" s="290"/>
      <c r="V6" s="290">
        <f t="shared" si="9"/>
      </c>
      <c r="W6" s="294">
        <v>0</v>
      </c>
      <c r="X6" s="290">
        <f t="shared" si="11"/>
      </c>
      <c r="Y6" s="290">
        <f t="shared" si="5"/>
      </c>
      <c r="Z6" s="296">
        <f t="shared" si="7"/>
      </c>
      <c r="AA6" s="296">
        <f t="shared" si="0"/>
      </c>
      <c r="AB6" s="295">
        <f t="shared" si="1"/>
      </c>
      <c r="AC6" s="295">
        <f t="shared" si="147"/>
      </c>
      <c r="AD6" s="295">
        <f t="shared" si="3"/>
      </c>
      <c r="AE6" s="295">
        <f t="shared" si="171"/>
      </c>
      <c r="AF6" s="295">
        <f t="shared" si="143"/>
      </c>
      <c r="AG6" s="295">
        <f t="shared" si="145"/>
      </c>
      <c r="AH6" s="295">
        <f t="shared" si="119"/>
      </c>
      <c r="AI6" s="294">
        <v>48</v>
      </c>
      <c r="AJ6" s="290">
        <v>5009</v>
      </c>
      <c r="AK6" s="290">
        <v>224</v>
      </c>
      <c r="AL6" s="290">
        <v>254</v>
      </c>
      <c r="AM6" s="290">
        <v>33</v>
      </c>
      <c r="AN6" s="290">
        <v>51</v>
      </c>
      <c r="AO6" s="290">
        <v>5</v>
      </c>
      <c r="AP6" s="290">
        <v>0</v>
      </c>
      <c r="AQ6" s="294">
        <v>2</v>
      </c>
      <c r="AR6" s="297"/>
      <c r="AS6" s="297"/>
      <c r="AT6" s="286">
        <v>21</v>
      </c>
      <c r="AU6" s="286">
        <v>11</v>
      </c>
      <c r="AV6" s="286">
        <v>0</v>
      </c>
    </row>
    <row r="7">
      <c r="A7" s="288"/>
      <c r="B7" s="287" t="s">
        <v>246</v>
      </c>
      <c r="C7" s="287" t="s">
        <v>247</v>
      </c>
      <c r="D7" s="287" t="s">
        <v>248</v>
      </c>
      <c r="E7" s="288" t="s">
        <v>252</v>
      </c>
      <c r="F7" s="289">
        <f t="shared" si="27"/>
      </c>
      <c r="G7" s="290">
        <f>809.84+6.58</f>
      </c>
      <c r="H7" s="290">
        <v>133.78</v>
      </c>
      <c r="I7" s="290"/>
      <c r="J7" s="293"/>
      <c r="K7" s="298"/>
      <c r="L7" s="293"/>
      <c r="M7" s="293"/>
      <c r="N7" s="294">
        <v>0</v>
      </c>
      <c r="O7" s="294">
        <v>0</v>
      </c>
      <c r="P7" s="294">
        <v>0</v>
      </c>
      <c r="Q7" s="295">
        <f t="shared" si="117"/>
      </c>
      <c r="R7" s="294">
        <v>0</v>
      </c>
      <c r="S7" s="295">
        <f t="shared" si="22"/>
      </c>
      <c r="T7" s="290">
        <f t="shared" si="24"/>
      </c>
      <c r="U7" s="290"/>
      <c r="V7" s="290">
        <f t="shared" si="9"/>
      </c>
      <c r="W7" s="294">
        <v>0</v>
      </c>
      <c r="X7" s="290">
        <f t="shared" si="11"/>
      </c>
      <c r="Y7" s="290">
        <f t="shared" si="5"/>
      </c>
      <c r="Z7" s="296">
        <f t="shared" si="7"/>
      </c>
      <c r="AA7" s="296">
        <f t="shared" si="0"/>
      </c>
      <c r="AB7" s="295">
        <f t="shared" si="1"/>
      </c>
      <c r="AC7" s="295">
        <f t="shared" si="147"/>
      </c>
      <c r="AD7" s="295">
        <f t="shared" si="3"/>
      </c>
      <c r="AE7" s="295">
        <f t="shared" si="171"/>
      </c>
      <c r="AF7" s="295">
        <f t="shared" si="143"/>
      </c>
      <c r="AG7" s="295">
        <f t="shared" si="145"/>
      </c>
      <c r="AH7" s="295">
        <f t="shared" si="119"/>
      </c>
      <c r="AI7" s="294">
        <v>48</v>
      </c>
      <c r="AJ7" s="290">
        <v>5721</v>
      </c>
      <c r="AK7" s="290">
        <v>220</v>
      </c>
      <c r="AL7" s="290">
        <v>282</v>
      </c>
      <c r="AM7" s="290">
        <v>30</v>
      </c>
      <c r="AN7" s="290">
        <v>42</v>
      </c>
      <c r="AO7" s="290">
        <v>1</v>
      </c>
      <c r="AP7" s="290">
        <v>0</v>
      </c>
      <c r="AQ7" s="294">
        <v>0</v>
      </c>
      <c r="AR7" s="297"/>
      <c r="AS7" s="297"/>
      <c r="AT7" s="286">
        <v>26</v>
      </c>
      <c r="AU7" s="286">
        <v>12</v>
      </c>
      <c r="AV7" s="286">
        <v>2</v>
      </c>
    </row>
    <row r="8">
      <c r="A8" s="288"/>
      <c r="B8" s="299" t="s">
        <v>253</v>
      </c>
      <c r="C8" s="299"/>
      <c r="D8" s="299"/>
      <c r="E8" s="299"/>
      <c r="F8" s="300">
        <f>SUM(F4:F7)</f>
      </c>
      <c r="G8" s="301">
        <f>SUM(G4:G7)</f>
      </c>
      <c r="H8" s="301">
        <f>SUM(H4:H7)</f>
      </c>
      <c r="I8" s="301">
        <f>SUM(I4:I7)</f>
      </c>
      <c r="J8" s="301">
        <f>SUM(J4:J7)</f>
      </c>
      <c r="K8" s="300">
        <f>SUM(K4:K7)</f>
      </c>
      <c r="L8" s="300">
        <f>SUM(L4:L7)</f>
      </c>
      <c r="M8" s="300">
        <f>SUM(M4:M7)</f>
      </c>
      <c r="N8" s="300">
        <f>SUM(N4:N7)</f>
      </c>
      <c r="O8" s="300">
        <f>SUM(O4:O7)</f>
      </c>
      <c r="P8" s="300">
        <f>SUM(P4:P7)</f>
      </c>
      <c r="Q8" s="302">
        <f t="shared" si="117"/>
      </c>
      <c r="R8" s="300">
        <f>SUM(R4:R7)</f>
      </c>
      <c r="S8" s="302">
        <f t="shared" si="22"/>
      </c>
      <c r="T8" s="300">
        <f t="shared" si="24"/>
      </c>
      <c r="U8" s="300"/>
      <c r="V8" s="300">
        <f t="shared" si="9"/>
      </c>
      <c r="W8" s="300">
        <f>SUM(W4:W7)</f>
      </c>
      <c r="X8" s="300">
        <f t="shared" si="11"/>
      </c>
      <c r="Y8" s="300">
        <f t="shared" si="5"/>
      </c>
      <c r="Z8" s="303">
        <f t="shared" si="7"/>
      </c>
      <c r="AA8" s="303">
        <f t="shared" si="0"/>
      </c>
      <c r="AB8" s="302">
        <f t="shared" si="1"/>
      </c>
      <c r="AC8" s="302">
        <f t="shared" si="147"/>
      </c>
      <c r="AD8" s="302">
        <f t="shared" si="3"/>
      </c>
      <c r="AE8" s="302">
        <f t="shared" si="171"/>
      </c>
      <c r="AF8" s="302">
        <f t="shared" si="143"/>
      </c>
      <c r="AG8" s="302">
        <f t="shared" si="145"/>
      </c>
      <c r="AH8" s="302">
        <f t="shared" si="119"/>
      </c>
      <c r="AI8" s="304">
        <f>AVERAGE(AI4:AI7)</f>
      </c>
      <c r="AJ8" s="300">
        <f>SUM(AJ4:AJ7)</f>
      </c>
      <c r="AK8" s="300">
        <f>SUM(AK4:AK7)</f>
      </c>
      <c r="AL8" s="300">
        <f>SUM(AL4:AL7)</f>
      </c>
      <c r="AM8" s="300">
        <f>SUM(AM4:AM7)</f>
      </c>
      <c r="AN8" s="300">
        <f>SUM(AN4:AN7)</f>
      </c>
      <c r="AO8" s="300">
        <f>SUM(AO4:AO7)</f>
      </c>
      <c r="AP8" s="300">
        <f>SUM(AP4:AP7)</f>
      </c>
      <c r="AQ8" s="300">
        <f>SUM(AQ4:AQ7)</f>
      </c>
      <c r="AR8" s="305"/>
      <c r="AS8" s="305"/>
      <c r="AT8" s="306">
        <f>SUM(AT4:AT7)</f>
      </c>
      <c r="AU8" s="306">
        <f>SUM(AU4:AU7)</f>
      </c>
      <c r="AV8" s="306">
        <f>SUM(AV4:AV7)</f>
      </c>
    </row>
    <row r="9">
      <c r="A9" s="288"/>
      <c r="B9" s="307" t="s">
        <v>254</v>
      </c>
      <c r="C9" s="307"/>
      <c r="D9" s="307"/>
      <c r="E9" s="307"/>
      <c r="F9" s="307">
        <f>F8</f>
      </c>
      <c r="G9" s="307">
        <f>G8</f>
      </c>
      <c r="H9" s="307">
        <f>H8</f>
      </c>
      <c r="I9" s="307">
        <f>I8</f>
      </c>
      <c r="J9" s="307">
        <f>J8</f>
      </c>
      <c r="K9" s="307">
        <f>K8</f>
      </c>
      <c r="L9" s="307">
        <f>L8</f>
      </c>
      <c r="M9" s="307">
        <f>M8</f>
      </c>
      <c r="N9" s="307">
        <f>N8</f>
      </c>
      <c r="O9" s="307">
        <f>O8</f>
      </c>
      <c r="P9" s="307">
        <f>P8</f>
      </c>
      <c r="Q9" s="308">
        <f t="shared" si="117"/>
      </c>
      <c r="R9" s="307">
        <f>R8</f>
      </c>
      <c r="S9" s="308">
        <f t="shared" si="22"/>
      </c>
      <c r="T9" s="307">
        <f t="shared" si="24"/>
      </c>
      <c r="U9" s="307"/>
      <c r="V9" s="307">
        <f t="shared" si="9"/>
      </c>
      <c r="W9" s="307">
        <f>W8</f>
      </c>
      <c r="X9" s="307">
        <f t="shared" si="11"/>
      </c>
      <c r="Y9" s="307">
        <f t="shared" si="5"/>
      </c>
      <c r="Z9" s="309">
        <f t="shared" si="7"/>
      </c>
      <c r="AA9" s="309">
        <f t="shared" si="0"/>
      </c>
      <c r="AB9" s="308">
        <f t="shared" si="1"/>
      </c>
      <c r="AC9" s="308">
        <f t="shared" si="147"/>
      </c>
      <c r="AD9" s="308">
        <f t="shared" si="3"/>
      </c>
      <c r="AE9" s="308">
        <f>N9/AU10:AU9</f>
      </c>
      <c r="AF9" s="308">
        <f t="shared" si="143"/>
      </c>
      <c r="AG9" s="308">
        <f t="shared" si="145"/>
      </c>
      <c r="AH9" s="308">
        <f t="shared" si="119"/>
      </c>
      <c r="AI9" s="310">
        <f>AI8</f>
      </c>
      <c r="AJ9" s="307">
        <f>AJ8</f>
      </c>
      <c r="AK9" s="307">
        <f>AK8</f>
      </c>
      <c r="AL9" s="307">
        <f>AL8</f>
      </c>
      <c r="AM9" s="307">
        <f>AM8</f>
      </c>
      <c r="AN9" s="307">
        <f>AN8</f>
      </c>
      <c r="AO9" s="307">
        <f>AO8</f>
      </c>
      <c r="AP9" s="307">
        <f>AP8</f>
      </c>
      <c r="AQ9" s="307">
        <f>AQ8</f>
      </c>
      <c r="AR9" s="311">
        <f>AR8</f>
      </c>
      <c r="AS9" s="311">
        <f>AS8</f>
      </c>
      <c r="AT9" s="311">
        <f>AT8</f>
      </c>
      <c r="AU9" s="311">
        <f>AU8</f>
      </c>
      <c r="AV9" s="311">
        <f>AV8</f>
      </c>
    </row>
    <row r="10">
      <c r="A10" s="287" t="s">
        <v>255</v>
      </c>
      <c r="B10" s="287" t="s">
        <v>246</v>
      </c>
      <c r="C10" s="287" t="s">
        <v>247</v>
      </c>
      <c r="D10" s="287" t="s">
        <v>248</v>
      </c>
      <c r="E10" s="288" t="s">
        <v>249</v>
      </c>
      <c r="F10" s="312">
        <f t="shared" ref="F10:F12" si="28">G10+H10+I10</f>
      </c>
      <c r="G10" s="313">
        <v>781.92</v>
      </c>
      <c r="H10" s="313">
        <v>247.91</v>
      </c>
      <c r="I10" s="290"/>
      <c r="J10" s="291"/>
      <c r="K10" s="292"/>
      <c r="L10" s="293"/>
      <c r="M10" s="293"/>
      <c r="N10" s="294">
        <v>0</v>
      </c>
      <c r="O10" s="314">
        <v>0</v>
      </c>
      <c r="P10" s="294">
        <v>0</v>
      </c>
      <c r="Q10" s="295">
        <f t="shared" si="117"/>
      </c>
      <c r="R10" s="294">
        <v>0</v>
      </c>
      <c r="S10" s="295">
        <f t="shared" si="22"/>
      </c>
      <c r="T10" s="296">
        <f t="shared" si="24"/>
      </c>
      <c r="U10" s="296"/>
      <c r="V10" s="290">
        <f t="shared" si="9"/>
      </c>
      <c r="W10" s="294">
        <v>0</v>
      </c>
      <c r="X10" s="290">
        <f t="shared" si="11"/>
      </c>
      <c r="Y10" s="290">
        <f t="shared" si="5"/>
      </c>
      <c r="Z10" s="296">
        <f t="shared" si="7"/>
      </c>
      <c r="AA10" s="296">
        <f t="shared" si="0"/>
      </c>
      <c r="AB10" s="295">
        <f t="shared" si="1"/>
      </c>
      <c r="AC10" s="295">
        <f t="shared" si="147"/>
      </c>
      <c r="AD10" s="295">
        <f t="shared" si="3"/>
      </c>
      <c r="AE10" s="295">
        <f>N10/AU11</f>
      </c>
      <c r="AF10" s="295">
        <f t="shared" si="143"/>
      </c>
      <c r="AG10" s="295">
        <f t="shared" si="145"/>
      </c>
      <c r="AH10" s="295">
        <f t="shared" si="119"/>
      </c>
      <c r="AI10" s="294">
        <v>43</v>
      </c>
      <c r="AJ10" s="290">
        <v>4686</v>
      </c>
      <c r="AK10" s="290">
        <v>209</v>
      </c>
      <c r="AL10" s="290">
        <v>258</v>
      </c>
      <c r="AM10" s="290">
        <v>33</v>
      </c>
      <c r="AN10" s="290">
        <v>25</v>
      </c>
      <c r="AO10" s="290">
        <v>9</v>
      </c>
      <c r="AP10" s="290">
        <v>1</v>
      </c>
      <c r="AQ10" s="294">
        <v>7</v>
      </c>
      <c r="AR10" s="297"/>
      <c r="AS10" s="297"/>
      <c r="AT10" s="286">
        <v>32</v>
      </c>
      <c r="AU10" s="286">
        <v>12</v>
      </c>
      <c r="AV10" s="286">
        <v>1</v>
      </c>
    </row>
    <row r="11">
      <c r="A11" s="287"/>
      <c r="B11" s="287" t="s">
        <v>246</v>
      </c>
      <c r="C11" s="287" t="s">
        <v>247</v>
      </c>
      <c r="D11" s="287" t="s">
        <v>248</v>
      </c>
      <c r="E11" s="288" t="s">
        <v>250</v>
      </c>
      <c r="F11" s="312">
        <f t="shared" si="28"/>
      </c>
      <c r="G11" s="313">
        <v>471.31</v>
      </c>
      <c r="H11" s="313">
        <v>463.38</v>
      </c>
      <c r="I11" s="290"/>
      <c r="J11" s="293"/>
      <c r="K11" s="298"/>
      <c r="L11" s="293"/>
      <c r="M11" s="293"/>
      <c r="N11" s="294">
        <v>1</v>
      </c>
      <c r="O11" s="314">
        <v>1654</v>
      </c>
      <c r="P11" s="294">
        <v>0</v>
      </c>
      <c r="Q11" s="295">
        <f t="shared" si="117"/>
      </c>
      <c r="R11" s="294">
        <v>0</v>
      </c>
      <c r="S11" s="295">
        <f t="shared" si="22"/>
      </c>
      <c r="T11" s="296">
        <f t="shared" si="24"/>
      </c>
      <c r="U11" s="296"/>
      <c r="V11" s="290">
        <f t="shared" si="9"/>
      </c>
      <c r="W11" s="294">
        <v>1</v>
      </c>
      <c r="X11" s="290">
        <f t="shared" si="11"/>
      </c>
      <c r="Y11" s="290">
        <f t="shared" si="5"/>
      </c>
      <c r="Z11" s="296">
        <f t="shared" si="7"/>
      </c>
      <c r="AA11" s="296">
        <f t="shared" si="0"/>
      </c>
      <c r="AB11" s="295">
        <f t="shared" si="1"/>
      </c>
      <c r="AC11" s="295">
        <f t="shared" si="147"/>
      </c>
      <c r="AD11" s="295">
        <f t="shared" si="3"/>
      </c>
      <c r="AE11" s="295">
        <f>N11/AU12:AU11</f>
      </c>
      <c r="AF11" s="295">
        <f t="shared" si="143"/>
      </c>
      <c r="AG11" s="295">
        <f t="shared" si="145"/>
      </c>
      <c r="AH11" s="295">
        <f t="shared" si="119"/>
      </c>
      <c r="AI11" s="294">
        <v>44</v>
      </c>
      <c r="AJ11" s="290">
        <v>4429</v>
      </c>
      <c r="AK11" s="290">
        <v>219</v>
      </c>
      <c r="AL11" s="290">
        <v>257</v>
      </c>
      <c r="AM11" s="290">
        <v>26</v>
      </c>
      <c r="AN11" s="290">
        <v>29</v>
      </c>
      <c r="AO11" s="290">
        <v>3</v>
      </c>
      <c r="AP11" s="290">
        <v>1</v>
      </c>
      <c r="AQ11" s="294">
        <v>1</v>
      </c>
      <c r="AR11" s="297"/>
      <c r="AS11" s="297"/>
      <c r="AT11" s="286">
        <v>27</v>
      </c>
      <c r="AU11" s="286">
        <v>8</v>
      </c>
      <c r="AV11" s="286">
        <v>1</v>
      </c>
    </row>
    <row r="12">
      <c r="A12" s="287"/>
      <c r="B12" s="287" t="s">
        <v>246</v>
      </c>
      <c r="C12" s="287" t="s">
        <v>247</v>
      </c>
      <c r="D12" s="287" t="s">
        <v>248</v>
      </c>
      <c r="E12" s="288" t="s">
        <v>251</v>
      </c>
      <c r="F12" s="312">
        <f t="shared" si="28"/>
      </c>
      <c r="G12" s="313">
        <v>558.89</v>
      </c>
      <c r="H12" s="313">
        <v>1331.49</v>
      </c>
      <c r="I12" s="290"/>
      <c r="J12" s="293"/>
      <c r="K12" s="298"/>
      <c r="L12" s="293"/>
      <c r="M12" s="293"/>
      <c r="N12" s="294">
        <v>0</v>
      </c>
      <c r="O12" s="314">
        <v>0</v>
      </c>
      <c r="P12" s="294">
        <v>0</v>
      </c>
      <c r="Q12" s="295">
        <f t="shared" si="117"/>
      </c>
      <c r="R12" s="294">
        <v>0</v>
      </c>
      <c r="S12" s="295">
        <f t="shared" si="22"/>
      </c>
      <c r="T12" s="296">
        <f t="shared" si="24"/>
      </c>
      <c r="U12" s="296"/>
      <c r="V12" s="290">
        <f t="shared" si="9"/>
      </c>
      <c r="W12" s="294">
        <v>0</v>
      </c>
      <c r="X12" s="290">
        <f t="shared" si="11"/>
      </c>
      <c r="Y12" s="290">
        <f t="shared" si="5"/>
      </c>
      <c r="Z12" s="296">
        <f t="shared" si="7"/>
      </c>
      <c r="AA12" s="296">
        <f t="shared" si="0"/>
      </c>
      <c r="AB12" s="295">
        <f t="shared" si="1"/>
      </c>
      <c r="AC12" s="295">
        <f t="shared" si="147"/>
      </c>
      <c r="AD12" s="295">
        <f t="shared" si="3"/>
      </c>
      <c r="AE12" s="295">
        <f>N12/AU13</f>
      </c>
      <c r="AF12" s="295">
        <f t="shared" si="143"/>
      </c>
      <c r="AG12" s="295">
        <f t="shared" si="145"/>
      </c>
      <c r="AH12" s="295">
        <f t="shared" si="119"/>
      </c>
      <c r="AI12" s="294">
        <v>47</v>
      </c>
      <c r="AJ12" s="290">
        <v>8096</v>
      </c>
      <c r="AK12" s="290">
        <v>318</v>
      </c>
      <c r="AL12" s="290">
        <v>372</v>
      </c>
      <c r="AM12" s="290">
        <v>62</v>
      </c>
      <c r="AN12" s="290">
        <v>85</v>
      </c>
      <c r="AO12" s="290">
        <v>5</v>
      </c>
      <c r="AP12" s="290">
        <v>0</v>
      </c>
      <c r="AQ12" s="294">
        <v>2</v>
      </c>
      <c r="AR12" s="297"/>
      <c r="AS12" s="297"/>
      <c r="AT12" s="286">
        <v>50</v>
      </c>
      <c r="AU12" s="286">
        <v>21</v>
      </c>
      <c r="AV12" s="286">
        <v>2</v>
      </c>
    </row>
    <row r="13">
      <c r="A13" s="287"/>
      <c r="B13" s="299" t="s">
        <v>253</v>
      </c>
      <c r="C13" s="299"/>
      <c r="D13" s="299"/>
      <c r="E13" s="299"/>
      <c r="F13" s="315">
        <f>SUM(F10:F12)</f>
      </c>
      <c r="G13" s="303">
        <f>SUM(G10:G12)</f>
      </c>
      <c r="H13" s="303">
        <f>SUM(H10:H12)</f>
      </c>
      <c r="I13" s="300">
        <f>SUM(I10:I12)</f>
      </c>
      <c r="J13" s="300">
        <f>SUM(J10:J12)</f>
      </c>
      <c r="K13" s="316">
        <f>SUM(K10:K12)</f>
      </c>
      <c r="L13" s="301">
        <f>SUM(L10:L12)</f>
      </c>
      <c r="M13" s="301">
        <f>SUM(M10:M12)</f>
      </c>
      <c r="N13" s="301">
        <f>SUM(N10:N12)</f>
      </c>
      <c r="O13" s="303">
        <f>SUM(O10:O12)</f>
      </c>
      <c r="P13" s="300">
        <f>SUM(P10:P12)</f>
      </c>
      <c r="Q13" s="302">
        <f t="shared" si="117"/>
      </c>
      <c r="R13" s="300">
        <f>SUM(R10:R12)</f>
      </c>
      <c r="S13" s="302">
        <f t="shared" si="22"/>
      </c>
      <c r="T13" s="303">
        <f t="shared" si="24"/>
      </c>
      <c r="U13" s="303"/>
      <c r="V13" s="300">
        <f t="shared" si="9"/>
      </c>
      <c r="W13" s="300">
        <f>SUM(W10:W12)</f>
      </c>
      <c r="X13" s="300">
        <f t="shared" si="11"/>
      </c>
      <c r="Y13" s="300">
        <f t="shared" si="5"/>
      </c>
      <c r="Z13" s="303">
        <f t="shared" si="7"/>
      </c>
      <c r="AA13" s="303">
        <f t="shared" si="0"/>
      </c>
      <c r="AB13" s="302">
        <f t="shared" si="1"/>
      </c>
      <c r="AC13" s="302">
        <f t="shared" si="147"/>
      </c>
      <c r="AD13" s="302">
        <f t="shared" si="3"/>
      </c>
      <c r="AE13" s="302">
        <f>N13/AU18</f>
      </c>
      <c r="AF13" s="302">
        <f t="shared" si="143"/>
      </c>
      <c r="AG13" s="302">
        <f t="shared" si="145"/>
      </c>
      <c r="AH13" s="302">
        <f t="shared" si="119"/>
      </c>
      <c r="AI13" s="317">
        <f>AVERAGE(AI10:AI12)</f>
      </c>
      <c r="AJ13" s="300">
        <f>SUM(AJ10:AJ12)</f>
      </c>
      <c r="AK13" s="300">
        <f>SUM(AK10:AK12)</f>
      </c>
      <c r="AL13" s="300">
        <f>SUM(AL10:AL12)</f>
      </c>
      <c r="AM13" s="300">
        <f>SUM(AM10:AM12)</f>
      </c>
      <c r="AN13" s="300">
        <f>SUM(AN10:AN12)</f>
      </c>
      <c r="AO13" s="300">
        <f>SUM(AO10:AO12)</f>
      </c>
      <c r="AP13" s="300">
        <f>SUM(AP10:AP12)</f>
      </c>
      <c r="AQ13" s="300">
        <f>SUM(AQ10:AQ12)</f>
      </c>
      <c r="AR13" s="305"/>
      <c r="AS13" s="305"/>
      <c r="AT13" s="306">
        <f>SUM(AT10:AT12)</f>
      </c>
      <c r="AU13" s="306">
        <f>SUM(AU10:AU12)</f>
      </c>
      <c r="AV13" s="306">
        <f>SUM(AV10:AV12)</f>
      </c>
    </row>
    <row customHeight="true" ht="16.071428571428573" r="14">
      <c r="A14" s="287"/>
      <c r="B14" s="287" t="s">
        <v>246</v>
      </c>
      <c r="C14" s="287" t="s">
        <v>247</v>
      </c>
      <c r="D14" s="287" t="s">
        <v>256</v>
      </c>
      <c r="E14" s="288" t="s">
        <v>252</v>
      </c>
      <c r="F14" s="318">
        <f t="shared" ref="F14:F16" si="29">G14+H14+I14</f>
      </c>
      <c r="G14" s="313">
        <v>1006.76</v>
      </c>
      <c r="H14" s="313">
        <v>3548.62</v>
      </c>
      <c r="I14" s="290"/>
      <c r="J14" s="293"/>
      <c r="K14" s="298"/>
      <c r="L14" s="293"/>
      <c r="M14" s="293"/>
      <c r="N14" s="294">
        <v>4</v>
      </c>
      <c r="O14" s="313">
        <v>7866.57</v>
      </c>
      <c r="P14" s="294">
        <v>1</v>
      </c>
      <c r="Q14" s="295">
        <f t="shared" si="117"/>
      </c>
      <c r="R14" s="294">
        <v>0</v>
      </c>
      <c r="S14" s="295">
        <f t="shared" si="22"/>
      </c>
      <c r="T14" s="296">
        <f t="shared" si="24"/>
      </c>
      <c r="U14" s="296"/>
      <c r="V14" s="290">
        <f t="shared" si="9"/>
      </c>
      <c r="W14" s="294">
        <v>4</v>
      </c>
      <c r="X14" s="290">
        <f t="shared" si="11"/>
      </c>
      <c r="Y14" s="290">
        <f t="shared" si="5"/>
      </c>
      <c r="Z14" s="296">
        <f t="shared" si="7"/>
      </c>
      <c r="AA14" s="296">
        <f t="shared" si="0"/>
      </c>
      <c r="AB14" s="295">
        <f t="shared" si="1"/>
      </c>
      <c r="AC14" s="295">
        <f t="shared" si="147"/>
      </c>
      <c r="AD14" s="295">
        <f t="shared" si="3"/>
      </c>
      <c r="AE14" s="295">
        <f t="shared" ref="AE14:AE15" si="172">N14/AU15</f>
      </c>
      <c r="AF14" s="295">
        <f t="shared" si="143"/>
      </c>
      <c r="AG14" s="295">
        <f t="shared" si="145"/>
      </c>
      <c r="AH14" s="295">
        <f t="shared" si="119"/>
      </c>
      <c r="AI14" s="294">
        <v>47</v>
      </c>
      <c r="AJ14" s="290">
        <v>18487</v>
      </c>
      <c r="AK14" s="290">
        <v>551</v>
      </c>
      <c r="AL14" s="290">
        <v>602</v>
      </c>
      <c r="AM14" s="290">
        <v>120</v>
      </c>
      <c r="AN14" s="290">
        <v>52</v>
      </c>
      <c r="AO14" s="290">
        <v>9</v>
      </c>
      <c r="AP14" s="290">
        <v>1</v>
      </c>
      <c r="AQ14" s="294">
        <v>6</v>
      </c>
      <c r="AR14" s="297"/>
      <c r="AS14" s="297"/>
      <c r="AT14" s="286">
        <v>85</v>
      </c>
      <c r="AU14" s="286">
        <v>31</v>
      </c>
      <c r="AV14" s="286">
        <v>4</v>
      </c>
    </row>
    <row customHeight="true" ht="16.071428571428573" r="15">
      <c r="A15" s="287"/>
      <c r="B15" s="287" t="s">
        <v>246</v>
      </c>
      <c r="C15" s="287" t="s">
        <v>247</v>
      </c>
      <c r="D15" s="287" t="s">
        <v>256</v>
      </c>
      <c r="E15" s="287" t="s">
        <v>257</v>
      </c>
      <c r="F15" s="313">
        <f t="shared" si="29"/>
      </c>
      <c r="G15" s="319">
        <v>1543.75</v>
      </c>
      <c r="H15" s="319">
        <v>3600.63</v>
      </c>
      <c r="I15" s="320"/>
      <c r="J15" s="321"/>
      <c r="K15" s="298"/>
      <c r="L15" s="293"/>
      <c r="M15" s="293"/>
      <c r="N15" s="294">
        <v>0</v>
      </c>
      <c r="O15" s="314">
        <v>0</v>
      </c>
      <c r="P15" s="294">
        <v>0</v>
      </c>
      <c r="Q15" s="295">
        <f t="shared" si="117"/>
      </c>
      <c r="R15" s="294">
        <v>0</v>
      </c>
      <c r="S15" s="295">
        <f t="shared" si="22"/>
      </c>
      <c r="T15" s="296">
        <f t="shared" si="24"/>
      </c>
      <c r="U15" s="296"/>
      <c r="V15" s="290">
        <f t="shared" si="9"/>
      </c>
      <c r="W15" s="294">
        <v>0</v>
      </c>
      <c r="X15" s="290">
        <f t="shared" si="11"/>
      </c>
      <c r="Y15" s="290">
        <f t="shared" si="5"/>
      </c>
      <c r="Z15" s="296">
        <f t="shared" si="7"/>
      </c>
      <c r="AA15" s="296">
        <f t="shared" si="0"/>
      </c>
      <c r="AB15" s="295">
        <f t="shared" si="1"/>
      </c>
      <c r="AC15" s="295">
        <f t="shared" si="147"/>
      </c>
      <c r="AD15" s="295">
        <f t="shared" si="3"/>
      </c>
      <c r="AE15" s="295">
        <f t="shared" si="172"/>
      </c>
      <c r="AF15" s="295">
        <f t="shared" si="143"/>
      </c>
      <c r="AG15" s="295">
        <f t="shared" si="145"/>
      </c>
      <c r="AH15" s="295">
        <f t="shared" si="119"/>
      </c>
      <c r="AI15" s="294">
        <v>50</v>
      </c>
      <c r="AJ15" s="290">
        <v>26092</v>
      </c>
      <c r="AK15" s="290">
        <v>730</v>
      </c>
      <c r="AL15" s="290">
        <v>798</v>
      </c>
      <c r="AM15" s="290">
        <v>156</v>
      </c>
      <c r="AN15" s="290">
        <v>95</v>
      </c>
      <c r="AO15" s="290">
        <v>14</v>
      </c>
      <c r="AP15" s="290">
        <v>0</v>
      </c>
      <c r="AQ15" s="294">
        <v>4</v>
      </c>
      <c r="AR15" s="297"/>
      <c r="AS15" s="297"/>
      <c r="AT15" s="286">
        <v>108</v>
      </c>
      <c r="AU15" s="286">
        <v>27</v>
      </c>
      <c r="AV15" s="286">
        <v>0</v>
      </c>
    </row>
    <row customHeight="true" ht="16.071428571428573" r="16">
      <c r="A16" s="287"/>
      <c r="B16" s="287" t="s">
        <v>246</v>
      </c>
      <c r="C16" s="287" t="s">
        <v>247</v>
      </c>
      <c r="D16" s="287" t="s">
        <v>256</v>
      </c>
      <c r="E16" s="287" t="s">
        <v>258</v>
      </c>
      <c r="F16" s="313">
        <f t="shared" si="29"/>
      </c>
      <c r="G16" s="313">
        <v>578.72</v>
      </c>
      <c r="H16" s="313">
        <v>321.24</v>
      </c>
      <c r="I16" s="290"/>
      <c r="J16" s="293"/>
      <c r="K16" s="298"/>
      <c r="L16" s="293"/>
      <c r="M16" s="293"/>
      <c r="N16" s="294">
        <v>2</v>
      </c>
      <c r="O16" s="313">
        <v>2584.380000000001</v>
      </c>
      <c r="P16" s="294">
        <v>1</v>
      </c>
      <c r="Q16" s="295">
        <f t="shared" si="117"/>
      </c>
      <c r="R16" s="294">
        <v>0</v>
      </c>
      <c r="S16" s="295">
        <f t="shared" si="22"/>
      </c>
      <c r="T16" s="296">
        <f t="shared" si="24"/>
      </c>
      <c r="U16" s="296"/>
      <c r="V16" s="290">
        <f t="shared" si="9"/>
      </c>
      <c r="W16" s="294">
        <v>3</v>
      </c>
      <c r="X16" s="290">
        <f t="shared" si="11"/>
      </c>
      <c r="Y16" s="290">
        <f t="shared" si="5"/>
      </c>
      <c r="Z16" s="296">
        <f t="shared" si="7"/>
      </c>
      <c r="AA16" s="296">
        <f t="shared" si="0"/>
      </c>
      <c r="AB16" s="295">
        <f t="shared" si="1"/>
      </c>
      <c r="AC16" s="295">
        <f t="shared" si="147"/>
      </c>
      <c r="AD16" s="295">
        <f t="shared" si="3"/>
      </c>
      <c r="AE16" s="295">
        <f>N16/AU18</f>
      </c>
      <c r="AF16" s="295">
        <f t="shared" si="143"/>
      </c>
      <c r="AG16" s="295">
        <f t="shared" si="145"/>
      </c>
      <c r="AH16" s="295">
        <f t="shared" si="119"/>
      </c>
      <c r="AI16" s="294">
        <v>53</v>
      </c>
      <c r="AJ16" s="290">
        <v>7254</v>
      </c>
      <c r="AK16" s="290">
        <v>233</v>
      </c>
      <c r="AL16" s="290">
        <v>278</v>
      </c>
      <c r="AM16" s="290">
        <v>47</v>
      </c>
      <c r="AN16" s="290">
        <v>58</v>
      </c>
      <c r="AO16" s="290">
        <v>3</v>
      </c>
      <c r="AP16" s="290">
        <v>0</v>
      </c>
      <c r="AQ16" s="294">
        <v>2</v>
      </c>
      <c r="AR16" s="297"/>
      <c r="AS16" s="297"/>
      <c r="AT16" s="286">
        <v>37</v>
      </c>
      <c r="AU16" s="286">
        <v>15</v>
      </c>
      <c r="AV16" s="286">
        <v>5</v>
      </c>
    </row>
    <row customHeight="true" ht="16.071428571428573" r="17">
      <c r="A17" s="287"/>
      <c r="B17" s="322" t="s">
        <v>253</v>
      </c>
      <c r="C17" s="322"/>
      <c r="D17" s="322"/>
      <c r="E17" s="322"/>
      <c r="F17" s="323">
        <f>SUM(F14:F16)</f>
      </c>
      <c r="G17" s="323">
        <f>SUM(G14:G16)</f>
      </c>
      <c r="H17" s="323">
        <f>SUM(H14:H16)</f>
      </c>
      <c r="I17" s="324">
        <f>SUM(I14:I16)</f>
      </c>
      <c r="J17" s="324">
        <f>SUM(J14:J16)</f>
      </c>
      <c r="K17" s="325">
        <f>SUM(K14:K16)</f>
      </c>
      <c r="L17" s="325">
        <f>SUM(L14:L16)</f>
      </c>
      <c r="M17" s="325">
        <f>SUM(M14:M16)</f>
      </c>
      <c r="N17" s="325">
        <f>SUM(N14:N16)</f>
      </c>
      <c r="O17" s="323">
        <f>SUM(O14:O16)</f>
      </c>
      <c r="P17" s="325">
        <f>SUM(P14:P16)</f>
      </c>
      <c r="Q17" s="326">
        <f t="shared" si="117"/>
      </c>
      <c r="R17" s="325">
        <f>SUM(R14:R16)</f>
      </c>
      <c r="S17" s="326">
        <f t="shared" si="22"/>
      </c>
      <c r="T17" s="323">
        <f t="shared" si="24"/>
      </c>
      <c r="U17" s="323"/>
      <c r="V17" s="325">
        <f t="shared" si="9"/>
      </c>
      <c r="W17" s="325">
        <f>SUM(W14:W16)</f>
      </c>
      <c r="X17" s="325">
        <f t="shared" si="11"/>
      </c>
      <c r="Y17" s="325">
        <f t="shared" si="5"/>
      </c>
      <c r="Z17" s="323">
        <f t="shared" si="7"/>
      </c>
      <c r="AA17" s="323">
        <f t="shared" si="0"/>
      </c>
      <c r="AB17" s="326">
        <f t="shared" si="1"/>
      </c>
      <c r="AC17" s="326">
        <f t="shared" si="147"/>
      </c>
      <c r="AD17" s="326">
        <f t="shared" si="3"/>
      </c>
      <c r="AE17" s="326">
        <f>N17/AO19</f>
      </c>
      <c r="AF17" s="326">
        <f t="shared" si="143"/>
      </c>
      <c r="AG17" s="326">
        <f t="shared" si="145"/>
      </c>
      <c r="AH17" s="326">
        <f t="shared" si="119"/>
      </c>
      <c r="AI17" s="327">
        <f>AVERAGE(AI14:AI16)</f>
      </c>
      <c r="AJ17" s="325">
        <f>SUM(AJ14:AJ16)</f>
      </c>
      <c r="AK17" s="325">
        <f>SUM(AK14:AK16)</f>
      </c>
      <c r="AL17" s="325">
        <f>SUM(AL14:AL16)</f>
      </c>
      <c r="AM17" s="325">
        <f>SUM(AM14:AM16)</f>
      </c>
      <c r="AN17" s="325">
        <f>SUM(AN14:AN16)</f>
      </c>
      <c r="AO17" s="325">
        <f>SUM(AO14:AO16)</f>
      </c>
      <c r="AP17" s="325">
        <f>SUM(AP14:AP16)</f>
      </c>
      <c r="AQ17" s="325">
        <f>SUM(AQ14:AQ16)</f>
      </c>
      <c r="AR17" s="305"/>
      <c r="AS17" s="305"/>
      <c r="AT17" s="306">
        <f>SUM(AT14:AT16)</f>
      </c>
      <c r="AU17" s="306">
        <f>SUM(AU14:AU16)</f>
      </c>
      <c r="AV17" s="306">
        <f>SUM(AV14:AV16)</f>
      </c>
      <c r="AW17" s="328"/>
    </row>
    <row r="18">
      <c r="A18" s="287"/>
      <c r="B18" s="307" t="s">
        <v>254</v>
      </c>
      <c r="C18" s="307"/>
      <c r="D18" s="307"/>
      <c r="E18" s="307"/>
      <c r="F18" s="309">
        <f>F13+F17</f>
      </c>
      <c r="G18" s="309">
        <f>G13+G17</f>
      </c>
      <c r="H18" s="309">
        <f>H13+H17</f>
      </c>
      <c r="I18" s="307">
        <f>I13+I17</f>
      </c>
      <c r="J18" s="307">
        <f>J13+J17</f>
      </c>
      <c r="K18" s="307">
        <f>K13+K17</f>
      </c>
      <c r="L18" s="307">
        <f>L13+L17</f>
      </c>
      <c r="M18" s="307">
        <f>M13+M17</f>
      </c>
      <c r="N18" s="307">
        <f>N13+N17</f>
      </c>
      <c r="O18" s="309">
        <f>O13+O17</f>
      </c>
      <c r="P18" s="307">
        <f>P13+P17</f>
      </c>
      <c r="Q18" s="308">
        <f t="shared" si="117"/>
      </c>
      <c r="R18" s="307">
        <f>R13+R17</f>
      </c>
      <c r="S18" s="308">
        <f t="shared" si="22"/>
      </c>
      <c r="T18" s="309">
        <f t="shared" si="24"/>
      </c>
      <c r="U18" s="309"/>
      <c r="V18" s="307">
        <f t="shared" si="9"/>
      </c>
      <c r="W18" s="307">
        <f>W13+W17</f>
      </c>
      <c r="X18" s="307">
        <f t="shared" si="11"/>
      </c>
      <c r="Y18" s="307">
        <f t="shared" si="5"/>
      </c>
      <c r="Z18" s="309">
        <f t="shared" si="7"/>
      </c>
      <c r="AA18" s="309">
        <f t="shared" si="0"/>
      </c>
      <c r="AB18" s="308">
        <f t="shared" si="1"/>
      </c>
      <c r="AC18" s="308">
        <f t="shared" si="147"/>
      </c>
      <c r="AD18" s="308">
        <f t="shared" si="3"/>
      </c>
      <c r="AE18" s="308">
        <f>N18/AU17:AU16</f>
      </c>
      <c r="AF18" s="308">
        <f t="shared" si="143"/>
      </c>
      <c r="AG18" s="308">
        <f t="shared" si="145"/>
      </c>
      <c r="AH18" s="308">
        <f t="shared" si="119"/>
      </c>
      <c r="AI18" s="329">
        <f>(AI13+AI17)/2</f>
      </c>
      <c r="AJ18" s="307">
        <f>AJ13+AJ17</f>
      </c>
      <c r="AK18" s="307">
        <f>AK13+AK17</f>
      </c>
      <c r="AL18" s="307">
        <f>AL13+AL17</f>
      </c>
      <c r="AM18" s="307">
        <f>AM13+AM17</f>
      </c>
      <c r="AN18" s="307">
        <f>AN13+AN17</f>
      </c>
      <c r="AO18" s="307">
        <f>AO13+AO17</f>
      </c>
      <c r="AP18" s="307">
        <f>AP13+AP17</f>
      </c>
      <c r="AQ18" s="307">
        <f>AQ13+AQ17</f>
      </c>
      <c r="AR18" s="307">
        <f>AR13+AR17</f>
      </c>
      <c r="AS18" s="307">
        <f>AS13+AS17</f>
      </c>
      <c r="AT18" s="307">
        <f>AT13+AT17</f>
      </c>
      <c r="AU18" s="307">
        <f>AU13+AU17</f>
      </c>
      <c r="AV18" s="307">
        <f>AV13+AV17</f>
      </c>
    </row>
    <row r="19">
      <c r="A19" s="287" t="s">
        <v>259</v>
      </c>
      <c r="B19" s="287" t="s">
        <v>260</v>
      </c>
      <c r="C19" s="287" t="s">
        <v>247</v>
      </c>
      <c r="D19" s="287" t="s">
        <v>248</v>
      </c>
      <c r="E19" s="288" t="s">
        <v>249</v>
      </c>
      <c r="F19" s="312">
        <f t="shared" ref="F19:F21" si="30">G19+H19+I19</f>
      </c>
      <c r="G19" s="313">
        <v>1152.45</v>
      </c>
      <c r="H19" s="313">
        <v>1925.17</v>
      </c>
      <c r="I19" s="290"/>
      <c r="J19" s="291"/>
      <c r="K19" s="292"/>
      <c r="L19" s="293"/>
      <c r="M19" s="293"/>
      <c r="N19" s="294">
        <v>0</v>
      </c>
      <c r="O19" s="295">
        <f t="shared" ref="O19:O220" si="146">N19/R19</f>
      </c>
      <c r="P19" s="294">
        <v>0</v>
      </c>
      <c r="Q19" s="295">
        <f t="shared" ref="Q19:Q220" si="148">P19/R19</f>
      </c>
      <c r="R19" s="294">
        <v>2</v>
      </c>
      <c r="S19" s="314">
        <v>5286</v>
      </c>
      <c r="T19" s="296">
        <f t="shared" ref="T19:T220" si="120">S19/F19</f>
      </c>
      <c r="U19" s="296"/>
      <c r="V19" s="290">
        <f t="shared" ref="V19:V220" si="144">S19/R19</f>
      </c>
      <c r="W19" s="294">
        <v>1</v>
      </c>
      <c r="X19" s="290">
        <f t="shared" si="11"/>
      </c>
      <c r="Y19" s="290">
        <f t="shared" ref="Y19:Y220" si="75">F19/R19</f>
      </c>
      <c r="Z19" s="296">
        <f t="shared" ref="Z19:Z220" si="118">F19/AL19</f>
      </c>
      <c r="AA19" s="296">
        <f t="shared" ref="AA19:AA220" si="23">F19/AK19*1000</f>
      </c>
      <c r="AB19" s="296"/>
      <c r="AC19" s="295">
        <f t="shared" ref="AC19:AC220" si="2">AL19/AK19</f>
      </c>
      <c r="AD19" s="295">
        <f t="shared" ref="AD19:AD220" si="25">AN19/AM19</f>
      </c>
      <c r="AE19" s="295">
        <f t="shared" ref="AE19:AE220" si="10">AP19/AM19</f>
      </c>
      <c r="AF19" s="295">
        <f t="shared" ref="AF19:AF21" si="12">R19/AO20</f>
      </c>
      <c r="AG19" s="295">
        <f t="shared" ref="AG19:AG220" si="6">AR19/AN19</f>
      </c>
      <c r="AH19" s="295">
        <f t="shared" ref="AH19:AH220" si="8">R19/AR19</f>
      </c>
      <c r="AI19" s="295">
        <f t="shared" ref="AI19:AI220" si="4">AQ19/AM19</f>
      </c>
      <c r="AJ19" s="294">
        <v>47</v>
      </c>
      <c r="AK19" s="289">
        <v>12329</v>
      </c>
      <c r="AL19" s="290">
        <v>366</v>
      </c>
      <c r="AM19" s="290">
        <v>420</v>
      </c>
      <c r="AN19" s="290">
        <v>109</v>
      </c>
      <c r="AO19" s="330">
        <v>38</v>
      </c>
      <c r="AP19" s="290">
        <v>96</v>
      </c>
      <c r="AQ19" s="330">
        <v>81</v>
      </c>
      <c r="AR19" s="330">
        <v>4</v>
      </c>
      <c r="AS19" s="290">
        <v>7</v>
      </c>
      <c r="AT19" s="290">
        <v>0</v>
      </c>
      <c r="AU19" s="331">
        <v>13</v>
      </c>
      <c r="AW19" s="297"/>
    </row>
    <row r="20">
      <c r="A20" s="287"/>
      <c r="B20" s="287" t="s">
        <v>260</v>
      </c>
      <c r="C20" s="287" t="s">
        <v>247</v>
      </c>
      <c r="D20" s="287" t="s">
        <v>248</v>
      </c>
      <c r="E20" s="288" t="s">
        <v>250</v>
      </c>
      <c r="F20" s="312">
        <f t="shared" si="30"/>
      </c>
      <c r="G20" s="313">
        <v>703.63</v>
      </c>
      <c r="H20" s="313">
        <v>1974.88</v>
      </c>
      <c r="I20" s="290"/>
      <c r="J20" s="293"/>
      <c r="K20" s="298"/>
      <c r="L20" s="293"/>
      <c r="M20" s="293"/>
      <c r="N20" s="294">
        <v>0</v>
      </c>
      <c r="O20" s="295">
        <f t="shared" si="146"/>
      </c>
      <c r="P20" s="294">
        <v>0</v>
      </c>
      <c r="Q20" s="295">
        <f t="shared" si="148"/>
      </c>
      <c r="R20" s="294">
        <v>1</v>
      </c>
      <c r="S20" s="314">
        <v>1775.5500000000002</v>
      </c>
      <c r="T20" s="296">
        <f t="shared" si="120"/>
      </c>
      <c r="U20" s="296"/>
      <c r="V20" s="290">
        <f t="shared" si="144"/>
      </c>
      <c r="W20" s="294">
        <v>1</v>
      </c>
      <c r="X20" s="290">
        <f t="shared" si="11"/>
      </c>
      <c r="Y20" s="290">
        <f t="shared" si="75"/>
      </c>
      <c r="Z20" s="296">
        <f t="shared" si="118"/>
      </c>
      <c r="AA20" s="296">
        <f t="shared" si="23"/>
      </c>
      <c r="AB20" s="296"/>
      <c r="AC20" s="295">
        <f t="shared" si="2"/>
      </c>
      <c r="AD20" s="295">
        <f t="shared" si="25"/>
      </c>
      <c r="AE20" s="295">
        <f t="shared" si="10"/>
      </c>
      <c r="AF20" s="295">
        <f t="shared" si="12"/>
      </c>
      <c r="AG20" s="295">
        <f t="shared" si="6"/>
      </c>
      <c r="AH20" s="295">
        <f t="shared" si="8"/>
      </c>
      <c r="AI20" s="295">
        <f t="shared" si="4"/>
      </c>
      <c r="AJ20" s="294">
        <v>49</v>
      </c>
      <c r="AK20" s="289">
        <v>9853</v>
      </c>
      <c r="AL20" s="290">
        <v>283</v>
      </c>
      <c r="AM20" s="290">
        <v>325</v>
      </c>
      <c r="AN20" s="290">
        <v>75</v>
      </c>
      <c r="AO20" s="330">
        <v>15</v>
      </c>
      <c r="AP20" s="290">
        <v>60</v>
      </c>
      <c r="AQ20" s="330">
        <v>53</v>
      </c>
      <c r="AR20" s="330">
        <v>1</v>
      </c>
      <c r="AS20" s="290">
        <v>5</v>
      </c>
      <c r="AT20" s="290">
        <v>0</v>
      </c>
      <c r="AU20" s="331">
        <v>18</v>
      </c>
      <c r="AW20" s="297"/>
    </row>
    <row r="21">
      <c r="A21" s="287"/>
      <c r="B21" s="287" t="s">
        <v>260</v>
      </c>
      <c r="C21" s="287" t="s">
        <v>247</v>
      </c>
      <c r="D21" s="287" t="s">
        <v>248</v>
      </c>
      <c r="E21" s="288" t="s">
        <v>251</v>
      </c>
      <c r="F21" s="312">
        <f t="shared" si="30"/>
      </c>
      <c r="G21" s="313">
        <v>2020.42</v>
      </c>
      <c r="H21" s="313">
        <v>1160.59</v>
      </c>
      <c r="I21" s="290"/>
      <c r="J21" s="293"/>
      <c r="K21" s="298"/>
      <c r="L21" s="293"/>
      <c r="M21" s="293"/>
      <c r="N21" s="294">
        <v>1</v>
      </c>
      <c r="O21" s="295">
        <f t="shared" si="146"/>
      </c>
      <c r="P21" s="294">
        <v>1</v>
      </c>
      <c r="Q21" s="295">
        <f t="shared" si="148"/>
      </c>
      <c r="R21" s="294">
        <v>3</v>
      </c>
      <c r="S21" s="314">
        <v>8421.240000000002</v>
      </c>
      <c r="T21" s="296">
        <f t="shared" si="120"/>
      </c>
      <c r="U21" s="296"/>
      <c r="V21" s="290">
        <f t="shared" si="144"/>
      </c>
      <c r="W21" s="294">
        <v>3</v>
      </c>
      <c r="X21" s="290">
        <f t="shared" si="11"/>
      </c>
      <c r="Y21" s="290">
        <f t="shared" si="75"/>
      </c>
      <c r="Z21" s="296">
        <f t="shared" si="118"/>
      </c>
      <c r="AA21" s="296">
        <f t="shared" si="23"/>
      </c>
      <c r="AB21" s="296"/>
      <c r="AC21" s="295">
        <f t="shared" si="2"/>
      </c>
      <c r="AD21" s="295">
        <f t="shared" si="25"/>
      </c>
      <c r="AE21" s="295">
        <f t="shared" si="10"/>
      </c>
      <c r="AF21" s="295">
        <f t="shared" si="12"/>
      </c>
      <c r="AG21" s="295">
        <f t="shared" si="6"/>
      </c>
      <c r="AH21" s="295">
        <f t="shared" si="8"/>
      </c>
      <c r="AI21" s="295">
        <f t="shared" si="4"/>
      </c>
      <c r="AJ21" s="294">
        <v>46</v>
      </c>
      <c r="AK21" s="289">
        <v>16772</v>
      </c>
      <c r="AL21" s="290">
        <v>450</v>
      </c>
      <c r="AM21" s="290">
        <v>487</v>
      </c>
      <c r="AN21" s="290">
        <v>85</v>
      </c>
      <c r="AO21" s="330">
        <v>25</v>
      </c>
      <c r="AP21" s="290">
        <v>79</v>
      </c>
      <c r="AQ21" s="330">
        <v>63</v>
      </c>
      <c r="AR21" s="330">
        <v>4</v>
      </c>
      <c r="AS21" s="290">
        <v>6</v>
      </c>
      <c r="AT21" s="290">
        <v>0</v>
      </c>
      <c r="AU21" s="331">
        <v>7</v>
      </c>
      <c r="AW21" s="297"/>
    </row>
    <row r="22">
      <c r="A22" s="287"/>
      <c r="B22" s="299" t="s">
        <v>253</v>
      </c>
      <c r="C22" s="299"/>
      <c r="D22" s="299"/>
      <c r="E22" s="299"/>
      <c r="F22" s="315">
        <f>SUM(F19:F21)</f>
      </c>
      <c r="G22" s="303">
        <f>SUM(G19:G21)</f>
      </c>
      <c r="H22" s="303">
        <f>SUM(H19:H21)</f>
      </c>
      <c r="I22" s="300">
        <f>SUM(I19:I21)</f>
      </c>
      <c r="J22" s="300">
        <f>SUM(J19:J21)</f>
      </c>
      <c r="K22" s="316">
        <f>SUM(K19:K21)</f>
      </c>
      <c r="L22" s="301">
        <f>SUM(L19:L21)</f>
      </c>
      <c r="M22" s="301">
        <f>SUM(M19:M21)</f>
      </c>
      <c r="N22" s="300">
        <f>SUM(N19:N21)</f>
      </c>
      <c r="O22" s="302">
        <f t="shared" si="146"/>
      </c>
      <c r="P22" s="300">
        <f>SUM(P19:P21)</f>
      </c>
      <c r="Q22" s="302">
        <f t="shared" si="148"/>
      </c>
      <c r="R22" s="301">
        <f>SUM(R19:R21)</f>
      </c>
      <c r="S22" s="303">
        <f>SUM(S19:S21)</f>
      </c>
      <c r="T22" s="303">
        <f t="shared" si="120"/>
      </c>
      <c r="U22" s="303"/>
      <c r="V22" s="300">
        <f t="shared" si="144"/>
      </c>
      <c r="W22" s="300">
        <f>SUM(W19:W21)</f>
      </c>
      <c r="X22" s="300">
        <f t="shared" si="11"/>
      </c>
      <c r="Y22" s="300">
        <f t="shared" si="75"/>
      </c>
      <c r="Z22" s="303">
        <f t="shared" si="118"/>
      </c>
      <c r="AA22" s="303">
        <f t="shared" si="23"/>
      </c>
      <c r="AB22" s="303"/>
      <c r="AC22" s="302">
        <f t="shared" si="2"/>
      </c>
      <c r="AD22" s="302">
        <f t="shared" si="25"/>
      </c>
      <c r="AE22" s="302">
        <f t="shared" si="10"/>
      </c>
      <c r="AF22" s="302">
        <f>R22/AO27</f>
      </c>
      <c r="AG22" s="302">
        <f t="shared" si="6"/>
      </c>
      <c r="AH22" s="302">
        <f t="shared" si="8"/>
      </c>
      <c r="AI22" s="302">
        <f t="shared" si="4"/>
      </c>
      <c r="AJ22" s="317">
        <f>AVERAGE(AJ19:AJ21)</f>
      </c>
      <c r="AK22" s="332">
        <f>SUM(AK19:AK21)</f>
      </c>
      <c r="AL22" s="300">
        <f>SUM(AL19:AL21)</f>
      </c>
      <c r="AM22" s="300">
        <f>SUM(AM19:AM21)</f>
      </c>
      <c r="AN22" s="300">
        <f>SUM(AN19:AN21)</f>
      </c>
      <c r="AO22" s="300">
        <f>SUM(AO19:AO21)</f>
      </c>
      <c r="AP22" s="300">
        <f>SUM(AP19:AP21)</f>
      </c>
      <c r="AQ22" s="300">
        <f>SUM(AQ19:AQ21)</f>
      </c>
      <c r="AR22" s="300">
        <f>SUM(AR19:AR21)</f>
      </c>
      <c r="AS22" s="300">
        <f>SUM(AS19:AS21)</f>
      </c>
      <c r="AT22" s="300">
        <f>SUM(AT19:AT21)</f>
      </c>
      <c r="AU22" s="333">
        <f>SUM(AU19:AU21)</f>
      </c>
      <c r="AW22" s="305"/>
    </row>
    <row r="23">
      <c r="A23" s="287"/>
      <c r="B23" s="287" t="s">
        <v>260</v>
      </c>
      <c r="C23" s="287" t="s">
        <v>247</v>
      </c>
      <c r="D23" s="287" t="s">
        <v>256</v>
      </c>
      <c r="E23" s="288" t="s">
        <v>252</v>
      </c>
      <c r="F23" s="318">
        <f t="shared" ref="F23:F25" si="31">G23+H23+I23</f>
      </c>
      <c r="G23" s="313">
        <v>2239.97</v>
      </c>
      <c r="H23" s="313">
        <v>1187.49</v>
      </c>
      <c r="I23" s="290"/>
      <c r="J23" s="293"/>
      <c r="K23" s="298"/>
      <c r="L23" s="293"/>
      <c r="M23" s="293"/>
      <c r="N23" s="294">
        <v>0</v>
      </c>
      <c r="O23" s="295">
        <f t="shared" si="146"/>
      </c>
      <c r="P23" s="294">
        <v>0</v>
      </c>
      <c r="Q23" s="295">
        <f t="shared" si="148"/>
      </c>
      <c r="R23" s="294">
        <v>0</v>
      </c>
      <c r="S23" s="313">
        <v>0</v>
      </c>
      <c r="T23" s="296">
        <f t="shared" si="120"/>
      </c>
      <c r="U23" s="296"/>
      <c r="V23" s="290">
        <f t="shared" si="144"/>
      </c>
      <c r="W23" s="294">
        <v>0</v>
      </c>
      <c r="X23" s="290">
        <f t="shared" si="11"/>
      </c>
      <c r="Y23" s="290">
        <f t="shared" si="75"/>
      </c>
      <c r="Z23" s="296">
        <f t="shared" si="118"/>
      </c>
      <c r="AA23" s="296">
        <f t="shared" si="23"/>
      </c>
      <c r="AB23" s="296"/>
      <c r="AC23" s="295">
        <f t="shared" si="2"/>
      </c>
      <c r="AD23" s="295">
        <f t="shared" si="25"/>
      </c>
      <c r="AE23" s="295">
        <f t="shared" si="10"/>
      </c>
      <c r="AF23" s="295">
        <f t="shared" ref="AF23:AF24" si="13">R23/AO24</f>
      </c>
      <c r="AG23" s="295">
        <f t="shared" si="6"/>
      </c>
      <c r="AH23" s="295">
        <f t="shared" si="8"/>
      </c>
      <c r="AI23" s="295">
        <f t="shared" si="4"/>
      </c>
      <c r="AJ23" s="294">
        <v>45</v>
      </c>
      <c r="AK23" s="289">
        <v>21979</v>
      </c>
      <c r="AL23" s="290">
        <v>609</v>
      </c>
      <c r="AM23" s="290">
        <v>685</v>
      </c>
      <c r="AN23" s="290">
        <v>110</v>
      </c>
      <c r="AO23" s="330">
        <v>21</v>
      </c>
      <c r="AP23" s="290">
        <v>57</v>
      </c>
      <c r="AQ23" s="330">
        <v>78</v>
      </c>
      <c r="AR23" s="330">
        <v>0</v>
      </c>
      <c r="AS23" s="290">
        <v>7</v>
      </c>
      <c r="AT23" s="290">
        <v>0</v>
      </c>
      <c r="AU23" s="331">
        <v>6</v>
      </c>
      <c r="AW23" s="297"/>
    </row>
    <row r="24">
      <c r="A24" s="287"/>
      <c r="B24" s="287" t="s">
        <v>260</v>
      </c>
      <c r="C24" s="287" t="s">
        <v>247</v>
      </c>
      <c r="D24" s="287" t="s">
        <v>256</v>
      </c>
      <c r="E24" s="287" t="s">
        <v>257</v>
      </c>
      <c r="F24" s="313">
        <f t="shared" si="31"/>
      </c>
      <c r="G24" s="319">
        <v>1073.89</v>
      </c>
      <c r="H24" s="319">
        <v>671.96</v>
      </c>
      <c r="I24" s="320"/>
      <c r="J24" s="321"/>
      <c r="K24" s="298"/>
      <c r="L24" s="293"/>
      <c r="M24" s="293"/>
      <c r="N24" s="294">
        <v>0</v>
      </c>
      <c r="O24" s="295">
        <f t="shared" si="146"/>
      </c>
      <c r="P24" s="294">
        <v>0</v>
      </c>
      <c r="Q24" s="295">
        <f t="shared" si="148"/>
      </c>
      <c r="R24" s="294">
        <v>0</v>
      </c>
      <c r="S24" s="314">
        <v>0</v>
      </c>
      <c r="T24" s="296">
        <f t="shared" si="120"/>
      </c>
      <c r="U24" s="296"/>
      <c r="V24" s="290">
        <f t="shared" si="144"/>
      </c>
      <c r="W24" s="294">
        <v>0</v>
      </c>
      <c r="X24" s="290">
        <f t="shared" si="11"/>
      </c>
      <c r="Y24" s="290">
        <f t="shared" si="75"/>
      </c>
      <c r="Z24" s="296">
        <f t="shared" si="118"/>
      </c>
      <c r="AA24" s="296">
        <f t="shared" si="23"/>
      </c>
      <c r="AB24" s="296"/>
      <c r="AC24" s="295">
        <f t="shared" si="2"/>
      </c>
      <c r="AD24" s="295">
        <f t="shared" si="25"/>
      </c>
      <c r="AE24" s="295">
        <f t="shared" si="10"/>
      </c>
      <c r="AF24" s="295">
        <f t="shared" si="13"/>
      </c>
      <c r="AG24" s="295">
        <f t="shared" si="6"/>
      </c>
      <c r="AH24" s="295">
        <f t="shared" si="8"/>
      </c>
      <c r="AI24" s="295">
        <f t="shared" si="4"/>
      </c>
      <c r="AJ24" s="294">
        <v>50</v>
      </c>
      <c r="AK24" s="289">
        <v>10280</v>
      </c>
      <c r="AL24" s="290">
        <v>292</v>
      </c>
      <c r="AM24" s="290">
        <v>335</v>
      </c>
      <c r="AN24" s="290">
        <v>73</v>
      </c>
      <c r="AO24" s="330">
        <v>23</v>
      </c>
      <c r="AP24" s="290">
        <v>72</v>
      </c>
      <c r="AQ24" s="330">
        <v>62</v>
      </c>
      <c r="AR24" s="330">
        <v>0</v>
      </c>
      <c r="AS24" s="290">
        <v>6</v>
      </c>
      <c r="AT24" s="290">
        <v>1</v>
      </c>
      <c r="AU24" s="331">
        <v>5</v>
      </c>
      <c r="AW24" s="297"/>
    </row>
    <row r="25">
      <c r="A25" s="287"/>
      <c r="B25" s="287" t="s">
        <v>260</v>
      </c>
      <c r="C25" s="287" t="s">
        <v>247</v>
      </c>
      <c r="D25" s="287" t="s">
        <v>256</v>
      </c>
      <c r="E25" s="287" t="s">
        <v>258</v>
      </c>
      <c r="F25" s="313">
        <f t="shared" si="31"/>
      </c>
      <c r="G25" s="313">
        <v>670.62</v>
      </c>
      <c r="H25" s="313">
        <v>175.2</v>
      </c>
      <c r="I25" s="290"/>
      <c r="J25" s="293"/>
      <c r="K25" s="298"/>
      <c r="L25" s="293"/>
      <c r="M25" s="293"/>
      <c r="N25" s="294">
        <v>1</v>
      </c>
      <c r="O25" s="295">
        <f t="shared" si="146"/>
      </c>
      <c r="P25" s="294">
        <v>1</v>
      </c>
      <c r="Q25" s="295">
        <f t="shared" si="148"/>
      </c>
      <c r="R25" s="294">
        <v>1</v>
      </c>
      <c r="S25" s="313">
        <v>20761.450000000004</v>
      </c>
      <c r="T25" s="296">
        <f t="shared" si="120"/>
      </c>
      <c r="U25" s="296"/>
      <c r="V25" s="290">
        <f t="shared" si="144"/>
      </c>
      <c r="W25" s="294">
        <v>1</v>
      </c>
      <c r="X25" s="290">
        <f t="shared" si="11"/>
      </c>
      <c r="Y25" s="290">
        <f t="shared" si="75"/>
      </c>
      <c r="Z25" s="296">
        <f t="shared" si="118"/>
      </c>
      <c r="AA25" s="296">
        <f t="shared" si="23"/>
      </c>
      <c r="AB25" s="296"/>
      <c r="AC25" s="295">
        <f t="shared" si="2"/>
      </c>
      <c r="AD25" s="295">
        <f t="shared" si="25"/>
      </c>
      <c r="AE25" s="295">
        <f t="shared" si="10"/>
      </c>
      <c r="AF25" s="295">
        <f>R25/AO27</f>
      </c>
      <c r="AG25" s="295">
        <f t="shared" si="6"/>
      </c>
      <c r="AH25" s="295">
        <f t="shared" si="8"/>
      </c>
      <c r="AI25" s="295">
        <f t="shared" si="4"/>
      </c>
      <c r="AJ25" s="294">
        <v>53</v>
      </c>
      <c r="AK25" s="289">
        <v>6589</v>
      </c>
      <c r="AL25" s="290">
        <v>187</v>
      </c>
      <c r="AM25" s="290">
        <v>219</v>
      </c>
      <c r="AN25" s="290">
        <v>39</v>
      </c>
      <c r="AO25" s="330">
        <v>9</v>
      </c>
      <c r="AP25" s="290">
        <v>90</v>
      </c>
      <c r="AQ25" s="330">
        <v>42</v>
      </c>
      <c r="AR25" s="330">
        <v>2</v>
      </c>
      <c r="AS25" s="290">
        <v>3</v>
      </c>
      <c r="AT25" s="290">
        <v>2</v>
      </c>
      <c r="AU25" s="331">
        <v>1</v>
      </c>
      <c r="AW25" s="297"/>
    </row>
    <row r="26">
      <c r="A26" s="287"/>
      <c r="B26" s="322" t="s">
        <v>253</v>
      </c>
      <c r="C26" s="322"/>
      <c r="D26" s="322"/>
      <c r="E26" s="322"/>
      <c r="F26" s="323">
        <f>SUM(F23:F25)</f>
      </c>
      <c r="G26" s="323">
        <f>SUM(G23:G25)</f>
      </c>
      <c r="H26" s="323">
        <f>SUM(H23:H25)</f>
      </c>
      <c r="I26" s="324">
        <f>SUM(I23:I25)</f>
      </c>
      <c r="J26" s="324">
        <f>SUM(J23:J25)</f>
      </c>
      <c r="K26" s="325">
        <f>SUM(K23:K25)</f>
      </c>
      <c r="L26" s="325">
        <f>SUM(L23:L25)</f>
      </c>
      <c r="M26" s="325">
        <f>SUM(M23:M25)</f>
      </c>
      <c r="N26" s="325">
        <f>SUM(N23:N25)</f>
      </c>
      <c r="O26" s="326">
        <f t="shared" si="146"/>
      </c>
      <c r="P26" s="325">
        <f>SUM(P23:P25)</f>
      </c>
      <c r="Q26" s="326">
        <f t="shared" si="148"/>
      </c>
      <c r="R26" s="325">
        <f>SUM(R23:R25)</f>
      </c>
      <c r="S26" s="323">
        <f>SUM(S23:S25)</f>
      </c>
      <c r="T26" s="323">
        <f t="shared" si="120"/>
      </c>
      <c r="U26" s="323"/>
      <c r="V26" s="325">
        <f t="shared" si="144"/>
      </c>
      <c r="W26" s="325">
        <f>SUM(W23:W25)</f>
      </c>
      <c r="X26" s="325">
        <f t="shared" si="11"/>
      </c>
      <c r="Y26" s="325">
        <f t="shared" si="75"/>
      </c>
      <c r="Z26" s="323">
        <f t="shared" si="118"/>
      </c>
      <c r="AA26" s="323">
        <f t="shared" si="23"/>
      </c>
      <c r="AB26" s="323"/>
      <c r="AC26" s="326">
        <f t="shared" si="2"/>
      </c>
      <c r="AD26" s="326">
        <f t="shared" si="25"/>
      </c>
      <c r="AE26" s="326">
        <f t="shared" si="10"/>
      </c>
      <c r="AF26" s="326">
        <f>R26/AU28</f>
      </c>
      <c r="AG26" s="326">
        <f t="shared" si="6"/>
      </c>
      <c r="AH26" s="326">
        <f t="shared" si="8"/>
      </c>
      <c r="AI26" s="326">
        <f t="shared" si="4"/>
      </c>
      <c r="AJ26" s="327">
        <f>AVERAGE(AJ23:AJ25)</f>
      </c>
      <c r="AK26" s="334">
        <f>SUM(AK23:AK25)</f>
      </c>
      <c r="AL26" s="300">
        <f>SUM(AL23:AL25)</f>
      </c>
      <c r="AM26" s="300">
        <f>SUM(AM23:AM25)</f>
      </c>
      <c r="AN26" s="300">
        <f>SUM(AN23:AN25)</f>
      </c>
      <c r="AO26" s="300">
        <f>SUM(AO23:AO25)</f>
      </c>
      <c r="AP26" s="300">
        <f>SUM(AP23:AP25)</f>
      </c>
      <c r="AQ26" s="300">
        <f>SUM(AQ23:AQ25)</f>
      </c>
      <c r="AR26" s="300">
        <f>SUM(AR23:AR25)</f>
      </c>
      <c r="AS26" s="300">
        <f>SUM(AS23:AS25)</f>
      </c>
      <c r="AT26" s="300">
        <f>SUM(AT23:AT25)</f>
      </c>
      <c r="AU26" s="306">
        <f>SUM(AU23:AU25)</f>
      </c>
      <c r="AW26" s="305"/>
    </row>
    <row r="27">
      <c r="A27" s="287"/>
      <c r="B27" s="307" t="s">
        <v>254</v>
      </c>
      <c r="C27" s="307"/>
      <c r="D27" s="307"/>
      <c r="E27" s="307"/>
      <c r="F27" s="309">
        <f>F22+F26</f>
      </c>
      <c r="G27" s="309">
        <f>G22+G26</f>
      </c>
      <c r="H27" s="309">
        <f>H22+H26</f>
      </c>
      <c r="I27" s="307">
        <f>I22+I26</f>
      </c>
      <c r="J27" s="307">
        <f>J22+J26</f>
      </c>
      <c r="K27" s="307">
        <f>K22+K26</f>
      </c>
      <c r="L27" s="307">
        <f>L22+L26</f>
      </c>
      <c r="M27" s="307">
        <f>M22+M26</f>
      </c>
      <c r="N27" s="307">
        <f>N22+N26</f>
      </c>
      <c r="O27" s="308">
        <f t="shared" si="146"/>
      </c>
      <c r="P27" s="307">
        <f>P22+P26</f>
      </c>
      <c r="Q27" s="308">
        <f t="shared" si="148"/>
      </c>
      <c r="R27" s="307">
        <f>R22+R26</f>
      </c>
      <c r="S27" s="309">
        <f>S22+S26</f>
      </c>
      <c r="T27" s="309">
        <f t="shared" si="120"/>
      </c>
      <c r="U27" s="309"/>
      <c r="V27" s="307">
        <f t="shared" si="144"/>
      </c>
      <c r="W27" s="307">
        <f>W22+W26</f>
      </c>
      <c r="X27" s="307">
        <f t="shared" si="11"/>
      </c>
      <c r="Y27" s="307">
        <f t="shared" si="75"/>
      </c>
      <c r="Z27" s="309">
        <f t="shared" si="118"/>
      </c>
      <c r="AA27" s="309">
        <f t="shared" si="23"/>
      </c>
      <c r="AB27" s="309"/>
      <c r="AC27" s="308">
        <f t="shared" si="2"/>
      </c>
      <c r="AD27" s="308">
        <f t="shared" si="25"/>
      </c>
      <c r="AE27" s="308">
        <f t="shared" si="10"/>
      </c>
      <c r="AF27" s="308">
        <f>R27/AU26:AU25</f>
      </c>
      <c r="AG27" s="308">
        <f t="shared" si="6"/>
      </c>
      <c r="AH27" s="308">
        <f t="shared" si="8"/>
      </c>
      <c r="AI27" s="308">
        <f t="shared" si="4"/>
      </c>
      <c r="AJ27" s="329">
        <f>(AJ22+AJ26)/2</f>
      </c>
      <c r="AK27" s="307">
        <f>AK22+AK26</f>
      </c>
      <c r="AL27" s="335">
        <f>AL22+AL26</f>
      </c>
      <c r="AM27" s="335">
        <f>AM22+AM26</f>
      </c>
      <c r="AN27" s="335">
        <f>AN22+AN26</f>
      </c>
      <c r="AO27" s="335">
        <f>AO22+AO26</f>
      </c>
      <c r="AP27" s="335">
        <f>AP22+AP26</f>
      </c>
      <c r="AQ27" s="335">
        <f>AQ22+AQ26</f>
      </c>
      <c r="AR27" s="335">
        <f>AR22+AR26</f>
      </c>
      <c r="AS27" s="335">
        <f>AS22+AS26</f>
      </c>
      <c r="AT27" s="335">
        <f>AT22+AT26</f>
      </c>
      <c r="AU27" s="307">
        <f>AU22+AU26</f>
      </c>
      <c r="AW27" s="307">
        <f>AW22+AW26</f>
      </c>
    </row>
    <row r="28">
      <c r="A28" s="287" t="s">
        <v>261</v>
      </c>
      <c r="B28" s="287" t="s">
        <v>260</v>
      </c>
      <c r="C28" s="287" t="s">
        <v>247</v>
      </c>
      <c r="D28" s="287" t="s">
        <v>248</v>
      </c>
      <c r="E28" s="288" t="s">
        <v>249</v>
      </c>
      <c r="F28" s="312">
        <f t="shared" ref="F28:F30" si="32">G28+H28+I28</f>
      </c>
      <c r="G28" s="313">
        <v>1246.22</v>
      </c>
      <c r="H28" s="313">
        <v>1896.32</v>
      </c>
      <c r="I28" s="290"/>
      <c r="J28" s="291"/>
      <c r="K28" s="292"/>
      <c r="L28" s="293"/>
      <c r="M28" s="293"/>
      <c r="N28" s="294">
        <v>0</v>
      </c>
      <c r="O28" s="295">
        <f t="shared" si="146"/>
      </c>
      <c r="P28" s="294">
        <v>0</v>
      </c>
      <c r="Q28" s="295">
        <f t="shared" si="148"/>
      </c>
      <c r="R28" s="294">
        <v>1</v>
      </c>
      <c r="S28" s="314">
        <v>1620</v>
      </c>
      <c r="T28" s="296">
        <f t="shared" si="120"/>
      </c>
      <c r="U28" s="296"/>
      <c r="V28" s="290">
        <f t="shared" si="144"/>
      </c>
      <c r="W28" s="294">
        <v>1</v>
      </c>
      <c r="X28" s="290">
        <f t="shared" si="11"/>
      </c>
      <c r="Y28" s="290">
        <f t="shared" si="75"/>
      </c>
      <c r="Z28" s="296">
        <f t="shared" si="118"/>
      </c>
      <c r="AA28" s="296">
        <f t="shared" si="23"/>
      </c>
      <c r="AB28" s="296">
        <f t="shared" ref="AB28:AB35" si="149">F28/AN28</f>
      </c>
      <c r="AC28" s="295">
        <f t="shared" si="2"/>
      </c>
      <c r="AD28" s="295">
        <f t="shared" si="25"/>
      </c>
      <c r="AE28" s="295">
        <f t="shared" si="10"/>
      </c>
      <c r="AF28" s="295">
        <f t="shared" ref="AF28:AF30" si="121">R28/AO28</f>
      </c>
      <c r="AG28" s="295">
        <f t="shared" si="6"/>
      </c>
      <c r="AH28" s="295">
        <f t="shared" si="8"/>
      </c>
      <c r="AI28" s="295">
        <f t="shared" si="4"/>
      </c>
      <c r="AJ28" s="294">
        <v>48</v>
      </c>
      <c r="AK28" s="289">
        <v>13542</v>
      </c>
      <c r="AL28" s="290">
        <v>304</v>
      </c>
      <c r="AM28" s="290">
        <v>368</v>
      </c>
      <c r="AN28" s="290">
        <v>79</v>
      </c>
      <c r="AO28" s="330">
        <v>22</v>
      </c>
      <c r="AP28" s="290">
        <v>83</v>
      </c>
      <c r="AQ28" s="330">
        <v>59</v>
      </c>
      <c r="AR28" s="330">
        <v>1</v>
      </c>
      <c r="AS28" s="290">
        <v>6</v>
      </c>
      <c r="AT28" s="290">
        <v>0</v>
      </c>
      <c r="AU28" s="331">
        <v>11</v>
      </c>
      <c r="AW28" s="297"/>
    </row>
    <row r="29">
      <c r="A29" s="287"/>
      <c r="B29" s="287" t="s">
        <v>260</v>
      </c>
      <c r="C29" s="287" t="s">
        <v>247</v>
      </c>
      <c r="D29" s="287" t="s">
        <v>248</v>
      </c>
      <c r="E29" s="288" t="s">
        <v>250</v>
      </c>
      <c r="F29" s="312">
        <f t="shared" si="32"/>
      </c>
      <c r="G29" s="313">
        <v>1573.79</v>
      </c>
      <c r="H29" s="313">
        <v>971.41</v>
      </c>
      <c r="I29" s="290"/>
      <c r="J29" s="293"/>
      <c r="K29" s="298"/>
      <c r="L29" s="293"/>
      <c r="M29" s="293"/>
      <c r="N29" s="294">
        <v>0</v>
      </c>
      <c r="O29" s="295">
        <f t="shared" si="146"/>
      </c>
      <c r="P29" s="294">
        <v>0</v>
      </c>
      <c r="Q29" s="295">
        <f t="shared" si="148"/>
      </c>
      <c r="R29" s="294">
        <v>1</v>
      </c>
      <c r="S29" s="314">
        <v>3192</v>
      </c>
      <c r="T29" s="296">
        <f t="shared" si="120"/>
      </c>
      <c r="U29" s="296"/>
      <c r="V29" s="290">
        <f t="shared" si="144"/>
      </c>
      <c r="W29" s="294">
        <v>1</v>
      </c>
      <c r="X29" s="290">
        <f t="shared" si="11"/>
      </c>
      <c r="Y29" s="290">
        <f t="shared" si="75"/>
      </c>
      <c r="Z29" s="296">
        <f t="shared" si="118"/>
      </c>
      <c r="AA29" s="296">
        <f t="shared" si="23"/>
      </c>
      <c r="AB29" s="296">
        <f t="shared" si="149"/>
      </c>
      <c r="AC29" s="295">
        <f t="shared" si="2"/>
      </c>
      <c r="AD29" s="295">
        <f t="shared" si="25"/>
      </c>
      <c r="AE29" s="295">
        <f t="shared" si="10"/>
      </c>
      <c r="AF29" s="295">
        <f t="shared" si="121"/>
      </c>
      <c r="AG29" s="295">
        <f t="shared" si="6"/>
      </c>
      <c r="AH29" s="295">
        <f t="shared" si="8"/>
      </c>
      <c r="AI29" s="295">
        <f t="shared" si="4"/>
      </c>
      <c r="AJ29" s="294">
        <v>51</v>
      </c>
      <c r="AK29" s="289">
        <v>16691</v>
      </c>
      <c r="AL29" s="290">
        <v>374</v>
      </c>
      <c r="AM29" s="290">
        <v>438</v>
      </c>
      <c r="AN29" s="290">
        <v>73</v>
      </c>
      <c r="AO29" s="330">
        <v>27</v>
      </c>
      <c r="AP29" s="290">
        <v>68</v>
      </c>
      <c r="AQ29" s="330">
        <v>68</v>
      </c>
      <c r="AR29" s="330">
        <v>2</v>
      </c>
      <c r="AS29" s="290">
        <v>5</v>
      </c>
      <c r="AT29" s="290">
        <v>0</v>
      </c>
      <c r="AU29" s="331">
        <v>9</v>
      </c>
      <c r="AW29" s="297"/>
    </row>
    <row r="30">
      <c r="A30" s="287"/>
      <c r="B30" s="287" t="s">
        <v>260</v>
      </c>
      <c r="C30" s="287" t="s">
        <v>247</v>
      </c>
      <c r="D30" s="287" t="s">
        <v>248</v>
      </c>
      <c r="E30" s="288" t="s">
        <v>251</v>
      </c>
      <c r="F30" s="312">
        <f t="shared" si="32"/>
      </c>
      <c r="G30" s="313">
        <v>1369.6</v>
      </c>
      <c r="H30" s="313">
        <v>261.91</v>
      </c>
      <c r="I30" s="290"/>
      <c r="J30" s="293"/>
      <c r="K30" s="298"/>
      <c r="L30" s="293"/>
      <c r="M30" s="293"/>
      <c r="N30" s="294">
        <v>1</v>
      </c>
      <c r="O30" s="295">
        <f t="shared" si="146"/>
      </c>
      <c r="P30" s="294">
        <v>0</v>
      </c>
      <c r="Q30" s="295">
        <f t="shared" si="148"/>
      </c>
      <c r="R30" s="294">
        <v>1</v>
      </c>
      <c r="S30" s="314">
        <v>2052.8999999999996</v>
      </c>
      <c r="T30" s="296">
        <f t="shared" si="120"/>
      </c>
      <c r="U30" s="296"/>
      <c r="V30" s="290">
        <f t="shared" si="144"/>
      </c>
      <c r="W30" s="294">
        <v>1</v>
      </c>
      <c r="X30" s="290">
        <f t="shared" si="11"/>
      </c>
      <c r="Y30" s="290">
        <f t="shared" si="75"/>
      </c>
      <c r="Z30" s="296">
        <f t="shared" si="118"/>
      </c>
      <c r="AA30" s="296">
        <f t="shared" si="23"/>
      </c>
      <c r="AB30" s="296">
        <f t="shared" si="149"/>
      </c>
      <c r="AC30" s="295">
        <f t="shared" si="2"/>
      </c>
      <c r="AD30" s="295">
        <f t="shared" si="25"/>
      </c>
      <c r="AE30" s="295">
        <f t="shared" si="10"/>
      </c>
      <c r="AF30" s="295">
        <f t="shared" si="121"/>
      </c>
      <c r="AG30" s="295">
        <f t="shared" si="6"/>
      </c>
      <c r="AH30" s="295">
        <f t="shared" si="8"/>
      </c>
      <c r="AI30" s="295">
        <f t="shared" si="4"/>
      </c>
      <c r="AJ30" s="294">
        <v>52</v>
      </c>
      <c r="AK30" s="289">
        <v>7904</v>
      </c>
      <c r="AL30" s="290">
        <v>317</v>
      </c>
      <c r="AM30" s="290">
        <v>373</v>
      </c>
      <c r="AN30" s="290">
        <v>67</v>
      </c>
      <c r="AO30" s="330">
        <v>20</v>
      </c>
      <c r="AP30" s="290">
        <v>77</v>
      </c>
      <c r="AQ30" s="330">
        <v>50</v>
      </c>
      <c r="AR30" s="330">
        <v>1</v>
      </c>
      <c r="AS30" s="290">
        <v>2</v>
      </c>
      <c r="AT30" s="290">
        <v>0</v>
      </c>
      <c r="AU30" s="331">
        <v>0</v>
      </c>
      <c r="AW30" s="297"/>
    </row>
    <row r="31">
      <c r="A31" s="287"/>
      <c r="B31" s="299" t="s">
        <v>253</v>
      </c>
      <c r="C31" s="299"/>
      <c r="D31" s="299"/>
      <c r="E31" s="299"/>
      <c r="F31" s="315">
        <f>SUM(F28:F30)</f>
      </c>
      <c r="G31" s="303">
        <f>SUM(G28:G30)</f>
      </c>
      <c r="H31" s="303">
        <f>SUM(H28:H30)</f>
      </c>
      <c r="I31" s="300">
        <f>SUM(I28:I30)</f>
      </c>
      <c r="J31" s="300">
        <f>SUM(J28:J30)</f>
      </c>
      <c r="K31" s="316">
        <f>SUM(K28:K30)</f>
      </c>
      <c r="L31" s="301">
        <f>SUM(L28:L30)</f>
      </c>
      <c r="M31" s="301">
        <f>SUM(M28:M30)</f>
      </c>
      <c r="N31" s="300">
        <f>SUM(N28:N30)</f>
      </c>
      <c r="O31" s="302">
        <f t="shared" si="146"/>
      </c>
      <c r="P31" s="300">
        <f>SUM(P28:P30)</f>
      </c>
      <c r="Q31" s="302">
        <f t="shared" si="148"/>
      </c>
      <c r="R31" s="301">
        <f>SUM(R28:R30)</f>
      </c>
      <c r="S31" s="303">
        <f>SUM(S28:S30)</f>
      </c>
      <c r="T31" s="303">
        <f t="shared" si="120"/>
      </c>
      <c r="U31" s="303"/>
      <c r="V31" s="300">
        <f t="shared" si="144"/>
      </c>
      <c r="W31" s="300">
        <f>SUM(W28:W30)</f>
      </c>
      <c r="X31" s="300">
        <f t="shared" si="11"/>
      </c>
      <c r="Y31" s="300">
        <f t="shared" si="75"/>
      </c>
      <c r="Z31" s="303">
        <f t="shared" si="118"/>
      </c>
      <c r="AA31" s="303">
        <f t="shared" si="23"/>
      </c>
      <c r="AB31" s="336">
        <f t="shared" si="149"/>
      </c>
      <c r="AC31" s="302">
        <f t="shared" si="2"/>
      </c>
      <c r="AD31" s="302">
        <f t="shared" si="25"/>
      </c>
      <c r="AE31" s="302">
        <f t="shared" si="10"/>
      </c>
      <c r="AF31" s="302">
        <f>R31/AO36</f>
      </c>
      <c r="AG31" s="302">
        <f t="shared" si="6"/>
      </c>
      <c r="AH31" s="302">
        <f t="shared" si="8"/>
      </c>
      <c r="AI31" s="302">
        <f t="shared" si="4"/>
      </c>
      <c r="AJ31" s="317">
        <f>AVERAGE(AJ28:AJ30)</f>
      </c>
      <c r="AK31" s="332">
        <f>SUM(AK28:AK30)</f>
      </c>
      <c r="AL31" s="300">
        <f>SUM(AL28:AL30)</f>
      </c>
      <c r="AM31" s="300">
        <f>SUM(AM28:AM30)</f>
      </c>
      <c r="AN31" s="300">
        <f>SUM(AN28:AN30)</f>
      </c>
      <c r="AO31" s="300">
        <f>SUM(AO28:AO30)</f>
      </c>
      <c r="AP31" s="300">
        <f>SUM(AP28:AP30)</f>
      </c>
      <c r="AQ31" s="300">
        <f>SUM(AQ28:AQ30)</f>
      </c>
      <c r="AR31" s="300">
        <f>SUM(AR28:AR30)</f>
      </c>
      <c r="AS31" s="300">
        <f>SUM(AS28:AS30)</f>
      </c>
      <c r="AT31" s="300">
        <f>SUM(AT28:AT30)</f>
      </c>
      <c r="AU31" s="333">
        <f>SUM(AU28:AU30)</f>
      </c>
      <c r="AW31" s="305"/>
    </row>
    <row r="32">
      <c r="A32" s="287"/>
      <c r="B32" s="287" t="s">
        <v>260</v>
      </c>
      <c r="C32" s="287" t="s">
        <v>247</v>
      </c>
      <c r="D32" s="287" t="s">
        <v>256</v>
      </c>
      <c r="E32" s="288" t="s">
        <v>252</v>
      </c>
      <c r="F32" s="318">
        <f t="shared" ref="F32:F34" si="33">G32+H32+I32</f>
      </c>
      <c r="G32" s="313">
        <v>2839.24</v>
      </c>
      <c r="H32" s="313">
        <v>595.42</v>
      </c>
      <c r="I32" s="290"/>
      <c r="J32" s="293"/>
      <c r="K32" s="298"/>
      <c r="L32" s="293"/>
      <c r="M32" s="293"/>
      <c r="N32" s="294">
        <v>1</v>
      </c>
      <c r="O32" s="295">
        <f t="shared" si="146"/>
      </c>
      <c r="P32" s="294">
        <v>0</v>
      </c>
      <c r="Q32" s="295">
        <f t="shared" si="148"/>
      </c>
      <c r="R32" s="294">
        <v>3</v>
      </c>
      <c r="S32" s="313">
        <v>4007.67</v>
      </c>
      <c r="T32" s="296">
        <f t="shared" si="120"/>
      </c>
      <c r="U32" s="296"/>
      <c r="V32" s="290">
        <f t="shared" si="144"/>
      </c>
      <c r="W32" s="294">
        <v>3</v>
      </c>
      <c r="X32" s="337">
        <f t="shared" si="11"/>
      </c>
      <c r="Y32" s="290">
        <f t="shared" si="75"/>
      </c>
      <c r="Z32" s="296">
        <f t="shared" si="118"/>
      </c>
      <c r="AA32" s="296">
        <f t="shared" si="23"/>
      </c>
      <c r="AB32" s="296">
        <f t="shared" si="149"/>
      </c>
      <c r="AC32" s="295">
        <f t="shared" si="2"/>
      </c>
      <c r="AD32" s="295">
        <f t="shared" si="25"/>
      </c>
      <c r="AE32" s="295">
        <f t="shared" si="10"/>
      </c>
      <c r="AF32" s="295">
        <f t="shared" ref="AF32:AF33" si="14">R32/AO33</f>
      </c>
      <c r="AG32" s="295">
        <f t="shared" si="6"/>
      </c>
      <c r="AH32" s="295">
        <f t="shared" si="8"/>
      </c>
      <c r="AI32" s="295">
        <f t="shared" si="4"/>
      </c>
      <c r="AJ32" s="294">
        <v>45</v>
      </c>
      <c r="AK32" s="289">
        <v>18759</v>
      </c>
      <c r="AL32" s="290">
        <v>698</v>
      </c>
      <c r="AM32" s="290">
        <v>766</v>
      </c>
      <c r="AN32" s="290">
        <v>111</v>
      </c>
      <c r="AO32" s="330">
        <v>32</v>
      </c>
      <c r="AP32" s="290">
        <v>56</v>
      </c>
      <c r="AQ32" s="330">
        <v>83</v>
      </c>
      <c r="AR32" s="330">
        <v>4</v>
      </c>
      <c r="AS32" s="290">
        <v>9</v>
      </c>
      <c r="AT32" s="290">
        <v>0</v>
      </c>
      <c r="AU32" s="331">
        <v>2</v>
      </c>
      <c r="AW32" s="297"/>
    </row>
    <row r="33">
      <c r="A33" s="287"/>
      <c r="B33" s="287" t="s">
        <v>260</v>
      </c>
      <c r="C33" s="287" t="s">
        <v>247</v>
      </c>
      <c r="D33" s="287" t="s">
        <v>256</v>
      </c>
      <c r="E33" s="287" t="s">
        <v>257</v>
      </c>
      <c r="F33" s="313">
        <f t="shared" si="33"/>
      </c>
      <c r="G33" s="319">
        <v>3509.84</v>
      </c>
      <c r="H33" s="319">
        <v>1173.47</v>
      </c>
      <c r="I33" s="320"/>
      <c r="J33" s="321"/>
      <c r="K33" s="298"/>
      <c r="L33" s="293"/>
      <c r="M33" s="293"/>
      <c r="N33" s="294">
        <v>1</v>
      </c>
      <c r="O33" s="295">
        <f t="shared" si="146"/>
      </c>
      <c r="P33" s="294">
        <v>0</v>
      </c>
      <c r="Q33" s="295">
        <f t="shared" si="148"/>
      </c>
      <c r="R33" s="294">
        <v>2</v>
      </c>
      <c r="S33" s="314">
        <v>5480.129999999999</v>
      </c>
      <c r="T33" s="296">
        <f t="shared" si="120"/>
      </c>
      <c r="U33" s="296"/>
      <c r="V33" s="290">
        <f t="shared" si="144"/>
      </c>
      <c r="W33" s="294">
        <v>2</v>
      </c>
      <c r="X33" s="290">
        <f t="shared" si="11"/>
      </c>
      <c r="Y33" s="290">
        <f t="shared" si="75"/>
      </c>
      <c r="Z33" s="296">
        <f t="shared" si="118"/>
      </c>
      <c r="AA33" s="296">
        <f t="shared" si="23"/>
      </c>
      <c r="AB33" s="296">
        <f t="shared" si="149"/>
      </c>
      <c r="AC33" s="295">
        <f t="shared" si="2"/>
      </c>
      <c r="AD33" s="295">
        <f t="shared" si="25"/>
      </c>
      <c r="AE33" s="295">
        <f t="shared" si="10"/>
      </c>
      <c r="AF33" s="295">
        <f t="shared" si="14"/>
      </c>
      <c r="AG33" s="295">
        <f t="shared" si="6"/>
      </c>
      <c r="AH33" s="295">
        <f t="shared" si="8"/>
      </c>
      <c r="AI33" s="295">
        <f t="shared" si="4"/>
      </c>
      <c r="AJ33" s="294">
        <v>43</v>
      </c>
      <c r="AK33" s="289">
        <v>26892</v>
      </c>
      <c r="AL33" s="290">
        <v>1033</v>
      </c>
      <c r="AM33" s="290">
        <v>1139</v>
      </c>
      <c r="AN33" s="290">
        <v>139</v>
      </c>
      <c r="AO33" s="330">
        <v>36</v>
      </c>
      <c r="AP33" s="290">
        <v>129</v>
      </c>
      <c r="AQ33" s="330">
        <v>118</v>
      </c>
      <c r="AR33" s="330">
        <v>2</v>
      </c>
      <c r="AS33" s="290">
        <v>8</v>
      </c>
      <c r="AT33" s="290">
        <v>1</v>
      </c>
      <c r="AU33" s="331">
        <v>4</v>
      </c>
      <c r="AW33" s="297"/>
    </row>
    <row r="34">
      <c r="A34" s="287"/>
      <c r="B34" s="287" t="s">
        <v>260</v>
      </c>
      <c r="C34" s="287" t="s">
        <v>247</v>
      </c>
      <c r="D34" s="287" t="s">
        <v>256</v>
      </c>
      <c r="E34" s="287" t="s">
        <v>258</v>
      </c>
      <c r="F34" s="313">
        <f t="shared" si="33"/>
      </c>
      <c r="G34" s="313">
        <v>644.26</v>
      </c>
      <c r="H34" s="313">
        <v>882.78</v>
      </c>
      <c r="I34" s="290"/>
      <c r="J34" s="293"/>
      <c r="K34" s="298"/>
      <c r="L34" s="293"/>
      <c r="M34" s="293"/>
      <c r="N34" s="294">
        <v>0</v>
      </c>
      <c r="O34" s="295">
        <f t="shared" si="146"/>
      </c>
      <c r="P34" s="294">
        <v>0</v>
      </c>
      <c r="Q34" s="295">
        <f t="shared" si="148"/>
      </c>
      <c r="R34" s="294">
        <v>0</v>
      </c>
      <c r="S34" s="313">
        <v>0</v>
      </c>
      <c r="T34" s="296">
        <f t="shared" si="120"/>
      </c>
      <c r="U34" s="296"/>
      <c r="V34" s="290">
        <f t="shared" si="144"/>
      </c>
      <c r="W34" s="294">
        <v>0</v>
      </c>
      <c r="X34" s="290">
        <f t="shared" si="11"/>
      </c>
      <c r="Y34" s="290">
        <f t="shared" si="75"/>
      </c>
      <c r="Z34" s="296">
        <f t="shared" si="118"/>
      </c>
      <c r="AA34" s="296">
        <f t="shared" si="23"/>
      </c>
      <c r="AB34" s="296">
        <f t="shared" si="149"/>
      </c>
      <c r="AC34" s="295">
        <f t="shared" si="2"/>
      </c>
      <c r="AD34" s="295">
        <f t="shared" si="25"/>
      </c>
      <c r="AE34" s="295">
        <f t="shared" si="10"/>
      </c>
      <c r="AF34" s="295">
        <f>R34/AO36</f>
      </c>
      <c r="AG34" s="295">
        <f t="shared" si="6"/>
      </c>
      <c r="AH34" s="295">
        <f t="shared" si="8"/>
      </c>
      <c r="AI34" s="295">
        <f t="shared" si="4"/>
      </c>
      <c r="AJ34" s="294">
        <v>43</v>
      </c>
      <c r="AK34" s="289">
        <v>8263</v>
      </c>
      <c r="AL34" s="290">
        <v>289</v>
      </c>
      <c r="AM34" s="290">
        <v>353</v>
      </c>
      <c r="AN34" s="290">
        <v>60</v>
      </c>
      <c r="AO34" s="330">
        <v>11</v>
      </c>
      <c r="AP34" s="290">
        <v>31</v>
      </c>
      <c r="AQ34" s="330">
        <v>40</v>
      </c>
      <c r="AR34" s="330">
        <v>0</v>
      </c>
      <c r="AS34" s="290">
        <v>2</v>
      </c>
      <c r="AT34" s="290">
        <v>0</v>
      </c>
      <c r="AU34" s="331">
        <v>9</v>
      </c>
      <c r="AW34" s="297"/>
    </row>
    <row r="35">
      <c r="A35" s="287"/>
      <c r="B35" s="322" t="s">
        <v>253</v>
      </c>
      <c r="C35" s="322"/>
      <c r="D35" s="322"/>
      <c r="E35" s="322"/>
      <c r="F35" s="323">
        <f>SUM(F32:F34)</f>
      </c>
      <c r="G35" s="323">
        <f>SUM(G32:G34)</f>
      </c>
      <c r="H35" s="323">
        <f>SUM(H32:H34)</f>
      </c>
      <c r="I35" s="324">
        <f>SUM(I32:I34)</f>
      </c>
      <c r="J35" s="324">
        <f>SUM(J32:J34)</f>
      </c>
      <c r="K35" s="325">
        <f>SUM(K32:K34)</f>
      </c>
      <c r="L35" s="325">
        <f>SUM(L32:L34)</f>
      </c>
      <c r="M35" s="325">
        <f>SUM(M32:M34)</f>
      </c>
      <c r="N35" s="325">
        <f>SUM(N32:N34)</f>
      </c>
      <c r="O35" s="326">
        <f t="shared" si="146"/>
      </c>
      <c r="P35" s="325">
        <f>SUM(P32:P34)</f>
      </c>
      <c r="Q35" s="326">
        <f t="shared" si="148"/>
      </c>
      <c r="R35" s="325">
        <f>SUM(R32:R34)</f>
      </c>
      <c r="S35" s="323">
        <f>SUM(S32:S34)</f>
      </c>
      <c r="T35" s="323">
        <f t="shared" si="120"/>
      </c>
      <c r="U35" s="323"/>
      <c r="V35" s="325">
        <f t="shared" si="144"/>
      </c>
      <c r="W35" s="325">
        <f>SUM(W32:W34)</f>
      </c>
      <c r="X35" s="325">
        <f t="shared" si="11"/>
      </c>
      <c r="Y35" s="325">
        <f t="shared" si="75"/>
      </c>
      <c r="Z35" s="323">
        <f t="shared" si="118"/>
      </c>
      <c r="AA35" s="323">
        <f t="shared" si="23"/>
      </c>
      <c r="AB35" s="336">
        <f t="shared" si="149"/>
      </c>
      <c r="AC35" s="326">
        <f t="shared" si="2"/>
      </c>
      <c r="AD35" s="326">
        <f t="shared" si="25"/>
      </c>
      <c r="AE35" s="326">
        <f t="shared" si="10"/>
      </c>
      <c r="AF35" s="326">
        <f>R35/AU37</f>
      </c>
      <c r="AG35" s="326">
        <f t="shared" si="6"/>
      </c>
      <c r="AH35" s="326">
        <f t="shared" si="8"/>
      </c>
      <c r="AI35" s="326">
        <f t="shared" si="4"/>
      </c>
      <c r="AJ35" s="327">
        <f>AVERAGE(AJ32:AJ34)</f>
      </c>
      <c r="AK35" s="334">
        <f>SUM(AK32:AK34)</f>
      </c>
      <c r="AL35" s="300">
        <f>SUM(AL32:AL34)</f>
      </c>
      <c r="AM35" s="300">
        <f>SUM(AM32:AM34)</f>
      </c>
      <c r="AN35" s="300">
        <f>SUM(AN32:AN34)</f>
      </c>
      <c r="AO35" s="300">
        <f>SUM(AO32:AO34)</f>
      </c>
      <c r="AP35" s="300">
        <f>SUM(AP32:AP34)</f>
      </c>
      <c r="AQ35" s="300">
        <f>SUM(AQ32:AQ34)</f>
      </c>
      <c r="AR35" s="300">
        <f>SUM(AR32:AR34)</f>
      </c>
      <c r="AS35" s="300">
        <f>SUM(AS32:AS34)</f>
      </c>
      <c r="AT35" s="300">
        <f>SUM(AT32:AT34)</f>
      </c>
      <c r="AU35" s="306">
        <f>SUM(AU32:AU34)</f>
      </c>
      <c r="AW35" s="305"/>
    </row>
    <row r="36">
      <c r="A36" s="287"/>
      <c r="B36" s="307" t="s">
        <v>254</v>
      </c>
      <c r="C36" s="307"/>
      <c r="D36" s="307"/>
      <c r="E36" s="307"/>
      <c r="F36" s="309">
        <f>F31+F35</f>
      </c>
      <c r="G36" s="309">
        <f>G31+G35</f>
      </c>
      <c r="H36" s="309">
        <f>H31+H35</f>
      </c>
      <c r="I36" s="307">
        <f>I31+I35</f>
      </c>
      <c r="J36" s="307">
        <f>J31+J35</f>
      </c>
      <c r="K36" s="307">
        <f>K31+K35</f>
      </c>
      <c r="L36" s="307">
        <f>L31+L35</f>
      </c>
      <c r="M36" s="307">
        <f>M31+M35</f>
      </c>
      <c r="N36" s="307">
        <f>N31+N35</f>
      </c>
      <c r="O36" s="308">
        <f t="shared" si="146"/>
      </c>
      <c r="P36" s="307">
        <f>P31+P35</f>
      </c>
      <c r="Q36" s="308">
        <f t="shared" si="148"/>
      </c>
      <c r="R36" s="307">
        <f>R31+R35</f>
      </c>
      <c r="S36" s="309">
        <f>S31+S35</f>
      </c>
      <c r="T36" s="309">
        <f t="shared" si="120"/>
      </c>
      <c r="U36" s="309"/>
      <c r="V36" s="307">
        <f t="shared" si="144"/>
      </c>
      <c r="W36" s="307">
        <f>W31+W35</f>
      </c>
      <c r="X36" s="307">
        <f t="shared" si="11"/>
      </c>
      <c r="Y36" s="307">
        <f t="shared" si="75"/>
      </c>
      <c r="Z36" s="309">
        <f t="shared" si="118"/>
      </c>
      <c r="AA36" s="309">
        <f t="shared" si="23"/>
      </c>
      <c r="AB36" s="309">
        <f>AB35+AB31</f>
      </c>
      <c r="AC36" s="308">
        <f t="shared" si="2"/>
      </c>
      <c r="AD36" s="308">
        <f t="shared" si="25"/>
      </c>
      <c r="AE36" s="308">
        <f t="shared" si="10"/>
      </c>
      <c r="AF36" s="308">
        <f>R36/AU35:AU34</f>
      </c>
      <c r="AG36" s="308">
        <f t="shared" si="6"/>
      </c>
      <c r="AH36" s="308">
        <f t="shared" si="8"/>
      </c>
      <c r="AI36" s="308">
        <f t="shared" si="4"/>
      </c>
      <c r="AJ36" s="329">
        <f>(AJ31+AJ35)/2</f>
      </c>
      <c r="AK36" s="307">
        <f>AK31+AK35</f>
      </c>
      <c r="AL36" s="335">
        <f>AL31+AL35</f>
      </c>
      <c r="AM36" s="335">
        <f>AM31+AM35</f>
      </c>
      <c r="AN36" s="335">
        <f>AN31+AN35</f>
      </c>
      <c r="AO36" s="335">
        <f>AO31+AO35</f>
      </c>
      <c r="AP36" s="335">
        <f>AP31+AP35</f>
      </c>
      <c r="AQ36" s="335">
        <f>AQ31+AQ35</f>
      </c>
      <c r="AR36" s="335">
        <f>AR31+AR35</f>
      </c>
      <c r="AS36" s="335">
        <f>AS31+AS35</f>
      </c>
      <c r="AT36" s="335">
        <f>AT31+AT35</f>
      </c>
      <c r="AU36" s="307">
        <f>AU31+AU35</f>
      </c>
      <c r="AW36" s="307">
        <f>AW31+AW35</f>
      </c>
      <c r="AX36" s="338"/>
    </row>
    <row r="37">
      <c r="A37" s="287" t="s">
        <v>262</v>
      </c>
      <c r="B37" s="287" t="s">
        <v>260</v>
      </c>
      <c r="C37" s="287" t="s">
        <v>247</v>
      </c>
      <c r="D37" s="339" t="s">
        <v>256</v>
      </c>
      <c r="E37" s="288" t="s">
        <v>249</v>
      </c>
      <c r="F37" s="313">
        <f t="shared" ref="F37:F39" si="34">G37+H37+I37</f>
      </c>
      <c r="G37" s="314">
        <v>1487.21</v>
      </c>
      <c r="H37" s="313">
        <v>1625.93</v>
      </c>
      <c r="I37" s="291"/>
      <c r="J37" s="291"/>
      <c r="K37" s="292"/>
      <c r="L37" s="293"/>
      <c r="M37" s="293"/>
      <c r="N37" s="294">
        <v>0</v>
      </c>
      <c r="O37" s="295">
        <f t="shared" si="146"/>
      </c>
      <c r="P37" s="294">
        <v>0</v>
      </c>
      <c r="Q37" s="295">
        <f t="shared" si="148"/>
      </c>
      <c r="R37" s="294">
        <v>2</v>
      </c>
      <c r="S37" s="314">
        <v>2795.7</v>
      </c>
      <c r="T37" s="296">
        <f t="shared" si="120"/>
      </c>
      <c r="U37" s="296">
        <f t="shared" ref="U37:U220" si="26">S37/(F37+(AX37*500)+F37*3%)</f>
      </c>
      <c r="V37" s="290">
        <f t="shared" si="144"/>
      </c>
      <c r="W37" s="294">
        <v>2</v>
      </c>
      <c r="X37" s="290">
        <f t="shared" si="11"/>
      </c>
      <c r="Y37" s="290">
        <f t="shared" si="75"/>
      </c>
      <c r="Z37" s="296">
        <f t="shared" si="118"/>
      </c>
      <c r="AA37" s="296">
        <f t="shared" si="23"/>
      </c>
      <c r="AB37" s="296">
        <f t="shared" ref="AB37:AB44" si="150">F37/AN37</f>
      </c>
      <c r="AC37" s="295">
        <f t="shared" si="2"/>
      </c>
      <c r="AD37" s="295">
        <f t="shared" si="25"/>
      </c>
      <c r="AE37" s="295">
        <f t="shared" si="10"/>
      </c>
      <c r="AF37" s="295">
        <f t="shared" ref="AF37:AF39" si="122">R37/AO37</f>
      </c>
      <c r="AG37" s="295">
        <f t="shared" si="6"/>
      </c>
      <c r="AH37" s="295">
        <f t="shared" si="8"/>
      </c>
      <c r="AI37" s="340">
        <f t="shared" si="4"/>
      </c>
      <c r="AJ37" s="341">
        <v>37</v>
      </c>
      <c r="AK37" s="289">
        <v>11782</v>
      </c>
      <c r="AL37" s="290">
        <v>374</v>
      </c>
      <c r="AM37" s="290">
        <v>454</v>
      </c>
      <c r="AN37" s="290">
        <v>82</v>
      </c>
      <c r="AO37" s="330">
        <v>25</v>
      </c>
      <c r="AP37" s="290">
        <v>87</v>
      </c>
      <c r="AQ37" s="330">
        <v>67</v>
      </c>
      <c r="AR37" s="330">
        <v>4</v>
      </c>
      <c r="AS37" s="290">
        <v>6</v>
      </c>
      <c r="AT37" s="290">
        <v>0</v>
      </c>
      <c r="AU37" s="331">
        <v>6</v>
      </c>
      <c r="AW37" s="297"/>
      <c r="AX37" s="342">
        <f t="shared" ref="AX37:AX39" si="76">COUNT(AU37)</f>
      </c>
    </row>
    <row r="38">
      <c r="A38" s="287"/>
      <c r="B38" s="287" t="s">
        <v>260</v>
      </c>
      <c r="C38" s="287" t="s">
        <v>247</v>
      </c>
      <c r="D38" s="339" t="s">
        <v>256</v>
      </c>
      <c r="E38" s="288" t="s">
        <v>250</v>
      </c>
      <c r="F38" s="313">
        <f t="shared" si="34"/>
      </c>
      <c r="G38" s="314">
        <v>1224.13</v>
      </c>
      <c r="H38" s="313">
        <v>2412.01</v>
      </c>
      <c r="I38" s="293"/>
      <c r="J38" s="293"/>
      <c r="K38" s="298"/>
      <c r="L38" s="293"/>
      <c r="M38" s="293"/>
      <c r="N38" s="294">
        <v>0</v>
      </c>
      <c r="O38" s="295">
        <f t="shared" si="146"/>
      </c>
      <c r="P38" s="294">
        <v>1</v>
      </c>
      <c r="Q38" s="295">
        <f t="shared" si="148"/>
      </c>
      <c r="R38" s="294">
        <v>4</v>
      </c>
      <c r="S38" s="314">
        <v>8550.43</v>
      </c>
      <c r="T38" s="296">
        <f t="shared" si="120"/>
      </c>
      <c r="U38" s="296">
        <f t="shared" si="26"/>
      </c>
      <c r="V38" s="290">
        <f t="shared" si="144"/>
      </c>
      <c r="W38" s="294">
        <v>3</v>
      </c>
      <c r="X38" s="290">
        <f t="shared" si="11"/>
      </c>
      <c r="Y38" s="290">
        <f t="shared" si="75"/>
      </c>
      <c r="Z38" s="296">
        <f t="shared" si="118"/>
      </c>
      <c r="AA38" s="296">
        <f t="shared" si="23"/>
      </c>
      <c r="AB38" s="296">
        <f t="shared" si="150"/>
      </c>
      <c r="AC38" s="295">
        <f t="shared" si="2"/>
      </c>
      <c r="AD38" s="295">
        <f t="shared" si="25"/>
      </c>
      <c r="AE38" s="295">
        <f t="shared" si="10"/>
      </c>
      <c r="AF38" s="295">
        <f t="shared" si="122"/>
      </c>
      <c r="AG38" s="295">
        <f t="shared" si="6"/>
      </c>
      <c r="AH38" s="343">
        <f t="shared" si="8"/>
      </c>
      <c r="AI38" s="295">
        <f t="shared" si="4"/>
      </c>
      <c r="AJ38" s="294">
        <v>38</v>
      </c>
      <c r="AK38" s="344">
        <v>14417</v>
      </c>
      <c r="AL38" s="290">
        <v>470</v>
      </c>
      <c r="AM38" s="290">
        <v>590</v>
      </c>
      <c r="AN38" s="290">
        <v>92</v>
      </c>
      <c r="AO38" s="330">
        <v>15</v>
      </c>
      <c r="AP38" s="290">
        <v>81</v>
      </c>
      <c r="AQ38" s="330">
        <v>66</v>
      </c>
      <c r="AR38" s="330">
        <v>5</v>
      </c>
      <c r="AS38" s="290">
        <v>6</v>
      </c>
      <c r="AT38" s="290">
        <v>0</v>
      </c>
      <c r="AU38" s="331">
        <v>7</v>
      </c>
      <c r="AW38" s="297"/>
      <c r="AX38" s="342">
        <f t="shared" si="76"/>
      </c>
    </row>
    <row r="39">
      <c r="A39" s="287"/>
      <c r="B39" s="287" t="s">
        <v>260</v>
      </c>
      <c r="C39" s="287" t="s">
        <v>247</v>
      </c>
      <c r="D39" s="339" t="s">
        <v>256</v>
      </c>
      <c r="E39" s="288" t="s">
        <v>251</v>
      </c>
      <c r="F39" s="313">
        <f t="shared" si="34"/>
      </c>
      <c r="G39" s="314">
        <v>751.74</v>
      </c>
      <c r="H39" s="313">
        <v>1630.93</v>
      </c>
      <c r="I39" s="293"/>
      <c r="J39" s="293"/>
      <c r="K39" s="298"/>
      <c r="L39" s="293"/>
      <c r="M39" s="293"/>
      <c r="N39" s="294">
        <v>0</v>
      </c>
      <c r="O39" s="295">
        <f t="shared" si="146"/>
      </c>
      <c r="P39" s="294">
        <v>1</v>
      </c>
      <c r="Q39" s="295">
        <f t="shared" si="148"/>
      </c>
      <c r="R39" s="294">
        <v>1</v>
      </c>
      <c r="S39" s="314">
        <v>3320.2999999999993</v>
      </c>
      <c r="T39" s="296">
        <f t="shared" si="120"/>
      </c>
      <c r="U39" s="296">
        <f t="shared" si="26"/>
      </c>
      <c r="V39" s="290">
        <f t="shared" si="144"/>
      </c>
      <c r="W39" s="294">
        <v>1</v>
      </c>
      <c r="X39" s="290">
        <f t="shared" si="11"/>
      </c>
      <c r="Y39" s="290">
        <f t="shared" si="75"/>
      </c>
      <c r="Z39" s="296">
        <f t="shared" si="118"/>
      </c>
      <c r="AA39" s="296">
        <f t="shared" si="23"/>
      </c>
      <c r="AB39" s="296">
        <f t="shared" si="150"/>
      </c>
      <c r="AC39" s="295">
        <f t="shared" si="2"/>
      </c>
      <c r="AD39" s="295">
        <f t="shared" si="25"/>
      </c>
      <c r="AE39" s="295">
        <f t="shared" si="10"/>
      </c>
      <c r="AF39" s="295">
        <f t="shared" si="122"/>
      </c>
      <c r="AG39" s="295">
        <f t="shared" si="6"/>
      </c>
      <c r="AH39" s="295">
        <f t="shared" si="8"/>
      </c>
      <c r="AI39" s="345">
        <f t="shared" si="4"/>
      </c>
      <c r="AJ39" s="346">
        <v>43</v>
      </c>
      <c r="AK39" s="289">
        <v>12027</v>
      </c>
      <c r="AL39" s="290">
        <v>367</v>
      </c>
      <c r="AM39" s="290">
        <v>497</v>
      </c>
      <c r="AN39" s="290">
        <v>62</v>
      </c>
      <c r="AO39" s="330">
        <v>12</v>
      </c>
      <c r="AP39" s="290">
        <v>44</v>
      </c>
      <c r="AQ39" s="330">
        <v>53</v>
      </c>
      <c r="AR39" s="330">
        <v>1</v>
      </c>
      <c r="AS39" s="290">
        <v>7</v>
      </c>
      <c r="AT39" s="290">
        <v>0</v>
      </c>
      <c r="AU39" s="331">
        <v>19</v>
      </c>
      <c r="AW39" s="297"/>
      <c r="AX39" s="342">
        <f t="shared" si="76"/>
      </c>
    </row>
    <row r="40">
      <c r="A40" s="287"/>
      <c r="B40" s="299" t="s">
        <v>253</v>
      </c>
      <c r="C40" s="299"/>
      <c r="D40" s="299"/>
      <c r="E40" s="347"/>
      <c r="F40" s="348">
        <f>SUM(F37:F39)</f>
      </c>
      <c r="G40" s="303">
        <f>SUM(G37:G39)</f>
      </c>
      <c r="H40" s="303">
        <f>SUM(H37:H39)</f>
      </c>
      <c r="I40" s="300">
        <f>SUM(I37:I39)</f>
      </c>
      <c r="J40" s="300">
        <f>SUM(J37:J39)</f>
      </c>
      <c r="K40" s="316">
        <f>SUM(K37:K39)</f>
      </c>
      <c r="L40" s="301">
        <f>SUM(L37:L39)</f>
      </c>
      <c r="M40" s="301">
        <f>SUM(M37:M39)</f>
      </c>
      <c r="N40" s="300">
        <f>SUM(N37:N39)</f>
      </c>
      <c r="O40" s="302">
        <f t="shared" si="146"/>
      </c>
      <c r="P40" s="300">
        <f>SUM(P37:P39)</f>
      </c>
      <c r="Q40" s="302">
        <f t="shared" si="148"/>
      </c>
      <c r="R40" s="301">
        <f>SUM(R37:R39)</f>
      </c>
      <c r="S40" s="303">
        <f>SUM(S37:S39)</f>
      </c>
      <c r="T40" s="303">
        <f t="shared" si="120"/>
      </c>
      <c r="U40" s="303">
        <f t="shared" si="26"/>
      </c>
      <c r="V40" s="300">
        <f t="shared" si="144"/>
      </c>
      <c r="W40" s="300">
        <f>SUM(W37:W39)</f>
      </c>
      <c r="X40" s="300">
        <f t="shared" si="11"/>
      </c>
      <c r="Y40" s="300">
        <f t="shared" si="75"/>
      </c>
      <c r="Z40" s="303">
        <f t="shared" si="118"/>
      </c>
      <c r="AA40" s="303">
        <f t="shared" si="23"/>
      </c>
      <c r="AB40" s="336">
        <f t="shared" si="150"/>
      </c>
      <c r="AC40" s="302">
        <f t="shared" si="2"/>
      </c>
      <c r="AD40" s="302">
        <f t="shared" si="25"/>
      </c>
      <c r="AE40" s="302">
        <f t="shared" si="10"/>
      </c>
      <c r="AF40" s="302">
        <f>R40/AO45</f>
      </c>
      <c r="AG40" s="302">
        <f t="shared" si="6"/>
      </c>
      <c r="AH40" s="302">
        <f t="shared" si="8"/>
      </c>
      <c r="AI40" s="302">
        <f t="shared" si="4"/>
      </c>
      <c r="AJ40" s="317">
        <f>AVERAGE(AJ37:AJ39)</f>
      </c>
      <c r="AK40" s="332">
        <f>SUM(AK37:AK39)</f>
      </c>
      <c r="AL40" s="300">
        <f>SUM(AL37:AL39)</f>
      </c>
      <c r="AM40" s="300">
        <f>SUM(AM37:AM39)</f>
      </c>
      <c r="AN40" s="300">
        <f>SUM(AN37:AN39)</f>
      </c>
      <c r="AO40" s="300">
        <f>SUM(AO37:AO39)</f>
      </c>
      <c r="AP40" s="300">
        <f>SUM(AP37:AP39)</f>
      </c>
      <c r="AQ40" s="300">
        <f>SUM(AQ37:AQ39)</f>
      </c>
      <c r="AR40" s="300">
        <f>SUM(AR37:AR39)</f>
      </c>
      <c r="AS40" s="300">
        <f>SUM(AS37:AS39)</f>
      </c>
      <c r="AT40" s="300">
        <f>SUM(AT37:AT39)</f>
      </c>
      <c r="AU40" s="333">
        <f>SUM(AU37:AU39)</f>
      </c>
      <c r="AW40" s="305"/>
      <c r="AX40" s="300">
        <f>SUM(AX37:AX39)</f>
      </c>
    </row>
    <row r="41">
      <c r="A41" s="287"/>
      <c r="B41" s="287" t="s">
        <v>260</v>
      </c>
      <c r="C41" s="287" t="s">
        <v>247</v>
      </c>
      <c r="D41" s="287" t="s">
        <v>248</v>
      </c>
      <c r="E41" s="288" t="s">
        <v>252</v>
      </c>
      <c r="F41" s="318">
        <f t="shared" ref="F41:F43" si="35">G41+H41+I41</f>
      </c>
      <c r="G41" s="313">
        <v>1030.68</v>
      </c>
      <c r="H41" s="313">
        <v>2020.07</v>
      </c>
      <c r="I41" s="293"/>
      <c r="J41" s="293"/>
      <c r="K41" s="298"/>
      <c r="L41" s="293"/>
      <c r="M41" s="293"/>
      <c r="N41" s="294">
        <v>0</v>
      </c>
      <c r="O41" s="295">
        <f t="shared" si="146"/>
      </c>
      <c r="P41" s="294">
        <v>0</v>
      </c>
      <c r="Q41" s="295">
        <f t="shared" si="148"/>
      </c>
      <c r="R41" s="294">
        <v>2</v>
      </c>
      <c r="S41" s="313">
        <v>3002</v>
      </c>
      <c r="T41" s="296">
        <f t="shared" si="120"/>
      </c>
      <c r="U41" s="296">
        <f t="shared" si="26"/>
      </c>
      <c r="V41" s="290">
        <f t="shared" si="144"/>
      </c>
      <c r="W41" s="294">
        <v>1</v>
      </c>
      <c r="X41" s="337">
        <f t="shared" si="11"/>
      </c>
      <c r="Y41" s="290">
        <f t="shared" si="75"/>
      </c>
      <c r="Z41" s="296">
        <f t="shared" si="118"/>
      </c>
      <c r="AA41" s="296">
        <f t="shared" si="23"/>
      </c>
      <c r="AB41" s="296">
        <f t="shared" si="150"/>
      </c>
      <c r="AC41" s="295">
        <f t="shared" si="2"/>
      </c>
      <c r="AD41" s="295">
        <f t="shared" si="25"/>
      </c>
      <c r="AE41" s="295">
        <f t="shared" si="10"/>
      </c>
      <c r="AF41" s="295">
        <f t="shared" ref="AF41:AF42" si="15">R41/AO42</f>
      </c>
      <c r="AG41" s="295">
        <f t="shared" si="6"/>
      </c>
      <c r="AH41" s="295">
        <f t="shared" si="8"/>
      </c>
      <c r="AI41" s="295">
        <f t="shared" si="4"/>
      </c>
      <c r="AJ41" s="294">
        <v>46</v>
      </c>
      <c r="AK41" s="289">
        <v>13748</v>
      </c>
      <c r="AL41" s="290">
        <v>381</v>
      </c>
      <c r="AM41" s="290">
        <v>496</v>
      </c>
      <c r="AN41" s="290">
        <v>79</v>
      </c>
      <c r="AO41" s="330">
        <v>25</v>
      </c>
      <c r="AP41" s="290">
        <v>81</v>
      </c>
      <c r="AQ41" s="330">
        <v>59</v>
      </c>
      <c r="AR41" s="330">
        <v>2</v>
      </c>
      <c r="AS41" s="290">
        <v>10</v>
      </c>
      <c r="AT41" s="290">
        <v>0</v>
      </c>
      <c r="AU41" s="331">
        <v>14</v>
      </c>
      <c r="AW41" s="297"/>
      <c r="AX41" s="342">
        <f t="shared" ref="AX41:AX43" si="77">COUNT(AU41)</f>
      </c>
    </row>
    <row r="42">
      <c r="A42" s="287"/>
      <c r="B42" s="287" t="s">
        <v>260</v>
      </c>
      <c r="C42" s="287" t="s">
        <v>247</v>
      </c>
      <c r="D42" s="287" t="s">
        <v>248</v>
      </c>
      <c r="E42" s="287" t="s">
        <v>257</v>
      </c>
      <c r="F42" s="313">
        <f t="shared" si="35"/>
      </c>
      <c r="G42" s="319">
        <v>1169.8</v>
      </c>
      <c r="H42" s="319">
        <v>2824.54</v>
      </c>
      <c r="I42" s="321"/>
      <c r="J42" s="321"/>
      <c r="K42" s="298"/>
      <c r="L42" s="293"/>
      <c r="M42" s="293"/>
      <c r="N42" s="294">
        <v>2</v>
      </c>
      <c r="O42" s="295">
        <f t="shared" si="146"/>
      </c>
      <c r="P42" s="294">
        <v>3</v>
      </c>
      <c r="Q42" s="295">
        <f t="shared" si="148"/>
      </c>
      <c r="R42" s="294">
        <v>5</v>
      </c>
      <c r="S42" s="314">
        <v>13185.240000000002</v>
      </c>
      <c r="T42" s="296">
        <f t="shared" si="120"/>
      </c>
      <c r="U42" s="296">
        <f t="shared" si="26"/>
      </c>
      <c r="V42" s="290">
        <f t="shared" si="144"/>
      </c>
      <c r="W42" s="294">
        <v>4</v>
      </c>
      <c r="X42" s="290">
        <f t="shared" si="11"/>
      </c>
      <c r="Y42" s="290">
        <f t="shared" si="75"/>
      </c>
      <c r="Z42" s="296">
        <f t="shared" si="118"/>
      </c>
      <c r="AA42" s="296">
        <f t="shared" si="23"/>
      </c>
      <c r="AB42" s="296">
        <f t="shared" si="150"/>
      </c>
      <c r="AC42" s="295">
        <f t="shared" si="2"/>
      </c>
      <c r="AD42" s="295">
        <f t="shared" si="25"/>
      </c>
      <c r="AE42" s="295">
        <f t="shared" si="10"/>
      </c>
      <c r="AF42" s="295">
        <f t="shared" si="15"/>
      </c>
      <c r="AG42" s="295">
        <f t="shared" si="6"/>
      </c>
      <c r="AH42" s="295">
        <f t="shared" si="8"/>
      </c>
      <c r="AI42" s="295">
        <f t="shared" si="4"/>
      </c>
      <c r="AJ42" s="294">
        <v>51</v>
      </c>
      <c r="AK42" s="289">
        <v>21939</v>
      </c>
      <c r="AL42" s="290">
        <v>516</v>
      </c>
      <c r="AM42" s="290">
        <v>640</v>
      </c>
      <c r="AN42" s="290">
        <v>124</v>
      </c>
      <c r="AO42" s="330">
        <v>26</v>
      </c>
      <c r="AP42" s="290">
        <v>162</v>
      </c>
      <c r="AQ42" s="330">
        <v>99</v>
      </c>
      <c r="AR42" s="330">
        <v>5</v>
      </c>
      <c r="AS42" s="290">
        <v>8</v>
      </c>
      <c r="AT42" s="290">
        <v>0</v>
      </c>
      <c r="AU42" s="331">
        <v>29</v>
      </c>
      <c r="AW42" s="297"/>
      <c r="AX42" s="342">
        <f t="shared" si="77"/>
      </c>
    </row>
    <row r="43">
      <c r="A43" s="287"/>
      <c r="B43" s="287" t="s">
        <v>260</v>
      </c>
      <c r="C43" s="287" t="s">
        <v>247</v>
      </c>
      <c r="D43" s="287" t="s">
        <v>248</v>
      </c>
      <c r="E43" s="287" t="s">
        <v>258</v>
      </c>
      <c r="F43" s="313">
        <f t="shared" si="35"/>
      </c>
      <c r="G43" s="313">
        <v>533.41</v>
      </c>
      <c r="H43" s="313">
        <v>5030.29</v>
      </c>
      <c r="I43" s="293"/>
      <c r="J43" s="293"/>
      <c r="K43" s="298"/>
      <c r="L43" s="293"/>
      <c r="M43" s="293"/>
      <c r="N43" s="294">
        <v>0</v>
      </c>
      <c r="O43" s="295">
        <f t="shared" si="146"/>
      </c>
      <c r="P43" s="294">
        <v>0</v>
      </c>
      <c r="Q43" s="295">
        <f t="shared" si="148"/>
      </c>
      <c r="R43" s="294">
        <v>1</v>
      </c>
      <c r="S43" s="313">
        <v>1654</v>
      </c>
      <c r="T43" s="296">
        <f t="shared" si="120"/>
      </c>
      <c r="U43" s="296">
        <f t="shared" si="26"/>
      </c>
      <c r="V43" s="290">
        <f t="shared" si="144"/>
      </c>
      <c r="W43" s="294">
        <v>1</v>
      </c>
      <c r="X43" s="290">
        <f t="shared" si="11"/>
      </c>
      <c r="Y43" s="290">
        <f t="shared" si="75"/>
      </c>
      <c r="Z43" s="296">
        <f t="shared" si="118"/>
      </c>
      <c r="AA43" s="296">
        <f t="shared" si="23"/>
      </c>
      <c r="AB43" s="296">
        <f t="shared" si="150"/>
      </c>
      <c r="AC43" s="295">
        <f t="shared" si="2"/>
      </c>
      <c r="AD43" s="295">
        <f t="shared" si="25"/>
      </c>
      <c r="AE43" s="295">
        <f t="shared" si="10"/>
      </c>
      <c r="AF43" s="295">
        <f>R43/AO45</f>
      </c>
      <c r="AG43" s="295">
        <f t="shared" si="6"/>
      </c>
      <c r="AH43" s="295">
        <f t="shared" si="8"/>
      </c>
      <c r="AI43" s="295">
        <f t="shared" si="4"/>
      </c>
      <c r="AJ43" s="294">
        <v>54</v>
      </c>
      <c r="AK43" s="289">
        <v>30976</v>
      </c>
      <c r="AL43" s="290">
        <v>625</v>
      </c>
      <c r="AM43" s="290">
        <v>674</v>
      </c>
      <c r="AN43" s="290">
        <v>186</v>
      </c>
      <c r="AO43" s="330">
        <v>21</v>
      </c>
      <c r="AP43" s="290">
        <v>64</v>
      </c>
      <c r="AQ43" s="330">
        <v>123</v>
      </c>
      <c r="AR43" s="330">
        <v>2</v>
      </c>
      <c r="AS43" s="290">
        <v>16</v>
      </c>
      <c r="AT43" s="290">
        <v>0</v>
      </c>
      <c r="AU43" s="331">
        <v>63</v>
      </c>
      <c r="AW43" s="297"/>
      <c r="AX43" s="342">
        <f t="shared" si="77"/>
      </c>
    </row>
    <row r="44">
      <c r="A44" s="287"/>
      <c r="B44" s="322" t="s">
        <v>253</v>
      </c>
      <c r="C44" s="322"/>
      <c r="D44" s="322"/>
      <c r="E44" s="322"/>
      <c r="F44" s="323">
        <f>SUM(F41:F43)</f>
      </c>
      <c r="G44" s="323">
        <f>SUM(G41:G43)</f>
      </c>
      <c r="H44" s="323">
        <f>SUM(H41:H43)</f>
      </c>
      <c r="I44" s="324">
        <f>SUM(I41:I43)</f>
      </c>
      <c r="J44" s="324">
        <f>SUM(J41:J43)</f>
      </c>
      <c r="K44" s="325">
        <f>SUM(K41:K43)</f>
      </c>
      <c r="L44" s="325">
        <f>SUM(L41:L43)</f>
      </c>
      <c r="M44" s="325">
        <f>SUM(M41:M43)</f>
      </c>
      <c r="N44" s="325">
        <f>SUM(N41:N43)</f>
      </c>
      <c r="O44" s="326">
        <f t="shared" si="146"/>
      </c>
      <c r="P44" s="325">
        <f>SUM(P41:P43)</f>
      </c>
      <c r="Q44" s="326">
        <f t="shared" si="148"/>
      </c>
      <c r="R44" s="325">
        <f>SUM(R41:R43)</f>
      </c>
      <c r="S44" s="323">
        <f>SUM(S41:S43)</f>
      </c>
      <c r="T44" s="323">
        <f t="shared" si="120"/>
      </c>
      <c r="U44" s="323">
        <f t="shared" si="26"/>
      </c>
      <c r="V44" s="325">
        <f t="shared" si="144"/>
      </c>
      <c r="W44" s="325">
        <f>SUM(W41:W43)</f>
      </c>
      <c r="X44" s="325">
        <f t="shared" si="11"/>
      </c>
      <c r="Y44" s="325">
        <f t="shared" si="75"/>
      </c>
      <c r="Z44" s="323">
        <f t="shared" si="118"/>
      </c>
      <c r="AA44" s="323">
        <f t="shared" si="23"/>
      </c>
      <c r="AB44" s="336">
        <f t="shared" si="150"/>
      </c>
      <c r="AC44" s="326">
        <f t="shared" si="2"/>
      </c>
      <c r="AD44" s="326">
        <f t="shared" si="25"/>
      </c>
      <c r="AE44" s="326">
        <f t="shared" si="10"/>
      </c>
      <c r="AF44" s="326">
        <f>R44/AU46</f>
      </c>
      <c r="AG44" s="326">
        <f t="shared" si="6"/>
      </c>
      <c r="AH44" s="326">
        <f t="shared" si="8"/>
      </c>
      <c r="AI44" s="326">
        <f t="shared" si="4"/>
      </c>
      <c r="AJ44" s="327">
        <f>AVERAGE(AJ41:AJ43)</f>
      </c>
      <c r="AK44" s="334">
        <f>SUM(AK41:AK43)</f>
      </c>
      <c r="AL44" s="300">
        <f>SUM(AL41:AL43)</f>
      </c>
      <c r="AM44" s="300">
        <f>SUM(AM41:AM43)</f>
      </c>
      <c r="AN44" s="300">
        <f>SUM(AN41:AN43)</f>
      </c>
      <c r="AO44" s="300">
        <f>SUM(AO41:AO43)</f>
      </c>
      <c r="AP44" s="300">
        <f>SUM(AP41:AP43)</f>
      </c>
      <c r="AQ44" s="300">
        <f>SUM(AQ41:AQ43)</f>
      </c>
      <c r="AR44" s="300">
        <f>SUM(AR41:AR43)</f>
      </c>
      <c r="AS44" s="300">
        <f>SUM(AS41:AS43)</f>
      </c>
      <c r="AT44" s="300">
        <f>SUM(AT41:AT43)</f>
      </c>
      <c r="AU44" s="306">
        <f>SUM(AU41:AU43)</f>
      </c>
      <c r="AW44" s="305"/>
      <c r="AX44" s="300">
        <f>SUM(AX41:AX43)</f>
      </c>
    </row>
    <row r="45">
      <c r="A45" s="287"/>
      <c r="B45" s="307" t="s">
        <v>254</v>
      </c>
      <c r="C45" s="307"/>
      <c r="D45" s="307"/>
      <c r="E45" s="307"/>
      <c r="F45" s="309">
        <f>F40+F44</f>
      </c>
      <c r="G45" s="309">
        <f>G40+G44</f>
      </c>
      <c r="H45" s="309">
        <f>H40+H44</f>
      </c>
      <c r="I45" s="307">
        <f>I40+I44</f>
      </c>
      <c r="J45" s="307">
        <f>J40+J44</f>
      </c>
      <c r="K45" s="307">
        <f>K40+K44</f>
      </c>
      <c r="L45" s="307">
        <f>L40+L44</f>
      </c>
      <c r="M45" s="307">
        <f>M40+M44</f>
      </c>
      <c r="N45" s="307">
        <f>N40+N44</f>
      </c>
      <c r="O45" s="308">
        <f t="shared" si="146"/>
      </c>
      <c r="P45" s="307">
        <f>P40+P44</f>
      </c>
      <c r="Q45" s="308">
        <f t="shared" si="148"/>
      </c>
      <c r="R45" s="307">
        <f>R40+R44</f>
      </c>
      <c r="S45" s="309">
        <f>S40+S44</f>
      </c>
      <c r="T45" s="309">
        <f t="shared" si="120"/>
      </c>
      <c r="U45" s="309">
        <f t="shared" si="26"/>
      </c>
      <c r="V45" s="307">
        <f t="shared" si="144"/>
      </c>
      <c r="W45" s="307">
        <f>W40+W44</f>
      </c>
      <c r="X45" s="307">
        <f t="shared" si="11"/>
      </c>
      <c r="Y45" s="307">
        <f t="shared" si="75"/>
      </c>
      <c r="Z45" s="309">
        <f t="shared" si="118"/>
      </c>
      <c r="AA45" s="309">
        <f t="shared" si="23"/>
      </c>
      <c r="AB45" s="309">
        <f>AB44+AB40</f>
      </c>
      <c r="AC45" s="308">
        <f t="shared" si="2"/>
      </c>
      <c r="AD45" s="308">
        <f t="shared" si="25"/>
      </c>
      <c r="AE45" s="308">
        <f t="shared" si="10"/>
      </c>
      <c r="AF45" s="308">
        <f>R45/AU44:AU43</f>
      </c>
      <c r="AG45" s="308">
        <f t="shared" si="6"/>
      </c>
      <c r="AH45" s="308">
        <f t="shared" si="8"/>
      </c>
      <c r="AI45" s="308">
        <f t="shared" si="4"/>
      </c>
      <c r="AJ45" s="329">
        <f>(AJ40+AJ44)/2</f>
      </c>
      <c r="AK45" s="307">
        <f>AK40+AK44</f>
      </c>
      <c r="AL45" s="335">
        <f>AL40+AL44</f>
      </c>
      <c r="AM45" s="335">
        <f>AM40+AM44</f>
      </c>
      <c r="AN45" s="335">
        <f>AN40+AN44</f>
      </c>
      <c r="AO45" s="335">
        <f>AO40+AO44</f>
      </c>
      <c r="AP45" s="335">
        <f>AP40+AP44</f>
      </c>
      <c r="AQ45" s="335">
        <f>AQ40+AQ44</f>
      </c>
      <c r="AR45" s="335">
        <f>AR40+AR44</f>
      </c>
      <c r="AS45" s="335">
        <f>AS40+AS44</f>
      </c>
      <c r="AT45" s="335">
        <f>AT40+AT44</f>
      </c>
      <c r="AU45" s="307">
        <f>AU40+AU44</f>
      </c>
      <c r="AW45" s="349">
        <f>AW40+AW44</f>
      </c>
      <c r="AX45" s="307">
        <f>AX40+AX44</f>
      </c>
    </row>
    <row r="46">
      <c r="A46" s="287" t="s">
        <v>263</v>
      </c>
      <c r="B46" s="287" t="s">
        <v>260</v>
      </c>
      <c r="C46" s="287" t="s">
        <v>247</v>
      </c>
      <c r="D46" s="339" t="s">
        <v>256</v>
      </c>
      <c r="E46" s="288" t="s">
        <v>249</v>
      </c>
      <c r="F46" s="313">
        <f t="shared" ref="F46:F48" si="36">G46+H46+I46</f>
      </c>
      <c r="G46" s="314">
        <v>789.49</v>
      </c>
      <c r="H46" s="313">
        <v>909.48</v>
      </c>
      <c r="I46" s="291"/>
      <c r="J46" s="291"/>
      <c r="K46" s="292"/>
      <c r="L46" s="293"/>
      <c r="M46" s="293"/>
      <c r="N46" s="294">
        <v>0</v>
      </c>
      <c r="O46" s="295">
        <f t="shared" si="146"/>
      </c>
      <c r="P46" s="294">
        <v>0</v>
      </c>
      <c r="Q46" s="295">
        <f t="shared" si="148"/>
      </c>
      <c r="R46" s="294">
        <v>0</v>
      </c>
      <c r="S46" s="314">
        <v>0</v>
      </c>
      <c r="T46" s="296">
        <f t="shared" si="120"/>
      </c>
      <c r="U46" s="296">
        <f t="shared" si="26"/>
      </c>
      <c r="V46" s="290">
        <f t="shared" si="144"/>
      </c>
      <c r="W46" s="294">
        <v>0</v>
      </c>
      <c r="X46" s="290">
        <f t="shared" si="11"/>
      </c>
      <c r="Y46" s="290">
        <f t="shared" si="75"/>
      </c>
      <c r="Z46" s="296">
        <f t="shared" si="118"/>
      </c>
      <c r="AA46" s="296">
        <f t="shared" si="23"/>
      </c>
      <c r="AB46" s="296">
        <f t="shared" ref="AB46:AB53" si="151">F46/AN46</f>
      </c>
      <c r="AC46" s="295">
        <f t="shared" si="2"/>
      </c>
      <c r="AD46" s="295">
        <f t="shared" si="25"/>
      </c>
      <c r="AE46" s="295">
        <f t="shared" si="10"/>
      </c>
      <c r="AF46" s="295">
        <f t="shared" ref="AF46:AF48" si="123">R46/AO46</f>
      </c>
      <c r="AG46" s="295">
        <f t="shared" si="6"/>
      </c>
      <c r="AH46" s="295">
        <f t="shared" si="8"/>
      </c>
      <c r="AI46" s="340">
        <f t="shared" si="4"/>
      </c>
      <c r="AJ46" s="341">
        <v>35</v>
      </c>
      <c r="AK46" s="289">
        <v>6705</v>
      </c>
      <c r="AL46" s="290">
        <v>219</v>
      </c>
      <c r="AM46" s="290">
        <v>269</v>
      </c>
      <c r="AN46" s="290">
        <v>38</v>
      </c>
      <c r="AO46" s="330">
        <v>21</v>
      </c>
      <c r="AP46" s="290">
        <v>26</v>
      </c>
      <c r="AQ46" s="330">
        <v>42</v>
      </c>
      <c r="AR46" s="330">
        <v>2</v>
      </c>
      <c r="AS46" s="290">
        <v>3</v>
      </c>
      <c r="AT46" s="290">
        <v>0</v>
      </c>
      <c r="AU46" s="331">
        <v>4</v>
      </c>
      <c r="AW46" s="297"/>
      <c r="AX46" s="342">
        <f t="shared" ref="AX46:AX48" si="78">COUNT(AU46)</f>
      </c>
    </row>
    <row r="47">
      <c r="A47" s="287"/>
      <c r="B47" s="287" t="s">
        <v>260</v>
      </c>
      <c r="C47" s="287" t="s">
        <v>247</v>
      </c>
      <c r="D47" s="339" t="s">
        <v>256</v>
      </c>
      <c r="E47" s="288" t="s">
        <v>250</v>
      </c>
      <c r="F47" s="313">
        <f t="shared" si="36"/>
      </c>
      <c r="G47" s="314">
        <v>386.07</v>
      </c>
      <c r="H47" s="313">
        <v>464.22</v>
      </c>
      <c r="I47" s="293"/>
      <c r="J47" s="293"/>
      <c r="K47" s="298"/>
      <c r="L47" s="293"/>
      <c r="M47" s="293"/>
      <c r="N47" s="294">
        <v>0</v>
      </c>
      <c r="O47" s="295">
        <f t="shared" si="146"/>
      </c>
      <c r="P47" s="294">
        <v>1</v>
      </c>
      <c r="Q47" s="295">
        <f t="shared" si="148"/>
      </c>
      <c r="R47" s="294">
        <v>1</v>
      </c>
      <c r="S47" s="314">
        <v>4455.64</v>
      </c>
      <c r="T47" s="296">
        <f t="shared" si="120"/>
      </c>
      <c r="U47" s="296">
        <f t="shared" si="26"/>
      </c>
      <c r="V47" s="290">
        <f t="shared" si="144"/>
      </c>
      <c r="W47" s="294">
        <v>0</v>
      </c>
      <c r="X47" s="290">
        <f t="shared" si="11"/>
      </c>
      <c r="Y47" s="290">
        <f t="shared" si="75"/>
      </c>
      <c r="Z47" s="296">
        <f t="shared" si="118"/>
      </c>
      <c r="AA47" s="296">
        <f t="shared" si="23"/>
      </c>
      <c r="AB47" s="296">
        <f t="shared" si="151"/>
      </c>
      <c r="AC47" s="295">
        <f t="shared" si="2"/>
      </c>
      <c r="AD47" s="295">
        <f t="shared" si="25"/>
      </c>
      <c r="AE47" s="295">
        <f t="shared" si="10"/>
      </c>
      <c r="AF47" s="295">
        <f t="shared" si="123"/>
      </c>
      <c r="AG47" s="295">
        <f t="shared" si="6"/>
      </c>
      <c r="AH47" s="343">
        <f t="shared" si="8"/>
      </c>
      <c r="AI47" s="295">
        <f t="shared" si="4"/>
      </c>
      <c r="AJ47" s="294">
        <v>38</v>
      </c>
      <c r="AK47" s="344">
        <v>4274</v>
      </c>
      <c r="AL47" s="290">
        <v>171</v>
      </c>
      <c r="AM47" s="290">
        <v>224</v>
      </c>
      <c r="AN47" s="290">
        <v>32</v>
      </c>
      <c r="AO47" s="330">
        <v>7</v>
      </c>
      <c r="AP47" s="290">
        <v>17</v>
      </c>
      <c r="AQ47" s="330">
        <v>23</v>
      </c>
      <c r="AR47" s="330">
        <v>1</v>
      </c>
      <c r="AS47" s="290">
        <v>1</v>
      </c>
      <c r="AT47" s="290">
        <v>0</v>
      </c>
      <c r="AU47" s="331">
        <v>5</v>
      </c>
      <c r="AW47" s="297"/>
      <c r="AX47" s="342">
        <f t="shared" si="78"/>
      </c>
    </row>
    <row r="48">
      <c r="A48" s="287"/>
      <c r="B48" s="287" t="s">
        <v>260</v>
      </c>
      <c r="C48" s="287" t="s">
        <v>247</v>
      </c>
      <c r="D48" s="339" t="s">
        <v>256</v>
      </c>
      <c r="E48" s="288" t="s">
        <v>251</v>
      </c>
      <c r="F48" s="313">
        <f t="shared" si="36"/>
      </c>
      <c r="G48" s="314">
        <v>412.07</v>
      </c>
      <c r="H48" s="313">
        <v>326.94</v>
      </c>
      <c r="I48" s="293"/>
      <c r="J48" s="293"/>
      <c r="K48" s="298"/>
      <c r="L48" s="293"/>
      <c r="M48" s="293"/>
      <c r="N48" s="294">
        <v>0</v>
      </c>
      <c r="O48" s="295">
        <f t="shared" si="146"/>
      </c>
      <c r="P48" s="294">
        <v>0</v>
      </c>
      <c r="Q48" s="295">
        <f t="shared" si="148"/>
      </c>
      <c r="R48" s="294">
        <v>0</v>
      </c>
      <c r="S48" s="314">
        <v>0</v>
      </c>
      <c r="T48" s="296">
        <f t="shared" si="120"/>
      </c>
      <c r="U48" s="296">
        <f t="shared" si="26"/>
      </c>
      <c r="V48" s="290">
        <f t="shared" si="144"/>
      </c>
      <c r="W48" s="294">
        <v>0</v>
      </c>
      <c r="X48" s="290">
        <f t="shared" si="11"/>
      </c>
      <c r="Y48" s="290">
        <f t="shared" si="75"/>
      </c>
      <c r="Z48" s="296">
        <f t="shared" si="118"/>
      </c>
      <c r="AA48" s="296">
        <f t="shared" si="23"/>
      </c>
      <c r="AB48" s="296">
        <f t="shared" si="151"/>
      </c>
      <c r="AC48" s="295">
        <f t="shared" si="2"/>
      </c>
      <c r="AD48" s="295">
        <f t="shared" si="25"/>
      </c>
      <c r="AE48" s="295">
        <f t="shared" si="10"/>
      </c>
      <c r="AF48" s="295">
        <f t="shared" si="123"/>
      </c>
      <c r="AG48" s="295">
        <f t="shared" si="6"/>
      </c>
      <c r="AH48" s="295">
        <f t="shared" si="8"/>
      </c>
      <c r="AI48" s="345">
        <f t="shared" si="4"/>
      </c>
      <c r="AJ48" s="346">
        <v>39</v>
      </c>
      <c r="AK48" s="289">
        <v>4196</v>
      </c>
      <c r="AL48" s="290">
        <v>153</v>
      </c>
      <c r="AM48" s="290">
        <v>202</v>
      </c>
      <c r="AN48" s="290">
        <v>24</v>
      </c>
      <c r="AO48" s="330">
        <v>3</v>
      </c>
      <c r="AP48" s="290">
        <v>5</v>
      </c>
      <c r="AQ48" s="330">
        <v>18</v>
      </c>
      <c r="AR48" s="330">
        <v>0</v>
      </c>
      <c r="AS48" s="290">
        <v>3</v>
      </c>
      <c r="AT48" s="290">
        <v>0</v>
      </c>
      <c r="AU48" s="331">
        <v>3</v>
      </c>
      <c r="AW48" s="297"/>
      <c r="AX48" s="342">
        <f t="shared" si="78"/>
      </c>
    </row>
    <row r="49">
      <c r="A49" s="287"/>
      <c r="B49" s="299" t="s">
        <v>253</v>
      </c>
      <c r="C49" s="299"/>
      <c r="D49" s="299"/>
      <c r="E49" s="299"/>
      <c r="F49" s="348">
        <f>SUM(F46:F48)</f>
      </c>
      <c r="G49" s="303">
        <f>SUM(G46:G48)</f>
      </c>
      <c r="H49" s="303">
        <f>SUM(H46:H48)</f>
      </c>
      <c r="I49" s="300">
        <f>SUM(I46:I48)</f>
      </c>
      <c r="J49" s="300">
        <f>SUM(J46:J48)</f>
      </c>
      <c r="K49" s="316">
        <f>SUM(K46:K48)</f>
      </c>
      <c r="L49" s="301">
        <f>SUM(L46:L48)</f>
      </c>
      <c r="M49" s="301">
        <f>SUM(M46:M48)</f>
      </c>
      <c r="N49" s="300">
        <f>SUM(N46:N48)</f>
      </c>
      <c r="O49" s="302">
        <f t="shared" si="146"/>
      </c>
      <c r="P49" s="300">
        <f>SUM(P46:P48)</f>
      </c>
      <c r="Q49" s="302">
        <f t="shared" si="148"/>
      </c>
      <c r="R49" s="301">
        <f>SUM(R46:R48)</f>
      </c>
      <c r="S49" s="303">
        <f>SUM(S46:S48)</f>
      </c>
      <c r="T49" s="303">
        <f t="shared" si="120"/>
      </c>
      <c r="U49" s="303">
        <f t="shared" si="26"/>
      </c>
      <c r="V49" s="300">
        <f t="shared" si="144"/>
      </c>
      <c r="W49" s="300">
        <f>SUM(W46:W48)</f>
      </c>
      <c r="X49" s="300">
        <f t="shared" si="11"/>
      </c>
      <c r="Y49" s="300">
        <f t="shared" si="75"/>
      </c>
      <c r="Z49" s="303">
        <f t="shared" si="118"/>
      </c>
      <c r="AA49" s="303">
        <f t="shared" si="23"/>
      </c>
      <c r="AB49" s="336">
        <f t="shared" si="151"/>
      </c>
      <c r="AC49" s="302">
        <f t="shared" si="2"/>
      </c>
      <c r="AD49" s="302">
        <f t="shared" si="25"/>
      </c>
      <c r="AE49" s="302">
        <f t="shared" si="10"/>
      </c>
      <c r="AF49" s="302">
        <f>R49/AO54</f>
      </c>
      <c r="AG49" s="302">
        <f t="shared" si="6"/>
      </c>
      <c r="AH49" s="302">
        <f t="shared" si="8"/>
      </c>
      <c r="AI49" s="302">
        <f t="shared" si="4"/>
      </c>
      <c r="AJ49" s="317">
        <f>AVERAGE(AJ46:AJ48)</f>
      </c>
      <c r="AK49" s="332">
        <f>SUM(AK46:AK48)</f>
      </c>
      <c r="AL49" s="300">
        <f>SUM(AL46:AL48)</f>
      </c>
      <c r="AM49" s="300">
        <f>SUM(AM46:AM48)</f>
      </c>
      <c r="AN49" s="300">
        <f>SUM(AN46:AN48)</f>
      </c>
      <c r="AO49" s="300">
        <f>SUM(AO46:AO48)</f>
      </c>
      <c r="AP49" s="300">
        <f>SUM(AP46:AP48)</f>
      </c>
      <c r="AQ49" s="300">
        <f>SUM(AQ46:AQ48)</f>
      </c>
      <c r="AR49" s="300">
        <f>SUM(AR46:AR48)</f>
      </c>
      <c r="AS49" s="300">
        <f>SUM(AS46:AS48)</f>
      </c>
      <c r="AT49" s="300">
        <f>SUM(AT46:AT48)</f>
      </c>
      <c r="AU49" s="333">
        <f>SUM(AU46:AU48)</f>
      </c>
      <c r="AW49" s="305"/>
      <c r="AX49" s="300">
        <f>SUM(AX46:AX48)</f>
      </c>
    </row>
    <row r="50">
      <c r="A50" s="287"/>
      <c r="B50" s="287" t="s">
        <v>260</v>
      </c>
      <c r="C50" s="287" t="s">
        <v>247</v>
      </c>
      <c r="D50" s="287" t="s">
        <v>248</v>
      </c>
      <c r="E50" s="288" t="s">
        <v>252</v>
      </c>
      <c r="F50" s="318">
        <f t="shared" ref="F50:F52" si="37">G50+H50+I50</f>
      </c>
      <c r="G50" s="313">
        <v>386.41</v>
      </c>
      <c r="H50" s="313">
        <v>1007.97</v>
      </c>
      <c r="I50" s="293"/>
      <c r="J50" s="293"/>
      <c r="K50" s="298"/>
      <c r="L50" s="293"/>
      <c r="M50" s="293"/>
      <c r="N50" s="294">
        <v>1</v>
      </c>
      <c r="O50" s="295">
        <f t="shared" si="146"/>
      </c>
      <c r="P50" s="294">
        <v>1</v>
      </c>
      <c r="Q50" s="295">
        <f t="shared" si="148"/>
      </c>
      <c r="R50" s="294">
        <v>1</v>
      </c>
      <c r="S50" s="313">
        <v>6569.06</v>
      </c>
      <c r="T50" s="296">
        <f t="shared" si="120"/>
      </c>
      <c r="U50" s="296">
        <f t="shared" si="26"/>
      </c>
      <c r="V50" s="290">
        <f t="shared" si="144"/>
      </c>
      <c r="W50" s="294">
        <v>1</v>
      </c>
      <c r="X50" s="337">
        <f t="shared" si="11"/>
      </c>
      <c r="Y50" s="290">
        <f t="shared" si="75"/>
      </c>
      <c r="Z50" s="296">
        <f t="shared" si="118"/>
      </c>
      <c r="AA50" s="296">
        <f t="shared" si="23"/>
      </c>
      <c r="AB50" s="296">
        <f t="shared" si="151"/>
      </c>
      <c r="AC50" s="295">
        <f t="shared" si="2"/>
      </c>
      <c r="AD50" s="295">
        <f t="shared" si="25"/>
      </c>
      <c r="AE50" s="295">
        <f t="shared" si="10"/>
      </c>
      <c r="AF50" s="295">
        <f t="shared" ref="AF50:AF51" si="16">R50/AO51</f>
      </c>
      <c r="AG50" s="295">
        <f t="shared" si="6"/>
      </c>
      <c r="AH50" s="295">
        <f t="shared" si="8"/>
      </c>
      <c r="AI50" s="295">
        <f t="shared" si="4"/>
      </c>
      <c r="AJ50" s="294">
        <v>40</v>
      </c>
      <c r="AK50" s="289">
        <v>5053</v>
      </c>
      <c r="AL50" s="290">
        <v>163</v>
      </c>
      <c r="AM50" s="290">
        <v>217</v>
      </c>
      <c r="AN50" s="290">
        <v>36</v>
      </c>
      <c r="AO50" s="330">
        <v>6</v>
      </c>
      <c r="AP50" s="290">
        <v>28</v>
      </c>
      <c r="AQ50" s="330">
        <v>23</v>
      </c>
      <c r="AR50" s="330">
        <v>1</v>
      </c>
      <c r="AS50" s="290">
        <v>2</v>
      </c>
      <c r="AT50" s="290">
        <v>0</v>
      </c>
      <c r="AU50" s="331">
        <v>2</v>
      </c>
      <c r="AW50" s="297"/>
      <c r="AX50" s="342">
        <f t="shared" ref="AX50:AX52" si="79">COUNT(AU50)</f>
      </c>
    </row>
    <row r="51">
      <c r="A51" s="287"/>
      <c r="B51" s="287" t="s">
        <v>260</v>
      </c>
      <c r="C51" s="287" t="s">
        <v>247</v>
      </c>
      <c r="D51" s="287" t="s">
        <v>248</v>
      </c>
      <c r="E51" s="287" t="s">
        <v>257</v>
      </c>
      <c r="F51" s="313">
        <f t="shared" si="37"/>
      </c>
      <c r="G51" s="319">
        <v>740.09</v>
      </c>
      <c r="H51" s="319">
        <v>1279.53</v>
      </c>
      <c r="I51" s="321"/>
      <c r="J51" s="321"/>
      <c r="K51" s="298"/>
      <c r="L51" s="293"/>
      <c r="M51" s="293"/>
      <c r="N51" s="294">
        <v>0</v>
      </c>
      <c r="O51" s="295">
        <f t="shared" si="146"/>
      </c>
      <c r="P51" s="294">
        <v>0</v>
      </c>
      <c r="Q51" s="295">
        <f t="shared" si="148"/>
      </c>
      <c r="R51" s="294">
        <v>1</v>
      </c>
      <c r="S51" s="314">
        <v>3450.4000000000015</v>
      </c>
      <c r="T51" s="296">
        <f t="shared" si="120"/>
      </c>
      <c r="U51" s="296">
        <f t="shared" si="26"/>
      </c>
      <c r="V51" s="290">
        <f t="shared" si="144"/>
      </c>
      <c r="W51" s="294">
        <v>1</v>
      </c>
      <c r="X51" s="290">
        <f t="shared" si="11"/>
      </c>
      <c r="Y51" s="290">
        <f t="shared" si="75"/>
      </c>
      <c r="Z51" s="296">
        <f t="shared" si="118"/>
      </c>
      <c r="AA51" s="296">
        <f t="shared" si="23"/>
      </c>
      <c r="AB51" s="296">
        <f t="shared" si="151"/>
      </c>
      <c r="AC51" s="295">
        <f t="shared" si="2"/>
      </c>
      <c r="AD51" s="295">
        <f t="shared" si="25"/>
      </c>
      <c r="AE51" s="295">
        <f t="shared" si="10"/>
      </c>
      <c r="AF51" s="295">
        <f t="shared" si="16"/>
      </c>
      <c r="AG51" s="295">
        <f t="shared" si="6"/>
      </c>
      <c r="AH51" s="295">
        <f t="shared" si="8"/>
      </c>
      <c r="AI51" s="295">
        <f t="shared" si="4"/>
      </c>
      <c r="AJ51" s="294">
        <v>44</v>
      </c>
      <c r="AK51" s="289">
        <v>8294</v>
      </c>
      <c r="AL51" s="290">
        <v>293</v>
      </c>
      <c r="AM51" s="290">
        <v>388</v>
      </c>
      <c r="AN51" s="290">
        <v>67</v>
      </c>
      <c r="AO51" s="330">
        <v>14</v>
      </c>
      <c r="AP51" s="290">
        <v>88</v>
      </c>
      <c r="AQ51" s="330">
        <v>47</v>
      </c>
      <c r="AR51" s="330">
        <v>3</v>
      </c>
      <c r="AS51" s="290">
        <v>9</v>
      </c>
      <c r="AT51" s="290">
        <v>1</v>
      </c>
      <c r="AU51" s="331">
        <v>3</v>
      </c>
      <c r="AW51" s="297"/>
      <c r="AX51" s="342">
        <f t="shared" si="79"/>
      </c>
    </row>
    <row r="52">
      <c r="A52" s="287"/>
      <c r="B52" s="287" t="s">
        <v>260</v>
      </c>
      <c r="C52" s="287" t="s">
        <v>247</v>
      </c>
      <c r="D52" s="287" t="s">
        <v>248</v>
      </c>
      <c r="E52" s="287" t="s">
        <v>258</v>
      </c>
      <c r="F52" s="313">
        <f t="shared" si="37"/>
      </c>
      <c r="G52" s="313">
        <v>900.78</v>
      </c>
      <c r="H52" s="313">
        <v>671.39</v>
      </c>
      <c r="I52" s="293"/>
      <c r="J52" s="293"/>
      <c r="K52" s="298"/>
      <c r="L52" s="293"/>
      <c r="M52" s="293"/>
      <c r="N52" s="294">
        <v>0</v>
      </c>
      <c r="O52" s="295">
        <f t="shared" si="146"/>
      </c>
      <c r="P52" s="294">
        <v>1</v>
      </c>
      <c r="Q52" s="295">
        <f t="shared" si="148"/>
      </c>
      <c r="R52" s="294">
        <v>3</v>
      </c>
      <c r="S52" s="313">
        <v>6066.699999999997</v>
      </c>
      <c r="T52" s="296">
        <f t="shared" si="120"/>
      </c>
      <c r="U52" s="296">
        <f t="shared" si="26"/>
      </c>
      <c r="V52" s="290">
        <f t="shared" si="144"/>
      </c>
      <c r="W52" s="294">
        <v>2</v>
      </c>
      <c r="X52" s="290">
        <f t="shared" si="11"/>
      </c>
      <c r="Y52" s="290">
        <f t="shared" si="75"/>
      </c>
      <c r="Z52" s="296">
        <f t="shared" si="118"/>
      </c>
      <c r="AA52" s="296">
        <f t="shared" si="23"/>
      </c>
      <c r="AB52" s="296">
        <f t="shared" si="151"/>
      </c>
      <c r="AC52" s="295">
        <f t="shared" si="2"/>
      </c>
      <c r="AD52" s="295">
        <f t="shared" si="25"/>
      </c>
      <c r="AE52" s="295">
        <f t="shared" si="10"/>
      </c>
      <c r="AF52" s="295">
        <f>R52/AO54</f>
      </c>
      <c r="AG52" s="295">
        <f t="shared" si="6"/>
      </c>
      <c r="AH52" s="295">
        <f t="shared" si="8"/>
      </c>
      <c r="AI52" s="295">
        <f t="shared" si="4"/>
      </c>
      <c r="AJ52" s="294">
        <v>47</v>
      </c>
      <c r="AK52" s="289">
        <v>12504</v>
      </c>
      <c r="AL52" s="290">
        <v>294</v>
      </c>
      <c r="AM52" s="290">
        <v>351</v>
      </c>
      <c r="AN52" s="290">
        <v>58</v>
      </c>
      <c r="AO52" s="330">
        <v>10</v>
      </c>
      <c r="AP52" s="290">
        <v>38</v>
      </c>
      <c r="AQ52" s="330">
        <v>43</v>
      </c>
      <c r="AR52" s="330">
        <v>3</v>
      </c>
      <c r="AS52" s="290">
        <v>8</v>
      </c>
      <c r="AT52" s="290">
        <v>0</v>
      </c>
      <c r="AU52" s="331">
        <v>1</v>
      </c>
      <c r="AW52" s="297"/>
      <c r="AX52" s="342">
        <f t="shared" si="79"/>
      </c>
    </row>
    <row r="53">
      <c r="A53" s="287"/>
      <c r="B53" s="322" t="s">
        <v>253</v>
      </c>
      <c r="C53" s="322"/>
      <c r="D53" s="322"/>
      <c r="E53" s="322"/>
      <c r="F53" s="323">
        <f>SUM(F50:F52)</f>
      </c>
      <c r="G53" s="323">
        <f>SUM(G50:G52)</f>
      </c>
      <c r="H53" s="323">
        <f>SUM(H50:H52)</f>
      </c>
      <c r="I53" s="324">
        <f>SUM(I50:I52)</f>
      </c>
      <c r="J53" s="324">
        <f>SUM(J50:J52)</f>
      </c>
      <c r="K53" s="325">
        <f>SUM(K50:K52)</f>
      </c>
      <c r="L53" s="325">
        <f>SUM(L50:L52)</f>
      </c>
      <c r="M53" s="325">
        <f>SUM(M50:M52)</f>
      </c>
      <c r="N53" s="325">
        <f>SUM(N50:N52)</f>
      </c>
      <c r="O53" s="326">
        <f t="shared" si="146"/>
      </c>
      <c r="P53" s="325">
        <f>SUM(P50:P52)</f>
      </c>
      <c r="Q53" s="326">
        <f t="shared" si="148"/>
      </c>
      <c r="R53" s="325">
        <f>SUM(R50:R52)</f>
      </c>
      <c r="S53" s="323">
        <f>SUM(S50:S52)</f>
      </c>
      <c r="T53" s="323">
        <f t="shared" si="120"/>
      </c>
      <c r="U53" s="323">
        <f t="shared" si="26"/>
      </c>
      <c r="V53" s="325">
        <f t="shared" si="144"/>
      </c>
      <c r="W53" s="325">
        <f>SUM(W50:W52)</f>
      </c>
      <c r="X53" s="325">
        <f t="shared" si="11"/>
      </c>
      <c r="Y53" s="325">
        <f t="shared" si="75"/>
      </c>
      <c r="Z53" s="323">
        <f t="shared" si="118"/>
      </c>
      <c r="AA53" s="323">
        <f t="shared" si="23"/>
      </c>
      <c r="AB53" s="336">
        <f t="shared" si="151"/>
      </c>
      <c r="AC53" s="326">
        <f t="shared" si="2"/>
      </c>
      <c r="AD53" s="326">
        <f t="shared" si="25"/>
      </c>
      <c r="AE53" s="326">
        <f t="shared" si="10"/>
      </c>
      <c r="AF53" s="326">
        <f>R53/AU55</f>
      </c>
      <c r="AG53" s="326">
        <f t="shared" si="6"/>
      </c>
      <c r="AH53" s="326">
        <f t="shared" si="8"/>
      </c>
      <c r="AI53" s="326">
        <f t="shared" si="4"/>
      </c>
      <c r="AJ53" s="327">
        <f>AVERAGE(AJ50:AJ52)</f>
      </c>
      <c r="AK53" s="334">
        <f>SUM(AK50:AK52)</f>
      </c>
      <c r="AL53" s="300">
        <f>SUM(AL50:AL52)</f>
      </c>
      <c r="AM53" s="300">
        <f>SUM(AM50:AM52)</f>
      </c>
      <c r="AN53" s="300">
        <f>SUM(AN50:AN52)</f>
      </c>
      <c r="AO53" s="300">
        <f>SUM(AO50:AO52)</f>
      </c>
      <c r="AP53" s="300">
        <f>SUM(AP50:AP52)</f>
      </c>
      <c r="AQ53" s="300">
        <f>SUM(AQ50:AQ52)</f>
      </c>
      <c r="AR53" s="300">
        <f>SUM(AR50:AR52)</f>
      </c>
      <c r="AS53" s="300">
        <f>SUM(AS50:AS52)</f>
      </c>
      <c r="AT53" s="300">
        <f>SUM(AT50:AT52)</f>
      </c>
      <c r="AU53" s="306">
        <f>SUM(AU50:AU52)</f>
      </c>
      <c r="AW53" s="305"/>
      <c r="AX53" s="300">
        <f>SUM(AX50:AX52)</f>
      </c>
    </row>
    <row r="54">
      <c r="A54" s="287"/>
      <c r="B54" s="307" t="s">
        <v>254</v>
      </c>
      <c r="C54" s="307"/>
      <c r="D54" s="307"/>
      <c r="E54" s="307"/>
      <c r="F54" s="309">
        <f>F49+F53</f>
      </c>
      <c r="G54" s="309">
        <f>G49+G53</f>
      </c>
      <c r="H54" s="309">
        <f>H49+H53</f>
      </c>
      <c r="I54" s="307">
        <f>I49+I53</f>
      </c>
      <c r="J54" s="307">
        <f>J49+J53</f>
      </c>
      <c r="K54" s="307">
        <f>K49+K53</f>
      </c>
      <c r="L54" s="307">
        <f>L49+L53</f>
      </c>
      <c r="M54" s="307">
        <f>M49+M53</f>
      </c>
      <c r="N54" s="307">
        <f>N49+N53</f>
      </c>
      <c r="O54" s="308">
        <f t="shared" si="146"/>
      </c>
      <c r="P54" s="307">
        <f>P49+P53</f>
      </c>
      <c r="Q54" s="308">
        <f t="shared" si="148"/>
      </c>
      <c r="R54" s="307">
        <f>R49+R53</f>
      </c>
      <c r="S54" s="309">
        <f>S49+S53</f>
      </c>
      <c r="T54" s="309">
        <f t="shared" si="120"/>
      </c>
      <c r="U54" s="309">
        <f t="shared" si="26"/>
      </c>
      <c r="V54" s="307">
        <f t="shared" si="144"/>
      </c>
      <c r="W54" s="307">
        <f>W49+W53</f>
      </c>
      <c r="X54" s="307">
        <f t="shared" si="11"/>
      </c>
      <c r="Y54" s="307">
        <f t="shared" si="75"/>
      </c>
      <c r="Z54" s="309">
        <f t="shared" si="118"/>
      </c>
      <c r="AA54" s="309">
        <f t="shared" si="23"/>
      </c>
      <c r="AB54" s="309">
        <f>AB53+AB49</f>
      </c>
      <c r="AC54" s="308">
        <f t="shared" si="2"/>
      </c>
      <c r="AD54" s="308">
        <f t="shared" si="25"/>
      </c>
      <c r="AE54" s="308">
        <f t="shared" si="10"/>
      </c>
      <c r="AF54" s="308">
        <f>R54/AU53:AU52</f>
      </c>
      <c r="AG54" s="308">
        <f t="shared" si="6"/>
      </c>
      <c r="AH54" s="308">
        <f t="shared" si="8"/>
      </c>
      <c r="AI54" s="308">
        <f t="shared" si="4"/>
      </c>
      <c r="AJ54" s="329">
        <f>(AJ49+AJ53)/2</f>
      </c>
      <c r="AK54" s="307">
        <f>AK49+AK53</f>
      </c>
      <c r="AL54" s="335">
        <f>AL49+AL53</f>
      </c>
      <c r="AM54" s="335">
        <f>AM49+AM53</f>
      </c>
      <c r="AN54" s="335">
        <f>AN49+AN53</f>
      </c>
      <c r="AO54" s="335">
        <f>AO49+AO53</f>
      </c>
      <c r="AP54" s="335">
        <f>AP49+AP53</f>
      </c>
      <c r="AQ54" s="335">
        <f>AQ49+AQ53</f>
      </c>
      <c r="AR54" s="335">
        <f>AR49+AR53</f>
      </c>
      <c r="AS54" s="335">
        <f>AS49+AS53</f>
      </c>
      <c r="AT54" s="335">
        <f>AT49+AT53</f>
      </c>
      <c r="AU54" s="307">
        <f>AU49+AU53</f>
      </c>
      <c r="AW54" s="349">
        <f>AW49+AW53</f>
      </c>
      <c r="AX54" s="307">
        <f>AX49+AX53</f>
      </c>
    </row>
    <row r="55">
      <c r="A55" s="287" t="s">
        <v>264</v>
      </c>
      <c r="B55" s="287" t="s">
        <v>265</v>
      </c>
      <c r="C55" s="287" t="s">
        <v>247</v>
      </c>
      <c r="D55" s="287" t="s">
        <v>248</v>
      </c>
      <c r="E55" s="288" t="s">
        <v>249</v>
      </c>
      <c r="F55" s="313">
        <f t="shared" ref="F55:F57" si="38">G55+H55+I55</f>
      </c>
      <c r="G55" s="314">
        <v>1061.7</v>
      </c>
      <c r="H55" s="313">
        <v>1026</v>
      </c>
      <c r="I55" s="291"/>
      <c r="J55" s="291"/>
      <c r="K55" s="292"/>
      <c r="L55" s="293"/>
      <c r="M55" s="293"/>
      <c r="N55" s="294">
        <v>0</v>
      </c>
      <c r="O55" s="295">
        <f t="shared" si="146"/>
      </c>
      <c r="P55" s="294">
        <v>0</v>
      </c>
      <c r="Q55" s="295">
        <f t="shared" si="148"/>
      </c>
      <c r="R55" s="294">
        <v>0</v>
      </c>
      <c r="S55" s="314">
        <v>0</v>
      </c>
      <c r="T55" s="296">
        <f t="shared" si="120"/>
      </c>
      <c r="U55" s="296">
        <f t="shared" si="26"/>
      </c>
      <c r="V55" s="290">
        <f t="shared" si="144"/>
      </c>
      <c r="W55" s="294">
        <v>0</v>
      </c>
      <c r="X55" s="290">
        <f t="shared" si="11"/>
      </c>
      <c r="Y55" s="290">
        <f t="shared" si="75"/>
      </c>
      <c r="Z55" s="296">
        <f t="shared" si="118"/>
      </c>
      <c r="AA55" s="296">
        <f t="shared" si="23"/>
      </c>
      <c r="AB55" s="296">
        <f t="shared" ref="AB55:AB62" si="152">F55/AN55</f>
      </c>
      <c r="AC55" s="295">
        <f t="shared" si="2"/>
      </c>
      <c r="AD55" s="295">
        <f t="shared" si="25"/>
      </c>
      <c r="AE55" s="295">
        <f t="shared" si="10"/>
      </c>
      <c r="AF55" s="295">
        <f t="shared" ref="AF55:AF57" si="124">R55/AO55</f>
      </c>
      <c r="AG55" s="295">
        <f t="shared" si="6"/>
      </c>
      <c r="AH55" s="295">
        <f t="shared" si="8"/>
      </c>
      <c r="AI55" s="340">
        <f t="shared" si="4"/>
      </c>
      <c r="AJ55" s="341">
        <v>35</v>
      </c>
      <c r="AK55" s="289">
        <v>8782</v>
      </c>
      <c r="AL55" s="290">
        <v>220</v>
      </c>
      <c r="AM55" s="290">
        <v>297</v>
      </c>
      <c r="AN55" s="290">
        <v>57</v>
      </c>
      <c r="AO55" s="330">
        <v>12</v>
      </c>
      <c r="AP55" s="290">
        <v>29</v>
      </c>
      <c r="AQ55" s="330">
        <v>28</v>
      </c>
      <c r="AR55" s="330">
        <v>0</v>
      </c>
      <c r="AS55" s="290">
        <v>3</v>
      </c>
      <c r="AT55" s="290">
        <v>2</v>
      </c>
      <c r="AU55" s="331">
        <v>4</v>
      </c>
      <c r="AW55" s="297"/>
      <c r="AX55" s="342">
        <f t="shared" ref="AX55:AX57" si="80">COUNT(AU55)</f>
      </c>
    </row>
    <row r="56">
      <c r="A56" s="287"/>
      <c r="B56" s="287" t="s">
        <v>265</v>
      </c>
      <c r="C56" s="287" t="s">
        <v>247</v>
      </c>
      <c r="D56" s="287" t="s">
        <v>248</v>
      </c>
      <c r="E56" s="288" t="s">
        <v>250</v>
      </c>
      <c r="F56" s="313">
        <f t="shared" si="38"/>
      </c>
      <c r="G56" s="314">
        <v>350.57</v>
      </c>
      <c r="H56" s="313">
        <v>704.66</v>
      </c>
      <c r="I56" s="293"/>
      <c r="J56" s="293"/>
      <c r="K56" s="298"/>
      <c r="L56" s="293"/>
      <c r="M56" s="293"/>
      <c r="N56" s="294">
        <v>0</v>
      </c>
      <c r="O56" s="295">
        <f t="shared" si="146"/>
      </c>
      <c r="P56" s="294">
        <v>0</v>
      </c>
      <c r="Q56" s="295">
        <f t="shared" si="148"/>
      </c>
      <c r="R56" s="294">
        <v>0</v>
      </c>
      <c r="S56" s="314">
        <v>0</v>
      </c>
      <c r="T56" s="296">
        <f t="shared" si="120"/>
      </c>
      <c r="U56" s="296">
        <f t="shared" si="26"/>
      </c>
      <c r="V56" s="290">
        <f t="shared" si="144"/>
      </c>
      <c r="W56" s="294">
        <v>0</v>
      </c>
      <c r="X56" s="290">
        <f t="shared" si="11"/>
      </c>
      <c r="Y56" s="290">
        <f t="shared" si="75"/>
      </c>
      <c r="Z56" s="296">
        <f t="shared" si="118"/>
      </c>
      <c r="AA56" s="296">
        <f t="shared" si="23"/>
      </c>
      <c r="AB56" s="296">
        <f t="shared" si="152"/>
      </c>
      <c r="AC56" s="295">
        <f t="shared" si="2"/>
      </c>
      <c r="AD56" s="295">
        <f t="shared" si="25"/>
      </c>
      <c r="AE56" s="295">
        <f t="shared" si="10"/>
      </c>
      <c r="AF56" s="295">
        <f t="shared" si="124"/>
      </c>
      <c r="AG56" s="295">
        <f t="shared" si="6"/>
      </c>
      <c r="AH56" s="343">
        <f t="shared" si="8"/>
      </c>
      <c r="AI56" s="295">
        <f t="shared" si="4"/>
      </c>
      <c r="AJ56" s="294">
        <v>38</v>
      </c>
      <c r="AK56" s="344">
        <v>5236</v>
      </c>
      <c r="AL56" s="290">
        <v>139</v>
      </c>
      <c r="AM56" s="290">
        <v>222</v>
      </c>
      <c r="AN56" s="290">
        <v>27</v>
      </c>
      <c r="AO56" s="330">
        <v>8</v>
      </c>
      <c r="AP56" s="294">
        <v>33</v>
      </c>
      <c r="AQ56" s="330">
        <v>23</v>
      </c>
      <c r="AR56" s="330">
        <v>0</v>
      </c>
      <c r="AS56" s="290">
        <v>3</v>
      </c>
      <c r="AT56" s="290">
        <v>1</v>
      </c>
      <c r="AU56" s="331">
        <v>6</v>
      </c>
      <c r="AW56" s="297"/>
      <c r="AX56" s="342">
        <f t="shared" si="80"/>
      </c>
    </row>
    <row r="57">
      <c r="A57" s="287"/>
      <c r="B57" s="287" t="s">
        <v>265</v>
      </c>
      <c r="C57" s="287" t="s">
        <v>247</v>
      </c>
      <c r="D57" s="287" t="s">
        <v>248</v>
      </c>
      <c r="E57" s="288" t="s">
        <v>251</v>
      </c>
      <c r="F57" s="313">
        <f t="shared" si="38"/>
      </c>
      <c r="G57" s="314">
        <v>318.29</v>
      </c>
      <c r="H57" s="313">
        <v>949.27</v>
      </c>
      <c r="I57" s="293"/>
      <c r="J57" s="293"/>
      <c r="K57" s="298"/>
      <c r="L57" s="293"/>
      <c r="M57" s="293"/>
      <c r="N57" s="294">
        <v>1</v>
      </c>
      <c r="O57" s="295">
        <f t="shared" si="146"/>
      </c>
      <c r="P57" s="294">
        <v>1</v>
      </c>
      <c r="Q57" s="295">
        <f t="shared" si="148"/>
      </c>
      <c r="R57" s="294">
        <v>3</v>
      </c>
      <c r="S57" s="314">
        <v>6944.46</v>
      </c>
      <c r="T57" s="296">
        <f t="shared" si="120"/>
      </c>
      <c r="U57" s="296">
        <f t="shared" si="26"/>
      </c>
      <c r="V57" s="290">
        <f t="shared" si="144"/>
      </c>
      <c r="W57" s="294">
        <v>3</v>
      </c>
      <c r="X57" s="290">
        <f t="shared" si="11"/>
      </c>
      <c r="Y57" s="290">
        <f t="shared" si="75"/>
      </c>
      <c r="Z57" s="296">
        <f t="shared" si="118"/>
      </c>
      <c r="AA57" s="296">
        <f t="shared" si="23"/>
      </c>
      <c r="AB57" s="296">
        <f t="shared" si="152"/>
      </c>
      <c r="AC57" s="295">
        <f t="shared" si="2"/>
      </c>
      <c r="AD57" s="295">
        <f t="shared" si="25"/>
      </c>
      <c r="AE57" s="295">
        <f t="shared" si="10"/>
      </c>
      <c r="AF57" s="295">
        <f t="shared" si="124"/>
      </c>
      <c r="AG57" s="295">
        <f t="shared" si="6"/>
      </c>
      <c r="AH57" s="295">
        <f t="shared" si="8"/>
      </c>
      <c r="AI57" s="345">
        <f t="shared" si="4"/>
      </c>
      <c r="AJ57" s="346">
        <v>39</v>
      </c>
      <c r="AK57" s="289">
        <v>4759</v>
      </c>
      <c r="AL57" s="290">
        <v>174</v>
      </c>
      <c r="AM57" s="290">
        <v>225</v>
      </c>
      <c r="AN57" s="290">
        <v>53</v>
      </c>
      <c r="AO57" s="330">
        <v>18</v>
      </c>
      <c r="AP57" s="290">
        <v>82</v>
      </c>
      <c r="AQ57" s="330">
        <v>35</v>
      </c>
      <c r="AR57" s="330">
        <v>4</v>
      </c>
      <c r="AS57" s="290">
        <v>2</v>
      </c>
      <c r="AT57" s="290">
        <v>0</v>
      </c>
      <c r="AU57" s="331">
        <v>4</v>
      </c>
      <c r="AW57" s="297"/>
      <c r="AX57" s="342">
        <f t="shared" si="80"/>
      </c>
    </row>
    <row r="58">
      <c r="A58" s="287"/>
      <c r="B58" s="299" t="s">
        <v>253</v>
      </c>
      <c r="C58" s="299"/>
      <c r="D58" s="299"/>
      <c r="E58" s="299"/>
      <c r="F58" s="348">
        <f>SUM(F55:F57)</f>
      </c>
      <c r="G58" s="303">
        <f>SUM(G55:G57)</f>
      </c>
      <c r="H58" s="303">
        <f>SUM(H55:H57)</f>
      </c>
      <c r="I58" s="300">
        <f>SUM(I55:I57)</f>
      </c>
      <c r="J58" s="300">
        <f>SUM(J55:J57)</f>
      </c>
      <c r="K58" s="316">
        <f>SUM(K55:K57)</f>
      </c>
      <c r="L58" s="301">
        <f>SUM(L55:L57)</f>
      </c>
      <c r="M58" s="301">
        <f>SUM(M55:M57)</f>
      </c>
      <c r="N58" s="300">
        <f>SUM(N55:N57)</f>
      </c>
      <c r="O58" s="302">
        <f t="shared" si="146"/>
      </c>
      <c r="P58" s="300">
        <f>SUM(P55:P57)</f>
      </c>
      <c r="Q58" s="302">
        <f t="shared" si="148"/>
      </c>
      <c r="R58" s="301">
        <f>SUM(R55:R57)</f>
      </c>
      <c r="S58" s="303">
        <f>SUM(S55:S57)</f>
      </c>
      <c r="T58" s="303">
        <f t="shared" si="120"/>
      </c>
      <c r="U58" s="303">
        <f t="shared" si="26"/>
      </c>
      <c r="V58" s="300">
        <f t="shared" si="144"/>
      </c>
      <c r="W58" s="300">
        <f>SUM(W55:W57)</f>
      </c>
      <c r="X58" s="300">
        <f t="shared" si="11"/>
      </c>
      <c r="Y58" s="300">
        <f t="shared" si="75"/>
      </c>
      <c r="Z58" s="303">
        <f t="shared" si="118"/>
      </c>
      <c r="AA58" s="303">
        <f t="shared" si="23"/>
      </c>
      <c r="AB58" s="336">
        <f t="shared" si="152"/>
      </c>
      <c r="AC58" s="302">
        <f t="shared" si="2"/>
      </c>
      <c r="AD58" s="302">
        <f t="shared" si="25"/>
      </c>
      <c r="AE58" s="302">
        <f t="shared" si="10"/>
      </c>
      <c r="AF58" s="302">
        <f>R58/AO63</f>
      </c>
      <c r="AG58" s="302">
        <f t="shared" si="6"/>
      </c>
      <c r="AH58" s="302">
        <f t="shared" si="8"/>
      </c>
      <c r="AI58" s="302">
        <f t="shared" si="4"/>
      </c>
      <c r="AJ58" s="317">
        <f>AVERAGE(AJ55:AJ57)</f>
      </c>
      <c r="AK58" s="332">
        <f>SUM(AK55:AK57)</f>
      </c>
      <c r="AL58" s="300">
        <f>SUM(AL55:AL57)</f>
      </c>
      <c r="AM58" s="300">
        <f>SUM(AM55:AM57)</f>
      </c>
      <c r="AN58" s="300">
        <f>SUM(AN55:AN57)</f>
      </c>
      <c r="AO58" s="300">
        <f>SUM(AO55:AO57)</f>
      </c>
      <c r="AP58" s="300">
        <f>SUM(AP55:AP57)</f>
      </c>
      <c r="AQ58" s="300">
        <f>SUM(AQ55:AQ57)</f>
      </c>
      <c r="AR58" s="300">
        <f>SUM(AR55:AR57)</f>
      </c>
      <c r="AS58" s="300">
        <f>SUM(AS55:AS57)</f>
      </c>
      <c r="AT58" s="300">
        <f>SUM(AT55:AT57)</f>
      </c>
      <c r="AU58" s="333">
        <f>SUM(AU55:AU57)</f>
      </c>
      <c r="AW58" s="305"/>
      <c r="AX58" s="300">
        <f>SUM(AX55:AX57)</f>
      </c>
    </row>
    <row r="59">
      <c r="A59" s="287"/>
      <c r="B59" s="287" t="s">
        <v>265</v>
      </c>
      <c r="C59" s="287" t="s">
        <v>247</v>
      </c>
      <c r="D59" s="339" t="s">
        <v>256</v>
      </c>
      <c r="E59" s="288" t="s">
        <v>252</v>
      </c>
      <c r="F59" s="318">
        <f t="shared" ref="F59:F61" si="39">G59+H59+I59</f>
      </c>
      <c r="G59" s="313">
        <v>512.49</v>
      </c>
      <c r="H59" s="313">
        <v>2389.39</v>
      </c>
      <c r="I59" s="293"/>
      <c r="J59" s="293"/>
      <c r="K59" s="298"/>
      <c r="L59" s="293"/>
      <c r="M59" s="293"/>
      <c r="N59" s="294">
        <v>0</v>
      </c>
      <c r="O59" s="295">
        <f t="shared" si="146"/>
      </c>
      <c r="P59" s="294">
        <v>0</v>
      </c>
      <c r="Q59" s="295">
        <f t="shared" si="148"/>
      </c>
      <c r="R59" s="294">
        <v>0</v>
      </c>
      <c r="S59" s="313">
        <v>0</v>
      </c>
      <c r="T59" s="296">
        <f t="shared" si="120"/>
      </c>
      <c r="U59" s="296">
        <f t="shared" si="26"/>
      </c>
      <c r="V59" s="290">
        <f t="shared" si="144"/>
      </c>
      <c r="W59" s="294">
        <v>0</v>
      </c>
      <c r="X59" s="337">
        <f t="shared" si="11"/>
      </c>
      <c r="Y59" s="290">
        <f t="shared" si="75"/>
      </c>
      <c r="Z59" s="296">
        <f t="shared" si="118"/>
      </c>
      <c r="AA59" s="296">
        <f t="shared" si="23"/>
      </c>
      <c r="AB59" s="296">
        <f t="shared" si="152"/>
      </c>
      <c r="AC59" s="295">
        <f t="shared" si="2"/>
      </c>
      <c r="AD59" s="295">
        <f t="shared" si="25"/>
      </c>
      <c r="AE59" s="295">
        <f t="shared" si="10"/>
      </c>
      <c r="AF59" s="295">
        <f t="shared" ref="AF59:AF60" si="17">R59/AO60</f>
      </c>
      <c r="AG59" s="295">
        <f t="shared" si="6"/>
      </c>
      <c r="AH59" s="295">
        <f t="shared" si="8"/>
      </c>
      <c r="AI59" s="295">
        <f t="shared" si="4"/>
      </c>
      <c r="AJ59" s="294">
        <v>40</v>
      </c>
      <c r="AK59" s="289">
        <v>9400</v>
      </c>
      <c r="AL59" s="290">
        <v>297</v>
      </c>
      <c r="AM59" s="290">
        <v>355</v>
      </c>
      <c r="AN59" s="290">
        <v>97</v>
      </c>
      <c r="AO59" s="330">
        <v>13</v>
      </c>
      <c r="AP59" s="290">
        <v>41</v>
      </c>
      <c r="AQ59" s="330">
        <v>55</v>
      </c>
      <c r="AR59" s="330">
        <v>0</v>
      </c>
      <c r="AS59" s="290">
        <v>6</v>
      </c>
      <c r="AT59" s="290">
        <v>1</v>
      </c>
      <c r="AU59" s="331">
        <v>23</v>
      </c>
      <c r="AW59" s="297"/>
      <c r="AX59" s="342">
        <f t="shared" ref="AX59:AX61" si="81">COUNT(AU59)</f>
      </c>
    </row>
    <row r="60">
      <c r="A60" s="287"/>
      <c r="B60" s="287" t="s">
        <v>265</v>
      </c>
      <c r="C60" s="287" t="s">
        <v>247</v>
      </c>
      <c r="D60" s="339" t="s">
        <v>256</v>
      </c>
      <c r="E60" s="287" t="s">
        <v>257</v>
      </c>
      <c r="F60" s="313">
        <f t="shared" si="39"/>
      </c>
      <c r="G60" s="319">
        <v>707.61</v>
      </c>
      <c r="H60" s="319">
        <v>2779.79</v>
      </c>
      <c r="I60" s="321"/>
      <c r="J60" s="321"/>
      <c r="K60" s="298"/>
      <c r="L60" s="293"/>
      <c r="M60" s="293"/>
      <c r="N60" s="294">
        <v>1</v>
      </c>
      <c r="O60" s="295">
        <f t="shared" si="146"/>
      </c>
      <c r="P60" s="294">
        <v>2</v>
      </c>
      <c r="Q60" s="295">
        <f t="shared" si="148"/>
      </c>
      <c r="R60" s="294">
        <v>3</v>
      </c>
      <c r="S60" s="314">
        <v>12508.630000000001</v>
      </c>
      <c r="T60" s="296">
        <f t="shared" si="120"/>
      </c>
      <c r="U60" s="296">
        <f t="shared" si="26"/>
      </c>
      <c r="V60" s="290">
        <f t="shared" si="144"/>
      </c>
      <c r="W60" s="294">
        <v>3</v>
      </c>
      <c r="X60" s="290">
        <f t="shared" si="11"/>
      </c>
      <c r="Y60" s="290">
        <f t="shared" si="75"/>
      </c>
      <c r="Z60" s="296">
        <f t="shared" si="118"/>
      </c>
      <c r="AA60" s="296">
        <f t="shared" si="23"/>
      </c>
      <c r="AB60" s="296">
        <f t="shared" si="152"/>
      </c>
      <c r="AC60" s="295">
        <f t="shared" si="2"/>
      </c>
      <c r="AD60" s="295">
        <f t="shared" si="25"/>
      </c>
      <c r="AE60" s="295">
        <f t="shared" si="10"/>
      </c>
      <c r="AF60" s="295">
        <f t="shared" si="17"/>
      </c>
      <c r="AG60" s="295">
        <f t="shared" si="6"/>
      </c>
      <c r="AH60" s="295">
        <f t="shared" si="8"/>
      </c>
      <c r="AI60" s="295">
        <f t="shared" si="4"/>
      </c>
      <c r="AJ60" s="294">
        <v>44</v>
      </c>
      <c r="AK60" s="289">
        <v>11548</v>
      </c>
      <c r="AL60" s="290">
        <v>295</v>
      </c>
      <c r="AM60" s="290">
        <v>367</v>
      </c>
      <c r="AN60" s="290">
        <v>92</v>
      </c>
      <c r="AO60" s="330">
        <v>20</v>
      </c>
      <c r="AP60" s="290">
        <v>77</v>
      </c>
      <c r="AQ60" s="330">
        <v>55</v>
      </c>
      <c r="AR60" s="330">
        <v>3</v>
      </c>
      <c r="AS60" s="290">
        <v>5</v>
      </c>
      <c r="AT60" s="290">
        <v>1</v>
      </c>
      <c r="AU60" s="331">
        <v>19</v>
      </c>
      <c r="AW60" s="297"/>
      <c r="AX60" s="342">
        <f t="shared" si="81"/>
      </c>
    </row>
    <row r="61">
      <c r="A61" s="287"/>
      <c r="B61" s="287" t="s">
        <v>265</v>
      </c>
      <c r="C61" s="287" t="s">
        <v>247</v>
      </c>
      <c r="D61" s="339" t="s">
        <v>256</v>
      </c>
      <c r="E61" s="287" t="s">
        <v>258</v>
      </c>
      <c r="F61" s="313">
        <f t="shared" si="39"/>
      </c>
      <c r="G61" s="313">
        <v>294.43</v>
      </c>
      <c r="H61" s="313">
        <v>2821.89</v>
      </c>
      <c r="I61" s="293"/>
      <c r="J61" s="293"/>
      <c r="K61" s="298"/>
      <c r="L61" s="293"/>
      <c r="M61" s="293"/>
      <c r="N61" s="294">
        <v>0</v>
      </c>
      <c r="O61" s="295">
        <f t="shared" si="146"/>
      </c>
      <c r="P61" s="294">
        <v>0</v>
      </c>
      <c r="Q61" s="295">
        <f t="shared" si="148"/>
      </c>
      <c r="R61" s="294">
        <v>0</v>
      </c>
      <c r="S61" s="313">
        <v>0</v>
      </c>
      <c r="T61" s="296">
        <f t="shared" si="120"/>
      </c>
      <c r="U61" s="296">
        <f t="shared" si="26"/>
      </c>
      <c r="V61" s="290">
        <f t="shared" si="144"/>
      </c>
      <c r="W61" s="294">
        <v>0</v>
      </c>
      <c r="X61" s="290">
        <f t="shared" si="11"/>
      </c>
      <c r="Y61" s="290">
        <f t="shared" si="75"/>
      </c>
      <c r="Z61" s="296">
        <f t="shared" si="118"/>
      </c>
      <c r="AA61" s="296">
        <f t="shared" si="23"/>
      </c>
      <c r="AB61" s="296">
        <f t="shared" si="152"/>
      </c>
      <c r="AC61" s="295">
        <f t="shared" si="2"/>
      </c>
      <c r="AD61" s="295">
        <f t="shared" si="25"/>
      </c>
      <c r="AE61" s="295">
        <f t="shared" si="10"/>
      </c>
      <c r="AF61" s="295">
        <f>R61/AO63</f>
      </c>
      <c r="AG61" s="295">
        <f t="shared" si="6"/>
      </c>
      <c r="AH61" s="295">
        <f t="shared" si="8"/>
      </c>
      <c r="AI61" s="295">
        <f t="shared" si="4"/>
      </c>
      <c r="AJ61" s="294">
        <v>47</v>
      </c>
      <c r="AK61" s="289">
        <v>10477</v>
      </c>
      <c r="AL61" s="290">
        <v>260</v>
      </c>
      <c r="AM61" s="290">
        <v>295</v>
      </c>
      <c r="AN61" s="290">
        <v>97</v>
      </c>
      <c r="AO61" s="330">
        <v>16</v>
      </c>
      <c r="AP61" s="290">
        <v>30</v>
      </c>
      <c r="AQ61" s="330">
        <v>59</v>
      </c>
      <c r="AR61" s="330">
        <v>1</v>
      </c>
      <c r="AS61" s="290">
        <v>6</v>
      </c>
      <c r="AT61" s="290">
        <v>1</v>
      </c>
      <c r="AU61" s="331">
        <v>25</v>
      </c>
      <c r="AW61" s="297"/>
      <c r="AX61" s="342">
        <f t="shared" si="81"/>
      </c>
    </row>
    <row r="62">
      <c r="A62" s="287"/>
      <c r="B62" s="322" t="s">
        <v>253</v>
      </c>
      <c r="C62" s="322"/>
      <c r="D62" s="322"/>
      <c r="E62" s="322"/>
      <c r="F62" s="323">
        <f>SUM(F59:F61)</f>
      </c>
      <c r="G62" s="323">
        <f>SUM(G59:G61)</f>
      </c>
      <c r="H62" s="323">
        <f>SUM(H59:H61)</f>
      </c>
      <c r="I62" s="324">
        <f>SUM(I59:I61)</f>
      </c>
      <c r="J62" s="324">
        <f>SUM(J59:J61)</f>
      </c>
      <c r="K62" s="325">
        <f>SUM(K59:K61)</f>
      </c>
      <c r="L62" s="325">
        <f>SUM(L59:L61)</f>
      </c>
      <c r="M62" s="325">
        <f>SUM(M59:M61)</f>
      </c>
      <c r="N62" s="325">
        <f>SUM(N59:N61)</f>
      </c>
      <c r="O62" s="326">
        <f t="shared" si="146"/>
      </c>
      <c r="P62" s="325">
        <f>SUM(P59:P61)</f>
      </c>
      <c r="Q62" s="326">
        <f t="shared" si="148"/>
      </c>
      <c r="R62" s="325">
        <f>SUM(R59:R61)</f>
      </c>
      <c r="S62" s="323">
        <f>SUM(S59:S61)</f>
      </c>
      <c r="T62" s="323">
        <f t="shared" si="120"/>
      </c>
      <c r="U62" s="323">
        <f t="shared" si="26"/>
      </c>
      <c r="V62" s="325">
        <f t="shared" si="144"/>
      </c>
      <c r="W62" s="325">
        <f>SUM(W59:W61)</f>
      </c>
      <c r="X62" s="325">
        <f t="shared" si="11"/>
      </c>
      <c r="Y62" s="325">
        <f t="shared" si="75"/>
      </c>
      <c r="Z62" s="323">
        <f t="shared" si="118"/>
      </c>
      <c r="AA62" s="323">
        <f t="shared" si="23"/>
      </c>
      <c r="AB62" s="336">
        <f t="shared" si="152"/>
      </c>
      <c r="AC62" s="326">
        <f t="shared" si="2"/>
      </c>
      <c r="AD62" s="326">
        <f t="shared" si="25"/>
      </c>
      <c r="AE62" s="326">
        <f t="shared" si="10"/>
      </c>
      <c r="AF62" s="326">
        <f>R62/AU64</f>
      </c>
      <c r="AG62" s="326">
        <f t="shared" si="6"/>
      </c>
      <c r="AH62" s="326">
        <f t="shared" si="8"/>
      </c>
      <c r="AI62" s="326">
        <f t="shared" si="4"/>
      </c>
      <c r="AJ62" s="327">
        <f>AVERAGE(AJ59:AJ61)</f>
      </c>
      <c r="AK62" s="334">
        <f>SUM(AK59:AK61)</f>
      </c>
      <c r="AL62" s="300">
        <f>SUM(AL59:AL61)</f>
      </c>
      <c r="AM62" s="300">
        <f>SUM(AM59:AM61)</f>
      </c>
      <c r="AN62" s="300">
        <f>SUM(AN59:AN61)</f>
      </c>
      <c r="AO62" s="300">
        <f>SUM(AO59:AO61)</f>
      </c>
      <c r="AP62" s="300">
        <f>SUM(AP59:AP61)</f>
      </c>
      <c r="AQ62" s="300">
        <f>SUM(AQ59:AQ61)</f>
      </c>
      <c r="AR62" s="300">
        <f>SUM(AR59:AR61)</f>
      </c>
      <c r="AS62" s="300">
        <f>SUM(AS59:AS61)</f>
      </c>
      <c r="AT62" s="300">
        <f>SUM(AT59:AT61)</f>
      </c>
      <c r="AU62" s="306">
        <f>SUM(AU59:AU61)</f>
      </c>
      <c r="AW62" s="305"/>
      <c r="AX62" s="300">
        <f>SUM(AX59:AX61)</f>
      </c>
    </row>
    <row r="63">
      <c r="A63" s="287"/>
      <c r="B63" s="307" t="s">
        <v>254</v>
      </c>
      <c r="C63" s="307"/>
      <c r="D63" s="307"/>
      <c r="E63" s="307"/>
      <c r="F63" s="309">
        <f>F58+F62</f>
      </c>
      <c r="G63" s="309">
        <f>G58+G62</f>
      </c>
      <c r="H63" s="309">
        <f>H58+H62</f>
      </c>
      <c r="I63" s="307">
        <f>I58+I62</f>
      </c>
      <c r="J63" s="307">
        <f>J58+J62</f>
      </c>
      <c r="K63" s="307">
        <f>K58+K62</f>
      </c>
      <c r="L63" s="307">
        <f>L58+L62</f>
      </c>
      <c r="M63" s="307">
        <f>M58+M62</f>
      </c>
      <c r="N63" s="307">
        <f>N58+N62</f>
      </c>
      <c r="O63" s="308">
        <f t="shared" si="146"/>
      </c>
      <c r="P63" s="307">
        <f>P58+P62</f>
      </c>
      <c r="Q63" s="308">
        <f t="shared" si="148"/>
      </c>
      <c r="R63" s="307">
        <f>R58+R62</f>
      </c>
      <c r="S63" s="309">
        <f>S58+S62</f>
      </c>
      <c r="T63" s="309">
        <f t="shared" si="120"/>
      </c>
      <c r="U63" s="309">
        <f t="shared" si="26"/>
      </c>
      <c r="V63" s="307">
        <f t="shared" si="144"/>
      </c>
      <c r="W63" s="307">
        <f>W58+W62</f>
      </c>
      <c r="X63" s="307">
        <f t="shared" si="11"/>
      </c>
      <c r="Y63" s="307">
        <f t="shared" si="75"/>
      </c>
      <c r="Z63" s="309">
        <f t="shared" si="118"/>
      </c>
      <c r="AA63" s="309">
        <f t="shared" si="23"/>
      </c>
      <c r="AB63" s="309">
        <f>AB62+AB58</f>
      </c>
      <c r="AC63" s="308">
        <f t="shared" si="2"/>
      </c>
      <c r="AD63" s="308">
        <f t="shared" si="25"/>
      </c>
      <c r="AE63" s="308">
        <f t="shared" si="10"/>
      </c>
      <c r="AF63" s="308">
        <f>R63/AU62:AU61</f>
      </c>
      <c r="AG63" s="308">
        <f t="shared" si="6"/>
      </c>
      <c r="AH63" s="308">
        <f t="shared" si="8"/>
      </c>
      <c r="AI63" s="308">
        <f t="shared" si="4"/>
      </c>
      <c r="AJ63" s="329">
        <f>(AJ58+AJ62)/2</f>
      </c>
      <c r="AK63" s="307">
        <f>AK58+AK62</f>
      </c>
      <c r="AL63" s="335">
        <f>AL58+AL62</f>
      </c>
      <c r="AM63" s="335">
        <f>AM58+AM62</f>
      </c>
      <c r="AN63" s="335">
        <f>AN58+AN62</f>
      </c>
      <c r="AO63" s="335">
        <f>AO58+AO62</f>
      </c>
      <c r="AP63" s="335">
        <f>AP58+AP62</f>
      </c>
      <c r="AQ63" s="335">
        <f>AQ58+AQ62</f>
      </c>
      <c r="AR63" s="335">
        <f>AR58+AR62</f>
      </c>
      <c r="AS63" s="335">
        <f>AS58+AS62</f>
      </c>
      <c r="AT63" s="335">
        <f>AT58+AT62</f>
      </c>
      <c r="AU63" s="307">
        <f>AU58+AU62</f>
      </c>
      <c r="AW63" s="349">
        <f>AW58+AW62</f>
      </c>
      <c r="AX63" s="307">
        <f>AX58+AX62</f>
      </c>
    </row>
    <row r="64">
      <c r="A64" s="287" t="s">
        <v>266</v>
      </c>
      <c r="B64" s="287" t="s">
        <v>267</v>
      </c>
      <c r="C64" s="287" t="s">
        <v>247</v>
      </c>
      <c r="D64" s="339" t="s">
        <v>256</v>
      </c>
      <c r="E64" s="288" t="s">
        <v>249</v>
      </c>
      <c r="F64" s="313">
        <f t="shared" ref="F64:F66" si="40">G64+H64+I64</f>
      </c>
      <c r="G64" s="314">
        <v>540.86</v>
      </c>
      <c r="H64" s="313">
        <v>2030.91</v>
      </c>
      <c r="I64" s="291"/>
      <c r="J64" s="291"/>
      <c r="K64" s="292"/>
      <c r="L64" s="293"/>
      <c r="M64" s="293"/>
      <c r="N64" s="294">
        <v>0</v>
      </c>
      <c r="O64" s="295">
        <f t="shared" si="146"/>
      </c>
      <c r="P64" s="294">
        <v>0</v>
      </c>
      <c r="Q64" s="295">
        <f t="shared" si="148"/>
      </c>
      <c r="R64" s="294">
        <v>2</v>
      </c>
      <c r="S64" s="314">
        <v>3577.75</v>
      </c>
      <c r="T64" s="296">
        <f t="shared" si="120"/>
      </c>
      <c r="U64" s="296">
        <f t="shared" si="26"/>
      </c>
      <c r="V64" s="290">
        <f t="shared" si="144"/>
      </c>
      <c r="W64" s="294">
        <v>1</v>
      </c>
      <c r="X64" s="290">
        <f t="shared" si="11"/>
      </c>
      <c r="Y64" s="290">
        <f t="shared" si="75"/>
      </c>
      <c r="Z64" s="296">
        <f t="shared" si="118"/>
      </c>
      <c r="AA64" s="296">
        <f t="shared" si="23"/>
      </c>
      <c r="AB64" s="296">
        <f t="shared" ref="AB64:AB71" si="153">F64/AN64</f>
      </c>
      <c r="AC64" s="295">
        <f t="shared" si="2"/>
      </c>
      <c r="AD64" s="295">
        <f t="shared" si="25"/>
      </c>
      <c r="AE64" s="295">
        <f t="shared" si="10"/>
      </c>
      <c r="AF64" s="295">
        <f t="shared" ref="AF64:AF66" si="125">R64/AO64</f>
      </c>
      <c r="AG64" s="295">
        <f t="shared" si="6"/>
      </c>
      <c r="AH64" s="295">
        <f t="shared" si="8"/>
      </c>
      <c r="AI64" s="340">
        <f t="shared" si="4"/>
      </c>
      <c r="AJ64" s="341">
        <v>32</v>
      </c>
      <c r="AK64" s="289">
        <v>6943</v>
      </c>
      <c r="AL64" s="290">
        <v>223</v>
      </c>
      <c r="AM64" s="290">
        <v>248</v>
      </c>
      <c r="AN64" s="290">
        <v>75</v>
      </c>
      <c r="AO64" s="330">
        <v>18</v>
      </c>
      <c r="AP64" s="330">
        <v>43</v>
      </c>
      <c r="AQ64" s="290">
        <v>58</v>
      </c>
      <c r="AR64" s="330">
        <v>2</v>
      </c>
      <c r="AS64" s="294">
        <v>5</v>
      </c>
      <c r="AT64" s="330">
        <v>0</v>
      </c>
      <c r="AU64" s="290">
        <v>7</v>
      </c>
      <c r="AW64" s="297"/>
      <c r="AX64" s="342">
        <f t="shared" ref="AX64:AX66" si="82">COUNT(AU64)</f>
      </c>
    </row>
    <row r="65">
      <c r="A65" s="287"/>
      <c r="B65" s="287" t="s">
        <v>267</v>
      </c>
      <c r="C65" s="287" t="s">
        <v>247</v>
      </c>
      <c r="D65" s="339" t="s">
        <v>256</v>
      </c>
      <c r="E65" s="288" t="s">
        <v>250</v>
      </c>
      <c r="F65" s="313">
        <f t="shared" si="40"/>
      </c>
      <c r="G65" s="314">
        <v>296.72</v>
      </c>
      <c r="H65" s="313">
        <v>2915.88</v>
      </c>
      <c r="I65" s="293"/>
      <c r="J65" s="293"/>
      <c r="K65" s="298"/>
      <c r="L65" s="293"/>
      <c r="M65" s="293"/>
      <c r="N65" s="294">
        <v>1</v>
      </c>
      <c r="O65" s="295">
        <f t="shared" si="146"/>
      </c>
      <c r="P65" s="294">
        <v>0</v>
      </c>
      <c r="Q65" s="295">
        <f t="shared" si="148"/>
      </c>
      <c r="R65" s="294">
        <v>2</v>
      </c>
      <c r="S65" s="314">
        <v>2546.4799999999996</v>
      </c>
      <c r="T65" s="296">
        <f t="shared" si="120"/>
      </c>
      <c r="U65" s="296">
        <f t="shared" si="26"/>
      </c>
      <c r="V65" s="290">
        <f t="shared" si="144"/>
      </c>
      <c r="W65" s="294">
        <v>2</v>
      </c>
      <c r="X65" s="290">
        <f t="shared" si="11"/>
      </c>
      <c r="Y65" s="290">
        <f t="shared" si="75"/>
      </c>
      <c r="Z65" s="296">
        <f t="shared" si="118"/>
      </c>
      <c r="AA65" s="296">
        <f t="shared" si="23"/>
      </c>
      <c r="AB65" s="296">
        <f t="shared" si="153"/>
      </c>
      <c r="AC65" s="295">
        <f t="shared" si="2"/>
      </c>
      <c r="AD65" s="295">
        <f t="shared" si="25"/>
      </c>
      <c r="AE65" s="295">
        <f t="shared" si="10"/>
      </c>
      <c r="AF65" s="295">
        <f t="shared" si="125"/>
      </c>
      <c r="AG65" s="295">
        <f t="shared" si="6"/>
      </c>
      <c r="AH65" s="343">
        <f t="shared" si="8"/>
      </c>
      <c r="AI65" s="295">
        <f t="shared" si="4"/>
      </c>
      <c r="AJ65" s="294">
        <v>41</v>
      </c>
      <c r="AK65" s="344">
        <v>10337</v>
      </c>
      <c r="AL65" s="290">
        <v>300</v>
      </c>
      <c r="AM65" s="290">
        <v>334</v>
      </c>
      <c r="AN65" s="290">
        <v>78</v>
      </c>
      <c r="AO65" s="330">
        <v>21</v>
      </c>
      <c r="AP65" s="294">
        <v>84</v>
      </c>
      <c r="AQ65" s="330">
        <v>57</v>
      </c>
      <c r="AR65" s="330">
        <v>4</v>
      </c>
      <c r="AS65" s="290">
        <v>12</v>
      </c>
      <c r="AT65" s="290">
        <v>0</v>
      </c>
      <c r="AU65" s="331">
        <v>9</v>
      </c>
      <c r="AW65" s="297"/>
      <c r="AX65" s="342">
        <f t="shared" si="82"/>
      </c>
    </row>
    <row r="66">
      <c r="A66" s="287"/>
      <c r="B66" s="287" t="s">
        <v>267</v>
      </c>
      <c r="C66" s="287" t="s">
        <v>247</v>
      </c>
      <c r="D66" s="339" t="s">
        <v>256</v>
      </c>
      <c r="E66" s="288" t="s">
        <v>251</v>
      </c>
      <c r="F66" s="313">
        <f t="shared" si="40"/>
      </c>
      <c r="G66" s="314">
        <v>132.5</v>
      </c>
      <c r="H66" s="313">
        <v>1470.41</v>
      </c>
      <c r="I66" s="293"/>
      <c r="J66" s="293"/>
      <c r="K66" s="298"/>
      <c r="L66" s="293"/>
      <c r="M66" s="293"/>
      <c r="N66" s="294">
        <v>0</v>
      </c>
      <c r="O66" s="295">
        <f t="shared" si="146"/>
      </c>
      <c r="P66" s="294">
        <v>0</v>
      </c>
      <c r="Q66" s="295">
        <f t="shared" si="148"/>
      </c>
      <c r="R66" s="294">
        <v>1</v>
      </c>
      <c r="S66" s="314">
        <v>1571.3000000000002</v>
      </c>
      <c r="T66" s="296">
        <f t="shared" si="120"/>
      </c>
      <c r="U66" s="296">
        <f t="shared" si="26"/>
      </c>
      <c r="V66" s="290">
        <f t="shared" si="144"/>
      </c>
      <c r="W66" s="294">
        <v>1</v>
      </c>
      <c r="X66" s="290">
        <f t="shared" si="11"/>
      </c>
      <c r="Y66" s="290">
        <f t="shared" si="75"/>
      </c>
      <c r="Z66" s="296">
        <f t="shared" si="118"/>
      </c>
      <c r="AA66" s="296">
        <f t="shared" si="23"/>
      </c>
      <c r="AB66" s="296">
        <f t="shared" si="153"/>
      </c>
      <c r="AC66" s="295">
        <f t="shared" si="2"/>
      </c>
      <c r="AD66" s="295">
        <f t="shared" si="25"/>
      </c>
      <c r="AE66" s="295">
        <f t="shared" si="10"/>
      </c>
      <c r="AF66" s="295">
        <f t="shared" si="125"/>
      </c>
      <c r="AG66" s="295">
        <f t="shared" si="6"/>
      </c>
      <c r="AH66" s="295">
        <f t="shared" si="8"/>
      </c>
      <c r="AI66" s="345">
        <f t="shared" si="4"/>
      </c>
      <c r="AJ66" s="346">
        <v>44</v>
      </c>
      <c r="AK66" s="289">
        <v>6114</v>
      </c>
      <c r="AL66" s="290">
        <v>189</v>
      </c>
      <c r="AM66" s="290">
        <v>223</v>
      </c>
      <c r="AN66" s="290">
        <v>56</v>
      </c>
      <c r="AO66" s="330">
        <v>10</v>
      </c>
      <c r="AP66" s="290">
        <v>37</v>
      </c>
      <c r="AQ66" s="330">
        <v>50</v>
      </c>
      <c r="AR66" s="330">
        <v>1</v>
      </c>
      <c r="AS66" s="290">
        <v>4</v>
      </c>
      <c r="AT66" s="290">
        <v>1</v>
      </c>
      <c r="AU66" s="331">
        <v>9</v>
      </c>
      <c r="AW66" s="297"/>
      <c r="AX66" s="342">
        <f t="shared" si="82"/>
      </c>
    </row>
    <row r="67">
      <c r="A67" s="287"/>
      <c r="B67" s="299" t="s">
        <v>253</v>
      </c>
      <c r="C67" s="299"/>
      <c r="D67" s="299"/>
      <c r="E67" s="299"/>
      <c r="F67" s="348">
        <f>SUM(F64:F66)</f>
      </c>
      <c r="G67" s="303">
        <f>SUM(G64:G66)</f>
      </c>
      <c r="H67" s="303">
        <f>SUM(H64:H66)</f>
      </c>
      <c r="I67" s="300">
        <f>SUM(I64:I66)</f>
      </c>
      <c r="J67" s="300">
        <f>SUM(J64:J66)</f>
      </c>
      <c r="K67" s="316">
        <f>SUM(K64:K66)</f>
      </c>
      <c r="L67" s="301">
        <f>SUM(L64:L66)</f>
      </c>
      <c r="M67" s="301">
        <f>SUM(M64:M66)</f>
      </c>
      <c r="N67" s="300">
        <f>SUM(N64:N66)</f>
      </c>
      <c r="O67" s="302">
        <f t="shared" si="146"/>
      </c>
      <c r="P67" s="300">
        <f>SUM(P64:P66)</f>
      </c>
      <c r="Q67" s="302">
        <f t="shared" si="148"/>
      </c>
      <c r="R67" s="301">
        <f>SUM(R64:R66)</f>
      </c>
      <c r="S67" s="303">
        <f>SUM(S64:S66)</f>
      </c>
      <c r="T67" s="303">
        <f t="shared" si="120"/>
      </c>
      <c r="U67" s="303">
        <f t="shared" si="26"/>
      </c>
      <c r="V67" s="300">
        <f t="shared" si="144"/>
      </c>
      <c r="W67" s="300">
        <f>SUM(W64:W66)</f>
      </c>
      <c r="X67" s="300">
        <f t="shared" si="11"/>
      </c>
      <c r="Y67" s="300">
        <f t="shared" si="75"/>
      </c>
      <c r="Z67" s="303">
        <f t="shared" si="118"/>
      </c>
      <c r="AA67" s="303">
        <f t="shared" si="23"/>
      </c>
      <c r="AB67" s="336">
        <f t="shared" si="153"/>
      </c>
      <c r="AC67" s="302">
        <f t="shared" si="2"/>
      </c>
      <c r="AD67" s="302">
        <f t="shared" si="25"/>
      </c>
      <c r="AE67" s="302">
        <f t="shared" si="10"/>
      </c>
      <c r="AF67" s="302">
        <f>R67/AO72</f>
      </c>
      <c r="AG67" s="302">
        <f t="shared" si="6"/>
      </c>
      <c r="AH67" s="302">
        <f t="shared" si="8"/>
      </c>
      <c r="AI67" s="302">
        <f t="shared" si="4"/>
      </c>
      <c r="AJ67" s="317">
        <f>AVERAGE(AJ64:AJ66)</f>
      </c>
      <c r="AK67" s="332">
        <f>SUM(AK64:AK66)</f>
      </c>
      <c r="AL67" s="300">
        <f>SUM(AL64:AL66)</f>
      </c>
      <c r="AM67" s="300">
        <f>SUM(AM64:AM66)</f>
      </c>
      <c r="AN67" s="300">
        <f>SUM(AN64:AN66)</f>
      </c>
      <c r="AO67" s="300">
        <f>SUM(AO64:AO66)</f>
      </c>
      <c r="AP67" s="300">
        <f>SUM(AP64:AP66)</f>
      </c>
      <c r="AQ67" s="300">
        <f>SUM(AQ64:AQ66)</f>
      </c>
      <c r="AR67" s="300">
        <f>SUM(AR64:AR66)</f>
      </c>
      <c r="AS67" s="300">
        <f>SUM(AS64:AS66)</f>
      </c>
      <c r="AT67" s="300">
        <f>SUM(AT64:AT66)</f>
      </c>
      <c r="AU67" s="333">
        <f>SUM(AU64:AU66)</f>
      </c>
      <c r="AW67" s="305"/>
      <c r="AX67" s="300">
        <f>SUM(AX64:AX66)</f>
      </c>
    </row>
    <row r="68">
      <c r="A68" s="287"/>
      <c r="B68" s="287" t="s">
        <v>267</v>
      </c>
      <c r="C68" s="287" t="s">
        <v>247</v>
      </c>
      <c r="D68" s="287" t="s">
        <v>248</v>
      </c>
      <c r="E68" s="288" t="s">
        <v>252</v>
      </c>
      <c r="F68" s="318">
        <f t="shared" ref="F68:F70" si="41">G68+H68+I68</f>
      </c>
      <c r="G68" s="313">
        <v>348.61</v>
      </c>
      <c r="H68" s="313">
        <v>3297.41</v>
      </c>
      <c r="I68" s="293"/>
      <c r="J68" s="293"/>
      <c r="K68" s="298"/>
      <c r="L68" s="293"/>
      <c r="M68" s="293"/>
      <c r="N68" s="294">
        <v>0</v>
      </c>
      <c r="O68" s="295">
        <f t="shared" si="146"/>
      </c>
      <c r="P68" s="294">
        <v>0</v>
      </c>
      <c r="Q68" s="295">
        <f t="shared" si="148"/>
      </c>
      <c r="R68" s="294">
        <v>1</v>
      </c>
      <c r="S68" s="313">
        <v>1869</v>
      </c>
      <c r="T68" s="296">
        <f t="shared" si="120"/>
      </c>
      <c r="U68" s="296">
        <f t="shared" si="26"/>
      </c>
      <c r="V68" s="290">
        <f t="shared" si="144"/>
      </c>
      <c r="W68" s="294">
        <v>1</v>
      </c>
      <c r="X68" s="337">
        <f t="shared" si="11"/>
      </c>
      <c r="Y68" s="290">
        <f t="shared" si="75"/>
      </c>
      <c r="Z68" s="296">
        <f t="shared" si="118"/>
      </c>
      <c r="AA68" s="296">
        <f t="shared" si="23"/>
      </c>
      <c r="AB68" s="296">
        <f t="shared" si="153"/>
      </c>
      <c r="AC68" s="295">
        <f t="shared" si="2"/>
      </c>
      <c r="AD68" s="295">
        <f t="shared" si="25"/>
      </c>
      <c r="AE68" s="295">
        <f t="shared" si="10"/>
      </c>
      <c r="AF68" s="295">
        <f t="shared" ref="AF68:AF69" si="18">R68/AO69</f>
      </c>
      <c r="AG68" s="295">
        <f t="shared" si="6"/>
      </c>
      <c r="AH68" s="295">
        <f t="shared" si="8"/>
      </c>
      <c r="AI68" s="295">
        <f t="shared" si="4"/>
      </c>
      <c r="AJ68" s="294">
        <v>53</v>
      </c>
      <c r="AK68" s="289">
        <v>11214</v>
      </c>
      <c r="AL68" s="290">
        <v>305</v>
      </c>
      <c r="AM68" s="290">
        <v>337</v>
      </c>
      <c r="AN68" s="290">
        <v>109</v>
      </c>
      <c r="AO68" s="330">
        <v>26</v>
      </c>
      <c r="AP68" s="290">
        <v>100</v>
      </c>
      <c r="AQ68" s="330">
        <v>86</v>
      </c>
      <c r="AR68" s="330">
        <v>2</v>
      </c>
      <c r="AS68" s="290">
        <v>10</v>
      </c>
      <c r="AT68" s="290">
        <v>1</v>
      </c>
      <c r="AU68" s="331">
        <v>16</v>
      </c>
      <c r="AW68" s="297"/>
      <c r="AX68" s="342">
        <f t="shared" ref="AX68:AX70" si="83">COUNT(AU68)</f>
      </c>
    </row>
    <row r="69">
      <c r="A69" s="287"/>
      <c r="B69" s="287" t="s">
        <v>267</v>
      </c>
      <c r="C69" s="287" t="s">
        <v>247</v>
      </c>
      <c r="D69" s="287" t="s">
        <v>248</v>
      </c>
      <c r="E69" s="287" t="s">
        <v>257</v>
      </c>
      <c r="F69" s="313">
        <f t="shared" si="41"/>
      </c>
      <c r="G69" s="319">
        <v>366.57</v>
      </c>
      <c r="H69" s="319">
        <v>3661.64</v>
      </c>
      <c r="I69" s="321"/>
      <c r="J69" s="321"/>
      <c r="K69" s="298"/>
      <c r="L69" s="293"/>
      <c r="M69" s="293"/>
      <c r="N69" s="294">
        <v>1</v>
      </c>
      <c r="O69" s="295">
        <f t="shared" si="146"/>
      </c>
      <c r="P69" s="294">
        <v>0</v>
      </c>
      <c r="Q69" s="295">
        <f t="shared" si="148"/>
      </c>
      <c r="R69" s="294">
        <v>3</v>
      </c>
      <c r="S69" s="314">
        <v>5540.5</v>
      </c>
      <c r="T69" s="296">
        <f t="shared" si="120"/>
      </c>
      <c r="U69" s="296">
        <f t="shared" si="26"/>
      </c>
      <c r="V69" s="290">
        <f t="shared" si="144"/>
      </c>
      <c r="W69" s="294">
        <v>3</v>
      </c>
      <c r="X69" s="290">
        <f t="shared" si="11"/>
      </c>
      <c r="Y69" s="290">
        <f t="shared" si="75"/>
      </c>
      <c r="Z69" s="296">
        <f t="shared" si="118"/>
      </c>
      <c r="AA69" s="296">
        <f t="shared" si="23"/>
      </c>
      <c r="AB69" s="296">
        <f t="shared" si="153"/>
      </c>
      <c r="AC69" s="295">
        <f t="shared" si="2"/>
      </c>
      <c r="AD69" s="295">
        <f t="shared" si="25"/>
      </c>
      <c r="AE69" s="295">
        <f t="shared" si="10"/>
      </c>
      <c r="AF69" s="295">
        <f t="shared" si="18"/>
      </c>
      <c r="AG69" s="295">
        <f t="shared" si="6"/>
      </c>
      <c r="AH69" s="295">
        <f t="shared" si="8"/>
      </c>
      <c r="AI69" s="295">
        <f t="shared" si="4"/>
      </c>
      <c r="AJ69" s="294">
        <v>60</v>
      </c>
      <c r="AK69" s="289">
        <v>10765</v>
      </c>
      <c r="AL69" s="290">
        <v>275</v>
      </c>
      <c r="AM69" s="290">
        <v>355</v>
      </c>
      <c r="AN69" s="290">
        <v>93</v>
      </c>
      <c r="AO69" s="330">
        <v>20</v>
      </c>
      <c r="AP69" s="290">
        <v>121</v>
      </c>
      <c r="AQ69" s="330">
        <v>72</v>
      </c>
      <c r="AR69" s="330">
        <v>4</v>
      </c>
      <c r="AS69" s="290">
        <v>8</v>
      </c>
      <c r="AT69" s="290">
        <v>0</v>
      </c>
      <c r="AU69" s="331">
        <v>20</v>
      </c>
      <c r="AW69" s="297"/>
      <c r="AX69" s="342">
        <f t="shared" si="83"/>
      </c>
    </row>
    <row r="70">
      <c r="A70" s="287"/>
      <c r="B70" s="287" t="s">
        <v>267</v>
      </c>
      <c r="C70" s="287" t="s">
        <v>247</v>
      </c>
      <c r="D70" s="287" t="s">
        <v>248</v>
      </c>
      <c r="E70" s="287" t="s">
        <v>258</v>
      </c>
      <c r="F70" s="313">
        <f t="shared" si="41"/>
      </c>
      <c r="G70" s="313">
        <v>411.53</v>
      </c>
      <c r="H70" s="313">
        <v>1744.96</v>
      </c>
      <c r="I70" s="293"/>
      <c r="J70" s="293"/>
      <c r="K70" s="298"/>
      <c r="L70" s="293"/>
      <c r="M70" s="293"/>
      <c r="N70" s="294">
        <v>0</v>
      </c>
      <c r="O70" s="295">
        <f t="shared" si="146"/>
      </c>
      <c r="P70" s="294">
        <v>0</v>
      </c>
      <c r="Q70" s="295">
        <f t="shared" si="148"/>
      </c>
      <c r="R70" s="294">
        <v>0</v>
      </c>
      <c r="S70" s="313">
        <v>0</v>
      </c>
      <c r="T70" s="296">
        <f t="shared" si="120"/>
      </c>
      <c r="U70" s="296">
        <f t="shared" si="26"/>
      </c>
      <c r="V70" s="290">
        <f t="shared" si="144"/>
      </c>
      <c r="W70" s="294">
        <v>0</v>
      </c>
      <c r="X70" s="290">
        <f t="shared" si="11"/>
      </c>
      <c r="Y70" s="290">
        <f t="shared" si="75"/>
      </c>
      <c r="Z70" s="296">
        <f t="shared" si="118"/>
      </c>
      <c r="AA70" s="296">
        <f t="shared" si="23"/>
      </c>
      <c r="AB70" s="296">
        <f t="shared" si="153"/>
      </c>
      <c r="AC70" s="295">
        <f t="shared" si="2"/>
      </c>
      <c r="AD70" s="295">
        <f t="shared" si="25"/>
      </c>
      <c r="AE70" s="295">
        <f t="shared" si="10"/>
      </c>
      <c r="AF70" s="295">
        <f>R70/AO72</f>
      </c>
      <c r="AG70" s="295">
        <f t="shared" si="6"/>
      </c>
      <c r="AH70" s="295">
        <f t="shared" si="8"/>
      </c>
      <c r="AI70" s="295">
        <f t="shared" si="4"/>
      </c>
      <c r="AJ70" s="294">
        <v>60</v>
      </c>
      <c r="AK70" s="289">
        <v>6048</v>
      </c>
      <c r="AL70" s="290">
        <v>182</v>
      </c>
      <c r="AM70" s="290">
        <v>225</v>
      </c>
      <c r="AN70" s="290">
        <v>47</v>
      </c>
      <c r="AO70" s="330">
        <v>9</v>
      </c>
      <c r="AP70" s="290">
        <v>42</v>
      </c>
      <c r="AQ70" s="330">
        <v>34</v>
      </c>
      <c r="AR70" s="330">
        <v>0</v>
      </c>
      <c r="AS70" s="290">
        <v>3</v>
      </c>
      <c r="AT70" s="290">
        <v>1</v>
      </c>
      <c r="AU70" s="331">
        <v>7</v>
      </c>
      <c r="AW70" s="297"/>
      <c r="AX70" s="342">
        <f t="shared" si="83"/>
      </c>
    </row>
    <row r="71">
      <c r="A71" s="287"/>
      <c r="B71" s="322" t="s">
        <v>253</v>
      </c>
      <c r="C71" s="322"/>
      <c r="D71" s="322"/>
      <c r="E71" s="322"/>
      <c r="F71" s="323">
        <f>SUM(F68:F70)</f>
      </c>
      <c r="G71" s="323">
        <f>SUM(G68:G70)</f>
      </c>
      <c r="H71" s="323">
        <f>SUM(H68:H70)</f>
      </c>
      <c r="I71" s="324">
        <f>SUM(I68:I70)</f>
      </c>
      <c r="J71" s="324">
        <f>SUM(J68:J70)</f>
      </c>
      <c r="K71" s="325">
        <f>SUM(K68:K70)</f>
      </c>
      <c r="L71" s="325">
        <f>SUM(L68:L70)</f>
      </c>
      <c r="M71" s="325">
        <f>SUM(M68:M70)</f>
      </c>
      <c r="N71" s="325">
        <f>SUM(N68:N70)</f>
      </c>
      <c r="O71" s="326">
        <f t="shared" si="146"/>
      </c>
      <c r="P71" s="325">
        <f>SUM(P68:P70)</f>
      </c>
      <c r="Q71" s="326">
        <f t="shared" si="148"/>
      </c>
      <c r="R71" s="325">
        <f>SUM(R68:R70)</f>
      </c>
      <c r="S71" s="323">
        <f>SUM(S68:S70)</f>
      </c>
      <c r="T71" s="323">
        <f t="shared" si="120"/>
      </c>
      <c r="U71" s="323">
        <f t="shared" si="26"/>
      </c>
      <c r="V71" s="325">
        <f t="shared" si="144"/>
      </c>
      <c r="W71" s="325">
        <f>SUM(W68:W70)</f>
      </c>
      <c r="X71" s="325">
        <f t="shared" si="11"/>
      </c>
      <c r="Y71" s="325">
        <f t="shared" si="75"/>
      </c>
      <c r="Z71" s="323">
        <f t="shared" si="118"/>
      </c>
      <c r="AA71" s="323">
        <f t="shared" si="23"/>
      </c>
      <c r="AB71" s="336">
        <f t="shared" si="153"/>
      </c>
      <c r="AC71" s="326">
        <f t="shared" si="2"/>
      </c>
      <c r="AD71" s="326">
        <f t="shared" si="25"/>
      </c>
      <c r="AE71" s="326">
        <f t="shared" si="10"/>
      </c>
      <c r="AF71" s="326">
        <f>R71/AU73</f>
      </c>
      <c r="AG71" s="326">
        <f t="shared" si="6"/>
      </c>
      <c r="AH71" s="326">
        <f t="shared" si="8"/>
      </c>
      <c r="AI71" s="326">
        <f t="shared" si="4"/>
      </c>
      <c r="AJ71" s="327">
        <f>AVERAGE(AJ68:AJ70)</f>
      </c>
      <c r="AK71" s="334">
        <f>SUM(AK68:AK70)</f>
      </c>
      <c r="AL71" s="300">
        <f>SUM(AL68:AL70)</f>
      </c>
      <c r="AM71" s="300">
        <f>SUM(AM68:AM70)</f>
      </c>
      <c r="AN71" s="300">
        <f>SUM(AN68:AN70)</f>
      </c>
      <c r="AO71" s="300">
        <f>SUM(AO68:AO70)</f>
      </c>
      <c r="AP71" s="300">
        <f>SUM(AP68:AP70)</f>
      </c>
      <c r="AQ71" s="300">
        <f>SUM(AQ68:AQ70)</f>
      </c>
      <c r="AR71" s="300">
        <f>SUM(AR68:AR70)</f>
      </c>
      <c r="AS71" s="300">
        <f>SUM(AS68:AS70)</f>
      </c>
      <c r="AT71" s="300">
        <f>SUM(AT68:AT70)</f>
      </c>
      <c r="AU71" s="306">
        <f>SUM(AU68:AU70)</f>
      </c>
      <c r="AW71" s="305"/>
      <c r="AX71" s="300">
        <f>SUM(AX68:AX70)</f>
      </c>
    </row>
    <row r="72">
      <c r="A72" s="287"/>
      <c r="B72" s="307" t="s">
        <v>254</v>
      </c>
      <c r="C72" s="307"/>
      <c r="D72" s="307"/>
      <c r="E72" s="307"/>
      <c r="F72" s="309">
        <f>F67+F71</f>
      </c>
      <c r="G72" s="309">
        <f>G67+G71</f>
      </c>
      <c r="H72" s="309">
        <f>H67+H71</f>
      </c>
      <c r="I72" s="307">
        <f>I67+I71</f>
      </c>
      <c r="J72" s="307">
        <f>J67+J71</f>
      </c>
      <c r="K72" s="307">
        <f>K67+K71</f>
      </c>
      <c r="L72" s="307">
        <f>L67+L71</f>
      </c>
      <c r="M72" s="307">
        <f>M67+M71</f>
      </c>
      <c r="N72" s="307">
        <f>N67+N71</f>
      </c>
      <c r="O72" s="308">
        <f t="shared" si="146"/>
      </c>
      <c r="P72" s="307">
        <f>P67+P71</f>
      </c>
      <c r="Q72" s="308">
        <f t="shared" si="148"/>
      </c>
      <c r="R72" s="307">
        <f>R67+R71</f>
      </c>
      <c r="S72" s="309">
        <f>S67+S71</f>
      </c>
      <c r="T72" s="309">
        <f t="shared" si="120"/>
      </c>
      <c r="U72" s="309">
        <f t="shared" si="26"/>
      </c>
      <c r="V72" s="307">
        <f t="shared" si="144"/>
      </c>
      <c r="W72" s="307">
        <f>W67+W71</f>
      </c>
      <c r="X72" s="307">
        <f t="shared" si="11"/>
      </c>
      <c r="Y72" s="307">
        <f t="shared" si="75"/>
      </c>
      <c r="Z72" s="309">
        <f t="shared" si="118"/>
      </c>
      <c r="AA72" s="309">
        <f t="shared" si="23"/>
      </c>
      <c r="AB72" s="309">
        <f>AB71+AB67</f>
      </c>
      <c r="AC72" s="308">
        <f t="shared" si="2"/>
      </c>
      <c r="AD72" s="308">
        <f t="shared" si="25"/>
      </c>
      <c r="AE72" s="308">
        <f t="shared" si="10"/>
      </c>
      <c r="AF72" s="308">
        <f>R72/AU71:AU70</f>
      </c>
      <c r="AG72" s="308">
        <f t="shared" si="6"/>
      </c>
      <c r="AH72" s="308">
        <f t="shared" si="8"/>
      </c>
      <c r="AI72" s="308">
        <f t="shared" si="4"/>
      </c>
      <c r="AJ72" s="329">
        <f>(AJ67+AJ71)/2</f>
      </c>
      <c r="AK72" s="307">
        <f>AK67+AK71</f>
      </c>
      <c r="AL72" s="335">
        <f>AL67+AL71</f>
      </c>
      <c r="AM72" s="335">
        <f>AM67+AM71</f>
      </c>
      <c r="AN72" s="335">
        <f>AN67+AN71</f>
      </c>
      <c r="AO72" s="335">
        <f>AO67+AO71</f>
      </c>
      <c r="AP72" s="335">
        <f>AP67+AP71</f>
      </c>
      <c r="AQ72" s="335">
        <f>AQ67+AQ71</f>
      </c>
      <c r="AR72" s="335">
        <f>AR67+AR71</f>
      </c>
      <c r="AS72" s="335">
        <f>AS67+AS71</f>
      </c>
      <c r="AT72" s="335">
        <f>AT67+AT71</f>
      </c>
      <c r="AU72" s="307">
        <f>AU67+AU71</f>
      </c>
      <c r="AW72" s="349">
        <f>AW67+AW71</f>
      </c>
      <c r="AX72" s="307">
        <f>AX67+AX71</f>
      </c>
    </row>
    <row r="73">
      <c r="A73" s="287" t="s">
        <v>268</v>
      </c>
      <c r="B73" s="287" t="s">
        <v>267</v>
      </c>
      <c r="C73" s="287" t="s">
        <v>247</v>
      </c>
      <c r="D73" s="339" t="s">
        <v>256</v>
      </c>
      <c r="E73" s="288" t="s">
        <v>249</v>
      </c>
      <c r="F73" s="313">
        <f t="shared" ref="F73:F75" si="42">G73+H73+I73</f>
      </c>
      <c r="G73" s="314">
        <v>482.46</v>
      </c>
      <c r="H73" s="313">
        <v>1080.73</v>
      </c>
      <c r="I73" s="291"/>
      <c r="J73" s="291"/>
      <c r="K73" s="292"/>
      <c r="L73" s="293"/>
      <c r="M73" s="293"/>
      <c r="N73" s="294">
        <v>0</v>
      </c>
      <c r="O73" s="295">
        <f t="shared" si="146"/>
      </c>
      <c r="P73" s="294">
        <v>0</v>
      </c>
      <c r="Q73" s="295">
        <f t="shared" si="148"/>
      </c>
      <c r="R73" s="294">
        <v>0</v>
      </c>
      <c r="S73" s="314">
        <v>0</v>
      </c>
      <c r="T73" s="296">
        <f t="shared" si="120"/>
      </c>
      <c r="U73" s="296">
        <f t="shared" si="26"/>
      </c>
      <c r="V73" s="290">
        <f t="shared" si="144"/>
      </c>
      <c r="W73" s="294">
        <v>0</v>
      </c>
      <c r="X73" s="290">
        <f t="shared" si="11"/>
      </c>
      <c r="Y73" s="290">
        <f t="shared" si="75"/>
      </c>
      <c r="Z73" s="296">
        <f t="shared" si="118"/>
      </c>
      <c r="AA73" s="296">
        <f t="shared" si="23"/>
      </c>
      <c r="AB73" s="296">
        <f t="shared" ref="AB73:AB80" si="154">F73/AN73</f>
      </c>
      <c r="AC73" s="295">
        <f t="shared" si="2"/>
      </c>
      <c r="AD73" s="295">
        <f t="shared" si="25"/>
      </c>
      <c r="AE73" s="295">
        <f t="shared" si="10"/>
      </c>
      <c r="AF73" s="295">
        <f t="shared" ref="AF73:AF75" si="126">R73/AO73</f>
      </c>
      <c r="AG73" s="295">
        <f t="shared" si="6"/>
      </c>
      <c r="AH73" s="295">
        <f t="shared" si="8"/>
      </c>
      <c r="AI73" s="340">
        <f t="shared" si="4"/>
      </c>
      <c r="AJ73" s="341">
        <v>21</v>
      </c>
      <c r="AK73" s="289">
        <v>5717</v>
      </c>
      <c r="AL73" s="290">
        <v>174</v>
      </c>
      <c r="AM73" s="290">
        <v>220</v>
      </c>
      <c r="AN73" s="290">
        <v>24</v>
      </c>
      <c r="AO73" s="330">
        <v>11</v>
      </c>
      <c r="AP73" s="330">
        <v>19</v>
      </c>
      <c r="AQ73" s="290">
        <v>29</v>
      </c>
      <c r="AR73" s="330">
        <v>0</v>
      </c>
      <c r="AS73" s="294">
        <v>6</v>
      </c>
      <c r="AT73" s="330">
        <v>0</v>
      </c>
      <c r="AU73" s="290">
        <v>2</v>
      </c>
      <c r="AW73" s="297"/>
      <c r="AX73" s="342">
        <f t="shared" ref="AX73:AX75" si="84">COUNT(AU73)</f>
      </c>
    </row>
    <row r="74">
      <c r="A74" s="287"/>
      <c r="B74" s="287" t="s">
        <v>267</v>
      </c>
      <c r="C74" s="287" t="s">
        <v>247</v>
      </c>
      <c r="D74" s="339" t="s">
        <v>256</v>
      </c>
      <c r="E74" s="288" t="s">
        <v>250</v>
      </c>
      <c r="F74" s="313">
        <f t="shared" si="42"/>
      </c>
      <c r="G74" s="314">
        <v>196.61</v>
      </c>
      <c r="H74" s="313">
        <v>759.63</v>
      </c>
      <c r="I74" s="293"/>
      <c r="J74" s="293"/>
      <c r="K74" s="298"/>
      <c r="L74" s="293"/>
      <c r="M74" s="293"/>
      <c r="N74" s="294">
        <v>0</v>
      </c>
      <c r="O74" s="295">
        <f t="shared" si="146"/>
      </c>
      <c r="P74" s="294">
        <v>0</v>
      </c>
      <c r="Q74" s="295">
        <f t="shared" si="148"/>
      </c>
      <c r="R74" s="294">
        <v>0</v>
      </c>
      <c r="S74" s="314">
        <v>0</v>
      </c>
      <c r="T74" s="296">
        <f t="shared" si="120"/>
      </c>
      <c r="U74" s="296">
        <f t="shared" si="26"/>
      </c>
      <c r="V74" s="290">
        <f t="shared" si="144"/>
      </c>
      <c r="W74" s="294">
        <v>0</v>
      </c>
      <c r="X74" s="290">
        <f t="shared" si="11"/>
      </c>
      <c r="Y74" s="290">
        <f t="shared" si="75"/>
      </c>
      <c r="Z74" s="296">
        <f t="shared" si="118"/>
      </c>
      <c r="AA74" s="296">
        <f t="shared" si="23"/>
      </c>
      <c r="AB74" s="296">
        <f t="shared" si="154"/>
      </c>
      <c r="AC74" s="295">
        <f t="shared" si="2"/>
      </c>
      <c r="AD74" s="295">
        <f t="shared" si="25"/>
      </c>
      <c r="AE74" s="295">
        <f t="shared" si="10"/>
      </c>
      <c r="AF74" s="295">
        <f t="shared" si="126"/>
      </c>
      <c r="AG74" s="295">
        <f t="shared" si="6"/>
      </c>
      <c r="AH74" s="343">
        <f t="shared" si="8"/>
      </c>
      <c r="AI74" s="295">
        <f t="shared" si="4"/>
      </c>
      <c r="AJ74" s="294">
        <v>24</v>
      </c>
      <c r="AK74" s="344">
        <v>3167</v>
      </c>
      <c r="AL74" s="290">
        <v>133</v>
      </c>
      <c r="AM74" s="290">
        <v>187</v>
      </c>
      <c r="AN74" s="290">
        <v>24</v>
      </c>
      <c r="AO74" s="330">
        <v>8</v>
      </c>
      <c r="AP74" s="294">
        <v>20</v>
      </c>
      <c r="AQ74" s="330">
        <v>23</v>
      </c>
      <c r="AR74" s="330">
        <v>0</v>
      </c>
      <c r="AS74" s="290">
        <v>0</v>
      </c>
      <c r="AT74" s="290">
        <v>0</v>
      </c>
      <c r="AU74" s="331">
        <v>2</v>
      </c>
      <c r="AW74" s="297"/>
      <c r="AX74" s="342">
        <f t="shared" si="84"/>
      </c>
    </row>
    <row r="75">
      <c r="A75" s="287"/>
      <c r="B75" s="287" t="s">
        <v>267</v>
      </c>
      <c r="C75" s="287" t="s">
        <v>247</v>
      </c>
      <c r="D75" s="339" t="s">
        <v>256</v>
      </c>
      <c r="E75" s="288" t="s">
        <v>251</v>
      </c>
      <c r="F75" s="313">
        <f t="shared" si="42"/>
      </c>
      <c r="G75" s="314">
        <v>221.67</v>
      </c>
      <c r="H75" s="313">
        <v>692.2</v>
      </c>
      <c r="I75" s="293"/>
      <c r="J75" s="293"/>
      <c r="K75" s="298"/>
      <c r="L75" s="293"/>
      <c r="M75" s="293"/>
      <c r="N75" s="294">
        <v>1</v>
      </c>
      <c r="O75" s="295">
        <f t="shared" si="146"/>
      </c>
      <c r="P75" s="294">
        <v>0</v>
      </c>
      <c r="Q75" s="295">
        <f t="shared" si="148"/>
      </c>
      <c r="R75" s="294">
        <v>1</v>
      </c>
      <c r="S75" s="314">
        <v>2536.79</v>
      </c>
      <c r="T75" s="296">
        <f t="shared" si="120"/>
      </c>
      <c r="U75" s="296">
        <f t="shared" si="26"/>
      </c>
      <c r="V75" s="290">
        <f t="shared" si="144"/>
      </c>
      <c r="W75" s="294">
        <v>1</v>
      </c>
      <c r="X75" s="290">
        <f t="shared" si="11"/>
      </c>
      <c r="Y75" s="290">
        <f t="shared" si="75"/>
      </c>
      <c r="Z75" s="296">
        <f t="shared" si="118"/>
      </c>
      <c r="AA75" s="296">
        <f t="shared" si="23"/>
      </c>
      <c r="AB75" s="296">
        <f t="shared" si="154"/>
      </c>
      <c r="AC75" s="295">
        <f t="shared" si="2"/>
      </c>
      <c r="AD75" s="295">
        <f t="shared" si="25"/>
      </c>
      <c r="AE75" s="295">
        <f t="shared" si="10"/>
      </c>
      <c r="AF75" s="295">
        <f t="shared" si="126"/>
      </c>
      <c r="AG75" s="295">
        <f t="shared" si="6"/>
      </c>
      <c r="AH75" s="295">
        <f t="shared" si="8"/>
      </c>
      <c r="AI75" s="345">
        <f t="shared" si="4"/>
      </c>
      <c r="AJ75" s="346">
        <v>30</v>
      </c>
      <c r="AK75" s="289">
        <v>3034</v>
      </c>
      <c r="AL75" s="290">
        <v>119</v>
      </c>
      <c r="AM75" s="290">
        <v>161</v>
      </c>
      <c r="AN75" s="290">
        <v>19</v>
      </c>
      <c r="AO75" s="330">
        <v>7</v>
      </c>
      <c r="AP75" s="290">
        <v>18</v>
      </c>
      <c r="AQ75" s="330">
        <v>21</v>
      </c>
      <c r="AR75" s="330">
        <v>1</v>
      </c>
      <c r="AS75" s="290">
        <v>2</v>
      </c>
      <c r="AT75" s="290">
        <v>0</v>
      </c>
      <c r="AU75" s="331">
        <v>9</v>
      </c>
      <c r="AW75" s="297"/>
      <c r="AX75" s="342">
        <f t="shared" si="84"/>
      </c>
    </row>
    <row r="76">
      <c r="A76" s="287"/>
      <c r="B76" s="299" t="s">
        <v>253</v>
      </c>
      <c r="C76" s="299"/>
      <c r="D76" s="299"/>
      <c r="E76" s="299"/>
      <c r="F76" s="348">
        <f>SUM(F73:F75)</f>
      </c>
      <c r="G76" s="303">
        <f>SUM(G73:G75)</f>
      </c>
      <c r="H76" s="303">
        <f>SUM(H73:H75)</f>
      </c>
      <c r="I76" s="300">
        <f>SUM(I73:I75)</f>
      </c>
      <c r="J76" s="300">
        <f>SUM(J73:J75)</f>
      </c>
      <c r="K76" s="316">
        <f>SUM(K73:K75)</f>
      </c>
      <c r="L76" s="301">
        <f>SUM(L73:L75)</f>
      </c>
      <c r="M76" s="301">
        <f>SUM(M73:M75)</f>
      </c>
      <c r="N76" s="300">
        <f>SUM(N73:N75)</f>
      </c>
      <c r="O76" s="302">
        <f t="shared" si="146"/>
      </c>
      <c r="P76" s="300">
        <f>SUM(P73:P75)</f>
      </c>
      <c r="Q76" s="302">
        <f t="shared" si="148"/>
      </c>
      <c r="R76" s="301">
        <f>SUM(R73:R75)</f>
      </c>
      <c r="S76" s="303">
        <f>SUM(S73:S75)</f>
      </c>
      <c r="T76" s="303">
        <f t="shared" si="120"/>
      </c>
      <c r="U76" s="303">
        <f t="shared" si="26"/>
      </c>
      <c r="V76" s="300">
        <f t="shared" si="144"/>
      </c>
      <c r="W76" s="300">
        <f>SUM(W73:W75)</f>
      </c>
      <c r="X76" s="300">
        <f t="shared" si="11"/>
      </c>
      <c r="Y76" s="300">
        <f t="shared" si="75"/>
      </c>
      <c r="Z76" s="303">
        <f t="shared" si="118"/>
      </c>
      <c r="AA76" s="303">
        <f t="shared" si="23"/>
      </c>
      <c r="AB76" s="336">
        <f t="shared" si="154"/>
      </c>
      <c r="AC76" s="302">
        <f t="shared" si="2"/>
      </c>
      <c r="AD76" s="302">
        <f t="shared" si="25"/>
      </c>
      <c r="AE76" s="302">
        <f t="shared" si="10"/>
      </c>
      <c r="AF76" s="302">
        <f>R76/AO81</f>
      </c>
      <c r="AG76" s="302">
        <f t="shared" si="6"/>
      </c>
      <c r="AH76" s="302">
        <f t="shared" si="8"/>
      </c>
      <c r="AI76" s="302">
        <f t="shared" si="4"/>
      </c>
      <c r="AJ76" s="317">
        <f>AVERAGE(AJ73:AJ75)</f>
      </c>
      <c r="AK76" s="332">
        <f>SUM(AK73:AK75)</f>
      </c>
      <c r="AL76" s="300">
        <f>SUM(AL73:AL75)</f>
      </c>
      <c r="AM76" s="300">
        <f>SUM(AM73:AM75)</f>
      </c>
      <c r="AN76" s="300">
        <f>SUM(AN73:AN75)</f>
      </c>
      <c r="AO76" s="300">
        <f>SUM(AO73:AO75)</f>
      </c>
      <c r="AP76" s="300">
        <f>SUM(AP73:AP75)</f>
      </c>
      <c r="AQ76" s="300">
        <f>SUM(AQ73:AQ75)</f>
      </c>
      <c r="AR76" s="300">
        <f>SUM(AR73:AR75)</f>
      </c>
      <c r="AS76" s="300">
        <f>SUM(AS73:AS75)</f>
      </c>
      <c r="AT76" s="300">
        <f>SUM(AT73:AT75)</f>
      </c>
      <c r="AU76" s="333">
        <f>SUM(AU73:AU75)</f>
      </c>
      <c r="AW76" s="305"/>
      <c r="AX76" s="300">
        <f>SUM(AX73:AX75)</f>
      </c>
    </row>
    <row r="77">
      <c r="A77" s="287"/>
      <c r="B77" s="287" t="s">
        <v>267</v>
      </c>
      <c r="C77" s="287" t="s">
        <v>247</v>
      </c>
      <c r="D77" s="287" t="s">
        <v>248</v>
      </c>
      <c r="E77" s="288" t="s">
        <v>252</v>
      </c>
      <c r="F77" s="318">
        <f t="shared" ref="F77:F79" si="43">G77+H77+I77</f>
      </c>
      <c r="G77" s="313">
        <v>351.69</v>
      </c>
      <c r="H77" s="313">
        <v>1149.03</v>
      </c>
      <c r="I77" s="293"/>
      <c r="J77" s="293"/>
      <c r="K77" s="298"/>
      <c r="L77" s="293"/>
      <c r="M77" s="293"/>
      <c r="N77" s="294">
        <v>0</v>
      </c>
      <c r="O77" s="295">
        <f t="shared" si="146"/>
      </c>
      <c r="P77" s="294">
        <v>0</v>
      </c>
      <c r="Q77" s="295">
        <f t="shared" si="148"/>
      </c>
      <c r="R77" s="294">
        <v>0</v>
      </c>
      <c r="S77" s="313">
        <v>0</v>
      </c>
      <c r="T77" s="296">
        <f t="shared" si="120"/>
      </c>
      <c r="U77" s="296">
        <f t="shared" si="26"/>
      </c>
      <c r="V77" s="290">
        <f t="shared" si="144"/>
      </c>
      <c r="W77" s="294">
        <v>0</v>
      </c>
      <c r="X77" s="337">
        <f t="shared" si="11"/>
      </c>
      <c r="Y77" s="290">
        <f t="shared" si="75"/>
      </c>
      <c r="Z77" s="296">
        <f t="shared" si="118"/>
      </c>
      <c r="AA77" s="296">
        <f t="shared" si="23"/>
      </c>
      <c r="AB77" s="296">
        <f t="shared" si="154"/>
      </c>
      <c r="AC77" s="295">
        <f t="shared" si="2"/>
      </c>
      <c r="AD77" s="295">
        <f t="shared" si="25"/>
      </c>
      <c r="AE77" s="295">
        <f t="shared" si="10"/>
      </c>
      <c r="AF77" s="295">
        <f t="shared" ref="AF77:AF78" si="19">R77/AO78</f>
      </c>
      <c r="AG77" s="295">
        <f t="shared" si="6"/>
      </c>
      <c r="AH77" s="295">
        <f t="shared" si="8"/>
      </c>
      <c r="AI77" s="295">
        <f t="shared" si="4"/>
      </c>
      <c r="AJ77" s="294">
        <v>35</v>
      </c>
      <c r="AK77" s="289">
        <v>4782</v>
      </c>
      <c r="AL77" s="290">
        <v>206</v>
      </c>
      <c r="AM77" s="290">
        <v>258</v>
      </c>
      <c r="AN77" s="290">
        <v>54</v>
      </c>
      <c r="AO77" s="330">
        <v>13</v>
      </c>
      <c r="AP77" s="290">
        <v>56</v>
      </c>
      <c r="AQ77" s="330">
        <v>44</v>
      </c>
      <c r="AR77" s="330">
        <v>0</v>
      </c>
      <c r="AS77" s="290">
        <v>6</v>
      </c>
      <c r="AT77" s="290">
        <v>0</v>
      </c>
      <c r="AU77" s="331">
        <v>4</v>
      </c>
      <c r="AW77" s="297"/>
      <c r="AX77" s="342">
        <f t="shared" ref="AX77:AX79" si="85">COUNT(AU77)</f>
      </c>
    </row>
    <row r="78">
      <c r="A78" s="287"/>
      <c r="B78" s="287" t="s">
        <v>267</v>
      </c>
      <c r="C78" s="287" t="s">
        <v>247</v>
      </c>
      <c r="D78" s="287" t="s">
        <v>248</v>
      </c>
      <c r="E78" s="287" t="s">
        <v>257</v>
      </c>
      <c r="F78" s="313">
        <f t="shared" si="43"/>
      </c>
      <c r="G78" s="319">
        <v>658.94</v>
      </c>
      <c r="H78" s="319">
        <v>1170.21</v>
      </c>
      <c r="I78" s="321"/>
      <c r="J78" s="321"/>
      <c r="K78" s="298"/>
      <c r="L78" s="293"/>
      <c r="M78" s="293"/>
      <c r="N78" s="294">
        <v>1</v>
      </c>
      <c r="O78" s="295">
        <f t="shared" si="146"/>
      </c>
      <c r="P78" s="294">
        <v>0</v>
      </c>
      <c r="Q78" s="295">
        <f t="shared" si="148"/>
      </c>
      <c r="R78" s="294">
        <v>1</v>
      </c>
      <c r="S78" s="314">
        <v>1950.26</v>
      </c>
      <c r="T78" s="296">
        <f t="shared" si="120"/>
      </c>
      <c r="U78" s="296">
        <f t="shared" si="26"/>
      </c>
      <c r="V78" s="290">
        <f t="shared" si="144"/>
      </c>
      <c r="W78" s="294">
        <v>1</v>
      </c>
      <c r="X78" s="290">
        <f t="shared" si="11"/>
      </c>
      <c r="Y78" s="290">
        <f t="shared" si="75"/>
      </c>
      <c r="Z78" s="296">
        <f t="shared" si="118"/>
      </c>
      <c r="AA78" s="296">
        <f t="shared" si="23"/>
      </c>
      <c r="AB78" s="296">
        <f t="shared" si="154"/>
      </c>
      <c r="AC78" s="295">
        <f t="shared" si="2"/>
      </c>
      <c r="AD78" s="295">
        <f t="shared" si="25"/>
      </c>
      <c r="AE78" s="295">
        <f t="shared" si="10"/>
      </c>
      <c r="AF78" s="295">
        <f t="shared" si="19"/>
      </c>
      <c r="AG78" s="295">
        <f t="shared" si="6"/>
      </c>
      <c r="AH78" s="295">
        <f t="shared" si="8"/>
      </c>
      <c r="AI78" s="295">
        <f t="shared" si="4"/>
      </c>
      <c r="AJ78" s="294">
        <v>36</v>
      </c>
      <c r="AK78" s="289">
        <v>7174</v>
      </c>
      <c r="AL78" s="290">
        <v>285</v>
      </c>
      <c r="AM78" s="290">
        <v>358</v>
      </c>
      <c r="AN78" s="290">
        <v>54</v>
      </c>
      <c r="AO78" s="330">
        <v>14</v>
      </c>
      <c r="AP78" s="290">
        <v>50</v>
      </c>
      <c r="AQ78" s="330">
        <v>40</v>
      </c>
      <c r="AR78" s="330">
        <v>1</v>
      </c>
      <c r="AS78" s="290">
        <v>1</v>
      </c>
      <c r="AT78" s="290">
        <v>0</v>
      </c>
      <c r="AU78" s="331">
        <v>1</v>
      </c>
      <c r="AW78" s="297"/>
      <c r="AX78" s="342">
        <f t="shared" si="85"/>
      </c>
    </row>
    <row r="79">
      <c r="A79" s="287"/>
      <c r="B79" s="287" t="s">
        <v>267</v>
      </c>
      <c r="C79" s="287" t="s">
        <v>247</v>
      </c>
      <c r="D79" s="287" t="s">
        <v>248</v>
      </c>
      <c r="E79" s="287" t="s">
        <v>258</v>
      </c>
      <c r="F79" s="313">
        <f t="shared" si="43"/>
      </c>
      <c r="G79" s="313">
        <v>393.32</v>
      </c>
      <c r="H79" s="313">
        <v>491.15</v>
      </c>
      <c r="I79" s="293"/>
      <c r="J79" s="293"/>
      <c r="K79" s="298"/>
      <c r="L79" s="293"/>
      <c r="M79" s="293"/>
      <c r="N79" s="294">
        <v>1</v>
      </c>
      <c r="O79" s="295">
        <f t="shared" si="146"/>
      </c>
      <c r="P79" s="294">
        <v>1</v>
      </c>
      <c r="Q79" s="295">
        <f t="shared" si="148"/>
      </c>
      <c r="R79" s="294">
        <v>2</v>
      </c>
      <c r="S79" s="313">
        <v>4260.68</v>
      </c>
      <c r="T79" s="296">
        <f t="shared" si="120"/>
      </c>
      <c r="U79" s="296">
        <f t="shared" si="26"/>
      </c>
      <c r="V79" s="290">
        <f t="shared" si="144"/>
      </c>
      <c r="W79" s="294">
        <v>2</v>
      </c>
      <c r="X79" s="290">
        <f t="shared" si="11"/>
      </c>
      <c r="Y79" s="290">
        <f t="shared" si="75"/>
      </c>
      <c r="Z79" s="296">
        <f t="shared" si="118"/>
      </c>
      <c r="AA79" s="296">
        <f t="shared" si="23"/>
      </c>
      <c r="AB79" s="296">
        <f t="shared" si="154"/>
      </c>
      <c r="AC79" s="295">
        <f t="shared" si="2"/>
      </c>
      <c r="AD79" s="295">
        <f t="shared" si="25"/>
      </c>
      <c r="AE79" s="295">
        <f t="shared" si="10"/>
      </c>
      <c r="AF79" s="295">
        <f>R79/AO81</f>
      </c>
      <c r="AG79" s="295">
        <f t="shared" si="6"/>
      </c>
      <c r="AH79" s="295">
        <f t="shared" si="8"/>
      </c>
      <c r="AI79" s="295">
        <f t="shared" si="4"/>
      </c>
      <c r="AJ79" s="294">
        <v>39</v>
      </c>
      <c r="AK79" s="289">
        <v>5162</v>
      </c>
      <c r="AL79" s="290">
        <v>201</v>
      </c>
      <c r="AM79" s="290">
        <v>245</v>
      </c>
      <c r="AN79" s="290">
        <v>31</v>
      </c>
      <c r="AO79" s="330">
        <v>8</v>
      </c>
      <c r="AP79" s="290">
        <v>53</v>
      </c>
      <c r="AQ79" s="330">
        <v>32</v>
      </c>
      <c r="AR79" s="330">
        <v>2</v>
      </c>
      <c r="AS79" s="290">
        <v>6</v>
      </c>
      <c r="AT79" s="290">
        <v>0</v>
      </c>
      <c r="AU79" s="331">
        <v>4</v>
      </c>
      <c r="AW79" s="297"/>
      <c r="AX79" s="342">
        <f t="shared" si="85"/>
      </c>
    </row>
    <row r="80">
      <c r="A80" s="287"/>
      <c r="B80" s="322" t="s">
        <v>253</v>
      </c>
      <c r="C80" s="322"/>
      <c r="D80" s="322"/>
      <c r="E80" s="322"/>
      <c r="F80" s="323">
        <f>SUM(F77:F79)</f>
      </c>
      <c r="G80" s="323">
        <f>SUM(G77:G79)</f>
      </c>
      <c r="H80" s="323">
        <f>SUM(H77:H79)</f>
      </c>
      <c r="I80" s="324">
        <f>SUM(I77:I79)</f>
      </c>
      <c r="J80" s="324">
        <f>SUM(J77:J79)</f>
      </c>
      <c r="K80" s="325">
        <f>SUM(K77:K79)</f>
      </c>
      <c r="L80" s="325">
        <f>SUM(L77:L79)</f>
      </c>
      <c r="M80" s="325">
        <f>SUM(M77:M79)</f>
      </c>
      <c r="N80" s="325">
        <f>SUM(N77:N79)</f>
      </c>
      <c r="O80" s="326">
        <f t="shared" si="146"/>
      </c>
      <c r="P80" s="325">
        <f>SUM(P77:P79)</f>
      </c>
      <c r="Q80" s="326">
        <f t="shared" si="148"/>
      </c>
      <c r="R80" s="325">
        <f>SUM(R77:R79)</f>
      </c>
      <c r="S80" s="323">
        <f>SUM(S77:S79)</f>
      </c>
      <c r="T80" s="323">
        <f t="shared" si="120"/>
      </c>
      <c r="U80" s="323">
        <f t="shared" si="26"/>
      </c>
      <c r="V80" s="325">
        <f t="shared" si="144"/>
      </c>
      <c r="W80" s="325">
        <f>SUM(W77:W79)</f>
      </c>
      <c r="X80" s="325">
        <f t="shared" si="11"/>
      </c>
      <c r="Y80" s="325">
        <f t="shared" si="75"/>
      </c>
      <c r="Z80" s="323">
        <f t="shared" si="118"/>
      </c>
      <c r="AA80" s="323">
        <f t="shared" si="23"/>
      </c>
      <c r="AB80" s="336">
        <f t="shared" si="154"/>
      </c>
      <c r="AC80" s="326">
        <f t="shared" si="2"/>
      </c>
      <c r="AD80" s="326">
        <f t="shared" si="25"/>
      </c>
      <c r="AE80" s="326">
        <f t="shared" si="10"/>
      </c>
      <c r="AF80" s="326">
        <f>R80/AU82</f>
      </c>
      <c r="AG80" s="326">
        <f t="shared" si="6"/>
      </c>
      <c r="AH80" s="326">
        <f t="shared" si="8"/>
      </c>
      <c r="AI80" s="326">
        <f t="shared" si="4"/>
      </c>
      <c r="AJ80" s="327">
        <f>AVERAGE(AJ77:AJ79)</f>
      </c>
      <c r="AK80" s="334">
        <f>SUM(AK77:AK79)</f>
      </c>
      <c r="AL80" s="300">
        <f>SUM(AL77:AL79)</f>
      </c>
      <c r="AM80" s="300">
        <f>SUM(AM77:AM79)</f>
      </c>
      <c r="AN80" s="300">
        <f>SUM(AN77:AN79)</f>
      </c>
      <c r="AO80" s="300">
        <f>SUM(AO77:AO79)</f>
      </c>
      <c r="AP80" s="300">
        <f>SUM(AP77:AP79)</f>
      </c>
      <c r="AQ80" s="300">
        <f>SUM(AQ77:AQ79)</f>
      </c>
      <c r="AR80" s="300">
        <f>SUM(AR77:AR79)</f>
      </c>
      <c r="AS80" s="300">
        <f>SUM(AS77:AS79)</f>
      </c>
      <c r="AT80" s="300">
        <f>SUM(AT77:AT79)</f>
      </c>
      <c r="AU80" s="306">
        <f>SUM(AU77:AU79)</f>
      </c>
      <c r="AW80" s="305"/>
      <c r="AX80" s="300">
        <f>SUM(AX77:AX79)</f>
      </c>
    </row>
    <row r="81">
      <c r="A81" s="350"/>
      <c r="B81" s="351" t="s">
        <v>254</v>
      </c>
      <c r="C81" s="351"/>
      <c r="D81" s="351"/>
      <c r="E81" s="351"/>
      <c r="F81" s="352">
        <f>F76+F80</f>
      </c>
      <c r="G81" s="352">
        <f>G76+G80</f>
      </c>
      <c r="H81" s="352">
        <f>H76+H80</f>
      </c>
      <c r="I81" s="351">
        <f>I76+I80</f>
      </c>
      <c r="J81" s="351">
        <f>J76+J80</f>
      </c>
      <c r="K81" s="351">
        <f>K76+K80</f>
      </c>
      <c r="L81" s="351">
        <f>L76+L80</f>
      </c>
      <c r="M81" s="351">
        <f>M76+M80</f>
      </c>
      <c r="N81" s="351">
        <f>N76+N80</f>
      </c>
      <c r="O81" s="353">
        <f t="shared" si="146"/>
      </c>
      <c r="P81" s="351">
        <f>P76+P80</f>
      </c>
      <c r="Q81" s="353">
        <f t="shared" si="148"/>
      </c>
      <c r="R81" s="351">
        <f>R76+R80</f>
      </c>
      <c r="S81" s="352">
        <f>S76+S80</f>
      </c>
      <c r="T81" s="352">
        <f t="shared" si="120"/>
      </c>
      <c r="U81" s="352">
        <f t="shared" si="26"/>
      </c>
      <c r="V81" s="351">
        <f t="shared" si="144"/>
      </c>
      <c r="W81" s="351">
        <f>W76+W80</f>
      </c>
      <c r="X81" s="351">
        <f t="shared" si="11"/>
      </c>
      <c r="Y81" s="351">
        <f t="shared" si="75"/>
      </c>
      <c r="Z81" s="309">
        <f t="shared" si="118"/>
      </c>
      <c r="AA81" s="309">
        <f t="shared" si="23"/>
      </c>
      <c r="AB81" s="309">
        <f>AB80+AB76</f>
      </c>
      <c r="AC81" s="308">
        <f t="shared" si="2"/>
      </c>
      <c r="AD81" s="308">
        <f t="shared" si="25"/>
      </c>
      <c r="AE81" s="308">
        <f t="shared" si="10"/>
      </c>
      <c r="AF81" s="308">
        <f>R81/AU80:AU79</f>
      </c>
      <c r="AG81" s="308">
        <f t="shared" si="6"/>
      </c>
      <c r="AH81" s="308">
        <f t="shared" si="8"/>
      </c>
      <c r="AI81" s="308">
        <f t="shared" si="4"/>
      </c>
      <c r="AJ81" s="329">
        <f>(AJ76+AJ80)/2</f>
      </c>
      <c r="AK81" s="307">
        <f>AK76+AK80</f>
      </c>
      <c r="AL81" s="335">
        <f>AL76+AL80</f>
      </c>
      <c r="AM81" s="335">
        <f>AM76+AM80</f>
      </c>
      <c r="AN81" s="335">
        <f>AN76+AN80</f>
      </c>
      <c r="AO81" s="335">
        <f>AO76+AO80</f>
      </c>
      <c r="AP81" s="335">
        <f>AP76+AP80</f>
      </c>
      <c r="AQ81" s="335">
        <f>AQ76+AQ80</f>
      </c>
      <c r="AR81" s="335">
        <f>AR76+AR80</f>
      </c>
      <c r="AS81" s="335">
        <f>AS76+AS80</f>
      </c>
      <c r="AT81" s="335">
        <f>AT76+AT80</f>
      </c>
      <c r="AU81" s="307">
        <f>AU76+AU80</f>
      </c>
      <c r="AW81" s="349">
        <f>AW76+AW80</f>
      </c>
      <c r="AX81" s="307">
        <f>AX76+AX80</f>
      </c>
    </row>
    <row r="82">
      <c r="A82" s="287" t="s">
        <v>269</v>
      </c>
      <c r="B82" s="287" t="s">
        <v>270</v>
      </c>
      <c r="C82" s="287" t="s">
        <v>247</v>
      </c>
      <c r="D82" s="287" t="s">
        <v>256</v>
      </c>
      <c r="E82" s="288" t="s">
        <v>271</v>
      </c>
      <c r="F82" s="313">
        <f t="shared" ref="F82:F84" si="44">G82+H82+I82</f>
      </c>
      <c r="G82" s="313">
        <v>673.48</v>
      </c>
      <c r="H82" s="313">
        <v>1742.14</v>
      </c>
      <c r="I82" s="291"/>
      <c r="J82" s="291"/>
      <c r="K82" s="291"/>
      <c r="L82" s="293"/>
      <c r="M82" s="293"/>
      <c r="N82" s="294">
        <v>0</v>
      </c>
      <c r="O82" s="295">
        <f t="shared" si="146"/>
      </c>
      <c r="P82" s="294">
        <v>0</v>
      </c>
      <c r="Q82" s="295">
        <f t="shared" si="148"/>
      </c>
      <c r="R82" s="294">
        <v>0</v>
      </c>
      <c r="S82" s="313">
        <v>0</v>
      </c>
      <c r="T82" s="296">
        <f t="shared" si="120"/>
      </c>
      <c r="U82" s="296">
        <f t="shared" si="26"/>
      </c>
      <c r="V82" s="290">
        <f t="shared" si="144"/>
      </c>
      <c r="W82" s="294">
        <v>0</v>
      </c>
      <c r="X82" s="290">
        <f t="shared" si="11"/>
      </c>
      <c r="Y82" s="290">
        <f t="shared" si="75"/>
      </c>
      <c r="Z82" s="354">
        <f t="shared" si="118"/>
      </c>
      <c r="AA82" s="296">
        <f t="shared" si="23"/>
      </c>
      <c r="AB82" s="296">
        <f t="shared" ref="AB82:AB89" si="155">F82/AN82</f>
      </c>
      <c r="AC82" s="295">
        <f t="shared" si="2"/>
      </c>
      <c r="AD82" s="295">
        <f t="shared" si="25"/>
      </c>
      <c r="AE82" s="295">
        <f t="shared" si="10"/>
      </c>
      <c r="AF82" s="295">
        <f t="shared" ref="AF82:AF84" si="127">R82/AO82</f>
      </c>
      <c r="AG82" s="295">
        <f t="shared" si="6"/>
      </c>
      <c r="AH82" s="295">
        <f t="shared" si="8"/>
      </c>
      <c r="AI82" s="340">
        <f t="shared" si="4"/>
      </c>
      <c r="AJ82" s="341">
        <v>42</v>
      </c>
      <c r="AK82" s="289">
        <v>8900</v>
      </c>
      <c r="AL82" s="290">
        <v>393</v>
      </c>
      <c r="AM82" s="290">
        <v>570</v>
      </c>
      <c r="AN82" s="290">
        <v>60</v>
      </c>
      <c r="AO82" s="330">
        <v>21</v>
      </c>
      <c r="AP82" s="330">
        <v>50</v>
      </c>
      <c r="AQ82" s="290">
        <v>73</v>
      </c>
      <c r="AR82" s="330">
        <v>0</v>
      </c>
      <c r="AS82" s="294">
        <v>0</v>
      </c>
      <c r="AT82" s="330">
        <v>0</v>
      </c>
      <c r="AU82" s="294">
        <v>9</v>
      </c>
      <c r="AW82" s="297"/>
      <c r="AX82" s="342">
        <f t="shared" ref="AX82:AX84" si="86">COUNT(AU82)</f>
      </c>
    </row>
    <row r="83">
      <c r="A83" s="287"/>
      <c r="B83" s="287" t="s">
        <v>272</v>
      </c>
      <c r="C83" s="287" t="s">
        <v>247</v>
      </c>
      <c r="D83" s="287" t="s">
        <v>256</v>
      </c>
      <c r="E83" s="288" t="s">
        <v>273</v>
      </c>
      <c r="F83" s="313">
        <f t="shared" si="44"/>
      </c>
      <c r="G83" s="313">
        <v>488.32</v>
      </c>
      <c r="H83" s="313">
        <v>2270.91</v>
      </c>
      <c r="I83" s="293"/>
      <c r="J83" s="293"/>
      <c r="K83" s="293"/>
      <c r="L83" s="293"/>
      <c r="M83" s="293"/>
      <c r="N83" s="294">
        <v>0</v>
      </c>
      <c r="O83" s="295">
        <f t="shared" si="146"/>
      </c>
      <c r="P83" s="294">
        <v>0</v>
      </c>
      <c r="Q83" s="295">
        <f t="shared" si="148"/>
      </c>
      <c r="R83" s="294">
        <v>1</v>
      </c>
      <c r="S83" s="313">
        <v>1571.3</v>
      </c>
      <c r="T83" s="296">
        <f t="shared" si="120"/>
      </c>
      <c r="U83" s="296">
        <f t="shared" si="26"/>
      </c>
      <c r="V83" s="290">
        <f t="shared" si="144"/>
      </c>
      <c r="W83" s="294">
        <v>1</v>
      </c>
      <c r="X83" s="290">
        <f t="shared" si="11"/>
      </c>
      <c r="Y83" s="290">
        <f t="shared" si="75"/>
      </c>
      <c r="Z83" s="354">
        <f t="shared" si="118"/>
      </c>
      <c r="AA83" s="296">
        <f t="shared" si="23"/>
      </c>
      <c r="AB83" s="296">
        <f t="shared" si="155"/>
      </c>
      <c r="AC83" s="295">
        <f t="shared" si="2"/>
      </c>
      <c r="AD83" s="295">
        <f t="shared" si="25"/>
      </c>
      <c r="AE83" s="295">
        <f t="shared" si="10"/>
      </c>
      <c r="AF83" s="295">
        <f t="shared" si="127"/>
      </c>
      <c r="AG83" s="295">
        <f t="shared" si="6"/>
      </c>
      <c r="AH83" s="343">
        <f t="shared" si="8"/>
      </c>
      <c r="AI83" s="295">
        <f t="shared" si="4"/>
      </c>
      <c r="AJ83" s="294">
        <v>46</v>
      </c>
      <c r="AK83" s="344">
        <v>7563</v>
      </c>
      <c r="AL83" s="290">
        <v>365</v>
      </c>
      <c r="AM83" s="290">
        <v>524</v>
      </c>
      <c r="AN83" s="290">
        <v>74</v>
      </c>
      <c r="AO83" s="330">
        <v>29</v>
      </c>
      <c r="AP83" s="294">
        <v>56</v>
      </c>
      <c r="AQ83" s="330">
        <v>75</v>
      </c>
      <c r="AR83" s="330">
        <v>1</v>
      </c>
      <c r="AS83" s="290">
        <v>6</v>
      </c>
      <c r="AT83" s="290">
        <v>1</v>
      </c>
      <c r="AU83" s="331">
        <v>5</v>
      </c>
      <c r="AW83" s="297"/>
      <c r="AX83" s="342">
        <f t="shared" si="86"/>
      </c>
    </row>
    <row r="84">
      <c r="A84" s="287"/>
      <c r="B84" s="287" t="s">
        <v>272</v>
      </c>
      <c r="C84" s="287" t="s">
        <v>247</v>
      </c>
      <c r="D84" s="287" t="s">
        <v>256</v>
      </c>
      <c r="E84" s="288" t="s">
        <v>274</v>
      </c>
      <c r="F84" s="313">
        <f t="shared" si="44"/>
      </c>
      <c r="G84" s="313">
        <v>331.02</v>
      </c>
      <c r="H84" s="313">
        <v>1599.25</v>
      </c>
      <c r="I84" s="293"/>
      <c r="J84" s="293"/>
      <c r="K84" s="293"/>
      <c r="L84" s="293"/>
      <c r="M84" s="293"/>
      <c r="N84" s="294">
        <v>0</v>
      </c>
      <c r="O84" s="295">
        <f t="shared" si="146"/>
      </c>
      <c r="P84" s="294">
        <v>0</v>
      </c>
      <c r="Q84" s="295">
        <f t="shared" si="148"/>
      </c>
      <c r="R84" s="294">
        <v>1</v>
      </c>
      <c r="S84" s="313">
        <v>2166.95</v>
      </c>
      <c r="T84" s="296">
        <f t="shared" si="120"/>
      </c>
      <c r="U84" s="296">
        <f t="shared" si="26"/>
      </c>
      <c r="V84" s="290">
        <f t="shared" si="144"/>
      </c>
      <c r="W84" s="294">
        <v>1</v>
      </c>
      <c r="X84" s="290">
        <f t="shared" si="11"/>
      </c>
      <c r="Y84" s="290">
        <f t="shared" si="75"/>
      </c>
      <c r="Z84" s="354">
        <f t="shared" si="118"/>
      </c>
      <c r="AA84" s="296">
        <f t="shared" si="23"/>
      </c>
      <c r="AB84" s="296">
        <f t="shared" si="155"/>
      </c>
      <c r="AC84" s="295">
        <f t="shared" si="2"/>
      </c>
      <c r="AD84" s="295">
        <f t="shared" si="25"/>
      </c>
      <c r="AE84" s="295">
        <f t="shared" si="10"/>
      </c>
      <c r="AF84" s="295">
        <f t="shared" si="127"/>
      </c>
      <c r="AG84" s="295">
        <f t="shared" si="6"/>
      </c>
      <c r="AH84" s="295">
        <f t="shared" si="8"/>
      </c>
      <c r="AI84" s="345">
        <f t="shared" si="4"/>
      </c>
      <c r="AJ84" s="346">
        <v>53</v>
      </c>
      <c r="AK84" s="289">
        <v>3754</v>
      </c>
      <c r="AL84" s="290">
        <v>171</v>
      </c>
      <c r="AM84" s="290">
        <v>236</v>
      </c>
      <c r="AN84" s="290">
        <v>42</v>
      </c>
      <c r="AO84" s="330">
        <v>14</v>
      </c>
      <c r="AP84" s="290">
        <v>57</v>
      </c>
      <c r="AQ84" s="330">
        <v>44</v>
      </c>
      <c r="AR84" s="330">
        <v>2</v>
      </c>
      <c r="AS84" s="294">
        <v>10</v>
      </c>
      <c r="AT84" s="294">
        <v>0</v>
      </c>
      <c r="AU84" s="331">
        <v>1</v>
      </c>
      <c r="AW84" s="297"/>
      <c r="AX84" s="342">
        <f t="shared" si="86"/>
      </c>
    </row>
    <row r="85">
      <c r="A85" s="287"/>
      <c r="B85" s="299" t="s">
        <v>253</v>
      </c>
      <c r="C85" s="299"/>
      <c r="D85" s="299"/>
      <c r="E85" s="299"/>
      <c r="F85" s="303">
        <f>SUM(F82:F84)</f>
      </c>
      <c r="G85" s="303">
        <f>SUM(G82:G84)</f>
      </c>
      <c r="H85" s="303">
        <f>SUM(H82:H84)</f>
      </c>
      <c r="I85" s="300">
        <f>SUM(I82:I84)</f>
      </c>
      <c r="J85" s="300">
        <f>SUM(J82:J84)</f>
      </c>
      <c r="K85" s="300">
        <f>SUM(K82:K84)</f>
      </c>
      <c r="L85" s="300">
        <f>SUM(L82:L84)</f>
      </c>
      <c r="M85" s="300">
        <f>SUM(M82:M84)</f>
      </c>
      <c r="N85" s="300">
        <f>SUM(N82:N84)</f>
      </c>
      <c r="O85" s="302">
        <f t="shared" si="146"/>
      </c>
      <c r="P85" s="300">
        <f>SUM(P82:P84)</f>
      </c>
      <c r="Q85" s="302">
        <f t="shared" si="148"/>
      </c>
      <c r="R85" s="300">
        <f>SUM(R82:R84)</f>
      </c>
      <c r="S85" s="303">
        <f>SUM(S82:S84)</f>
      </c>
      <c r="T85" s="303">
        <f t="shared" si="120"/>
      </c>
      <c r="U85" s="303">
        <f t="shared" si="26"/>
      </c>
      <c r="V85" s="300">
        <f t="shared" si="144"/>
      </c>
      <c r="W85" s="300">
        <f>SUM(W82:W84)</f>
      </c>
      <c r="X85" s="300">
        <f t="shared" si="11"/>
      </c>
      <c r="Y85" s="300">
        <f t="shared" si="75"/>
      </c>
      <c r="Z85" s="355">
        <f t="shared" si="118"/>
      </c>
      <c r="AA85" s="303">
        <f t="shared" si="23"/>
      </c>
      <c r="AB85" s="336">
        <f t="shared" si="155"/>
      </c>
      <c r="AC85" s="302">
        <f t="shared" si="2"/>
      </c>
      <c r="AD85" s="302">
        <f t="shared" si="25"/>
      </c>
      <c r="AE85" s="302">
        <f t="shared" si="10"/>
      </c>
      <c r="AF85" s="302">
        <f>R85/AO90</f>
      </c>
      <c r="AG85" s="302">
        <f t="shared" si="6"/>
      </c>
      <c r="AH85" s="302">
        <f t="shared" si="8"/>
      </c>
      <c r="AI85" s="302">
        <f t="shared" si="4"/>
      </c>
      <c r="AJ85" s="317">
        <f>AVERAGE(AJ82:AJ84)</f>
      </c>
      <c r="AK85" s="332">
        <f>SUM(AK82:AK84)</f>
      </c>
      <c r="AL85" s="300">
        <f>SUM(AL82:AL84)</f>
      </c>
      <c r="AM85" s="300">
        <f>SUM(AM82:AM84)</f>
      </c>
      <c r="AN85" s="300">
        <f>SUM(AN82:AN84)</f>
      </c>
      <c r="AO85" s="300">
        <f>SUM(AO82:AO84)</f>
      </c>
      <c r="AP85" s="300">
        <f>SUM(AP82:AP84)</f>
      </c>
      <c r="AQ85" s="300">
        <f>SUM(AQ82:AQ84)</f>
      </c>
      <c r="AR85" s="300">
        <f>SUM(AR82:AR84)</f>
      </c>
      <c r="AS85" s="300">
        <f>SUM(AS82:AS84)</f>
      </c>
      <c r="AT85" s="300">
        <f>SUM(AT82:AT84)</f>
      </c>
      <c r="AU85" s="333">
        <f>SUM(AU82:AU84)</f>
      </c>
      <c r="AW85" s="305"/>
      <c r="AX85" s="300">
        <f>SUM(AX82:AX84)</f>
      </c>
    </row>
    <row r="86">
      <c r="A86" s="287"/>
      <c r="B86" s="287" t="s">
        <v>246</v>
      </c>
      <c r="C86" s="287" t="s">
        <v>247</v>
      </c>
      <c r="D86" s="287" t="s">
        <v>248</v>
      </c>
      <c r="E86" s="288" t="s">
        <v>275</v>
      </c>
      <c r="F86" s="313">
        <f t="shared" ref="F86:F88" si="45">G86+H86+I86</f>
      </c>
      <c r="G86" s="313">
        <v>272.21</v>
      </c>
      <c r="H86" s="313">
        <v>1277.1</v>
      </c>
      <c r="I86" s="293"/>
      <c r="J86" s="293"/>
      <c r="K86" s="293"/>
      <c r="L86" s="293"/>
      <c r="M86" s="293"/>
      <c r="N86" s="294">
        <v>0</v>
      </c>
      <c r="O86" s="295">
        <f t="shared" si="146"/>
      </c>
      <c r="P86" s="294">
        <v>1</v>
      </c>
      <c r="Q86" s="295">
        <f t="shared" si="148"/>
      </c>
      <c r="R86" s="294">
        <v>2</v>
      </c>
      <c r="S86" s="313">
        <v>7727.02</v>
      </c>
      <c r="T86" s="296">
        <f t="shared" si="120"/>
      </c>
      <c r="U86" s="296">
        <f t="shared" si="26"/>
      </c>
      <c r="V86" s="290">
        <f t="shared" si="144"/>
      </c>
      <c r="W86" s="294">
        <v>1</v>
      </c>
      <c r="X86" s="337">
        <f t="shared" si="11"/>
      </c>
      <c r="Y86" s="290">
        <f t="shared" si="75"/>
      </c>
      <c r="Z86" s="354">
        <f t="shared" si="118"/>
      </c>
      <c r="AA86" s="296">
        <f t="shared" si="23"/>
      </c>
      <c r="AB86" s="296">
        <f t="shared" si="155"/>
      </c>
      <c r="AC86" s="295">
        <f t="shared" si="2"/>
      </c>
      <c r="AD86" s="295">
        <f t="shared" si="25"/>
      </c>
      <c r="AE86" s="295">
        <f t="shared" si="10"/>
      </c>
      <c r="AF86" s="295">
        <f t="shared" ref="AF86:AF87" si="20">R86/AO87</f>
      </c>
      <c r="AG86" s="295">
        <f t="shared" si="6"/>
      </c>
      <c r="AH86" s="295">
        <f t="shared" si="8"/>
      </c>
      <c r="AI86" s="295">
        <f t="shared" si="4"/>
      </c>
      <c r="AJ86" s="294">
        <v>55</v>
      </c>
      <c r="AK86" s="289">
        <v>3642</v>
      </c>
      <c r="AL86" s="290">
        <v>156</v>
      </c>
      <c r="AM86" s="290">
        <v>206</v>
      </c>
      <c r="AN86" s="290">
        <v>39</v>
      </c>
      <c r="AO86" s="330">
        <v>12</v>
      </c>
      <c r="AP86" s="290">
        <v>55</v>
      </c>
      <c r="AQ86" s="330">
        <v>26</v>
      </c>
      <c r="AR86" s="330">
        <v>3</v>
      </c>
      <c r="AS86" s="290">
        <v>3</v>
      </c>
      <c r="AT86" s="290">
        <v>0</v>
      </c>
      <c r="AU86" s="331">
        <v>9</v>
      </c>
      <c r="AW86" s="297"/>
      <c r="AX86" s="342">
        <f t="shared" ref="AX86:AX88" si="87">COUNT(AU86)</f>
      </c>
    </row>
    <row r="87">
      <c r="A87" s="287"/>
      <c r="B87" s="287" t="s">
        <v>246</v>
      </c>
      <c r="C87" s="287" t="s">
        <v>247</v>
      </c>
      <c r="D87" s="287" t="s">
        <v>248</v>
      </c>
      <c r="E87" s="287" t="s">
        <v>276</v>
      </c>
      <c r="F87" s="313">
        <f t="shared" si="45"/>
      </c>
      <c r="G87" s="313">
        <v>622.74</v>
      </c>
      <c r="H87" s="313">
        <v>1806.5</v>
      </c>
      <c r="I87" s="293"/>
      <c r="J87" s="293"/>
      <c r="K87" s="293"/>
      <c r="L87" s="293"/>
      <c r="M87" s="293"/>
      <c r="N87" s="294">
        <v>0</v>
      </c>
      <c r="O87" s="295">
        <f t="shared" si="146"/>
      </c>
      <c r="P87" s="294">
        <v>0</v>
      </c>
      <c r="Q87" s="295">
        <f t="shared" si="148"/>
      </c>
      <c r="R87" s="294">
        <v>2</v>
      </c>
      <c r="S87" s="313">
        <v>3142.5999999999985</v>
      </c>
      <c r="T87" s="296">
        <f t="shared" si="120"/>
      </c>
      <c r="U87" s="296">
        <f t="shared" si="26"/>
      </c>
      <c r="V87" s="290">
        <f t="shared" si="144"/>
      </c>
      <c r="W87" s="294">
        <v>1</v>
      </c>
      <c r="X87" s="290">
        <f t="shared" si="11"/>
      </c>
      <c r="Y87" s="290">
        <f t="shared" si="75"/>
      </c>
      <c r="Z87" s="354">
        <f t="shared" si="118"/>
      </c>
      <c r="AA87" s="296">
        <f t="shared" si="23"/>
      </c>
      <c r="AB87" s="296">
        <f t="shared" si="155"/>
      </c>
      <c r="AC87" s="295">
        <f t="shared" si="2"/>
      </c>
      <c r="AD87" s="295">
        <f t="shared" si="25"/>
      </c>
      <c r="AE87" s="295">
        <f t="shared" si="10"/>
      </c>
      <c r="AF87" s="295">
        <f t="shared" si="20"/>
      </c>
      <c r="AG87" s="295">
        <f t="shared" si="6"/>
      </c>
      <c r="AH87" s="295">
        <f t="shared" si="8"/>
      </c>
      <c r="AI87" s="295">
        <f t="shared" si="4"/>
      </c>
      <c r="AJ87" s="294">
        <v>57</v>
      </c>
      <c r="AK87" s="289">
        <v>5490</v>
      </c>
      <c r="AL87" s="290">
        <v>218</v>
      </c>
      <c r="AM87" s="290">
        <v>280</v>
      </c>
      <c r="AN87" s="290">
        <v>49</v>
      </c>
      <c r="AO87" s="330">
        <v>10</v>
      </c>
      <c r="AP87" s="290">
        <v>81</v>
      </c>
      <c r="AQ87" s="330">
        <v>44</v>
      </c>
      <c r="AR87" s="330">
        <v>3</v>
      </c>
      <c r="AS87" s="290">
        <v>5</v>
      </c>
      <c r="AT87" s="290">
        <v>2</v>
      </c>
      <c r="AU87" s="331">
        <v>9</v>
      </c>
      <c r="AW87" s="297"/>
      <c r="AX87" s="342">
        <f t="shared" si="87"/>
      </c>
    </row>
    <row r="88">
      <c r="A88" s="287"/>
      <c r="B88" s="287" t="s">
        <v>246</v>
      </c>
      <c r="C88" s="287" t="s">
        <v>247</v>
      </c>
      <c r="D88" s="287" t="s">
        <v>248</v>
      </c>
      <c r="E88" s="287" t="s">
        <v>277</v>
      </c>
      <c r="F88" s="313">
        <f t="shared" si="45"/>
      </c>
      <c r="G88" s="313">
        <v>428.03</v>
      </c>
      <c r="H88" s="313">
        <v>548.61</v>
      </c>
      <c r="I88" s="293"/>
      <c r="J88" s="293"/>
      <c r="K88" s="293"/>
      <c r="L88" s="293"/>
      <c r="M88" s="293"/>
      <c r="N88" s="294">
        <v>0</v>
      </c>
      <c r="O88" s="295">
        <f t="shared" si="146"/>
      </c>
      <c r="P88" s="294">
        <v>0</v>
      </c>
      <c r="Q88" s="295">
        <f t="shared" si="148"/>
      </c>
      <c r="R88" s="294">
        <v>0</v>
      </c>
      <c r="S88" s="313">
        <v>0</v>
      </c>
      <c r="T88" s="296">
        <f t="shared" si="120"/>
      </c>
      <c r="U88" s="296">
        <f t="shared" si="26"/>
      </c>
      <c r="V88" s="290">
        <f t="shared" si="144"/>
      </c>
      <c r="W88" s="294">
        <v>0</v>
      </c>
      <c r="X88" s="290">
        <f t="shared" si="11"/>
      </c>
      <c r="Y88" s="290">
        <f t="shared" si="75"/>
      </c>
      <c r="Z88" s="354">
        <f t="shared" si="118"/>
      </c>
      <c r="AA88" s="296">
        <f t="shared" si="23"/>
      </c>
      <c r="AB88" s="296">
        <f t="shared" si="155"/>
      </c>
      <c r="AC88" s="295">
        <f t="shared" si="2"/>
      </c>
      <c r="AD88" s="295">
        <f t="shared" si="25"/>
      </c>
      <c r="AE88" s="295">
        <f t="shared" si="10"/>
      </c>
      <c r="AF88" s="295">
        <f>R88/AO90</f>
      </c>
      <c r="AG88" s="295">
        <f t="shared" si="6"/>
      </c>
      <c r="AH88" s="295">
        <f t="shared" si="8"/>
      </c>
      <c r="AI88" s="295">
        <f t="shared" si="4"/>
      </c>
      <c r="AJ88" s="294">
        <v>56</v>
      </c>
      <c r="AK88" s="289">
        <v>2087</v>
      </c>
      <c r="AL88" s="290">
        <v>78</v>
      </c>
      <c r="AM88" s="290">
        <v>142</v>
      </c>
      <c r="AN88" s="290">
        <v>11</v>
      </c>
      <c r="AO88" s="330">
        <v>3</v>
      </c>
      <c r="AP88" s="290">
        <v>26</v>
      </c>
      <c r="AQ88" s="330">
        <v>11</v>
      </c>
      <c r="AR88" s="330">
        <v>2</v>
      </c>
      <c r="AS88" s="290">
        <v>0</v>
      </c>
      <c r="AT88" s="290">
        <v>0</v>
      </c>
      <c r="AU88" s="331">
        <v>1</v>
      </c>
      <c r="AW88" s="297"/>
      <c r="AX88" s="342">
        <f t="shared" si="87"/>
      </c>
    </row>
    <row r="89">
      <c r="A89" s="287"/>
      <c r="B89" s="299" t="s">
        <v>253</v>
      </c>
      <c r="C89" s="299"/>
      <c r="D89" s="299"/>
      <c r="E89" s="299"/>
      <c r="F89" s="303">
        <f>SUM(F86:F88)</f>
      </c>
      <c r="G89" s="303">
        <f>SUM(G86:G88)</f>
      </c>
      <c r="H89" s="303">
        <f>SUM(H86:H88)</f>
      </c>
      <c r="I89" s="300">
        <f>SUM(I86:I88)</f>
      </c>
      <c r="J89" s="300">
        <f>SUM(J86:J88)</f>
      </c>
      <c r="K89" s="300">
        <f>SUM(K86:K88)</f>
      </c>
      <c r="L89" s="300">
        <f>SUM(L86:L88)</f>
      </c>
      <c r="M89" s="300">
        <f>SUM(M86:M88)</f>
      </c>
      <c r="N89" s="300">
        <f>SUM(N86:N88)</f>
      </c>
      <c r="O89" s="302">
        <f t="shared" si="146"/>
      </c>
      <c r="P89" s="300">
        <f>SUM(P86:P88)</f>
      </c>
      <c r="Q89" s="302">
        <f t="shared" si="148"/>
      </c>
      <c r="R89" s="300">
        <f>SUM(R86:R88)</f>
      </c>
      <c r="S89" s="303">
        <f>SUM(S86:S88)</f>
      </c>
      <c r="T89" s="303">
        <f t="shared" si="120"/>
      </c>
      <c r="U89" s="303">
        <f t="shared" si="26"/>
      </c>
      <c r="V89" s="300">
        <f t="shared" si="144"/>
      </c>
      <c r="W89" s="300">
        <f>SUM(W86:W88)</f>
      </c>
      <c r="X89" s="300">
        <f t="shared" si="11"/>
      </c>
      <c r="Y89" s="300">
        <f t="shared" si="75"/>
      </c>
      <c r="Z89" s="356">
        <f t="shared" si="118"/>
      </c>
      <c r="AA89" s="323">
        <f t="shared" si="23"/>
      </c>
      <c r="AB89" s="336">
        <f t="shared" si="155"/>
      </c>
      <c r="AC89" s="326">
        <f t="shared" si="2"/>
      </c>
      <c r="AD89" s="326">
        <f t="shared" si="25"/>
      </c>
      <c r="AE89" s="326">
        <f t="shared" si="10"/>
      </c>
      <c r="AF89" s="326">
        <f>R89/AU91</f>
      </c>
      <c r="AG89" s="326">
        <f t="shared" si="6"/>
      </c>
      <c r="AH89" s="326">
        <f t="shared" si="8"/>
      </c>
      <c r="AI89" s="326">
        <f t="shared" si="4"/>
      </c>
      <c r="AJ89" s="327">
        <f>AVERAGE(AJ86:AJ88)</f>
      </c>
      <c r="AK89" s="334">
        <f>SUM(AK86:AK88)</f>
      </c>
      <c r="AL89" s="300">
        <f>SUM(AL86:AL88)</f>
      </c>
      <c r="AM89" s="300">
        <f>SUM(AM86:AM88)</f>
      </c>
      <c r="AN89" s="300">
        <f>SUM(AN86:AN88)</f>
      </c>
      <c r="AO89" s="300">
        <f>SUM(AO86:AO88)</f>
      </c>
      <c r="AP89" s="300">
        <f>SUM(AP86:AP88)</f>
      </c>
      <c r="AQ89" s="300">
        <f>SUM(AQ86:AQ88)</f>
      </c>
      <c r="AR89" s="300">
        <f>SUM(AR86:AR88)</f>
      </c>
      <c r="AS89" s="300">
        <f>SUM(AS86:AS88)</f>
      </c>
      <c r="AT89" s="300">
        <f>SUM(AT86:AT88)</f>
      </c>
      <c r="AU89" s="306">
        <f>SUM(AU86:AU88)</f>
      </c>
      <c r="AW89" s="305"/>
      <c r="AX89" s="300">
        <f>SUM(AX86:AX88)</f>
      </c>
    </row>
    <row r="90">
      <c r="A90" s="287"/>
      <c r="B90" s="307" t="s">
        <v>254</v>
      </c>
      <c r="C90" s="307"/>
      <c r="D90" s="307"/>
      <c r="E90" s="307"/>
      <c r="F90" s="309">
        <f>F85+F89</f>
      </c>
      <c r="G90" s="309">
        <f>G85+G89</f>
      </c>
      <c r="H90" s="309">
        <f>H85+H89</f>
      </c>
      <c r="I90" s="307">
        <f>I85+I89</f>
      </c>
      <c r="J90" s="307">
        <f>J85+J89</f>
      </c>
      <c r="K90" s="307">
        <f>K85+K89</f>
      </c>
      <c r="L90" s="307">
        <f>L85+L89</f>
      </c>
      <c r="M90" s="307">
        <f>M85+M89</f>
      </c>
      <c r="N90" s="307">
        <f>N85+N89</f>
      </c>
      <c r="O90" s="308">
        <f t="shared" si="146"/>
      </c>
      <c r="P90" s="307">
        <f>P85+P89</f>
      </c>
      <c r="Q90" s="308">
        <f t="shared" si="148"/>
      </c>
      <c r="R90" s="307">
        <f>R85+R89</f>
      </c>
      <c r="S90" s="309">
        <f>S85+S89</f>
      </c>
      <c r="T90" s="309">
        <f t="shared" si="120"/>
      </c>
      <c r="U90" s="309">
        <f t="shared" si="26"/>
      </c>
      <c r="V90" s="307">
        <f t="shared" si="144"/>
      </c>
      <c r="W90" s="307">
        <f>W85+W89</f>
      </c>
      <c r="X90" s="307">
        <f t="shared" si="11"/>
      </c>
      <c r="Y90" s="307">
        <f t="shared" si="75"/>
      </c>
      <c r="Z90" s="357">
        <f t="shared" si="118"/>
      </c>
      <c r="AA90" s="309">
        <f t="shared" si="23"/>
      </c>
      <c r="AB90" s="309">
        <f>AB89+AB85</f>
      </c>
      <c r="AC90" s="308">
        <f t="shared" si="2"/>
      </c>
      <c r="AD90" s="308">
        <f t="shared" si="25"/>
      </c>
      <c r="AE90" s="308">
        <f t="shared" si="10"/>
      </c>
      <c r="AF90" s="308">
        <f>R90/AU89:AU88</f>
      </c>
      <c r="AG90" s="308">
        <f t="shared" si="6"/>
      </c>
      <c r="AH90" s="308">
        <f t="shared" si="8"/>
      </c>
      <c r="AI90" s="308">
        <f t="shared" si="4"/>
      </c>
      <c r="AJ90" s="329">
        <f>(AJ85+AJ89)/2</f>
      </c>
      <c r="AK90" s="307">
        <f>AK85+AK89</f>
      </c>
      <c r="AL90" s="335">
        <f>AL85+AL89</f>
      </c>
      <c r="AM90" s="335">
        <f>AM85+AM89</f>
      </c>
      <c r="AN90" s="335">
        <f>AN85+AN89</f>
      </c>
      <c r="AO90" s="335">
        <f>AO85+AO89</f>
      </c>
      <c r="AP90" s="335">
        <f>AP85+AP89</f>
      </c>
      <c r="AQ90" s="335">
        <f>AQ85+AQ89</f>
      </c>
      <c r="AR90" s="335">
        <f>AR85+AR89</f>
      </c>
      <c r="AS90" s="335">
        <f>AS85+AS89</f>
      </c>
      <c r="AT90" s="335">
        <f>AT85+AT89</f>
      </c>
      <c r="AU90" s="307">
        <f>AU85+AU89</f>
      </c>
      <c r="AW90" s="349">
        <f>AW85+AW89</f>
      </c>
      <c r="AX90" s="307">
        <f>AX85+AX89</f>
      </c>
    </row>
    <row r="91">
      <c r="A91" s="287" t="s">
        <v>278</v>
      </c>
      <c r="B91" s="287" t="s">
        <v>279</v>
      </c>
      <c r="C91" s="287" t="s">
        <v>247</v>
      </c>
      <c r="D91" s="287" t="s">
        <v>248</v>
      </c>
      <c r="E91" s="288" t="s">
        <v>273</v>
      </c>
      <c r="F91" s="313">
        <f t="shared" ref="F91:F93" si="46">G91+H91+I91</f>
      </c>
      <c r="G91" s="313">
        <v>674.04</v>
      </c>
      <c r="H91" s="313">
        <v>1435.66</v>
      </c>
      <c r="I91" s="291"/>
      <c r="J91" s="291"/>
      <c r="K91" s="291"/>
      <c r="L91" s="293"/>
      <c r="M91" s="293"/>
      <c r="N91" s="294">
        <v>0</v>
      </c>
      <c r="O91" s="295">
        <f t="shared" si="146"/>
      </c>
      <c r="P91" s="294">
        <v>0</v>
      </c>
      <c r="Q91" s="295">
        <f t="shared" si="148"/>
      </c>
      <c r="R91" s="294">
        <v>0</v>
      </c>
      <c r="S91" s="313">
        <v>0</v>
      </c>
      <c r="T91" s="296">
        <f t="shared" si="120"/>
      </c>
      <c r="U91" s="296">
        <f t="shared" si="26"/>
      </c>
      <c r="V91" s="290">
        <f t="shared" si="144"/>
      </c>
      <c r="W91" s="294">
        <v>0</v>
      </c>
      <c r="X91" s="290">
        <f t="shared" si="11"/>
      </c>
      <c r="Y91" s="290">
        <f t="shared" si="75"/>
      </c>
      <c r="Z91" s="354">
        <f t="shared" si="118"/>
      </c>
      <c r="AA91" s="296">
        <f t="shared" si="23"/>
      </c>
      <c r="AB91" s="296">
        <f t="shared" ref="AB91:AB98" si="156">F91/AN91</f>
      </c>
      <c r="AC91" s="295">
        <f t="shared" si="2"/>
      </c>
      <c r="AD91" s="295">
        <f t="shared" si="25"/>
      </c>
      <c r="AE91" s="295">
        <f t="shared" si="10"/>
      </c>
      <c r="AF91" s="295">
        <f t="shared" ref="AF91:AF93" si="128">R91/AO91</f>
      </c>
      <c r="AG91" s="295">
        <f t="shared" si="6"/>
      </c>
      <c r="AH91" s="295">
        <f t="shared" si="8"/>
      </c>
      <c r="AI91" s="340">
        <f t="shared" si="4"/>
      </c>
      <c r="AJ91" s="341">
        <v>61</v>
      </c>
      <c r="AK91" s="289">
        <v>6343</v>
      </c>
      <c r="AL91" s="290">
        <v>297</v>
      </c>
      <c r="AM91" s="290">
        <v>391</v>
      </c>
      <c r="AN91" s="290">
        <v>46</v>
      </c>
      <c r="AO91" s="330">
        <v>25</v>
      </c>
      <c r="AP91" s="330">
        <v>54</v>
      </c>
      <c r="AQ91" s="290">
        <v>59</v>
      </c>
      <c r="AR91" s="330">
        <v>0</v>
      </c>
      <c r="AS91" s="294">
        <v>10</v>
      </c>
      <c r="AT91" s="330">
        <v>0</v>
      </c>
      <c r="AU91" s="294">
        <v>6</v>
      </c>
      <c r="AW91" s="297"/>
      <c r="AX91" s="342">
        <f t="shared" ref="AX91:AX93" si="88">COUNT(AU91)</f>
      </c>
    </row>
    <row r="92">
      <c r="A92" s="287"/>
      <c r="B92" s="287" t="s">
        <v>279</v>
      </c>
      <c r="C92" s="287" t="s">
        <v>247</v>
      </c>
      <c r="D92" s="287" t="s">
        <v>248</v>
      </c>
      <c r="E92" s="288" t="s">
        <v>274</v>
      </c>
      <c r="F92" s="313">
        <f t="shared" si="46"/>
      </c>
      <c r="G92" s="313">
        <v>412.77</v>
      </c>
      <c r="H92" s="313">
        <v>1372.6</v>
      </c>
      <c r="I92" s="293"/>
      <c r="J92" s="293"/>
      <c r="K92" s="293"/>
      <c r="L92" s="293"/>
      <c r="M92" s="293"/>
      <c r="N92" s="294">
        <v>0</v>
      </c>
      <c r="O92" s="295">
        <f t="shared" si="146"/>
      </c>
      <c r="P92" s="294">
        <v>0</v>
      </c>
      <c r="Q92" s="295">
        <f t="shared" si="148"/>
      </c>
      <c r="R92" s="294">
        <v>0</v>
      </c>
      <c r="S92" s="313">
        <v>0</v>
      </c>
      <c r="T92" s="296">
        <f t="shared" si="120"/>
      </c>
      <c r="U92" s="296">
        <f t="shared" si="26"/>
      </c>
      <c r="V92" s="290">
        <f t="shared" si="144"/>
      </c>
      <c r="W92" s="294">
        <v>0</v>
      </c>
      <c r="X92" s="290">
        <f t="shared" si="11"/>
      </c>
      <c r="Y92" s="290">
        <f t="shared" si="75"/>
      </c>
      <c r="Z92" s="354">
        <f t="shared" si="118"/>
      </c>
      <c r="AA92" s="296">
        <f t="shared" si="23"/>
      </c>
      <c r="AB92" s="296">
        <f t="shared" si="156"/>
      </c>
      <c r="AC92" s="295">
        <f t="shared" si="2"/>
      </c>
      <c r="AD92" s="295">
        <f t="shared" si="25"/>
      </c>
      <c r="AE92" s="295">
        <f t="shared" si="10"/>
      </c>
      <c r="AF92" s="295">
        <f t="shared" si="128"/>
      </c>
      <c r="AG92" s="295">
        <f t="shared" si="6"/>
      </c>
      <c r="AH92" s="343">
        <f t="shared" si="8"/>
      </c>
      <c r="AI92" s="295">
        <f t="shared" si="4"/>
      </c>
      <c r="AJ92" s="294">
        <v>74</v>
      </c>
      <c r="AK92" s="344">
        <v>4731</v>
      </c>
      <c r="AL92" s="290">
        <v>178</v>
      </c>
      <c r="AM92" s="290">
        <v>237</v>
      </c>
      <c r="AN92" s="290">
        <v>32</v>
      </c>
      <c r="AO92" s="330">
        <v>5</v>
      </c>
      <c r="AP92" s="294">
        <v>52</v>
      </c>
      <c r="AQ92" s="330">
        <v>40</v>
      </c>
      <c r="AR92" s="330">
        <v>0</v>
      </c>
      <c r="AS92" s="290">
        <v>4</v>
      </c>
      <c r="AT92" s="290">
        <v>0</v>
      </c>
      <c r="AU92" s="331">
        <v>6</v>
      </c>
      <c r="AW92" s="297"/>
      <c r="AX92" s="342">
        <f t="shared" si="88"/>
      </c>
    </row>
    <row r="93">
      <c r="A93" s="287"/>
      <c r="B93" s="287" t="s">
        <v>279</v>
      </c>
      <c r="C93" s="287" t="s">
        <v>247</v>
      </c>
      <c r="D93" s="287" t="s">
        <v>248</v>
      </c>
      <c r="E93" s="288" t="s">
        <v>275</v>
      </c>
      <c r="F93" s="313">
        <f t="shared" si="46"/>
      </c>
      <c r="G93" s="313">
        <v>265.26</v>
      </c>
      <c r="H93" s="313">
        <v>1020.68</v>
      </c>
      <c r="I93" s="293"/>
      <c r="J93" s="293"/>
      <c r="K93" s="293"/>
      <c r="L93" s="293"/>
      <c r="M93" s="293"/>
      <c r="N93" s="294">
        <v>0</v>
      </c>
      <c r="O93" s="295">
        <f t="shared" si="146"/>
      </c>
      <c r="P93" s="294">
        <v>0</v>
      </c>
      <c r="Q93" s="295">
        <f t="shared" si="148"/>
      </c>
      <c r="R93" s="294">
        <v>0</v>
      </c>
      <c r="S93" s="313">
        <v>0</v>
      </c>
      <c r="T93" s="296">
        <f t="shared" si="120"/>
      </c>
      <c r="U93" s="296">
        <f t="shared" si="26"/>
      </c>
      <c r="V93" s="290">
        <f t="shared" si="144"/>
      </c>
      <c r="W93" s="294">
        <v>0</v>
      </c>
      <c r="X93" s="290">
        <f t="shared" si="11"/>
      </c>
      <c r="Y93" s="290">
        <f t="shared" si="75"/>
      </c>
      <c r="Z93" s="354">
        <f t="shared" si="118"/>
      </c>
      <c r="AA93" s="296">
        <f t="shared" si="23"/>
      </c>
      <c r="AB93" s="296">
        <f t="shared" si="156"/>
      </c>
      <c r="AC93" s="295">
        <f t="shared" si="2"/>
      </c>
      <c r="AD93" s="295">
        <f t="shared" si="25"/>
      </c>
      <c r="AE93" s="295">
        <f t="shared" si="10"/>
      </c>
      <c r="AF93" s="295">
        <f t="shared" si="128"/>
      </c>
      <c r="AG93" s="295">
        <f t="shared" si="6"/>
      </c>
      <c r="AH93" s="295">
        <f t="shared" si="8"/>
      </c>
      <c r="AI93" s="345">
        <f t="shared" si="4"/>
      </c>
      <c r="AJ93" s="346">
        <v>84</v>
      </c>
      <c r="AK93" s="289">
        <v>2976</v>
      </c>
      <c r="AL93" s="290">
        <v>130</v>
      </c>
      <c r="AM93" s="290">
        <v>169</v>
      </c>
      <c r="AN93" s="290">
        <v>26</v>
      </c>
      <c r="AO93" s="330">
        <v>7</v>
      </c>
      <c r="AP93" s="290">
        <v>65</v>
      </c>
      <c r="AQ93" s="330">
        <v>30</v>
      </c>
      <c r="AR93" s="330">
        <v>2</v>
      </c>
      <c r="AS93" s="294">
        <v>1</v>
      </c>
      <c r="AT93" s="294">
        <v>0</v>
      </c>
      <c r="AU93" s="331">
        <v>7</v>
      </c>
      <c r="AW93" s="297"/>
      <c r="AX93" s="342">
        <f t="shared" si="88"/>
      </c>
    </row>
    <row r="94">
      <c r="A94" s="287"/>
      <c r="B94" s="299" t="s">
        <v>253</v>
      </c>
      <c r="C94" s="299"/>
      <c r="D94" s="299"/>
      <c r="E94" s="299"/>
      <c r="F94" s="303">
        <f>SUM(F91:F93)</f>
      </c>
      <c r="G94" s="303">
        <f>SUM(G91:G93)</f>
      </c>
      <c r="H94" s="303">
        <f>SUM(H91:H93)</f>
      </c>
      <c r="I94" s="358">
        <f>SUM(I91:I93)</f>
      </c>
      <c r="J94" s="358">
        <f>SUM(J91:J93)</f>
      </c>
      <c r="K94" s="358">
        <f>SUM(K91:K93)</f>
      </c>
      <c r="L94" s="358">
        <f>SUM(L91:L93)</f>
      </c>
      <c r="M94" s="358">
        <f>SUM(M91:M93)</f>
      </c>
      <c r="N94" s="303">
        <f>SUM(N91:N93)</f>
      </c>
      <c r="O94" s="302">
        <f t="shared" si="146"/>
      </c>
      <c r="P94" s="300">
        <f>SUM(P91:P93)</f>
      </c>
      <c r="Q94" s="302">
        <f t="shared" si="148"/>
      </c>
      <c r="R94" s="300">
        <f>SUM(R91:R93)</f>
      </c>
      <c r="S94" s="303">
        <f>SUM(S91:S93)</f>
      </c>
      <c r="T94" s="303">
        <f t="shared" si="120"/>
      </c>
      <c r="U94" s="303">
        <f t="shared" si="26"/>
      </c>
      <c r="V94" s="300">
        <f t="shared" si="144"/>
      </c>
      <c r="W94" s="300">
        <f>SUM(W91:W93)</f>
      </c>
      <c r="X94" s="300">
        <f t="shared" si="11"/>
      </c>
      <c r="Y94" s="300">
        <f t="shared" si="75"/>
      </c>
      <c r="Z94" s="355">
        <f t="shared" si="118"/>
      </c>
      <c r="AA94" s="303">
        <f t="shared" si="23"/>
      </c>
      <c r="AB94" s="336">
        <f t="shared" si="156"/>
      </c>
      <c r="AC94" s="302">
        <f t="shared" si="2"/>
      </c>
      <c r="AD94" s="302">
        <f t="shared" si="25"/>
      </c>
      <c r="AE94" s="302">
        <f t="shared" si="10"/>
      </c>
      <c r="AF94" s="302">
        <f>R94/AO99</f>
      </c>
      <c r="AG94" s="302">
        <f t="shared" si="6"/>
      </c>
      <c r="AH94" s="302">
        <f t="shared" si="8"/>
      </c>
      <c r="AI94" s="302">
        <f t="shared" si="4"/>
      </c>
      <c r="AJ94" s="327">
        <f>AVERAGE(AJ91:AJ93)</f>
      </c>
      <c r="AK94" s="332">
        <f>SUM(AK91:AK93)</f>
      </c>
      <c r="AL94" s="332">
        <f>SUM(AL91:AL93)</f>
      </c>
      <c r="AM94" s="332">
        <f>SUM(AM91:AM93)</f>
      </c>
      <c r="AN94" s="332">
        <f>SUM(AN91:AN93)</f>
      </c>
      <c r="AO94" s="332">
        <f>SUM(AO91:AO93)</f>
      </c>
      <c r="AP94" s="332">
        <f>SUM(AP91:AP93)</f>
      </c>
      <c r="AQ94" s="332">
        <f>SUM(AQ91:AQ93)</f>
      </c>
      <c r="AR94" s="332">
        <f>SUM(AR91:AR93)</f>
      </c>
      <c r="AS94" s="332">
        <f>SUM(AS91:AS93)</f>
      </c>
      <c r="AT94" s="332">
        <f>SUM(AT91:AT93)</f>
      </c>
      <c r="AU94" s="332">
        <f>SUM(AU91:AU93)</f>
      </c>
      <c r="AW94" s="305"/>
      <c r="AX94" s="300">
        <f>SUM(AX91:AX92)</f>
      </c>
    </row>
    <row r="95">
      <c r="A95" s="287"/>
      <c r="B95" s="287" t="s">
        <v>279</v>
      </c>
      <c r="C95" s="287" t="s">
        <v>247</v>
      </c>
      <c r="D95" s="287" t="s">
        <v>256</v>
      </c>
      <c r="E95" s="287" t="s">
        <v>276</v>
      </c>
      <c r="F95" s="313">
        <f t="shared" ref="F95:F97" si="47">G95+H95+I95</f>
      </c>
      <c r="G95" s="313">
        <v>365.58</v>
      </c>
      <c r="H95" s="313">
        <v>677.68</v>
      </c>
      <c r="I95" s="293"/>
      <c r="J95" s="293"/>
      <c r="K95" s="293"/>
      <c r="L95" s="293"/>
      <c r="M95" s="293"/>
      <c r="N95" s="294">
        <v>0</v>
      </c>
      <c r="O95" s="295">
        <f t="shared" si="146"/>
      </c>
      <c r="P95" s="294">
        <v>0</v>
      </c>
      <c r="Q95" s="295">
        <f t="shared" si="148"/>
      </c>
      <c r="R95" s="294">
        <v>1</v>
      </c>
      <c r="S95" s="313">
        <v>1775.55</v>
      </c>
      <c r="T95" s="296">
        <f t="shared" si="120"/>
      </c>
      <c r="U95" s="296">
        <f t="shared" si="26"/>
      </c>
      <c r="V95" s="290">
        <f t="shared" si="144"/>
      </c>
      <c r="W95" s="294">
        <v>1</v>
      </c>
      <c r="X95" s="337">
        <f t="shared" si="11"/>
      </c>
      <c r="Y95" s="290">
        <f t="shared" si="75"/>
      </c>
      <c r="Z95" s="354">
        <f t="shared" si="118"/>
      </c>
      <c r="AA95" s="296">
        <f t="shared" si="23"/>
      </c>
      <c r="AB95" s="296">
        <f t="shared" si="156"/>
      </c>
      <c r="AC95" s="295">
        <f t="shared" si="2"/>
      </c>
      <c r="AD95" s="295">
        <f t="shared" si="25"/>
      </c>
      <c r="AE95" s="295">
        <f t="shared" si="10"/>
      </c>
      <c r="AF95" s="295">
        <f t="shared" ref="AF95:AF96" si="21">R95/AO96</f>
      </c>
      <c r="AG95" s="295">
        <f t="shared" si="6"/>
      </c>
      <c r="AH95" s="295">
        <f t="shared" si="8"/>
      </c>
      <c r="AI95" s="295">
        <f t="shared" si="4"/>
      </c>
      <c r="AJ95" s="294">
        <v>84</v>
      </c>
      <c r="AK95" s="289">
        <v>1716</v>
      </c>
      <c r="AL95" s="290">
        <v>78</v>
      </c>
      <c r="AM95" s="290">
        <v>106</v>
      </c>
      <c r="AN95" s="290">
        <v>19</v>
      </c>
      <c r="AO95" s="330">
        <v>10</v>
      </c>
      <c r="AP95" s="290">
        <v>23</v>
      </c>
      <c r="AQ95" s="330">
        <v>13</v>
      </c>
      <c r="AR95" s="330">
        <v>2</v>
      </c>
      <c r="AS95" s="290">
        <v>0</v>
      </c>
      <c r="AT95" s="290">
        <v>0</v>
      </c>
      <c r="AU95" s="331">
        <v>1</v>
      </c>
      <c r="AW95" s="297"/>
      <c r="AX95" s="342">
        <f t="shared" ref="AX95:AX97" si="89">COUNT(AU95)</f>
      </c>
    </row>
    <row r="96">
      <c r="A96" s="287"/>
      <c r="B96" s="287" t="s">
        <v>279</v>
      </c>
      <c r="C96" s="287" t="s">
        <v>247</v>
      </c>
      <c r="D96" s="287" t="s">
        <v>256</v>
      </c>
      <c r="E96" s="287" t="s">
        <v>277</v>
      </c>
      <c r="F96" s="313">
        <f t="shared" si="47"/>
      </c>
      <c r="G96" s="313">
        <v>254.86</v>
      </c>
      <c r="H96" s="313">
        <v>940.82</v>
      </c>
      <c r="I96" s="293"/>
      <c r="J96" s="293"/>
      <c r="K96" s="293"/>
      <c r="L96" s="293"/>
      <c r="M96" s="293"/>
      <c r="N96" s="294">
        <v>0</v>
      </c>
      <c r="O96" s="295">
        <f t="shared" si="146"/>
      </c>
      <c r="P96" s="294">
        <v>0</v>
      </c>
      <c r="Q96" s="295">
        <f t="shared" si="148"/>
      </c>
      <c r="R96" s="294">
        <v>0</v>
      </c>
      <c r="S96" s="313">
        <v>0</v>
      </c>
      <c r="T96" s="296">
        <f t="shared" si="120"/>
      </c>
      <c r="U96" s="296">
        <f t="shared" si="26"/>
      </c>
      <c r="V96" s="290">
        <f t="shared" si="144"/>
      </c>
      <c r="W96" s="294">
        <v>0</v>
      </c>
      <c r="X96" s="290">
        <f t="shared" si="11"/>
      </c>
      <c r="Y96" s="290">
        <f t="shared" si="75"/>
      </c>
      <c r="Z96" s="354">
        <f t="shared" si="118"/>
      </c>
      <c r="AA96" s="296">
        <f t="shared" si="23"/>
      </c>
      <c r="AB96" s="296">
        <f t="shared" si="156"/>
      </c>
      <c r="AC96" s="295">
        <f t="shared" si="2"/>
      </c>
      <c r="AD96" s="295">
        <f t="shared" si="25"/>
      </c>
      <c r="AE96" s="295">
        <f t="shared" si="10"/>
      </c>
      <c r="AF96" s="295">
        <f t="shared" si="21"/>
      </c>
      <c r="AG96" s="295">
        <f t="shared" si="6"/>
      </c>
      <c r="AH96" s="295">
        <f t="shared" si="8"/>
      </c>
      <c r="AI96" s="295">
        <f t="shared" si="4"/>
      </c>
      <c r="AJ96" s="294">
        <v>83</v>
      </c>
      <c r="AK96" s="289">
        <v>2309</v>
      </c>
      <c r="AL96" s="290">
        <v>103</v>
      </c>
      <c r="AM96" s="290">
        <v>123</v>
      </c>
      <c r="AN96" s="290">
        <v>20</v>
      </c>
      <c r="AO96" s="330">
        <v>7</v>
      </c>
      <c r="AP96" s="290">
        <v>23</v>
      </c>
      <c r="AQ96" s="330">
        <v>19</v>
      </c>
      <c r="AR96" s="330">
        <v>0</v>
      </c>
      <c r="AS96" s="290">
        <v>4</v>
      </c>
      <c r="AT96" s="290">
        <v>0</v>
      </c>
      <c r="AU96" s="331">
        <v>0</v>
      </c>
      <c r="AW96" s="297"/>
      <c r="AX96" s="342">
        <f t="shared" si="89"/>
      </c>
    </row>
    <row r="97">
      <c r="A97" s="287"/>
      <c r="B97" s="287" t="s">
        <v>279</v>
      </c>
      <c r="C97" s="287" t="s">
        <v>247</v>
      </c>
      <c r="D97" s="287" t="s">
        <v>256</v>
      </c>
      <c r="E97" s="287" t="s">
        <v>280</v>
      </c>
      <c r="F97" s="313">
        <f t="shared" si="47"/>
      </c>
      <c r="G97" s="313">
        <v>184.3</v>
      </c>
      <c r="H97" s="313">
        <v>508.66</v>
      </c>
      <c r="I97" s="293"/>
      <c r="J97" s="293"/>
      <c r="K97" s="293"/>
      <c r="L97" s="293"/>
      <c r="M97" s="293"/>
      <c r="N97" s="294">
        <v>0</v>
      </c>
      <c r="O97" s="295">
        <f t="shared" si="146"/>
      </c>
      <c r="P97" s="294">
        <v>0</v>
      </c>
      <c r="Q97" s="295">
        <f t="shared" si="148"/>
      </c>
      <c r="R97" s="294">
        <v>0</v>
      </c>
      <c r="S97" s="313">
        <v>0</v>
      </c>
      <c r="T97" s="296">
        <f t="shared" si="120"/>
      </c>
      <c r="U97" s="296">
        <f t="shared" si="26"/>
      </c>
      <c r="V97" s="290">
        <f t="shared" si="144"/>
      </c>
      <c r="W97" s="294">
        <v>0</v>
      </c>
      <c r="X97" s="290">
        <f t="shared" si="11"/>
      </c>
      <c r="Y97" s="290">
        <f t="shared" si="75"/>
      </c>
      <c r="Z97" s="354">
        <f t="shared" si="118"/>
      </c>
      <c r="AA97" s="296">
        <f t="shared" si="23"/>
      </c>
      <c r="AB97" s="296">
        <f t="shared" si="156"/>
      </c>
      <c r="AC97" s="295">
        <f t="shared" si="2"/>
      </c>
      <c r="AD97" s="295">
        <f t="shared" si="25"/>
      </c>
      <c r="AE97" s="295">
        <f t="shared" si="10"/>
      </c>
      <c r="AF97" s="295">
        <f>R97/AO99</f>
      </c>
      <c r="AG97" s="295">
        <f t="shared" si="6"/>
      </c>
      <c r="AH97" s="295">
        <f t="shared" si="8"/>
      </c>
      <c r="AI97" s="295">
        <f t="shared" si="4"/>
      </c>
      <c r="AJ97" s="294">
        <v>82</v>
      </c>
      <c r="AK97" s="289">
        <v>2240</v>
      </c>
      <c r="AL97" s="290">
        <v>78</v>
      </c>
      <c r="AM97" s="290">
        <v>123</v>
      </c>
      <c r="AN97" s="290">
        <v>8</v>
      </c>
      <c r="AO97" s="330">
        <v>2</v>
      </c>
      <c r="AP97" s="290">
        <v>4</v>
      </c>
      <c r="AQ97" s="330">
        <v>9</v>
      </c>
      <c r="AR97" s="330">
        <v>0</v>
      </c>
      <c r="AS97" s="290">
        <v>0</v>
      </c>
      <c r="AT97" s="290">
        <v>0</v>
      </c>
      <c r="AU97" s="331">
        <v>0</v>
      </c>
      <c r="AW97" s="297"/>
      <c r="AX97" s="342">
        <f t="shared" si="89"/>
      </c>
    </row>
    <row r="98">
      <c r="A98" s="287"/>
      <c r="B98" s="299" t="s">
        <v>253</v>
      </c>
      <c r="C98" s="299"/>
      <c r="D98" s="299"/>
      <c r="E98" s="299"/>
      <c r="F98" s="303">
        <f>SUM(F95:F97)</f>
      </c>
      <c r="G98" s="303">
        <f>SUM(G95:G97)</f>
      </c>
      <c r="H98" s="303">
        <f>SUM(H95:H97)</f>
      </c>
      <c r="I98" s="358">
        <f>SUM(I95:I97)</f>
      </c>
      <c r="J98" s="358">
        <f>SUM(J95:J97)</f>
      </c>
      <c r="K98" s="358">
        <f>SUM(K95:K97)</f>
      </c>
      <c r="L98" s="358">
        <f>SUM(L95:L97)</f>
      </c>
      <c r="M98" s="358">
        <f>SUM(M95:M97)</f>
      </c>
      <c r="N98" s="303">
        <f>SUM(N95:N97)</f>
      </c>
      <c r="O98" s="302">
        <f t="shared" si="146"/>
      </c>
      <c r="P98" s="300">
        <f>SUM(P95:P97)</f>
      </c>
      <c r="Q98" s="302">
        <f t="shared" si="148"/>
      </c>
      <c r="R98" s="300">
        <f>SUM(R95:R97)</f>
      </c>
      <c r="S98" s="303">
        <f>SUM(S95:S97)</f>
      </c>
      <c r="T98" s="303">
        <f t="shared" si="120"/>
      </c>
      <c r="U98" s="303">
        <f t="shared" si="26"/>
      </c>
      <c r="V98" s="300">
        <f t="shared" si="144"/>
      </c>
      <c r="W98" s="300">
        <f>SUM(W95:W97)</f>
      </c>
      <c r="X98" s="300">
        <f t="shared" si="11"/>
      </c>
      <c r="Y98" s="300">
        <f t="shared" si="75"/>
      </c>
      <c r="Z98" s="356">
        <f t="shared" si="118"/>
      </c>
      <c r="AA98" s="323">
        <f t="shared" si="23"/>
      </c>
      <c r="AB98" s="336">
        <f t="shared" si="156"/>
      </c>
      <c r="AC98" s="326">
        <f t="shared" si="2"/>
      </c>
      <c r="AD98" s="326">
        <f t="shared" si="25"/>
      </c>
      <c r="AE98" s="326">
        <f t="shared" si="10"/>
      </c>
      <c r="AF98" s="326">
        <f>R98/AU98:AU97</f>
      </c>
      <c r="AG98" s="326">
        <f t="shared" si="6"/>
      </c>
      <c r="AH98" s="326">
        <f t="shared" si="8"/>
      </c>
      <c r="AI98" s="326">
        <f t="shared" si="4"/>
      </c>
      <c r="AJ98" s="327">
        <f>AVERAGE(AJ95:AJ97)</f>
      </c>
      <c r="AK98" s="334">
        <f>SUM(AK95:AK97)</f>
      </c>
      <c r="AL98" s="334">
        <f>SUM(AL95:AL97)</f>
      </c>
      <c r="AM98" s="334">
        <f>SUM(AM95:AM97)</f>
      </c>
      <c r="AN98" s="334">
        <f>SUM(AN95:AN97)</f>
      </c>
      <c r="AO98" s="334">
        <f>SUM(AO95:AO97)</f>
      </c>
      <c r="AP98" s="334">
        <f>SUM(AP95:AP97)</f>
      </c>
      <c r="AQ98" s="334">
        <f>SUM(AQ95:AQ97)</f>
      </c>
      <c r="AR98" s="334">
        <f>SUM(AR95:AR97)</f>
      </c>
      <c r="AS98" s="334">
        <f>SUM(AS95:AS97)</f>
      </c>
      <c r="AT98" s="334">
        <f>SUM(AT95:AT97)</f>
      </c>
      <c r="AU98" s="334">
        <f>SUM(AU95:AU97)</f>
      </c>
      <c r="AW98" s="305"/>
      <c r="AX98" s="300">
        <f>SUM(AX95:AX97)</f>
      </c>
    </row>
    <row r="99">
      <c r="A99" s="287"/>
      <c r="B99" s="307" t="s">
        <v>254</v>
      </c>
      <c r="C99" s="307"/>
      <c r="D99" s="307"/>
      <c r="E99" s="307"/>
      <c r="F99" s="309">
        <f>F94+F98</f>
      </c>
      <c r="G99" s="309">
        <f>G94+G98</f>
      </c>
      <c r="H99" s="309">
        <f>H94+H98</f>
      </c>
      <c r="I99" s="307">
        <f>I94+I98</f>
      </c>
      <c r="J99" s="307">
        <f>J94+J98</f>
      </c>
      <c r="K99" s="307">
        <f>K94+K98</f>
      </c>
      <c r="L99" s="307">
        <f>L94+L98</f>
      </c>
      <c r="M99" s="307">
        <f>M94+M98</f>
      </c>
      <c r="N99" s="307">
        <f>N94+N98</f>
      </c>
      <c r="O99" s="308">
        <f t="shared" si="146"/>
      </c>
      <c r="P99" s="307">
        <f>P94+P98</f>
      </c>
      <c r="Q99" s="308">
        <f t="shared" si="148"/>
      </c>
      <c r="R99" s="307">
        <f>R94+R98</f>
      </c>
      <c r="S99" s="309">
        <f>S94+S98</f>
      </c>
      <c r="T99" s="309">
        <f t="shared" si="120"/>
      </c>
      <c r="U99" s="309">
        <f t="shared" si="26"/>
      </c>
      <c r="V99" s="307">
        <f t="shared" si="144"/>
      </c>
      <c r="W99" s="307">
        <f>W94+W98</f>
      </c>
      <c r="X99" s="307">
        <f t="shared" si="11"/>
      </c>
      <c r="Y99" s="307">
        <f t="shared" si="75"/>
      </c>
      <c r="Z99" s="357">
        <f t="shared" si="118"/>
      </c>
      <c r="AA99" s="309">
        <f t="shared" si="23"/>
      </c>
      <c r="AB99" s="309">
        <f>AB98+AB94</f>
      </c>
      <c r="AC99" s="308">
        <f t="shared" si="2"/>
      </c>
      <c r="AD99" s="308">
        <f t="shared" si="25"/>
      </c>
      <c r="AE99" s="308">
        <f t="shared" si="10"/>
      </c>
      <c r="AF99" s="308">
        <f>R99/AU98:AU97</f>
      </c>
      <c r="AG99" s="308">
        <f t="shared" si="6"/>
      </c>
      <c r="AH99" s="308">
        <f t="shared" si="8"/>
      </c>
      <c r="AI99" s="308">
        <f t="shared" si="4"/>
      </c>
      <c r="AJ99" s="329">
        <f>(AJ94+AJ98)/2</f>
      </c>
      <c r="AK99" s="307">
        <f>AK94+AK98</f>
      </c>
      <c r="AL99" s="307">
        <f>AL94+AL98</f>
      </c>
      <c r="AM99" s="307">
        <f>AM94+AM98</f>
      </c>
      <c r="AN99" s="307">
        <f>AN94+AN98</f>
      </c>
      <c r="AO99" s="307">
        <f>AO94+AO98</f>
      </c>
      <c r="AP99" s="307">
        <f>AP94+AP98</f>
      </c>
      <c r="AQ99" s="307">
        <f>AQ94+AQ98</f>
      </c>
      <c r="AR99" s="307">
        <f>AR94+AR98</f>
      </c>
      <c r="AS99" s="307">
        <f>AS94+AS98</f>
      </c>
      <c r="AT99" s="307">
        <f>AT94+AT98</f>
      </c>
      <c r="AU99" s="307">
        <f>AU94+AU98</f>
      </c>
      <c r="AW99" s="349">
        <f>AW94+AW98</f>
      </c>
      <c r="AX99" s="307">
        <f>AX94+AX98</f>
      </c>
    </row>
    <row r="100">
      <c r="A100" s="287" t="s">
        <v>281</v>
      </c>
      <c r="B100" s="287" t="s">
        <v>279</v>
      </c>
      <c r="C100" s="287" t="s">
        <v>247</v>
      </c>
      <c r="D100" s="287" t="s">
        <v>256</v>
      </c>
      <c r="E100" s="288" t="s">
        <v>271</v>
      </c>
      <c r="F100" s="313">
        <f t="shared" ref="F100:F102" si="48">G100+H100+I100</f>
      </c>
      <c r="G100" s="313">
        <v>468.75</v>
      </c>
      <c r="H100" s="313">
        <v>1187.32</v>
      </c>
      <c r="I100" s="291"/>
      <c r="J100" s="291"/>
      <c r="K100" s="291"/>
      <c r="L100" s="293"/>
      <c r="M100" s="293"/>
      <c r="N100" s="294">
        <v>0</v>
      </c>
      <c r="O100" s="295">
        <f t="shared" si="146"/>
      </c>
      <c r="P100" s="294">
        <v>0</v>
      </c>
      <c r="Q100" s="295">
        <f t="shared" si="148"/>
      </c>
      <c r="R100" s="294">
        <v>0</v>
      </c>
      <c r="S100" s="313">
        <v>0</v>
      </c>
      <c r="T100" s="296">
        <f t="shared" si="120"/>
      </c>
      <c r="U100" s="296">
        <f t="shared" si="26"/>
      </c>
      <c r="V100" s="290">
        <f t="shared" si="144"/>
      </c>
      <c r="W100" s="294">
        <v>0</v>
      </c>
      <c r="X100" s="290">
        <f t="shared" si="11"/>
      </c>
      <c r="Y100" s="290">
        <f t="shared" si="75"/>
      </c>
      <c r="Z100" s="354">
        <f t="shared" si="118"/>
      </c>
      <c r="AA100" s="296">
        <f t="shared" si="23"/>
      </c>
      <c r="AB100" s="296">
        <f t="shared" ref="AB100:AB106" si="157">F100/AN100</f>
      </c>
      <c r="AC100" s="295">
        <f t="shared" si="2"/>
      </c>
      <c r="AD100" s="295">
        <f t="shared" si="25"/>
      </c>
      <c r="AE100" s="295">
        <f t="shared" si="10"/>
      </c>
      <c r="AF100" s="295">
        <f t="shared" ref="AF100:AF102" si="129">R100/AO100</f>
      </c>
      <c r="AG100" s="295">
        <f t="shared" si="6"/>
      </c>
      <c r="AH100" s="295">
        <f t="shared" si="8"/>
      </c>
      <c r="AI100" s="340">
        <f t="shared" si="4"/>
      </c>
      <c r="AJ100" s="341">
        <v>46</v>
      </c>
      <c r="AK100" s="289">
        <v>5889</v>
      </c>
      <c r="AL100" s="290">
        <v>272</v>
      </c>
      <c r="AM100" s="290">
        <v>359</v>
      </c>
      <c r="AN100" s="290">
        <v>54</v>
      </c>
      <c r="AO100" s="330">
        <v>7</v>
      </c>
      <c r="AP100" s="330">
        <v>17</v>
      </c>
      <c r="AQ100" s="290">
        <v>50</v>
      </c>
      <c r="AR100" s="330">
        <v>0</v>
      </c>
      <c r="AS100" s="294">
        <v>3</v>
      </c>
      <c r="AT100" s="330">
        <v>0</v>
      </c>
      <c r="AU100" s="294">
        <v>6</v>
      </c>
      <c r="AW100" s="297"/>
      <c r="AX100" s="342">
        <f t="shared" ref="AX100:AX102" si="90">COUNT(AU100)</f>
      </c>
    </row>
    <row r="101">
      <c r="A101" s="287"/>
      <c r="B101" s="287" t="s">
        <v>279</v>
      </c>
      <c r="C101" s="287" t="s">
        <v>247</v>
      </c>
      <c r="D101" s="287" t="s">
        <v>256</v>
      </c>
      <c r="E101" s="288" t="s">
        <v>273</v>
      </c>
      <c r="F101" s="313">
        <f t="shared" si="48"/>
      </c>
      <c r="G101" s="313">
        <v>625.68</v>
      </c>
      <c r="H101" s="313">
        <v>1775.39</v>
      </c>
      <c r="I101" s="293"/>
      <c r="J101" s="293"/>
      <c r="K101" s="293"/>
      <c r="L101" s="293"/>
      <c r="M101" s="293"/>
      <c r="N101" s="294">
        <v>1</v>
      </c>
      <c r="O101" s="295">
        <f t="shared" si="146"/>
      </c>
      <c r="P101" s="294">
        <v>0</v>
      </c>
      <c r="Q101" s="295">
        <f t="shared" si="148"/>
      </c>
      <c r="R101" s="294">
        <v>1</v>
      </c>
      <c r="S101" s="313">
        <v>1167.08</v>
      </c>
      <c r="T101" s="296">
        <f t="shared" si="120"/>
      </c>
      <c r="U101" s="296">
        <f t="shared" si="26"/>
      </c>
      <c r="V101" s="290">
        <f t="shared" si="144"/>
      </c>
      <c r="W101" s="294">
        <v>0</v>
      </c>
      <c r="X101" s="290">
        <f t="shared" si="11"/>
      </c>
      <c r="Y101" s="290">
        <f t="shared" si="75"/>
      </c>
      <c r="Z101" s="354">
        <f t="shared" si="118"/>
      </c>
      <c r="AA101" s="296">
        <f t="shared" si="23"/>
      </c>
      <c r="AB101" s="296">
        <f t="shared" si="157"/>
      </c>
      <c r="AC101" s="295">
        <f t="shared" si="2"/>
      </c>
      <c r="AD101" s="295">
        <f t="shared" si="25"/>
      </c>
      <c r="AE101" s="295">
        <f t="shared" si="10"/>
      </c>
      <c r="AF101" s="295">
        <f t="shared" si="129"/>
      </c>
      <c r="AG101" s="295">
        <f t="shared" si="6"/>
      </c>
      <c r="AH101" s="343">
        <f t="shared" si="8"/>
      </c>
      <c r="AI101" s="295">
        <f t="shared" si="4"/>
      </c>
      <c r="AJ101" s="294">
        <v>63</v>
      </c>
      <c r="AK101" s="344">
        <v>6583</v>
      </c>
      <c r="AL101" s="290">
        <v>259</v>
      </c>
      <c r="AM101" s="290">
        <v>375</v>
      </c>
      <c r="AN101" s="290">
        <v>72</v>
      </c>
      <c r="AO101" s="330">
        <v>11</v>
      </c>
      <c r="AP101" s="294">
        <v>49</v>
      </c>
      <c r="AQ101" s="330">
        <v>61</v>
      </c>
      <c r="AR101" s="330">
        <v>1</v>
      </c>
      <c r="AS101" s="290">
        <v>10</v>
      </c>
      <c r="AT101" s="290">
        <v>0</v>
      </c>
      <c r="AU101" s="331">
        <v>6</v>
      </c>
      <c r="AW101" s="297"/>
      <c r="AX101" s="342">
        <f t="shared" si="90"/>
      </c>
    </row>
    <row r="102">
      <c r="A102" s="287"/>
      <c r="B102" s="287" t="s">
        <v>279</v>
      </c>
      <c r="C102" s="287" t="s">
        <v>247</v>
      </c>
      <c r="D102" s="287" t="s">
        <v>256</v>
      </c>
      <c r="E102" s="288" t="s">
        <v>274</v>
      </c>
      <c r="F102" s="313">
        <f t="shared" si="48"/>
      </c>
      <c r="G102" s="313">
        <v>429.76</v>
      </c>
      <c r="H102" s="313">
        <v>781.34</v>
      </c>
      <c r="I102" s="293"/>
      <c r="J102" s="293"/>
      <c r="K102" s="293"/>
      <c r="L102" s="293"/>
      <c r="M102" s="293"/>
      <c r="N102" s="294">
        <v>0</v>
      </c>
      <c r="O102" s="295">
        <f t="shared" si="146"/>
      </c>
      <c r="P102" s="294">
        <v>0</v>
      </c>
      <c r="Q102" s="295">
        <f t="shared" si="148"/>
      </c>
      <c r="R102" s="294">
        <v>0</v>
      </c>
      <c r="S102" s="313">
        <v>0</v>
      </c>
      <c r="T102" s="296">
        <f t="shared" si="120"/>
      </c>
      <c r="U102" s="296">
        <f t="shared" si="26"/>
      </c>
      <c r="V102" s="290">
        <f t="shared" si="144"/>
      </c>
      <c r="W102" s="294">
        <v>0</v>
      </c>
      <c r="X102" s="290">
        <f t="shared" si="11"/>
      </c>
      <c r="Y102" s="290">
        <f t="shared" si="75"/>
      </c>
      <c r="Z102" s="354">
        <f t="shared" si="118"/>
      </c>
      <c r="AA102" s="296">
        <f t="shared" si="23"/>
      </c>
      <c r="AB102" s="296">
        <f t="shared" si="157"/>
      </c>
      <c r="AC102" s="295">
        <f t="shared" si="2"/>
      </c>
      <c r="AD102" s="295">
        <f t="shared" si="25"/>
      </c>
      <c r="AE102" s="295">
        <f t="shared" si="10"/>
      </c>
      <c r="AF102" s="295">
        <f t="shared" si="129"/>
      </c>
      <c r="AG102" s="295">
        <f t="shared" si="6"/>
      </c>
      <c r="AH102" s="295">
        <f t="shared" si="8"/>
      </c>
      <c r="AI102" s="345">
        <f t="shared" si="4"/>
      </c>
      <c r="AJ102" s="346">
        <v>60</v>
      </c>
      <c r="AK102" s="289">
        <v>3979</v>
      </c>
      <c r="AL102" s="290">
        <v>169</v>
      </c>
      <c r="AM102" s="290">
        <v>244</v>
      </c>
      <c r="AN102" s="290">
        <v>29</v>
      </c>
      <c r="AO102" s="330">
        <v>10</v>
      </c>
      <c r="AP102" s="290">
        <v>53</v>
      </c>
      <c r="AQ102" s="330">
        <v>40</v>
      </c>
      <c r="AR102" s="330">
        <v>0</v>
      </c>
      <c r="AS102" s="294">
        <v>2</v>
      </c>
      <c r="AT102" s="294">
        <v>0</v>
      </c>
      <c r="AU102" s="331">
        <v>1</v>
      </c>
      <c r="AW102" s="297"/>
      <c r="AX102" s="342">
        <f t="shared" si="90"/>
      </c>
    </row>
    <row r="103">
      <c r="A103" s="287"/>
      <c r="B103" s="299" t="s">
        <v>253</v>
      </c>
      <c r="C103" s="299"/>
      <c r="D103" s="299"/>
      <c r="E103" s="299"/>
      <c r="F103" s="303">
        <f>SUM(F100:F102)</f>
      </c>
      <c r="G103" s="303">
        <f>SUM(G100:G102)</f>
      </c>
      <c r="H103" s="303">
        <f>SUM(H100:H102)</f>
      </c>
      <c r="I103" s="300">
        <f>SUM(I100:I102)</f>
      </c>
      <c r="J103" s="300">
        <f>SUM(J100:J102)</f>
      </c>
      <c r="K103" s="300">
        <f>SUM(K100:K102)</f>
      </c>
      <c r="L103" s="300">
        <f>SUM(L100:L102)</f>
      </c>
      <c r="M103" s="300">
        <f>SUM(M100:M102)</f>
      </c>
      <c r="N103" s="300">
        <f>SUM(N100:N102)</f>
      </c>
      <c r="O103" s="302">
        <f t="shared" si="146"/>
      </c>
      <c r="P103" s="300">
        <f>SUM(P100:P102)</f>
      </c>
      <c r="Q103" s="302">
        <f t="shared" si="148"/>
      </c>
      <c r="R103" s="300">
        <f>SUM(R100:R102)</f>
      </c>
      <c r="S103" s="303">
        <f>SUM(S100:S102)</f>
      </c>
      <c r="T103" s="303">
        <f t="shared" si="120"/>
      </c>
      <c r="U103" s="303">
        <f t="shared" si="26"/>
      </c>
      <c r="V103" s="300">
        <f t="shared" si="144"/>
      </c>
      <c r="W103" s="300">
        <f>SUM(W100:W102)</f>
      </c>
      <c r="X103" s="300">
        <f t="shared" si="11"/>
      </c>
      <c r="Y103" s="300">
        <f t="shared" si="75"/>
      </c>
      <c r="Z103" s="355">
        <f t="shared" si="118"/>
      </c>
      <c r="AA103" s="303">
        <f t="shared" si="23"/>
      </c>
      <c r="AB103" s="336">
        <f t="shared" si="157"/>
      </c>
      <c r="AC103" s="302">
        <f t="shared" si="2"/>
      </c>
      <c r="AD103" s="302">
        <f t="shared" si="25"/>
      </c>
      <c r="AE103" s="302">
        <f t="shared" si="10"/>
      </c>
      <c r="AF103" s="302">
        <f>R103/AO107</f>
      </c>
      <c r="AG103" s="302">
        <f t="shared" si="6"/>
      </c>
      <c r="AH103" s="302">
        <f t="shared" si="8"/>
      </c>
      <c r="AI103" s="302">
        <f t="shared" si="4"/>
      </c>
      <c r="AJ103" s="317">
        <f>AVERAGE(AJ100:AJ102)</f>
      </c>
      <c r="AK103" s="332">
        <f>SUM(AK100:AK102)</f>
      </c>
      <c r="AL103" s="300">
        <f>SUM(AL100:AL102)</f>
      </c>
      <c r="AM103" s="300">
        <f>SUM(AM100:AM102)</f>
      </c>
      <c r="AN103" s="300">
        <f>SUM(AN100:AN102)</f>
      </c>
      <c r="AO103" s="300">
        <f>SUM(AO100:AO102)</f>
      </c>
      <c r="AP103" s="300">
        <f>SUM(AP100:AP102)</f>
      </c>
      <c r="AQ103" s="300">
        <f>SUM(AQ100:AQ102)</f>
      </c>
      <c r="AR103" s="300">
        <f>SUM(AR100:AR102)</f>
      </c>
      <c r="AS103" s="300">
        <f>SUM(AS100:AS102)</f>
      </c>
      <c r="AT103" s="300">
        <f>SUM(AT100:AT102)</f>
      </c>
      <c r="AU103" s="333">
        <f>SUM(AU100:AU102)</f>
      </c>
      <c r="AW103" s="305"/>
      <c r="AX103" s="300">
        <f>SUM(AX100:AX102)</f>
      </c>
    </row>
    <row r="104">
      <c r="A104" s="287"/>
      <c r="B104" s="287" t="s">
        <v>279</v>
      </c>
      <c r="C104" s="287" t="s">
        <v>247</v>
      </c>
      <c r="D104" s="287" t="s">
        <v>248</v>
      </c>
      <c r="E104" s="288" t="s">
        <v>275</v>
      </c>
      <c r="F104" s="313">
        <f t="shared" ref="F104:F105" si="49">G104+H104+I104</f>
      </c>
      <c r="G104" s="313">
        <v>362.37</v>
      </c>
      <c r="H104" s="313">
        <v>558.18</v>
      </c>
      <c r="I104" s="293"/>
      <c r="J104" s="293"/>
      <c r="K104" s="293"/>
      <c r="L104" s="293"/>
      <c r="M104" s="293"/>
      <c r="N104" s="294">
        <v>0</v>
      </c>
      <c r="O104" s="295">
        <f t="shared" si="146"/>
      </c>
      <c r="P104" s="294">
        <v>0</v>
      </c>
      <c r="Q104" s="295">
        <f t="shared" si="148"/>
      </c>
      <c r="R104" s="294">
        <v>0</v>
      </c>
      <c r="S104" s="313">
        <v>0</v>
      </c>
      <c r="T104" s="296">
        <f t="shared" si="120"/>
      </c>
      <c r="U104" s="296">
        <f t="shared" si="26"/>
      </c>
      <c r="V104" s="290">
        <f t="shared" si="144"/>
      </c>
      <c r="W104" s="294">
        <v>0</v>
      </c>
      <c r="X104" s="337">
        <f t="shared" si="11"/>
      </c>
      <c r="Y104" s="290">
        <f t="shared" si="75"/>
      </c>
      <c r="Z104" s="354">
        <f t="shared" si="118"/>
      </c>
      <c r="AA104" s="296">
        <f t="shared" si="23"/>
      </c>
      <c r="AB104" s="296">
        <f t="shared" si="157"/>
      </c>
      <c r="AC104" s="295">
        <f t="shared" si="2"/>
      </c>
      <c r="AD104" s="295">
        <f t="shared" si="25"/>
      </c>
      <c r="AE104" s="295">
        <f t="shared" si="10"/>
      </c>
      <c r="AF104" s="295">
        <f>R104/AO105</f>
      </c>
      <c r="AG104" s="295">
        <f t="shared" si="6"/>
      </c>
      <c r="AH104" s="295">
        <f t="shared" si="8"/>
      </c>
      <c r="AI104" s="295">
        <f t="shared" si="4"/>
      </c>
      <c r="AJ104" s="294">
        <v>62</v>
      </c>
      <c r="AK104" s="289">
        <v>2038</v>
      </c>
      <c r="AL104" s="290">
        <v>104</v>
      </c>
      <c r="AM104" s="290">
        <v>152</v>
      </c>
      <c r="AN104" s="290">
        <v>10</v>
      </c>
      <c r="AO104" s="330">
        <v>11</v>
      </c>
      <c r="AP104" s="290">
        <v>28</v>
      </c>
      <c r="AQ104" s="330">
        <v>18</v>
      </c>
      <c r="AR104" s="330">
        <v>0</v>
      </c>
      <c r="AS104" s="290">
        <v>0</v>
      </c>
      <c r="AT104" s="290">
        <v>0</v>
      </c>
      <c r="AU104" s="331">
        <v>1</v>
      </c>
      <c r="AW104" s="297"/>
      <c r="AX104" s="342">
        <f t="shared" ref="AX104:AX105" si="91">COUNT(AU104)</f>
      </c>
    </row>
    <row r="105">
      <c r="A105" s="287"/>
      <c r="B105" s="287" t="s">
        <v>279</v>
      </c>
      <c r="C105" s="287" t="s">
        <v>247</v>
      </c>
      <c r="D105" s="287" t="s">
        <v>248</v>
      </c>
      <c r="E105" s="287" t="s">
        <v>276</v>
      </c>
      <c r="F105" s="313">
        <f t="shared" si="49"/>
      </c>
      <c r="G105" s="313">
        <v>237.22</v>
      </c>
      <c r="H105" s="313">
        <v>644.43</v>
      </c>
      <c r="I105" s="293"/>
      <c r="J105" s="293"/>
      <c r="K105" s="293"/>
      <c r="L105" s="293"/>
      <c r="M105" s="293"/>
      <c r="N105" s="294">
        <v>0</v>
      </c>
      <c r="O105" s="295">
        <f t="shared" si="146"/>
      </c>
      <c r="P105" s="294">
        <v>0</v>
      </c>
      <c r="Q105" s="295">
        <f t="shared" si="148"/>
      </c>
      <c r="R105" s="294">
        <v>0</v>
      </c>
      <c r="S105" s="313">
        <v>0</v>
      </c>
      <c r="T105" s="296">
        <f t="shared" si="120"/>
      </c>
      <c r="U105" s="296">
        <f t="shared" si="26"/>
      </c>
      <c r="V105" s="290">
        <f t="shared" si="144"/>
      </c>
      <c r="W105" s="294">
        <v>0</v>
      </c>
      <c r="X105" s="290">
        <f t="shared" si="11"/>
      </c>
      <c r="Y105" s="290">
        <f t="shared" si="75"/>
      </c>
      <c r="Z105" s="354">
        <f t="shared" si="118"/>
      </c>
      <c r="AA105" s="296">
        <f t="shared" si="23"/>
      </c>
      <c r="AB105" s="296">
        <f t="shared" si="157"/>
      </c>
      <c r="AC105" s="295">
        <f t="shared" si="2"/>
      </c>
      <c r="AD105" s="295">
        <f t="shared" si="25"/>
      </c>
      <c r="AE105" s="295">
        <f t="shared" si="10"/>
      </c>
      <c r="AF105" s="295">
        <f>R105/AO106:AO105</f>
      </c>
      <c r="AG105" s="295">
        <f t="shared" si="6"/>
      </c>
      <c r="AH105" s="295">
        <f t="shared" si="8"/>
      </c>
      <c r="AI105" s="295">
        <f t="shared" si="4"/>
      </c>
      <c r="AJ105" s="294">
        <v>64</v>
      </c>
      <c r="AK105" s="289">
        <v>1924</v>
      </c>
      <c r="AL105" s="290">
        <v>74</v>
      </c>
      <c r="AM105" s="290">
        <v>148</v>
      </c>
      <c r="AN105" s="290">
        <v>11</v>
      </c>
      <c r="AO105" s="330">
        <v>6</v>
      </c>
      <c r="AP105" s="290">
        <v>23</v>
      </c>
      <c r="AQ105" s="330">
        <v>15</v>
      </c>
      <c r="AR105" s="330">
        <v>0</v>
      </c>
      <c r="AS105" s="290">
        <v>1</v>
      </c>
      <c r="AT105" s="290">
        <v>0</v>
      </c>
      <c r="AU105" s="331">
        <v>3</v>
      </c>
      <c r="AW105" s="297"/>
      <c r="AX105" s="342">
        <f t="shared" si="91"/>
      </c>
    </row>
    <row r="106">
      <c r="A106" s="287"/>
      <c r="B106" s="299" t="s">
        <v>253</v>
      </c>
      <c r="C106" s="299"/>
      <c r="D106" s="299"/>
      <c r="E106" s="299"/>
      <c r="F106" s="303">
        <f>SUM(F104:F105)</f>
      </c>
      <c r="G106" s="303">
        <f>SUM(G104:G105)</f>
      </c>
      <c r="H106" s="303">
        <f>SUM(H104:H105)</f>
      </c>
      <c r="I106" s="300">
        <f>SUM(I104:I105)</f>
      </c>
      <c r="J106" s="300">
        <f>SUM(J104:J105)</f>
      </c>
      <c r="K106" s="300">
        <f>SUM(K104:K105)</f>
      </c>
      <c r="L106" s="300">
        <f>SUM(L104:L105)</f>
      </c>
      <c r="M106" s="300">
        <f>SUM(M104:M105)</f>
      </c>
      <c r="N106" s="300">
        <f>SUM(N104:N105)</f>
      </c>
      <c r="O106" s="302">
        <f t="shared" si="146"/>
      </c>
      <c r="P106" s="300">
        <f>SUM(P104:P105)</f>
      </c>
      <c r="Q106" s="302">
        <f t="shared" si="148"/>
      </c>
      <c r="R106" s="300">
        <f>SUM(R104:R105)</f>
      </c>
      <c r="S106" s="303">
        <f>SUM(S104:S105)</f>
      </c>
      <c r="T106" s="303">
        <f t="shared" si="120"/>
      </c>
      <c r="U106" s="303">
        <f t="shared" si="26"/>
      </c>
      <c r="V106" s="300">
        <f t="shared" si="144"/>
      </c>
      <c r="W106" s="300">
        <f>SUM(W104:W105)</f>
      </c>
      <c r="X106" s="300">
        <f t="shared" si="11"/>
      </c>
      <c r="Y106" s="300">
        <f t="shared" si="75"/>
      </c>
      <c r="Z106" s="356">
        <f t="shared" si="118"/>
      </c>
      <c r="AA106" s="323">
        <f t="shared" si="23"/>
      </c>
      <c r="AB106" s="336">
        <f t="shared" si="157"/>
      </c>
      <c r="AC106" s="326">
        <f t="shared" si="2"/>
      </c>
      <c r="AD106" s="326">
        <f t="shared" si="25"/>
      </c>
      <c r="AE106" s="326">
        <f t="shared" si="10"/>
      </c>
      <c r="AF106" s="326">
        <f>R106/AU108</f>
      </c>
      <c r="AG106" s="326">
        <f t="shared" si="6"/>
      </c>
      <c r="AH106" s="326">
        <f t="shared" si="8"/>
      </c>
      <c r="AI106" s="326">
        <f t="shared" si="4"/>
      </c>
      <c r="AJ106" s="327">
        <f>AVERAGE(AJ104:AJ105)</f>
      </c>
      <c r="AK106" s="334">
        <f>SUM(AK104:AK105)</f>
      </c>
      <c r="AL106" s="300">
        <f>SUM(AL104:AL105)</f>
      </c>
      <c r="AM106" s="300">
        <f>SUM(AM104:AM105)</f>
      </c>
      <c r="AN106" s="300">
        <f>SUM(AN104:AN105)</f>
      </c>
      <c r="AO106" s="300">
        <f>SUM(AO104:AO105)</f>
      </c>
      <c r="AP106" s="300">
        <f>SUM(AP104:AP105)</f>
      </c>
      <c r="AQ106" s="300">
        <f>SUM(AQ104:AQ105)</f>
      </c>
      <c r="AR106" s="300">
        <f>SUM(AR104:AR105)</f>
      </c>
      <c r="AS106" s="300">
        <f>SUM(AS104:AS105)</f>
      </c>
      <c r="AT106" s="300">
        <f>SUM(AT104:AT105)</f>
      </c>
      <c r="AU106" s="306">
        <f>SUM(AU104:AU105)</f>
      </c>
      <c r="AW106" s="305"/>
      <c r="AX106" s="300">
        <f>SUM(AX104:AX105)</f>
      </c>
    </row>
    <row r="107">
      <c r="A107" s="287"/>
      <c r="B107" s="307" t="s">
        <v>254</v>
      </c>
      <c r="C107" s="307"/>
      <c r="D107" s="307"/>
      <c r="E107" s="307"/>
      <c r="F107" s="309">
        <f>F103+F106</f>
      </c>
      <c r="G107" s="309">
        <f>G103+G106</f>
      </c>
      <c r="H107" s="309">
        <f>H103+H106</f>
      </c>
      <c r="I107" s="307">
        <f>I103+I106</f>
      </c>
      <c r="J107" s="307">
        <f>J103+J106</f>
      </c>
      <c r="K107" s="307">
        <f>K103+K106</f>
      </c>
      <c r="L107" s="307">
        <f>L103+L106</f>
      </c>
      <c r="M107" s="307">
        <f>M103+M106</f>
      </c>
      <c r="N107" s="307">
        <f>N103+N106</f>
      </c>
      <c r="O107" s="308">
        <f t="shared" si="146"/>
      </c>
      <c r="P107" s="307">
        <f>P103+P106</f>
      </c>
      <c r="Q107" s="308">
        <f t="shared" si="148"/>
      </c>
      <c r="R107" s="307">
        <f>R103+R106</f>
      </c>
      <c r="S107" s="309">
        <f>S103+S106</f>
      </c>
      <c r="T107" s="309">
        <f t="shared" si="120"/>
      </c>
      <c r="U107" s="309">
        <f t="shared" si="26"/>
      </c>
      <c r="V107" s="307">
        <f t="shared" si="144"/>
      </c>
      <c r="W107" s="307">
        <f>W103+W106</f>
      </c>
      <c r="X107" s="307">
        <f t="shared" si="11"/>
      </c>
      <c r="Y107" s="307">
        <f t="shared" si="75"/>
      </c>
      <c r="Z107" s="357">
        <f t="shared" si="118"/>
      </c>
      <c r="AA107" s="309">
        <f t="shared" si="23"/>
      </c>
      <c r="AB107" s="309">
        <f>AB106+AB103</f>
      </c>
      <c r="AC107" s="308">
        <f t="shared" si="2"/>
      </c>
      <c r="AD107" s="308">
        <f t="shared" si="25"/>
      </c>
      <c r="AE107" s="308">
        <f t="shared" si="10"/>
      </c>
      <c r="AF107" s="308">
        <f>R107/AU106:AU105</f>
      </c>
      <c r="AG107" s="308">
        <f t="shared" si="6"/>
      </c>
      <c r="AH107" s="308">
        <f t="shared" si="8"/>
      </c>
      <c r="AI107" s="308">
        <f t="shared" si="4"/>
      </c>
      <c r="AJ107" s="329">
        <f>(AJ103+AJ106)/2</f>
      </c>
      <c r="AK107" s="307">
        <f>AK103+AK106</f>
      </c>
      <c r="AL107" s="335">
        <f>AL103+AL106</f>
      </c>
      <c r="AM107" s="335">
        <f>AM103+AM106</f>
      </c>
      <c r="AN107" s="335">
        <f>AN103+AN106</f>
      </c>
      <c r="AO107" s="335">
        <f>AO103+AO106</f>
      </c>
      <c r="AP107" s="335">
        <f>AP103+AP106</f>
      </c>
      <c r="AQ107" s="335">
        <f>AQ103+AQ106</f>
      </c>
      <c r="AR107" s="335">
        <f>AR103+AR106</f>
      </c>
      <c r="AS107" s="335">
        <f>AS103+AS106</f>
      </c>
      <c r="AT107" s="335">
        <f>AT103+AT106</f>
      </c>
      <c r="AU107" s="307">
        <f>AU103+AU106</f>
      </c>
      <c r="AW107" s="349">
        <f>AW103+AW106</f>
      </c>
      <c r="AX107" s="307">
        <f>AX103+AX106</f>
      </c>
    </row>
    <row r="108">
      <c r="A108" s="287" t="s">
        <v>282</v>
      </c>
      <c r="B108" s="287" t="s">
        <v>246</v>
      </c>
      <c r="C108" s="287" t="s">
        <v>247</v>
      </c>
      <c r="D108" s="339" t="s">
        <v>256</v>
      </c>
      <c r="E108" s="288" t="s">
        <v>249</v>
      </c>
      <c r="F108" s="313">
        <f t="shared" ref="F108:F110" si="50">G108+H108+I108</f>
      </c>
      <c r="G108" s="313">
        <v>252.86</v>
      </c>
      <c r="H108" s="313">
        <v>464.76</v>
      </c>
      <c r="I108" s="291"/>
      <c r="J108" s="291"/>
      <c r="K108" s="291"/>
      <c r="L108" s="293"/>
      <c r="M108" s="293"/>
      <c r="N108" s="294">
        <v>0</v>
      </c>
      <c r="O108" s="295">
        <f t="shared" si="146"/>
      </c>
      <c r="P108" s="294">
        <v>0</v>
      </c>
      <c r="Q108" s="295">
        <f t="shared" si="148"/>
      </c>
      <c r="R108" s="294">
        <v>0</v>
      </c>
      <c r="S108" s="313">
        <v>0</v>
      </c>
      <c r="T108" s="296">
        <f t="shared" si="120"/>
      </c>
      <c r="U108" s="296">
        <f t="shared" si="26"/>
      </c>
      <c r="V108" s="290">
        <f t="shared" si="144"/>
      </c>
      <c r="W108" s="294">
        <v>0</v>
      </c>
      <c r="X108" s="290">
        <f t="shared" si="11"/>
      </c>
      <c r="Y108" s="290">
        <f t="shared" si="75"/>
      </c>
      <c r="Z108" s="354">
        <f t="shared" si="118"/>
      </c>
      <c r="AA108" s="296">
        <f t="shared" si="23"/>
      </c>
      <c r="AB108" s="296">
        <f t="shared" ref="AB108:AB114" si="158">F108/AN108</f>
      </c>
      <c r="AC108" s="295">
        <f t="shared" si="2"/>
      </c>
      <c r="AD108" s="295">
        <f t="shared" si="25"/>
      </c>
      <c r="AE108" s="295">
        <f t="shared" si="10"/>
      </c>
      <c r="AF108" s="295">
        <f t="shared" ref="AF108:AF110" si="130">R108/AO108</f>
      </c>
      <c r="AG108" s="295">
        <f t="shared" si="6"/>
      </c>
      <c r="AH108" s="295">
        <f t="shared" si="8"/>
      </c>
      <c r="AI108" s="359">
        <f t="shared" si="4"/>
      </c>
      <c r="AJ108" s="294">
        <v>62</v>
      </c>
      <c r="AK108" s="290">
        <v>2543</v>
      </c>
      <c r="AL108" s="290">
        <v>103</v>
      </c>
      <c r="AM108" s="290">
        <v>128</v>
      </c>
      <c r="AN108" s="294">
        <v>22</v>
      </c>
      <c r="AO108" s="330">
        <v>8</v>
      </c>
      <c r="AP108" s="360">
        <v>22</v>
      </c>
      <c r="AQ108" s="360">
        <v>23</v>
      </c>
      <c r="AR108" s="330">
        <v>0</v>
      </c>
      <c r="AS108" s="290">
        <v>1</v>
      </c>
      <c r="AT108" s="330">
        <v>0</v>
      </c>
      <c r="AU108" s="294">
        <v>5</v>
      </c>
      <c r="AW108" s="297"/>
      <c r="AX108" s="342">
        <f t="shared" ref="AX108:AX110" si="92">COUNT(AU108)</f>
      </c>
    </row>
    <row r="109">
      <c r="A109" s="287"/>
      <c r="B109" s="287" t="s">
        <v>246</v>
      </c>
      <c r="C109" s="287" t="s">
        <v>247</v>
      </c>
      <c r="D109" s="339" t="s">
        <v>256</v>
      </c>
      <c r="E109" s="288" t="s">
        <v>250</v>
      </c>
      <c r="F109" s="313">
        <f t="shared" si="50"/>
      </c>
      <c r="G109" s="313">
        <v>117.44</v>
      </c>
      <c r="H109" s="313">
        <v>217.11</v>
      </c>
      <c r="I109" s="293"/>
      <c r="J109" s="293"/>
      <c r="K109" s="293"/>
      <c r="L109" s="293"/>
      <c r="M109" s="293"/>
      <c r="N109" s="294">
        <v>0</v>
      </c>
      <c r="O109" s="295">
        <f t="shared" si="146"/>
      </c>
      <c r="P109" s="294">
        <v>0</v>
      </c>
      <c r="Q109" s="295">
        <f t="shared" si="148"/>
      </c>
      <c r="R109" s="294">
        <v>0</v>
      </c>
      <c r="S109" s="313">
        <v>0</v>
      </c>
      <c r="T109" s="296">
        <f t="shared" si="120"/>
      </c>
      <c r="U109" s="296">
        <f t="shared" si="26"/>
      </c>
      <c r="V109" s="290">
        <f t="shared" si="144"/>
      </c>
      <c r="W109" s="294">
        <v>0</v>
      </c>
      <c r="X109" s="290">
        <f t="shared" si="11"/>
      </c>
      <c r="Y109" s="290">
        <f t="shared" si="75"/>
      </c>
      <c r="Z109" s="354">
        <f t="shared" si="118"/>
      </c>
      <c r="AA109" s="296">
        <f t="shared" si="23"/>
      </c>
      <c r="AB109" s="296">
        <f t="shared" si="158"/>
      </c>
      <c r="AC109" s="295">
        <f t="shared" si="2"/>
      </c>
      <c r="AD109" s="295">
        <f t="shared" si="25"/>
      </c>
      <c r="AE109" s="295">
        <f t="shared" si="10"/>
      </c>
      <c r="AF109" s="295">
        <f t="shared" si="130"/>
      </c>
      <c r="AG109" s="295">
        <f t="shared" si="6"/>
      </c>
      <c r="AH109" s="343">
        <f t="shared" si="8"/>
      </c>
      <c r="AI109" s="343">
        <f t="shared" si="4"/>
      </c>
      <c r="AJ109" s="294">
        <v>57</v>
      </c>
      <c r="AK109" s="290">
        <v>1744</v>
      </c>
      <c r="AL109" s="290">
        <v>65</v>
      </c>
      <c r="AM109" s="290">
        <v>97</v>
      </c>
      <c r="AN109" s="290">
        <v>8</v>
      </c>
      <c r="AO109" s="330">
        <v>3</v>
      </c>
      <c r="AP109" s="331">
        <v>2</v>
      </c>
      <c r="AQ109" s="330">
        <v>11</v>
      </c>
      <c r="AR109" s="330">
        <v>0</v>
      </c>
      <c r="AS109" s="290">
        <v>1</v>
      </c>
      <c r="AT109" s="290">
        <v>0</v>
      </c>
      <c r="AU109" s="331">
        <v>1</v>
      </c>
      <c r="AW109" s="297"/>
      <c r="AX109" s="342">
        <f t="shared" si="92"/>
      </c>
    </row>
    <row r="110">
      <c r="A110" s="287"/>
      <c r="B110" s="287" t="s">
        <v>270</v>
      </c>
      <c r="C110" s="287" t="s">
        <v>247</v>
      </c>
      <c r="D110" s="339" t="s">
        <v>256</v>
      </c>
      <c r="E110" s="288" t="s">
        <v>251</v>
      </c>
      <c r="F110" s="313">
        <f t="shared" si="50"/>
      </c>
      <c r="G110" s="313">
        <v>89.67</v>
      </c>
      <c r="H110" s="313">
        <v>158.47</v>
      </c>
      <c r="I110" s="293"/>
      <c r="J110" s="293"/>
      <c r="K110" s="293"/>
      <c r="L110" s="293"/>
      <c r="M110" s="293"/>
      <c r="N110" s="294">
        <v>0</v>
      </c>
      <c r="O110" s="295">
        <f t="shared" si="146"/>
      </c>
      <c r="P110" s="294">
        <v>0</v>
      </c>
      <c r="Q110" s="295">
        <f t="shared" si="148"/>
      </c>
      <c r="R110" s="294">
        <v>0</v>
      </c>
      <c r="S110" s="313">
        <v>0</v>
      </c>
      <c r="T110" s="296">
        <f t="shared" si="120"/>
      </c>
      <c r="U110" s="296">
        <f t="shared" si="26"/>
      </c>
      <c r="V110" s="290">
        <f t="shared" si="144"/>
      </c>
      <c r="W110" s="294">
        <v>0</v>
      </c>
      <c r="X110" s="290">
        <f t="shared" si="11"/>
      </c>
      <c r="Y110" s="290">
        <f t="shared" si="75"/>
      </c>
      <c r="Z110" s="354">
        <f t="shared" si="118"/>
      </c>
      <c r="AA110" s="296">
        <f t="shared" si="23"/>
      </c>
      <c r="AB110" s="296">
        <f t="shared" si="158"/>
      </c>
      <c r="AC110" s="295">
        <f t="shared" si="2"/>
      </c>
      <c r="AD110" s="295">
        <f t="shared" si="25"/>
      </c>
      <c r="AE110" s="295">
        <f t="shared" si="10"/>
      </c>
      <c r="AF110" s="295">
        <f t="shared" si="130"/>
      </c>
      <c r="AG110" s="295">
        <f t="shared" si="6"/>
      </c>
      <c r="AH110" s="295">
        <f t="shared" si="8"/>
      </c>
      <c r="AI110" s="361">
        <f t="shared" si="4"/>
      </c>
      <c r="AJ110" s="294">
        <v>58</v>
      </c>
      <c r="AK110" s="290">
        <v>1362</v>
      </c>
      <c r="AL110" s="290">
        <v>59</v>
      </c>
      <c r="AM110" s="290">
        <v>89</v>
      </c>
      <c r="AN110" s="290">
        <v>12</v>
      </c>
      <c r="AO110" s="330">
        <v>2</v>
      </c>
      <c r="AP110" s="362">
        <v>5</v>
      </c>
      <c r="AQ110" s="330">
        <v>8</v>
      </c>
      <c r="AR110" s="330">
        <v>0</v>
      </c>
      <c r="AS110" s="294">
        <v>0</v>
      </c>
      <c r="AT110" s="294">
        <v>0</v>
      </c>
      <c r="AU110" s="331">
        <v>8</v>
      </c>
      <c r="AW110" s="297"/>
      <c r="AX110" s="342">
        <f t="shared" si="92"/>
      </c>
    </row>
    <row r="111">
      <c r="A111" s="287"/>
      <c r="B111" s="299" t="s">
        <v>253</v>
      </c>
      <c r="C111" s="299"/>
      <c r="D111" s="299"/>
      <c r="E111" s="299"/>
      <c r="F111" s="303">
        <f>SUM(F108:F110)</f>
      </c>
      <c r="G111" s="303">
        <f>SUM(G108:G110)</f>
      </c>
      <c r="H111" s="303">
        <f>SUM(H108:H110)</f>
      </c>
      <c r="I111" s="300">
        <f>SUM(I108:I110)</f>
      </c>
      <c r="J111" s="300">
        <f>SUM(J108:J110)</f>
      </c>
      <c r="K111" s="300">
        <f>SUM(K108:K110)</f>
      </c>
      <c r="L111" s="300">
        <f>SUM(L108:L110)</f>
      </c>
      <c r="M111" s="300">
        <f>SUM(M108:M110)</f>
      </c>
      <c r="N111" s="300">
        <f>SUM(N108:N110)</f>
      </c>
      <c r="O111" s="302">
        <f t="shared" si="146"/>
      </c>
      <c r="P111" s="300">
        <f>SUM(P108:P110)</f>
      </c>
      <c r="Q111" s="302">
        <f t="shared" si="148"/>
      </c>
      <c r="R111" s="300">
        <f>SUM(R108:R110)</f>
      </c>
      <c r="S111" s="303">
        <f>SUM(S108:S110)</f>
      </c>
      <c r="T111" s="303">
        <f t="shared" si="120"/>
      </c>
      <c r="U111" s="303">
        <f t="shared" si="26"/>
      </c>
      <c r="V111" s="300">
        <f t="shared" si="144"/>
      </c>
      <c r="W111" s="300">
        <f>SUM(W108:W110)</f>
      </c>
      <c r="X111" s="300">
        <f t="shared" si="11"/>
      </c>
      <c r="Y111" s="300">
        <f t="shared" si="75"/>
      </c>
      <c r="Z111" s="355">
        <f t="shared" si="118"/>
      </c>
      <c r="AA111" s="303">
        <f t="shared" si="23"/>
      </c>
      <c r="AB111" s="336">
        <f t="shared" si="158"/>
      </c>
      <c r="AC111" s="302">
        <f t="shared" si="2"/>
      </c>
      <c r="AD111" s="302">
        <f t="shared" si="25"/>
      </c>
      <c r="AE111" s="302">
        <f t="shared" si="10"/>
      </c>
      <c r="AF111" s="302">
        <f>R111/AO115</f>
      </c>
      <c r="AG111" s="302">
        <f t="shared" si="6"/>
      </c>
      <c r="AH111" s="302">
        <f t="shared" si="8"/>
      </c>
      <c r="AI111" s="363">
        <f t="shared" si="4"/>
      </c>
      <c r="AJ111" s="317">
        <f>AVERAGE(AJ108:AJ110)</f>
      </c>
      <c r="AK111" s="300">
        <f>SUM(AK108:AK110)</f>
      </c>
      <c r="AL111" s="300">
        <f>SUM(AL108:AL110)</f>
      </c>
      <c r="AM111" s="300">
        <f>SUM(AM108:AM110)</f>
      </c>
      <c r="AN111" s="300">
        <f>SUM(AN108:AN110)</f>
      </c>
      <c r="AO111" s="300">
        <f>SUM(AO108:AO110)</f>
      </c>
      <c r="AP111" s="333">
        <f>SUM(AP108:AP110)</f>
      </c>
      <c r="AQ111" s="300">
        <f>SUM(AQ108:AQ110)</f>
      </c>
      <c r="AR111" s="300">
        <f>SUM(AR108:AR110)</f>
      </c>
      <c r="AS111" s="300">
        <f>SUM(AS108:AS110)</f>
      </c>
      <c r="AT111" s="300">
        <f>SUM(AT108:AT110)</f>
      </c>
      <c r="AU111" s="333">
        <f>SUM(AU108:AU110)</f>
      </c>
      <c r="AW111" s="305"/>
      <c r="AX111" s="300">
        <f>SUM(AX108:AX110)</f>
      </c>
    </row>
    <row r="112">
      <c r="A112" s="287"/>
      <c r="B112" s="287" t="s">
        <v>270</v>
      </c>
      <c r="C112" s="287" t="s">
        <v>247</v>
      </c>
      <c r="D112" s="287" t="s">
        <v>248</v>
      </c>
      <c r="E112" s="288" t="s">
        <v>252</v>
      </c>
      <c r="F112" s="313">
        <f t="shared" ref="F112:F113" si="51">G112+H112+I112</f>
      </c>
      <c r="G112" s="313">
        <v>110.2</v>
      </c>
      <c r="H112" s="313">
        <v>173.36</v>
      </c>
      <c r="I112" s="293"/>
      <c r="J112" s="293"/>
      <c r="K112" s="293"/>
      <c r="L112" s="293"/>
      <c r="M112" s="293"/>
      <c r="N112" s="294">
        <v>0</v>
      </c>
      <c r="O112" s="295">
        <f t="shared" si="146"/>
      </c>
      <c r="P112" s="294">
        <v>0</v>
      </c>
      <c r="Q112" s="295">
        <f t="shared" si="148"/>
      </c>
      <c r="R112" s="294">
        <v>0</v>
      </c>
      <c r="S112" s="313">
        <v>0</v>
      </c>
      <c r="T112" s="296">
        <f t="shared" si="120"/>
      </c>
      <c r="U112" s="296">
        <f t="shared" si="26"/>
      </c>
      <c r="V112" s="290">
        <f t="shared" si="144"/>
      </c>
      <c r="W112" s="294">
        <v>0</v>
      </c>
      <c r="X112" s="337">
        <f t="shared" si="11"/>
      </c>
      <c r="Y112" s="290">
        <f t="shared" si="75"/>
      </c>
      <c r="Z112" s="354">
        <f t="shared" si="118"/>
      </c>
      <c r="AA112" s="296">
        <f t="shared" si="23"/>
      </c>
      <c r="AB112" s="296">
        <f t="shared" si="158"/>
      </c>
      <c r="AC112" s="295">
        <f t="shared" si="2"/>
      </c>
      <c r="AD112" s="295">
        <f t="shared" si="25"/>
      </c>
      <c r="AE112" s="295">
        <f t="shared" si="10"/>
      </c>
      <c r="AF112" s="295">
        <f>R112/AO114:AO113</f>
      </c>
      <c r="AG112" s="295">
        <f t="shared" si="6"/>
      </c>
      <c r="AH112" s="295">
        <f t="shared" si="8"/>
      </c>
      <c r="AI112" s="343">
        <f t="shared" si="4"/>
      </c>
      <c r="AJ112" s="294">
        <v>58</v>
      </c>
      <c r="AK112" s="290">
        <v>1542</v>
      </c>
      <c r="AL112" s="290">
        <v>60</v>
      </c>
      <c r="AM112" s="290">
        <v>106</v>
      </c>
      <c r="AN112" s="290">
        <v>9</v>
      </c>
      <c r="AO112" s="330">
        <v>3</v>
      </c>
      <c r="AP112" s="362">
        <v>14</v>
      </c>
      <c r="AQ112" s="330">
        <v>10</v>
      </c>
      <c r="AR112" s="330">
        <v>0</v>
      </c>
      <c r="AS112" s="290">
        <v>0</v>
      </c>
      <c r="AT112" s="290">
        <v>0</v>
      </c>
      <c r="AU112" s="331">
        <v>0</v>
      </c>
      <c r="AW112" s="297"/>
      <c r="AX112" s="342">
        <f t="shared" ref="AX112:AX113" si="93">COUNT(AU112)</f>
      </c>
    </row>
    <row customHeight="true" ht="16.071428571428573" r="113">
      <c r="A113" s="287"/>
      <c r="B113" s="287" t="s">
        <v>270</v>
      </c>
      <c r="C113" s="287" t="s">
        <v>247</v>
      </c>
      <c r="D113" s="287" t="s">
        <v>248</v>
      </c>
      <c r="E113" s="287" t="s">
        <v>257</v>
      </c>
      <c r="F113" s="313">
        <f t="shared" si="51"/>
      </c>
      <c r="G113" s="313">
        <f>286.97+3.49</f>
      </c>
      <c r="H113" s="313">
        <f>144.74+6.2</f>
      </c>
      <c r="I113" s="293"/>
      <c r="J113" s="293"/>
      <c r="K113" s="293"/>
      <c r="L113" s="293"/>
      <c r="M113" s="293"/>
      <c r="N113" s="294">
        <v>0</v>
      </c>
      <c r="O113" s="295">
        <f t="shared" si="146"/>
      </c>
      <c r="P113" s="294">
        <v>0</v>
      </c>
      <c r="Q113" s="295">
        <f t="shared" si="148"/>
      </c>
      <c r="R113" s="294">
        <v>0</v>
      </c>
      <c r="S113" s="313">
        <v>0</v>
      </c>
      <c r="T113" s="296">
        <f t="shared" si="120"/>
      </c>
      <c r="U113" s="296">
        <f t="shared" si="26"/>
      </c>
      <c r="V113" s="290">
        <f t="shared" si="144"/>
      </c>
      <c r="W113" s="294">
        <v>0</v>
      </c>
      <c r="X113" s="337">
        <f t="shared" si="11"/>
      </c>
      <c r="Y113" s="290">
        <f t="shared" si="75"/>
      </c>
      <c r="Z113" s="354">
        <f t="shared" si="118"/>
      </c>
      <c r="AA113" s="296">
        <f t="shared" si="23"/>
      </c>
      <c r="AB113" s="296">
        <f t="shared" si="158"/>
      </c>
      <c r="AC113" s="295">
        <f t="shared" si="2"/>
      </c>
      <c r="AD113" s="295">
        <f t="shared" si="25"/>
      </c>
      <c r="AE113" s="295">
        <f t="shared" si="10"/>
      </c>
      <c r="AF113" s="295">
        <f>R113/AO114</f>
      </c>
      <c r="AG113" s="295">
        <f t="shared" si="6"/>
      </c>
      <c r="AH113" s="295">
        <f t="shared" si="8"/>
      </c>
      <c r="AI113" s="343">
        <f t="shared" si="4"/>
      </c>
      <c r="AJ113" s="294">
        <v>59</v>
      </c>
      <c r="AK113" s="290">
        <v>1972</v>
      </c>
      <c r="AL113" s="290">
        <v>87</v>
      </c>
      <c r="AM113" s="290">
        <v>148</v>
      </c>
      <c r="AN113" s="290">
        <v>21</v>
      </c>
      <c r="AO113" s="330">
        <v>8</v>
      </c>
      <c r="AP113" s="362">
        <v>14</v>
      </c>
      <c r="AQ113" s="330">
        <v>16</v>
      </c>
      <c r="AR113" s="330">
        <v>0</v>
      </c>
      <c r="AS113" s="290">
        <v>1</v>
      </c>
      <c r="AT113" s="290">
        <v>0</v>
      </c>
      <c r="AU113" s="331">
        <v>2</v>
      </c>
      <c r="AW113" s="297"/>
      <c r="AX113" s="342">
        <f t="shared" si="93"/>
      </c>
    </row>
    <row r="114">
      <c r="A114" s="287"/>
      <c r="B114" s="299" t="s">
        <v>253</v>
      </c>
      <c r="C114" s="299"/>
      <c r="D114" s="299"/>
      <c r="E114" s="299"/>
      <c r="F114" s="303">
        <f>SUM(F112:F113)</f>
      </c>
      <c r="G114" s="303">
        <f>SUM(G112:G113)</f>
      </c>
      <c r="H114" s="303">
        <f>SUM(H112:H113)</f>
      </c>
      <c r="I114" s="300">
        <f>SUM(I112:I113)</f>
      </c>
      <c r="J114" s="300">
        <f>SUM(J112:J113)</f>
      </c>
      <c r="K114" s="300">
        <f>SUM(K112:K113)</f>
      </c>
      <c r="L114" s="300">
        <f>SUM(L112:L113)</f>
      </c>
      <c r="M114" s="300">
        <f>SUM(M112:M113)</f>
      </c>
      <c r="N114" s="300">
        <f>SUM(N112:N113)</f>
      </c>
      <c r="O114" s="302">
        <f t="shared" si="146"/>
      </c>
      <c r="P114" s="300">
        <f>SUM(P112:P113)</f>
      </c>
      <c r="Q114" s="302">
        <f t="shared" si="148"/>
      </c>
      <c r="R114" s="300">
        <f>SUM(R112:R113)</f>
      </c>
      <c r="S114" s="303">
        <f>SUM(S112:S113)</f>
      </c>
      <c r="T114" s="303">
        <f t="shared" si="120"/>
      </c>
      <c r="U114" s="303">
        <f t="shared" si="26"/>
      </c>
      <c r="V114" s="300">
        <f t="shared" si="144"/>
      </c>
      <c r="W114" s="300">
        <f>SUM(W112:W113)</f>
      </c>
      <c r="X114" s="300">
        <f t="shared" si="11"/>
      </c>
      <c r="Y114" s="300">
        <f t="shared" si="75"/>
      </c>
      <c r="Z114" s="356">
        <f t="shared" si="118"/>
      </c>
      <c r="AA114" s="323">
        <f t="shared" si="23"/>
      </c>
      <c r="AB114" s="336">
        <f t="shared" si="158"/>
      </c>
      <c r="AC114" s="326">
        <f t="shared" si="2"/>
      </c>
      <c r="AD114" s="326">
        <f t="shared" si="25"/>
      </c>
      <c r="AE114" s="326">
        <f t="shared" si="10"/>
      </c>
      <c r="AF114" s="326">
        <f>R114/AU116</f>
      </c>
      <c r="AG114" s="326">
        <f t="shared" si="6"/>
      </c>
      <c r="AH114" s="326">
        <f t="shared" si="8"/>
      </c>
      <c r="AI114" s="326">
        <f t="shared" si="4"/>
      </c>
      <c r="AJ114" s="364">
        <f>AVERAGE(AJ112:AJ113)</f>
      </c>
      <c r="AK114" s="365">
        <f>SUM(AK112:AK113)</f>
      </c>
      <c r="AL114" s="301">
        <f>SUM(AL112:AL113)</f>
      </c>
      <c r="AM114" s="301">
        <f>SUM(AM112:AM113)</f>
      </c>
      <c r="AN114" s="301">
        <f>SUM(AN112:AN113)</f>
      </c>
      <c r="AO114" s="301">
        <f>SUM(AO112:AO113)</f>
      </c>
      <c r="AP114" s="300">
        <f>SUM(AP112:AP113)</f>
      </c>
      <c r="AQ114" s="300">
        <f>SUM(AQ112:AQ113)</f>
      </c>
      <c r="AR114" s="300">
        <f>SUM(AR112:AR113)</f>
      </c>
      <c r="AS114" s="300">
        <f>SUM(AS112:AS113)</f>
      </c>
      <c r="AT114" s="300">
        <f>SUM(AT112:AT113)</f>
      </c>
      <c r="AU114" s="306">
        <f>SUM(AU112:AU113)</f>
      </c>
      <c r="AW114" s="305"/>
      <c r="AX114" s="300">
        <f>SUM(AX112:AX113)</f>
      </c>
    </row>
    <row r="115">
      <c r="A115" s="287"/>
      <c r="B115" s="307" t="s">
        <v>254</v>
      </c>
      <c r="C115" s="307"/>
      <c r="D115" s="307"/>
      <c r="E115" s="307"/>
      <c r="F115" s="309">
        <f>F111+F114</f>
      </c>
      <c r="G115" s="309">
        <f>G111+G114</f>
      </c>
      <c r="H115" s="309">
        <f>H111+H114</f>
      </c>
      <c r="I115" s="307">
        <f>I111+I114</f>
      </c>
      <c r="J115" s="307">
        <f>J111+J114</f>
      </c>
      <c r="K115" s="307">
        <f>K111+K114</f>
      </c>
      <c r="L115" s="307">
        <f>L111+L114</f>
      </c>
      <c r="M115" s="307">
        <f>M111+M114</f>
      </c>
      <c r="N115" s="307">
        <f>N111+N114</f>
      </c>
      <c r="O115" s="308">
        <f t="shared" si="146"/>
      </c>
      <c r="P115" s="307">
        <f>P111+P114</f>
      </c>
      <c r="Q115" s="308">
        <f t="shared" si="148"/>
      </c>
      <c r="R115" s="307">
        <f>R111+R114</f>
      </c>
      <c r="S115" s="309">
        <f>S111+S114</f>
      </c>
      <c r="T115" s="309">
        <f t="shared" si="120"/>
      </c>
      <c r="U115" s="309">
        <f t="shared" si="26"/>
      </c>
      <c r="V115" s="307">
        <f t="shared" si="144"/>
      </c>
      <c r="W115" s="307">
        <f>W111+W114</f>
      </c>
      <c r="X115" s="307">
        <f t="shared" si="11"/>
      </c>
      <c r="Y115" s="307">
        <f t="shared" si="75"/>
      </c>
      <c r="Z115" s="357">
        <f t="shared" si="118"/>
      </c>
      <c r="AA115" s="309">
        <f t="shared" si="23"/>
      </c>
      <c r="AB115" s="309">
        <f>AB114+AB111</f>
      </c>
      <c r="AC115" s="308">
        <f t="shared" si="2"/>
      </c>
      <c r="AD115" s="308">
        <f t="shared" si="25"/>
      </c>
      <c r="AE115" s="308">
        <f t="shared" si="10"/>
      </c>
      <c r="AF115" s="308">
        <f>R115/AU114:AU113</f>
      </c>
      <c r="AG115" s="308">
        <f t="shared" si="6"/>
      </c>
      <c r="AH115" s="308">
        <f t="shared" si="8"/>
      </c>
      <c r="AI115" s="308">
        <f t="shared" si="4"/>
      </c>
      <c r="AJ115" s="329">
        <f>(AJ111+AJ114)/2</f>
      </c>
      <c r="AK115" s="307">
        <f>AK111+AK114</f>
      </c>
      <c r="AL115" s="335">
        <f>AL111+AL114</f>
      </c>
      <c r="AM115" s="335">
        <f>AM111+AM114</f>
      </c>
      <c r="AN115" s="335">
        <f>AN111+AN114</f>
      </c>
      <c r="AO115" s="335">
        <f>AO111+AO114</f>
      </c>
      <c r="AP115" s="335">
        <f>AP111+AP114</f>
      </c>
      <c r="AQ115" s="335">
        <f>AQ111+AQ114</f>
      </c>
      <c r="AR115" s="335">
        <f>AR111+AR114</f>
      </c>
      <c r="AS115" s="335">
        <f>AS111+AS114</f>
      </c>
      <c r="AT115" s="335">
        <f>AT111+AT114</f>
      </c>
      <c r="AU115" s="307">
        <f>AU111+AU114</f>
      </c>
      <c r="AW115" s="349">
        <f>AW111+AW114</f>
      </c>
      <c r="AX115" s="307">
        <f>AX111+AX114</f>
      </c>
    </row>
    <row r="116">
      <c r="A116" s="339" t="s">
        <v>283</v>
      </c>
      <c r="B116" s="287" t="s">
        <v>246</v>
      </c>
      <c r="C116" s="287" t="s">
        <v>247</v>
      </c>
      <c r="D116" s="287" t="s">
        <v>248</v>
      </c>
      <c r="E116" s="288" t="s">
        <v>249</v>
      </c>
      <c r="F116" s="314">
        <f t="shared" ref="F116:F118" si="52">G116+H116+I116</f>
      </c>
      <c r="G116" s="313">
        <v>264.58</v>
      </c>
      <c r="H116" s="313">
        <v>1084.84</v>
      </c>
      <c r="I116" s="291"/>
      <c r="J116" s="291"/>
      <c r="K116" s="291"/>
      <c r="L116" s="293"/>
      <c r="M116" s="293"/>
      <c r="N116" s="294">
        <v>0</v>
      </c>
      <c r="O116" s="295">
        <f t="shared" si="146"/>
      </c>
      <c r="P116" s="294">
        <v>0</v>
      </c>
      <c r="Q116" s="295">
        <f t="shared" si="148"/>
      </c>
      <c r="R116" s="366">
        <v>1</v>
      </c>
      <c r="S116" s="366">
        <v>3230</v>
      </c>
      <c r="T116" s="296">
        <f t="shared" si="120"/>
      </c>
      <c r="U116" s="296">
        <f t="shared" si="26"/>
      </c>
      <c r="V116" s="290">
        <f t="shared" si="144"/>
      </c>
      <c r="W116" s="294">
        <v>1</v>
      </c>
      <c r="X116" s="290">
        <f t="shared" si="11"/>
      </c>
      <c r="Y116" s="290">
        <f t="shared" si="75"/>
      </c>
      <c r="Z116" s="354">
        <f t="shared" si="118"/>
      </c>
      <c r="AA116" s="296">
        <f t="shared" si="23"/>
      </c>
      <c r="AB116" s="296">
        <f t="shared" ref="AB116:AB123" si="159">F116/AN116</f>
      </c>
      <c r="AC116" s="295">
        <f t="shared" si="2"/>
      </c>
      <c r="AD116" s="295">
        <f t="shared" si="25"/>
      </c>
      <c r="AE116" s="295">
        <f t="shared" si="10"/>
      </c>
      <c r="AF116" s="295">
        <f t="shared" ref="AF116:AF118" si="131">R116/AO116</f>
      </c>
      <c r="AG116" s="295">
        <f t="shared" si="6"/>
      </c>
      <c r="AH116" s="295">
        <f t="shared" si="8"/>
      </c>
      <c r="AI116" s="359">
        <f t="shared" si="4"/>
      </c>
      <c r="AJ116" s="294">
        <v>49</v>
      </c>
      <c r="AK116" s="290">
        <v>3416</v>
      </c>
      <c r="AL116" s="290">
        <v>96</v>
      </c>
      <c r="AM116" s="290">
        <v>142</v>
      </c>
      <c r="AN116" s="294">
        <v>22</v>
      </c>
      <c r="AO116" s="330">
        <v>11</v>
      </c>
      <c r="AP116" s="360">
        <v>39</v>
      </c>
      <c r="AQ116" s="360">
        <v>28</v>
      </c>
      <c r="AR116" s="330">
        <v>1</v>
      </c>
      <c r="AS116" s="330">
        <v>1</v>
      </c>
      <c r="AT116" s="294">
        <v>0</v>
      </c>
      <c r="AU116" s="294">
        <v>4</v>
      </c>
      <c r="AW116" s="297"/>
      <c r="AX116" s="342">
        <f t="shared" ref="AX116:AX118" si="94">COUNT(AU116)</f>
      </c>
    </row>
    <row r="117">
      <c r="A117" s="339"/>
      <c r="B117" s="287" t="s">
        <v>246</v>
      </c>
      <c r="C117" s="287" t="s">
        <v>247</v>
      </c>
      <c r="D117" s="287" t="s">
        <v>248</v>
      </c>
      <c r="E117" s="288" t="s">
        <v>250</v>
      </c>
      <c r="F117" s="314">
        <f t="shared" si="52"/>
      </c>
      <c r="G117" s="313">
        <v>172.18</v>
      </c>
      <c r="H117" s="313">
        <v>1032.28</v>
      </c>
      <c r="I117" s="293"/>
      <c r="J117" s="293"/>
      <c r="K117" s="293"/>
      <c r="L117" s="293"/>
      <c r="M117" s="293"/>
      <c r="N117" s="294">
        <v>0</v>
      </c>
      <c r="O117" s="295">
        <f t="shared" si="146"/>
      </c>
      <c r="P117" s="294">
        <v>1</v>
      </c>
      <c r="Q117" s="295">
        <f t="shared" si="148"/>
      </c>
      <c r="R117" s="294">
        <v>1</v>
      </c>
      <c r="S117" s="313">
        <v>4588.79</v>
      </c>
      <c r="T117" s="296">
        <f t="shared" si="120"/>
      </c>
      <c r="U117" s="296">
        <f t="shared" si="26"/>
      </c>
      <c r="V117" s="290">
        <f t="shared" si="144"/>
      </c>
      <c r="W117" s="294">
        <v>1</v>
      </c>
      <c r="X117" s="290">
        <f t="shared" si="11"/>
      </c>
      <c r="Y117" s="290">
        <f t="shared" si="75"/>
      </c>
      <c r="Z117" s="354">
        <f t="shared" si="118"/>
      </c>
      <c r="AA117" s="296">
        <f t="shared" si="23"/>
      </c>
      <c r="AB117" s="296">
        <f t="shared" si="159"/>
      </c>
      <c r="AC117" s="295">
        <f t="shared" si="2"/>
      </c>
      <c r="AD117" s="295">
        <f t="shared" si="25"/>
      </c>
      <c r="AE117" s="295">
        <f t="shared" si="10"/>
      </c>
      <c r="AF117" s="295">
        <f t="shared" si="131"/>
      </c>
      <c r="AG117" s="295">
        <f t="shared" si="6"/>
      </c>
      <c r="AH117" s="343">
        <f t="shared" si="8"/>
      </c>
      <c r="AI117" s="343">
        <f t="shared" si="4"/>
      </c>
      <c r="AJ117" s="294">
        <v>59</v>
      </c>
      <c r="AK117" s="290">
        <v>3270</v>
      </c>
      <c r="AL117" s="290">
        <v>112</v>
      </c>
      <c r="AM117" s="290">
        <v>170</v>
      </c>
      <c r="AN117" s="290">
        <v>22</v>
      </c>
      <c r="AO117" s="330">
        <v>7</v>
      </c>
      <c r="AP117" s="331">
        <v>48</v>
      </c>
      <c r="AQ117" s="330">
        <v>33</v>
      </c>
      <c r="AR117" s="330">
        <v>2</v>
      </c>
      <c r="AS117" s="290">
        <v>2</v>
      </c>
      <c r="AT117" s="290">
        <v>0</v>
      </c>
      <c r="AU117" s="331">
        <v>4</v>
      </c>
      <c r="AW117" s="297"/>
      <c r="AX117" s="342">
        <f t="shared" si="94"/>
      </c>
    </row>
    <row r="118">
      <c r="A118" s="339"/>
      <c r="B118" s="287" t="s">
        <v>270</v>
      </c>
      <c r="C118" s="287" t="s">
        <v>247</v>
      </c>
      <c r="D118" s="287" t="s">
        <v>248</v>
      </c>
      <c r="E118" s="288" t="s">
        <v>251</v>
      </c>
      <c r="F118" s="314">
        <f t="shared" si="52"/>
      </c>
      <c r="G118" s="313">
        <v>339.75</v>
      </c>
      <c r="H118" s="313">
        <v>722.72</v>
      </c>
      <c r="I118" s="293"/>
      <c r="J118" s="293"/>
      <c r="K118" s="293"/>
      <c r="L118" s="293"/>
      <c r="M118" s="293"/>
      <c r="N118" s="294">
        <v>0</v>
      </c>
      <c r="O118" s="295">
        <f t="shared" si="146"/>
      </c>
      <c r="P118" s="294">
        <v>1</v>
      </c>
      <c r="Q118" s="295">
        <f t="shared" si="148"/>
      </c>
      <c r="R118" s="294">
        <v>1</v>
      </c>
      <c r="S118" s="313">
        <v>9697.5</v>
      </c>
      <c r="T118" s="296">
        <f t="shared" si="120"/>
      </c>
      <c r="U118" s="296">
        <f t="shared" si="26"/>
      </c>
      <c r="V118" s="290">
        <f t="shared" si="144"/>
      </c>
      <c r="W118" s="294">
        <v>1</v>
      </c>
      <c r="X118" s="290">
        <f t="shared" si="11"/>
      </c>
      <c r="Y118" s="290">
        <f t="shared" si="75"/>
      </c>
      <c r="Z118" s="354">
        <f t="shared" si="118"/>
      </c>
      <c r="AA118" s="296">
        <f t="shared" si="23"/>
      </c>
      <c r="AB118" s="296">
        <f t="shared" si="159"/>
      </c>
      <c r="AC118" s="295">
        <f t="shared" si="2"/>
      </c>
      <c r="AD118" s="295">
        <f t="shared" si="25"/>
      </c>
      <c r="AE118" s="295">
        <f t="shared" si="10"/>
      </c>
      <c r="AF118" s="295">
        <f t="shared" si="131"/>
      </c>
      <c r="AG118" s="295">
        <f t="shared" si="6"/>
      </c>
      <c r="AH118" s="295">
        <f t="shared" si="8"/>
      </c>
      <c r="AI118" s="361">
        <f t="shared" si="4"/>
      </c>
      <c r="AJ118" s="294">
        <v>63</v>
      </c>
      <c r="AK118" s="290">
        <v>3565</v>
      </c>
      <c r="AL118" s="290">
        <v>104</v>
      </c>
      <c r="AM118" s="290">
        <v>171</v>
      </c>
      <c r="AN118" s="290">
        <v>26</v>
      </c>
      <c r="AO118" s="330">
        <v>3</v>
      </c>
      <c r="AP118" s="362">
        <v>41</v>
      </c>
      <c r="AQ118" s="330">
        <v>23</v>
      </c>
      <c r="AR118" s="330">
        <v>1</v>
      </c>
      <c r="AS118" s="294">
        <v>1</v>
      </c>
      <c r="AT118" s="294">
        <v>0</v>
      </c>
      <c r="AU118" s="331">
        <v>2</v>
      </c>
      <c r="AW118" s="297"/>
      <c r="AX118" s="342">
        <f t="shared" si="94"/>
      </c>
    </row>
    <row r="119">
      <c r="A119" s="339"/>
      <c r="B119" s="299" t="s">
        <v>253</v>
      </c>
      <c r="C119" s="299"/>
      <c r="D119" s="299"/>
      <c r="E119" s="299"/>
      <c r="F119" s="355">
        <f>SUM(F116:F118)</f>
      </c>
      <c r="G119" s="303">
        <f>SUM(G116:G118)</f>
      </c>
      <c r="H119" s="303">
        <f>SUM(H116:H118)</f>
      </c>
      <c r="I119" s="300">
        <f>SUM(I116:I118)</f>
      </c>
      <c r="J119" s="300">
        <f>SUM(J116:J118)</f>
      </c>
      <c r="K119" s="300">
        <f>SUM(K116:K118)</f>
      </c>
      <c r="L119" s="300">
        <f>SUM(L116:L118)</f>
      </c>
      <c r="M119" s="300">
        <f>SUM(M116:M118)</f>
      </c>
      <c r="N119" s="300">
        <f>SUM(N116:N118)</f>
      </c>
      <c r="O119" s="302">
        <f t="shared" si="146"/>
      </c>
      <c r="P119" s="300">
        <f>SUM(P116:P118)</f>
      </c>
      <c r="Q119" s="302">
        <f t="shared" si="148"/>
      </c>
      <c r="R119" s="300">
        <f>SUM(R116:R118)</f>
      </c>
      <c r="S119" s="303">
        <f>SUM(S116:S118)</f>
      </c>
      <c r="T119" s="303">
        <f t="shared" si="120"/>
      </c>
      <c r="U119" s="303">
        <f t="shared" si="26"/>
      </c>
      <c r="V119" s="300">
        <f t="shared" si="144"/>
      </c>
      <c r="W119" s="300">
        <f>SUM(W116:W118)</f>
      </c>
      <c r="X119" s="300">
        <f t="shared" si="11"/>
      </c>
      <c r="Y119" s="300">
        <f t="shared" si="75"/>
      </c>
      <c r="Z119" s="355">
        <f t="shared" si="118"/>
      </c>
      <c r="AA119" s="303">
        <f t="shared" si="23"/>
      </c>
      <c r="AB119" s="336">
        <f t="shared" si="159"/>
      </c>
      <c r="AC119" s="302">
        <f t="shared" si="2"/>
      </c>
      <c r="AD119" s="302">
        <f t="shared" si="25"/>
      </c>
      <c r="AE119" s="302">
        <f t="shared" si="10"/>
      </c>
      <c r="AF119" s="302">
        <f>R119/AO124</f>
      </c>
      <c r="AG119" s="302">
        <f t="shared" si="6"/>
      </c>
      <c r="AH119" s="302">
        <f t="shared" si="8"/>
      </c>
      <c r="AI119" s="363">
        <f t="shared" si="4"/>
      </c>
      <c r="AJ119" s="317">
        <f>AVERAGE(AJ116:AJ118)</f>
      </c>
      <c r="AK119" s="300">
        <f>SUM(AK116:AK118)</f>
      </c>
      <c r="AL119" s="300">
        <f>SUM(AL116:AL118)</f>
      </c>
      <c r="AM119" s="300">
        <f>SUM(AM116:AM118)</f>
      </c>
      <c r="AN119" s="300">
        <f>SUM(AN116:AN118)</f>
      </c>
      <c r="AO119" s="300">
        <f>SUM(AO116:AO118)</f>
      </c>
      <c r="AP119" s="333">
        <f>SUM(AP116:AP118)</f>
      </c>
      <c r="AQ119" s="300">
        <f>SUM(AQ116:AQ118)</f>
      </c>
      <c r="AR119" s="300">
        <f>SUM(AR116:AR118)</f>
      </c>
      <c r="AS119" s="300">
        <f>SUM(AS116:AS118)</f>
      </c>
      <c r="AT119" s="300">
        <f>SUM(AT116:AT118)</f>
      </c>
      <c r="AU119" s="333">
        <f>SUM(AU116:AU118)</f>
      </c>
      <c r="AW119" s="305"/>
      <c r="AX119" s="300">
        <f>SUM(AX116:AX118)</f>
      </c>
    </row>
    <row r="120">
      <c r="A120" s="339"/>
      <c r="B120" s="287" t="s">
        <v>270</v>
      </c>
      <c r="C120" s="287" t="s">
        <v>247</v>
      </c>
      <c r="D120" s="287" t="s">
        <v>256</v>
      </c>
      <c r="E120" s="288" t="s">
        <v>252</v>
      </c>
      <c r="F120" s="314">
        <f t="shared" ref="F120:F122" si="53">G120+H120+I120</f>
      </c>
      <c r="G120" s="313">
        <v>327.17</v>
      </c>
      <c r="H120" s="313">
        <v>1270.51</v>
      </c>
      <c r="I120" s="293"/>
      <c r="J120" s="293"/>
      <c r="K120" s="293"/>
      <c r="L120" s="293"/>
      <c r="M120" s="293"/>
      <c r="N120" s="294">
        <v>0</v>
      </c>
      <c r="O120" s="295">
        <f t="shared" si="146"/>
      </c>
      <c r="P120" s="294">
        <v>0</v>
      </c>
      <c r="Q120" s="295">
        <f t="shared" si="148"/>
      </c>
      <c r="R120" s="294">
        <v>0</v>
      </c>
      <c r="S120" s="313">
        <v>0</v>
      </c>
      <c r="T120" s="296">
        <f t="shared" si="120"/>
      </c>
      <c r="U120" s="296">
        <f t="shared" si="26"/>
      </c>
      <c r="V120" s="290">
        <f t="shared" si="144"/>
      </c>
      <c r="W120" s="294">
        <v>0</v>
      </c>
      <c r="X120" s="337">
        <f t="shared" si="11"/>
      </c>
      <c r="Y120" s="290">
        <f t="shared" si="75"/>
      </c>
      <c r="Z120" s="354">
        <f t="shared" si="118"/>
      </c>
      <c r="AA120" s="296">
        <f t="shared" si="23"/>
      </c>
      <c r="AB120" s="296">
        <f t="shared" si="159"/>
      </c>
      <c r="AC120" s="295">
        <f t="shared" si="2"/>
      </c>
      <c r="AD120" s="295">
        <f t="shared" si="25"/>
      </c>
      <c r="AE120" s="295">
        <f t="shared" si="10"/>
      </c>
      <c r="AF120" s="295">
        <f>R120/AE119:AC117</f>
      </c>
      <c r="AG120" s="295">
        <f t="shared" si="6"/>
      </c>
      <c r="AH120" s="295">
        <f t="shared" si="8"/>
      </c>
      <c r="AI120" s="343">
        <f t="shared" si="4"/>
      </c>
      <c r="AJ120" s="294">
        <v>67</v>
      </c>
      <c r="AK120" s="290">
        <v>4751</v>
      </c>
      <c r="AL120" s="290">
        <v>116</v>
      </c>
      <c r="AM120" s="290">
        <v>160</v>
      </c>
      <c r="AN120" s="290">
        <v>30</v>
      </c>
      <c r="AO120" s="330">
        <v>8</v>
      </c>
      <c r="AP120" s="362">
        <v>13</v>
      </c>
      <c r="AQ120" s="330">
        <v>23</v>
      </c>
      <c r="AR120" s="330">
        <v>0</v>
      </c>
      <c r="AS120" s="290">
        <v>2</v>
      </c>
      <c r="AT120" s="290">
        <v>0</v>
      </c>
      <c r="AU120" s="331">
        <v>5</v>
      </c>
      <c r="AW120" s="297"/>
      <c r="AX120" s="342">
        <f t="shared" ref="AX120:AX122" si="95">COUNT(AU120)</f>
      </c>
    </row>
    <row r="121">
      <c r="A121" s="339"/>
      <c r="B121" s="287" t="s">
        <v>270</v>
      </c>
      <c r="C121" s="287" t="s">
        <v>247</v>
      </c>
      <c r="D121" s="287" t="s">
        <v>256</v>
      </c>
      <c r="E121" s="287" t="s">
        <v>257</v>
      </c>
      <c r="F121" s="314">
        <f t="shared" si="53"/>
      </c>
      <c r="G121" s="313">
        <v>285.27</v>
      </c>
      <c r="H121" s="313">
        <v>945.54</v>
      </c>
      <c r="I121" s="293"/>
      <c r="J121" s="293"/>
      <c r="K121" s="293"/>
      <c r="L121" s="293"/>
      <c r="M121" s="293"/>
      <c r="N121" s="294">
        <v>0</v>
      </c>
      <c r="O121" s="295">
        <f t="shared" si="146"/>
      </c>
      <c r="P121" s="294">
        <v>0</v>
      </c>
      <c r="Q121" s="295">
        <f t="shared" si="148"/>
      </c>
      <c r="R121" s="294">
        <v>0</v>
      </c>
      <c r="S121" s="313">
        <v>0</v>
      </c>
      <c r="T121" s="296">
        <f t="shared" si="120"/>
      </c>
      <c r="U121" s="296">
        <f t="shared" si="26"/>
      </c>
      <c r="V121" s="290">
        <f t="shared" si="144"/>
      </c>
      <c r="W121" s="294">
        <v>0</v>
      </c>
      <c r="X121" s="337">
        <f t="shared" si="11"/>
      </c>
      <c r="Y121" s="290">
        <f t="shared" si="75"/>
      </c>
      <c r="Z121" s="354">
        <f t="shared" si="118"/>
      </c>
      <c r="AA121" s="296">
        <f t="shared" si="23"/>
      </c>
      <c r="AB121" s="296">
        <f t="shared" si="159"/>
      </c>
      <c r="AC121" s="295">
        <f t="shared" si="2"/>
      </c>
      <c r="AD121" s="295">
        <f t="shared" si="25"/>
      </c>
      <c r="AE121" s="295">
        <f t="shared" si="10"/>
      </c>
      <c r="AF121" s="295">
        <f t="shared" ref="AF121:AF122" si="173">R121/AO123</f>
      </c>
      <c r="AG121" s="295">
        <f t="shared" si="6"/>
      </c>
      <c r="AH121" s="295">
        <f t="shared" si="8"/>
      </c>
      <c r="AI121" s="343">
        <f t="shared" si="4"/>
      </c>
      <c r="AJ121" s="294">
        <v>70</v>
      </c>
      <c r="AK121" s="290">
        <v>3892</v>
      </c>
      <c r="AL121" s="290">
        <v>109</v>
      </c>
      <c r="AM121" s="290">
        <v>181</v>
      </c>
      <c r="AN121" s="290">
        <v>19</v>
      </c>
      <c r="AO121" s="330">
        <v>10</v>
      </c>
      <c r="AP121" s="362">
        <v>17</v>
      </c>
      <c r="AQ121" s="330">
        <v>18</v>
      </c>
      <c r="AR121" s="330">
        <v>0</v>
      </c>
      <c r="AS121" s="290">
        <v>1</v>
      </c>
      <c r="AT121" s="290">
        <v>0</v>
      </c>
      <c r="AU121" s="331">
        <v>1</v>
      </c>
      <c r="AW121" s="297"/>
      <c r="AX121" s="342">
        <f t="shared" si="95"/>
      </c>
    </row>
    <row customHeight="true" ht="16.071428571428573" r="122">
      <c r="A122" s="287"/>
      <c r="B122" s="367" t="s">
        <v>270</v>
      </c>
      <c r="C122" s="367" t="s">
        <v>247</v>
      </c>
      <c r="D122" s="368" t="s">
        <v>256</v>
      </c>
      <c r="E122" s="367" t="s">
        <v>257</v>
      </c>
      <c r="F122" s="313">
        <f t="shared" si="53"/>
      </c>
      <c r="G122" s="313">
        <v>175.66</v>
      </c>
      <c r="H122" s="313">
        <v>199.73</v>
      </c>
      <c r="I122" s="293"/>
      <c r="J122" s="293"/>
      <c r="K122" s="293"/>
      <c r="L122" s="293"/>
      <c r="M122" s="293"/>
      <c r="N122" s="294">
        <v>0</v>
      </c>
      <c r="O122" s="295">
        <f t="shared" si="146"/>
      </c>
      <c r="P122" s="294">
        <v>0</v>
      </c>
      <c r="Q122" s="295">
        <f t="shared" si="148"/>
      </c>
      <c r="R122" s="294">
        <v>0</v>
      </c>
      <c r="S122" s="313">
        <v>0</v>
      </c>
      <c r="T122" s="296">
        <f t="shared" si="120"/>
      </c>
      <c r="U122" s="296">
        <f t="shared" si="26"/>
      </c>
      <c r="V122" s="290">
        <f t="shared" si="144"/>
      </c>
      <c r="W122" s="294">
        <v>0</v>
      </c>
      <c r="X122" s="337">
        <f t="shared" si="11"/>
      </c>
      <c r="Y122" s="290">
        <f t="shared" si="75"/>
      </c>
      <c r="Z122" s="354">
        <f t="shared" si="118"/>
      </c>
      <c r="AA122" s="296">
        <f t="shared" si="23"/>
      </c>
      <c r="AB122" s="296">
        <f t="shared" si="159"/>
      </c>
      <c r="AC122" s="295">
        <f t="shared" si="2"/>
      </c>
      <c r="AD122" s="295">
        <f t="shared" si="25"/>
      </c>
      <c r="AE122" s="295">
        <f t="shared" si="10"/>
      </c>
      <c r="AF122" s="295">
        <f t="shared" si="173"/>
      </c>
      <c r="AG122" s="295">
        <f t="shared" si="6"/>
      </c>
      <c r="AH122" s="295">
        <f t="shared" si="8"/>
      </c>
      <c r="AI122" s="343">
        <f t="shared" si="4"/>
      </c>
      <c r="AJ122" s="294">
        <v>72</v>
      </c>
      <c r="AK122" s="290">
        <v>1705</v>
      </c>
      <c r="AL122" s="290">
        <v>53</v>
      </c>
      <c r="AM122" s="290">
        <v>118</v>
      </c>
      <c r="AN122" s="290">
        <v>15</v>
      </c>
      <c r="AO122" s="330">
        <v>2</v>
      </c>
      <c r="AP122" s="362">
        <v>8</v>
      </c>
      <c r="AQ122" s="330">
        <v>10</v>
      </c>
      <c r="AR122" s="330">
        <v>0</v>
      </c>
      <c r="AS122" s="290">
        <v>0</v>
      </c>
      <c r="AT122" s="290">
        <v>0</v>
      </c>
      <c r="AU122" s="331">
        <v>1</v>
      </c>
      <c r="AW122" s="297"/>
      <c r="AX122" s="342">
        <f t="shared" si="95"/>
      </c>
    </row>
    <row r="123">
      <c r="A123" s="287"/>
      <c r="B123" s="299" t="s">
        <v>253</v>
      </c>
      <c r="C123" s="299"/>
      <c r="D123" s="299"/>
      <c r="E123" s="299"/>
      <c r="F123" s="355">
        <f>SUM(F120:F122)</f>
      </c>
      <c r="G123" s="355">
        <f>SUM(G120:G122)</f>
      </c>
      <c r="H123" s="355">
        <f>SUM(H120:H122)</f>
      </c>
      <c r="I123" s="300">
        <f>SUM(I120:I121)</f>
      </c>
      <c r="J123" s="300">
        <f>SUM(J120:J121)</f>
      </c>
      <c r="K123" s="300">
        <f>SUM(K120:K121)</f>
      </c>
      <c r="L123" s="300">
        <f>SUM(L120:L121)</f>
      </c>
      <c r="M123" s="300">
        <f>SUM(M120:M121)</f>
      </c>
      <c r="N123" s="300">
        <f>SUM(N120:N122)</f>
      </c>
      <c r="O123" s="302">
        <f t="shared" si="146"/>
      </c>
      <c r="P123" s="300">
        <f>SUM(P120:P122)</f>
      </c>
      <c r="Q123" s="302">
        <f t="shared" si="148"/>
      </c>
      <c r="R123" s="303">
        <f>SUM(R120:R122)</f>
      </c>
      <c r="S123" s="303">
        <f>SUM(S120:S122)</f>
      </c>
      <c r="T123" s="303">
        <f t="shared" si="120"/>
      </c>
      <c r="U123" s="303">
        <f t="shared" si="26"/>
      </c>
      <c r="V123" s="300">
        <f t="shared" si="144"/>
      </c>
      <c r="W123" s="300">
        <f>SUM(W120:W121)</f>
      </c>
      <c r="X123" s="300">
        <f t="shared" si="11"/>
      </c>
      <c r="Y123" s="300">
        <f t="shared" si="75"/>
      </c>
      <c r="Z123" s="356">
        <f t="shared" si="118"/>
      </c>
      <c r="AA123" s="323">
        <f t="shared" si="23"/>
      </c>
      <c r="AB123" s="336">
        <f t="shared" si="159"/>
      </c>
      <c r="AC123" s="326">
        <f t="shared" si="2"/>
      </c>
      <c r="AD123" s="326">
        <f t="shared" si="25"/>
      </c>
      <c r="AE123" s="326">
        <f t="shared" si="10"/>
      </c>
      <c r="AF123" s="326">
        <f>R123/AU125</f>
      </c>
      <c r="AG123" s="326">
        <f t="shared" si="6"/>
      </c>
      <c r="AH123" s="326">
        <f t="shared" si="8"/>
      </c>
      <c r="AI123" s="326">
        <f t="shared" si="4"/>
      </c>
      <c r="AJ123" s="317">
        <f>AVERAGE(AJ120:AJ122)</f>
      </c>
      <c r="AK123" s="300">
        <f>SUM(AK120:AK122)</f>
      </c>
      <c r="AL123" s="300">
        <f>SUM(AL120:AL122)</f>
      </c>
      <c r="AM123" s="300">
        <f>SUM(AM120:AM122)</f>
      </c>
      <c r="AN123" s="300">
        <f>SUM(AN120:AN122)</f>
      </c>
      <c r="AO123" s="300">
        <f>SUM(AO120:AO122)</f>
      </c>
      <c r="AP123" s="300">
        <f>SUM(AP120:AP122)</f>
      </c>
      <c r="AQ123" s="300">
        <f>SUM(AQ120:AQ122)</f>
      </c>
      <c r="AR123" s="300">
        <f>SUM(AR120:AR122)</f>
      </c>
      <c r="AS123" s="300">
        <f>SUM(AS120:AS122)</f>
      </c>
      <c r="AT123" s="300">
        <f>SUM(AT120:AT122)</f>
      </c>
      <c r="AU123" s="300">
        <f>SUM(AU120:AU122)</f>
      </c>
      <c r="AW123" s="305"/>
      <c r="AX123" s="300">
        <f>SUM(AX120:AX122)</f>
      </c>
    </row>
    <row r="124">
      <c r="A124" s="287"/>
      <c r="B124" s="307" t="s">
        <v>254</v>
      </c>
      <c r="C124" s="307"/>
      <c r="D124" s="307"/>
      <c r="E124" s="307"/>
      <c r="F124" s="309">
        <f>F119+F123</f>
      </c>
      <c r="G124" s="309">
        <f>G119+G123</f>
      </c>
      <c r="H124" s="309">
        <f>H119+H123</f>
      </c>
      <c r="I124" s="307">
        <f>I119+I123</f>
      </c>
      <c r="J124" s="307">
        <f>J119+J123</f>
      </c>
      <c r="K124" s="307">
        <f>K119+K123</f>
      </c>
      <c r="L124" s="307">
        <f>L119+L123</f>
      </c>
      <c r="M124" s="307">
        <f>M119+M123</f>
      </c>
      <c r="N124" s="307">
        <f>N119+N123</f>
      </c>
      <c r="O124" s="308">
        <f t="shared" si="146"/>
      </c>
      <c r="P124" s="307">
        <f>P119+P123</f>
      </c>
      <c r="Q124" s="308">
        <f t="shared" si="148"/>
      </c>
      <c r="R124" s="307">
        <f>R119+R123</f>
      </c>
      <c r="S124" s="309">
        <f>S119+S123</f>
      </c>
      <c r="T124" s="309">
        <f t="shared" si="120"/>
      </c>
      <c r="U124" s="309">
        <f t="shared" si="26"/>
      </c>
      <c r="V124" s="307">
        <f t="shared" si="144"/>
      </c>
      <c r="W124" s="307">
        <f>W119+W123</f>
      </c>
      <c r="X124" s="307">
        <f t="shared" si="11"/>
      </c>
      <c r="Y124" s="307">
        <f t="shared" si="75"/>
      </c>
      <c r="Z124" s="357">
        <f t="shared" si="118"/>
      </c>
      <c r="AA124" s="309">
        <f t="shared" si="23"/>
      </c>
      <c r="AB124" s="309">
        <f>AB123+AB119</f>
      </c>
      <c r="AC124" s="308">
        <f t="shared" si="2"/>
      </c>
      <c r="AD124" s="308">
        <f t="shared" si="25"/>
      </c>
      <c r="AE124" s="308">
        <f t="shared" si="10"/>
      </c>
      <c r="AF124" s="308">
        <f>R124/AU123:AU122</f>
      </c>
      <c r="AG124" s="308">
        <f t="shared" si="6"/>
      </c>
      <c r="AH124" s="308">
        <f t="shared" si="8"/>
      </c>
      <c r="AI124" s="308">
        <f t="shared" si="4"/>
      </c>
      <c r="AJ124" s="329">
        <f>(AJ119+AJ123)/2</f>
      </c>
      <c r="AK124" s="307">
        <f>AK119+AK123</f>
      </c>
      <c r="AL124" s="335">
        <f>AL119+AL123</f>
      </c>
      <c r="AM124" s="335">
        <f>AM119+AM123</f>
      </c>
      <c r="AN124" s="335">
        <f>AN119+AN123</f>
      </c>
      <c r="AO124" s="335">
        <f>AO119+AO123</f>
      </c>
      <c r="AP124" s="335">
        <f>AP119+AP123</f>
      </c>
      <c r="AQ124" s="335">
        <f>AQ119+AQ123</f>
      </c>
      <c r="AR124" s="335">
        <f>AR119+AR123</f>
      </c>
      <c r="AS124" s="335">
        <f>AS119+AS123</f>
      </c>
      <c r="AT124" s="335">
        <f>AT119+AT123</f>
      </c>
      <c r="AU124" s="307">
        <f>AU119+AU123</f>
      </c>
      <c r="AW124" s="349">
        <f>AW119+AW123</f>
      </c>
      <c r="AX124" s="307">
        <f>AX119+AX123</f>
      </c>
    </row>
    <row r="125">
      <c r="A125" s="339" t="s">
        <v>284</v>
      </c>
      <c r="B125" s="287" t="s">
        <v>260</v>
      </c>
      <c r="C125" s="287" t="s">
        <v>247</v>
      </c>
      <c r="D125" s="287" t="s">
        <v>285</v>
      </c>
      <c r="E125" s="288" t="s">
        <v>249</v>
      </c>
      <c r="F125" s="314">
        <f t="shared" ref="F125:F127" si="54">G125+H125+I125</f>
      </c>
      <c r="G125" s="313">
        <v>210.91</v>
      </c>
      <c r="H125" s="313">
        <v>1338.41</v>
      </c>
      <c r="I125" s="291"/>
      <c r="J125" s="291"/>
      <c r="K125" s="291"/>
      <c r="L125" s="293"/>
      <c r="M125" s="293"/>
      <c r="N125" s="294">
        <v>0</v>
      </c>
      <c r="O125" s="295">
        <f t="shared" si="146"/>
      </c>
      <c r="P125" s="294">
        <v>1</v>
      </c>
      <c r="Q125" s="295">
        <f t="shared" si="148"/>
      </c>
      <c r="R125" s="366">
        <v>1</v>
      </c>
      <c r="S125" s="366">
        <v>2851.91</v>
      </c>
      <c r="T125" s="296">
        <f t="shared" si="120"/>
      </c>
      <c r="U125" s="296">
        <f t="shared" si="26"/>
      </c>
      <c r="V125" s="290">
        <f t="shared" si="144"/>
      </c>
      <c r="W125" s="294">
        <v>1</v>
      </c>
      <c r="X125" s="290">
        <f t="shared" si="11"/>
      </c>
      <c r="Y125" s="290">
        <f t="shared" si="75"/>
      </c>
      <c r="Z125" s="354">
        <f t="shared" si="118"/>
      </c>
      <c r="AA125" s="296">
        <f t="shared" si="23"/>
      </c>
      <c r="AB125" s="296">
        <f t="shared" ref="AB125:AB132" si="160">F125/AN125</f>
      </c>
      <c r="AC125" s="295">
        <f t="shared" si="2"/>
      </c>
      <c r="AD125" s="295">
        <f t="shared" si="25"/>
      </c>
      <c r="AE125" s="295">
        <f t="shared" si="10"/>
      </c>
      <c r="AF125" s="295">
        <f t="shared" ref="AF125:AF127" si="132">R125/AO125</f>
      </c>
      <c r="AG125" s="295">
        <f t="shared" si="6"/>
      </c>
      <c r="AH125" s="295">
        <f t="shared" si="8"/>
      </c>
      <c r="AI125" s="359">
        <f t="shared" si="4"/>
      </c>
      <c r="AJ125" s="294">
        <v>60</v>
      </c>
      <c r="AK125" s="290">
        <v>3480</v>
      </c>
      <c r="AL125" s="290">
        <v>102</v>
      </c>
      <c r="AM125" s="290">
        <v>148</v>
      </c>
      <c r="AN125" s="294">
        <v>11</v>
      </c>
      <c r="AO125" s="330">
        <v>10</v>
      </c>
      <c r="AP125" s="360">
        <v>39</v>
      </c>
      <c r="AQ125" s="360">
        <v>26</v>
      </c>
      <c r="AR125" s="330">
        <v>4</v>
      </c>
      <c r="AS125" s="330">
        <v>7</v>
      </c>
      <c r="AT125" s="294">
        <v>0</v>
      </c>
      <c r="AU125" s="294">
        <v>2</v>
      </c>
      <c r="AW125" s="297"/>
      <c r="AX125" s="342">
        <f t="shared" ref="AX125:AX127" si="96">COUNT(AU125)</f>
      </c>
    </row>
    <row r="126">
      <c r="A126" s="339"/>
      <c r="B126" s="287" t="s">
        <v>260</v>
      </c>
      <c r="C126" s="287" t="s">
        <v>247</v>
      </c>
      <c r="D126" s="287" t="s">
        <v>285</v>
      </c>
      <c r="E126" s="288" t="s">
        <v>250</v>
      </c>
      <c r="F126" s="314">
        <f t="shared" si="54"/>
      </c>
      <c r="G126" s="313">
        <v>283.96</v>
      </c>
      <c r="H126" s="313">
        <v>970.6</v>
      </c>
      <c r="I126" s="293"/>
      <c r="J126" s="293"/>
      <c r="K126" s="293"/>
      <c r="L126" s="293"/>
      <c r="M126" s="293"/>
      <c r="N126" s="294">
        <v>0</v>
      </c>
      <c r="O126" s="295">
        <f t="shared" si="146"/>
      </c>
      <c r="P126" s="294">
        <v>0</v>
      </c>
      <c r="Q126" s="295">
        <f t="shared" si="148"/>
      </c>
      <c r="R126" s="294">
        <v>0</v>
      </c>
      <c r="S126" s="313">
        <v>0</v>
      </c>
      <c r="T126" s="296">
        <f t="shared" si="120"/>
      </c>
      <c r="U126" s="296">
        <f t="shared" si="26"/>
      </c>
      <c r="V126" s="290">
        <f t="shared" si="144"/>
      </c>
      <c r="W126" s="294">
        <v>0</v>
      </c>
      <c r="X126" s="290">
        <f t="shared" si="11"/>
      </c>
      <c r="Y126" s="290">
        <f t="shared" si="75"/>
      </c>
      <c r="Z126" s="354">
        <f t="shared" si="118"/>
      </c>
      <c r="AA126" s="296">
        <f t="shared" si="23"/>
      </c>
      <c r="AB126" s="296">
        <f t="shared" si="160"/>
      </c>
      <c r="AC126" s="295">
        <f t="shared" si="2"/>
      </c>
      <c r="AD126" s="295">
        <f t="shared" si="25"/>
      </c>
      <c r="AE126" s="295">
        <f t="shared" si="10"/>
      </c>
      <c r="AF126" s="295">
        <f t="shared" si="132"/>
      </c>
      <c r="AG126" s="295">
        <f t="shared" si="6"/>
      </c>
      <c r="AH126" s="343">
        <f t="shared" si="8"/>
      </c>
      <c r="AI126" s="343">
        <f t="shared" si="4"/>
      </c>
      <c r="AJ126" s="294">
        <v>47</v>
      </c>
      <c r="AK126" s="290">
        <v>3673</v>
      </c>
      <c r="AL126" s="290">
        <v>85</v>
      </c>
      <c r="AM126" s="290">
        <v>164</v>
      </c>
      <c r="AN126" s="290">
        <v>22</v>
      </c>
      <c r="AO126" s="330">
        <v>9</v>
      </c>
      <c r="AP126" s="331">
        <v>27</v>
      </c>
      <c r="AQ126" s="330">
        <v>18</v>
      </c>
      <c r="AR126" s="330">
        <v>0</v>
      </c>
      <c r="AS126" s="290">
        <v>3</v>
      </c>
      <c r="AT126" s="290">
        <v>0</v>
      </c>
      <c r="AU126" s="331">
        <v>3</v>
      </c>
      <c r="AW126" s="297"/>
      <c r="AX126" s="342">
        <f t="shared" si="96"/>
      </c>
    </row>
    <row r="127">
      <c r="A127" s="339"/>
      <c r="B127" s="287" t="s">
        <v>260</v>
      </c>
      <c r="C127" s="287" t="s">
        <v>247</v>
      </c>
      <c r="D127" s="287" t="s">
        <v>285</v>
      </c>
      <c r="E127" s="288" t="s">
        <v>251</v>
      </c>
      <c r="F127" s="314">
        <f t="shared" si="54"/>
      </c>
      <c r="G127" s="313">
        <v>205.57</v>
      </c>
      <c r="H127" s="313">
        <v>304.28</v>
      </c>
      <c r="I127" s="293"/>
      <c r="J127" s="293"/>
      <c r="K127" s="293"/>
      <c r="L127" s="293"/>
      <c r="M127" s="293"/>
      <c r="N127" s="294">
        <v>0</v>
      </c>
      <c r="O127" s="295">
        <f t="shared" si="146"/>
      </c>
      <c r="P127" s="294">
        <v>0</v>
      </c>
      <c r="Q127" s="295">
        <f t="shared" si="148"/>
      </c>
      <c r="R127" s="294">
        <v>0</v>
      </c>
      <c r="S127" s="313">
        <v>0</v>
      </c>
      <c r="T127" s="296">
        <f t="shared" si="120"/>
      </c>
      <c r="U127" s="296">
        <f t="shared" si="26"/>
      </c>
      <c r="V127" s="290">
        <f t="shared" si="144"/>
      </c>
      <c r="W127" s="294">
        <v>0</v>
      </c>
      <c r="X127" s="290">
        <f t="shared" si="11"/>
      </c>
      <c r="Y127" s="290">
        <f t="shared" si="75"/>
      </c>
      <c r="Z127" s="354">
        <f t="shared" si="118"/>
      </c>
      <c r="AA127" s="296">
        <f t="shared" si="23"/>
      </c>
      <c r="AB127" s="296">
        <f t="shared" si="160"/>
      </c>
      <c r="AC127" s="295">
        <f t="shared" si="2"/>
      </c>
      <c r="AD127" s="295">
        <f t="shared" si="25"/>
      </c>
      <c r="AE127" s="295">
        <f t="shared" si="10"/>
      </c>
      <c r="AF127" s="295">
        <f t="shared" si="132"/>
      </c>
      <c r="AG127" s="295">
        <f t="shared" si="6"/>
      </c>
      <c r="AH127" s="295">
        <f t="shared" si="8"/>
      </c>
      <c r="AI127" s="361">
        <f t="shared" si="4"/>
      </c>
      <c r="AJ127" s="294">
        <v>38</v>
      </c>
      <c r="AK127" s="290">
        <v>1622</v>
      </c>
      <c r="AL127" s="290">
        <v>66</v>
      </c>
      <c r="AM127" s="290">
        <v>125</v>
      </c>
      <c r="AN127" s="290">
        <v>9</v>
      </c>
      <c r="AO127" s="330">
        <v>1</v>
      </c>
      <c r="AP127" s="362">
        <v>4</v>
      </c>
      <c r="AQ127" s="330">
        <v>6</v>
      </c>
      <c r="AR127" s="330">
        <v>0</v>
      </c>
      <c r="AS127" s="294">
        <v>0</v>
      </c>
      <c r="AT127" s="294">
        <v>0</v>
      </c>
      <c r="AU127" s="331">
        <v>0</v>
      </c>
      <c r="AW127" s="297"/>
      <c r="AX127" s="342">
        <f t="shared" si="96"/>
      </c>
    </row>
    <row r="128">
      <c r="A128" s="339"/>
      <c r="B128" s="299" t="s">
        <v>253</v>
      </c>
      <c r="C128" s="299"/>
      <c r="D128" s="299"/>
      <c r="E128" s="299"/>
      <c r="F128" s="355">
        <f>SUM(F125:F127)</f>
      </c>
      <c r="G128" s="303">
        <f>SUM(G125:G127)</f>
      </c>
      <c r="H128" s="303">
        <f>SUM(H125:H127)</f>
      </c>
      <c r="I128" s="300">
        <f>SUM(I125:I127)</f>
      </c>
      <c r="J128" s="300">
        <f>SUM(J125:J127)</f>
      </c>
      <c r="K128" s="300">
        <f>SUM(K125:K127)</f>
      </c>
      <c r="L128" s="300">
        <f>SUM(L125:L127)</f>
      </c>
      <c r="M128" s="300">
        <f>SUM(M125:M127)</f>
      </c>
      <c r="N128" s="300">
        <f>SUM(N125:N127)</f>
      </c>
      <c r="O128" s="302">
        <f t="shared" si="146"/>
      </c>
      <c r="P128" s="300">
        <f>SUM(P125:P127)</f>
      </c>
      <c r="Q128" s="302">
        <f t="shared" si="148"/>
      </c>
      <c r="R128" s="300">
        <f>SUM(R125:R127)</f>
      </c>
      <c r="S128" s="303">
        <f>SUM(S125:S127)</f>
      </c>
      <c r="T128" s="303">
        <f t="shared" si="120"/>
      </c>
      <c r="U128" s="303">
        <f t="shared" si="26"/>
      </c>
      <c r="V128" s="300">
        <f t="shared" si="144"/>
      </c>
      <c r="W128" s="300">
        <f>SUM(W125:W127)</f>
      </c>
      <c r="X128" s="300">
        <f t="shared" si="11"/>
      </c>
      <c r="Y128" s="300">
        <f t="shared" si="75"/>
      </c>
      <c r="Z128" s="355">
        <f t="shared" si="118"/>
      </c>
      <c r="AA128" s="303">
        <f t="shared" si="23"/>
      </c>
      <c r="AB128" s="336">
        <f t="shared" si="160"/>
      </c>
      <c r="AC128" s="302">
        <f t="shared" si="2"/>
      </c>
      <c r="AD128" s="302">
        <f t="shared" si="25"/>
      </c>
      <c r="AE128" s="302">
        <f t="shared" si="10"/>
      </c>
      <c r="AF128" s="302">
        <f>R128/AO133</f>
      </c>
      <c r="AG128" s="302">
        <f t="shared" si="6"/>
      </c>
      <c r="AH128" s="302">
        <f t="shared" si="8"/>
      </c>
      <c r="AI128" s="363">
        <f t="shared" si="4"/>
      </c>
      <c r="AJ128" s="317">
        <f>AVERAGE(AJ125:AJ127)</f>
      </c>
      <c r="AK128" s="300">
        <f>SUM(AK125:AK127)</f>
      </c>
      <c r="AL128" s="300">
        <f>SUM(AL125:AL127)</f>
      </c>
      <c r="AM128" s="300">
        <f>SUM(AM125:AM127)</f>
      </c>
      <c r="AN128" s="300">
        <f>SUM(AN125:AN127)</f>
      </c>
      <c r="AO128" s="300">
        <f>SUM(AO125:AO127)</f>
      </c>
      <c r="AP128" s="333">
        <f>SUM(AP125:AP127)</f>
      </c>
      <c r="AQ128" s="300">
        <f>SUM(AQ125:AQ127)</f>
      </c>
      <c r="AR128" s="300">
        <f>SUM(AR125:AR127)</f>
      </c>
      <c r="AS128" s="300">
        <f>SUM(AS125:AS127)</f>
      </c>
      <c r="AT128" s="300">
        <f>SUM(AT125:AT127)</f>
      </c>
      <c r="AU128" s="333">
        <f>SUM(AU125:AU127)</f>
      </c>
      <c r="AW128" s="305"/>
      <c r="AX128" s="300">
        <f>SUM(AX125:AX127)</f>
      </c>
    </row>
    <row r="129">
      <c r="A129" s="339"/>
      <c r="B129" s="287" t="s">
        <v>260</v>
      </c>
      <c r="C129" s="287" t="s">
        <v>247</v>
      </c>
      <c r="D129" s="287" t="s">
        <v>256</v>
      </c>
      <c r="E129" s="288" t="s">
        <v>252</v>
      </c>
      <c r="F129" s="314">
        <f t="shared" ref="F129:F131" si="55">G129+H129+I129</f>
      </c>
      <c r="G129" s="313">
        <v>202.59</v>
      </c>
      <c r="H129" s="313">
        <v>364.38</v>
      </c>
      <c r="I129" s="293"/>
      <c r="J129" s="293"/>
      <c r="K129" s="293"/>
      <c r="L129" s="293"/>
      <c r="M129" s="293"/>
      <c r="N129" s="294">
        <v>0</v>
      </c>
      <c r="O129" s="295">
        <f t="shared" si="146"/>
      </c>
      <c r="P129" s="294">
        <v>0</v>
      </c>
      <c r="Q129" s="295">
        <f t="shared" si="148"/>
      </c>
      <c r="R129" s="294">
        <v>0</v>
      </c>
      <c r="S129" s="313">
        <v>0</v>
      </c>
      <c r="T129" s="296">
        <f t="shared" si="120"/>
      </c>
      <c r="U129" s="296">
        <f t="shared" si="26"/>
      </c>
      <c r="V129" s="290">
        <f t="shared" si="144"/>
      </c>
      <c r="W129" s="294">
        <v>0</v>
      </c>
      <c r="X129" s="337">
        <f t="shared" si="11"/>
      </c>
      <c r="Y129" s="290">
        <f t="shared" si="75"/>
      </c>
      <c r="Z129" s="354">
        <f t="shared" si="118"/>
      </c>
      <c r="AA129" s="296">
        <f t="shared" si="23"/>
      </c>
      <c r="AB129" s="296">
        <f t="shared" si="160"/>
      </c>
      <c r="AC129" s="295">
        <f t="shared" si="2"/>
      </c>
      <c r="AD129" s="295">
        <f t="shared" si="25"/>
      </c>
      <c r="AE129" s="295">
        <f t="shared" si="10"/>
      </c>
      <c r="AF129" s="295">
        <f>R129/AE128:AC126</f>
      </c>
      <c r="AG129" s="295">
        <f t="shared" si="6"/>
      </c>
      <c r="AH129" s="295">
        <f t="shared" si="8"/>
      </c>
      <c r="AI129" s="343">
        <f t="shared" si="4"/>
      </c>
      <c r="AJ129" s="294">
        <v>38</v>
      </c>
      <c r="AK129" s="290">
        <v>1960</v>
      </c>
      <c r="AL129" s="290">
        <v>100</v>
      </c>
      <c r="AM129" s="290">
        <v>144</v>
      </c>
      <c r="AN129" s="290">
        <v>19</v>
      </c>
      <c r="AO129" s="330">
        <v>6</v>
      </c>
      <c r="AP129" s="362">
        <v>17</v>
      </c>
      <c r="AQ129" s="330">
        <v>20</v>
      </c>
      <c r="AR129" s="330">
        <v>0</v>
      </c>
      <c r="AS129" s="290">
        <v>0</v>
      </c>
      <c r="AT129" s="290">
        <v>0</v>
      </c>
      <c r="AU129" s="331">
        <v>0</v>
      </c>
      <c r="AW129" s="297"/>
      <c r="AX129" s="342">
        <f t="shared" ref="AX129:AX131" si="97">COUNT(AU129)</f>
      </c>
    </row>
    <row r="130">
      <c r="A130" s="339"/>
      <c r="B130" s="287" t="s">
        <v>260</v>
      </c>
      <c r="C130" s="287" t="s">
        <v>247</v>
      </c>
      <c r="D130" s="287" t="s">
        <v>256</v>
      </c>
      <c r="E130" s="287" t="s">
        <v>257</v>
      </c>
      <c r="F130" s="314">
        <f t="shared" si="55"/>
      </c>
      <c r="G130" s="313">
        <v>254.51</v>
      </c>
      <c r="H130" s="313">
        <v>460.15</v>
      </c>
      <c r="I130" s="293"/>
      <c r="J130" s="293"/>
      <c r="K130" s="293"/>
      <c r="L130" s="293"/>
      <c r="M130" s="293"/>
      <c r="N130" s="294">
        <v>0</v>
      </c>
      <c r="O130" s="295">
        <f t="shared" si="146"/>
      </c>
      <c r="P130" s="294">
        <v>0</v>
      </c>
      <c r="Q130" s="295">
        <f t="shared" si="148"/>
      </c>
      <c r="R130" s="294">
        <v>0</v>
      </c>
      <c r="S130" s="313">
        <v>0</v>
      </c>
      <c r="T130" s="296">
        <f t="shared" si="120"/>
      </c>
      <c r="U130" s="296">
        <f t="shared" si="26"/>
      </c>
      <c r="V130" s="290">
        <f t="shared" si="144"/>
      </c>
      <c r="W130" s="294">
        <v>0</v>
      </c>
      <c r="X130" s="337">
        <f t="shared" si="11"/>
      </c>
      <c r="Y130" s="290">
        <f t="shared" si="75"/>
      </c>
      <c r="Z130" s="354">
        <f t="shared" si="118"/>
      </c>
      <c r="AA130" s="296">
        <f t="shared" si="23"/>
      </c>
      <c r="AB130" s="296">
        <f t="shared" si="160"/>
      </c>
      <c r="AC130" s="295">
        <f t="shared" si="2"/>
      </c>
      <c r="AD130" s="295">
        <f t="shared" si="25"/>
      </c>
      <c r="AE130" s="295">
        <f t="shared" si="10"/>
      </c>
      <c r="AF130" s="295">
        <f t="shared" ref="AF130:AF131" si="174">R130/AO132</f>
      </c>
      <c r="AG130" s="295">
        <f t="shared" si="6"/>
      </c>
      <c r="AH130" s="295">
        <f t="shared" si="8"/>
      </c>
      <c r="AI130" s="343">
        <f t="shared" si="4"/>
      </c>
      <c r="AJ130" s="294">
        <v>42</v>
      </c>
      <c r="AK130" s="290">
        <v>2416</v>
      </c>
      <c r="AL130" s="290">
        <v>109</v>
      </c>
      <c r="AM130" s="290">
        <v>173</v>
      </c>
      <c r="AN130" s="290">
        <v>23</v>
      </c>
      <c r="AO130" s="330">
        <v>9</v>
      </c>
      <c r="AP130" s="362">
        <v>24</v>
      </c>
      <c r="AQ130" s="330">
        <v>22</v>
      </c>
      <c r="AR130" s="330">
        <v>0</v>
      </c>
      <c r="AS130" s="290">
        <v>4</v>
      </c>
      <c r="AT130" s="290">
        <v>0</v>
      </c>
      <c r="AU130" s="331">
        <v>0</v>
      </c>
      <c r="AW130" s="297"/>
      <c r="AX130" s="342">
        <f t="shared" si="97"/>
      </c>
    </row>
    <row r="131">
      <c r="A131" s="339"/>
      <c r="B131" s="287" t="s">
        <v>260</v>
      </c>
      <c r="C131" s="367" t="s">
        <v>247</v>
      </c>
      <c r="D131" s="287" t="s">
        <v>256</v>
      </c>
      <c r="E131" s="367" t="s">
        <v>258</v>
      </c>
      <c r="F131" s="313">
        <f t="shared" si="55"/>
      </c>
      <c r="G131" s="313">
        <v>153.54</v>
      </c>
      <c r="H131" s="313">
        <v>480.27</v>
      </c>
      <c r="I131" s="293"/>
      <c r="J131" s="293"/>
      <c r="K131" s="293"/>
      <c r="L131" s="293"/>
      <c r="M131" s="293"/>
      <c r="N131" s="294">
        <v>2</v>
      </c>
      <c r="O131" s="295">
        <f t="shared" si="146"/>
      </c>
      <c r="P131" s="294">
        <v>0</v>
      </c>
      <c r="Q131" s="295">
        <f t="shared" si="148"/>
      </c>
      <c r="R131" s="294">
        <v>2</v>
      </c>
      <c r="S131" s="313">
        <v>2849.1800000000003</v>
      </c>
      <c r="T131" s="296">
        <f t="shared" si="120"/>
      </c>
      <c r="U131" s="296">
        <f t="shared" si="26"/>
      </c>
      <c r="V131" s="290">
        <f t="shared" si="144"/>
      </c>
      <c r="W131" s="294">
        <v>2</v>
      </c>
      <c r="X131" s="337">
        <f t="shared" si="11"/>
      </c>
      <c r="Y131" s="290">
        <f t="shared" si="75"/>
      </c>
      <c r="Z131" s="354">
        <f t="shared" si="118"/>
      </c>
      <c r="AA131" s="296">
        <f t="shared" si="23"/>
      </c>
      <c r="AB131" s="296">
        <f t="shared" si="160"/>
      </c>
      <c r="AC131" s="295">
        <f t="shared" si="2"/>
      </c>
      <c r="AD131" s="295">
        <f t="shared" si="25"/>
      </c>
      <c r="AE131" s="295">
        <f t="shared" si="10"/>
      </c>
      <c r="AF131" s="295">
        <f t="shared" si="174"/>
      </c>
      <c r="AG131" s="295">
        <f t="shared" si="6"/>
      </c>
      <c r="AH131" s="295">
        <f t="shared" si="8"/>
      </c>
      <c r="AI131" s="343">
        <f t="shared" si="4"/>
      </c>
      <c r="AJ131" s="294">
        <v>48</v>
      </c>
      <c r="AK131" s="290">
        <v>1913</v>
      </c>
      <c r="AL131" s="290">
        <v>85</v>
      </c>
      <c r="AM131" s="290">
        <v>144</v>
      </c>
      <c r="AN131" s="290">
        <v>24</v>
      </c>
      <c r="AO131" s="330">
        <v>5</v>
      </c>
      <c r="AP131" s="362">
        <v>31</v>
      </c>
      <c r="AQ131" s="330">
        <v>21</v>
      </c>
      <c r="AR131" s="330">
        <v>2</v>
      </c>
      <c r="AS131" s="290">
        <v>1</v>
      </c>
      <c r="AT131" s="290">
        <v>0</v>
      </c>
      <c r="AU131" s="331">
        <v>3</v>
      </c>
      <c r="AW131" s="297"/>
      <c r="AX131" s="342">
        <f t="shared" si="97"/>
      </c>
    </row>
    <row r="132">
      <c r="A132" s="339"/>
      <c r="B132" s="299" t="s">
        <v>253</v>
      </c>
      <c r="C132" s="299"/>
      <c r="D132" s="299"/>
      <c r="E132" s="299"/>
      <c r="F132" s="355">
        <f>SUM(F129:F131)</f>
      </c>
      <c r="G132" s="355">
        <f>SUM(G129:G131)</f>
      </c>
      <c r="H132" s="355">
        <f>SUM(H129:H131)</f>
      </c>
      <c r="I132" s="300">
        <f>SUM(I129:I130)</f>
      </c>
      <c r="J132" s="300">
        <f>SUM(J129:J130)</f>
      </c>
      <c r="K132" s="300">
        <f>SUM(K129:K130)</f>
      </c>
      <c r="L132" s="300">
        <f>SUM(L129:L130)</f>
      </c>
      <c r="M132" s="300">
        <f>SUM(M129:M130)</f>
      </c>
      <c r="N132" s="300">
        <f>SUM(N129:N131)</f>
      </c>
      <c r="O132" s="302">
        <f t="shared" si="146"/>
      </c>
      <c r="P132" s="300">
        <f>SUM(P129:P131)</f>
      </c>
      <c r="Q132" s="302">
        <f t="shared" si="148"/>
      </c>
      <c r="R132" s="303">
        <f>SUM(R129:R131)</f>
      </c>
      <c r="S132" s="303">
        <f>SUM(S129:S131)</f>
      </c>
      <c r="T132" s="303">
        <f t="shared" si="120"/>
      </c>
      <c r="U132" s="303">
        <f t="shared" si="26"/>
      </c>
      <c r="V132" s="300">
        <f t="shared" si="144"/>
      </c>
      <c r="W132" s="300">
        <f>SUM(W129:W131)</f>
      </c>
      <c r="X132" s="300">
        <f t="shared" si="11"/>
      </c>
      <c r="Y132" s="300">
        <f t="shared" si="75"/>
      </c>
      <c r="Z132" s="356">
        <f t="shared" si="118"/>
      </c>
      <c r="AA132" s="323">
        <f t="shared" si="23"/>
      </c>
      <c r="AB132" s="336">
        <f t="shared" si="160"/>
      </c>
      <c r="AC132" s="326">
        <f t="shared" si="2"/>
      </c>
      <c r="AD132" s="326">
        <f t="shared" si="25"/>
      </c>
      <c r="AE132" s="326">
        <f t="shared" si="10"/>
      </c>
      <c r="AF132" s="326">
        <f>R132/AU305</f>
      </c>
      <c r="AG132" s="326">
        <f t="shared" si="6"/>
      </c>
      <c r="AH132" s="326">
        <f t="shared" si="8"/>
      </c>
      <c r="AI132" s="326">
        <f t="shared" si="4"/>
      </c>
      <c r="AJ132" s="317">
        <f>AVERAGE(AJ129:AJ131)</f>
      </c>
      <c r="AK132" s="300">
        <f>SUM(AK129:AK131)</f>
      </c>
      <c r="AL132" s="300">
        <f>SUM(AL129:AL131)</f>
      </c>
      <c r="AM132" s="300">
        <f>SUM(AM129:AM131)</f>
      </c>
      <c r="AN132" s="300">
        <f>SUM(AN129:AN131)</f>
      </c>
      <c r="AO132" s="300">
        <f>SUM(AO129:AO131)</f>
      </c>
      <c r="AP132" s="300">
        <f>SUM(AP129:AP131)</f>
      </c>
      <c r="AQ132" s="300">
        <f>SUM(AQ129:AQ131)</f>
      </c>
      <c r="AR132" s="300">
        <f>SUM(AR129:AR131)</f>
      </c>
      <c r="AS132" s="300">
        <f>SUM(AS129:AS131)</f>
      </c>
      <c r="AT132" s="300">
        <f>SUM(AT129:AT131)</f>
      </c>
      <c r="AU132" s="300">
        <f>SUM(AU129:AU131)</f>
      </c>
      <c r="AW132" s="305"/>
      <c r="AX132" s="300">
        <f>SUM(AX129:AX131)</f>
      </c>
    </row>
    <row r="133">
      <c r="A133" s="339"/>
      <c r="B133" s="307" t="s">
        <v>254</v>
      </c>
      <c r="C133" s="307"/>
      <c r="D133" s="307"/>
      <c r="E133" s="307"/>
      <c r="F133" s="309">
        <f>F128+F132</f>
      </c>
      <c r="G133" s="309">
        <f>G128+G132</f>
      </c>
      <c r="H133" s="309">
        <f>H128+H132</f>
      </c>
      <c r="I133" s="307">
        <f>I128+I132</f>
      </c>
      <c r="J133" s="307">
        <f>J128+J132</f>
      </c>
      <c r="K133" s="307">
        <f>K128+K132</f>
      </c>
      <c r="L133" s="307">
        <f>L128+L132</f>
      </c>
      <c r="M133" s="307">
        <f>M128+M132</f>
      </c>
      <c r="N133" s="307">
        <f>N128+N132</f>
      </c>
      <c r="O133" s="308">
        <f t="shared" si="146"/>
      </c>
      <c r="P133" s="307">
        <f>P128+P132</f>
      </c>
      <c r="Q133" s="308">
        <f t="shared" si="148"/>
      </c>
      <c r="R133" s="307">
        <f>R128+R132</f>
      </c>
      <c r="S133" s="309">
        <f>S128+S132</f>
      </c>
      <c r="T133" s="309">
        <f t="shared" si="120"/>
      </c>
      <c r="U133" s="309">
        <f t="shared" si="26"/>
      </c>
      <c r="V133" s="307">
        <f t="shared" si="144"/>
      </c>
      <c r="W133" s="307">
        <f>W128+W132</f>
      </c>
      <c r="X133" s="369">
        <f t="shared" si="11"/>
      </c>
      <c r="Y133" s="307">
        <f t="shared" si="75"/>
      </c>
      <c r="Z133" s="357">
        <f t="shared" si="118"/>
      </c>
      <c r="AA133" s="309">
        <f t="shared" si="23"/>
      </c>
      <c r="AB133" s="309">
        <f>AB132+AB128</f>
      </c>
      <c r="AC133" s="308">
        <f t="shared" si="2"/>
      </c>
      <c r="AD133" s="308">
        <f t="shared" si="25"/>
      </c>
      <c r="AE133" s="308">
        <f t="shared" si="10"/>
      </c>
      <c r="AF133" s="308">
        <f>R133/AU132:AU131</f>
      </c>
      <c r="AG133" s="308">
        <f t="shared" si="6"/>
      </c>
      <c r="AH133" s="308">
        <f t="shared" si="8"/>
      </c>
      <c r="AI133" s="308">
        <f t="shared" si="4"/>
      </c>
      <c r="AJ133" s="329">
        <f>(AJ128+AJ132)/2</f>
      </c>
      <c r="AK133" s="307">
        <f>AK128+AK132</f>
      </c>
      <c r="AL133" s="335">
        <f>AL128+AL132</f>
      </c>
      <c r="AM133" s="335">
        <f>AM128+AM132</f>
      </c>
      <c r="AN133" s="335">
        <f>AN128+AN132</f>
      </c>
      <c r="AO133" s="335">
        <f>AO128+AO132</f>
      </c>
      <c r="AP133" s="335">
        <f>AP128+AP132</f>
      </c>
      <c r="AQ133" s="335">
        <f>AQ128+AQ132</f>
      </c>
      <c r="AR133" s="335">
        <f>AR128+AR132</f>
      </c>
      <c r="AS133" s="335">
        <f>AS128+AS132</f>
      </c>
      <c r="AT133" s="335">
        <f>AT128+AT132</f>
      </c>
      <c r="AU133" s="307">
        <f>AU128+AU132</f>
      </c>
      <c r="AW133" s="349">
        <f>AW128+AW132</f>
      </c>
      <c r="AX133" s="307">
        <f>AX128+AX132</f>
      </c>
    </row>
    <row r="134">
      <c r="A134" s="339" t="s">
        <v>286</v>
      </c>
      <c r="B134" s="287" t="s">
        <v>287</v>
      </c>
      <c r="C134" s="287" t="s">
        <v>247</v>
      </c>
      <c r="D134" s="287" t="s">
        <v>285</v>
      </c>
      <c r="E134" s="288" t="s">
        <v>249</v>
      </c>
      <c r="F134" s="314">
        <f t="shared" ref="F134:F136" si="56">G134+H134+I134</f>
      </c>
      <c r="G134" s="313">
        <v>855.87</v>
      </c>
      <c r="H134" s="313">
        <v>2031.37</v>
      </c>
      <c r="I134" s="291"/>
      <c r="J134" s="291"/>
      <c r="K134" s="291"/>
      <c r="L134" s="293"/>
      <c r="M134" s="293"/>
      <c r="N134" s="294">
        <v>0</v>
      </c>
      <c r="O134" s="295">
        <f t="shared" si="146"/>
      </c>
      <c r="P134" s="294">
        <v>0</v>
      </c>
      <c r="Q134" s="295">
        <f t="shared" si="148"/>
      </c>
      <c r="R134" s="370">
        <v>0</v>
      </c>
      <c r="S134" s="366">
        <v>0</v>
      </c>
      <c r="T134" s="296">
        <f t="shared" si="120"/>
      </c>
      <c r="U134" s="296">
        <f t="shared" si="26"/>
      </c>
      <c r="V134" s="290">
        <f t="shared" si="144"/>
      </c>
      <c r="W134" s="294">
        <v>0</v>
      </c>
      <c r="X134" s="290">
        <f t="shared" si="11"/>
      </c>
      <c r="Y134" s="290">
        <f t="shared" si="75"/>
      </c>
      <c r="Z134" s="354">
        <f t="shared" si="118"/>
      </c>
      <c r="AA134" s="296">
        <f t="shared" si="23"/>
      </c>
      <c r="AB134" s="296">
        <f t="shared" ref="AB134:AB141" si="161">F134/AN134</f>
      </c>
      <c r="AC134" s="295">
        <f t="shared" si="2"/>
      </c>
      <c r="AD134" s="295">
        <f t="shared" si="25"/>
      </c>
      <c r="AE134" s="295">
        <f t="shared" si="10"/>
      </c>
      <c r="AF134" s="295">
        <f t="shared" ref="AF134:AF136" si="133">R134/AO134</f>
      </c>
      <c r="AG134" s="295">
        <f t="shared" si="6"/>
      </c>
      <c r="AH134" s="295">
        <f t="shared" si="8"/>
      </c>
      <c r="AI134" s="359">
        <f t="shared" si="4"/>
      </c>
      <c r="AJ134" s="294">
        <v>34</v>
      </c>
      <c r="AK134" s="290">
        <v>6781</v>
      </c>
      <c r="AL134" s="290">
        <v>222</v>
      </c>
      <c r="AM134" s="290">
        <v>299</v>
      </c>
      <c r="AN134" s="294">
        <v>48</v>
      </c>
      <c r="AO134" s="330">
        <v>13</v>
      </c>
      <c r="AP134" s="360">
        <v>36</v>
      </c>
      <c r="AQ134" s="360">
        <v>33</v>
      </c>
      <c r="AR134" s="330">
        <v>1</v>
      </c>
      <c r="AS134" s="330">
        <v>5</v>
      </c>
      <c r="AT134" s="294">
        <v>1</v>
      </c>
      <c r="AU134" s="294">
        <v>6</v>
      </c>
      <c r="AW134" s="297"/>
      <c r="AX134" s="342">
        <f t="shared" ref="AX134:AX136" si="98">COUNT(AU134)</f>
      </c>
    </row>
    <row r="135">
      <c r="A135" s="339"/>
      <c r="B135" s="287" t="s">
        <v>287</v>
      </c>
      <c r="C135" s="287" t="s">
        <v>247</v>
      </c>
      <c r="D135" s="287" t="s">
        <v>285</v>
      </c>
      <c r="E135" s="288" t="s">
        <v>250</v>
      </c>
      <c r="F135" s="314">
        <f t="shared" si="56"/>
      </c>
      <c r="G135" s="313">
        <v>572.44</v>
      </c>
      <c r="H135" s="313">
        <v>1063.86</v>
      </c>
      <c r="I135" s="293"/>
      <c r="J135" s="293"/>
      <c r="K135" s="293"/>
      <c r="L135" s="293"/>
      <c r="M135" s="293"/>
      <c r="N135" s="294">
        <v>0</v>
      </c>
      <c r="O135" s="295">
        <f t="shared" si="146"/>
      </c>
      <c r="P135" s="294">
        <v>0</v>
      </c>
      <c r="Q135" s="295">
        <f t="shared" si="148"/>
      </c>
      <c r="R135" s="294">
        <v>0</v>
      </c>
      <c r="S135" s="313">
        <v>0</v>
      </c>
      <c r="T135" s="296">
        <f t="shared" si="120"/>
      </c>
      <c r="U135" s="296">
        <f t="shared" si="26"/>
      </c>
      <c r="V135" s="290">
        <f t="shared" si="144"/>
      </c>
      <c r="W135" s="294">
        <v>0</v>
      </c>
      <c r="X135" s="290">
        <f t="shared" si="11"/>
      </c>
      <c r="Y135" s="290">
        <f t="shared" si="75"/>
      </c>
      <c r="Z135" s="354">
        <f t="shared" si="118"/>
      </c>
      <c r="AA135" s="296">
        <f t="shared" si="23"/>
      </c>
      <c r="AB135" s="296">
        <f t="shared" si="161"/>
      </c>
      <c r="AC135" s="295">
        <f t="shared" si="2"/>
      </c>
      <c r="AD135" s="295">
        <f t="shared" si="25"/>
      </c>
      <c r="AE135" s="295">
        <f t="shared" si="10"/>
      </c>
      <c r="AF135" s="295">
        <f t="shared" si="133"/>
      </c>
      <c r="AG135" s="295">
        <f t="shared" si="6"/>
      </c>
      <c r="AH135" s="343">
        <f t="shared" si="8"/>
      </c>
      <c r="AI135" s="343">
        <f t="shared" si="4"/>
      </c>
      <c r="AJ135" s="294">
        <v>36</v>
      </c>
      <c r="AK135" s="290">
        <v>4987</v>
      </c>
      <c r="AL135" s="290">
        <v>197</v>
      </c>
      <c r="AM135" s="290">
        <v>278</v>
      </c>
      <c r="AN135" s="290">
        <v>40</v>
      </c>
      <c r="AO135" s="330">
        <v>11</v>
      </c>
      <c r="AP135" s="331">
        <v>42</v>
      </c>
      <c r="AQ135" s="330">
        <v>37</v>
      </c>
      <c r="AR135" s="330">
        <v>1</v>
      </c>
      <c r="AS135" s="290">
        <v>1</v>
      </c>
      <c r="AT135" s="290">
        <v>2</v>
      </c>
      <c r="AU135" s="331">
        <v>3</v>
      </c>
      <c r="AW135" s="297"/>
      <c r="AX135" s="342">
        <f t="shared" si="98"/>
      </c>
    </row>
    <row r="136">
      <c r="A136" s="339"/>
      <c r="B136" s="287" t="s">
        <v>287</v>
      </c>
      <c r="C136" s="287" t="s">
        <v>247</v>
      </c>
      <c r="D136" s="287" t="s">
        <v>285</v>
      </c>
      <c r="E136" s="288" t="s">
        <v>251</v>
      </c>
      <c r="F136" s="314">
        <f t="shared" si="56"/>
      </c>
      <c r="G136" s="313">
        <v>303.39</v>
      </c>
      <c r="H136" s="313">
        <v>671.38</v>
      </c>
      <c r="I136" s="293"/>
      <c r="J136" s="293"/>
      <c r="K136" s="293"/>
      <c r="L136" s="293"/>
      <c r="M136" s="293"/>
      <c r="N136" s="294">
        <v>0</v>
      </c>
      <c r="O136" s="295">
        <f t="shared" si="146"/>
      </c>
      <c r="P136" s="294">
        <v>0</v>
      </c>
      <c r="Q136" s="295">
        <f t="shared" si="148"/>
      </c>
      <c r="R136" s="294">
        <v>0</v>
      </c>
      <c r="S136" s="313">
        <v>0</v>
      </c>
      <c r="T136" s="296">
        <f t="shared" si="120"/>
      </c>
      <c r="U136" s="296">
        <f t="shared" si="26"/>
      </c>
      <c r="V136" s="290">
        <f t="shared" si="144"/>
      </c>
      <c r="W136" s="294">
        <v>0</v>
      </c>
      <c r="X136" s="290">
        <f t="shared" si="11"/>
      </c>
      <c r="Y136" s="290">
        <f t="shared" si="75"/>
      </c>
      <c r="Z136" s="354">
        <f t="shared" si="118"/>
      </c>
      <c r="AA136" s="296">
        <f t="shared" si="23"/>
      </c>
      <c r="AB136" s="296">
        <f t="shared" si="161"/>
      </c>
      <c r="AC136" s="295">
        <f t="shared" si="2"/>
      </c>
      <c r="AD136" s="295">
        <f t="shared" si="25"/>
      </c>
      <c r="AE136" s="295">
        <f t="shared" si="10"/>
      </c>
      <c r="AF136" s="295">
        <f t="shared" si="133"/>
      </c>
      <c r="AG136" s="295">
        <f t="shared" si="6"/>
      </c>
      <c r="AH136" s="295">
        <f t="shared" si="8"/>
      </c>
      <c r="AI136" s="361">
        <f t="shared" si="4"/>
      </c>
      <c r="AJ136" s="294">
        <v>35</v>
      </c>
      <c r="AK136" s="290">
        <v>2850</v>
      </c>
      <c r="AL136" s="290">
        <v>100</v>
      </c>
      <c r="AM136" s="290">
        <v>170</v>
      </c>
      <c r="AN136" s="290">
        <v>18</v>
      </c>
      <c r="AO136" s="330">
        <v>7</v>
      </c>
      <c r="AP136" s="331">
        <v>13</v>
      </c>
      <c r="AQ136" s="330">
        <v>21</v>
      </c>
      <c r="AR136" s="330">
        <v>0</v>
      </c>
      <c r="AS136" s="294">
        <v>0</v>
      </c>
      <c r="AT136" s="294">
        <v>0</v>
      </c>
      <c r="AU136" s="331">
        <v>1</v>
      </c>
      <c r="AW136" s="297"/>
      <c r="AX136" s="342">
        <f t="shared" si="98"/>
      </c>
    </row>
    <row r="137">
      <c r="A137" s="339"/>
      <c r="B137" s="299" t="s">
        <v>253</v>
      </c>
      <c r="C137" s="299"/>
      <c r="D137" s="299"/>
      <c r="E137" s="299"/>
      <c r="F137" s="355">
        <f>SUM(F134:F136)</f>
      </c>
      <c r="G137" s="303">
        <f>SUM(G134:G136)</f>
      </c>
      <c r="H137" s="303">
        <f>SUM(H134:H136)</f>
      </c>
      <c r="I137" s="300">
        <f>SUM(I134:I136)</f>
      </c>
      <c r="J137" s="300">
        <f>SUM(J134:J136)</f>
      </c>
      <c r="K137" s="300">
        <f>SUM(K134:K136)</f>
      </c>
      <c r="L137" s="300">
        <f>SUM(L134:L136)</f>
      </c>
      <c r="M137" s="300">
        <f>SUM(M134:M136)</f>
      </c>
      <c r="N137" s="300">
        <f>SUM(N134:N136)</f>
      </c>
      <c r="O137" s="302">
        <f t="shared" si="146"/>
      </c>
      <c r="P137" s="300">
        <f>SUM(P134:P136)</f>
      </c>
      <c r="Q137" s="302">
        <f t="shared" si="148"/>
      </c>
      <c r="R137" s="300">
        <f>SUM(R134:R136)</f>
      </c>
      <c r="S137" s="303">
        <f>SUM(S134:S136)</f>
      </c>
      <c r="T137" s="303">
        <f t="shared" si="120"/>
      </c>
      <c r="U137" s="303">
        <f t="shared" si="26"/>
      </c>
      <c r="V137" s="300">
        <f t="shared" si="144"/>
      </c>
      <c r="W137" s="300">
        <f>SUM(W134:W136)</f>
      </c>
      <c r="X137" s="300">
        <f t="shared" si="11"/>
      </c>
      <c r="Y137" s="300">
        <f t="shared" si="75"/>
      </c>
      <c r="Z137" s="355">
        <f t="shared" si="118"/>
      </c>
      <c r="AA137" s="303">
        <f t="shared" si="23"/>
      </c>
      <c r="AB137" s="336">
        <f t="shared" si="161"/>
      </c>
      <c r="AC137" s="302">
        <f t="shared" si="2"/>
      </c>
      <c r="AD137" s="302">
        <f t="shared" si="25"/>
      </c>
      <c r="AE137" s="302">
        <f t="shared" si="10"/>
      </c>
      <c r="AF137" s="302">
        <f>R137/AO142</f>
      </c>
      <c r="AG137" s="302">
        <f t="shared" si="6"/>
      </c>
      <c r="AH137" s="302">
        <f t="shared" si="8"/>
      </c>
      <c r="AI137" s="363">
        <f t="shared" si="4"/>
      </c>
      <c r="AJ137" s="317">
        <f>AVERAGE(AJ134:AJ136)</f>
      </c>
      <c r="AK137" s="300">
        <f>SUM(AK134:AK136)</f>
      </c>
      <c r="AL137" s="300">
        <f>SUM(AL134:AL136)</f>
      </c>
      <c r="AM137" s="300">
        <f>SUM(AM134:AM136)</f>
      </c>
      <c r="AN137" s="300">
        <f>SUM(AN134:AN136)</f>
      </c>
      <c r="AO137" s="300">
        <f>SUM(AO134:AO136)</f>
      </c>
      <c r="AP137" s="333">
        <f>SUM(AP134:AP136)</f>
      </c>
      <c r="AQ137" s="300">
        <f>SUM(AQ134:AQ136)</f>
      </c>
      <c r="AR137" s="300">
        <f>SUM(AR134:AR136)</f>
      </c>
      <c r="AS137" s="300">
        <f>SUM(AS134:AS136)</f>
      </c>
      <c r="AT137" s="300">
        <f>SUM(AT134:AT136)</f>
      </c>
      <c r="AU137" s="333">
        <f>SUM(AU134:AU136)</f>
      </c>
      <c r="AW137" s="305"/>
      <c r="AX137" s="300">
        <f>SUM(AX134:AX136)</f>
      </c>
    </row>
    <row r="138">
      <c r="A138" s="339"/>
      <c r="B138" s="287" t="s">
        <v>287</v>
      </c>
      <c r="C138" s="287" t="s">
        <v>247</v>
      </c>
      <c r="D138" s="287" t="s">
        <v>248</v>
      </c>
      <c r="E138" s="288" t="s">
        <v>252</v>
      </c>
      <c r="F138" s="314">
        <f t="shared" ref="F138:F140" si="57">G138+H138+I138</f>
      </c>
      <c r="G138" s="313">
        <v>306.21</v>
      </c>
      <c r="H138" s="313">
        <v>757.28</v>
      </c>
      <c r="I138" s="293"/>
      <c r="J138" s="293"/>
      <c r="K138" s="293"/>
      <c r="L138" s="293"/>
      <c r="M138" s="293"/>
      <c r="N138" s="294">
        <v>0</v>
      </c>
      <c r="O138" s="295">
        <f t="shared" si="146"/>
      </c>
      <c r="P138" s="294">
        <v>1</v>
      </c>
      <c r="Q138" s="295">
        <f t="shared" si="148"/>
      </c>
      <c r="R138" s="294">
        <v>2</v>
      </c>
      <c r="S138" s="313">
        <v>2861.4</v>
      </c>
      <c r="T138" s="296">
        <f t="shared" si="120"/>
      </c>
      <c r="U138" s="296">
        <f t="shared" si="26"/>
      </c>
      <c r="V138" s="290">
        <f t="shared" si="144"/>
      </c>
      <c r="W138" s="294">
        <v>1</v>
      </c>
      <c r="X138" s="337">
        <f t="shared" si="11"/>
      </c>
      <c r="Y138" s="290">
        <f t="shared" si="75"/>
      </c>
      <c r="Z138" s="354">
        <f t="shared" si="118"/>
      </c>
      <c r="AA138" s="296">
        <f t="shared" si="23"/>
      </c>
      <c r="AB138" s="296">
        <f t="shared" si="161"/>
      </c>
      <c r="AC138" s="295">
        <f t="shared" si="2"/>
      </c>
      <c r="AD138" s="295">
        <f t="shared" si="25"/>
      </c>
      <c r="AE138" s="295">
        <f t="shared" si="10"/>
      </c>
      <c r="AF138" s="295">
        <f>R138/AE137:AC135</f>
      </c>
      <c r="AG138" s="295">
        <f t="shared" si="6"/>
      </c>
      <c r="AH138" s="295">
        <f t="shared" si="8"/>
      </c>
      <c r="AI138" s="343">
        <f t="shared" si="4"/>
      </c>
      <c r="AJ138" s="294">
        <v>42</v>
      </c>
      <c r="AK138" s="290">
        <v>3290</v>
      </c>
      <c r="AL138" s="290">
        <v>133</v>
      </c>
      <c r="AM138" s="290">
        <v>191</v>
      </c>
      <c r="AN138" s="290">
        <v>22</v>
      </c>
      <c r="AO138" s="330">
        <v>11</v>
      </c>
      <c r="AP138" s="331">
        <v>28</v>
      </c>
      <c r="AQ138" s="330">
        <v>26</v>
      </c>
      <c r="AR138" s="330">
        <v>3</v>
      </c>
      <c r="AS138" s="290">
        <v>1</v>
      </c>
      <c r="AT138" s="290">
        <v>0</v>
      </c>
      <c r="AU138" s="331">
        <v>1</v>
      </c>
      <c r="AW138" s="297"/>
      <c r="AX138" s="342">
        <f t="shared" ref="AX138:AX140" si="99">COUNT(AU138)</f>
      </c>
    </row>
    <row r="139">
      <c r="A139" s="339"/>
      <c r="B139" s="287" t="s">
        <v>287</v>
      </c>
      <c r="C139" s="287" t="s">
        <v>247</v>
      </c>
      <c r="D139" s="287" t="s">
        <v>248</v>
      </c>
      <c r="E139" s="287" t="s">
        <v>257</v>
      </c>
      <c r="F139" s="314">
        <f t="shared" si="57"/>
      </c>
      <c r="G139" s="313">
        <v>916.57</v>
      </c>
      <c r="H139" s="313">
        <v>1378.33</v>
      </c>
      <c r="I139" s="293"/>
      <c r="J139" s="293"/>
      <c r="K139" s="293"/>
      <c r="L139" s="293"/>
      <c r="M139" s="293"/>
      <c r="N139" s="294">
        <v>0</v>
      </c>
      <c r="O139" s="295">
        <f t="shared" si="146"/>
      </c>
      <c r="P139" s="294">
        <v>0</v>
      </c>
      <c r="Q139" s="295">
        <f t="shared" si="148"/>
      </c>
      <c r="R139" s="294">
        <v>0</v>
      </c>
      <c r="S139" s="313">
        <v>0</v>
      </c>
      <c r="T139" s="296">
        <f t="shared" si="120"/>
      </c>
      <c r="U139" s="296">
        <f t="shared" si="26"/>
      </c>
      <c r="V139" s="290">
        <f t="shared" si="144"/>
      </c>
      <c r="W139" s="294">
        <v>0</v>
      </c>
      <c r="X139" s="337">
        <f t="shared" si="11"/>
      </c>
      <c r="Y139" s="290">
        <f t="shared" si="75"/>
      </c>
      <c r="Z139" s="354">
        <f t="shared" si="118"/>
      </c>
      <c r="AA139" s="296">
        <f t="shared" si="23"/>
      </c>
      <c r="AB139" s="296">
        <f t="shared" si="161"/>
      </c>
      <c r="AC139" s="295">
        <f t="shared" si="2"/>
      </c>
      <c r="AD139" s="295">
        <f t="shared" si="25"/>
      </c>
      <c r="AE139" s="295">
        <f t="shared" si="10"/>
      </c>
      <c r="AF139" s="295">
        <f t="shared" ref="AF139:AF140" si="175">R139/AO141</f>
      </c>
      <c r="AG139" s="295">
        <f t="shared" si="6"/>
      </c>
      <c r="AH139" s="295">
        <f t="shared" si="8"/>
      </c>
      <c r="AI139" s="343">
        <f t="shared" si="4"/>
      </c>
      <c r="AJ139" s="294">
        <v>46</v>
      </c>
      <c r="AK139" s="290">
        <v>6974</v>
      </c>
      <c r="AL139" s="290">
        <v>249</v>
      </c>
      <c r="AM139" s="290">
        <v>336</v>
      </c>
      <c r="AN139" s="290">
        <v>48</v>
      </c>
      <c r="AO139" s="330">
        <v>16</v>
      </c>
      <c r="AP139" s="331">
        <v>86</v>
      </c>
      <c r="AQ139" s="330">
        <v>54</v>
      </c>
      <c r="AR139" s="330">
        <v>0</v>
      </c>
      <c r="AS139" s="290">
        <v>3</v>
      </c>
      <c r="AT139" s="290">
        <v>0</v>
      </c>
      <c r="AU139" s="331">
        <v>4</v>
      </c>
      <c r="AW139" s="297"/>
      <c r="AX139" s="342">
        <f t="shared" si="99"/>
      </c>
    </row>
    <row r="140">
      <c r="A140" s="339"/>
      <c r="B140" s="287" t="s">
        <v>287</v>
      </c>
      <c r="C140" s="367" t="s">
        <v>247</v>
      </c>
      <c r="D140" s="287" t="s">
        <v>248</v>
      </c>
      <c r="E140" s="367" t="s">
        <v>258</v>
      </c>
      <c r="F140" s="313">
        <f t="shared" si="57"/>
      </c>
      <c r="G140" s="313">
        <v>516.16</v>
      </c>
      <c r="H140" s="313">
        <v>544.61</v>
      </c>
      <c r="I140" s="293"/>
      <c r="J140" s="293"/>
      <c r="K140" s="293"/>
      <c r="L140" s="293"/>
      <c r="M140" s="293"/>
      <c r="N140" s="294">
        <v>0</v>
      </c>
      <c r="O140" s="295">
        <f t="shared" si="146"/>
      </c>
      <c r="P140" s="294">
        <v>0</v>
      </c>
      <c r="Q140" s="295">
        <f t="shared" si="148"/>
      </c>
      <c r="R140" s="294">
        <v>0</v>
      </c>
      <c r="S140" s="313">
        <v>0</v>
      </c>
      <c r="T140" s="296">
        <f t="shared" si="120"/>
      </c>
      <c r="U140" s="296">
        <f t="shared" si="26"/>
      </c>
      <c r="V140" s="290">
        <f t="shared" si="144"/>
      </c>
      <c r="W140" s="294">
        <v>0</v>
      </c>
      <c r="X140" s="337">
        <f t="shared" si="11"/>
      </c>
      <c r="Y140" s="290">
        <f t="shared" si="75"/>
      </c>
      <c r="Z140" s="354">
        <f t="shared" si="118"/>
      </c>
      <c r="AA140" s="296">
        <f t="shared" si="23"/>
      </c>
      <c r="AB140" s="296">
        <f t="shared" si="161"/>
      </c>
      <c r="AC140" s="295">
        <f t="shared" si="2"/>
      </c>
      <c r="AD140" s="295">
        <f t="shared" si="25"/>
      </c>
      <c r="AE140" s="295">
        <f t="shared" si="10"/>
      </c>
      <c r="AF140" s="295">
        <f t="shared" si="175"/>
      </c>
      <c r="AG140" s="295">
        <f t="shared" si="6"/>
      </c>
      <c r="AH140" s="295">
        <f t="shared" si="8"/>
      </c>
      <c r="AI140" s="343">
        <f t="shared" si="4"/>
      </c>
      <c r="AJ140" s="294">
        <v>45</v>
      </c>
      <c r="AK140" s="290">
        <v>4848</v>
      </c>
      <c r="AL140" s="290">
        <v>138</v>
      </c>
      <c r="AM140" s="290">
        <v>212</v>
      </c>
      <c r="AN140" s="290">
        <v>29</v>
      </c>
      <c r="AO140" s="330">
        <v>8</v>
      </c>
      <c r="AP140" s="331">
        <v>46</v>
      </c>
      <c r="AQ140" s="330">
        <v>31</v>
      </c>
      <c r="AR140" s="330">
        <v>1</v>
      </c>
      <c r="AS140" s="290">
        <v>1</v>
      </c>
      <c r="AT140" s="290">
        <v>0</v>
      </c>
      <c r="AU140" s="331">
        <v>0</v>
      </c>
      <c r="AW140" s="297"/>
      <c r="AX140" s="342">
        <f t="shared" si="99"/>
      </c>
    </row>
    <row r="141">
      <c r="A141" s="339"/>
      <c r="B141" s="299" t="s">
        <v>253</v>
      </c>
      <c r="C141" s="299"/>
      <c r="D141" s="299"/>
      <c r="E141" s="299"/>
      <c r="F141" s="355">
        <f>SUM(F138:F140)</f>
      </c>
      <c r="G141" s="355">
        <f>SUM(G138:G140)</f>
      </c>
      <c r="H141" s="355">
        <f>SUM(H138:H140)</f>
      </c>
      <c r="I141" s="300">
        <f>SUM(I138:I139)</f>
      </c>
      <c r="J141" s="300">
        <f>SUM(J138:J139)</f>
      </c>
      <c r="K141" s="300">
        <f>SUM(K138:K139)</f>
      </c>
      <c r="L141" s="300">
        <f>SUM(L138:L139)</f>
      </c>
      <c r="M141" s="300">
        <f>SUM(M138:M139)</f>
      </c>
      <c r="N141" s="300">
        <f>SUM(N138:N140)</f>
      </c>
      <c r="O141" s="302">
        <f t="shared" si="146"/>
      </c>
      <c r="P141" s="300">
        <f>SUM(P138:P140)</f>
      </c>
      <c r="Q141" s="302">
        <f t="shared" si="148"/>
      </c>
      <c r="R141" s="317">
        <f>SUM(R138:R140)</f>
      </c>
      <c r="S141" s="303">
        <f>SUM(S138:S140)</f>
      </c>
      <c r="T141" s="303">
        <f t="shared" si="120"/>
      </c>
      <c r="U141" s="303">
        <f t="shared" si="26"/>
      </c>
      <c r="V141" s="300">
        <f t="shared" si="144"/>
      </c>
      <c r="W141" s="300">
        <f>SUM(W138:W140)</f>
      </c>
      <c r="X141" s="300">
        <f t="shared" si="11"/>
      </c>
      <c r="Y141" s="300">
        <f t="shared" si="75"/>
      </c>
      <c r="Z141" s="356">
        <f t="shared" si="118"/>
      </c>
      <c r="AA141" s="323">
        <f t="shared" si="23"/>
      </c>
      <c r="AB141" s="336">
        <f t="shared" si="161"/>
      </c>
      <c r="AC141" s="326">
        <f t="shared" si="2"/>
      </c>
      <c r="AD141" s="326">
        <f t="shared" si="25"/>
      </c>
      <c r="AE141" s="326">
        <f t="shared" si="10"/>
      </c>
      <c r="AF141" s="326">
        <f>R141/AU317</f>
      </c>
      <c r="AG141" s="326">
        <f t="shared" si="6"/>
      </c>
      <c r="AH141" s="326">
        <f t="shared" si="8"/>
      </c>
      <c r="AI141" s="326">
        <f t="shared" si="4"/>
      </c>
      <c r="AJ141" s="317">
        <f>AVERAGE(AJ138:AJ140)</f>
      </c>
      <c r="AK141" s="300">
        <f>SUM(AK138:AK140)</f>
      </c>
      <c r="AL141" s="300">
        <f>SUM(AL138:AL140)</f>
      </c>
      <c r="AM141" s="300">
        <f>SUM(AM138:AM140)</f>
      </c>
      <c r="AN141" s="300">
        <f>SUM(AN138:AN140)</f>
      </c>
      <c r="AO141" s="300">
        <f>SUM(AO138:AO140)</f>
      </c>
      <c r="AP141" s="300">
        <f>SUM(AP138:AP140)</f>
      </c>
      <c r="AQ141" s="300">
        <f>SUM(AQ138:AQ140)</f>
      </c>
      <c r="AR141" s="300">
        <f>SUM(AR138:AR140)</f>
      </c>
      <c r="AS141" s="300">
        <f>SUM(AS138:AS140)</f>
      </c>
      <c r="AT141" s="300">
        <f>SUM(AT138:AT140)</f>
      </c>
      <c r="AU141" s="300">
        <f>SUM(AU138:AU140)</f>
      </c>
      <c r="AW141" s="305"/>
      <c r="AX141" s="300">
        <f>SUM(AX138:AX140)</f>
      </c>
    </row>
    <row r="142">
      <c r="A142" s="339"/>
      <c r="B142" s="307" t="s">
        <v>254</v>
      </c>
      <c r="C142" s="307"/>
      <c r="D142" s="307"/>
      <c r="E142" s="307"/>
      <c r="F142" s="309">
        <f>F137+F141</f>
      </c>
      <c r="G142" s="309">
        <f>G137+G141</f>
      </c>
      <c r="H142" s="309">
        <f>H137+H141</f>
      </c>
      <c r="I142" s="307">
        <f>I137+I141</f>
      </c>
      <c r="J142" s="307">
        <f>J137+J141</f>
      </c>
      <c r="K142" s="307">
        <f>K137+K141</f>
      </c>
      <c r="L142" s="307">
        <f>L137+L141</f>
      </c>
      <c r="M142" s="307">
        <f>M137+M141</f>
      </c>
      <c r="N142" s="307">
        <f>N137+N141</f>
      </c>
      <c r="O142" s="308">
        <f t="shared" si="146"/>
      </c>
      <c r="P142" s="307">
        <f>P137+P141</f>
      </c>
      <c r="Q142" s="308">
        <f t="shared" si="148"/>
      </c>
      <c r="R142" s="307">
        <f>R137+R141</f>
      </c>
      <c r="S142" s="309">
        <f>S137+S141</f>
      </c>
      <c r="T142" s="309">
        <f t="shared" si="120"/>
      </c>
      <c r="U142" s="309">
        <f t="shared" si="26"/>
      </c>
      <c r="V142" s="307">
        <f t="shared" si="144"/>
      </c>
      <c r="W142" s="307">
        <f>W137+W141</f>
      </c>
      <c r="X142" s="369">
        <f t="shared" si="11"/>
      </c>
      <c r="Y142" s="307">
        <f t="shared" si="75"/>
      </c>
      <c r="Z142" s="357">
        <f t="shared" si="118"/>
      </c>
      <c r="AA142" s="309">
        <f t="shared" si="23"/>
      </c>
      <c r="AB142" s="309">
        <f>AB141+AB137</f>
      </c>
      <c r="AC142" s="308">
        <f t="shared" si="2"/>
      </c>
      <c r="AD142" s="308">
        <f t="shared" si="25"/>
      </c>
      <c r="AE142" s="308">
        <f t="shared" si="10"/>
      </c>
      <c r="AF142" s="308">
        <f>R142/AU141:AU140</f>
      </c>
      <c r="AG142" s="308">
        <f t="shared" si="6"/>
      </c>
      <c r="AH142" s="308">
        <f t="shared" si="8"/>
      </c>
      <c r="AI142" s="308">
        <f t="shared" si="4"/>
      </c>
      <c r="AJ142" s="329">
        <f>(AJ137+AJ141)/2</f>
      </c>
      <c r="AK142" s="307">
        <f>AK137+AK141</f>
      </c>
      <c r="AL142" s="335">
        <f>AL137+AL141</f>
      </c>
      <c r="AM142" s="335">
        <f>AM137+AM141</f>
      </c>
      <c r="AN142" s="335">
        <f>AN137+AN141</f>
      </c>
      <c r="AO142" s="335">
        <f>AO137+AO141</f>
      </c>
      <c r="AP142" s="335">
        <f>AP137+AP141</f>
      </c>
      <c r="AQ142" s="335">
        <f>AQ137+AQ141</f>
      </c>
      <c r="AR142" s="335">
        <f>AR137+AR141</f>
      </c>
      <c r="AS142" s="335">
        <f>AS137+AS141</f>
      </c>
      <c r="AT142" s="335">
        <f>AT137+AT141</f>
      </c>
      <c r="AU142" s="307">
        <f>AU137+AU141</f>
      </c>
      <c r="AW142" s="349">
        <f>AW137+AW141</f>
      </c>
      <c r="AX142" s="307">
        <f>AX137+AX141</f>
      </c>
    </row>
    <row r="143">
      <c r="A143" s="339" t="s">
        <v>288</v>
      </c>
      <c r="B143" s="287" t="s">
        <v>287</v>
      </c>
      <c r="C143" s="287" t="s">
        <v>247</v>
      </c>
      <c r="D143" s="287" t="s">
        <v>256</v>
      </c>
      <c r="E143" s="288" t="s">
        <v>249</v>
      </c>
      <c r="F143" s="314">
        <f t="shared" ref="F143:F145" si="58">G143+H143+I143</f>
      </c>
      <c r="G143" s="313">
        <v>339.74</v>
      </c>
      <c r="H143" s="313">
        <v>769.06</v>
      </c>
      <c r="I143" s="291"/>
      <c r="J143" s="291"/>
      <c r="K143" s="291"/>
      <c r="L143" s="293"/>
      <c r="M143" s="293"/>
      <c r="N143" s="294">
        <v>0</v>
      </c>
      <c r="O143" s="295">
        <f t="shared" si="146"/>
      </c>
      <c r="P143" s="294">
        <v>1</v>
      </c>
      <c r="Q143" s="295">
        <f t="shared" si="148"/>
      </c>
      <c r="R143" s="371">
        <v>1</v>
      </c>
      <c r="S143" s="366">
        <v>5016.3</v>
      </c>
      <c r="T143" s="296">
        <f t="shared" si="120"/>
      </c>
      <c r="U143" s="296">
        <f t="shared" si="26"/>
      </c>
      <c r="V143" s="290">
        <f t="shared" si="144"/>
      </c>
      <c r="W143" s="294">
        <v>1</v>
      </c>
      <c r="X143" s="290">
        <f t="shared" si="11"/>
      </c>
      <c r="Y143" s="290">
        <f t="shared" si="75"/>
      </c>
      <c r="Z143" s="354">
        <f t="shared" si="118"/>
      </c>
      <c r="AA143" s="296">
        <f t="shared" si="23"/>
      </c>
      <c r="AB143" s="296">
        <f t="shared" ref="AB143:AB150" si="162">F143/AN143</f>
      </c>
      <c r="AC143" s="295">
        <f t="shared" si="2"/>
      </c>
      <c r="AD143" s="295">
        <f t="shared" si="25"/>
      </c>
      <c r="AE143" s="295">
        <f t="shared" si="10"/>
      </c>
      <c r="AF143" s="295">
        <f t="shared" ref="AF143:AF145" si="134">R143/AO143</f>
      </c>
      <c r="AG143" s="295">
        <f t="shared" si="6"/>
      </c>
      <c r="AH143" s="295">
        <f t="shared" si="8"/>
      </c>
      <c r="AI143" s="359">
        <f t="shared" si="4"/>
      </c>
      <c r="AJ143" s="294">
        <v>40</v>
      </c>
      <c r="AK143" s="290">
        <v>3322</v>
      </c>
      <c r="AL143" s="290">
        <v>93</v>
      </c>
      <c r="AM143" s="290">
        <v>162</v>
      </c>
      <c r="AN143" s="294">
        <v>23</v>
      </c>
      <c r="AO143" s="330">
        <v>6</v>
      </c>
      <c r="AP143" s="360">
        <v>18</v>
      </c>
      <c r="AQ143" s="360">
        <v>16</v>
      </c>
      <c r="AR143" s="330">
        <v>2</v>
      </c>
      <c r="AS143" s="330">
        <v>4</v>
      </c>
      <c r="AT143" s="294">
        <v>0</v>
      </c>
      <c r="AU143" s="294">
        <v>1</v>
      </c>
      <c r="AW143" s="297"/>
      <c r="AX143" s="342">
        <f t="shared" ref="AX143:AX145" si="100">COUNT(AU143)</f>
      </c>
    </row>
    <row r="144">
      <c r="A144" s="339"/>
      <c r="B144" s="287" t="s">
        <v>287</v>
      </c>
      <c r="C144" s="287" t="s">
        <v>247</v>
      </c>
      <c r="D144" s="287" t="s">
        <v>256</v>
      </c>
      <c r="E144" s="288" t="s">
        <v>250</v>
      </c>
      <c r="F144" s="314">
        <f t="shared" si="58"/>
      </c>
      <c r="G144" s="313">
        <v>293.85</v>
      </c>
      <c r="H144" s="313">
        <v>619.47</v>
      </c>
      <c r="I144" s="293"/>
      <c r="J144" s="293"/>
      <c r="K144" s="293"/>
      <c r="L144" s="293"/>
      <c r="M144" s="293"/>
      <c r="N144" s="294">
        <v>0</v>
      </c>
      <c r="O144" s="295">
        <f t="shared" si="146"/>
      </c>
      <c r="P144" s="294">
        <v>0</v>
      </c>
      <c r="Q144" s="295">
        <f t="shared" si="148"/>
      </c>
      <c r="R144" s="294">
        <v>0</v>
      </c>
      <c r="S144" s="313">
        <v>0</v>
      </c>
      <c r="T144" s="296">
        <f t="shared" si="120"/>
      </c>
      <c r="U144" s="296">
        <f t="shared" si="26"/>
      </c>
      <c r="V144" s="290">
        <f t="shared" si="144"/>
      </c>
      <c r="W144" s="294">
        <v>0</v>
      </c>
      <c r="X144" s="290">
        <f t="shared" si="11"/>
      </c>
      <c r="Y144" s="290">
        <f t="shared" si="75"/>
      </c>
      <c r="Z144" s="354">
        <f t="shared" si="118"/>
      </c>
      <c r="AA144" s="296">
        <f t="shared" si="23"/>
      </c>
      <c r="AB144" s="296">
        <f t="shared" si="162"/>
      </c>
      <c r="AC144" s="295">
        <f t="shared" si="2"/>
      </c>
      <c r="AD144" s="295">
        <f t="shared" si="25"/>
      </c>
      <c r="AE144" s="295">
        <f t="shared" si="10"/>
      </c>
      <c r="AF144" s="295">
        <f t="shared" si="134"/>
      </c>
      <c r="AG144" s="295">
        <f t="shared" si="6"/>
      </c>
      <c r="AH144" s="343">
        <f t="shared" si="8"/>
      </c>
      <c r="AI144" s="343">
        <f t="shared" si="4"/>
      </c>
      <c r="AJ144" s="294">
        <v>39</v>
      </c>
      <c r="AK144" s="290">
        <v>2875</v>
      </c>
      <c r="AL144" s="290">
        <v>102</v>
      </c>
      <c r="AM144" s="290">
        <v>162</v>
      </c>
      <c r="AN144" s="290">
        <v>16</v>
      </c>
      <c r="AO144" s="330">
        <v>7</v>
      </c>
      <c r="AP144" s="331">
        <v>14</v>
      </c>
      <c r="AQ144" s="330">
        <v>22</v>
      </c>
      <c r="AR144" s="330">
        <v>0</v>
      </c>
      <c r="AS144" s="290">
        <v>1</v>
      </c>
      <c r="AT144" s="290">
        <v>0</v>
      </c>
      <c r="AU144" s="331">
        <v>0</v>
      </c>
      <c r="AW144" s="297"/>
      <c r="AX144" s="342">
        <f t="shared" si="100"/>
      </c>
    </row>
    <row r="145">
      <c r="A145" s="339"/>
      <c r="B145" s="287" t="s">
        <v>287</v>
      </c>
      <c r="C145" s="287" t="s">
        <v>247</v>
      </c>
      <c r="D145" s="287" t="s">
        <v>256</v>
      </c>
      <c r="E145" s="288" t="s">
        <v>251</v>
      </c>
      <c r="F145" s="314">
        <f t="shared" si="58"/>
      </c>
      <c r="G145" s="313">
        <v>276.22</v>
      </c>
      <c r="H145" s="313">
        <v>1065.93</v>
      </c>
      <c r="I145" s="293"/>
      <c r="J145" s="293"/>
      <c r="K145" s="293"/>
      <c r="L145" s="293"/>
      <c r="M145" s="293"/>
      <c r="N145" s="294">
        <v>0</v>
      </c>
      <c r="O145" s="295">
        <f t="shared" si="146"/>
      </c>
      <c r="P145" s="294">
        <v>1</v>
      </c>
      <c r="Q145" s="295">
        <f t="shared" si="148"/>
      </c>
      <c r="R145" s="294">
        <v>1</v>
      </c>
      <c r="S145" s="313">
        <v>3236.36</v>
      </c>
      <c r="T145" s="296">
        <f t="shared" si="120"/>
      </c>
      <c r="U145" s="296">
        <f t="shared" si="26"/>
      </c>
      <c r="V145" s="290">
        <f t="shared" si="144"/>
      </c>
      <c r="W145" s="294">
        <v>1</v>
      </c>
      <c r="X145" s="290">
        <f t="shared" si="11"/>
      </c>
      <c r="Y145" s="290">
        <f t="shared" si="75"/>
      </c>
      <c r="Z145" s="354">
        <f t="shared" si="118"/>
      </c>
      <c r="AA145" s="296">
        <f t="shared" si="23"/>
      </c>
      <c r="AB145" s="296">
        <f t="shared" si="162"/>
      </c>
      <c r="AC145" s="295">
        <f t="shared" si="2"/>
      </c>
      <c r="AD145" s="295">
        <f t="shared" si="25"/>
      </c>
      <c r="AE145" s="295">
        <f t="shared" si="10"/>
      </c>
      <c r="AF145" s="295">
        <f t="shared" si="134"/>
      </c>
      <c r="AG145" s="295">
        <f t="shared" si="6"/>
      </c>
      <c r="AH145" s="295">
        <f t="shared" si="8"/>
      </c>
      <c r="AI145" s="361">
        <f t="shared" si="4"/>
      </c>
      <c r="AJ145" s="294">
        <v>39</v>
      </c>
      <c r="AK145" s="290">
        <v>3675</v>
      </c>
      <c r="AL145" s="290">
        <v>152</v>
      </c>
      <c r="AM145" s="290">
        <v>203</v>
      </c>
      <c r="AN145" s="290">
        <v>33</v>
      </c>
      <c r="AO145" s="330">
        <v>5</v>
      </c>
      <c r="AP145" s="331">
        <v>18</v>
      </c>
      <c r="AQ145" s="330">
        <v>23</v>
      </c>
      <c r="AR145" s="330">
        <v>1</v>
      </c>
      <c r="AS145" s="294">
        <v>3</v>
      </c>
      <c r="AT145" s="294">
        <v>0</v>
      </c>
      <c r="AU145" s="331">
        <v>2</v>
      </c>
      <c r="AW145" s="297"/>
      <c r="AX145" s="342">
        <f t="shared" si="100"/>
      </c>
    </row>
    <row r="146">
      <c r="A146" s="339"/>
      <c r="B146" s="299" t="s">
        <v>253</v>
      </c>
      <c r="C146" s="299"/>
      <c r="D146" s="299"/>
      <c r="E146" s="299"/>
      <c r="F146" s="355">
        <f>SUM(F143:F145)</f>
      </c>
      <c r="G146" s="303">
        <f>SUM(G143:G145)</f>
      </c>
      <c r="H146" s="303">
        <f>SUM(H143:H145)</f>
      </c>
      <c r="I146" s="300">
        <f>SUM(I143:I145)</f>
      </c>
      <c r="J146" s="300">
        <f>SUM(J143:J145)</f>
      </c>
      <c r="K146" s="300">
        <f>SUM(K143:K145)</f>
      </c>
      <c r="L146" s="300">
        <f>SUM(L143:L145)</f>
      </c>
      <c r="M146" s="300">
        <f>SUM(M143:M145)</f>
      </c>
      <c r="N146" s="300">
        <f>SUM(N143:N145)</f>
      </c>
      <c r="O146" s="302">
        <f t="shared" si="146"/>
      </c>
      <c r="P146" s="300">
        <f>SUM(P143:P145)</f>
      </c>
      <c r="Q146" s="302">
        <f t="shared" si="148"/>
      </c>
      <c r="R146" s="300">
        <f>SUM(R143:R145)</f>
      </c>
      <c r="S146" s="303">
        <f>SUM(S143:S145)</f>
      </c>
      <c r="T146" s="303">
        <f t="shared" si="120"/>
      </c>
      <c r="U146" s="303">
        <f t="shared" si="26"/>
      </c>
      <c r="V146" s="300">
        <f t="shared" si="144"/>
      </c>
      <c r="W146" s="300">
        <f>SUM(W143:W145)</f>
      </c>
      <c r="X146" s="300">
        <f t="shared" si="11"/>
      </c>
      <c r="Y146" s="300">
        <f t="shared" si="75"/>
      </c>
      <c r="Z146" s="355">
        <f t="shared" si="118"/>
      </c>
      <c r="AA146" s="303">
        <f t="shared" si="23"/>
      </c>
      <c r="AB146" s="336">
        <f t="shared" si="162"/>
      </c>
      <c r="AC146" s="302">
        <f t="shared" si="2"/>
      </c>
      <c r="AD146" s="302">
        <f t="shared" si="25"/>
      </c>
      <c r="AE146" s="302">
        <f t="shared" si="10"/>
      </c>
      <c r="AF146" s="302">
        <f>R146/AO151</f>
      </c>
      <c r="AG146" s="302">
        <f t="shared" si="6"/>
      </c>
      <c r="AH146" s="302">
        <f t="shared" si="8"/>
      </c>
      <c r="AI146" s="363">
        <f t="shared" si="4"/>
      </c>
      <c r="AJ146" s="317">
        <f>AVERAGE(AJ143:AJ145)</f>
      </c>
      <c r="AK146" s="300">
        <f>SUM(AK143:AK145)</f>
      </c>
      <c r="AL146" s="300">
        <f>SUM(AL143:AL145)</f>
      </c>
      <c r="AM146" s="300">
        <f>SUM(AM143:AM145)</f>
      </c>
      <c r="AN146" s="300">
        <f>SUM(AN143:AN145)</f>
      </c>
      <c r="AO146" s="300">
        <f>SUM(AO143:AO145)</f>
      </c>
      <c r="AP146" s="333">
        <f>SUM(AP143:AP145)</f>
      </c>
      <c r="AQ146" s="300">
        <f>SUM(AQ143:AQ145)</f>
      </c>
      <c r="AR146" s="300">
        <f>SUM(AR143:AR145)</f>
      </c>
      <c r="AS146" s="300">
        <f>SUM(AS143:AS145)</f>
      </c>
      <c r="AT146" s="300">
        <f>SUM(AT143:AT145)</f>
      </c>
      <c r="AU146" s="333">
        <f>SUM(AU143:AU145)</f>
      </c>
      <c r="AW146" s="305"/>
      <c r="AX146" s="300">
        <f>SUM(AX143:AX145)</f>
      </c>
    </row>
    <row r="147">
      <c r="A147" s="339"/>
      <c r="B147" s="287" t="s">
        <v>287</v>
      </c>
      <c r="C147" s="287" t="s">
        <v>247</v>
      </c>
      <c r="D147" s="287" t="s">
        <v>248</v>
      </c>
      <c r="E147" s="288" t="s">
        <v>252</v>
      </c>
      <c r="F147" s="314">
        <f t="shared" ref="F147:F149" si="59">G147+H147+I147</f>
      </c>
      <c r="G147" s="313">
        <v>336.21</v>
      </c>
      <c r="H147" s="313">
        <v>1460.1</v>
      </c>
      <c r="I147" s="293"/>
      <c r="J147" s="293"/>
      <c r="K147" s="293"/>
      <c r="L147" s="293"/>
      <c r="M147" s="293"/>
      <c r="N147" s="294">
        <v>0</v>
      </c>
      <c r="O147" s="295">
        <f t="shared" si="146"/>
      </c>
      <c r="P147" s="294">
        <v>1</v>
      </c>
      <c r="Q147" s="295">
        <f t="shared" si="148"/>
      </c>
      <c r="R147" s="294">
        <v>2</v>
      </c>
      <c r="S147" s="313">
        <v>5378.040000000001</v>
      </c>
      <c r="T147" s="296">
        <f t="shared" si="120"/>
      </c>
      <c r="U147" s="296">
        <f t="shared" si="26"/>
      </c>
      <c r="V147" s="290">
        <f t="shared" si="144"/>
      </c>
      <c r="W147" s="294">
        <v>1</v>
      </c>
      <c r="X147" s="337">
        <f t="shared" si="11"/>
      </c>
      <c r="Y147" s="290">
        <f t="shared" si="75"/>
      </c>
      <c r="Z147" s="354">
        <f t="shared" si="118"/>
      </c>
      <c r="AA147" s="296">
        <f t="shared" si="23"/>
      </c>
      <c r="AB147" s="296">
        <f t="shared" si="162"/>
      </c>
      <c r="AC147" s="295">
        <f t="shared" si="2"/>
      </c>
      <c r="AD147" s="295">
        <f t="shared" si="25"/>
      </c>
      <c r="AE147" s="295">
        <f t="shared" si="10"/>
      </c>
      <c r="AF147" s="295">
        <f>R147/AE146:AC144</f>
      </c>
      <c r="AG147" s="295">
        <f t="shared" si="6"/>
      </c>
      <c r="AH147" s="295">
        <f t="shared" si="8"/>
      </c>
      <c r="AI147" s="343">
        <f t="shared" si="4"/>
      </c>
      <c r="AJ147" s="294">
        <v>48</v>
      </c>
      <c r="AK147" s="290">
        <v>4763</v>
      </c>
      <c r="AL147" s="290">
        <v>182</v>
      </c>
      <c r="AM147" s="290">
        <v>262</v>
      </c>
      <c r="AN147" s="290">
        <v>38</v>
      </c>
      <c r="AO147" s="330">
        <v>10</v>
      </c>
      <c r="AP147" s="331">
        <v>45</v>
      </c>
      <c r="AQ147" s="330">
        <v>36</v>
      </c>
      <c r="AR147" s="330">
        <v>2</v>
      </c>
      <c r="AS147" s="290">
        <v>1</v>
      </c>
      <c r="AT147" s="290">
        <v>0</v>
      </c>
      <c r="AU147" s="331">
        <v>9</v>
      </c>
      <c r="AW147" s="297"/>
      <c r="AX147" s="342">
        <f t="shared" ref="AX147:AX149" si="101">COUNT(AU147)</f>
      </c>
    </row>
    <row r="148">
      <c r="A148" s="339"/>
      <c r="B148" s="287" t="s">
        <v>287</v>
      </c>
      <c r="C148" s="287" t="s">
        <v>247</v>
      </c>
      <c r="D148" s="287" t="s">
        <v>248</v>
      </c>
      <c r="E148" s="287" t="s">
        <v>257</v>
      </c>
      <c r="F148" s="314">
        <f t="shared" si="59"/>
      </c>
      <c r="G148" s="313">
        <v>579.42</v>
      </c>
      <c r="H148" s="313">
        <v>2229.1</v>
      </c>
      <c r="I148" s="293"/>
      <c r="J148" s="293"/>
      <c r="K148" s="293"/>
      <c r="L148" s="293"/>
      <c r="M148" s="293"/>
      <c r="N148" s="294">
        <v>0</v>
      </c>
      <c r="O148" s="295">
        <f t="shared" si="146"/>
      </c>
      <c r="P148" s="294">
        <v>0</v>
      </c>
      <c r="Q148" s="295">
        <f t="shared" si="148"/>
      </c>
      <c r="R148" s="294">
        <v>1</v>
      </c>
      <c r="S148" s="313">
        <v>1775.5499999999993</v>
      </c>
      <c r="T148" s="296">
        <f t="shared" si="120"/>
      </c>
      <c r="U148" s="296">
        <f t="shared" si="26"/>
      </c>
      <c r="V148" s="290">
        <f t="shared" si="144"/>
      </c>
      <c r="W148" s="294">
        <v>1</v>
      </c>
      <c r="X148" s="337">
        <f t="shared" si="11"/>
      </c>
      <c r="Y148" s="290">
        <f t="shared" si="75"/>
      </c>
      <c r="Z148" s="354">
        <f t="shared" si="118"/>
      </c>
      <c r="AA148" s="296">
        <f t="shared" si="23"/>
      </c>
      <c r="AB148" s="296">
        <f t="shared" si="162"/>
      </c>
      <c r="AC148" s="295">
        <f t="shared" si="2"/>
      </c>
      <c r="AD148" s="295">
        <f t="shared" si="25"/>
      </c>
      <c r="AE148" s="295">
        <f t="shared" si="10"/>
      </c>
      <c r="AF148" s="295">
        <f t="shared" ref="AF148:AF149" si="176">R148/AO150</f>
      </c>
      <c r="AG148" s="295">
        <f t="shared" si="6"/>
      </c>
      <c r="AH148" s="295">
        <f t="shared" si="8"/>
      </c>
      <c r="AI148" s="343">
        <f t="shared" si="4"/>
      </c>
      <c r="AJ148" s="294">
        <v>57</v>
      </c>
      <c r="AK148" s="290">
        <v>6709</v>
      </c>
      <c r="AL148" s="290">
        <v>270</v>
      </c>
      <c r="AM148" s="290">
        <v>344</v>
      </c>
      <c r="AN148" s="290">
        <v>61</v>
      </c>
      <c r="AO148" s="330">
        <v>14</v>
      </c>
      <c r="AP148" s="331">
        <v>67</v>
      </c>
      <c r="AQ148" s="330">
        <v>61</v>
      </c>
      <c r="AR148" s="330">
        <v>1</v>
      </c>
      <c r="AS148" s="290">
        <v>4</v>
      </c>
      <c r="AT148" s="290">
        <v>4</v>
      </c>
      <c r="AU148" s="331">
        <v>4</v>
      </c>
      <c r="AW148" s="297"/>
      <c r="AX148" s="342">
        <f t="shared" si="101"/>
      </c>
    </row>
    <row r="149">
      <c r="A149" s="339"/>
      <c r="B149" s="287" t="s">
        <v>287</v>
      </c>
      <c r="C149" s="367" t="s">
        <v>247</v>
      </c>
      <c r="D149" s="287" t="s">
        <v>248</v>
      </c>
      <c r="E149" s="367" t="s">
        <v>258</v>
      </c>
      <c r="F149" s="313">
        <f t="shared" si="59"/>
      </c>
      <c r="G149" s="313">
        <v>407.53</v>
      </c>
      <c r="H149" s="313">
        <v>1535.14</v>
      </c>
      <c r="I149" s="293"/>
      <c r="J149" s="293"/>
      <c r="K149" s="293"/>
      <c r="L149" s="293"/>
      <c r="M149" s="293"/>
      <c r="N149" s="294">
        <v>1</v>
      </c>
      <c r="O149" s="295">
        <f t="shared" si="146"/>
      </c>
      <c r="P149" s="294">
        <v>0</v>
      </c>
      <c r="Q149" s="295">
        <f t="shared" si="148"/>
      </c>
      <c r="R149" s="294">
        <v>3</v>
      </c>
      <c r="S149" s="313">
        <v>5713.4000000000015</v>
      </c>
      <c r="T149" s="296">
        <f t="shared" si="120"/>
      </c>
      <c r="U149" s="296">
        <f t="shared" si="26"/>
      </c>
      <c r="V149" s="290">
        <f t="shared" si="144"/>
      </c>
      <c r="W149" s="294">
        <v>1</v>
      </c>
      <c r="X149" s="337">
        <f t="shared" si="11"/>
      </c>
      <c r="Y149" s="290">
        <f t="shared" si="75"/>
      </c>
      <c r="Z149" s="354">
        <f t="shared" si="118"/>
      </c>
      <c r="AA149" s="296">
        <f t="shared" si="23"/>
      </c>
      <c r="AB149" s="296">
        <f t="shared" si="162"/>
      </c>
      <c r="AC149" s="295">
        <f t="shared" si="2"/>
      </c>
      <c r="AD149" s="295">
        <f t="shared" si="25"/>
      </c>
      <c r="AE149" s="295">
        <f t="shared" si="10"/>
      </c>
      <c r="AF149" s="295">
        <f t="shared" si="176"/>
      </c>
      <c r="AG149" s="295">
        <f t="shared" si="6"/>
      </c>
      <c r="AH149" s="295">
        <f t="shared" si="8"/>
      </c>
      <c r="AI149" s="343">
        <f t="shared" si="4"/>
      </c>
      <c r="AJ149" s="294">
        <v>65</v>
      </c>
      <c r="AK149" s="290">
        <v>4504</v>
      </c>
      <c r="AL149" s="290">
        <v>174</v>
      </c>
      <c r="AM149" s="290">
        <v>214</v>
      </c>
      <c r="AN149" s="290">
        <v>37</v>
      </c>
      <c r="AO149" s="330">
        <v>13</v>
      </c>
      <c r="AP149" s="331">
        <v>77</v>
      </c>
      <c r="AQ149" s="330">
        <v>35</v>
      </c>
      <c r="AR149" s="330">
        <v>4</v>
      </c>
      <c r="AS149" s="290">
        <v>2</v>
      </c>
      <c r="AT149" s="290">
        <v>0</v>
      </c>
      <c r="AU149" s="331">
        <v>5</v>
      </c>
      <c r="AW149" s="297"/>
      <c r="AX149" s="342">
        <f t="shared" si="101"/>
      </c>
    </row>
    <row r="150">
      <c r="A150" s="339"/>
      <c r="B150" s="299" t="s">
        <v>253</v>
      </c>
      <c r="C150" s="299"/>
      <c r="D150" s="299"/>
      <c r="E150" s="299"/>
      <c r="F150" s="355">
        <f>SUM(F147:F149)</f>
      </c>
      <c r="G150" s="355">
        <f>SUM(G147:G149)</f>
      </c>
      <c r="H150" s="355">
        <f>SUM(H147:H149)</f>
      </c>
      <c r="I150" s="300">
        <f>SUM(I147:I148)</f>
      </c>
      <c r="J150" s="300">
        <f>SUM(J147:J148)</f>
      </c>
      <c r="K150" s="300">
        <f>SUM(K147:K148)</f>
      </c>
      <c r="L150" s="300">
        <f>SUM(L147:L148)</f>
      </c>
      <c r="M150" s="300">
        <f>SUM(M147:M148)</f>
      </c>
      <c r="N150" s="300">
        <f>SUM(N147:N149)</f>
      </c>
      <c r="O150" s="302">
        <f t="shared" si="146"/>
      </c>
      <c r="P150" s="300">
        <f>SUM(P147:P149)</f>
      </c>
      <c r="Q150" s="302">
        <f t="shared" si="148"/>
      </c>
      <c r="R150" s="317">
        <f>SUM(R147:R149)</f>
      </c>
      <c r="S150" s="303">
        <f>SUM(S147:S149)</f>
      </c>
      <c r="T150" s="303">
        <f t="shared" si="120"/>
      </c>
      <c r="U150" s="303">
        <f t="shared" si="26"/>
      </c>
      <c r="V150" s="300">
        <f t="shared" si="144"/>
      </c>
      <c r="W150" s="300">
        <f>SUM(W147:W149)</f>
      </c>
      <c r="X150" s="300">
        <f t="shared" si="11"/>
      </c>
      <c r="Y150" s="300">
        <f t="shared" si="75"/>
      </c>
      <c r="Z150" s="356">
        <f t="shared" si="118"/>
      </c>
      <c r="AA150" s="323">
        <f t="shared" si="23"/>
      </c>
      <c r="AB150" s="336">
        <f t="shared" si="162"/>
      </c>
      <c r="AC150" s="326">
        <f t="shared" si="2"/>
      </c>
      <c r="AD150" s="326">
        <f t="shared" si="25"/>
      </c>
      <c r="AE150" s="326">
        <f t="shared" si="10"/>
      </c>
      <c r="AF150" s="326">
        <f>R150/AU329</f>
      </c>
      <c r="AG150" s="326">
        <f t="shared" si="6"/>
      </c>
      <c r="AH150" s="326">
        <f t="shared" si="8"/>
      </c>
      <c r="AI150" s="326">
        <f t="shared" si="4"/>
      </c>
      <c r="AJ150" s="317">
        <f>AVERAGE(AJ147:AJ149)</f>
      </c>
      <c r="AK150" s="300">
        <f>SUM(AK147:AK149)</f>
      </c>
      <c r="AL150" s="300">
        <f>SUM(AL147:AL149)</f>
      </c>
      <c r="AM150" s="300">
        <f>SUM(AM147:AM149)</f>
      </c>
      <c r="AN150" s="300">
        <f>SUM(AN147:AN149)</f>
      </c>
      <c r="AO150" s="300">
        <f>SUM(AO147:AO149)</f>
      </c>
      <c r="AP150" s="300">
        <f>SUM(AP147:AP149)</f>
      </c>
      <c r="AQ150" s="300">
        <f>SUM(AQ147:AQ149)</f>
      </c>
      <c r="AR150" s="300">
        <f>SUM(AR147:AR149)</f>
      </c>
      <c r="AS150" s="300">
        <f>SUM(AS147:AS149)</f>
      </c>
      <c r="AT150" s="300">
        <f>SUM(AT147:AT149)</f>
      </c>
      <c r="AU150" s="300">
        <f>SUM(AU147:AU149)</f>
      </c>
      <c r="AW150" s="305"/>
      <c r="AX150" s="300">
        <f>SUM(AX147:AX149)</f>
      </c>
    </row>
    <row r="151">
      <c r="A151" s="339"/>
      <c r="B151" s="307" t="s">
        <v>254</v>
      </c>
      <c r="C151" s="307"/>
      <c r="D151" s="307"/>
      <c r="E151" s="307"/>
      <c r="F151" s="309">
        <f>F146+F150</f>
      </c>
      <c r="G151" s="309">
        <f>G146+G150</f>
      </c>
      <c r="H151" s="309">
        <f>H146+H150</f>
      </c>
      <c r="I151" s="307">
        <f>I146+I150</f>
      </c>
      <c r="J151" s="307">
        <f>J146+J150</f>
      </c>
      <c r="K151" s="307">
        <f>K146+K150</f>
      </c>
      <c r="L151" s="307">
        <f>L146+L150</f>
      </c>
      <c r="M151" s="307">
        <f>M146+M150</f>
      </c>
      <c r="N151" s="307">
        <f>N146+N150</f>
      </c>
      <c r="O151" s="308">
        <f t="shared" si="146"/>
      </c>
      <c r="P151" s="307">
        <f>P146+P150</f>
      </c>
      <c r="Q151" s="308">
        <f t="shared" si="148"/>
      </c>
      <c r="R151" s="307">
        <f>R146+R150</f>
      </c>
      <c r="S151" s="309">
        <f>S146+S150</f>
      </c>
      <c r="T151" s="309">
        <f t="shared" si="120"/>
      </c>
      <c r="U151" s="309">
        <f t="shared" si="26"/>
      </c>
      <c r="V151" s="307">
        <f t="shared" si="144"/>
      </c>
      <c r="W151" s="307">
        <f>W146+W150</f>
      </c>
      <c r="X151" s="369">
        <f t="shared" si="11"/>
      </c>
      <c r="Y151" s="307">
        <f t="shared" si="75"/>
      </c>
      <c r="Z151" s="357">
        <f t="shared" si="118"/>
      </c>
      <c r="AA151" s="309">
        <f t="shared" si="23"/>
      </c>
      <c r="AB151" s="309">
        <f>AB150+AB146</f>
      </c>
      <c r="AC151" s="308">
        <f t="shared" si="2"/>
      </c>
      <c r="AD151" s="308">
        <f t="shared" si="25"/>
      </c>
      <c r="AE151" s="308">
        <f t="shared" si="10"/>
      </c>
      <c r="AF151" s="308">
        <f>R151/AU150:AU149</f>
      </c>
      <c r="AG151" s="308">
        <f t="shared" si="6"/>
      </c>
      <c r="AH151" s="308">
        <f t="shared" si="8"/>
      </c>
      <c r="AI151" s="308">
        <f t="shared" si="4"/>
      </c>
      <c r="AJ151" s="329">
        <f>(AJ146+AJ150)/2</f>
      </c>
      <c r="AK151" s="307">
        <f>AK146+AK150</f>
      </c>
      <c r="AL151" s="335">
        <f>AL146+AL150</f>
      </c>
      <c r="AM151" s="335">
        <f>AM146+AM150</f>
      </c>
      <c r="AN151" s="335">
        <f>AN146+AN150</f>
      </c>
      <c r="AO151" s="335">
        <f>AO146+AO150</f>
      </c>
      <c r="AP151" s="335">
        <f>AP146+AP150</f>
      </c>
      <c r="AQ151" s="335">
        <f>AQ146+AQ150</f>
      </c>
      <c r="AR151" s="335">
        <f>AR146+AR150</f>
      </c>
      <c r="AS151" s="335">
        <f>AS146+AS150</f>
      </c>
      <c r="AT151" s="335">
        <f>AT146+AT150</f>
      </c>
      <c r="AU151" s="307">
        <f>AU146+AU150</f>
      </c>
      <c r="AW151" s="349">
        <f>AW146+AW150</f>
      </c>
      <c r="AX151" s="307">
        <f>AX146+AX150</f>
      </c>
    </row>
    <row r="152">
      <c r="A152" s="339" t="s">
        <v>289</v>
      </c>
      <c r="B152" s="287" t="s">
        <v>267</v>
      </c>
      <c r="C152" s="287" t="s">
        <v>247</v>
      </c>
      <c r="D152" s="287" t="s">
        <v>248</v>
      </c>
      <c r="E152" s="288" t="s">
        <v>249</v>
      </c>
      <c r="F152" s="314">
        <f t="shared" ref="F152:F154" si="60">G152+H152+I152</f>
      </c>
      <c r="G152" s="313">
        <v>1186.31</v>
      </c>
      <c r="H152" s="313">
        <v>782.79</v>
      </c>
      <c r="I152" s="291"/>
      <c r="J152" s="291"/>
      <c r="K152" s="291"/>
      <c r="L152" s="293"/>
      <c r="M152" s="293"/>
      <c r="N152" s="294">
        <v>0</v>
      </c>
      <c r="O152" s="295">
        <f t="shared" si="146"/>
      </c>
      <c r="P152" s="294">
        <v>0</v>
      </c>
      <c r="Q152" s="295">
        <f t="shared" si="148"/>
      </c>
      <c r="R152" s="371">
        <v>1</v>
      </c>
      <c r="S152" s="366">
        <v>1239.75</v>
      </c>
      <c r="T152" s="296">
        <f t="shared" si="120"/>
      </c>
      <c r="U152" s="296">
        <f t="shared" si="26"/>
      </c>
      <c r="V152" s="290">
        <f t="shared" si="144"/>
      </c>
      <c r="W152" s="294">
        <v>1</v>
      </c>
      <c r="X152" s="290">
        <f t="shared" si="11"/>
      </c>
      <c r="Y152" s="290">
        <f t="shared" si="75"/>
      </c>
      <c r="Z152" s="354">
        <f t="shared" si="118"/>
      </c>
      <c r="AA152" s="296">
        <f t="shared" si="23"/>
      </c>
      <c r="AB152" s="296">
        <f t="shared" ref="AB152:AB159" si="163">F152/AN152</f>
      </c>
      <c r="AC152" s="295">
        <f t="shared" si="2"/>
      </c>
      <c r="AD152" s="295">
        <f t="shared" si="25"/>
      </c>
      <c r="AE152" s="295">
        <f t="shared" si="10"/>
      </c>
      <c r="AF152" s="295">
        <f t="shared" ref="AF152:AF154" si="135">R152/AO152</f>
      </c>
      <c r="AG152" s="295">
        <f t="shared" si="6"/>
      </c>
      <c r="AH152" s="295">
        <f t="shared" si="8"/>
      </c>
      <c r="AI152" s="359">
        <f t="shared" si="4"/>
      </c>
      <c r="AJ152" s="294">
        <v>40</v>
      </c>
      <c r="AK152" s="290">
        <v>7671</v>
      </c>
      <c r="AL152" s="290">
        <v>191</v>
      </c>
      <c r="AM152" s="290">
        <v>252</v>
      </c>
      <c r="AN152" s="294">
        <v>42</v>
      </c>
      <c r="AO152" s="330">
        <v>7</v>
      </c>
      <c r="AP152" s="360">
        <v>31</v>
      </c>
      <c r="AQ152" s="360">
        <v>26</v>
      </c>
      <c r="AR152" s="330">
        <v>3</v>
      </c>
      <c r="AS152" s="330">
        <v>2</v>
      </c>
      <c r="AT152" s="294">
        <v>0</v>
      </c>
      <c r="AU152" s="294">
        <v>2</v>
      </c>
      <c r="AW152" s="297"/>
      <c r="AX152" s="342">
        <f t="shared" ref="AX152:AX154" si="102">COUNT(AU152)</f>
      </c>
    </row>
    <row r="153">
      <c r="A153" s="339"/>
      <c r="B153" s="287" t="s">
        <v>287</v>
      </c>
      <c r="C153" s="287" t="s">
        <v>247</v>
      </c>
      <c r="D153" s="287" t="s">
        <v>248</v>
      </c>
      <c r="E153" s="288" t="s">
        <v>250</v>
      </c>
      <c r="F153" s="314">
        <f t="shared" si="60"/>
      </c>
      <c r="G153" s="313">
        <v>2416.61</v>
      </c>
      <c r="H153" s="313">
        <v>1510.62</v>
      </c>
      <c r="I153" s="293"/>
      <c r="J153" s="293"/>
      <c r="K153" s="293"/>
      <c r="L153" s="293"/>
      <c r="M153" s="293"/>
      <c r="N153" s="294">
        <v>0</v>
      </c>
      <c r="O153" s="295">
        <f t="shared" si="146"/>
      </c>
      <c r="P153" s="294">
        <v>2</v>
      </c>
      <c r="Q153" s="295">
        <f t="shared" si="148"/>
      </c>
      <c r="R153" s="294">
        <v>5</v>
      </c>
      <c r="S153" s="313">
        <v>18250.07</v>
      </c>
      <c r="T153" s="296">
        <f t="shared" si="120"/>
      </c>
      <c r="U153" s="296">
        <f t="shared" si="26"/>
      </c>
      <c r="V153" s="290">
        <f t="shared" si="144"/>
      </c>
      <c r="W153" s="294">
        <v>4</v>
      </c>
      <c r="X153" s="290">
        <f t="shared" si="11"/>
      </c>
      <c r="Y153" s="290">
        <f t="shared" si="75"/>
      </c>
      <c r="Z153" s="354">
        <f t="shared" si="118"/>
      </c>
      <c r="AA153" s="296">
        <f t="shared" si="23"/>
      </c>
      <c r="AB153" s="296">
        <f t="shared" si="163"/>
      </c>
      <c r="AC153" s="295">
        <f t="shared" si="2"/>
      </c>
      <c r="AD153" s="295">
        <f t="shared" si="25"/>
      </c>
      <c r="AE153" s="295">
        <f t="shared" si="10"/>
      </c>
      <c r="AF153" s="295">
        <f t="shared" si="135"/>
      </c>
      <c r="AG153" s="295">
        <f t="shared" si="6"/>
      </c>
      <c r="AH153" s="343">
        <f t="shared" si="8"/>
      </c>
      <c r="AI153" s="343">
        <f t="shared" si="4"/>
      </c>
      <c r="AJ153" s="294">
        <v>46</v>
      </c>
      <c r="AK153" s="290">
        <v>20574</v>
      </c>
      <c r="AL153" s="290">
        <v>505</v>
      </c>
      <c r="AM153" s="290">
        <v>585</v>
      </c>
      <c r="AN153" s="290">
        <v>87</v>
      </c>
      <c r="AO153" s="330">
        <v>31</v>
      </c>
      <c r="AP153" s="331">
        <v>94</v>
      </c>
      <c r="AQ153" s="330">
        <v>64</v>
      </c>
      <c r="AR153" s="330">
        <v>6</v>
      </c>
      <c r="AS153" s="290">
        <v>7</v>
      </c>
      <c r="AT153" s="290">
        <v>1</v>
      </c>
      <c r="AU153" s="331">
        <v>3</v>
      </c>
      <c r="AW153" s="297"/>
      <c r="AX153" s="342">
        <f t="shared" si="102"/>
      </c>
    </row>
    <row r="154">
      <c r="A154" s="339"/>
      <c r="B154" s="287" t="s">
        <v>287</v>
      </c>
      <c r="C154" s="287" t="s">
        <v>247</v>
      </c>
      <c r="D154" s="287" t="s">
        <v>248</v>
      </c>
      <c r="E154" s="288" t="s">
        <v>251</v>
      </c>
      <c r="F154" s="314">
        <f t="shared" si="60"/>
      </c>
      <c r="G154" s="313">
        <v>1912.12</v>
      </c>
      <c r="H154" s="313">
        <v>1082.27</v>
      </c>
      <c r="I154" s="293"/>
      <c r="J154" s="293"/>
      <c r="K154" s="293"/>
      <c r="L154" s="293"/>
      <c r="M154" s="293"/>
      <c r="N154" s="294">
        <v>0</v>
      </c>
      <c r="O154" s="295">
        <f t="shared" si="146"/>
      </c>
      <c r="P154" s="294">
        <v>1</v>
      </c>
      <c r="Q154" s="295">
        <f t="shared" si="148"/>
      </c>
      <c r="R154" s="294">
        <v>1</v>
      </c>
      <c r="S154" s="313">
        <v>3236.3600000000006</v>
      </c>
      <c r="T154" s="296">
        <f t="shared" si="120"/>
      </c>
      <c r="U154" s="296">
        <f t="shared" si="26"/>
      </c>
      <c r="V154" s="290">
        <f t="shared" si="144"/>
      </c>
      <c r="W154" s="294">
        <v>1</v>
      </c>
      <c r="X154" s="290">
        <f t="shared" si="11"/>
      </c>
      <c r="Y154" s="290">
        <f t="shared" si="75"/>
      </c>
      <c r="Z154" s="354">
        <f t="shared" si="118"/>
      </c>
      <c r="AA154" s="296">
        <f t="shared" si="23"/>
      </c>
      <c r="AB154" s="296">
        <f t="shared" si="163"/>
      </c>
      <c r="AC154" s="295">
        <f t="shared" si="2"/>
      </c>
      <c r="AD154" s="295">
        <f t="shared" si="25"/>
      </c>
      <c r="AE154" s="295">
        <f t="shared" si="10"/>
      </c>
      <c r="AF154" s="295">
        <f t="shared" si="135"/>
      </c>
      <c r="AG154" s="295">
        <f t="shared" si="6"/>
      </c>
      <c r="AH154" s="295">
        <f t="shared" si="8"/>
      </c>
      <c r="AI154" s="361">
        <f t="shared" si="4"/>
      </c>
      <c r="AJ154" s="294">
        <v>45</v>
      </c>
      <c r="AK154" s="290">
        <v>23620</v>
      </c>
      <c r="AL154" s="290">
        <v>554</v>
      </c>
      <c r="AM154" s="290">
        <v>633</v>
      </c>
      <c r="AN154" s="290">
        <v>85</v>
      </c>
      <c r="AO154" s="330">
        <v>30</v>
      </c>
      <c r="AP154" s="331">
        <v>75</v>
      </c>
      <c r="AQ154" s="330">
        <v>72</v>
      </c>
      <c r="AR154" s="330">
        <v>1</v>
      </c>
      <c r="AS154" s="294">
        <v>9</v>
      </c>
      <c r="AT154" s="294">
        <v>0</v>
      </c>
      <c r="AU154" s="331">
        <v>3</v>
      </c>
      <c r="AW154" s="297"/>
      <c r="AX154" s="342">
        <f t="shared" si="102"/>
      </c>
    </row>
    <row r="155">
      <c r="A155" s="339"/>
      <c r="B155" s="299" t="s">
        <v>253</v>
      </c>
      <c r="C155" s="299"/>
      <c r="D155" s="299"/>
      <c r="E155" s="299"/>
      <c r="F155" s="355">
        <f>SUM(F152:F154)</f>
      </c>
      <c r="G155" s="303">
        <f>SUM(G152:G154)</f>
      </c>
      <c r="H155" s="303">
        <f>SUM(H152:H154)</f>
      </c>
      <c r="I155" s="300">
        <f>SUM(I152:I154)</f>
      </c>
      <c r="J155" s="300">
        <f>SUM(J152:J154)</f>
      </c>
      <c r="K155" s="300">
        <f>SUM(K152:K154)</f>
      </c>
      <c r="L155" s="300">
        <f>SUM(L152:L154)</f>
      </c>
      <c r="M155" s="300">
        <f>SUM(M152:M154)</f>
      </c>
      <c r="N155" s="300">
        <f>SUM(N152:N154)</f>
      </c>
      <c r="O155" s="302">
        <f t="shared" si="146"/>
      </c>
      <c r="P155" s="300">
        <f>SUM(P152:P154)</f>
      </c>
      <c r="Q155" s="302">
        <f t="shared" si="148"/>
      </c>
      <c r="R155" s="300">
        <f>SUM(R152:R154)</f>
      </c>
      <c r="S155" s="303">
        <f>SUM(S152:S154)</f>
      </c>
      <c r="T155" s="303">
        <f t="shared" si="120"/>
      </c>
      <c r="U155" s="303">
        <f t="shared" si="26"/>
      </c>
      <c r="V155" s="300">
        <f t="shared" si="144"/>
      </c>
      <c r="W155" s="300">
        <f>SUM(W152:W154)</f>
      </c>
      <c r="X155" s="300">
        <f t="shared" si="11"/>
      </c>
      <c r="Y155" s="300">
        <f t="shared" si="75"/>
      </c>
      <c r="Z155" s="355">
        <f t="shared" si="118"/>
      </c>
      <c r="AA155" s="303">
        <f t="shared" si="23"/>
      </c>
      <c r="AB155" s="336">
        <f t="shared" si="163"/>
      </c>
      <c r="AC155" s="302">
        <f t="shared" si="2"/>
      </c>
      <c r="AD155" s="302">
        <f t="shared" si="25"/>
      </c>
      <c r="AE155" s="302">
        <f t="shared" si="10"/>
      </c>
      <c r="AF155" s="302">
        <f>R155/AO160</f>
      </c>
      <c r="AG155" s="302">
        <f t="shared" si="6"/>
      </c>
      <c r="AH155" s="302">
        <f t="shared" si="8"/>
      </c>
      <c r="AI155" s="363">
        <f t="shared" si="4"/>
      </c>
      <c r="AJ155" s="317">
        <f>AVERAGE(AJ152:AJ154)</f>
      </c>
      <c r="AK155" s="300">
        <f>SUM(AK152:AK154)</f>
      </c>
      <c r="AL155" s="300">
        <f>SUM(AL152:AL154)</f>
      </c>
      <c r="AM155" s="300">
        <f>SUM(AM152:AM154)</f>
      </c>
      <c r="AN155" s="300">
        <f>SUM(AN152:AN154)</f>
      </c>
      <c r="AO155" s="300">
        <f>SUM(AO152:AO154)</f>
      </c>
      <c r="AP155" s="333">
        <f>SUM(AP152:AP154)</f>
      </c>
      <c r="AQ155" s="300">
        <f>SUM(AQ152:AQ154)</f>
      </c>
      <c r="AR155" s="300">
        <f>SUM(AR152:AR154)</f>
      </c>
      <c r="AS155" s="300">
        <f>SUM(AS152:AS154)</f>
      </c>
      <c r="AT155" s="300">
        <f>SUM(AT152:AT154)</f>
      </c>
      <c r="AU155" s="333">
        <f>SUM(AU152:AU154)</f>
      </c>
      <c r="AW155" s="305"/>
      <c r="AX155" s="300">
        <f>SUM(AX152:AX154)</f>
      </c>
    </row>
    <row r="156">
      <c r="A156" s="339"/>
      <c r="B156" s="287" t="s">
        <v>287</v>
      </c>
      <c r="C156" s="287" t="s">
        <v>247</v>
      </c>
      <c r="D156" s="287" t="s">
        <v>256</v>
      </c>
      <c r="E156" s="288" t="s">
        <v>252</v>
      </c>
      <c r="F156" s="314">
        <f t="shared" ref="F156:F158" si="61">G156+H156+I156</f>
      </c>
      <c r="G156" s="313">
        <v>1949.74</v>
      </c>
      <c r="H156" s="313">
        <v>958.96</v>
      </c>
      <c r="I156" s="293"/>
      <c r="J156" s="293"/>
      <c r="K156" s="293"/>
      <c r="L156" s="293"/>
      <c r="M156" s="293"/>
      <c r="N156" s="294">
        <v>1</v>
      </c>
      <c r="O156" s="295">
        <f t="shared" si="146"/>
      </c>
      <c r="P156" s="294">
        <v>0</v>
      </c>
      <c r="Q156" s="295">
        <f t="shared" si="148"/>
      </c>
      <c r="R156" s="294">
        <v>1</v>
      </c>
      <c r="S156" s="313">
        <v>1287.630000000001</v>
      </c>
      <c r="T156" s="296">
        <f t="shared" si="120"/>
      </c>
      <c r="U156" s="296">
        <f t="shared" si="26"/>
      </c>
      <c r="V156" s="290">
        <f t="shared" si="144"/>
      </c>
      <c r="W156" s="294">
        <v>1</v>
      </c>
      <c r="X156" s="337">
        <f t="shared" si="11"/>
      </c>
      <c r="Y156" s="290">
        <f t="shared" si="75"/>
      </c>
      <c r="Z156" s="354">
        <f t="shared" si="118"/>
      </c>
      <c r="AA156" s="296">
        <f t="shared" si="23"/>
      </c>
      <c r="AB156" s="296">
        <f t="shared" si="163"/>
      </c>
      <c r="AC156" s="295">
        <f t="shared" si="2"/>
      </c>
      <c r="AD156" s="295">
        <f t="shared" si="25"/>
      </c>
      <c r="AE156" s="295">
        <f t="shared" si="10"/>
      </c>
      <c r="AF156" s="295">
        <f>R156/AE155:AC153</f>
      </c>
      <c r="AG156" s="295">
        <f t="shared" si="6"/>
      </c>
      <c r="AH156" s="295">
        <f t="shared" si="8"/>
      </c>
      <c r="AI156" s="343">
        <f t="shared" si="4"/>
      </c>
      <c r="AJ156" s="294">
        <v>46</v>
      </c>
      <c r="AK156" s="290">
        <v>16130</v>
      </c>
      <c r="AL156" s="290">
        <v>516</v>
      </c>
      <c r="AM156" s="290">
        <v>568</v>
      </c>
      <c r="AN156" s="290">
        <v>82</v>
      </c>
      <c r="AO156" s="330">
        <v>26</v>
      </c>
      <c r="AP156" s="331">
        <v>75</v>
      </c>
      <c r="AQ156" s="330">
        <v>72</v>
      </c>
      <c r="AR156" s="330">
        <v>3</v>
      </c>
      <c r="AS156" s="290">
        <v>4</v>
      </c>
      <c r="AT156" s="290">
        <v>2</v>
      </c>
      <c r="AU156" s="331">
        <v>5</v>
      </c>
      <c r="AW156" s="297"/>
      <c r="AX156" s="342">
        <f t="shared" ref="AX156:AX158" si="103">COUNT(AU156)</f>
      </c>
    </row>
    <row r="157">
      <c r="A157" s="339"/>
      <c r="B157" s="287" t="s">
        <v>287</v>
      </c>
      <c r="C157" s="287" t="s">
        <v>247</v>
      </c>
      <c r="D157" s="287" t="s">
        <v>256</v>
      </c>
      <c r="E157" s="287" t="s">
        <v>257</v>
      </c>
      <c r="F157" s="314">
        <f t="shared" si="61"/>
      </c>
      <c r="G157" s="313">
        <v>1988</v>
      </c>
      <c r="H157" s="313">
        <v>604.27</v>
      </c>
      <c r="I157" s="293"/>
      <c r="J157" s="293"/>
      <c r="K157" s="293"/>
      <c r="L157" s="293"/>
      <c r="M157" s="293"/>
      <c r="N157" s="294">
        <v>0</v>
      </c>
      <c r="O157" s="295">
        <f t="shared" si="146"/>
      </c>
      <c r="P157" s="294">
        <v>0</v>
      </c>
      <c r="Q157" s="295">
        <f t="shared" si="148"/>
      </c>
      <c r="R157" s="294">
        <v>0</v>
      </c>
      <c r="S157" s="313">
        <v>0</v>
      </c>
      <c r="T157" s="296">
        <f t="shared" si="120"/>
      </c>
      <c r="U157" s="296">
        <f t="shared" si="26"/>
      </c>
      <c r="V157" s="290">
        <f t="shared" si="144"/>
      </c>
      <c r="W157" s="294">
        <v>0</v>
      </c>
      <c r="X157" s="337">
        <f t="shared" si="11"/>
      </c>
      <c r="Y157" s="290">
        <f t="shared" si="75"/>
      </c>
      <c r="Z157" s="354">
        <f t="shared" si="118"/>
      </c>
      <c r="AA157" s="296">
        <f t="shared" si="23"/>
      </c>
      <c r="AB157" s="296">
        <f t="shared" si="163"/>
      </c>
      <c r="AC157" s="295">
        <f t="shared" si="2"/>
      </c>
      <c r="AD157" s="295">
        <f t="shared" si="25"/>
      </c>
      <c r="AE157" s="295">
        <f t="shared" si="10"/>
      </c>
      <c r="AF157" s="295">
        <f t="shared" ref="AF157:AF158" si="177">R157/AO159</f>
      </c>
      <c r="AG157" s="295">
        <f t="shared" si="6"/>
      </c>
      <c r="AH157" s="295">
        <f t="shared" si="8"/>
      </c>
      <c r="AI157" s="343">
        <f t="shared" si="4"/>
      </c>
      <c r="AJ157" s="294">
        <v>48</v>
      </c>
      <c r="AK157" s="290">
        <v>12976</v>
      </c>
      <c r="AL157" s="290">
        <v>425</v>
      </c>
      <c r="AM157" s="290">
        <v>472</v>
      </c>
      <c r="AN157" s="290">
        <v>77</v>
      </c>
      <c r="AO157" s="330">
        <v>20</v>
      </c>
      <c r="AP157" s="331">
        <v>45</v>
      </c>
      <c r="AQ157" s="330">
        <v>64</v>
      </c>
      <c r="AR157" s="330">
        <v>0</v>
      </c>
      <c r="AS157" s="290">
        <v>7</v>
      </c>
      <c r="AT157" s="290">
        <v>0</v>
      </c>
      <c r="AU157" s="331">
        <v>2</v>
      </c>
      <c r="AW157" s="297"/>
      <c r="AX157" s="342">
        <f t="shared" si="103"/>
      </c>
    </row>
    <row r="158">
      <c r="A158" s="339"/>
      <c r="B158" s="287" t="s">
        <v>287</v>
      </c>
      <c r="C158" s="367" t="s">
        <v>247</v>
      </c>
      <c r="D158" s="287" t="s">
        <v>256</v>
      </c>
      <c r="E158" s="367" t="s">
        <v>258</v>
      </c>
      <c r="F158" s="313">
        <f t="shared" si="61"/>
      </c>
      <c r="G158" s="313">
        <v>1444.31</v>
      </c>
      <c r="H158" s="313">
        <v>626.13</v>
      </c>
      <c r="I158" s="293"/>
      <c r="J158" s="293"/>
      <c r="K158" s="293"/>
      <c r="L158" s="293"/>
      <c r="M158" s="293"/>
      <c r="N158" s="294">
        <v>1</v>
      </c>
      <c r="O158" s="295">
        <f t="shared" si="146"/>
      </c>
      <c r="P158" s="294">
        <v>0</v>
      </c>
      <c r="Q158" s="295">
        <f t="shared" si="148"/>
      </c>
      <c r="R158" s="294">
        <v>1</v>
      </c>
      <c r="S158" s="313">
        <v>1760.449999999997</v>
      </c>
      <c r="T158" s="296">
        <f t="shared" si="120"/>
      </c>
      <c r="U158" s="296">
        <f t="shared" si="26"/>
      </c>
      <c r="V158" s="290">
        <f t="shared" si="144"/>
      </c>
      <c r="W158" s="294">
        <v>1</v>
      </c>
      <c r="X158" s="337">
        <f t="shared" si="11"/>
      </c>
      <c r="Y158" s="290">
        <f t="shared" si="75"/>
      </c>
      <c r="Z158" s="354">
        <f t="shared" si="118"/>
      </c>
      <c r="AA158" s="296">
        <f t="shared" si="23"/>
      </c>
      <c r="AB158" s="296">
        <f t="shared" si="163"/>
      </c>
      <c r="AC158" s="295">
        <f t="shared" si="2"/>
      </c>
      <c r="AD158" s="295">
        <f t="shared" si="25"/>
      </c>
      <c r="AE158" s="295">
        <f t="shared" si="10"/>
      </c>
      <c r="AF158" s="295">
        <f t="shared" si="177"/>
      </c>
      <c r="AG158" s="295">
        <f t="shared" si="6"/>
      </c>
      <c r="AH158" s="295">
        <f t="shared" si="8"/>
      </c>
      <c r="AI158" s="343">
        <f t="shared" si="4"/>
      </c>
      <c r="AJ158" s="294">
        <v>49</v>
      </c>
      <c r="AK158" s="290">
        <v>8703</v>
      </c>
      <c r="AL158" s="290">
        <v>307</v>
      </c>
      <c r="AM158" s="290">
        <v>363</v>
      </c>
      <c r="AN158" s="290">
        <v>70</v>
      </c>
      <c r="AO158" s="330">
        <v>18</v>
      </c>
      <c r="AP158" s="331">
        <v>55</v>
      </c>
      <c r="AQ158" s="330">
        <v>50</v>
      </c>
      <c r="AR158" s="330">
        <v>2</v>
      </c>
      <c r="AS158" s="290">
        <v>2</v>
      </c>
      <c r="AT158" s="290">
        <v>0</v>
      </c>
      <c r="AU158" s="331">
        <v>1</v>
      </c>
      <c r="AW158" s="297"/>
      <c r="AX158" s="342">
        <f t="shared" si="103"/>
      </c>
    </row>
    <row r="159">
      <c r="A159" s="339"/>
      <c r="B159" s="299" t="s">
        <v>253</v>
      </c>
      <c r="C159" s="299"/>
      <c r="D159" s="299"/>
      <c r="E159" s="299"/>
      <c r="F159" s="355">
        <f>SUM(F156:F158)</f>
      </c>
      <c r="G159" s="355">
        <f>SUM(G156:G158)</f>
      </c>
      <c r="H159" s="355">
        <f>SUM(H156:H158)</f>
      </c>
      <c r="I159" s="300">
        <f>SUM(I156:I157)</f>
      </c>
      <c r="J159" s="300">
        <f>SUM(J156:J157)</f>
      </c>
      <c r="K159" s="300">
        <f>SUM(K156:K157)</f>
      </c>
      <c r="L159" s="300">
        <f>SUM(L156:L157)</f>
      </c>
      <c r="M159" s="300">
        <f>SUM(M156:M157)</f>
      </c>
      <c r="N159" s="300">
        <f>SUM(N156:N158)</f>
      </c>
      <c r="O159" s="302">
        <f t="shared" si="146"/>
      </c>
      <c r="P159" s="300">
        <f>SUM(P156:P158)</f>
      </c>
      <c r="Q159" s="302">
        <f t="shared" si="148"/>
      </c>
      <c r="R159" s="317">
        <f>SUM(R156:R158)</f>
      </c>
      <c r="S159" s="303">
        <f>SUM(S156:S158)</f>
      </c>
      <c r="T159" s="303">
        <f t="shared" si="120"/>
      </c>
      <c r="U159" s="303">
        <f t="shared" si="26"/>
      </c>
      <c r="V159" s="300">
        <f t="shared" si="144"/>
      </c>
      <c r="W159" s="300">
        <f>SUM(W156:W158)</f>
      </c>
      <c r="X159" s="300">
        <f t="shared" si="11"/>
      </c>
      <c r="Y159" s="300">
        <f t="shared" si="75"/>
      </c>
      <c r="Z159" s="356">
        <f t="shared" si="118"/>
      </c>
      <c r="AA159" s="323">
        <f t="shared" si="23"/>
      </c>
      <c r="AB159" s="336">
        <f t="shared" si="163"/>
      </c>
      <c r="AC159" s="326">
        <f t="shared" si="2"/>
      </c>
      <c r="AD159" s="326">
        <f t="shared" si="25"/>
      </c>
      <c r="AE159" s="326">
        <f t="shared" si="10"/>
      </c>
      <c r="AF159" s="326">
        <f>R159/AU341</f>
      </c>
      <c r="AG159" s="326">
        <f t="shared" si="6"/>
      </c>
      <c r="AH159" s="326">
        <f t="shared" si="8"/>
      </c>
      <c r="AI159" s="326">
        <f t="shared" si="4"/>
      </c>
      <c r="AJ159" s="317">
        <f>AVERAGE(AJ156:AJ158)</f>
      </c>
      <c r="AK159" s="300">
        <f>SUM(AK156:AK158)</f>
      </c>
      <c r="AL159" s="300">
        <f>SUM(AL156:AL158)</f>
      </c>
      <c r="AM159" s="300">
        <f>SUM(AM156:AM158)</f>
      </c>
      <c r="AN159" s="300">
        <f>SUM(AN156:AN158)</f>
      </c>
      <c r="AO159" s="300">
        <f>SUM(AO156:AO158)</f>
      </c>
      <c r="AP159" s="300">
        <f>SUM(AP156:AP158)</f>
      </c>
      <c r="AQ159" s="300">
        <f>SUM(AQ156:AQ158)</f>
      </c>
      <c r="AR159" s="300">
        <f>SUM(AR156:AR158)</f>
      </c>
      <c r="AS159" s="300">
        <f>SUM(AS156:AS158)</f>
      </c>
      <c r="AT159" s="300">
        <f>SUM(AT156:AT158)</f>
      </c>
      <c r="AU159" s="300">
        <f>SUM(AU156:AU158)</f>
      </c>
      <c r="AW159" s="305"/>
      <c r="AX159" s="300">
        <f>SUM(AX156:AX158)</f>
      </c>
    </row>
    <row r="160">
      <c r="A160" s="339"/>
      <c r="B160" s="307" t="s">
        <v>254</v>
      </c>
      <c r="C160" s="307"/>
      <c r="D160" s="307"/>
      <c r="E160" s="307"/>
      <c r="F160" s="309">
        <f>F155+F159</f>
      </c>
      <c r="G160" s="309">
        <f>G155+G159</f>
      </c>
      <c r="H160" s="309">
        <f>H155+H159</f>
      </c>
      <c r="I160" s="307">
        <f>I155+I159</f>
      </c>
      <c r="J160" s="307">
        <f>J155+J159</f>
      </c>
      <c r="K160" s="307">
        <f>K155+K159</f>
      </c>
      <c r="L160" s="307">
        <f>L155+L159</f>
      </c>
      <c r="M160" s="307">
        <f>M155+M159</f>
      </c>
      <c r="N160" s="307">
        <f>N155+N159</f>
      </c>
      <c r="O160" s="308">
        <f t="shared" si="146"/>
      </c>
      <c r="P160" s="307">
        <f>P155+P159</f>
      </c>
      <c r="Q160" s="308">
        <f t="shared" si="148"/>
      </c>
      <c r="R160" s="307">
        <f>R155+R159</f>
      </c>
      <c r="S160" s="309">
        <f>S155+S159</f>
      </c>
      <c r="T160" s="309">
        <f t="shared" si="120"/>
      </c>
      <c r="U160" s="309">
        <f t="shared" si="26"/>
      </c>
      <c r="V160" s="307">
        <f t="shared" si="144"/>
      </c>
      <c r="W160" s="307">
        <f>W155+W159</f>
      </c>
      <c r="X160" s="369">
        <f t="shared" si="11"/>
      </c>
      <c r="Y160" s="307">
        <f t="shared" si="75"/>
      </c>
      <c r="Z160" s="357">
        <f t="shared" si="118"/>
      </c>
      <c r="AA160" s="309">
        <f t="shared" si="23"/>
      </c>
      <c r="AB160" s="309">
        <f>AB159+AB155</f>
      </c>
      <c r="AC160" s="308">
        <f t="shared" si="2"/>
      </c>
      <c r="AD160" s="308">
        <f t="shared" si="25"/>
      </c>
      <c r="AE160" s="308">
        <f t="shared" si="10"/>
      </c>
      <c r="AF160" s="308">
        <f>R160/AU159:AU158</f>
      </c>
      <c r="AG160" s="308">
        <f t="shared" si="6"/>
      </c>
      <c r="AH160" s="308">
        <f t="shared" si="8"/>
      </c>
      <c r="AI160" s="308">
        <f t="shared" si="4"/>
      </c>
      <c r="AJ160" s="329">
        <f>(AJ155+AJ159)/2</f>
      </c>
      <c r="AK160" s="307">
        <f>AK155+AK159</f>
      </c>
      <c r="AL160" s="335">
        <f>AL155+AL159</f>
      </c>
      <c r="AM160" s="335">
        <f>AM155+AM159</f>
      </c>
      <c r="AN160" s="335">
        <f>AN155+AN159</f>
      </c>
      <c r="AO160" s="335">
        <f>AO155+AO159</f>
      </c>
      <c r="AP160" s="335">
        <f>AP155+AP159</f>
      </c>
      <c r="AQ160" s="335">
        <f>AQ155+AQ159</f>
      </c>
      <c r="AR160" s="335">
        <f>AR155+AR159</f>
      </c>
      <c r="AS160" s="335">
        <f>AS155+AS159</f>
      </c>
      <c r="AT160" s="335">
        <f>AT155+AT159</f>
      </c>
      <c r="AU160" s="307">
        <f>AU155+AU159</f>
      </c>
      <c r="AW160" s="349">
        <f>AW155+AW159</f>
      </c>
      <c r="AX160" s="307">
        <f>AX155+AX159</f>
      </c>
    </row>
    <row r="161">
      <c r="A161" s="339" t="s">
        <v>290</v>
      </c>
      <c r="B161" s="287" t="s">
        <v>267</v>
      </c>
      <c r="C161" s="287" t="s">
        <v>247</v>
      </c>
      <c r="D161" s="287" t="s">
        <v>248</v>
      </c>
      <c r="E161" s="288" t="s">
        <v>249</v>
      </c>
      <c r="F161" s="314">
        <f t="shared" ref="F161:F163" si="62">G161+H161+I161</f>
      </c>
      <c r="G161" s="313">
        <v>1231.25</v>
      </c>
      <c r="H161" s="313">
        <v>1438.57</v>
      </c>
      <c r="I161" s="291"/>
      <c r="J161" s="291"/>
      <c r="K161" s="291"/>
      <c r="L161" s="293"/>
      <c r="M161" s="293"/>
      <c r="N161" s="294">
        <v>0</v>
      </c>
      <c r="O161" s="295">
        <f t="shared" si="146"/>
      </c>
      <c r="P161" s="294">
        <v>0</v>
      </c>
      <c r="Q161" s="295">
        <f t="shared" si="148"/>
      </c>
      <c r="R161" s="371">
        <v>0</v>
      </c>
      <c r="S161" s="366">
        <v>0</v>
      </c>
      <c r="T161" s="296">
        <f t="shared" si="120"/>
      </c>
      <c r="U161" s="296">
        <f t="shared" si="26"/>
      </c>
      <c r="V161" s="290">
        <f t="shared" si="144"/>
      </c>
      <c r="W161" s="294">
        <v>0</v>
      </c>
      <c r="X161" s="290">
        <f t="shared" si="11"/>
      </c>
      <c r="Y161" s="290">
        <f t="shared" si="75"/>
      </c>
      <c r="Z161" s="354">
        <f t="shared" si="118"/>
      </c>
      <c r="AA161" s="296">
        <f t="shared" si="23"/>
      </c>
      <c r="AB161" s="296">
        <f t="shared" ref="AB161:AB168" si="164">F161/AN161</f>
      </c>
      <c r="AC161" s="295">
        <f t="shared" si="2"/>
      </c>
      <c r="AD161" s="295">
        <f t="shared" si="25"/>
      </c>
      <c r="AE161" s="295">
        <f t="shared" si="10"/>
      </c>
      <c r="AF161" s="295">
        <f t="shared" ref="AF161:AF163" si="136">R161/AO161</f>
      </c>
      <c r="AG161" s="295">
        <f t="shared" si="6"/>
      </c>
      <c r="AH161" s="295">
        <f t="shared" si="8"/>
      </c>
      <c r="AI161" s="359">
        <f t="shared" si="4"/>
      </c>
      <c r="AJ161" s="294">
        <v>81</v>
      </c>
      <c r="AK161" s="290">
        <v>6694</v>
      </c>
      <c r="AL161" s="290">
        <v>229</v>
      </c>
      <c r="AM161" s="290">
        <v>268</v>
      </c>
      <c r="AN161" s="294">
        <v>60</v>
      </c>
      <c r="AO161" s="330">
        <v>22</v>
      </c>
      <c r="AP161" s="360">
        <v>89</v>
      </c>
      <c r="AQ161" s="360">
        <v>53</v>
      </c>
      <c r="AR161" s="330">
        <v>0</v>
      </c>
      <c r="AS161" s="330">
        <v>7</v>
      </c>
      <c r="AT161" s="294">
        <v>1</v>
      </c>
      <c r="AU161" s="294">
        <v>3</v>
      </c>
      <c r="AW161" s="297"/>
      <c r="AX161" s="342">
        <f t="shared" ref="AX161:AX163" si="104">COUNT(AU161)</f>
      </c>
    </row>
    <row r="162">
      <c r="A162" s="339"/>
      <c r="B162" s="287" t="s">
        <v>267</v>
      </c>
      <c r="C162" s="287" t="s">
        <v>247</v>
      </c>
      <c r="D162" s="287" t="s">
        <v>248</v>
      </c>
      <c r="E162" s="288" t="s">
        <v>250</v>
      </c>
      <c r="F162" s="314">
        <f t="shared" si="62"/>
      </c>
      <c r="G162" s="313">
        <v>819.26</v>
      </c>
      <c r="H162" s="313">
        <v>782.19</v>
      </c>
      <c r="I162" s="293"/>
      <c r="J162" s="293"/>
      <c r="K162" s="293"/>
      <c r="L162" s="293"/>
      <c r="M162" s="293"/>
      <c r="N162" s="294">
        <v>0</v>
      </c>
      <c r="O162" s="295">
        <f t="shared" si="146"/>
      </c>
      <c r="P162" s="294">
        <v>0</v>
      </c>
      <c r="Q162" s="295">
        <f t="shared" si="148"/>
      </c>
      <c r="R162" s="294">
        <v>1</v>
      </c>
      <c r="S162" s="313">
        <v>1654</v>
      </c>
      <c r="T162" s="296">
        <f t="shared" si="120"/>
      </c>
      <c r="U162" s="296">
        <f t="shared" si="26"/>
      </c>
      <c r="V162" s="290">
        <f t="shared" si="144"/>
      </c>
      <c r="W162" s="294">
        <v>1</v>
      </c>
      <c r="X162" s="290">
        <f t="shared" si="11"/>
      </c>
      <c r="Y162" s="290">
        <f t="shared" si="75"/>
      </c>
      <c r="Z162" s="354">
        <f t="shared" si="118"/>
      </c>
      <c r="AA162" s="296">
        <f t="shared" si="23"/>
      </c>
      <c r="AB162" s="296">
        <f t="shared" si="164"/>
      </c>
      <c r="AC162" s="295">
        <f t="shared" si="2"/>
      </c>
      <c r="AD162" s="295">
        <f t="shared" si="25"/>
      </c>
      <c r="AE162" s="295">
        <f t="shared" si="10"/>
      </c>
      <c r="AF162" s="295">
        <f t="shared" si="136"/>
      </c>
      <c r="AG162" s="295">
        <f t="shared" si="6"/>
      </c>
      <c r="AH162" s="343">
        <f t="shared" si="8"/>
      </c>
      <c r="AI162" s="343">
        <f t="shared" si="4"/>
      </c>
      <c r="AJ162" s="294">
        <v>77</v>
      </c>
      <c r="AK162" s="290">
        <v>5248</v>
      </c>
      <c r="AL162" s="290">
        <v>177</v>
      </c>
      <c r="AM162" s="290">
        <v>226</v>
      </c>
      <c r="AN162" s="290">
        <v>34</v>
      </c>
      <c r="AO162" s="330">
        <v>17</v>
      </c>
      <c r="AP162" s="331">
        <v>68</v>
      </c>
      <c r="AQ162" s="330">
        <v>35</v>
      </c>
      <c r="AR162" s="330">
        <v>2</v>
      </c>
      <c r="AS162" s="290">
        <v>3</v>
      </c>
      <c r="AT162" s="290">
        <v>1</v>
      </c>
      <c r="AU162" s="331">
        <v>0</v>
      </c>
      <c r="AW162" s="297"/>
      <c r="AX162" s="342">
        <f t="shared" si="104"/>
      </c>
    </row>
    <row r="163">
      <c r="A163" s="339"/>
      <c r="B163" s="287" t="s">
        <v>267</v>
      </c>
      <c r="C163" s="287" t="s">
        <v>247</v>
      </c>
      <c r="D163" s="287" t="s">
        <v>248</v>
      </c>
      <c r="E163" s="288" t="s">
        <v>251</v>
      </c>
      <c r="F163" s="314">
        <f t="shared" si="62"/>
      </c>
      <c r="G163" s="313">
        <v>435.67</v>
      </c>
      <c r="H163" s="313">
        <v>1405.98</v>
      </c>
      <c r="I163" s="293"/>
      <c r="J163" s="293"/>
      <c r="K163" s="293"/>
      <c r="L163" s="293"/>
      <c r="M163" s="293"/>
      <c r="N163" s="294">
        <v>0</v>
      </c>
      <c r="O163" s="295">
        <f t="shared" si="146"/>
      </c>
      <c r="P163" s="294">
        <v>0</v>
      </c>
      <c r="Q163" s="295">
        <f t="shared" si="148"/>
      </c>
      <c r="R163" s="294">
        <v>3</v>
      </c>
      <c r="S163" s="313">
        <v>4892.75</v>
      </c>
      <c r="T163" s="296">
        <f t="shared" si="120"/>
      </c>
      <c r="U163" s="296">
        <f t="shared" si="26"/>
      </c>
      <c r="V163" s="337">
        <f t="shared" si="144"/>
      </c>
      <c r="W163" s="294">
        <v>3</v>
      </c>
      <c r="X163" s="290">
        <f t="shared" si="11"/>
      </c>
      <c r="Y163" s="290">
        <f t="shared" si="75"/>
      </c>
      <c r="Z163" s="354">
        <f t="shared" si="118"/>
      </c>
      <c r="AA163" s="296">
        <f t="shared" si="23"/>
      </c>
      <c r="AB163" s="296">
        <f t="shared" si="164"/>
      </c>
      <c r="AC163" s="295">
        <f t="shared" si="2"/>
      </c>
      <c r="AD163" s="295">
        <f t="shared" si="25"/>
      </c>
      <c r="AE163" s="295">
        <f t="shared" si="10"/>
      </c>
      <c r="AF163" s="295">
        <f t="shared" si="136"/>
      </c>
      <c r="AG163" s="295">
        <f t="shared" si="6"/>
      </c>
      <c r="AH163" s="295">
        <f t="shared" si="8"/>
      </c>
      <c r="AI163" s="361">
        <f t="shared" si="4"/>
      </c>
      <c r="AJ163" s="294">
        <v>73</v>
      </c>
      <c r="AK163" s="290">
        <v>5219</v>
      </c>
      <c r="AL163" s="290">
        <v>166</v>
      </c>
      <c r="AM163" s="290">
        <v>219</v>
      </c>
      <c r="AN163" s="290">
        <v>38</v>
      </c>
      <c r="AO163" s="330">
        <v>9</v>
      </c>
      <c r="AP163" s="331">
        <v>53</v>
      </c>
      <c r="AQ163" s="330">
        <v>33</v>
      </c>
      <c r="AR163" s="330">
        <v>3</v>
      </c>
      <c r="AS163" s="294">
        <v>4</v>
      </c>
      <c r="AT163" s="294">
        <v>0</v>
      </c>
      <c r="AU163" s="331">
        <v>3</v>
      </c>
      <c r="AW163" s="297"/>
      <c r="AX163" s="342">
        <f t="shared" si="104"/>
      </c>
    </row>
    <row r="164">
      <c r="A164" s="339"/>
      <c r="B164" s="299" t="s">
        <v>253</v>
      </c>
      <c r="C164" s="299"/>
      <c r="D164" s="299"/>
      <c r="E164" s="299"/>
      <c r="F164" s="355">
        <f>SUM(F161:F163)</f>
      </c>
      <c r="G164" s="303">
        <f>SUM(G161:G163)</f>
      </c>
      <c r="H164" s="303">
        <f>SUM(H161:H163)</f>
      </c>
      <c r="I164" s="300">
        <f>SUM(I161:I163)</f>
      </c>
      <c r="J164" s="300">
        <f>SUM(J161:J163)</f>
      </c>
      <c r="K164" s="300">
        <f>SUM(K161:K163)</f>
      </c>
      <c r="L164" s="300">
        <f>SUM(L161:L163)</f>
      </c>
      <c r="M164" s="300">
        <f>SUM(M161:M163)</f>
      </c>
      <c r="N164" s="300">
        <f>SUM(N161:N163)</f>
      </c>
      <c r="O164" s="302">
        <f t="shared" si="146"/>
      </c>
      <c r="P164" s="300">
        <f>SUM(P161:P163)</f>
      </c>
      <c r="Q164" s="302">
        <f t="shared" si="148"/>
      </c>
      <c r="R164" s="300">
        <f>SUM(R161:R163)</f>
      </c>
      <c r="S164" s="303">
        <f>SUM(S161:S163)</f>
      </c>
      <c r="T164" s="303">
        <f t="shared" si="120"/>
      </c>
      <c r="U164" s="303">
        <f t="shared" si="26"/>
      </c>
      <c r="V164" s="300">
        <f t="shared" si="144"/>
      </c>
      <c r="W164" s="300">
        <f>SUM(W161:W163)</f>
      </c>
      <c r="X164" s="300">
        <f t="shared" si="11"/>
      </c>
      <c r="Y164" s="300">
        <f t="shared" si="75"/>
      </c>
      <c r="Z164" s="355">
        <f t="shared" si="118"/>
      </c>
      <c r="AA164" s="303">
        <f t="shared" si="23"/>
      </c>
      <c r="AB164" s="336">
        <f t="shared" si="164"/>
      </c>
      <c r="AC164" s="302">
        <f t="shared" si="2"/>
      </c>
      <c r="AD164" s="302">
        <f t="shared" si="25"/>
      </c>
      <c r="AE164" s="302">
        <f t="shared" si="10"/>
      </c>
      <c r="AF164" s="302">
        <f>R164/AO169</f>
      </c>
      <c r="AG164" s="302">
        <f t="shared" si="6"/>
      </c>
      <c r="AH164" s="302">
        <f t="shared" si="8"/>
      </c>
      <c r="AI164" s="363">
        <f t="shared" si="4"/>
      </c>
      <c r="AJ164" s="317">
        <f>AVERAGE(AJ161:AJ163)</f>
      </c>
      <c r="AK164" s="300">
        <f>SUM(AK161:AK163)</f>
      </c>
      <c r="AL164" s="300">
        <f>SUM(AL161:AL163)</f>
      </c>
      <c r="AM164" s="300">
        <f>SUM(AM161:AM163)</f>
      </c>
      <c r="AN164" s="300">
        <f>SUM(AN161:AN163)</f>
      </c>
      <c r="AO164" s="300">
        <f>SUM(AO161:AO163)</f>
      </c>
      <c r="AP164" s="333">
        <f>SUM(AP161:AP163)</f>
      </c>
      <c r="AQ164" s="300">
        <f>SUM(AQ161:AQ163)</f>
      </c>
      <c r="AR164" s="300">
        <f>SUM(AR161:AR163)</f>
      </c>
      <c r="AS164" s="300">
        <f>SUM(AS161:AS163)</f>
      </c>
      <c r="AT164" s="300">
        <f>SUM(AT161:AT163)</f>
      </c>
      <c r="AU164" s="333">
        <f>SUM(AU161:AU163)</f>
      </c>
      <c r="AW164" s="305"/>
      <c r="AX164" s="300">
        <f>SUM(AX161:AX163)</f>
      </c>
    </row>
    <row r="165">
      <c r="A165" s="339"/>
      <c r="B165" s="287" t="s">
        <v>267</v>
      </c>
      <c r="C165" s="287" t="s">
        <v>247</v>
      </c>
      <c r="D165" s="287" t="s">
        <v>256</v>
      </c>
      <c r="E165" s="288" t="s">
        <v>252</v>
      </c>
      <c r="F165" s="314">
        <f t="shared" ref="F165:F167" si="63">G165+H165+I165</f>
      </c>
      <c r="G165" s="313">
        <v>316.6</v>
      </c>
      <c r="H165" s="313">
        <v>2275.52</v>
      </c>
      <c r="I165" s="293"/>
      <c r="J165" s="293"/>
      <c r="K165" s="293"/>
      <c r="L165" s="293"/>
      <c r="M165" s="293"/>
      <c r="N165" s="294">
        <v>0</v>
      </c>
      <c r="O165" s="295">
        <f t="shared" si="146"/>
      </c>
      <c r="P165" s="294">
        <v>0</v>
      </c>
      <c r="Q165" s="295">
        <f t="shared" si="148"/>
      </c>
      <c r="R165" s="294">
        <v>0</v>
      </c>
      <c r="S165" s="313">
        <v>0</v>
      </c>
      <c r="T165" s="296">
        <f t="shared" si="120"/>
      </c>
      <c r="U165" s="296">
        <f t="shared" si="26"/>
      </c>
      <c r="V165" s="290">
        <f t="shared" si="144"/>
      </c>
      <c r="W165" s="294">
        <v>0</v>
      </c>
      <c r="X165" s="337">
        <f t="shared" si="11"/>
      </c>
      <c r="Y165" s="290">
        <f t="shared" si="75"/>
      </c>
      <c r="Z165" s="354">
        <f t="shared" si="118"/>
      </c>
      <c r="AA165" s="296">
        <f t="shared" si="23"/>
      </c>
      <c r="AB165" s="296">
        <f t="shared" si="164"/>
      </c>
      <c r="AC165" s="295">
        <f t="shared" si="2"/>
      </c>
      <c r="AD165" s="295">
        <f t="shared" si="25"/>
      </c>
      <c r="AE165" s="295">
        <f t="shared" si="10"/>
      </c>
      <c r="AF165" s="295">
        <f>R165/AE164:AC162</f>
      </c>
      <c r="AG165" s="295">
        <f t="shared" si="6"/>
      </c>
      <c r="AH165" s="295">
        <f t="shared" si="8"/>
      </c>
      <c r="AI165" s="343">
        <f t="shared" si="4"/>
      </c>
      <c r="AJ165" s="294">
        <v>66</v>
      </c>
      <c r="AK165" s="290">
        <v>6484</v>
      </c>
      <c r="AL165" s="290">
        <v>216</v>
      </c>
      <c r="AM165" s="290">
        <v>258</v>
      </c>
      <c r="AN165" s="290">
        <v>48</v>
      </c>
      <c r="AO165" s="330">
        <v>13</v>
      </c>
      <c r="AP165" s="331">
        <v>28</v>
      </c>
      <c r="AQ165" s="330">
        <v>41</v>
      </c>
      <c r="AR165" s="330">
        <v>0</v>
      </c>
      <c r="AS165" s="290">
        <v>1</v>
      </c>
      <c r="AT165" s="290">
        <v>0</v>
      </c>
      <c r="AU165" s="331">
        <v>5</v>
      </c>
      <c r="AW165" s="297"/>
      <c r="AX165" s="342">
        <f t="shared" ref="AX165:AX167" si="105">COUNT(AU165)</f>
      </c>
    </row>
    <row r="166">
      <c r="A166" s="339"/>
      <c r="B166" s="287" t="s">
        <v>267</v>
      </c>
      <c r="C166" s="287" t="s">
        <v>247</v>
      </c>
      <c r="D166" s="287" t="s">
        <v>256</v>
      </c>
      <c r="E166" s="287" t="s">
        <v>257</v>
      </c>
      <c r="F166" s="314">
        <f t="shared" si="63"/>
      </c>
      <c r="G166" s="313">
        <v>525.96</v>
      </c>
      <c r="H166" s="313">
        <v>4219.74</v>
      </c>
      <c r="I166" s="293"/>
      <c r="J166" s="293"/>
      <c r="K166" s="293"/>
      <c r="L166" s="293"/>
      <c r="M166" s="293"/>
      <c r="N166" s="294">
        <v>0</v>
      </c>
      <c r="O166" s="295">
        <f t="shared" si="146"/>
      </c>
      <c r="P166" s="294">
        <v>0</v>
      </c>
      <c r="Q166" s="295">
        <f t="shared" si="148"/>
      </c>
      <c r="R166" s="294">
        <v>1</v>
      </c>
      <c r="S166" s="313">
        <v>1654</v>
      </c>
      <c r="T166" s="296">
        <f t="shared" si="120"/>
      </c>
      <c r="U166" s="296">
        <f t="shared" si="26"/>
      </c>
      <c r="V166" s="290">
        <f t="shared" si="144"/>
      </c>
      <c r="W166" s="294">
        <v>1</v>
      </c>
      <c r="X166" s="337">
        <f t="shared" si="11"/>
      </c>
      <c r="Y166" s="290">
        <f t="shared" si="75"/>
      </c>
      <c r="Z166" s="354">
        <f t="shared" si="118"/>
      </c>
      <c r="AA166" s="296">
        <f t="shared" si="23"/>
      </c>
      <c r="AB166" s="296">
        <f t="shared" si="164"/>
      </c>
      <c r="AC166" s="295">
        <f t="shared" si="2"/>
      </c>
      <c r="AD166" s="295">
        <f t="shared" si="25"/>
      </c>
      <c r="AE166" s="295">
        <f t="shared" si="10"/>
      </c>
      <c r="AF166" s="295">
        <f t="shared" ref="AF166:AF167" si="178">R166/AO168</f>
      </c>
      <c r="AG166" s="295">
        <f t="shared" si="6"/>
      </c>
      <c r="AH166" s="295">
        <f t="shared" si="8"/>
      </c>
      <c r="AI166" s="343">
        <f t="shared" si="4"/>
      </c>
      <c r="AJ166" s="294">
        <v>63</v>
      </c>
      <c r="AK166" s="290">
        <v>10530</v>
      </c>
      <c r="AL166" s="290">
        <v>400</v>
      </c>
      <c r="AM166" s="290">
        <v>415</v>
      </c>
      <c r="AN166" s="290">
        <v>87</v>
      </c>
      <c r="AO166" s="330">
        <v>24</v>
      </c>
      <c r="AP166" s="331">
        <v>47</v>
      </c>
      <c r="AQ166" s="330">
        <v>62</v>
      </c>
      <c r="AR166" s="330">
        <v>1</v>
      </c>
      <c r="AS166" s="290">
        <v>8</v>
      </c>
      <c r="AT166" s="290">
        <v>1</v>
      </c>
      <c r="AU166" s="331">
        <v>12</v>
      </c>
      <c r="AW166" s="297"/>
      <c r="AX166" s="342">
        <f t="shared" si="105"/>
      </c>
    </row>
    <row r="167">
      <c r="A167" s="339"/>
      <c r="B167" s="287" t="s">
        <v>267</v>
      </c>
      <c r="C167" s="367" t="s">
        <v>247</v>
      </c>
      <c r="D167" s="287" t="s">
        <v>256</v>
      </c>
      <c r="E167" s="367" t="s">
        <v>258</v>
      </c>
      <c r="F167" s="313">
        <f t="shared" si="63"/>
      </c>
      <c r="G167" s="313">
        <v>492.79</v>
      </c>
      <c r="H167" s="313">
        <v>2309.68</v>
      </c>
      <c r="I167" s="293"/>
      <c r="J167" s="293"/>
      <c r="K167" s="293"/>
      <c r="L167" s="293"/>
      <c r="M167" s="293"/>
      <c r="N167" s="294">
        <v>0</v>
      </c>
      <c r="O167" s="295">
        <f t="shared" si="146"/>
      </c>
      <c r="P167" s="294">
        <v>0</v>
      </c>
      <c r="Q167" s="295">
        <f t="shared" si="148"/>
      </c>
      <c r="R167" s="294">
        <v>0</v>
      </c>
      <c r="S167" s="313">
        <v>0</v>
      </c>
      <c r="T167" s="296">
        <f t="shared" si="120"/>
      </c>
      <c r="U167" s="296">
        <f t="shared" si="26"/>
      </c>
      <c r="V167" s="290">
        <f t="shared" si="144"/>
      </c>
      <c r="W167" s="294">
        <v>0</v>
      </c>
      <c r="X167" s="337">
        <f t="shared" si="11"/>
      </c>
      <c r="Y167" s="290">
        <f t="shared" si="75"/>
      </c>
      <c r="Z167" s="354">
        <f t="shared" si="118"/>
      </c>
      <c r="AA167" s="296">
        <f t="shared" si="23"/>
      </c>
      <c r="AB167" s="296">
        <f t="shared" si="164"/>
      </c>
      <c r="AC167" s="295">
        <f t="shared" si="2"/>
      </c>
      <c r="AD167" s="295">
        <f t="shared" si="25"/>
      </c>
      <c r="AE167" s="295">
        <f t="shared" si="10"/>
      </c>
      <c r="AF167" s="295">
        <f t="shared" si="178"/>
      </c>
      <c r="AG167" s="295">
        <f t="shared" si="6"/>
      </c>
      <c r="AH167" s="295">
        <f t="shared" si="8"/>
      </c>
      <c r="AI167" s="343">
        <f t="shared" si="4"/>
      </c>
      <c r="AJ167" s="294">
        <v>70</v>
      </c>
      <c r="AK167" s="290">
        <v>6702</v>
      </c>
      <c r="AL167" s="290">
        <v>288</v>
      </c>
      <c r="AM167" s="290">
        <v>321</v>
      </c>
      <c r="AN167" s="290">
        <v>77</v>
      </c>
      <c r="AO167" s="330">
        <v>17</v>
      </c>
      <c r="AP167" s="331">
        <v>32</v>
      </c>
      <c r="AQ167" s="330">
        <v>63</v>
      </c>
      <c r="AR167" s="330">
        <v>0</v>
      </c>
      <c r="AS167" s="290">
        <v>3</v>
      </c>
      <c r="AT167" s="290">
        <v>0</v>
      </c>
      <c r="AU167" s="331">
        <v>8</v>
      </c>
      <c r="AW167" s="297"/>
      <c r="AX167" s="342">
        <f t="shared" si="105"/>
      </c>
    </row>
    <row r="168">
      <c r="A168" s="339"/>
      <c r="B168" s="299" t="s">
        <v>253</v>
      </c>
      <c r="C168" s="299"/>
      <c r="D168" s="299"/>
      <c r="E168" s="299"/>
      <c r="F168" s="355">
        <f>SUM(F165:F167)</f>
      </c>
      <c r="G168" s="355">
        <f>SUM(G165:G167)</f>
      </c>
      <c r="H168" s="355">
        <f>SUM(H165:H167)</f>
      </c>
      <c r="I168" s="300">
        <f>SUM(I165:I166)</f>
      </c>
      <c r="J168" s="300">
        <f>SUM(J165:J166)</f>
      </c>
      <c r="K168" s="300">
        <f>SUM(K165:K166)</f>
      </c>
      <c r="L168" s="300">
        <f>SUM(L165:L166)</f>
      </c>
      <c r="M168" s="300">
        <f>SUM(M165:M166)</f>
      </c>
      <c r="N168" s="300">
        <f>SUM(N165:N167)</f>
      </c>
      <c r="O168" s="302">
        <f t="shared" si="146"/>
      </c>
      <c r="P168" s="300">
        <f>SUM(P165:P167)</f>
      </c>
      <c r="Q168" s="302">
        <f t="shared" si="148"/>
      </c>
      <c r="R168" s="317">
        <f>SUM(R165:R167)</f>
      </c>
      <c r="S168" s="303">
        <f>SUM(S165:S167)</f>
      </c>
      <c r="T168" s="303">
        <f t="shared" si="120"/>
      </c>
      <c r="U168" s="303">
        <f t="shared" si="26"/>
      </c>
      <c r="V168" s="300">
        <f t="shared" si="144"/>
      </c>
      <c r="W168" s="300">
        <f>SUM(W165:W167)</f>
      </c>
      <c r="X168" s="300">
        <f t="shared" si="11"/>
      </c>
      <c r="Y168" s="300">
        <f t="shared" si="75"/>
      </c>
      <c r="Z168" s="356">
        <f t="shared" si="118"/>
      </c>
      <c r="AA168" s="323">
        <f t="shared" si="23"/>
      </c>
      <c r="AB168" s="336">
        <f t="shared" si="164"/>
      </c>
      <c r="AC168" s="326">
        <f t="shared" si="2"/>
      </c>
      <c r="AD168" s="326">
        <f t="shared" si="25"/>
      </c>
      <c r="AE168" s="326">
        <f t="shared" si="10"/>
      </c>
      <c r="AF168" s="326">
        <f>R168/AU353</f>
      </c>
      <c r="AG168" s="326">
        <f t="shared" si="6"/>
      </c>
      <c r="AH168" s="326">
        <f t="shared" si="8"/>
      </c>
      <c r="AI168" s="326">
        <f t="shared" si="4"/>
      </c>
      <c r="AJ168" s="317">
        <f>AVERAGE(AJ165:AJ167)</f>
      </c>
      <c r="AK168" s="300">
        <f>SUM(AK165:AK167)</f>
      </c>
      <c r="AL168" s="300">
        <f>SUM(AL165:AL167)</f>
      </c>
      <c r="AM168" s="300">
        <f>SUM(AM165:AM167)</f>
      </c>
      <c r="AN168" s="300">
        <f>SUM(AN165:AN167)</f>
      </c>
      <c r="AO168" s="300">
        <f>SUM(AO165:AO167)</f>
      </c>
      <c r="AP168" s="300">
        <f>SUM(AP165:AP167)</f>
      </c>
      <c r="AQ168" s="300">
        <f>SUM(AQ165:AQ167)</f>
      </c>
      <c r="AR168" s="300">
        <f>SUM(AR165:AR167)</f>
      </c>
      <c r="AS168" s="300">
        <f>SUM(AS165:AS167)</f>
      </c>
      <c r="AT168" s="300">
        <f>SUM(AT165:AT167)</f>
      </c>
      <c r="AU168" s="300">
        <f>SUM(AU165:AU167)</f>
      </c>
      <c r="AW168" s="305"/>
      <c r="AX168" s="300">
        <f>SUM(AX165:AX167)</f>
      </c>
    </row>
    <row r="169">
      <c r="A169" s="339"/>
      <c r="B169" s="307" t="s">
        <v>254</v>
      </c>
      <c r="C169" s="307"/>
      <c r="D169" s="307"/>
      <c r="E169" s="307"/>
      <c r="F169" s="309">
        <f>F164+F168</f>
      </c>
      <c r="G169" s="309">
        <f>G164+G168</f>
      </c>
      <c r="H169" s="309">
        <f>H164+H168</f>
      </c>
      <c r="I169" s="307">
        <f>I164+I168</f>
      </c>
      <c r="J169" s="307">
        <f>J164+J168</f>
      </c>
      <c r="K169" s="307">
        <f>K164+K168</f>
      </c>
      <c r="L169" s="307">
        <f>L164+L168</f>
      </c>
      <c r="M169" s="307">
        <f>M164+M168</f>
      </c>
      <c r="N169" s="307">
        <f>N164+N168</f>
      </c>
      <c r="O169" s="308">
        <f t="shared" si="146"/>
      </c>
      <c r="P169" s="307">
        <f>P164+P168</f>
      </c>
      <c r="Q169" s="308">
        <f t="shared" si="148"/>
      </c>
      <c r="R169" s="307">
        <f>R164+R168</f>
      </c>
      <c r="S169" s="309">
        <f>S164+S168</f>
      </c>
      <c r="T169" s="309">
        <f t="shared" si="120"/>
      </c>
      <c r="U169" s="309">
        <f t="shared" si="26"/>
      </c>
      <c r="V169" s="307">
        <f t="shared" si="144"/>
      </c>
      <c r="W169" s="307">
        <f>W164+W168</f>
      </c>
      <c r="X169" s="369">
        <f t="shared" si="11"/>
      </c>
      <c r="Y169" s="307">
        <f t="shared" si="75"/>
      </c>
      <c r="Z169" s="357">
        <f t="shared" si="118"/>
      </c>
      <c r="AA169" s="309">
        <f t="shared" si="23"/>
      </c>
      <c r="AB169" s="309">
        <f>AB168+AB164</f>
      </c>
      <c r="AC169" s="308">
        <f t="shared" si="2"/>
      </c>
      <c r="AD169" s="308">
        <f t="shared" si="25"/>
      </c>
      <c r="AE169" s="308">
        <f t="shared" si="10"/>
      </c>
      <c r="AF169" s="308">
        <f>R169/AU168:AU167</f>
      </c>
      <c r="AG169" s="308">
        <f t="shared" si="6"/>
      </c>
      <c r="AH169" s="308">
        <f t="shared" si="8"/>
      </c>
      <c r="AI169" s="308">
        <f t="shared" si="4"/>
      </c>
      <c r="AJ169" s="329">
        <f>(AJ164+AJ168)/2</f>
      </c>
      <c r="AK169" s="307">
        <f>AK164+AK168</f>
      </c>
      <c r="AL169" s="335">
        <f>AL164+AL168</f>
      </c>
      <c r="AM169" s="335">
        <f>AM164+AM168</f>
      </c>
      <c r="AN169" s="335">
        <f>AN164+AN168</f>
      </c>
      <c r="AO169" s="335">
        <f>AO164+AO168</f>
      </c>
      <c r="AP169" s="335">
        <f>AP164+AP168</f>
      </c>
      <c r="AQ169" s="335">
        <f>AQ164+AQ168</f>
      </c>
      <c r="AR169" s="335">
        <f>AR164+AR168</f>
      </c>
      <c r="AS169" s="335">
        <f>AS164+AS168</f>
      </c>
      <c r="AT169" s="335">
        <f>AT164+AT168</f>
      </c>
      <c r="AU169" s="307">
        <f>AU164+AU168</f>
      </c>
      <c r="AW169" s="349">
        <f>AW164+AW168</f>
      </c>
      <c r="AX169" s="307">
        <f>AX164+AX168</f>
      </c>
    </row>
    <row r="170">
      <c r="A170" s="339" t="s">
        <v>291</v>
      </c>
      <c r="B170" s="287" t="s">
        <v>267</v>
      </c>
      <c r="C170" s="287" t="s">
        <v>247</v>
      </c>
      <c r="D170" s="287" t="s">
        <v>248</v>
      </c>
      <c r="E170" s="288" t="s">
        <v>249</v>
      </c>
      <c r="F170" s="314">
        <f t="shared" ref="F170:F172" si="64">G170+H170+I170</f>
      </c>
      <c r="G170" s="313">
        <v>900.41</v>
      </c>
      <c r="H170" s="313">
        <v>1469.44</v>
      </c>
      <c r="I170" s="291"/>
      <c r="J170" s="291"/>
      <c r="K170" s="291"/>
      <c r="L170" s="293"/>
      <c r="M170" s="293"/>
      <c r="N170" s="294">
        <v>0</v>
      </c>
      <c r="O170" s="295">
        <f t="shared" si="146"/>
      </c>
      <c r="P170" s="294">
        <v>0</v>
      </c>
      <c r="Q170" s="295">
        <f t="shared" si="148"/>
      </c>
      <c r="R170" s="371">
        <v>0</v>
      </c>
      <c r="S170" s="366">
        <v>0</v>
      </c>
      <c r="T170" s="296">
        <f t="shared" si="120"/>
      </c>
      <c r="U170" s="296">
        <f t="shared" si="26"/>
      </c>
      <c r="V170" s="290">
        <f t="shared" si="144"/>
      </c>
      <c r="W170" s="294">
        <v>0</v>
      </c>
      <c r="X170" s="290">
        <f t="shared" si="11"/>
      </c>
      <c r="Y170" s="290">
        <f t="shared" si="75"/>
      </c>
      <c r="Z170" s="354">
        <f t="shared" si="118"/>
      </c>
      <c r="AA170" s="296">
        <f t="shared" si="23"/>
      </c>
      <c r="AB170" s="296">
        <f t="shared" ref="AB170:AB177" si="165">F170/AN170</f>
      </c>
      <c r="AC170" s="295">
        <f t="shared" si="2"/>
      </c>
      <c r="AD170" s="295">
        <f t="shared" si="25"/>
      </c>
      <c r="AE170" s="295">
        <f t="shared" si="10"/>
      </c>
      <c r="AF170" s="295">
        <f t="shared" ref="AF170:AF172" si="137">R170/AO170</f>
      </c>
      <c r="AG170" s="295">
        <f t="shared" si="6"/>
      </c>
      <c r="AH170" s="295">
        <f t="shared" si="8"/>
      </c>
      <c r="AI170" s="359">
        <f t="shared" si="4"/>
      </c>
      <c r="AJ170" s="294">
        <v>48</v>
      </c>
      <c r="AK170" s="290">
        <v>8563</v>
      </c>
      <c r="AL170" s="290">
        <v>212</v>
      </c>
      <c r="AM170" s="290">
        <v>267</v>
      </c>
      <c r="AN170" s="294">
        <v>38</v>
      </c>
      <c r="AO170" s="330">
        <v>14</v>
      </c>
      <c r="AP170" s="360">
        <v>52</v>
      </c>
      <c r="AQ170" s="360">
        <v>30</v>
      </c>
      <c r="AR170" s="330">
        <v>0</v>
      </c>
      <c r="AS170" s="330">
        <v>3</v>
      </c>
      <c r="AT170" s="294">
        <v>0</v>
      </c>
      <c r="AU170" s="294">
        <v>5</v>
      </c>
      <c r="AW170" s="297"/>
      <c r="AX170" s="342">
        <f t="shared" ref="AX170:AX172" si="106">COUNT(AU170)</f>
      </c>
    </row>
    <row r="171">
      <c r="A171" s="339"/>
      <c r="B171" s="287" t="s">
        <v>267</v>
      </c>
      <c r="C171" s="287" t="s">
        <v>247</v>
      </c>
      <c r="D171" s="287" t="s">
        <v>248</v>
      </c>
      <c r="E171" s="288" t="s">
        <v>250</v>
      </c>
      <c r="F171" s="314">
        <f t="shared" si="64"/>
      </c>
      <c r="G171" s="313">
        <v>715.63</v>
      </c>
      <c r="H171" s="313">
        <v>1925.81</v>
      </c>
      <c r="I171" s="293"/>
      <c r="J171" s="293"/>
      <c r="K171" s="293"/>
      <c r="L171" s="293"/>
      <c r="M171" s="293"/>
      <c r="N171" s="294">
        <v>0</v>
      </c>
      <c r="O171" s="295">
        <f t="shared" si="146"/>
      </c>
      <c r="P171" s="294">
        <v>0</v>
      </c>
      <c r="Q171" s="295">
        <f t="shared" si="148"/>
      </c>
      <c r="R171" s="294">
        <v>3</v>
      </c>
      <c r="S171" s="313">
        <v>5000.85</v>
      </c>
      <c r="T171" s="296">
        <f t="shared" si="120"/>
      </c>
      <c r="U171" s="296">
        <f t="shared" si="26"/>
      </c>
      <c r="V171" s="290">
        <f t="shared" si="144"/>
      </c>
      <c r="W171" s="294">
        <v>3</v>
      </c>
      <c r="X171" s="290">
        <f t="shared" si="11"/>
      </c>
      <c r="Y171" s="290">
        <f t="shared" si="75"/>
      </c>
      <c r="Z171" s="354">
        <f t="shared" si="118"/>
      </c>
      <c r="AA171" s="296">
        <f t="shared" si="23"/>
      </c>
      <c r="AB171" s="296">
        <f t="shared" si="165"/>
      </c>
      <c r="AC171" s="295">
        <f t="shared" si="2"/>
      </c>
      <c r="AD171" s="295">
        <f t="shared" si="25"/>
      </c>
      <c r="AE171" s="295">
        <f t="shared" si="10"/>
      </c>
      <c r="AF171" s="295">
        <f t="shared" si="137"/>
      </c>
      <c r="AG171" s="295">
        <f t="shared" si="6"/>
      </c>
      <c r="AH171" s="343">
        <f t="shared" si="8"/>
      </c>
      <c r="AI171" s="343">
        <f t="shared" si="4"/>
      </c>
      <c r="AJ171" s="294">
        <v>54</v>
      </c>
      <c r="AK171" s="290">
        <v>9354</v>
      </c>
      <c r="AL171" s="290">
        <v>215</v>
      </c>
      <c r="AM171" s="290">
        <v>267</v>
      </c>
      <c r="AN171" s="290">
        <v>51</v>
      </c>
      <c r="AO171" s="330">
        <v>12</v>
      </c>
      <c r="AP171" s="331">
        <v>55</v>
      </c>
      <c r="AQ171" s="330">
        <v>40</v>
      </c>
      <c r="AR171" s="330">
        <v>4</v>
      </c>
      <c r="AS171" s="290">
        <v>3</v>
      </c>
      <c r="AT171" s="290">
        <v>0</v>
      </c>
      <c r="AU171" s="331">
        <v>6</v>
      </c>
      <c r="AW171" s="297"/>
      <c r="AX171" s="342">
        <f t="shared" si="106"/>
      </c>
    </row>
    <row r="172">
      <c r="A172" s="339"/>
      <c r="B172" s="287" t="s">
        <v>267</v>
      </c>
      <c r="C172" s="287" t="s">
        <v>247</v>
      </c>
      <c r="D172" s="287" t="s">
        <v>248</v>
      </c>
      <c r="E172" s="288" t="s">
        <v>251</v>
      </c>
      <c r="F172" s="314">
        <f t="shared" si="64"/>
      </c>
      <c r="G172" s="313">
        <v>1112.58</v>
      </c>
      <c r="H172" s="313">
        <v>1452.94</v>
      </c>
      <c r="I172" s="293"/>
      <c r="J172" s="293"/>
      <c r="K172" s="293"/>
      <c r="L172" s="293"/>
      <c r="M172" s="293"/>
      <c r="N172" s="294">
        <v>0</v>
      </c>
      <c r="O172" s="295">
        <f t="shared" si="146"/>
      </c>
      <c r="P172" s="294">
        <v>0</v>
      </c>
      <c r="Q172" s="295">
        <f t="shared" si="148"/>
      </c>
      <c r="R172" s="294">
        <v>0</v>
      </c>
      <c r="S172" s="313">
        <v>0</v>
      </c>
      <c r="T172" s="296">
        <f t="shared" si="120"/>
      </c>
      <c r="U172" s="296">
        <f t="shared" si="26"/>
      </c>
      <c r="V172" s="337">
        <f t="shared" si="144"/>
      </c>
      <c r="W172" s="294">
        <v>0</v>
      </c>
      <c r="X172" s="290">
        <f t="shared" si="11"/>
      </c>
      <c r="Y172" s="290">
        <f t="shared" si="75"/>
      </c>
      <c r="Z172" s="354">
        <f t="shared" si="118"/>
      </c>
      <c r="AA172" s="296">
        <f t="shared" si="23"/>
      </c>
      <c r="AB172" s="296">
        <f t="shared" si="165"/>
      </c>
      <c r="AC172" s="295">
        <f t="shared" si="2"/>
      </c>
      <c r="AD172" s="295">
        <f t="shared" si="25"/>
      </c>
      <c r="AE172" s="295">
        <f t="shared" si="10"/>
      </c>
      <c r="AF172" s="295">
        <f t="shared" si="137"/>
      </c>
      <c r="AG172" s="295">
        <f t="shared" si="6"/>
      </c>
      <c r="AH172" s="295">
        <f t="shared" si="8"/>
      </c>
      <c r="AI172" s="361">
        <f t="shared" si="4"/>
      </c>
      <c r="AJ172" s="294">
        <v>50</v>
      </c>
      <c r="AK172" s="290">
        <v>11430</v>
      </c>
      <c r="AL172" s="290">
        <v>235</v>
      </c>
      <c r="AM172" s="290">
        <v>302</v>
      </c>
      <c r="AN172" s="290">
        <v>55</v>
      </c>
      <c r="AO172" s="330">
        <v>14</v>
      </c>
      <c r="AP172" s="331">
        <v>42</v>
      </c>
      <c r="AQ172" s="330">
        <v>46</v>
      </c>
      <c r="AR172" s="330">
        <v>0</v>
      </c>
      <c r="AS172" s="294">
        <v>2</v>
      </c>
      <c r="AT172" s="294">
        <v>1</v>
      </c>
      <c r="AU172" s="331">
        <v>3</v>
      </c>
      <c r="AW172" s="297"/>
      <c r="AX172" s="342">
        <f t="shared" si="106"/>
      </c>
    </row>
    <row r="173">
      <c r="A173" s="339"/>
      <c r="B173" s="299" t="s">
        <v>253</v>
      </c>
      <c r="C173" s="299"/>
      <c r="D173" s="299"/>
      <c r="E173" s="299"/>
      <c r="F173" s="355">
        <f>SUM(F170:F172)</f>
      </c>
      <c r="G173" s="303">
        <f>SUM(G170:G172)</f>
      </c>
      <c r="H173" s="303">
        <f>SUM(H170:H172)</f>
      </c>
      <c r="I173" s="300">
        <f>SUM(I170:I172)</f>
      </c>
      <c r="J173" s="300">
        <f>SUM(J170:J172)</f>
      </c>
      <c r="K173" s="300">
        <f>SUM(K170:K172)</f>
      </c>
      <c r="L173" s="300">
        <f>SUM(L170:L172)</f>
      </c>
      <c r="M173" s="300">
        <f>SUM(M170:M172)</f>
      </c>
      <c r="N173" s="300">
        <f>SUM(N170:N172)</f>
      </c>
      <c r="O173" s="302">
        <f t="shared" si="146"/>
      </c>
      <c r="P173" s="300">
        <f>SUM(P170:P172)</f>
      </c>
      <c r="Q173" s="302">
        <f t="shared" si="148"/>
      </c>
      <c r="R173" s="300">
        <f>SUM(R170:R172)</f>
      </c>
      <c r="S173" s="303">
        <f>SUM(S170:S172)</f>
      </c>
      <c r="T173" s="303">
        <f t="shared" si="120"/>
      </c>
      <c r="U173" s="303">
        <f t="shared" si="26"/>
      </c>
      <c r="V173" s="300">
        <f t="shared" si="144"/>
      </c>
      <c r="W173" s="300">
        <f>SUM(W170:W172)</f>
      </c>
      <c r="X173" s="300">
        <f t="shared" si="11"/>
      </c>
      <c r="Y173" s="300">
        <f t="shared" si="75"/>
      </c>
      <c r="Z173" s="355">
        <f t="shared" si="118"/>
      </c>
      <c r="AA173" s="303">
        <f t="shared" si="23"/>
      </c>
      <c r="AB173" s="336">
        <f t="shared" si="165"/>
      </c>
      <c r="AC173" s="302">
        <f t="shared" si="2"/>
      </c>
      <c r="AD173" s="302">
        <f t="shared" si="25"/>
      </c>
      <c r="AE173" s="302">
        <f t="shared" si="10"/>
      </c>
      <c r="AF173" s="302">
        <f>R173/AO178</f>
      </c>
      <c r="AG173" s="302">
        <f t="shared" si="6"/>
      </c>
      <c r="AH173" s="302">
        <f t="shared" si="8"/>
      </c>
      <c r="AI173" s="363">
        <f t="shared" si="4"/>
      </c>
      <c r="AJ173" s="317">
        <f>AVERAGE(AJ170:AJ172)</f>
      </c>
      <c r="AK173" s="300">
        <f>SUM(AK170:AK172)</f>
      </c>
      <c r="AL173" s="300">
        <f>SUM(AL170:AL172)</f>
      </c>
      <c r="AM173" s="300">
        <f>SUM(AM170:AM172)</f>
      </c>
      <c r="AN173" s="300">
        <f>SUM(AN170:AN172)</f>
      </c>
      <c r="AO173" s="300">
        <f>SUM(AO170:AO172)</f>
      </c>
      <c r="AP173" s="333">
        <f>SUM(AP170:AP172)</f>
      </c>
      <c r="AQ173" s="300">
        <f>SUM(AQ170:AQ172)</f>
      </c>
      <c r="AR173" s="300">
        <f>SUM(AR170:AR172)</f>
      </c>
      <c r="AS173" s="300">
        <f>SUM(AS170:AS172)</f>
      </c>
      <c r="AT173" s="300">
        <f>SUM(AT170:AT172)</f>
      </c>
      <c r="AU173" s="333">
        <f>SUM(AU170:AU172)</f>
      </c>
      <c r="AW173" s="305"/>
      <c r="AX173" s="300">
        <f>SUM(AX170:AX172)</f>
      </c>
    </row>
    <row r="174">
      <c r="A174" s="339"/>
      <c r="B174" s="287" t="s">
        <v>267</v>
      </c>
      <c r="C174" s="287" t="s">
        <v>247</v>
      </c>
      <c r="D174" s="287" t="s">
        <v>292</v>
      </c>
      <c r="E174" s="288" t="s">
        <v>252</v>
      </c>
      <c r="F174" s="314">
        <f t="shared" ref="F174:F176" si="65">G174+H174+I174</f>
      </c>
      <c r="G174" s="313">
        <v>1207.54</v>
      </c>
      <c r="H174" s="313">
        <v>1277.06</v>
      </c>
      <c r="I174" s="293"/>
      <c r="J174" s="293"/>
      <c r="K174" s="293"/>
      <c r="L174" s="293"/>
      <c r="M174" s="293"/>
      <c r="N174" s="294">
        <v>0</v>
      </c>
      <c r="O174" s="295">
        <f t="shared" si="146"/>
      </c>
      <c r="P174" s="294">
        <v>1</v>
      </c>
      <c r="Q174" s="295">
        <f t="shared" si="148"/>
      </c>
      <c r="R174" s="294">
        <v>1</v>
      </c>
      <c r="S174" s="313">
        <v>10879.4</v>
      </c>
      <c r="T174" s="296">
        <f t="shared" si="120"/>
      </c>
      <c r="U174" s="296">
        <f t="shared" si="26"/>
      </c>
      <c r="V174" s="290">
        <f t="shared" si="144"/>
      </c>
      <c r="W174" s="294">
        <v>1</v>
      </c>
      <c r="X174" s="337">
        <f t="shared" si="11"/>
      </c>
      <c r="Y174" s="290">
        <f t="shared" si="75"/>
      </c>
      <c r="Z174" s="354">
        <f t="shared" si="118"/>
      </c>
      <c r="AA174" s="296">
        <f t="shared" si="23"/>
      </c>
      <c r="AB174" s="296">
        <f t="shared" si="165"/>
      </c>
      <c r="AC174" s="295">
        <f t="shared" si="2"/>
      </c>
      <c r="AD174" s="295">
        <f t="shared" si="25"/>
      </c>
      <c r="AE174" s="295">
        <f t="shared" si="10"/>
      </c>
      <c r="AF174" s="295">
        <f>R174/AE173:AC171</f>
      </c>
      <c r="AG174" s="295">
        <f t="shared" si="6"/>
      </c>
      <c r="AH174" s="295">
        <f t="shared" si="8"/>
      </c>
      <c r="AI174" s="343">
        <f t="shared" si="4"/>
      </c>
      <c r="AJ174" s="294">
        <v>52</v>
      </c>
      <c r="AK174" s="290">
        <v>11199</v>
      </c>
      <c r="AL174" s="290">
        <v>240</v>
      </c>
      <c r="AM174" s="290">
        <v>316</v>
      </c>
      <c r="AN174" s="290">
        <v>54</v>
      </c>
      <c r="AO174" s="330">
        <v>18</v>
      </c>
      <c r="AP174" s="331">
        <v>63</v>
      </c>
      <c r="AQ174" s="330">
        <v>41</v>
      </c>
      <c r="AR174" s="330">
        <v>1</v>
      </c>
      <c r="AS174" s="290">
        <v>3</v>
      </c>
      <c r="AT174" s="290">
        <v>0</v>
      </c>
      <c r="AU174" s="331">
        <v>6</v>
      </c>
      <c r="AW174" s="297"/>
      <c r="AX174" s="342">
        <f t="shared" ref="AX174:AX176" si="107">COUNT(AU174)</f>
      </c>
    </row>
    <row r="175">
      <c r="A175" s="339"/>
      <c r="B175" s="287" t="s">
        <v>267</v>
      </c>
      <c r="C175" s="287" t="s">
        <v>247</v>
      </c>
      <c r="D175" s="287" t="s">
        <v>292</v>
      </c>
      <c r="E175" s="287" t="s">
        <v>257</v>
      </c>
      <c r="F175" s="314">
        <f t="shared" si="65"/>
      </c>
      <c r="G175" s="313">
        <v>931.3</v>
      </c>
      <c r="H175" s="313">
        <v>1540.77</v>
      </c>
      <c r="I175" s="293"/>
      <c r="J175" s="293"/>
      <c r="K175" s="293"/>
      <c r="L175" s="293"/>
      <c r="M175" s="293"/>
      <c r="N175" s="294">
        <v>0</v>
      </c>
      <c r="O175" s="295">
        <f t="shared" si="146"/>
      </c>
      <c r="P175" s="294">
        <v>0</v>
      </c>
      <c r="Q175" s="295">
        <f t="shared" si="148"/>
      </c>
      <c r="R175" s="294">
        <v>1</v>
      </c>
      <c r="S175" s="313">
        <v>1571.2999999999993</v>
      </c>
      <c r="T175" s="296">
        <f t="shared" si="120"/>
      </c>
      <c r="U175" s="296">
        <f t="shared" si="26"/>
      </c>
      <c r="V175" s="290">
        <f t="shared" si="144"/>
      </c>
      <c r="W175" s="294">
        <v>1</v>
      </c>
      <c r="X175" s="337">
        <f t="shared" si="11"/>
      </c>
      <c r="Y175" s="290">
        <f t="shared" si="75"/>
      </c>
      <c r="Z175" s="354">
        <f t="shared" si="118"/>
      </c>
      <c r="AA175" s="296">
        <f t="shared" si="23"/>
      </c>
      <c r="AB175" s="296">
        <f t="shared" si="165"/>
      </c>
      <c r="AC175" s="295">
        <f t="shared" si="2"/>
      </c>
      <c r="AD175" s="295">
        <f t="shared" si="25"/>
      </c>
      <c r="AE175" s="295">
        <f t="shared" si="10"/>
      </c>
      <c r="AF175" s="295">
        <f t="shared" ref="AF175:AF176" si="179">R175/AO177</f>
      </c>
      <c r="AG175" s="295">
        <f t="shared" si="6"/>
      </c>
      <c r="AH175" s="295">
        <f t="shared" si="8"/>
      </c>
      <c r="AI175" s="343">
        <f t="shared" si="4"/>
      </c>
      <c r="AJ175" s="294">
        <v>55</v>
      </c>
      <c r="AK175" s="290">
        <v>8995</v>
      </c>
      <c r="AL175" s="290">
        <v>225</v>
      </c>
      <c r="AM175" s="290">
        <v>249</v>
      </c>
      <c r="AN175" s="290">
        <v>65</v>
      </c>
      <c r="AO175" s="330">
        <v>19</v>
      </c>
      <c r="AP175" s="331">
        <v>53</v>
      </c>
      <c r="AQ175" s="330">
        <v>44</v>
      </c>
      <c r="AR175" s="330">
        <v>3</v>
      </c>
      <c r="AS175" s="290">
        <v>6</v>
      </c>
      <c r="AT175" s="290">
        <v>0</v>
      </c>
      <c r="AU175" s="331">
        <v>3</v>
      </c>
      <c r="AW175" s="297"/>
      <c r="AX175" s="342">
        <f t="shared" si="107"/>
      </c>
    </row>
    <row r="176">
      <c r="A176" s="339"/>
      <c r="B176" s="287" t="s">
        <v>267</v>
      </c>
      <c r="C176" s="367" t="s">
        <v>247</v>
      </c>
      <c r="D176" s="287" t="s">
        <v>292</v>
      </c>
      <c r="E176" s="367" t="s">
        <v>258</v>
      </c>
      <c r="F176" s="313">
        <f t="shared" si="65"/>
      </c>
      <c r="G176" s="313">
        <v>992.83</v>
      </c>
      <c r="H176" s="313">
        <v>667.77</v>
      </c>
      <c r="I176" s="293"/>
      <c r="J176" s="293"/>
      <c r="K176" s="293"/>
      <c r="L176" s="293"/>
      <c r="M176" s="293"/>
      <c r="N176" s="294">
        <v>0</v>
      </c>
      <c r="O176" s="295">
        <f t="shared" si="146"/>
      </c>
      <c r="P176" s="294">
        <v>0</v>
      </c>
      <c r="Q176" s="295">
        <f t="shared" si="148"/>
      </c>
      <c r="R176" s="294">
        <v>0</v>
      </c>
      <c r="S176" s="313">
        <v>0</v>
      </c>
      <c r="T176" s="296">
        <f t="shared" si="120"/>
      </c>
      <c r="U176" s="296">
        <f t="shared" si="26"/>
      </c>
      <c r="V176" s="290">
        <f t="shared" si="144"/>
      </c>
      <c r="W176" s="294">
        <v>0</v>
      </c>
      <c r="X176" s="337">
        <f t="shared" si="11"/>
      </c>
      <c r="Y176" s="290">
        <f t="shared" si="75"/>
      </c>
      <c r="Z176" s="354">
        <f t="shared" si="118"/>
      </c>
      <c r="AA176" s="296">
        <f t="shared" si="23"/>
      </c>
      <c r="AB176" s="296">
        <f t="shared" si="165"/>
      </c>
      <c r="AC176" s="295">
        <f t="shared" si="2"/>
      </c>
      <c r="AD176" s="295">
        <f t="shared" si="25"/>
      </c>
      <c r="AE176" s="295">
        <f t="shared" si="10"/>
      </c>
      <c r="AF176" s="295">
        <f t="shared" si="179"/>
      </c>
      <c r="AG176" s="295">
        <f t="shared" si="6"/>
      </c>
      <c r="AH176" s="295">
        <f t="shared" si="8"/>
      </c>
      <c r="AI176" s="343">
        <f t="shared" si="4"/>
      </c>
      <c r="AJ176" s="294">
        <v>57</v>
      </c>
      <c r="AK176" s="290">
        <v>7921</v>
      </c>
      <c r="AL176" s="290">
        <v>179</v>
      </c>
      <c r="AM176" s="290">
        <v>224</v>
      </c>
      <c r="AN176" s="290">
        <v>51</v>
      </c>
      <c r="AO176" s="330">
        <v>11</v>
      </c>
      <c r="AP176" s="331">
        <v>36</v>
      </c>
      <c r="AQ176" s="330">
        <v>37</v>
      </c>
      <c r="AR176" s="330">
        <v>1</v>
      </c>
      <c r="AS176" s="290">
        <v>1</v>
      </c>
      <c r="AT176" s="290">
        <v>2</v>
      </c>
      <c r="AU176" s="331">
        <v>4</v>
      </c>
      <c r="AW176" s="297"/>
      <c r="AX176" s="342">
        <f t="shared" si="107"/>
      </c>
    </row>
    <row r="177">
      <c r="A177" s="339"/>
      <c r="B177" s="299" t="s">
        <v>253</v>
      </c>
      <c r="C177" s="299"/>
      <c r="D177" s="299"/>
      <c r="E177" s="299"/>
      <c r="F177" s="355">
        <f>SUM(F174:F176)</f>
      </c>
      <c r="G177" s="355">
        <f>SUM(G174:G176)</f>
      </c>
      <c r="H177" s="355">
        <f>SUM(H174:H176)</f>
      </c>
      <c r="I177" s="300">
        <f>SUM(I174:I175)</f>
      </c>
      <c r="J177" s="300">
        <f>SUM(J174:J175)</f>
      </c>
      <c r="K177" s="300">
        <f>SUM(K174:K175)</f>
      </c>
      <c r="L177" s="300">
        <f>SUM(L174:L175)</f>
      </c>
      <c r="M177" s="300">
        <f>SUM(M174:M175)</f>
      </c>
      <c r="N177" s="300">
        <f>SUM(N174:N176)</f>
      </c>
      <c r="O177" s="302">
        <f t="shared" si="146"/>
      </c>
      <c r="P177" s="300">
        <f>SUM(P174:P176)</f>
      </c>
      <c r="Q177" s="302">
        <f t="shared" si="148"/>
      </c>
      <c r="R177" s="317">
        <f>SUM(R174:R176)</f>
      </c>
      <c r="S177" s="303">
        <f>SUM(S174:S176)</f>
      </c>
      <c r="T177" s="303">
        <f t="shared" si="120"/>
      </c>
      <c r="U177" s="303">
        <f t="shared" si="26"/>
      </c>
      <c r="V177" s="300">
        <f t="shared" si="144"/>
      </c>
      <c r="W177" s="300">
        <f>SUM(W174:W176)</f>
      </c>
      <c r="X177" s="300">
        <f t="shared" si="11"/>
      </c>
      <c r="Y177" s="300">
        <f t="shared" si="75"/>
      </c>
      <c r="Z177" s="356">
        <f t="shared" si="118"/>
      </c>
      <c r="AA177" s="323">
        <f t="shared" si="23"/>
      </c>
      <c r="AB177" s="336">
        <f t="shared" si="165"/>
      </c>
      <c r="AC177" s="326">
        <f t="shared" si="2"/>
      </c>
      <c r="AD177" s="326">
        <f t="shared" si="25"/>
      </c>
      <c r="AE177" s="326">
        <f t="shared" si="10"/>
      </c>
      <c r="AF177" s="326">
        <f>R177/AU365</f>
      </c>
      <c r="AG177" s="326">
        <f t="shared" si="6"/>
      </c>
      <c r="AH177" s="326">
        <f t="shared" si="8"/>
      </c>
      <c r="AI177" s="326">
        <f t="shared" si="4"/>
      </c>
      <c r="AJ177" s="317">
        <f>AVERAGE(AJ174:AJ176)</f>
      </c>
      <c r="AK177" s="300">
        <f>SUM(AK174:AK176)</f>
      </c>
      <c r="AL177" s="300">
        <f>SUM(AL174:AL176)</f>
      </c>
      <c r="AM177" s="300">
        <f>SUM(AM174:AM176)</f>
      </c>
      <c r="AN177" s="300">
        <f>SUM(AN174:AN176)</f>
      </c>
      <c r="AO177" s="300">
        <f>SUM(AO174:AO176)</f>
      </c>
      <c r="AP177" s="300">
        <f>SUM(AP174:AP176)</f>
      </c>
      <c r="AQ177" s="300">
        <f>SUM(AQ174:AQ176)</f>
      </c>
      <c r="AR177" s="300">
        <f>SUM(AR174:AR176)</f>
      </c>
      <c r="AS177" s="300">
        <f>SUM(AS174:AS176)</f>
      </c>
      <c r="AT177" s="300">
        <f>SUM(AT174:AT176)</f>
      </c>
      <c r="AU177" s="300">
        <f>SUM(AU174:AU176)</f>
      </c>
      <c r="AW177" s="305"/>
      <c r="AX177" s="300">
        <f>SUM(AX174:AX176)</f>
      </c>
    </row>
    <row r="178">
      <c r="A178" s="339"/>
      <c r="B178" s="307" t="s">
        <v>254</v>
      </c>
      <c r="C178" s="307"/>
      <c r="D178" s="307"/>
      <c r="E178" s="307"/>
      <c r="F178" s="309">
        <f>F173+F177</f>
      </c>
      <c r="G178" s="309">
        <f>G173+G177</f>
      </c>
      <c r="H178" s="309">
        <f>H173+H177</f>
      </c>
      <c r="I178" s="307">
        <f>I173+I177</f>
      </c>
      <c r="J178" s="307">
        <f>J173+J177</f>
      </c>
      <c r="K178" s="307">
        <f>K173+K177</f>
      </c>
      <c r="L178" s="307">
        <f>L173+L177</f>
      </c>
      <c r="M178" s="307">
        <f>M173+M177</f>
      </c>
      <c r="N178" s="307">
        <f>N173+N177</f>
      </c>
      <c r="O178" s="308">
        <f t="shared" si="146"/>
      </c>
      <c r="P178" s="307">
        <f>P173+P177</f>
      </c>
      <c r="Q178" s="308">
        <f t="shared" si="148"/>
      </c>
      <c r="R178" s="307">
        <f>R173+R177</f>
      </c>
      <c r="S178" s="309">
        <f>S173+S177</f>
      </c>
      <c r="T178" s="309">
        <f t="shared" si="120"/>
      </c>
      <c r="U178" s="309">
        <f t="shared" si="26"/>
      </c>
      <c r="V178" s="307">
        <f t="shared" si="144"/>
      </c>
      <c r="W178" s="307">
        <f>W173+W177</f>
      </c>
      <c r="X178" s="369">
        <f t="shared" si="11"/>
      </c>
      <c r="Y178" s="307">
        <f t="shared" si="75"/>
      </c>
      <c r="Z178" s="357">
        <f t="shared" si="118"/>
      </c>
      <c r="AA178" s="309">
        <f t="shared" si="23"/>
      </c>
      <c r="AB178" s="309">
        <f>AB177+AB173</f>
      </c>
      <c r="AC178" s="308">
        <f t="shared" si="2"/>
      </c>
      <c r="AD178" s="308">
        <f t="shared" si="25"/>
      </c>
      <c r="AE178" s="308">
        <f t="shared" si="10"/>
      </c>
      <c r="AF178" s="308">
        <f>R178/AU177:AU176</f>
      </c>
      <c r="AG178" s="308">
        <f t="shared" si="6"/>
      </c>
      <c r="AH178" s="308">
        <f t="shared" si="8"/>
      </c>
      <c r="AI178" s="308">
        <f t="shared" si="4"/>
      </c>
      <c r="AJ178" s="329">
        <f>(AJ173+AJ177)/2</f>
      </c>
      <c r="AK178" s="307">
        <f>AK173+AK177</f>
      </c>
      <c r="AL178" s="335">
        <f>AL173+AL177</f>
      </c>
      <c r="AM178" s="335">
        <f>AM173+AM177</f>
      </c>
      <c r="AN178" s="335">
        <f>AN173+AN177</f>
      </c>
      <c r="AO178" s="335">
        <f>AO173+AO177</f>
      </c>
      <c r="AP178" s="335">
        <f>AP173+AP177</f>
      </c>
      <c r="AQ178" s="335">
        <f>AQ173+AQ177</f>
      </c>
      <c r="AR178" s="335">
        <f>AR173+AR177</f>
      </c>
      <c r="AS178" s="335">
        <f>AS173+AS177</f>
      </c>
      <c r="AT178" s="335">
        <f>AT173+AT177</f>
      </c>
      <c r="AU178" s="307">
        <f>AU173+AU177</f>
      </c>
      <c r="AW178" s="349">
        <f>AW173+AW177</f>
      </c>
      <c r="AX178" s="307">
        <f>AX173+AX177</f>
      </c>
    </row>
    <row r="179">
      <c r="A179" s="339" t="s">
        <v>293</v>
      </c>
      <c r="B179" s="287" t="s">
        <v>267</v>
      </c>
      <c r="C179" s="287" t="s">
        <v>247</v>
      </c>
      <c r="D179" s="287" t="s">
        <v>256</v>
      </c>
      <c r="E179" s="288" t="s">
        <v>249</v>
      </c>
      <c r="F179" s="314">
        <f t="shared" ref="F179:F181" si="66">G179+H179+I179</f>
      </c>
      <c r="G179" s="313">
        <v>935.82</v>
      </c>
      <c r="H179" s="313">
        <v>982.48</v>
      </c>
      <c r="I179" s="291"/>
      <c r="J179" s="291"/>
      <c r="K179" s="291"/>
      <c r="L179" s="293"/>
      <c r="M179" s="293"/>
      <c r="N179" s="294">
        <v>0</v>
      </c>
      <c r="O179" s="295">
        <f t="shared" si="146"/>
      </c>
      <c r="P179" s="294">
        <v>0</v>
      </c>
      <c r="Q179" s="295">
        <f t="shared" si="148"/>
      </c>
      <c r="R179" s="371">
        <v>0</v>
      </c>
      <c r="S179" s="366">
        <v>0</v>
      </c>
      <c r="T179" s="296">
        <f t="shared" si="120"/>
      </c>
      <c r="U179" s="296">
        <f t="shared" si="26"/>
      </c>
      <c r="V179" s="290">
        <f t="shared" si="144"/>
      </c>
      <c r="W179" s="294">
        <v>0</v>
      </c>
      <c r="X179" s="290">
        <f t="shared" si="11"/>
      </c>
      <c r="Y179" s="290">
        <f t="shared" si="75"/>
      </c>
      <c r="Z179" s="354">
        <f t="shared" si="118"/>
      </c>
      <c r="AA179" s="296">
        <f t="shared" si="23"/>
      </c>
      <c r="AB179" s="296">
        <f t="shared" ref="AB179:AB186" si="166">F179/AN179</f>
      </c>
      <c r="AC179" s="295">
        <f t="shared" si="2"/>
      </c>
      <c r="AD179" s="295">
        <f t="shared" si="25"/>
      </c>
      <c r="AE179" s="295">
        <f t="shared" si="10"/>
      </c>
      <c r="AF179" s="295">
        <f t="shared" ref="AF179:AF181" si="138">R179/AO179</f>
      </c>
      <c r="AG179" s="295">
        <f t="shared" si="6"/>
      </c>
      <c r="AH179" s="295">
        <f t="shared" si="8"/>
      </c>
      <c r="AI179" s="359">
        <f t="shared" si="4"/>
      </c>
      <c r="AJ179" s="294">
        <v>33</v>
      </c>
      <c r="AK179" s="290">
        <v>7099</v>
      </c>
      <c r="AL179" s="290">
        <v>182</v>
      </c>
      <c r="AM179" s="290">
        <v>253</v>
      </c>
      <c r="AN179" s="294">
        <v>36</v>
      </c>
      <c r="AO179" s="330">
        <v>12</v>
      </c>
      <c r="AP179" s="360">
        <v>24</v>
      </c>
      <c r="AQ179" s="360">
        <v>32</v>
      </c>
      <c r="AR179" s="330">
        <v>0</v>
      </c>
      <c r="AS179" s="330">
        <v>1</v>
      </c>
      <c r="AT179" s="294">
        <v>0</v>
      </c>
      <c r="AU179" s="294">
        <v>4</v>
      </c>
      <c r="AW179" s="297"/>
      <c r="AX179" s="342">
        <f t="shared" ref="AX179:AX181" si="108">COUNT(AU179)</f>
      </c>
    </row>
    <row r="180">
      <c r="A180" s="339"/>
      <c r="B180" s="287" t="s">
        <v>267</v>
      </c>
      <c r="C180" s="287" t="s">
        <v>247</v>
      </c>
      <c r="D180" s="287" t="s">
        <v>256</v>
      </c>
      <c r="E180" s="288" t="s">
        <v>250</v>
      </c>
      <c r="F180" s="314">
        <f t="shared" si="66"/>
      </c>
      <c r="G180" s="313">
        <v>939.04</v>
      </c>
      <c r="H180" s="313">
        <v>915.46</v>
      </c>
      <c r="I180" s="293"/>
      <c r="J180" s="293"/>
      <c r="K180" s="293"/>
      <c r="L180" s="293"/>
      <c r="M180" s="293"/>
      <c r="N180" s="294">
        <v>0</v>
      </c>
      <c r="O180" s="295">
        <f t="shared" si="146"/>
      </c>
      <c r="P180" s="294">
        <v>0</v>
      </c>
      <c r="Q180" s="295">
        <f t="shared" si="148"/>
      </c>
      <c r="R180" s="294">
        <v>0</v>
      </c>
      <c r="S180" s="313">
        <v>0</v>
      </c>
      <c r="T180" s="296">
        <f t="shared" si="120"/>
      </c>
      <c r="U180" s="296">
        <f t="shared" si="26"/>
      </c>
      <c r="V180" s="290">
        <f t="shared" si="144"/>
      </c>
      <c r="W180" s="294">
        <v>0</v>
      </c>
      <c r="X180" s="290">
        <f t="shared" si="11"/>
      </c>
      <c r="Y180" s="290">
        <f t="shared" si="75"/>
      </c>
      <c r="Z180" s="354">
        <f t="shared" si="118"/>
      </c>
      <c r="AA180" s="296">
        <f t="shared" si="23"/>
      </c>
      <c r="AB180" s="296">
        <f t="shared" si="166"/>
      </c>
      <c r="AC180" s="295">
        <f t="shared" si="2"/>
      </c>
      <c r="AD180" s="295">
        <f t="shared" si="25"/>
      </c>
      <c r="AE180" s="295">
        <f t="shared" si="10"/>
      </c>
      <c r="AF180" s="295">
        <f t="shared" si="138"/>
      </c>
      <c r="AG180" s="295">
        <f t="shared" si="6"/>
      </c>
      <c r="AH180" s="343">
        <f t="shared" si="8"/>
      </c>
      <c r="AI180" s="343">
        <f t="shared" si="4"/>
      </c>
      <c r="AJ180" s="294">
        <v>43</v>
      </c>
      <c r="AK180" s="290">
        <v>5854</v>
      </c>
      <c r="AL180" s="290">
        <v>191</v>
      </c>
      <c r="AM180" s="290">
        <v>268</v>
      </c>
      <c r="AN180" s="290">
        <v>31</v>
      </c>
      <c r="AO180" s="330">
        <v>11</v>
      </c>
      <c r="AP180" s="331">
        <v>29</v>
      </c>
      <c r="AQ180" s="330">
        <v>25</v>
      </c>
      <c r="AR180" s="330">
        <v>1</v>
      </c>
      <c r="AS180" s="290">
        <v>3</v>
      </c>
      <c r="AT180" s="290">
        <v>0</v>
      </c>
      <c r="AU180" s="331">
        <v>2</v>
      </c>
      <c r="AW180" s="297"/>
      <c r="AX180" s="342">
        <f t="shared" si="108"/>
      </c>
    </row>
    <row r="181">
      <c r="A181" s="339"/>
      <c r="B181" s="287" t="s">
        <v>267</v>
      </c>
      <c r="C181" s="287" t="s">
        <v>247</v>
      </c>
      <c r="D181" s="287" t="s">
        <v>256</v>
      </c>
      <c r="E181" s="288" t="s">
        <v>251</v>
      </c>
      <c r="F181" s="314">
        <f t="shared" si="66"/>
      </c>
      <c r="G181" s="313">
        <v>811.9</v>
      </c>
      <c r="H181" s="313">
        <v>843.63</v>
      </c>
      <c r="I181" s="293"/>
      <c r="J181" s="293"/>
      <c r="K181" s="293"/>
      <c r="L181" s="293"/>
      <c r="M181" s="293"/>
      <c r="N181" s="294">
        <v>0</v>
      </c>
      <c r="O181" s="295">
        <f t="shared" si="146"/>
      </c>
      <c r="P181" s="294">
        <v>0</v>
      </c>
      <c r="Q181" s="295">
        <f t="shared" si="148"/>
      </c>
      <c r="R181" s="294">
        <v>0</v>
      </c>
      <c r="S181" s="313">
        <v>0</v>
      </c>
      <c r="T181" s="296">
        <f t="shared" si="120"/>
      </c>
      <c r="U181" s="296">
        <f t="shared" si="26"/>
      </c>
      <c r="V181" s="337">
        <f t="shared" si="144"/>
      </c>
      <c r="W181" s="294">
        <v>0</v>
      </c>
      <c r="X181" s="290">
        <f t="shared" si="11"/>
      </c>
      <c r="Y181" s="290">
        <f t="shared" si="75"/>
      </c>
      <c r="Z181" s="354">
        <f t="shared" si="118"/>
      </c>
      <c r="AA181" s="296">
        <f t="shared" si="23"/>
      </c>
      <c r="AB181" s="296">
        <f t="shared" si="166"/>
      </c>
      <c r="AC181" s="295">
        <f t="shared" si="2"/>
      </c>
      <c r="AD181" s="295">
        <f t="shared" si="25"/>
      </c>
      <c r="AE181" s="295">
        <f t="shared" si="10"/>
      </c>
      <c r="AF181" s="295">
        <f t="shared" si="138"/>
      </c>
      <c r="AG181" s="295">
        <f t="shared" si="6"/>
      </c>
      <c r="AH181" s="295">
        <f t="shared" si="8"/>
      </c>
      <c r="AI181" s="361">
        <f t="shared" si="4"/>
      </c>
      <c r="AJ181" s="294">
        <v>45</v>
      </c>
      <c r="AK181" s="290">
        <v>5218</v>
      </c>
      <c r="AL181" s="290">
        <v>178</v>
      </c>
      <c r="AM181" s="290">
        <v>228</v>
      </c>
      <c r="AN181" s="290">
        <v>40</v>
      </c>
      <c r="AO181" s="330">
        <v>11</v>
      </c>
      <c r="AP181" s="331">
        <v>23</v>
      </c>
      <c r="AQ181" s="330">
        <v>25</v>
      </c>
      <c r="AR181" s="330">
        <v>0</v>
      </c>
      <c r="AS181" s="294">
        <v>2</v>
      </c>
      <c r="AT181" s="294">
        <v>0</v>
      </c>
      <c r="AU181" s="331">
        <v>2</v>
      </c>
      <c r="AW181" s="297"/>
      <c r="AX181" s="342">
        <f t="shared" si="108"/>
      </c>
    </row>
    <row r="182">
      <c r="A182" s="339"/>
      <c r="B182" s="299" t="s">
        <v>253</v>
      </c>
      <c r="C182" s="299"/>
      <c r="D182" s="299"/>
      <c r="E182" s="299"/>
      <c r="F182" s="355">
        <f>SUM(F179:F181)</f>
      </c>
      <c r="G182" s="303">
        <f>SUM(G179:G181)</f>
      </c>
      <c r="H182" s="303">
        <f>SUM(H179:H181)</f>
      </c>
      <c r="I182" s="300">
        <f>SUM(I179:I181)</f>
      </c>
      <c r="J182" s="300">
        <f>SUM(J179:J181)</f>
      </c>
      <c r="K182" s="300">
        <f>SUM(K179:K181)</f>
      </c>
      <c r="L182" s="300">
        <f>SUM(L179:L181)</f>
      </c>
      <c r="M182" s="300">
        <f>SUM(M179:M181)</f>
      </c>
      <c r="N182" s="300">
        <f>SUM(N179:N181)</f>
      </c>
      <c r="O182" s="302">
        <f t="shared" si="146"/>
      </c>
      <c r="P182" s="300">
        <f>SUM(P179:P181)</f>
      </c>
      <c r="Q182" s="302">
        <f t="shared" si="148"/>
      </c>
      <c r="R182" s="300">
        <f>SUM(R179:R181)</f>
      </c>
      <c r="S182" s="303">
        <f>SUM(S179:S181)</f>
      </c>
      <c r="T182" s="303">
        <f t="shared" si="120"/>
      </c>
      <c r="U182" s="303">
        <f t="shared" si="26"/>
      </c>
      <c r="V182" s="300">
        <f t="shared" si="144"/>
      </c>
      <c r="W182" s="300">
        <f>SUM(W179:W181)</f>
      </c>
      <c r="X182" s="300">
        <f t="shared" si="11"/>
      </c>
      <c r="Y182" s="300">
        <f t="shared" si="75"/>
      </c>
      <c r="Z182" s="355">
        <f t="shared" si="118"/>
      </c>
      <c r="AA182" s="303">
        <f t="shared" si="23"/>
      </c>
      <c r="AB182" s="336">
        <f t="shared" si="166"/>
      </c>
      <c r="AC182" s="302">
        <f t="shared" si="2"/>
      </c>
      <c r="AD182" s="302">
        <f t="shared" si="25"/>
      </c>
      <c r="AE182" s="302">
        <f t="shared" si="10"/>
      </c>
      <c r="AF182" s="302">
        <f>R182/AO187</f>
      </c>
      <c r="AG182" s="302">
        <f t="shared" si="6"/>
      </c>
      <c r="AH182" s="302">
        <f t="shared" si="8"/>
      </c>
      <c r="AI182" s="363">
        <f t="shared" si="4"/>
      </c>
      <c r="AJ182" s="317">
        <f>AVERAGE(AJ179:AJ181)</f>
      </c>
      <c r="AK182" s="300">
        <f>SUM(AK179:AK181)</f>
      </c>
      <c r="AL182" s="300">
        <f>SUM(AL179:AL181)</f>
      </c>
      <c r="AM182" s="300">
        <f>SUM(AM179:AM181)</f>
      </c>
      <c r="AN182" s="300">
        <f>SUM(AN179:AN181)</f>
      </c>
      <c r="AO182" s="300">
        <f>SUM(AO179:AO181)</f>
      </c>
      <c r="AP182" s="333">
        <f>SUM(AP179:AP181)</f>
      </c>
      <c r="AQ182" s="300">
        <f>SUM(AQ179:AQ181)</f>
      </c>
      <c r="AR182" s="300">
        <f>SUM(AR179:AR181)</f>
      </c>
      <c r="AS182" s="300">
        <f>SUM(AS179:AS181)</f>
      </c>
      <c r="AT182" s="300">
        <f>SUM(AT179:AT181)</f>
      </c>
      <c r="AU182" s="333">
        <f>SUM(AU179:AU181)</f>
      </c>
      <c r="AW182" s="305"/>
      <c r="AX182" s="300">
        <f>SUM(AX179:AX181)</f>
      </c>
    </row>
    <row r="183">
      <c r="A183" s="339"/>
      <c r="B183" s="287" t="s">
        <v>267</v>
      </c>
      <c r="C183" s="287" t="s">
        <v>247</v>
      </c>
      <c r="D183" s="287" t="s">
        <v>292</v>
      </c>
      <c r="E183" s="288" t="s">
        <v>252</v>
      </c>
      <c r="F183" s="314">
        <f t="shared" ref="F183:F185" si="67">G183+H183+I183</f>
      </c>
      <c r="G183" s="313">
        <v>923.92</v>
      </c>
      <c r="H183" s="313">
        <v>1171.24</v>
      </c>
      <c r="I183" s="293"/>
      <c r="J183" s="293"/>
      <c r="K183" s="293"/>
      <c r="L183" s="293"/>
      <c r="M183" s="293"/>
      <c r="N183" s="294">
        <v>0</v>
      </c>
      <c r="O183" s="295">
        <f t="shared" si="146"/>
      </c>
      <c r="P183" s="294">
        <v>0</v>
      </c>
      <c r="Q183" s="295">
        <f t="shared" si="148"/>
      </c>
      <c r="R183" s="294">
        <v>1</v>
      </c>
      <c r="S183" s="313">
        <v>1430.7</v>
      </c>
      <c r="T183" s="296">
        <f t="shared" si="120"/>
      </c>
      <c r="U183" s="296">
        <f t="shared" si="26"/>
      </c>
      <c r="V183" s="290">
        <f t="shared" si="144"/>
      </c>
      <c r="W183" s="294">
        <v>1</v>
      </c>
      <c r="X183" s="337">
        <f t="shared" si="11"/>
      </c>
      <c r="Y183" s="290">
        <f t="shared" si="75"/>
      </c>
      <c r="Z183" s="354">
        <f t="shared" si="118"/>
      </c>
      <c r="AA183" s="296">
        <f t="shared" si="23"/>
      </c>
      <c r="AB183" s="296">
        <f t="shared" si="166"/>
      </c>
      <c r="AC183" s="295">
        <f t="shared" si="2"/>
      </c>
      <c r="AD183" s="295">
        <f t="shared" si="25"/>
      </c>
      <c r="AE183" s="295">
        <f t="shared" si="10"/>
      </c>
      <c r="AF183" s="295">
        <f>R183/AE182:AC180</f>
      </c>
      <c r="AG183" s="295">
        <f t="shared" si="6"/>
      </c>
      <c r="AH183" s="295">
        <f t="shared" si="8"/>
      </c>
      <c r="AI183" s="343">
        <f t="shared" si="4"/>
      </c>
      <c r="AJ183" s="294">
        <v>52</v>
      </c>
      <c r="AK183" s="290">
        <v>5182</v>
      </c>
      <c r="AL183" s="290">
        <v>154</v>
      </c>
      <c r="AM183" s="290">
        <v>213</v>
      </c>
      <c r="AN183" s="290">
        <v>33</v>
      </c>
      <c r="AO183" s="330">
        <v>15</v>
      </c>
      <c r="AP183" s="331">
        <v>40</v>
      </c>
      <c r="AQ183" s="330">
        <v>35</v>
      </c>
      <c r="AR183" s="330">
        <v>1</v>
      </c>
      <c r="AS183" s="290">
        <v>2</v>
      </c>
      <c r="AT183" s="290">
        <v>2</v>
      </c>
      <c r="AU183" s="331">
        <v>5</v>
      </c>
      <c r="AW183" s="297"/>
      <c r="AX183" s="342">
        <f t="shared" ref="AX183:AX185" si="109">COUNT(AU183)</f>
      </c>
    </row>
    <row r="184">
      <c r="A184" s="339"/>
      <c r="B184" s="287" t="s">
        <v>267</v>
      </c>
      <c r="C184" s="287" t="s">
        <v>247</v>
      </c>
      <c r="D184" s="287" t="s">
        <v>292</v>
      </c>
      <c r="E184" s="287" t="s">
        <v>257</v>
      </c>
      <c r="F184" s="314">
        <f t="shared" si="67"/>
      </c>
      <c r="G184" s="313">
        <v>767.52</v>
      </c>
      <c r="H184" s="313">
        <v>1431.63</v>
      </c>
      <c r="I184" s="293"/>
      <c r="J184" s="293"/>
      <c r="K184" s="293"/>
      <c r="L184" s="293"/>
      <c r="M184" s="293"/>
      <c r="N184" s="294">
        <v>0</v>
      </c>
      <c r="O184" s="295">
        <f t="shared" si="146"/>
      </c>
      <c r="P184" s="294">
        <v>0</v>
      </c>
      <c r="Q184" s="295">
        <f t="shared" si="148"/>
      </c>
      <c r="R184" s="294">
        <v>1</v>
      </c>
      <c r="S184" s="313">
        <v>2985.48</v>
      </c>
      <c r="T184" s="296">
        <f t="shared" si="120"/>
      </c>
      <c r="U184" s="296">
        <f t="shared" si="26"/>
      </c>
      <c r="V184" s="290">
        <f t="shared" si="144"/>
      </c>
      <c r="W184" s="294">
        <v>1</v>
      </c>
      <c r="X184" s="337">
        <f t="shared" si="11"/>
      </c>
      <c r="Y184" s="290">
        <f t="shared" si="75"/>
      </c>
      <c r="Z184" s="354">
        <f t="shared" si="118"/>
      </c>
      <c r="AA184" s="296">
        <f t="shared" si="23"/>
      </c>
      <c r="AB184" s="296">
        <f t="shared" si="166"/>
      </c>
      <c r="AC184" s="295">
        <f t="shared" si="2"/>
      </c>
      <c r="AD184" s="295">
        <f t="shared" si="25"/>
      </c>
      <c r="AE184" s="295">
        <f t="shared" si="10"/>
      </c>
      <c r="AF184" s="295">
        <f t="shared" ref="AF184:AF185" si="180">R184/AO186</f>
      </c>
      <c r="AG184" s="295">
        <f t="shared" si="6"/>
      </c>
      <c r="AH184" s="295">
        <f t="shared" si="8"/>
      </c>
      <c r="AI184" s="343">
        <f t="shared" si="4"/>
      </c>
      <c r="AJ184" s="294">
        <v>52</v>
      </c>
      <c r="AK184" s="290">
        <v>6564</v>
      </c>
      <c r="AL184" s="290">
        <v>288</v>
      </c>
      <c r="AM184" s="290">
        <v>330</v>
      </c>
      <c r="AN184" s="290">
        <v>48</v>
      </c>
      <c r="AO184" s="330">
        <v>16</v>
      </c>
      <c r="AP184" s="331">
        <v>28</v>
      </c>
      <c r="AQ184" s="330">
        <v>48</v>
      </c>
      <c r="AR184" s="330">
        <v>1</v>
      </c>
      <c r="AS184" s="290">
        <v>2</v>
      </c>
      <c r="AT184" s="290">
        <v>1</v>
      </c>
      <c r="AU184" s="331">
        <v>4</v>
      </c>
      <c r="AW184" s="297"/>
      <c r="AX184" s="342">
        <f t="shared" si="109"/>
      </c>
    </row>
    <row r="185">
      <c r="A185" s="339"/>
      <c r="B185" s="287" t="s">
        <v>267</v>
      </c>
      <c r="C185" s="367" t="s">
        <v>247</v>
      </c>
      <c r="D185" s="287" t="s">
        <v>292</v>
      </c>
      <c r="E185" s="367" t="s">
        <v>258</v>
      </c>
      <c r="F185" s="313">
        <f t="shared" si="67"/>
      </c>
      <c r="G185" s="313">
        <v>429.83</v>
      </c>
      <c r="H185" s="313">
        <v>902.1</v>
      </c>
      <c r="I185" s="293"/>
      <c r="J185" s="293"/>
      <c r="K185" s="293"/>
      <c r="L185" s="293"/>
      <c r="M185" s="293"/>
      <c r="N185" s="294">
        <v>0</v>
      </c>
      <c r="O185" s="295">
        <f t="shared" si="146"/>
      </c>
      <c r="P185" s="294">
        <v>1</v>
      </c>
      <c r="Q185" s="295">
        <f t="shared" si="148"/>
      </c>
      <c r="R185" s="294">
        <v>2</v>
      </c>
      <c r="S185" s="313">
        <v>3160</v>
      </c>
      <c r="T185" s="296">
        <f t="shared" si="120"/>
      </c>
      <c r="U185" s="296">
        <f t="shared" si="26"/>
      </c>
      <c r="V185" s="290">
        <f t="shared" si="144"/>
      </c>
      <c r="W185" s="294">
        <v>1</v>
      </c>
      <c r="X185" s="337">
        <f t="shared" si="11"/>
      </c>
      <c r="Y185" s="290">
        <f t="shared" si="75"/>
      </c>
      <c r="Z185" s="354">
        <f t="shared" si="118"/>
      </c>
      <c r="AA185" s="296">
        <f t="shared" si="23"/>
      </c>
      <c r="AB185" s="296">
        <f t="shared" si="166"/>
      </c>
      <c r="AC185" s="295">
        <f t="shared" si="2"/>
      </c>
      <c r="AD185" s="295">
        <f t="shared" si="25"/>
      </c>
      <c r="AE185" s="295">
        <f t="shared" si="10"/>
      </c>
      <c r="AF185" s="295">
        <f t="shared" si="180"/>
      </c>
      <c r="AG185" s="295">
        <f t="shared" si="6"/>
      </c>
      <c r="AH185" s="295">
        <f t="shared" si="8"/>
      </c>
      <c r="AI185" s="343">
        <f t="shared" si="4"/>
      </c>
      <c r="AJ185" s="294">
        <v>58</v>
      </c>
      <c r="AK185" s="290">
        <v>3969</v>
      </c>
      <c r="AL185" s="290">
        <v>167</v>
      </c>
      <c r="AM185" s="290">
        <v>202</v>
      </c>
      <c r="AN185" s="290">
        <v>41</v>
      </c>
      <c r="AO185" s="330">
        <v>15</v>
      </c>
      <c r="AP185" s="331">
        <v>44</v>
      </c>
      <c r="AQ185" s="330">
        <v>38</v>
      </c>
      <c r="AR185" s="330">
        <v>2</v>
      </c>
      <c r="AS185" s="290">
        <v>3</v>
      </c>
      <c r="AT185" s="290">
        <v>1</v>
      </c>
      <c r="AU185" s="331">
        <v>4</v>
      </c>
      <c r="AW185" s="297"/>
      <c r="AX185" s="342">
        <f t="shared" si="109"/>
      </c>
    </row>
    <row r="186">
      <c r="A186" s="339"/>
      <c r="B186" s="299" t="s">
        <v>253</v>
      </c>
      <c r="C186" s="299"/>
      <c r="D186" s="299"/>
      <c r="E186" s="299"/>
      <c r="F186" s="355">
        <f>SUM(F183:F185)</f>
      </c>
      <c r="G186" s="355">
        <f>SUM(G183:G185)</f>
      </c>
      <c r="H186" s="355">
        <f>SUM(H183:H185)</f>
      </c>
      <c r="I186" s="300">
        <f>SUM(I183:I184)</f>
      </c>
      <c r="J186" s="300">
        <f>SUM(J183:J184)</f>
      </c>
      <c r="K186" s="300">
        <f>SUM(K183:K184)</f>
      </c>
      <c r="L186" s="300">
        <f>SUM(L183:L184)</f>
      </c>
      <c r="M186" s="300">
        <f>SUM(M183:M184)</f>
      </c>
      <c r="N186" s="300">
        <f>SUM(N183:N185)</f>
      </c>
      <c r="O186" s="302">
        <f t="shared" si="146"/>
      </c>
      <c r="P186" s="300">
        <f>SUM(P183:P185)</f>
      </c>
      <c r="Q186" s="302">
        <f t="shared" si="148"/>
      </c>
      <c r="R186" s="317">
        <f>SUM(R183:R185)</f>
      </c>
      <c r="S186" s="303">
        <f>SUM(S183:S185)</f>
      </c>
      <c r="T186" s="303">
        <f t="shared" si="120"/>
      </c>
      <c r="U186" s="303">
        <f t="shared" si="26"/>
      </c>
      <c r="V186" s="300">
        <f t="shared" si="144"/>
      </c>
      <c r="W186" s="300">
        <f>SUM(W183:W185)</f>
      </c>
      <c r="X186" s="300">
        <f t="shared" si="11"/>
      </c>
      <c r="Y186" s="300">
        <f t="shared" si="75"/>
      </c>
      <c r="Z186" s="356">
        <f t="shared" si="118"/>
      </c>
      <c r="AA186" s="323">
        <f t="shared" si="23"/>
      </c>
      <c r="AB186" s="336">
        <f t="shared" si="166"/>
      </c>
      <c r="AC186" s="326">
        <f t="shared" si="2"/>
      </c>
      <c r="AD186" s="326">
        <f t="shared" si="25"/>
      </c>
      <c r="AE186" s="326">
        <f t="shared" si="10"/>
      </c>
      <c r="AF186" s="326">
        <f>R186/AU377</f>
      </c>
      <c r="AG186" s="326">
        <f t="shared" si="6"/>
      </c>
      <c r="AH186" s="326">
        <f t="shared" si="8"/>
      </c>
      <c r="AI186" s="326">
        <f t="shared" si="4"/>
      </c>
      <c r="AJ186" s="317">
        <f>AVERAGE(AJ183:AJ185)</f>
      </c>
      <c r="AK186" s="300">
        <f>SUM(AK183:AK185)</f>
      </c>
      <c r="AL186" s="300">
        <f>SUM(AL183:AL185)</f>
      </c>
      <c r="AM186" s="300">
        <f>SUM(AM183:AM185)</f>
      </c>
      <c r="AN186" s="300">
        <f>SUM(AN183:AN185)</f>
      </c>
      <c r="AO186" s="300">
        <f>SUM(AO183:AO185)</f>
      </c>
      <c r="AP186" s="300">
        <f>SUM(AP183:AP185)</f>
      </c>
      <c r="AQ186" s="300">
        <f>SUM(AQ183:AQ185)</f>
      </c>
      <c r="AR186" s="300">
        <f>SUM(AR183:AR185)</f>
      </c>
      <c r="AS186" s="300">
        <f>SUM(AS183:AS185)</f>
      </c>
      <c r="AT186" s="300">
        <f>SUM(AT183:AT185)</f>
      </c>
      <c r="AU186" s="300">
        <f>SUM(AU183:AU185)</f>
      </c>
      <c r="AW186" s="305"/>
      <c r="AX186" s="300">
        <f>SUM(AX183:AX185)</f>
      </c>
    </row>
    <row r="187">
      <c r="A187" s="339"/>
      <c r="B187" s="307" t="s">
        <v>254</v>
      </c>
      <c r="C187" s="307"/>
      <c r="D187" s="307"/>
      <c r="E187" s="307"/>
      <c r="F187" s="309">
        <f>F182+F186</f>
      </c>
      <c r="G187" s="309">
        <f>G182+G186</f>
      </c>
      <c r="H187" s="309">
        <f>H182+H186</f>
      </c>
      <c r="I187" s="307">
        <f>I182+I186</f>
      </c>
      <c r="J187" s="307">
        <f>J182+J186</f>
      </c>
      <c r="K187" s="307">
        <f>K182+K186</f>
      </c>
      <c r="L187" s="307">
        <f>L182+L186</f>
      </c>
      <c r="M187" s="307">
        <f>M182+M186</f>
      </c>
      <c r="N187" s="307">
        <f>N182+N186</f>
      </c>
      <c r="O187" s="308">
        <f t="shared" si="146"/>
      </c>
      <c r="P187" s="307">
        <f>P182+P186</f>
      </c>
      <c r="Q187" s="308">
        <f t="shared" si="148"/>
      </c>
      <c r="R187" s="307">
        <f>R182+R186</f>
      </c>
      <c r="S187" s="309">
        <f>S182+S186</f>
      </c>
      <c r="T187" s="309">
        <f t="shared" si="120"/>
      </c>
      <c r="U187" s="309">
        <f t="shared" si="26"/>
      </c>
      <c r="V187" s="307">
        <f t="shared" si="144"/>
      </c>
      <c r="W187" s="307">
        <f>W182+W186</f>
      </c>
      <c r="X187" s="369">
        <f t="shared" si="11"/>
      </c>
      <c r="Y187" s="307">
        <f t="shared" si="75"/>
      </c>
      <c r="Z187" s="357">
        <f t="shared" si="118"/>
      </c>
      <c r="AA187" s="309">
        <f t="shared" si="23"/>
      </c>
      <c r="AB187" s="309">
        <f>AB186+AB182</f>
      </c>
      <c r="AC187" s="308">
        <f t="shared" si="2"/>
      </c>
      <c r="AD187" s="308">
        <f t="shared" si="25"/>
      </c>
      <c r="AE187" s="308">
        <f t="shared" si="10"/>
      </c>
      <c r="AF187" s="308">
        <f>R187/AU186:AU185</f>
      </c>
      <c r="AG187" s="308">
        <f t="shared" si="6"/>
      </c>
      <c r="AH187" s="308">
        <f t="shared" si="8"/>
      </c>
      <c r="AI187" s="308">
        <f t="shared" si="4"/>
      </c>
      <c r="AJ187" s="329">
        <f>(AJ182+AJ186)/2</f>
      </c>
      <c r="AK187" s="307">
        <f>AK182+AK186</f>
      </c>
      <c r="AL187" s="335">
        <f>AL182+AL186</f>
      </c>
      <c r="AM187" s="335">
        <f>AM182+AM186</f>
      </c>
      <c r="AN187" s="335">
        <f>AN182+AN186</f>
      </c>
      <c r="AO187" s="335">
        <f>AO182+AO186</f>
      </c>
      <c r="AP187" s="335">
        <f>AP182+AP186</f>
      </c>
      <c r="AQ187" s="335">
        <f>AQ182+AQ186</f>
      </c>
      <c r="AR187" s="335">
        <f>AR182+AR186</f>
      </c>
      <c r="AS187" s="335">
        <f>AS182+AS186</f>
      </c>
      <c r="AT187" s="335">
        <f>AT182+AT186</f>
      </c>
      <c r="AU187" s="307">
        <f>AU182+AU186</f>
      </c>
      <c r="AW187" s="349">
        <f>AW182+AW186</f>
      </c>
      <c r="AX187" s="307">
        <f>AX182+AX186</f>
      </c>
    </row>
    <row r="188">
      <c r="A188" s="339" t="s">
        <v>294</v>
      </c>
      <c r="B188" s="287" t="s">
        <v>267</v>
      </c>
      <c r="C188" s="287" t="s">
        <v>247</v>
      </c>
      <c r="D188" s="287" t="s">
        <v>248</v>
      </c>
      <c r="E188" s="288" t="s">
        <v>249</v>
      </c>
      <c r="F188" s="314">
        <f t="shared" ref="F188:F190" si="68">G188+H188+I188</f>
      </c>
      <c r="G188" s="313">
        <v>923.86</v>
      </c>
      <c r="H188" s="313">
        <v>821.88</v>
      </c>
      <c r="I188" s="291"/>
      <c r="J188" s="291"/>
      <c r="K188" s="291"/>
      <c r="L188" s="293"/>
      <c r="M188" s="293"/>
      <c r="N188" s="294">
        <v>0</v>
      </c>
      <c r="O188" s="295">
        <f t="shared" si="146"/>
      </c>
      <c r="P188" s="294">
        <v>1</v>
      </c>
      <c r="Q188" s="295">
        <f t="shared" si="148"/>
      </c>
      <c r="R188" s="371">
        <v>1</v>
      </c>
      <c r="S188" s="366">
        <v>3350.99</v>
      </c>
      <c r="T188" s="296">
        <f t="shared" si="120"/>
      </c>
      <c r="U188" s="296">
        <f t="shared" si="26"/>
      </c>
      <c r="V188" s="290">
        <f t="shared" si="144"/>
      </c>
      <c r="W188" s="294">
        <v>0</v>
      </c>
      <c r="X188" s="290">
        <f t="shared" si="11"/>
      </c>
      <c r="Y188" s="290">
        <f t="shared" si="75"/>
      </c>
      <c r="Z188" s="354">
        <f t="shared" si="118"/>
      </c>
      <c r="AA188" s="296">
        <f t="shared" si="23"/>
      </c>
      <c r="AB188" s="296">
        <f t="shared" ref="AB188:AB194" si="167">F188/AN188</f>
      </c>
      <c r="AC188" s="295">
        <f t="shared" si="2"/>
      </c>
      <c r="AD188" s="295">
        <f t="shared" si="25"/>
      </c>
      <c r="AE188" s="295">
        <f t="shared" si="10"/>
      </c>
      <c r="AF188" s="295">
        <f t="shared" ref="AF188:AF190" si="139">R188/AO188</f>
      </c>
      <c r="AG188" s="295">
        <f t="shared" si="6"/>
      </c>
      <c r="AH188" s="295">
        <f t="shared" si="8"/>
      </c>
      <c r="AI188" s="359">
        <f t="shared" si="4"/>
      </c>
      <c r="AJ188" s="294">
        <v>56</v>
      </c>
      <c r="AK188" s="290">
        <v>4505</v>
      </c>
      <c r="AL188" s="290">
        <v>136</v>
      </c>
      <c r="AM188" s="290">
        <v>151</v>
      </c>
      <c r="AN188" s="294">
        <v>29</v>
      </c>
      <c r="AO188" s="330">
        <v>12</v>
      </c>
      <c r="AP188" s="360">
        <v>33</v>
      </c>
      <c r="AQ188" s="360">
        <v>21</v>
      </c>
      <c r="AR188" s="330">
        <v>1</v>
      </c>
      <c r="AS188" s="330">
        <v>3</v>
      </c>
      <c r="AT188" s="294">
        <v>0</v>
      </c>
      <c r="AU188" s="294">
        <v>0</v>
      </c>
      <c r="AW188" s="297"/>
      <c r="AX188" s="342">
        <f t="shared" ref="AX188:AX190" si="110">COUNT(AU188)</f>
      </c>
    </row>
    <row r="189">
      <c r="A189" s="339"/>
      <c r="B189" s="287" t="s">
        <v>267</v>
      </c>
      <c r="C189" s="287" t="s">
        <v>247</v>
      </c>
      <c r="D189" s="287" t="s">
        <v>248</v>
      </c>
      <c r="E189" s="288" t="s">
        <v>250</v>
      </c>
      <c r="F189" s="314">
        <f t="shared" si="68"/>
      </c>
      <c r="G189" s="313">
        <v>362.39</v>
      </c>
      <c r="H189" s="313">
        <v>804.36</v>
      </c>
      <c r="I189" s="293"/>
      <c r="J189" s="293"/>
      <c r="K189" s="293"/>
      <c r="L189" s="293"/>
      <c r="M189" s="293"/>
      <c r="N189" s="294">
        <v>0</v>
      </c>
      <c r="O189" s="295">
        <f t="shared" si="146"/>
      </c>
      <c r="P189" s="294">
        <v>0</v>
      </c>
      <c r="Q189" s="295">
        <f t="shared" si="148"/>
      </c>
      <c r="R189" s="294">
        <v>0</v>
      </c>
      <c r="S189" s="313">
        <v>0</v>
      </c>
      <c r="T189" s="296">
        <f t="shared" si="120"/>
      </c>
      <c r="U189" s="296">
        <f t="shared" si="26"/>
      </c>
      <c r="V189" s="290">
        <f t="shared" si="144"/>
      </c>
      <c r="W189" s="294">
        <v>0</v>
      </c>
      <c r="X189" s="290">
        <f t="shared" si="11"/>
      </c>
      <c r="Y189" s="290">
        <f t="shared" si="75"/>
      </c>
      <c r="Z189" s="354">
        <f t="shared" si="118"/>
      </c>
      <c r="AA189" s="296">
        <f t="shared" si="23"/>
      </c>
      <c r="AB189" s="296">
        <f t="shared" si="167"/>
      </c>
      <c r="AC189" s="295">
        <f t="shared" si="2"/>
      </c>
      <c r="AD189" s="295">
        <f t="shared" si="25"/>
      </c>
      <c r="AE189" s="295">
        <f t="shared" si="10"/>
      </c>
      <c r="AF189" s="295">
        <f t="shared" si="139"/>
      </c>
      <c r="AG189" s="295">
        <f t="shared" si="6"/>
      </c>
      <c r="AH189" s="343">
        <f t="shared" si="8"/>
      </c>
      <c r="AI189" s="343">
        <f t="shared" si="4"/>
      </c>
      <c r="AJ189" s="294">
        <v>62</v>
      </c>
      <c r="AK189" s="290">
        <v>4139</v>
      </c>
      <c r="AL189" s="290">
        <v>124</v>
      </c>
      <c r="AM189" s="290">
        <v>154</v>
      </c>
      <c r="AN189" s="290">
        <v>25</v>
      </c>
      <c r="AO189" s="330">
        <v>10</v>
      </c>
      <c r="AP189" s="331">
        <v>32</v>
      </c>
      <c r="AQ189" s="330">
        <v>27</v>
      </c>
      <c r="AR189" s="330">
        <v>0</v>
      </c>
      <c r="AS189" s="290">
        <v>1</v>
      </c>
      <c r="AT189" s="290">
        <v>0</v>
      </c>
      <c r="AU189" s="331">
        <v>2</v>
      </c>
      <c r="AW189" s="297"/>
      <c r="AX189" s="342">
        <f t="shared" si="110"/>
      </c>
    </row>
    <row r="190">
      <c r="A190" s="339"/>
      <c r="B190" s="287" t="s">
        <v>267</v>
      </c>
      <c r="C190" s="287" t="s">
        <v>247</v>
      </c>
      <c r="D190" s="287" t="s">
        <v>248</v>
      </c>
      <c r="E190" s="288" t="s">
        <v>251</v>
      </c>
      <c r="F190" s="314">
        <f t="shared" si="68"/>
      </c>
      <c r="G190" s="313">
        <v>370.99</v>
      </c>
      <c r="H190" s="313">
        <v>771.86</v>
      </c>
      <c r="I190" s="293"/>
      <c r="J190" s="293"/>
      <c r="K190" s="293"/>
      <c r="L190" s="293"/>
      <c r="M190" s="293"/>
      <c r="N190" s="294">
        <v>0</v>
      </c>
      <c r="O190" s="295">
        <f t="shared" si="146"/>
      </c>
      <c r="P190" s="294">
        <v>0</v>
      </c>
      <c r="Q190" s="295">
        <f t="shared" si="148"/>
      </c>
      <c r="R190" s="294">
        <v>2</v>
      </c>
      <c r="S190" s="313">
        <v>6269.05</v>
      </c>
      <c r="T190" s="296">
        <f t="shared" si="120"/>
      </c>
      <c r="U190" s="296">
        <f t="shared" si="26"/>
      </c>
      <c r="V190" s="337">
        <f t="shared" si="144"/>
      </c>
      <c r="W190" s="294">
        <v>2</v>
      </c>
      <c r="X190" s="290">
        <f t="shared" si="11"/>
      </c>
      <c r="Y190" s="290">
        <f t="shared" si="75"/>
      </c>
      <c r="Z190" s="354">
        <f t="shared" si="118"/>
      </c>
      <c r="AA190" s="296">
        <f t="shared" si="23"/>
      </c>
      <c r="AB190" s="296">
        <f t="shared" si="167"/>
      </c>
      <c r="AC190" s="295">
        <f t="shared" si="2"/>
      </c>
      <c r="AD190" s="295">
        <f t="shared" si="25"/>
      </c>
      <c r="AE190" s="295">
        <f t="shared" si="10"/>
      </c>
      <c r="AF190" s="295">
        <f t="shared" si="139"/>
      </c>
      <c r="AG190" s="295">
        <f t="shared" si="6"/>
      </c>
      <c r="AH190" s="295">
        <f t="shared" si="8"/>
      </c>
      <c r="AI190" s="361">
        <f t="shared" si="4"/>
      </c>
      <c r="AJ190" s="294">
        <v>62</v>
      </c>
      <c r="AK190" s="290">
        <v>4429</v>
      </c>
      <c r="AL190" s="290">
        <v>133</v>
      </c>
      <c r="AM190" s="290">
        <v>161</v>
      </c>
      <c r="AN190" s="290">
        <v>24</v>
      </c>
      <c r="AO190" s="330">
        <v>13</v>
      </c>
      <c r="AP190" s="331">
        <v>44</v>
      </c>
      <c r="AQ190" s="330">
        <v>20</v>
      </c>
      <c r="AR190" s="330">
        <v>2</v>
      </c>
      <c r="AS190" s="294">
        <v>1</v>
      </c>
      <c r="AT190" s="294">
        <v>0</v>
      </c>
      <c r="AU190" s="331">
        <v>2</v>
      </c>
      <c r="AW190" s="297"/>
      <c r="AX190" s="342">
        <f t="shared" si="110"/>
      </c>
    </row>
    <row r="191">
      <c r="A191" s="339"/>
      <c r="B191" s="299" t="s">
        <v>253</v>
      </c>
      <c r="C191" s="299"/>
      <c r="D191" s="299"/>
      <c r="E191" s="299"/>
      <c r="F191" s="355">
        <f>SUM(F188:F190)</f>
      </c>
      <c r="G191" s="303">
        <f>SUM(G188:G190)</f>
      </c>
      <c r="H191" s="303">
        <f>SUM(H188:H190)</f>
      </c>
      <c r="I191" s="300">
        <f>SUM(I188:I190)</f>
      </c>
      <c r="J191" s="300">
        <f>SUM(J188:J190)</f>
      </c>
      <c r="K191" s="300">
        <f>SUM(K188:K190)</f>
      </c>
      <c r="L191" s="300">
        <f>SUM(L188:L190)</f>
      </c>
      <c r="M191" s="300">
        <f>SUM(M188:M190)</f>
      </c>
      <c r="N191" s="300">
        <f>SUM(N188:N190)</f>
      </c>
      <c r="O191" s="302">
        <f t="shared" si="146"/>
      </c>
      <c r="P191" s="300">
        <f>SUM(P188:P190)</f>
      </c>
      <c r="Q191" s="302">
        <f t="shared" si="148"/>
      </c>
      <c r="R191" s="300">
        <f>SUM(R188:R190)</f>
      </c>
      <c r="S191" s="303">
        <f>SUM(S188:S190)</f>
      </c>
      <c r="T191" s="303">
        <f t="shared" si="120"/>
      </c>
      <c r="U191" s="303">
        <f t="shared" si="26"/>
      </c>
      <c r="V191" s="300">
        <f t="shared" si="144"/>
      </c>
      <c r="W191" s="300">
        <f>SUM(W188:W190)</f>
      </c>
      <c r="X191" s="300">
        <f t="shared" si="11"/>
      </c>
      <c r="Y191" s="300">
        <f t="shared" si="75"/>
      </c>
      <c r="Z191" s="355">
        <f t="shared" si="118"/>
      </c>
      <c r="AA191" s="303">
        <f t="shared" si="23"/>
      </c>
      <c r="AB191" s="336">
        <f t="shared" si="167"/>
      </c>
      <c r="AC191" s="302">
        <f t="shared" si="2"/>
      </c>
      <c r="AD191" s="302">
        <f t="shared" si="25"/>
      </c>
      <c r="AE191" s="302">
        <f t="shared" si="10"/>
      </c>
      <c r="AF191" s="302">
        <f>R191/AO195</f>
      </c>
      <c r="AG191" s="302">
        <f t="shared" si="6"/>
      </c>
      <c r="AH191" s="302">
        <f t="shared" si="8"/>
      </c>
      <c r="AI191" s="363">
        <f t="shared" si="4"/>
      </c>
      <c r="AJ191" s="317">
        <f>AVERAGE(AJ188:AJ190)</f>
      </c>
      <c r="AK191" s="300">
        <f>SUM(AK188:AK190)</f>
      </c>
      <c r="AL191" s="300">
        <f>SUM(AL188:AL190)</f>
      </c>
      <c r="AM191" s="300">
        <f>SUM(AM188:AM190)</f>
      </c>
      <c r="AN191" s="300">
        <f>SUM(AN188:AN190)</f>
      </c>
      <c r="AO191" s="300">
        <f>SUM(AO188:AO190)</f>
      </c>
      <c r="AP191" s="333">
        <f>SUM(AP188:AP190)</f>
      </c>
      <c r="AQ191" s="300">
        <f>SUM(AQ188:AQ190)</f>
      </c>
      <c r="AR191" s="300">
        <f>SUM(AR188:AR190)</f>
      </c>
      <c r="AS191" s="300">
        <f>SUM(AS188:AS190)</f>
      </c>
      <c r="AT191" s="300">
        <f>SUM(AT188:AT190)</f>
      </c>
      <c r="AU191" s="333">
        <f>SUM(AU188:AU190)</f>
      </c>
      <c r="AW191" s="305"/>
      <c r="AX191" s="300">
        <f>SUM(AX188:AX190)</f>
      </c>
    </row>
    <row r="192">
      <c r="A192" s="339"/>
      <c r="B192" s="287" t="s">
        <v>267</v>
      </c>
      <c r="C192" s="287" t="s">
        <v>247</v>
      </c>
      <c r="D192" s="287" t="s">
        <v>256</v>
      </c>
      <c r="E192" s="288" t="s">
        <v>252</v>
      </c>
      <c r="F192" s="314">
        <f t="shared" ref="F192:F193" si="69">G192+H192+I192</f>
      </c>
      <c r="G192" s="313">
        <v>515.25</v>
      </c>
      <c r="H192" s="313">
        <v>2662.17</v>
      </c>
      <c r="I192" s="293"/>
      <c r="J192" s="293"/>
      <c r="K192" s="293"/>
      <c r="L192" s="293"/>
      <c r="M192" s="293"/>
      <c r="N192" s="294">
        <v>0</v>
      </c>
      <c r="O192" s="295">
        <f t="shared" si="146"/>
      </c>
      <c r="P192" s="294">
        <v>1</v>
      </c>
      <c r="Q192" s="295">
        <f t="shared" si="148"/>
      </c>
      <c r="R192" s="294">
        <v>1</v>
      </c>
      <c r="S192" s="313">
        <v>4770.62</v>
      </c>
      <c r="T192" s="296">
        <f t="shared" si="120"/>
      </c>
      <c r="U192" s="296">
        <f t="shared" si="26"/>
      </c>
      <c r="V192" s="290">
        <f t="shared" si="144"/>
      </c>
      <c r="W192" s="294">
        <v>1</v>
      </c>
      <c r="X192" s="337">
        <f t="shared" si="11"/>
      </c>
      <c r="Y192" s="290">
        <f t="shared" si="75"/>
      </c>
      <c r="Z192" s="354">
        <f t="shared" si="118"/>
      </c>
      <c r="AA192" s="296">
        <f t="shared" si="23"/>
      </c>
      <c r="AB192" s="296">
        <f t="shared" si="167"/>
      </c>
      <c r="AC192" s="295">
        <f t="shared" si="2"/>
      </c>
      <c r="AD192" s="295">
        <f t="shared" si="25"/>
      </c>
      <c r="AE192" s="295">
        <f t="shared" si="10"/>
      </c>
      <c r="AF192" s="295">
        <f>R192/AE191:AC189</f>
      </c>
      <c r="AG192" s="295">
        <f t="shared" si="6"/>
      </c>
      <c r="AH192" s="295">
        <f t="shared" si="8"/>
      </c>
      <c r="AI192" s="343">
        <f t="shared" si="4"/>
      </c>
      <c r="AJ192" s="294">
        <v>60</v>
      </c>
      <c r="AK192" s="290">
        <v>7406</v>
      </c>
      <c r="AL192" s="290">
        <v>225</v>
      </c>
      <c r="AM192" s="290">
        <v>270</v>
      </c>
      <c r="AN192" s="290">
        <v>56</v>
      </c>
      <c r="AO192" s="330">
        <v>17</v>
      </c>
      <c r="AP192" s="331">
        <v>58</v>
      </c>
      <c r="AQ192" s="330">
        <v>46</v>
      </c>
      <c r="AR192" s="330">
        <v>1</v>
      </c>
      <c r="AS192" s="290">
        <v>5</v>
      </c>
      <c r="AT192" s="290">
        <v>0</v>
      </c>
      <c r="AU192" s="331">
        <v>5</v>
      </c>
      <c r="AW192" s="297"/>
      <c r="AX192" s="342">
        <f t="shared" ref="AX192:AX193" si="111">COUNT(AU192)</f>
      </c>
    </row>
    <row r="193">
      <c r="A193" s="339"/>
      <c r="B193" s="287" t="s">
        <v>267</v>
      </c>
      <c r="C193" s="287" t="s">
        <v>247</v>
      </c>
      <c r="D193" s="287" t="s">
        <v>256</v>
      </c>
      <c r="E193" s="287" t="s">
        <v>257</v>
      </c>
      <c r="F193" s="314">
        <f t="shared" si="69"/>
      </c>
      <c r="G193" s="313">
        <v>536.15</v>
      </c>
      <c r="H193" s="313">
        <v>1212.3</v>
      </c>
      <c r="I193" s="293"/>
      <c r="J193" s="293"/>
      <c r="K193" s="293"/>
      <c r="L193" s="293"/>
      <c r="M193" s="293"/>
      <c r="N193" s="294">
        <v>0</v>
      </c>
      <c r="O193" s="295">
        <f t="shared" si="146"/>
      </c>
      <c r="P193" s="294">
        <v>0</v>
      </c>
      <c r="Q193" s="295">
        <f t="shared" si="148"/>
      </c>
      <c r="R193" s="294">
        <v>1</v>
      </c>
      <c r="S193" s="313">
        <v>2818.6500000000015</v>
      </c>
      <c r="T193" s="296">
        <f t="shared" si="120"/>
      </c>
      <c r="U193" s="296">
        <f t="shared" si="26"/>
      </c>
      <c r="V193" s="290">
        <f t="shared" si="144"/>
      </c>
      <c r="W193" s="294">
        <v>1</v>
      </c>
      <c r="X193" s="337">
        <f t="shared" si="11"/>
      </c>
      <c r="Y193" s="290">
        <f t="shared" si="75"/>
      </c>
      <c r="Z193" s="354">
        <f t="shared" si="118"/>
      </c>
      <c r="AA193" s="296">
        <f t="shared" si="23"/>
      </c>
      <c r="AB193" s="296">
        <f t="shared" si="167"/>
      </c>
      <c r="AC193" s="295">
        <f t="shared" si="2"/>
      </c>
      <c r="AD193" s="295">
        <f t="shared" si="25"/>
      </c>
      <c r="AE193" s="295">
        <f t="shared" si="10"/>
      </c>
      <c r="AF193" s="295">
        <f>R193/AO194</f>
      </c>
      <c r="AG193" s="295">
        <f t="shared" si="6"/>
      </c>
      <c r="AH193" s="295">
        <f t="shared" si="8"/>
      </c>
      <c r="AI193" s="343">
        <f t="shared" si="4"/>
      </c>
      <c r="AJ193" s="294">
        <v>64</v>
      </c>
      <c r="AK193" s="290">
        <v>6466</v>
      </c>
      <c r="AL193" s="290">
        <v>212</v>
      </c>
      <c r="AM193" s="290">
        <v>234</v>
      </c>
      <c r="AN193" s="290">
        <v>57</v>
      </c>
      <c r="AO193" s="330">
        <v>14</v>
      </c>
      <c r="AP193" s="331">
        <v>43</v>
      </c>
      <c r="AQ193" s="330">
        <v>42</v>
      </c>
      <c r="AR193" s="330">
        <v>2</v>
      </c>
      <c r="AS193" s="290">
        <v>5</v>
      </c>
      <c r="AT193" s="290">
        <v>0</v>
      </c>
      <c r="AU193" s="331">
        <v>7</v>
      </c>
      <c r="AW193" s="297"/>
      <c r="AX193" s="342">
        <f t="shared" si="111"/>
      </c>
    </row>
    <row r="194">
      <c r="A194" s="339"/>
      <c r="B194" s="299" t="s">
        <v>253</v>
      </c>
      <c r="C194" s="299"/>
      <c r="D194" s="299"/>
      <c r="E194" s="299"/>
      <c r="F194" s="355">
        <f>SUM(F192:F193)</f>
      </c>
      <c r="G194" s="355">
        <f>SUM(G192:G193)</f>
      </c>
      <c r="H194" s="355">
        <f>SUM(H192:H193)</f>
      </c>
      <c r="I194" s="300">
        <f>SUM(I192:I193)</f>
      </c>
      <c r="J194" s="300">
        <f>SUM(J192:J193)</f>
      </c>
      <c r="K194" s="300">
        <f>SUM(K192:K193)</f>
      </c>
      <c r="L194" s="300">
        <f>SUM(L192:L193)</f>
      </c>
      <c r="M194" s="300">
        <f>SUM(M192:M193)</f>
      </c>
      <c r="N194" s="300">
        <f>SUM(N192:N193)</f>
      </c>
      <c r="O194" s="302">
        <f t="shared" si="146"/>
      </c>
      <c r="P194" s="300">
        <f>SUM(P192:P193)</f>
      </c>
      <c r="Q194" s="302">
        <f t="shared" si="148"/>
      </c>
      <c r="R194" s="317">
        <f>SUM(R192:R193)</f>
      </c>
      <c r="S194" s="303">
        <f>SUM(S192:S193)</f>
      </c>
      <c r="T194" s="303">
        <f t="shared" si="120"/>
      </c>
      <c r="U194" s="303">
        <f t="shared" si="26"/>
      </c>
      <c r="V194" s="300">
        <f t="shared" si="144"/>
      </c>
      <c r="W194" s="300">
        <f>SUM(W192:W193)</f>
      </c>
      <c r="X194" s="300">
        <f t="shared" si="11"/>
      </c>
      <c r="Y194" s="300">
        <f t="shared" si="75"/>
      </c>
      <c r="Z194" s="356">
        <f t="shared" si="118"/>
      </c>
      <c r="AA194" s="323">
        <f t="shared" si="23"/>
      </c>
      <c r="AB194" s="336">
        <f t="shared" si="167"/>
      </c>
      <c r="AC194" s="326">
        <f t="shared" si="2"/>
      </c>
      <c r="AD194" s="326">
        <f t="shared" si="25"/>
      </c>
      <c r="AE194" s="326">
        <f t="shared" si="10"/>
      </c>
      <c r="AF194" s="326">
        <f>R194/AU389</f>
      </c>
      <c r="AG194" s="326">
        <f t="shared" si="6"/>
      </c>
      <c r="AH194" s="326">
        <f t="shared" si="8"/>
      </c>
      <c r="AI194" s="326">
        <f t="shared" si="4"/>
      </c>
      <c r="AJ194" s="317">
        <f>AVERAGE(AJ192:AJ193)</f>
      </c>
      <c r="AK194" s="300">
        <f>SUM(AK192:AK193)</f>
      </c>
      <c r="AL194" s="300">
        <f>SUM(AL192:AL193)</f>
      </c>
      <c r="AM194" s="300">
        <f>SUM(AM192:AM193)</f>
      </c>
      <c r="AN194" s="300">
        <f>SUM(AN192:AN193)</f>
      </c>
      <c r="AO194" s="300">
        <f>SUM(AO192:AO193)</f>
      </c>
      <c r="AP194" s="300">
        <f>SUM(AP192:AP193)</f>
      </c>
      <c r="AQ194" s="300">
        <f>SUM(AQ192:AQ193)</f>
      </c>
      <c r="AR194" s="300">
        <f>SUM(AR192:AR193)</f>
      </c>
      <c r="AS194" s="300">
        <f>SUM(AS192:AS193)</f>
      </c>
      <c r="AT194" s="300">
        <f>SUM(AT192:AT193)</f>
      </c>
      <c r="AU194" s="300">
        <f>SUM(AU192:AU193)</f>
      </c>
      <c r="AW194" s="305"/>
      <c r="AX194" s="300">
        <f>SUM(AX192:AX193)</f>
      </c>
    </row>
    <row customHeight="true" ht="19.642857142857142" r="195">
      <c r="A195" s="339"/>
      <c r="B195" s="307" t="s">
        <v>254</v>
      </c>
      <c r="C195" s="307"/>
      <c r="D195" s="307"/>
      <c r="E195" s="307"/>
      <c r="F195" s="309">
        <f>F191+F194</f>
      </c>
      <c r="G195" s="309">
        <f>G191+G194</f>
      </c>
      <c r="H195" s="309">
        <f>H191+H194</f>
      </c>
      <c r="I195" s="307">
        <f>I191+I194</f>
      </c>
      <c r="J195" s="307">
        <f>J191+J194</f>
      </c>
      <c r="K195" s="307">
        <f>K191+K194</f>
      </c>
      <c r="L195" s="307">
        <f>L191+L194</f>
      </c>
      <c r="M195" s="307">
        <f>M191+M194</f>
      </c>
      <c r="N195" s="307">
        <f>N191+N194</f>
      </c>
      <c r="O195" s="308">
        <f t="shared" si="146"/>
      </c>
      <c r="P195" s="307">
        <f>P191+P194</f>
      </c>
      <c r="Q195" s="308">
        <f t="shared" si="148"/>
      </c>
      <c r="R195" s="307">
        <f>R191+R194</f>
      </c>
      <c r="S195" s="309">
        <f>S191+S194</f>
      </c>
      <c r="T195" s="309">
        <f t="shared" si="120"/>
      </c>
      <c r="U195" s="309">
        <f t="shared" si="26"/>
      </c>
      <c r="V195" s="307">
        <f t="shared" si="144"/>
      </c>
      <c r="W195" s="307">
        <f>W191+W194</f>
      </c>
      <c r="X195" s="369">
        <f t="shared" si="11"/>
      </c>
      <c r="Y195" s="307">
        <f t="shared" si="75"/>
      </c>
      <c r="Z195" s="357">
        <f t="shared" si="118"/>
      </c>
      <c r="AA195" s="309">
        <f t="shared" si="23"/>
      </c>
      <c r="AB195" s="309">
        <f>AB194+AB191</f>
      </c>
      <c r="AC195" s="308">
        <f t="shared" si="2"/>
      </c>
      <c r="AD195" s="308">
        <f t="shared" si="25"/>
      </c>
      <c r="AE195" s="308">
        <f t="shared" si="10"/>
      </c>
      <c r="AF195" s="308">
        <f>R195/AU194:AU193</f>
      </c>
      <c r="AG195" s="308">
        <f t="shared" si="6"/>
      </c>
      <c r="AH195" s="308">
        <f t="shared" si="8"/>
      </c>
      <c r="AI195" s="308">
        <f t="shared" si="4"/>
      </c>
      <c r="AJ195" s="329">
        <f>(AJ191+AJ194)/2</f>
      </c>
      <c r="AK195" s="307">
        <f>AK191+AK194</f>
      </c>
      <c r="AL195" s="335">
        <f>AL191+AL194</f>
      </c>
      <c r="AM195" s="335">
        <f>AM191+AM194</f>
      </c>
      <c r="AN195" s="335">
        <f>AN191+AN194</f>
      </c>
      <c r="AO195" s="335">
        <f>AO191+AO194</f>
      </c>
      <c r="AP195" s="335">
        <f>AP191+AP194</f>
      </c>
      <c r="AQ195" s="335">
        <f>AQ191+AQ194</f>
      </c>
      <c r="AR195" s="335">
        <f>AR191+AR194</f>
      </c>
      <c r="AS195" s="335">
        <f>AS191+AS194</f>
      </c>
      <c r="AT195" s="335">
        <f>AT191+AT194</f>
      </c>
      <c r="AU195" s="307">
        <f>AU191+AU194</f>
      </c>
      <c r="AW195" s="349">
        <f>AW191+AW194</f>
      </c>
      <c r="AX195" s="307">
        <f>AX191+AX194</f>
      </c>
    </row>
    <row r="196">
      <c r="A196" s="339" t="s">
        <v>295</v>
      </c>
      <c r="B196" s="287" t="s">
        <v>267</v>
      </c>
      <c r="C196" s="287" t="s">
        <v>247</v>
      </c>
      <c r="D196" s="287" t="s">
        <v>248</v>
      </c>
      <c r="E196" s="288" t="s">
        <v>249</v>
      </c>
      <c r="F196" s="314">
        <f t="shared" ref="F196:F198" si="70">G196+H196+I196</f>
      </c>
      <c r="G196" s="313">
        <v>511.41</v>
      </c>
      <c r="H196" s="313">
        <v>1334.91</v>
      </c>
      <c r="I196" s="291"/>
      <c r="J196" s="291"/>
      <c r="K196" s="291"/>
      <c r="L196" s="293"/>
      <c r="M196" s="293"/>
      <c r="N196" s="294">
        <v>0</v>
      </c>
      <c r="O196" s="295">
        <f t="shared" si="146"/>
      </c>
      <c r="P196" s="294">
        <v>0</v>
      </c>
      <c r="Q196" s="295">
        <f t="shared" si="148"/>
      </c>
      <c r="R196" s="371">
        <v>0</v>
      </c>
      <c r="S196" s="366">
        <v>0</v>
      </c>
      <c r="T196" s="296">
        <f t="shared" si="120"/>
      </c>
      <c r="U196" s="296">
        <f t="shared" si="26"/>
      </c>
      <c r="V196" s="290">
        <f t="shared" si="144"/>
      </c>
      <c r="W196" s="294">
        <v>0</v>
      </c>
      <c r="X196" s="290">
        <f t="shared" si="11"/>
      </c>
      <c r="Y196" s="290">
        <f t="shared" si="75"/>
      </c>
      <c r="Z196" s="354">
        <f t="shared" si="118"/>
      </c>
      <c r="AA196" s="296">
        <f t="shared" si="23"/>
      </c>
      <c r="AB196" s="296">
        <f t="shared" ref="AB196:AB203" si="168">F196/AN196</f>
      </c>
      <c r="AC196" s="295">
        <f t="shared" si="2"/>
      </c>
      <c r="AD196" s="295">
        <f t="shared" si="25"/>
      </c>
      <c r="AE196" s="295">
        <f t="shared" si="10"/>
      </c>
      <c r="AF196" s="295">
        <f t="shared" ref="AF196:AF198" si="140">R196/AO196</f>
      </c>
      <c r="AG196" s="295">
        <f t="shared" si="6"/>
      </c>
      <c r="AH196" s="295">
        <f t="shared" si="8"/>
      </c>
      <c r="AI196" s="359">
        <f t="shared" si="4"/>
      </c>
      <c r="AJ196" s="294">
        <v>62</v>
      </c>
      <c r="AK196" s="290">
        <v>5481</v>
      </c>
      <c r="AL196" s="290">
        <v>162</v>
      </c>
      <c r="AM196" s="290">
        <v>182</v>
      </c>
      <c r="AN196" s="294">
        <v>42</v>
      </c>
      <c r="AO196" s="330">
        <v>16</v>
      </c>
      <c r="AP196" s="360">
        <v>55</v>
      </c>
      <c r="AQ196" s="360">
        <v>31</v>
      </c>
      <c r="AR196" s="330">
        <v>0</v>
      </c>
      <c r="AS196" s="330">
        <v>2</v>
      </c>
      <c r="AT196" s="294">
        <v>0</v>
      </c>
      <c r="AU196" s="294">
        <v>9</v>
      </c>
      <c r="AW196" s="297"/>
      <c r="AX196" s="342">
        <f t="shared" ref="AX196:AX198" si="112">COUNT(AU196)</f>
      </c>
    </row>
    <row r="197">
      <c r="A197" s="339"/>
      <c r="B197" s="287" t="s">
        <v>267</v>
      </c>
      <c r="C197" s="287" t="s">
        <v>247</v>
      </c>
      <c r="D197" s="287" t="s">
        <v>248</v>
      </c>
      <c r="E197" s="288" t="s">
        <v>250</v>
      </c>
      <c r="F197" s="314">
        <f t="shared" si="70"/>
      </c>
      <c r="G197" s="313">
        <v>455.29</v>
      </c>
      <c r="H197" s="313">
        <v>982.97</v>
      </c>
      <c r="I197" s="293"/>
      <c r="J197" s="293"/>
      <c r="K197" s="293"/>
      <c r="L197" s="293"/>
      <c r="M197" s="293"/>
      <c r="N197" s="294">
        <v>0</v>
      </c>
      <c r="O197" s="295">
        <f t="shared" si="146"/>
      </c>
      <c r="P197" s="294">
        <v>0</v>
      </c>
      <c r="Q197" s="295">
        <f t="shared" si="148"/>
      </c>
      <c r="R197" s="294">
        <v>0</v>
      </c>
      <c r="S197" s="313">
        <v>0</v>
      </c>
      <c r="T197" s="296">
        <f t="shared" si="120"/>
      </c>
      <c r="U197" s="296">
        <f t="shared" si="26"/>
      </c>
      <c r="V197" s="290">
        <f t="shared" si="144"/>
      </c>
      <c r="W197" s="294">
        <v>0</v>
      </c>
      <c r="X197" s="290">
        <f t="shared" si="11"/>
      </c>
      <c r="Y197" s="290">
        <f t="shared" si="75"/>
      </c>
      <c r="Z197" s="354">
        <f t="shared" si="118"/>
      </c>
      <c r="AA197" s="296">
        <f t="shared" si="23"/>
      </c>
      <c r="AB197" s="296">
        <f t="shared" si="168"/>
      </c>
      <c r="AC197" s="295">
        <f t="shared" si="2"/>
      </c>
      <c r="AD197" s="295">
        <f t="shared" si="25"/>
      </c>
      <c r="AE197" s="295">
        <f t="shared" si="10"/>
      </c>
      <c r="AF197" s="295">
        <f t="shared" si="140"/>
      </c>
      <c r="AG197" s="295">
        <f t="shared" si="6"/>
      </c>
      <c r="AH197" s="343">
        <f t="shared" si="8"/>
      </c>
      <c r="AI197" s="343">
        <f t="shared" si="4"/>
      </c>
      <c r="AJ197" s="294">
        <v>63</v>
      </c>
      <c r="AK197" s="290">
        <v>4494</v>
      </c>
      <c r="AL197" s="290">
        <v>112</v>
      </c>
      <c r="AM197" s="290">
        <v>151</v>
      </c>
      <c r="AN197" s="290">
        <v>27</v>
      </c>
      <c r="AO197" s="330">
        <v>12</v>
      </c>
      <c r="AP197" s="331">
        <v>66</v>
      </c>
      <c r="AQ197" s="330">
        <v>29</v>
      </c>
      <c r="AR197" s="330">
        <v>0</v>
      </c>
      <c r="AS197" s="290">
        <v>3</v>
      </c>
      <c r="AT197" s="290">
        <v>0</v>
      </c>
      <c r="AU197" s="331">
        <v>1</v>
      </c>
      <c r="AW197" s="297"/>
      <c r="AX197" s="342">
        <f t="shared" si="112"/>
      </c>
    </row>
    <row r="198">
      <c r="A198" s="339"/>
      <c r="B198" s="287" t="s">
        <v>267</v>
      </c>
      <c r="C198" s="287" t="s">
        <v>247</v>
      </c>
      <c r="D198" s="287" t="s">
        <v>248</v>
      </c>
      <c r="E198" s="288" t="s">
        <v>251</v>
      </c>
      <c r="F198" s="314">
        <f t="shared" si="70"/>
      </c>
      <c r="G198" s="313">
        <v>275.14</v>
      </c>
      <c r="H198" s="313">
        <v>614.66</v>
      </c>
      <c r="I198" s="293"/>
      <c r="J198" s="293"/>
      <c r="K198" s="293"/>
      <c r="L198" s="293"/>
      <c r="M198" s="293"/>
      <c r="N198" s="294">
        <v>0</v>
      </c>
      <c r="O198" s="295">
        <f t="shared" si="146"/>
      </c>
      <c r="P198" s="294">
        <v>0</v>
      </c>
      <c r="Q198" s="295">
        <f t="shared" si="148"/>
      </c>
      <c r="R198" s="294">
        <v>1</v>
      </c>
      <c r="S198" s="313">
        <v>3450.4</v>
      </c>
      <c r="T198" s="296">
        <f t="shared" si="120"/>
      </c>
      <c r="U198" s="296">
        <f t="shared" si="26"/>
      </c>
      <c r="V198" s="337">
        <f t="shared" si="144"/>
      </c>
      <c r="W198" s="294">
        <v>1</v>
      </c>
      <c r="X198" s="290">
        <f t="shared" si="11"/>
      </c>
      <c r="Y198" s="290">
        <f t="shared" si="75"/>
      </c>
      <c r="Z198" s="354">
        <f t="shared" si="118"/>
      </c>
      <c r="AA198" s="296">
        <f t="shared" si="23"/>
      </c>
      <c r="AB198" s="296">
        <f t="shared" si="168"/>
      </c>
      <c r="AC198" s="295">
        <f t="shared" si="2"/>
      </c>
      <c r="AD198" s="295">
        <f t="shared" si="25"/>
      </c>
      <c r="AE198" s="295">
        <f t="shared" si="10"/>
      </c>
      <c r="AF198" s="295">
        <f t="shared" si="140"/>
      </c>
      <c r="AG198" s="295">
        <f t="shared" si="6"/>
      </c>
      <c r="AH198" s="295">
        <f t="shared" si="8"/>
      </c>
      <c r="AI198" s="361">
        <f t="shared" si="4"/>
      </c>
      <c r="AJ198" s="294">
        <v>62</v>
      </c>
      <c r="AK198" s="290">
        <v>3182</v>
      </c>
      <c r="AL198" s="290">
        <v>119</v>
      </c>
      <c r="AM198" s="290">
        <v>151</v>
      </c>
      <c r="AN198" s="290">
        <v>25</v>
      </c>
      <c r="AO198" s="330">
        <v>6</v>
      </c>
      <c r="AP198" s="331">
        <v>42</v>
      </c>
      <c r="AQ198" s="330">
        <v>20</v>
      </c>
      <c r="AR198" s="330">
        <v>2</v>
      </c>
      <c r="AS198" s="294">
        <v>3</v>
      </c>
      <c r="AT198" s="294">
        <v>0</v>
      </c>
      <c r="AU198" s="331">
        <v>0</v>
      </c>
      <c r="AW198" s="297"/>
      <c r="AX198" s="342">
        <f t="shared" si="112"/>
      </c>
    </row>
    <row r="199">
      <c r="A199" s="339"/>
      <c r="B199" s="299" t="s">
        <v>253</v>
      </c>
      <c r="C199" s="299"/>
      <c r="D199" s="299"/>
      <c r="E199" s="299"/>
      <c r="F199" s="355">
        <f>SUM(F196:F198)</f>
      </c>
      <c r="G199" s="303">
        <f>SUM(G196:G198)</f>
      </c>
      <c r="H199" s="303">
        <f>SUM(H196:H198)</f>
      </c>
      <c r="I199" s="300">
        <f>SUM(I196:I198)</f>
      </c>
      <c r="J199" s="300">
        <f>SUM(J196:J198)</f>
      </c>
      <c r="K199" s="300">
        <f>SUM(K196:K198)</f>
      </c>
      <c r="L199" s="300">
        <f>SUM(L196:L198)</f>
      </c>
      <c r="M199" s="300">
        <f>SUM(M196:M198)</f>
      </c>
      <c r="N199" s="300">
        <f>SUM(N196:N198)</f>
      </c>
      <c r="O199" s="302">
        <f t="shared" si="146"/>
      </c>
      <c r="P199" s="300">
        <f>SUM(P196:P198)</f>
      </c>
      <c r="Q199" s="302">
        <f t="shared" si="148"/>
      </c>
      <c r="R199" s="300">
        <f>SUM(R196:R198)</f>
      </c>
      <c r="S199" s="303">
        <f>SUM(S196:S198)</f>
      </c>
      <c r="T199" s="303">
        <f t="shared" si="120"/>
      </c>
      <c r="U199" s="303">
        <f t="shared" si="26"/>
      </c>
      <c r="V199" s="300">
        <f t="shared" si="144"/>
      </c>
      <c r="W199" s="300">
        <f>SUM(W196:W198)</f>
      </c>
      <c r="X199" s="300">
        <f t="shared" si="11"/>
      </c>
      <c r="Y199" s="300">
        <f t="shared" si="75"/>
      </c>
      <c r="Z199" s="355">
        <f t="shared" si="118"/>
      </c>
      <c r="AA199" s="303">
        <f t="shared" si="23"/>
      </c>
      <c r="AB199" s="336">
        <f t="shared" si="168"/>
      </c>
      <c r="AC199" s="302">
        <f t="shared" si="2"/>
      </c>
      <c r="AD199" s="302">
        <f t="shared" si="25"/>
      </c>
      <c r="AE199" s="302">
        <f t="shared" si="10"/>
      </c>
      <c r="AF199" s="302">
        <f>R199/AO204</f>
      </c>
      <c r="AG199" s="302">
        <f t="shared" si="6"/>
      </c>
      <c r="AH199" s="302">
        <f t="shared" si="8"/>
      </c>
      <c r="AI199" s="363">
        <f t="shared" si="4"/>
      </c>
      <c r="AJ199" s="317">
        <f>AVERAGE(AJ196:AJ198)</f>
      </c>
      <c r="AK199" s="300">
        <f>SUM(AK196:AK198)</f>
      </c>
      <c r="AL199" s="300">
        <f>SUM(AL196:AL198)</f>
      </c>
      <c r="AM199" s="300">
        <f>SUM(AM196:AM198)</f>
      </c>
      <c r="AN199" s="300">
        <f>SUM(AN196:AN198)</f>
      </c>
      <c r="AO199" s="300">
        <f>SUM(AO196:AO198)</f>
      </c>
      <c r="AP199" s="333">
        <f>SUM(AP196:AP198)</f>
      </c>
      <c r="AQ199" s="300">
        <f>SUM(AQ196:AQ198)</f>
      </c>
      <c r="AR199" s="300">
        <f>SUM(AR196:AR198)</f>
      </c>
      <c r="AS199" s="300">
        <f>SUM(AS196:AS198)</f>
      </c>
      <c r="AT199" s="300">
        <f>SUM(AT196:AT198)</f>
      </c>
      <c r="AU199" s="333">
        <f>SUM(AU196:AU198)</f>
      </c>
      <c r="AW199" s="305"/>
      <c r="AX199" s="300">
        <f>SUM(AX196:AX198)</f>
      </c>
    </row>
    <row r="200">
      <c r="A200" s="339"/>
      <c r="B200" s="287" t="s">
        <v>267</v>
      </c>
      <c r="C200" s="287" t="s">
        <v>247</v>
      </c>
      <c r="D200" s="287" t="s">
        <v>292</v>
      </c>
      <c r="E200" s="288" t="s">
        <v>252</v>
      </c>
      <c r="F200" s="314">
        <f t="shared" ref="F200:F202" si="71">G200+H200+I200</f>
      </c>
      <c r="G200" s="313">
        <v>425.17</v>
      </c>
      <c r="H200" s="313">
        <v>1018.23</v>
      </c>
      <c r="I200" s="293"/>
      <c r="J200" s="293"/>
      <c r="K200" s="293"/>
      <c r="L200" s="293"/>
      <c r="M200" s="293"/>
      <c r="N200" s="294">
        <v>0</v>
      </c>
      <c r="O200" s="295">
        <f t="shared" si="146"/>
      </c>
      <c r="P200" s="294">
        <v>0</v>
      </c>
      <c r="Q200" s="295">
        <f t="shared" si="148"/>
      </c>
      <c r="R200" s="294">
        <v>0</v>
      </c>
      <c r="S200" s="313">
        <v>0</v>
      </c>
      <c r="T200" s="296">
        <f t="shared" si="120"/>
      </c>
      <c r="U200" s="296">
        <f t="shared" si="26"/>
      </c>
      <c r="V200" s="290">
        <f t="shared" si="144"/>
      </c>
      <c r="W200" s="294">
        <v>0</v>
      </c>
      <c r="X200" s="337">
        <f t="shared" si="11"/>
      </c>
      <c r="Y200" s="290">
        <f t="shared" si="75"/>
      </c>
      <c r="Z200" s="354">
        <f t="shared" si="118"/>
      </c>
      <c r="AA200" s="296">
        <f t="shared" si="23"/>
      </c>
      <c r="AB200" s="296">
        <f t="shared" si="168"/>
      </c>
      <c r="AC200" s="295">
        <f t="shared" si="2"/>
      </c>
      <c r="AD200" s="295">
        <f t="shared" si="25"/>
      </c>
      <c r="AE200" s="295">
        <f t="shared" si="10"/>
      </c>
      <c r="AF200" s="295">
        <f>R200/AE199:AC197</f>
      </c>
      <c r="AG200" s="295">
        <f t="shared" si="6"/>
      </c>
      <c r="AH200" s="295">
        <f t="shared" si="8"/>
      </c>
      <c r="AI200" s="343">
        <f t="shared" si="4"/>
      </c>
      <c r="AJ200" s="294">
        <v>65</v>
      </c>
      <c r="AK200" s="290">
        <v>3798</v>
      </c>
      <c r="AL200" s="290">
        <v>152</v>
      </c>
      <c r="AM200" s="290">
        <v>185</v>
      </c>
      <c r="AN200" s="290">
        <v>29</v>
      </c>
      <c r="AO200" s="330">
        <v>7</v>
      </c>
      <c r="AP200" s="331">
        <v>32</v>
      </c>
      <c r="AQ200" s="330">
        <v>20</v>
      </c>
      <c r="AR200" s="330">
        <v>0</v>
      </c>
      <c r="AS200" s="290">
        <v>1</v>
      </c>
      <c r="AT200" s="290">
        <v>0</v>
      </c>
      <c r="AU200" s="331">
        <v>3</v>
      </c>
      <c r="AW200" s="297"/>
      <c r="AX200" s="342">
        <f t="shared" ref="AX200:AX202" si="113">COUNT(AU200)</f>
      </c>
    </row>
    <row r="201">
      <c r="A201" s="339"/>
      <c r="B201" s="287" t="s">
        <v>267</v>
      </c>
      <c r="C201" s="287" t="s">
        <v>247</v>
      </c>
      <c r="D201" s="287" t="s">
        <v>292</v>
      </c>
      <c r="E201" s="287" t="s">
        <v>257</v>
      </c>
      <c r="F201" s="314">
        <f t="shared" si="71"/>
      </c>
      <c r="G201" s="313">
        <v>259.42</v>
      </c>
      <c r="H201" s="313">
        <v>877.29</v>
      </c>
      <c r="I201" s="293"/>
      <c r="J201" s="293"/>
      <c r="K201" s="293"/>
      <c r="L201" s="293"/>
      <c r="M201" s="293"/>
      <c r="N201" s="294">
        <v>0</v>
      </c>
      <c r="O201" s="295">
        <f t="shared" si="146"/>
      </c>
      <c r="P201" s="294">
        <v>0</v>
      </c>
      <c r="Q201" s="295">
        <f t="shared" si="148"/>
      </c>
      <c r="R201" s="294">
        <v>0</v>
      </c>
      <c r="S201" s="313">
        <v>0</v>
      </c>
      <c r="T201" s="296">
        <f t="shared" si="120"/>
      </c>
      <c r="U201" s="296">
        <f t="shared" si="26"/>
      </c>
      <c r="V201" s="290">
        <f t="shared" si="144"/>
      </c>
      <c r="W201" s="294">
        <v>0</v>
      </c>
      <c r="X201" s="337">
        <f t="shared" si="11"/>
      </c>
      <c r="Y201" s="290">
        <f t="shared" si="75"/>
      </c>
      <c r="Z201" s="354">
        <f t="shared" si="118"/>
      </c>
      <c r="AA201" s="296">
        <f t="shared" si="23"/>
      </c>
      <c r="AB201" s="296">
        <f t="shared" si="168"/>
      </c>
      <c r="AC201" s="295">
        <f t="shared" si="2"/>
      </c>
      <c r="AD201" s="295">
        <f t="shared" si="25"/>
      </c>
      <c r="AE201" s="295">
        <f t="shared" si="10"/>
      </c>
      <c r="AF201" s="295">
        <f t="shared" ref="AF201:AF202" si="181">R201/AO203</f>
      </c>
      <c r="AG201" s="295">
        <f t="shared" si="6"/>
      </c>
      <c r="AH201" s="295">
        <f t="shared" si="8"/>
      </c>
      <c r="AI201" s="343">
        <f t="shared" si="4"/>
      </c>
      <c r="AJ201" s="294">
        <v>69</v>
      </c>
      <c r="AK201" s="290">
        <v>3130</v>
      </c>
      <c r="AL201" s="290">
        <v>106</v>
      </c>
      <c r="AM201" s="290">
        <v>125</v>
      </c>
      <c r="AN201" s="290">
        <v>35</v>
      </c>
      <c r="AO201" s="330">
        <v>9</v>
      </c>
      <c r="AP201" s="331">
        <v>16</v>
      </c>
      <c r="AQ201" s="330">
        <v>22</v>
      </c>
      <c r="AR201" s="330">
        <v>0</v>
      </c>
      <c r="AS201" s="290">
        <v>1</v>
      </c>
      <c r="AT201" s="290">
        <v>0</v>
      </c>
      <c r="AU201" s="331">
        <v>5</v>
      </c>
      <c r="AW201" s="297"/>
      <c r="AX201" s="342">
        <f t="shared" si="113"/>
      </c>
    </row>
    <row customHeight="true" ht="16.071428571428573" r="202">
      <c r="A202" s="339"/>
      <c r="B202" s="287" t="s">
        <v>267</v>
      </c>
      <c r="C202" s="287" t="s">
        <v>247</v>
      </c>
      <c r="D202" s="287" t="s">
        <v>292</v>
      </c>
      <c r="E202" s="367" t="s">
        <v>258</v>
      </c>
      <c r="F202" s="314">
        <f t="shared" si="71"/>
      </c>
      <c r="G202" s="313">
        <v>0</v>
      </c>
      <c r="H202" s="313">
        <v>0</v>
      </c>
      <c r="I202" s="293"/>
      <c r="J202" s="293"/>
      <c r="K202" s="293"/>
      <c r="L202" s="293"/>
      <c r="M202" s="293"/>
      <c r="N202" s="294">
        <v>0</v>
      </c>
      <c r="O202" s="295">
        <f t="shared" si="146"/>
      </c>
      <c r="P202" s="294">
        <v>1</v>
      </c>
      <c r="Q202" s="295">
        <f t="shared" si="148"/>
      </c>
      <c r="R202" s="294">
        <v>1</v>
      </c>
      <c r="S202" s="313">
        <v>10461.16</v>
      </c>
      <c r="T202" s="296">
        <f t="shared" si="120"/>
      </c>
      <c r="U202" s="296">
        <f t="shared" si="26"/>
      </c>
      <c r="V202" s="290">
        <f t="shared" si="144"/>
      </c>
      <c r="W202" s="294">
        <v>0</v>
      </c>
      <c r="X202" s="337">
        <f t="shared" si="11"/>
      </c>
      <c r="Y202" s="290">
        <f t="shared" si="75"/>
      </c>
      <c r="Z202" s="354">
        <f t="shared" si="118"/>
      </c>
      <c r="AA202" s="296">
        <f t="shared" si="23"/>
      </c>
      <c r="AB202" s="296">
        <f t="shared" si="168"/>
      </c>
      <c r="AC202" s="295">
        <f t="shared" si="2"/>
      </c>
      <c r="AD202" s="295">
        <f t="shared" si="25"/>
      </c>
      <c r="AE202" s="295">
        <f t="shared" si="10"/>
      </c>
      <c r="AF202" s="295">
        <f t="shared" si="181"/>
      </c>
      <c r="AG202" s="295">
        <f t="shared" si="6"/>
      </c>
      <c r="AH202" s="295">
        <f t="shared" si="8"/>
      </c>
      <c r="AI202" s="343">
        <f t="shared" si="4"/>
      </c>
      <c r="AJ202" s="294">
        <v>72</v>
      </c>
      <c r="AK202" s="290">
        <v>121</v>
      </c>
      <c r="AL202" s="290">
        <v>2</v>
      </c>
      <c r="AM202" s="290">
        <v>3</v>
      </c>
      <c r="AN202" s="290">
        <v>0</v>
      </c>
      <c r="AO202" s="330">
        <v>1</v>
      </c>
      <c r="AP202" s="331">
        <v>0</v>
      </c>
      <c r="AQ202" s="330">
        <v>0</v>
      </c>
      <c r="AR202" s="330">
        <v>1</v>
      </c>
      <c r="AS202" s="290">
        <v>0</v>
      </c>
      <c r="AT202" s="290">
        <v>0</v>
      </c>
      <c r="AU202" s="331">
        <v>0</v>
      </c>
      <c r="AW202" s="297"/>
      <c r="AX202" s="342">
        <f t="shared" si="113"/>
      </c>
    </row>
    <row r="203">
      <c r="A203" s="339"/>
      <c r="B203" s="299" t="s">
        <v>253</v>
      </c>
      <c r="C203" s="299"/>
      <c r="D203" s="299"/>
      <c r="E203" s="299"/>
      <c r="F203" s="355">
        <f>SUM(F200:F202)</f>
      </c>
      <c r="G203" s="355">
        <f>SUM(G200:G202)</f>
      </c>
      <c r="H203" s="355">
        <f>SUM(H200:H202)</f>
      </c>
      <c r="I203" s="300">
        <f>SUM(I200:I201)</f>
      </c>
      <c r="J203" s="300">
        <f>SUM(J200:J201)</f>
      </c>
      <c r="K203" s="300">
        <f>SUM(K200:K201)</f>
      </c>
      <c r="L203" s="300">
        <f>SUM(L200:L201)</f>
      </c>
      <c r="M203" s="300">
        <f>SUM(M200:M201)</f>
      </c>
      <c r="N203" s="300">
        <f>SUM(N200:N202)</f>
      </c>
      <c r="O203" s="302">
        <f t="shared" si="146"/>
      </c>
      <c r="P203" s="300">
        <f>SUM(P200:P202)</f>
      </c>
      <c r="Q203" s="302">
        <f t="shared" si="148"/>
      </c>
      <c r="R203" s="300">
        <f>SUM(R200:R202)</f>
      </c>
      <c r="S203" s="303">
        <f>SUM(S200:S202)</f>
      </c>
      <c r="T203" s="303">
        <f t="shared" si="120"/>
      </c>
      <c r="U203" s="303">
        <f t="shared" si="26"/>
      </c>
      <c r="V203" s="300">
        <f t="shared" si="144"/>
      </c>
      <c r="W203" s="300">
        <f>SUM(W200:W202)</f>
      </c>
      <c r="X203" s="300">
        <f t="shared" si="11"/>
      </c>
      <c r="Y203" s="300">
        <f t="shared" si="75"/>
      </c>
      <c r="Z203" s="356">
        <f t="shared" si="118"/>
      </c>
      <c r="AA203" s="323">
        <f t="shared" si="23"/>
      </c>
      <c r="AB203" s="336">
        <f t="shared" si="168"/>
      </c>
      <c r="AC203" s="326">
        <f t="shared" si="2"/>
      </c>
      <c r="AD203" s="326">
        <f t="shared" si="25"/>
      </c>
      <c r="AE203" s="326">
        <f t="shared" si="10"/>
      </c>
      <c r="AF203" s="326">
        <f>R203/AU400</f>
      </c>
      <c r="AG203" s="326">
        <f t="shared" si="6"/>
      </c>
      <c r="AH203" s="326">
        <f t="shared" si="8"/>
      </c>
      <c r="AI203" s="326">
        <f t="shared" si="4"/>
      </c>
      <c r="AJ203" s="317">
        <f>AVERAGE(AJ200:AJ202)</f>
      </c>
      <c r="AK203" s="300">
        <f>SUM(AK200:AK202)</f>
      </c>
      <c r="AL203" s="300">
        <f>SUM(AL200:AL202)</f>
      </c>
      <c r="AM203" s="300">
        <f>SUM(AM200:AM202)</f>
      </c>
      <c r="AN203" s="300">
        <f>SUM(AN200:AN202)</f>
      </c>
      <c r="AO203" s="300">
        <f>SUM(AO200:AO202)</f>
      </c>
      <c r="AP203" s="300">
        <f>SUM(AP200:AP202)</f>
      </c>
      <c r="AQ203" s="300">
        <f>SUM(AQ200:AQ202)</f>
      </c>
      <c r="AR203" s="300">
        <f>SUM(AR200:AR202)</f>
      </c>
      <c r="AS203" s="300">
        <f>SUM(AS200:AS202)</f>
      </c>
      <c r="AT203" s="300">
        <f>SUM(AT200:AT202)</f>
      </c>
      <c r="AU203" s="300">
        <f>SUM(AU200:AU202)</f>
      </c>
      <c r="AW203" s="305"/>
      <c r="AX203" s="300">
        <f>SUM(AX200:AX202)</f>
      </c>
    </row>
    <row r="204">
      <c r="A204" s="339"/>
      <c r="B204" s="307" t="s">
        <v>254</v>
      </c>
      <c r="C204" s="307"/>
      <c r="D204" s="307"/>
      <c r="E204" s="307"/>
      <c r="F204" s="309">
        <f>F199+F203</f>
      </c>
      <c r="G204" s="309">
        <f>G199+G203</f>
      </c>
      <c r="H204" s="309">
        <f>H199+H203</f>
      </c>
      <c r="I204" s="307">
        <f>I199+I203</f>
      </c>
      <c r="J204" s="307">
        <f>J199+J203</f>
      </c>
      <c r="K204" s="307">
        <f>K199+K203</f>
      </c>
      <c r="L204" s="307">
        <f>L199+L203</f>
      </c>
      <c r="M204" s="307">
        <f>M199+M203</f>
      </c>
      <c r="N204" s="307">
        <f>N199+N203</f>
      </c>
      <c r="O204" s="308">
        <f t="shared" si="146"/>
      </c>
      <c r="P204" s="307">
        <f>P199+P203</f>
      </c>
      <c r="Q204" s="308">
        <f t="shared" si="148"/>
      </c>
      <c r="R204" s="307">
        <f>R199+R203</f>
      </c>
      <c r="S204" s="309">
        <f>S199+S203</f>
      </c>
      <c r="T204" s="309">
        <f t="shared" si="120"/>
      </c>
      <c r="U204" s="309">
        <f t="shared" si="26"/>
      </c>
      <c r="V204" s="307">
        <f t="shared" si="144"/>
      </c>
      <c r="W204" s="307">
        <f>W199+W203</f>
      </c>
      <c r="X204" s="369">
        <f t="shared" si="11"/>
      </c>
      <c r="Y204" s="307">
        <f t="shared" si="75"/>
      </c>
      <c r="Z204" s="357">
        <f t="shared" si="118"/>
      </c>
      <c r="AA204" s="309">
        <f t="shared" si="23"/>
      </c>
      <c r="AB204" s="309">
        <f>AB203+AB199</f>
      </c>
      <c r="AC204" s="308">
        <f t="shared" si="2"/>
      </c>
      <c r="AD204" s="308">
        <f t="shared" si="25"/>
      </c>
      <c r="AE204" s="308">
        <f t="shared" si="10"/>
      </c>
      <c r="AF204" s="308">
        <f>R204/AU203:AU202</f>
      </c>
      <c r="AG204" s="308">
        <f t="shared" si="6"/>
      </c>
      <c r="AH204" s="308">
        <f t="shared" si="8"/>
      </c>
      <c r="AI204" s="308">
        <f t="shared" si="4"/>
      </c>
      <c r="AJ204" s="329">
        <f>(AJ199+AJ203)/2</f>
      </c>
      <c r="AK204" s="307">
        <f>AK199+AK203</f>
      </c>
      <c r="AL204" s="335">
        <f>AL199+AL203</f>
      </c>
      <c r="AM204" s="335">
        <f>AM199+AM203</f>
      </c>
      <c r="AN204" s="335">
        <f>AN199+AN203</f>
      </c>
      <c r="AO204" s="335">
        <f>AO199+AO203</f>
      </c>
      <c r="AP204" s="335">
        <f>AP199+AP203</f>
      </c>
      <c r="AQ204" s="335">
        <f>AQ199+AQ203</f>
      </c>
      <c r="AR204" s="335">
        <f>AR199+AR203</f>
      </c>
      <c r="AS204" s="335">
        <f>AS199+AS203</f>
      </c>
      <c r="AT204" s="335">
        <f>AT199+AT203</f>
      </c>
      <c r="AU204" s="307">
        <f>AU199+AU203</f>
      </c>
      <c r="AW204" s="349">
        <f>AW199+AW203</f>
      </c>
      <c r="AX204" s="307">
        <f>AX199+AX203</f>
      </c>
    </row>
    <row r="205">
      <c r="A205" s="339" t="s">
        <v>296</v>
      </c>
      <c r="B205" s="287" t="s">
        <v>267</v>
      </c>
      <c r="C205" s="287" t="s">
        <v>247</v>
      </c>
      <c r="D205" s="287" t="s">
        <v>256</v>
      </c>
      <c r="E205" s="288" t="s">
        <v>249</v>
      </c>
      <c r="F205" s="314">
        <f t="shared" ref="F205:F207" si="72">G205+H205+I205</f>
      </c>
      <c r="G205" s="313">
        <v>923.97</v>
      </c>
      <c r="H205" s="313">
        <v>1249.9</v>
      </c>
      <c r="I205" s="291"/>
      <c r="J205" s="291"/>
      <c r="K205" s="291"/>
      <c r="L205" s="293"/>
      <c r="M205" s="293"/>
      <c r="N205" s="294">
        <v>0</v>
      </c>
      <c r="O205" s="295">
        <f t="shared" si="146"/>
      </c>
      <c r="P205" s="294">
        <v>0</v>
      </c>
      <c r="Q205" s="295">
        <f t="shared" si="148"/>
      </c>
      <c r="R205" s="371">
        <v>0</v>
      </c>
      <c r="S205" s="366">
        <v>0</v>
      </c>
      <c r="T205" s="296">
        <f t="shared" si="120"/>
      </c>
      <c r="U205" s="296">
        <f t="shared" si="26"/>
      </c>
      <c r="V205" s="290">
        <f t="shared" si="144"/>
      </c>
      <c r="W205" s="294">
        <v>0</v>
      </c>
      <c r="X205" s="290">
        <f t="shared" si="11"/>
      </c>
      <c r="Y205" s="290">
        <f t="shared" si="75"/>
      </c>
      <c r="Z205" s="354">
        <f t="shared" si="118"/>
      </c>
      <c r="AA205" s="296">
        <f t="shared" si="23"/>
      </c>
      <c r="AB205" s="296">
        <f t="shared" ref="AB205:AB212" si="169">F205/AN205</f>
      </c>
      <c r="AC205" s="295">
        <f t="shared" si="2"/>
      </c>
      <c r="AD205" s="295">
        <f t="shared" si="25"/>
      </c>
      <c r="AE205" s="295">
        <f t="shared" si="10"/>
      </c>
      <c r="AF205" s="295">
        <f t="shared" ref="AF205:AF207" si="141">R205/AO205</f>
      </c>
      <c r="AG205" s="295">
        <f t="shared" si="6"/>
      </c>
      <c r="AH205" s="295">
        <f t="shared" si="8"/>
      </c>
      <c r="AI205" s="359">
        <f t="shared" si="4"/>
      </c>
      <c r="AJ205" s="294">
        <v>50</v>
      </c>
      <c r="AK205" s="290">
        <v>7384</v>
      </c>
      <c r="AL205" s="290">
        <v>219</v>
      </c>
      <c r="AM205" s="290">
        <v>253</v>
      </c>
      <c r="AN205" s="294">
        <v>46</v>
      </c>
      <c r="AO205" s="330">
        <v>15</v>
      </c>
      <c r="AP205" s="360">
        <v>31</v>
      </c>
      <c r="AQ205" s="360">
        <v>39</v>
      </c>
      <c r="AR205" s="330">
        <v>0</v>
      </c>
      <c r="AS205" s="330">
        <v>2</v>
      </c>
      <c r="AT205" s="294">
        <v>0</v>
      </c>
      <c r="AU205" s="294">
        <v>1</v>
      </c>
      <c r="AW205" s="297"/>
      <c r="AX205" s="342">
        <f t="shared" ref="AX205:AX207" si="114">COUNT(AU205)</f>
      </c>
    </row>
    <row r="206">
      <c r="A206" s="339"/>
      <c r="B206" s="287" t="s">
        <v>267</v>
      </c>
      <c r="C206" s="287" t="s">
        <v>247</v>
      </c>
      <c r="D206" s="287" t="s">
        <v>256</v>
      </c>
      <c r="E206" s="288" t="s">
        <v>250</v>
      </c>
      <c r="F206" s="314">
        <f t="shared" si="72"/>
      </c>
      <c r="G206" s="313">
        <v>391.46</v>
      </c>
      <c r="H206" s="313">
        <v>772.31</v>
      </c>
      <c r="I206" s="293"/>
      <c r="J206" s="293"/>
      <c r="K206" s="293"/>
      <c r="L206" s="293"/>
      <c r="M206" s="293"/>
      <c r="N206" s="294">
        <v>0</v>
      </c>
      <c r="O206" s="295">
        <f t="shared" si="146"/>
      </c>
      <c r="P206" s="294">
        <v>0</v>
      </c>
      <c r="Q206" s="295">
        <f t="shared" si="148"/>
      </c>
      <c r="R206" s="294">
        <v>1</v>
      </c>
      <c r="S206" s="313">
        <v>1869</v>
      </c>
      <c r="T206" s="296">
        <f t="shared" si="120"/>
      </c>
      <c r="U206" s="296">
        <f t="shared" si="26"/>
      </c>
      <c r="V206" s="290">
        <f t="shared" si="144"/>
      </c>
      <c r="W206" s="294">
        <v>0</v>
      </c>
      <c r="X206" s="290">
        <f t="shared" si="11"/>
      </c>
      <c r="Y206" s="290">
        <f t="shared" si="75"/>
      </c>
      <c r="Z206" s="354">
        <f t="shared" si="118"/>
      </c>
      <c r="AA206" s="296">
        <f t="shared" si="23"/>
      </c>
      <c r="AB206" s="296">
        <f t="shared" si="169"/>
      </c>
      <c r="AC206" s="295">
        <f t="shared" si="2"/>
      </c>
      <c r="AD206" s="295">
        <f t="shared" si="25"/>
      </c>
      <c r="AE206" s="295">
        <f t="shared" si="10"/>
      </c>
      <c r="AF206" s="295">
        <f t="shared" si="141"/>
      </c>
      <c r="AG206" s="295">
        <f t="shared" si="6"/>
      </c>
      <c r="AH206" s="343">
        <f t="shared" si="8"/>
      </c>
      <c r="AI206" s="343">
        <f t="shared" si="4"/>
      </c>
      <c r="AJ206" s="294">
        <v>54</v>
      </c>
      <c r="AK206" s="290">
        <v>4528</v>
      </c>
      <c r="AL206" s="290">
        <v>143</v>
      </c>
      <c r="AM206" s="290">
        <v>165</v>
      </c>
      <c r="AN206" s="290">
        <v>31</v>
      </c>
      <c r="AO206" s="330">
        <v>10</v>
      </c>
      <c r="AP206" s="331">
        <v>21</v>
      </c>
      <c r="AQ206" s="330">
        <v>32</v>
      </c>
      <c r="AR206" s="330">
        <v>1</v>
      </c>
      <c r="AS206" s="290">
        <v>4</v>
      </c>
      <c r="AT206" s="290">
        <v>0</v>
      </c>
      <c r="AU206" s="331">
        <v>4</v>
      </c>
      <c r="AW206" s="297"/>
      <c r="AX206" s="342">
        <f t="shared" si="114"/>
      </c>
    </row>
    <row r="207">
      <c r="A207" s="339"/>
      <c r="B207" s="287" t="s">
        <v>267</v>
      </c>
      <c r="C207" s="287" t="s">
        <v>247</v>
      </c>
      <c r="D207" s="287" t="s">
        <v>256</v>
      </c>
      <c r="E207" s="288" t="s">
        <v>251</v>
      </c>
      <c r="F207" s="314">
        <f t="shared" si="72"/>
      </c>
      <c r="G207" s="313">
        <v>376.66</v>
      </c>
      <c r="H207" s="313">
        <v>647.59</v>
      </c>
      <c r="I207" s="293"/>
      <c r="J207" s="293"/>
      <c r="K207" s="293"/>
      <c r="L207" s="293"/>
      <c r="M207" s="293"/>
      <c r="N207" s="294">
        <v>0</v>
      </c>
      <c r="O207" s="295">
        <f t="shared" si="146"/>
      </c>
      <c r="P207" s="294">
        <v>0</v>
      </c>
      <c r="Q207" s="295">
        <f t="shared" si="148"/>
      </c>
      <c r="R207" s="294">
        <v>0</v>
      </c>
      <c r="S207" s="313">
        <v>0</v>
      </c>
      <c r="T207" s="296">
        <f t="shared" si="120"/>
      </c>
      <c r="U207" s="296">
        <f t="shared" si="26"/>
      </c>
      <c r="V207" s="337">
        <f t="shared" si="144"/>
      </c>
      <c r="W207" s="294">
        <v>0</v>
      </c>
      <c r="X207" s="290">
        <f t="shared" si="11"/>
      </c>
      <c r="Y207" s="290">
        <f t="shared" si="75"/>
      </c>
      <c r="Z207" s="354">
        <f t="shared" si="118"/>
      </c>
      <c r="AA207" s="296">
        <f t="shared" si="23"/>
      </c>
      <c r="AB207" s="296">
        <f t="shared" si="169"/>
      </c>
      <c r="AC207" s="295">
        <f t="shared" si="2"/>
      </c>
      <c r="AD207" s="295">
        <f t="shared" si="25"/>
      </c>
      <c r="AE207" s="295">
        <f t="shared" si="10"/>
      </c>
      <c r="AF207" s="295">
        <f t="shared" si="141"/>
      </c>
      <c r="AG207" s="295">
        <f t="shared" si="6"/>
      </c>
      <c r="AH207" s="295">
        <f t="shared" si="8"/>
      </c>
      <c r="AI207" s="361">
        <f t="shared" si="4"/>
      </c>
      <c r="AJ207" s="294">
        <v>57</v>
      </c>
      <c r="AK207" s="290">
        <v>3097</v>
      </c>
      <c r="AL207" s="290">
        <v>107</v>
      </c>
      <c r="AM207" s="290">
        <v>121</v>
      </c>
      <c r="AN207" s="290">
        <v>31</v>
      </c>
      <c r="AO207" s="330">
        <v>4</v>
      </c>
      <c r="AP207" s="331">
        <v>16</v>
      </c>
      <c r="AQ207" s="330">
        <v>22</v>
      </c>
      <c r="AR207" s="330">
        <v>0</v>
      </c>
      <c r="AS207" s="294">
        <v>1</v>
      </c>
      <c r="AT207" s="294">
        <v>0</v>
      </c>
      <c r="AU207" s="331">
        <v>0</v>
      </c>
      <c r="AW207" s="297"/>
      <c r="AX207" s="342">
        <f t="shared" si="114"/>
      </c>
    </row>
    <row r="208">
      <c r="A208" s="339"/>
      <c r="B208" s="299" t="s">
        <v>253</v>
      </c>
      <c r="C208" s="299"/>
      <c r="D208" s="299"/>
      <c r="E208" s="299"/>
      <c r="F208" s="355">
        <f>SUM(F205:F207)</f>
      </c>
      <c r="G208" s="303">
        <f>SUM(G205:G207)</f>
      </c>
      <c r="H208" s="303">
        <f>SUM(H205:H207)</f>
      </c>
      <c r="I208" s="300">
        <f>SUM(I205:I207)</f>
      </c>
      <c r="J208" s="300">
        <f>SUM(J205:J207)</f>
      </c>
      <c r="K208" s="300">
        <f>SUM(K205:K207)</f>
      </c>
      <c r="L208" s="300">
        <f>SUM(L205:L207)</f>
      </c>
      <c r="M208" s="300">
        <f>SUM(M205:M207)</f>
      </c>
      <c r="N208" s="300">
        <f>SUM(N205:N207)</f>
      </c>
      <c r="O208" s="302">
        <f t="shared" si="146"/>
      </c>
      <c r="P208" s="300">
        <f>SUM(P205:P207)</f>
      </c>
      <c r="Q208" s="302">
        <f t="shared" si="148"/>
      </c>
      <c r="R208" s="300">
        <f>SUM(R205:R207)</f>
      </c>
      <c r="S208" s="303">
        <f>SUM(S205:S207)</f>
      </c>
      <c r="T208" s="303">
        <f t="shared" si="120"/>
      </c>
      <c r="U208" s="303">
        <f t="shared" si="26"/>
      </c>
      <c r="V208" s="300">
        <f t="shared" si="144"/>
      </c>
      <c r="W208" s="300">
        <f>SUM(W205:W207)</f>
      </c>
      <c r="X208" s="300">
        <f t="shared" si="11"/>
      </c>
      <c r="Y208" s="300">
        <f t="shared" si="75"/>
      </c>
      <c r="Z208" s="355">
        <f t="shared" si="118"/>
      </c>
      <c r="AA208" s="303">
        <f t="shared" si="23"/>
      </c>
      <c r="AB208" s="336">
        <f t="shared" si="169"/>
      </c>
      <c r="AC208" s="302">
        <f t="shared" si="2"/>
      </c>
      <c r="AD208" s="302">
        <f t="shared" si="25"/>
      </c>
      <c r="AE208" s="302">
        <f t="shared" si="10"/>
      </c>
      <c r="AF208" s="302">
        <f>R208/AO213</f>
      </c>
      <c r="AG208" s="302">
        <f t="shared" si="6"/>
      </c>
      <c r="AH208" s="302">
        <f t="shared" si="8"/>
      </c>
      <c r="AI208" s="363">
        <f t="shared" si="4"/>
      </c>
      <c r="AJ208" s="317">
        <f>AVERAGE(AJ205:AJ207)</f>
      </c>
      <c r="AK208" s="300">
        <f>SUM(AK205:AK207)</f>
      </c>
      <c r="AL208" s="300">
        <f>SUM(AL205:AL207)</f>
      </c>
      <c r="AM208" s="300">
        <f>SUM(AM205:AM207)</f>
      </c>
      <c r="AN208" s="300">
        <f>SUM(AN205:AN207)</f>
      </c>
      <c r="AO208" s="300">
        <f>SUM(AO205:AO207)</f>
      </c>
      <c r="AP208" s="333">
        <f>SUM(AP205:AP207)</f>
      </c>
      <c r="AQ208" s="300">
        <f>SUM(AQ205:AQ207)</f>
      </c>
      <c r="AR208" s="300">
        <f>SUM(AR205:AR207)</f>
      </c>
      <c r="AS208" s="300">
        <f>SUM(AS205:AS207)</f>
      </c>
      <c r="AT208" s="300">
        <f>SUM(AT205:AT207)</f>
      </c>
      <c r="AU208" s="333">
        <f>SUM(AU205:AU207)</f>
      </c>
      <c r="AW208" s="305"/>
      <c r="AX208" s="300">
        <f>SUM(AX205:AX207)</f>
      </c>
    </row>
    <row r="209">
      <c r="A209" s="339"/>
      <c r="B209" s="287" t="s">
        <v>267</v>
      </c>
      <c r="C209" s="287" t="s">
        <v>247</v>
      </c>
      <c r="D209" s="287" t="s">
        <v>292</v>
      </c>
      <c r="E209" s="288" t="s">
        <v>252</v>
      </c>
      <c r="F209" s="314">
        <f t="shared" ref="F209:F211" si="73">G209+H209+I209</f>
      </c>
      <c r="G209" s="313">
        <v>315.92</v>
      </c>
      <c r="H209" s="313">
        <v>488.63</v>
      </c>
      <c r="I209" s="293"/>
      <c r="J209" s="293"/>
      <c r="K209" s="293"/>
      <c r="L209" s="293"/>
      <c r="M209" s="293"/>
      <c r="N209" s="294">
        <v>0</v>
      </c>
      <c r="O209" s="295">
        <f t="shared" si="146"/>
      </c>
      <c r="P209" s="294">
        <v>0</v>
      </c>
      <c r="Q209" s="295">
        <f t="shared" si="148"/>
      </c>
      <c r="R209" s="294">
        <v>0</v>
      </c>
      <c r="S209" s="313">
        <v>0</v>
      </c>
      <c r="T209" s="296">
        <f t="shared" si="120"/>
      </c>
      <c r="U209" s="296">
        <f t="shared" si="26"/>
      </c>
      <c r="V209" s="290">
        <f t="shared" si="144"/>
      </c>
      <c r="W209" s="294">
        <v>0</v>
      </c>
      <c r="X209" s="337">
        <f t="shared" si="11"/>
      </c>
      <c r="Y209" s="290">
        <f t="shared" si="75"/>
      </c>
      <c r="Z209" s="354">
        <f t="shared" si="118"/>
      </c>
      <c r="AA209" s="296">
        <f t="shared" si="23"/>
      </c>
      <c r="AB209" s="296">
        <f t="shared" si="169"/>
      </c>
      <c r="AC209" s="295">
        <f t="shared" si="2"/>
      </c>
      <c r="AD209" s="295">
        <f t="shared" si="25"/>
      </c>
      <c r="AE209" s="295">
        <f t="shared" si="10"/>
      </c>
      <c r="AF209" s="295">
        <f>R209/AE208:AC206</f>
      </c>
      <c r="AG209" s="295">
        <f t="shared" si="6"/>
      </c>
      <c r="AH209" s="295">
        <f t="shared" si="8"/>
      </c>
      <c r="AI209" s="343">
        <f t="shared" si="4"/>
      </c>
      <c r="AJ209" s="294">
        <v>59</v>
      </c>
      <c r="AK209" s="290">
        <v>2787</v>
      </c>
      <c r="AL209" s="290">
        <v>100</v>
      </c>
      <c r="AM209" s="290">
        <v>132</v>
      </c>
      <c r="AN209" s="290">
        <v>22</v>
      </c>
      <c r="AO209" s="330">
        <v>6</v>
      </c>
      <c r="AP209" s="331">
        <v>15</v>
      </c>
      <c r="AQ209" s="330">
        <v>16</v>
      </c>
      <c r="AR209" s="330">
        <v>0</v>
      </c>
      <c r="AS209" s="290">
        <v>1</v>
      </c>
      <c r="AT209" s="290">
        <v>0</v>
      </c>
      <c r="AU209" s="331">
        <v>0</v>
      </c>
      <c r="AW209" s="297"/>
      <c r="AX209" s="342">
        <f t="shared" ref="AX209:AX211" si="115">COUNT(AU209)</f>
      </c>
    </row>
    <row r="210">
      <c r="A210" s="339"/>
      <c r="B210" s="287" t="s">
        <v>267</v>
      </c>
      <c r="C210" s="287" t="s">
        <v>247</v>
      </c>
      <c r="D210" s="287" t="s">
        <v>292</v>
      </c>
      <c r="E210" s="287" t="s">
        <v>257</v>
      </c>
      <c r="F210" s="314">
        <f t="shared" si="73"/>
      </c>
      <c r="G210" s="313">
        <v>359.06</v>
      </c>
      <c r="H210" s="313">
        <v>1377.64</v>
      </c>
      <c r="I210" s="293"/>
      <c r="J210" s="293"/>
      <c r="K210" s="293"/>
      <c r="L210" s="293"/>
      <c r="M210" s="293"/>
      <c r="N210" s="294">
        <v>0</v>
      </c>
      <c r="O210" s="295">
        <f t="shared" si="146"/>
      </c>
      <c r="P210" s="294">
        <v>0</v>
      </c>
      <c r="Q210" s="295">
        <f t="shared" si="148"/>
      </c>
      <c r="R210" s="294">
        <v>0</v>
      </c>
      <c r="S210" s="313">
        <v>0</v>
      </c>
      <c r="T210" s="296">
        <f t="shared" si="120"/>
      </c>
      <c r="U210" s="296">
        <f t="shared" si="26"/>
      </c>
      <c r="V210" s="290">
        <f t="shared" si="144"/>
      </c>
      <c r="W210" s="294">
        <v>0</v>
      </c>
      <c r="X210" s="337">
        <f t="shared" si="11"/>
      </c>
      <c r="Y210" s="290">
        <f t="shared" si="75"/>
      </c>
      <c r="Z210" s="354">
        <f t="shared" si="118"/>
      </c>
      <c r="AA210" s="296">
        <f t="shared" si="23"/>
      </c>
      <c r="AB210" s="296">
        <f t="shared" si="169"/>
      </c>
      <c r="AC210" s="295">
        <f t="shared" si="2"/>
      </c>
      <c r="AD210" s="295">
        <f t="shared" si="25"/>
      </c>
      <c r="AE210" s="295">
        <f t="shared" si="10"/>
      </c>
      <c r="AF210" s="295">
        <f t="shared" ref="AF210:AF211" si="182">R210/AO212</f>
      </c>
      <c r="AG210" s="295">
        <f t="shared" si="6"/>
      </c>
      <c r="AH210" s="295">
        <f t="shared" si="8"/>
      </c>
      <c r="AI210" s="343">
        <f t="shared" si="4"/>
      </c>
      <c r="AJ210" s="294">
        <v>59</v>
      </c>
      <c r="AK210" s="290">
        <v>4471</v>
      </c>
      <c r="AL210" s="290">
        <v>135</v>
      </c>
      <c r="AM210" s="290">
        <v>158</v>
      </c>
      <c r="AN210" s="290">
        <v>43</v>
      </c>
      <c r="AO210" s="330">
        <v>9</v>
      </c>
      <c r="AP210" s="331">
        <v>15</v>
      </c>
      <c r="AQ210" s="330">
        <v>21</v>
      </c>
      <c r="AR210" s="330">
        <v>0</v>
      </c>
      <c r="AS210" s="290">
        <v>4</v>
      </c>
      <c r="AT210" s="290">
        <v>0</v>
      </c>
      <c r="AU210" s="331">
        <v>8</v>
      </c>
      <c r="AW210" s="297"/>
      <c r="AX210" s="342">
        <f t="shared" si="115"/>
      </c>
    </row>
    <row r="211">
      <c r="A211" s="339"/>
      <c r="B211" s="287" t="s">
        <v>267</v>
      </c>
      <c r="C211" s="287" t="s">
        <v>247</v>
      </c>
      <c r="D211" s="287" t="s">
        <v>292</v>
      </c>
      <c r="E211" s="367" t="s">
        <v>258</v>
      </c>
      <c r="F211" s="314">
        <f t="shared" si="73"/>
      </c>
      <c r="G211" s="313">
        <v>224.29</v>
      </c>
      <c r="H211" s="313">
        <v>677.27</v>
      </c>
      <c r="I211" s="293"/>
      <c r="J211" s="293"/>
      <c r="K211" s="293"/>
      <c r="L211" s="293"/>
      <c r="M211" s="293"/>
      <c r="N211" s="294">
        <v>0</v>
      </c>
      <c r="O211" s="295">
        <f t="shared" si="146"/>
      </c>
      <c r="P211" s="294">
        <v>0</v>
      </c>
      <c r="Q211" s="295">
        <f t="shared" si="148"/>
      </c>
      <c r="R211" s="294">
        <v>0</v>
      </c>
      <c r="S211" s="313">
        <v>0</v>
      </c>
      <c r="T211" s="296">
        <f t="shared" si="120"/>
      </c>
      <c r="U211" s="296">
        <f t="shared" si="26"/>
      </c>
      <c r="V211" s="290">
        <f t="shared" si="144"/>
      </c>
      <c r="W211" s="294">
        <v>0</v>
      </c>
      <c r="X211" s="337">
        <f t="shared" si="11"/>
      </c>
      <c r="Y211" s="290">
        <f t="shared" si="75"/>
      </c>
      <c r="Z211" s="354">
        <f t="shared" si="118"/>
      </c>
      <c r="AA211" s="296">
        <f t="shared" si="23"/>
      </c>
      <c r="AB211" s="296">
        <f t="shared" si="169"/>
      </c>
      <c r="AC211" s="295">
        <f t="shared" si="2"/>
      </c>
      <c r="AD211" s="295">
        <f t="shared" si="25"/>
      </c>
      <c r="AE211" s="295">
        <f t="shared" si="10"/>
      </c>
      <c r="AF211" s="295">
        <f t="shared" si="182"/>
      </c>
      <c r="AG211" s="295">
        <f t="shared" si="6"/>
      </c>
      <c r="AH211" s="295">
        <f t="shared" si="8"/>
      </c>
      <c r="AI211" s="343">
        <f t="shared" si="4"/>
      </c>
      <c r="AJ211" s="294">
        <v>61</v>
      </c>
      <c r="AK211" s="290">
        <v>3106</v>
      </c>
      <c r="AL211" s="290">
        <v>95</v>
      </c>
      <c r="AM211" s="290">
        <v>114</v>
      </c>
      <c r="AN211" s="290">
        <v>35</v>
      </c>
      <c r="AO211" s="330">
        <v>5</v>
      </c>
      <c r="AP211" s="331">
        <v>18</v>
      </c>
      <c r="AQ211" s="330">
        <v>21</v>
      </c>
      <c r="AR211" s="330">
        <v>0</v>
      </c>
      <c r="AS211" s="290">
        <v>4</v>
      </c>
      <c r="AT211" s="290">
        <v>0</v>
      </c>
      <c r="AU211" s="331">
        <v>2</v>
      </c>
      <c r="AW211" s="297"/>
      <c r="AX211" s="342">
        <f t="shared" si="115"/>
      </c>
    </row>
    <row r="212">
      <c r="A212" s="339"/>
      <c r="B212" s="299" t="s">
        <v>253</v>
      </c>
      <c r="C212" s="299"/>
      <c r="D212" s="299"/>
      <c r="E212" s="299"/>
      <c r="F212" s="355">
        <f>SUM(F209:F211)</f>
      </c>
      <c r="G212" s="355">
        <f>SUM(G209:G211)</f>
      </c>
      <c r="H212" s="355">
        <f>SUM(H209:H211)</f>
      </c>
      <c r="I212" s="300">
        <f>SUM(I209:I210)</f>
      </c>
      <c r="J212" s="300">
        <f>SUM(J209:J210)</f>
      </c>
      <c r="K212" s="300">
        <f>SUM(K209:K210)</f>
      </c>
      <c r="L212" s="300">
        <f>SUM(L209:L210)</f>
      </c>
      <c r="M212" s="300">
        <f>SUM(M209:M210)</f>
      </c>
      <c r="N212" s="300">
        <f>SUM(N209:N211)</f>
      </c>
      <c r="O212" s="302">
        <f t="shared" si="146"/>
      </c>
      <c r="P212" s="300">
        <f>SUM(P209:P211)</f>
      </c>
      <c r="Q212" s="302">
        <f t="shared" si="148"/>
      </c>
      <c r="R212" s="300">
        <f>SUM(R209:R211)</f>
      </c>
      <c r="S212" s="303">
        <f>SUM(S209:S211)</f>
      </c>
      <c r="T212" s="303">
        <f t="shared" si="120"/>
      </c>
      <c r="U212" s="303">
        <f t="shared" si="26"/>
      </c>
      <c r="V212" s="300">
        <f t="shared" si="144"/>
      </c>
      <c r="W212" s="300">
        <f>SUM(W209:W211)</f>
      </c>
      <c r="X212" s="300">
        <f t="shared" si="11"/>
      </c>
      <c r="Y212" s="300">
        <f t="shared" si="75"/>
      </c>
      <c r="Z212" s="356">
        <f t="shared" si="118"/>
      </c>
      <c r="AA212" s="323">
        <f t="shared" si="23"/>
      </c>
      <c r="AB212" s="336">
        <f t="shared" si="169"/>
      </c>
      <c r="AC212" s="326">
        <f t="shared" si="2"/>
      </c>
      <c r="AD212" s="326">
        <f t="shared" si="25"/>
      </c>
      <c r="AE212" s="326">
        <f t="shared" si="10"/>
      </c>
      <c r="AF212" s="326">
        <f>R212/AU412</f>
      </c>
      <c r="AG212" s="326">
        <f t="shared" si="6"/>
      </c>
      <c r="AH212" s="326">
        <f t="shared" si="8"/>
      </c>
      <c r="AI212" s="326">
        <f t="shared" si="4"/>
      </c>
      <c r="AJ212" s="317">
        <f>AVERAGE(AJ209:AJ211)</f>
      </c>
      <c r="AK212" s="300">
        <f>SUM(AK209:AK211)</f>
      </c>
      <c r="AL212" s="300">
        <f>SUM(AL209:AL211)</f>
      </c>
      <c r="AM212" s="300">
        <f>SUM(AM209:AM211)</f>
      </c>
      <c r="AN212" s="300">
        <f>SUM(AN209:AN211)</f>
      </c>
      <c r="AO212" s="300">
        <f>SUM(AO209:AO211)</f>
      </c>
      <c r="AP212" s="300">
        <f>SUM(AP209:AP211)</f>
      </c>
      <c r="AQ212" s="300">
        <f>SUM(AQ209:AQ211)</f>
      </c>
      <c r="AR212" s="300">
        <f>SUM(AR209:AR211)</f>
      </c>
      <c r="AS212" s="300">
        <f>SUM(AS209:AS211)</f>
      </c>
      <c r="AT212" s="300">
        <f>SUM(AT209:AT211)</f>
      </c>
      <c r="AU212" s="300">
        <f>SUM(AU209:AU211)</f>
      </c>
      <c r="AW212" s="305"/>
      <c r="AX212" s="300">
        <f>SUM(AX209:AX211)</f>
      </c>
    </row>
    <row r="213">
      <c r="A213" s="339"/>
      <c r="B213" s="307" t="s">
        <v>254</v>
      </c>
      <c r="C213" s="307"/>
      <c r="D213" s="307"/>
      <c r="E213" s="307"/>
      <c r="F213" s="309">
        <f>F208+F212</f>
      </c>
      <c r="G213" s="309">
        <f>G208+G212</f>
      </c>
      <c r="H213" s="309">
        <f>H208+H212</f>
      </c>
      <c r="I213" s="307">
        <f>I208+I212</f>
      </c>
      <c r="J213" s="307">
        <f>J208+J212</f>
      </c>
      <c r="K213" s="307">
        <f>K208+K212</f>
      </c>
      <c r="L213" s="307">
        <f>L208+L212</f>
      </c>
      <c r="M213" s="307">
        <f>M208+M212</f>
      </c>
      <c r="N213" s="307">
        <f>N208+N212</f>
      </c>
      <c r="O213" s="308">
        <f t="shared" si="146"/>
      </c>
      <c r="P213" s="307">
        <f>P208+P212</f>
      </c>
      <c r="Q213" s="308">
        <f t="shared" si="148"/>
      </c>
      <c r="R213" s="307">
        <f>R208+R212</f>
      </c>
      <c r="S213" s="309">
        <f>S208+S212</f>
      </c>
      <c r="T213" s="309">
        <f t="shared" si="120"/>
      </c>
      <c r="U213" s="309">
        <f t="shared" si="26"/>
      </c>
      <c r="V213" s="307">
        <f t="shared" si="144"/>
      </c>
      <c r="W213" s="307">
        <f>W208+W212</f>
      </c>
      <c r="X213" s="369">
        <f t="shared" si="11"/>
      </c>
      <c r="Y213" s="307">
        <f t="shared" si="75"/>
      </c>
      <c r="Z213" s="357">
        <f t="shared" si="118"/>
      </c>
      <c r="AA213" s="309">
        <f t="shared" si="23"/>
      </c>
      <c r="AB213" s="309">
        <f>AB212+AB208</f>
      </c>
      <c r="AC213" s="308">
        <f t="shared" si="2"/>
      </c>
      <c r="AD213" s="308">
        <f t="shared" si="25"/>
      </c>
      <c r="AE213" s="308">
        <f t="shared" si="10"/>
      </c>
      <c r="AF213" s="308">
        <f>R213/AU212:AU211</f>
      </c>
      <c r="AG213" s="308">
        <f t="shared" si="6"/>
      </c>
      <c r="AH213" s="308">
        <f t="shared" si="8"/>
      </c>
      <c r="AI213" s="308">
        <f t="shared" si="4"/>
      </c>
      <c r="AJ213" s="329">
        <f>(AJ208+AJ212)/2</f>
      </c>
      <c r="AK213" s="307">
        <f>AK208+AK212</f>
      </c>
      <c r="AL213" s="335">
        <f>AL208+AL212</f>
      </c>
      <c r="AM213" s="335">
        <f>AM208+AM212</f>
      </c>
      <c r="AN213" s="335">
        <f>AN208+AN212</f>
      </c>
      <c r="AO213" s="335">
        <f>AO208+AO212</f>
      </c>
      <c r="AP213" s="335">
        <f>AP208+AP212</f>
      </c>
      <c r="AQ213" s="335">
        <f>AQ208+AQ212</f>
      </c>
      <c r="AR213" s="335">
        <f>AR208+AR212</f>
      </c>
      <c r="AS213" s="335">
        <f>AS208+AS212</f>
      </c>
      <c r="AT213" s="335">
        <f>AT208+AT212</f>
      </c>
      <c r="AU213" s="307">
        <f>AU208+AU212</f>
      </c>
      <c r="AW213" s="349">
        <f>AW208+AW212</f>
      </c>
      <c r="AX213" s="307">
        <f>AX208+AX212</f>
      </c>
    </row>
    <row r="214">
      <c r="A214" s="339" t="s">
        <v>297</v>
      </c>
      <c r="B214" s="287" t="s">
        <v>267</v>
      </c>
      <c r="C214" s="287" t="s">
        <v>247</v>
      </c>
      <c r="D214" s="287" t="s">
        <v>256</v>
      </c>
      <c r="E214" s="288" t="s">
        <v>249</v>
      </c>
      <c r="F214" s="314">
        <f t="shared" ref="F214:F218" si="74">G214+H214+I214</f>
      </c>
      <c r="G214" s="313">
        <v>408.29</v>
      </c>
      <c r="H214" s="313">
        <v>786.15</v>
      </c>
      <c r="I214" s="291"/>
      <c r="J214" s="291"/>
      <c r="K214" s="291"/>
      <c r="L214" s="293"/>
      <c r="M214" s="293"/>
      <c r="N214" s="294">
        <v>0</v>
      </c>
      <c r="O214" s="295">
        <f t="shared" si="146"/>
      </c>
      <c r="P214" s="294">
        <v>0</v>
      </c>
      <c r="Q214" s="295">
        <f t="shared" si="148"/>
      </c>
      <c r="R214" s="371">
        <v>0</v>
      </c>
      <c r="S214" s="366">
        <v>0</v>
      </c>
      <c r="T214" s="296">
        <f t="shared" si="120"/>
      </c>
      <c r="U214" s="296">
        <f t="shared" si="26"/>
      </c>
      <c r="V214" s="290">
        <f t="shared" si="144"/>
      </c>
      <c r="W214" s="294">
        <v>0</v>
      </c>
      <c r="X214" s="290">
        <f t="shared" si="11"/>
      </c>
      <c r="Y214" s="290">
        <f t="shared" si="75"/>
      </c>
      <c r="Z214" s="354">
        <f t="shared" si="118"/>
      </c>
      <c r="AA214" s="296">
        <f t="shared" si="23"/>
      </c>
      <c r="AB214" s="296">
        <f t="shared" ref="AB214:AB219" si="170">F214/AN214</f>
      </c>
      <c r="AC214" s="295">
        <f t="shared" si="2"/>
      </c>
      <c r="AD214" s="295">
        <f t="shared" si="25"/>
      </c>
      <c r="AE214" s="295">
        <f t="shared" si="10"/>
      </c>
      <c r="AF214" s="295">
        <f t="shared" ref="AF214:AF216" si="142">R214/AO214</f>
      </c>
      <c r="AG214" s="295">
        <f t="shared" si="6"/>
      </c>
      <c r="AH214" s="295">
        <f t="shared" si="8"/>
      </c>
      <c r="AI214" s="359">
        <f t="shared" si="4"/>
      </c>
      <c r="AJ214" s="294">
        <v>39</v>
      </c>
      <c r="AK214" s="290">
        <v>3103</v>
      </c>
      <c r="AL214" s="290">
        <v>95</v>
      </c>
      <c r="AM214" s="290">
        <v>119</v>
      </c>
      <c r="AN214" s="294">
        <v>21</v>
      </c>
      <c r="AO214" s="330">
        <v>5</v>
      </c>
      <c r="AP214" s="360">
        <v>8</v>
      </c>
      <c r="AQ214" s="360">
        <v>16</v>
      </c>
      <c r="AR214" s="330">
        <v>0</v>
      </c>
      <c r="AS214" s="330">
        <v>2</v>
      </c>
      <c r="AT214" s="294">
        <v>0</v>
      </c>
      <c r="AU214" s="294">
        <v>5</v>
      </c>
      <c r="AW214" s="297"/>
      <c r="AX214" s="342">
        <f t="shared" ref="AX214:AX218" si="116">COUNT(AU214)</f>
      </c>
    </row>
    <row r="215">
      <c r="A215" s="339"/>
      <c r="B215" s="287" t="s">
        <v>267</v>
      </c>
      <c r="C215" s="287" t="s">
        <v>247</v>
      </c>
      <c r="D215" s="287" t="s">
        <v>256</v>
      </c>
      <c r="E215" s="288" t="s">
        <v>250</v>
      </c>
      <c r="F215" s="314">
        <f t="shared" si="74"/>
      </c>
      <c r="G215" s="313">
        <v>339.66</v>
      </c>
      <c r="H215" s="313">
        <v>547.99</v>
      </c>
      <c r="I215" s="293"/>
      <c r="J215" s="293"/>
      <c r="K215" s="293"/>
      <c r="L215" s="293"/>
      <c r="M215" s="293"/>
      <c r="N215" s="294">
        <v>0</v>
      </c>
      <c r="O215" s="295">
        <f t="shared" si="146"/>
      </c>
      <c r="P215" s="294">
        <v>0</v>
      </c>
      <c r="Q215" s="295">
        <f t="shared" si="148"/>
      </c>
      <c r="R215" s="294">
        <v>1</v>
      </c>
      <c r="S215" s="313">
        <v>3450.4</v>
      </c>
      <c r="T215" s="296">
        <f t="shared" si="120"/>
      </c>
      <c r="U215" s="296">
        <f t="shared" si="26"/>
      </c>
      <c r="V215" s="290">
        <f t="shared" si="144"/>
      </c>
      <c r="W215" s="294">
        <v>0</v>
      </c>
      <c r="X215" s="290">
        <f t="shared" si="11"/>
      </c>
      <c r="Y215" s="290">
        <f t="shared" si="75"/>
      </c>
      <c r="Z215" s="354">
        <f t="shared" si="118"/>
      </c>
      <c r="AA215" s="296">
        <f t="shared" si="23"/>
      </c>
      <c r="AB215" s="296">
        <f t="shared" si="170"/>
      </c>
      <c r="AC215" s="295">
        <f t="shared" si="2"/>
      </c>
      <c r="AD215" s="295">
        <f t="shared" si="25"/>
      </c>
      <c r="AE215" s="295">
        <f t="shared" si="10"/>
      </c>
      <c r="AF215" s="295">
        <f t="shared" si="142"/>
      </c>
      <c r="AG215" s="295">
        <f t="shared" si="6"/>
      </c>
      <c r="AH215" s="343">
        <f t="shared" si="8"/>
      </c>
      <c r="AI215" s="343">
        <f t="shared" si="4"/>
      </c>
      <c r="AJ215" s="294">
        <v>52</v>
      </c>
      <c r="AK215" s="290">
        <v>2773</v>
      </c>
      <c r="AL215" s="290">
        <v>95</v>
      </c>
      <c r="AM215" s="290">
        <v>127</v>
      </c>
      <c r="AN215" s="290">
        <v>29</v>
      </c>
      <c r="AO215" s="330">
        <v>4</v>
      </c>
      <c r="AP215" s="331">
        <v>12</v>
      </c>
      <c r="AQ215" s="330">
        <v>23</v>
      </c>
      <c r="AR215" s="330">
        <v>1</v>
      </c>
      <c r="AS215" s="290">
        <v>1</v>
      </c>
      <c r="AT215" s="290">
        <v>0</v>
      </c>
      <c r="AU215" s="331">
        <v>2</v>
      </c>
      <c r="AW215" s="297"/>
      <c r="AX215" s="342">
        <f t="shared" si="116"/>
      </c>
    </row>
    <row r="216">
      <c r="A216" s="339"/>
      <c r="B216" s="287" t="s">
        <v>267</v>
      </c>
      <c r="C216" s="287" t="s">
        <v>247</v>
      </c>
      <c r="D216" s="287" t="s">
        <v>256</v>
      </c>
      <c r="E216" s="288" t="s">
        <v>251</v>
      </c>
      <c r="F216" s="314">
        <f t="shared" si="74"/>
      </c>
      <c r="G216" s="313">
        <v>436.51</v>
      </c>
      <c r="H216" s="313">
        <v>547.72</v>
      </c>
      <c r="I216" s="293"/>
      <c r="J216" s="293"/>
      <c r="K216" s="293"/>
      <c r="L216" s="293"/>
      <c r="M216" s="293"/>
      <c r="N216" s="294">
        <v>0</v>
      </c>
      <c r="O216" s="295">
        <f t="shared" si="146"/>
      </c>
      <c r="P216" s="294">
        <v>0</v>
      </c>
      <c r="Q216" s="295">
        <f t="shared" si="148"/>
      </c>
      <c r="R216" s="294">
        <v>0</v>
      </c>
      <c r="S216" s="313">
        <v>0</v>
      </c>
      <c r="T216" s="296">
        <f t="shared" si="120"/>
      </c>
      <c r="U216" s="296">
        <f t="shared" si="26"/>
      </c>
      <c r="V216" s="337">
        <f t="shared" si="144"/>
      </c>
      <c r="W216" s="294">
        <v>0</v>
      </c>
      <c r="X216" s="290">
        <f t="shared" si="11"/>
      </c>
      <c r="Y216" s="290">
        <f t="shared" si="75"/>
      </c>
      <c r="Z216" s="354">
        <f t="shared" si="118"/>
      </c>
      <c r="AA216" s="296">
        <f t="shared" si="23"/>
      </c>
      <c r="AB216" s="296">
        <f t="shared" si="170"/>
      </c>
      <c r="AC216" s="295">
        <f t="shared" si="2"/>
      </c>
      <c r="AD216" s="295">
        <f t="shared" si="25"/>
      </c>
      <c r="AE216" s="295">
        <f t="shared" si="10"/>
      </c>
      <c r="AF216" s="295">
        <f t="shared" si="142"/>
      </c>
      <c r="AG216" s="295">
        <f t="shared" si="6"/>
      </c>
      <c r="AH216" s="295">
        <f t="shared" si="8"/>
      </c>
      <c r="AI216" s="361">
        <f t="shared" si="4"/>
      </c>
      <c r="AJ216" s="294">
        <v>51</v>
      </c>
      <c r="AK216" s="290">
        <v>3554</v>
      </c>
      <c r="AL216" s="290">
        <v>110</v>
      </c>
      <c r="AM216" s="290">
        <v>136</v>
      </c>
      <c r="AN216" s="290">
        <v>27</v>
      </c>
      <c r="AO216" s="330">
        <v>8</v>
      </c>
      <c r="AP216" s="331">
        <v>13</v>
      </c>
      <c r="AQ216" s="330">
        <v>18</v>
      </c>
      <c r="AR216" s="330">
        <v>1</v>
      </c>
      <c r="AS216" s="294">
        <v>0</v>
      </c>
      <c r="AT216" s="294">
        <v>0</v>
      </c>
      <c r="AU216" s="331">
        <v>1</v>
      </c>
      <c r="AW216" s="297"/>
      <c r="AX216" s="342">
        <f t="shared" si="116"/>
      </c>
    </row>
    <row r="217">
      <c r="A217" s="339"/>
      <c r="B217" s="287" t="s">
        <v>267</v>
      </c>
      <c r="C217" s="287" t="s">
        <v>247</v>
      </c>
      <c r="D217" s="287" t="s">
        <v>256</v>
      </c>
      <c r="E217" s="288" t="s">
        <v>252</v>
      </c>
      <c r="F217" s="314">
        <f t="shared" si="74"/>
      </c>
      <c r="G217" s="313">
        <v>544.1</v>
      </c>
      <c r="H217" s="313">
        <v>468.21</v>
      </c>
      <c r="I217" s="293"/>
      <c r="J217" s="293"/>
      <c r="K217" s="293"/>
      <c r="L217" s="293"/>
      <c r="M217" s="293"/>
      <c r="N217" s="294">
        <v>0</v>
      </c>
      <c r="O217" s="295">
        <f t="shared" si="146"/>
      </c>
      <c r="P217" s="294">
        <v>0</v>
      </c>
      <c r="Q217" s="295">
        <f t="shared" si="148"/>
      </c>
      <c r="R217" s="294">
        <v>0</v>
      </c>
      <c r="S217" s="313">
        <v>0</v>
      </c>
      <c r="T217" s="296">
        <f t="shared" si="120"/>
      </c>
      <c r="U217" s="296">
        <f t="shared" si="26"/>
      </c>
      <c r="V217" s="290">
        <f t="shared" si="144"/>
      </c>
      <c r="W217" s="294">
        <v>0</v>
      </c>
      <c r="X217" s="337">
        <f t="shared" si="11"/>
      </c>
      <c r="Y217" s="290">
        <f t="shared" si="75"/>
      </c>
      <c r="Z217" s="354">
        <f t="shared" si="118"/>
      </c>
      <c r="AA217" s="296">
        <f t="shared" si="23"/>
      </c>
      <c r="AB217" s="296">
        <f t="shared" si="170"/>
      </c>
      <c r="AC217" s="295">
        <f t="shared" si="2"/>
      </c>
      <c r="AD217" s="295">
        <f t="shared" si="25"/>
      </c>
      <c r="AE217" s="295">
        <f t="shared" si="10"/>
      </c>
      <c r="AF217" s="295">
        <f>R217/AE216:AC214</f>
      </c>
      <c r="AG217" s="295">
        <f t="shared" si="6"/>
      </c>
      <c r="AH217" s="295">
        <f t="shared" si="8"/>
      </c>
      <c r="AI217" s="343">
        <f t="shared" si="4"/>
      </c>
      <c r="AJ217" s="294">
        <v>62</v>
      </c>
      <c r="AK217" s="290">
        <v>3013</v>
      </c>
      <c r="AL217" s="290">
        <v>94</v>
      </c>
      <c r="AM217" s="290">
        <v>140</v>
      </c>
      <c r="AN217" s="290">
        <v>25</v>
      </c>
      <c r="AO217" s="330">
        <v>11</v>
      </c>
      <c r="AP217" s="331">
        <v>21</v>
      </c>
      <c r="AQ217" s="330">
        <v>25</v>
      </c>
      <c r="AR217" s="330">
        <v>0</v>
      </c>
      <c r="AS217" s="290">
        <v>2</v>
      </c>
      <c r="AT217" s="290">
        <v>0</v>
      </c>
      <c r="AU217" s="331">
        <v>2</v>
      </c>
      <c r="AW217" s="297"/>
      <c r="AX217" s="342">
        <f t="shared" si="116"/>
      </c>
    </row>
    <row r="218">
      <c r="A218" s="339"/>
      <c r="B218" s="287" t="s">
        <v>267</v>
      </c>
      <c r="C218" s="287" t="s">
        <v>247</v>
      </c>
      <c r="D218" s="287" t="s">
        <v>256</v>
      </c>
      <c r="E218" s="287" t="s">
        <v>257</v>
      </c>
      <c r="F218" s="314">
        <f t="shared" si="74"/>
      </c>
      <c r="G218" s="313">
        <f>630.96+4.32</f>
      </c>
      <c r="H218" s="313">
        <f>13.13+408.68</f>
      </c>
      <c r="I218" s="293"/>
      <c r="J218" s="293"/>
      <c r="K218" s="293"/>
      <c r="L218" s="293"/>
      <c r="M218" s="293"/>
      <c r="N218" s="294">
        <v>1</v>
      </c>
      <c r="O218" s="295">
        <f t="shared" si="146"/>
      </c>
      <c r="P218" s="294">
        <v>0</v>
      </c>
      <c r="Q218" s="295">
        <f t="shared" si="148"/>
      </c>
      <c r="R218" s="294">
        <v>1</v>
      </c>
      <c r="S218" s="313">
        <v>1287.6299999999997</v>
      </c>
      <c r="T218" s="296">
        <f t="shared" si="120"/>
      </c>
      <c r="U218" s="296">
        <f t="shared" si="26"/>
      </c>
      <c r="V218" s="290">
        <f t="shared" si="144"/>
      </c>
      <c r="W218" s="294">
        <v>0</v>
      </c>
      <c r="X218" s="337">
        <f t="shared" si="11"/>
      </c>
      <c r="Y218" s="290">
        <f t="shared" si="75"/>
      </c>
      <c r="Z218" s="354">
        <f t="shared" si="118"/>
      </c>
      <c r="AA218" s="296">
        <f t="shared" si="23"/>
      </c>
      <c r="AB218" s="296">
        <f t="shared" si="170"/>
      </c>
      <c r="AC218" s="295">
        <f t="shared" si="2"/>
      </c>
      <c r="AD218" s="295">
        <f t="shared" si="25"/>
      </c>
      <c r="AE218" s="295">
        <f t="shared" si="10"/>
      </c>
      <c r="AF218" s="295">
        <f>R218/AO219</f>
      </c>
      <c r="AG218" s="295">
        <f t="shared" si="6"/>
      </c>
      <c r="AH218" s="295">
        <f t="shared" si="8"/>
      </c>
      <c r="AI218" s="343">
        <f t="shared" si="4"/>
      </c>
      <c r="AJ218" s="294">
        <v>71</v>
      </c>
      <c r="AK218" s="290">
        <v>3606</v>
      </c>
      <c r="AL218" s="290">
        <v>126</v>
      </c>
      <c r="AM218" s="290">
        <v>162</v>
      </c>
      <c r="AN218" s="290">
        <v>37</v>
      </c>
      <c r="AO218" s="330">
        <v>7</v>
      </c>
      <c r="AP218" s="331">
        <v>30</v>
      </c>
      <c r="AQ218" s="330">
        <v>26</v>
      </c>
      <c r="AR218" s="330">
        <v>1</v>
      </c>
      <c r="AS218" s="290">
        <v>3</v>
      </c>
      <c r="AT218" s="290">
        <v>3</v>
      </c>
      <c r="AU218" s="331">
        <v>0</v>
      </c>
      <c r="AW218" s="297"/>
      <c r="AX218" s="342">
        <f t="shared" si="116"/>
      </c>
    </row>
    <row r="219">
      <c r="A219" s="339"/>
      <c r="B219" s="299" t="s">
        <v>253</v>
      </c>
      <c r="C219" s="299"/>
      <c r="D219" s="299"/>
      <c r="E219" s="299"/>
      <c r="F219" s="355">
        <f>SUM(F214:F218)</f>
      </c>
      <c r="G219" s="355">
        <f>SUM(G214:G218)</f>
      </c>
      <c r="H219" s="355">
        <f>SUM(H214:H218)</f>
      </c>
      <c r="I219" s="300">
        <f>SUM(I214:I218)</f>
      </c>
      <c r="J219" s="300">
        <f>SUM(J214:J218)</f>
      </c>
      <c r="K219" s="300">
        <f>SUM(K214:K218)</f>
      </c>
      <c r="L219" s="300">
        <f>SUM(L214:L218)</f>
      </c>
      <c r="M219" s="300">
        <f>SUM(M214:M218)</f>
      </c>
      <c r="N219" s="300">
        <f>SUM(N214:N218)</f>
      </c>
      <c r="O219" s="302">
        <f t="shared" si="146"/>
      </c>
      <c r="P219" s="300">
        <f>SUM(P214:P218)</f>
      </c>
      <c r="Q219" s="302">
        <f t="shared" si="148"/>
      </c>
      <c r="R219" s="300">
        <f>SUM(R214:R218)</f>
      </c>
      <c r="S219" s="355">
        <f>SUM(S214:S218)</f>
      </c>
      <c r="T219" s="303">
        <f t="shared" si="120"/>
      </c>
      <c r="U219" s="303">
        <f t="shared" si="26"/>
      </c>
      <c r="V219" s="300">
        <f t="shared" si="144"/>
      </c>
      <c r="W219" s="300">
        <f>SUM(W214:W218)</f>
      </c>
      <c r="X219" s="300">
        <f t="shared" si="11"/>
      </c>
      <c r="Y219" s="300">
        <f t="shared" si="75"/>
      </c>
      <c r="Z219" s="356">
        <f t="shared" si="118"/>
      </c>
      <c r="AA219" s="323">
        <f t="shared" si="23"/>
      </c>
      <c r="AB219" s="336">
        <f t="shared" si="170"/>
      </c>
      <c r="AC219" s="326">
        <f t="shared" si="2"/>
      </c>
      <c r="AD219" s="326">
        <f t="shared" si="25"/>
      </c>
      <c r="AE219" s="326">
        <f t="shared" si="10"/>
      </c>
      <c r="AF219" s="326">
        <f>R219/AU424</f>
      </c>
      <c r="AG219" s="326">
        <f t="shared" si="6"/>
      </c>
      <c r="AH219" s="326">
        <f t="shared" si="8"/>
      </c>
      <c r="AI219" s="326">
        <f t="shared" si="4"/>
      </c>
      <c r="AJ219" s="317">
        <f>AVERAGE(AJ214:AJ218)</f>
      </c>
      <c r="AK219" s="300">
        <f>SUM(AK214:AK218)</f>
      </c>
      <c r="AL219" s="300">
        <f>SUM(AL214:AL218)</f>
      </c>
      <c r="AM219" s="300">
        <f>SUM(AM214:AM218)</f>
      </c>
      <c r="AN219" s="300">
        <f>SUM(AN214:AN218)</f>
      </c>
      <c r="AO219" s="300">
        <f>SUM(AO214:AO218)</f>
      </c>
      <c r="AP219" s="300">
        <f>SUM(AP214:AP218)</f>
      </c>
      <c r="AQ219" s="300">
        <f>SUM(AQ214:AQ218)</f>
      </c>
      <c r="AR219" s="300">
        <f>SUM(AR214:AR218)</f>
      </c>
      <c r="AS219" s="300">
        <f>SUM(AS214:AS218)</f>
      </c>
      <c r="AT219" s="300">
        <f>SUM(AT214:AT218)</f>
      </c>
      <c r="AU219" s="300">
        <f>SUM(AU214:AU218)</f>
      </c>
      <c r="AW219" s="305"/>
      <c r="AX219" s="300">
        <f>SUM(AX214:AX218)</f>
      </c>
    </row>
    <row r="220">
      <c r="A220" s="339"/>
      <c r="B220" s="307" t="s">
        <v>254</v>
      </c>
      <c r="C220" s="307"/>
      <c r="D220" s="307"/>
      <c r="E220" s="307"/>
      <c r="F220" s="309">
        <f>F219</f>
      </c>
      <c r="G220" s="309">
        <f>G219</f>
      </c>
      <c r="H220" s="309">
        <f>H219</f>
      </c>
      <c r="I220" s="309">
        <f>I219</f>
      </c>
      <c r="J220" s="309">
        <f>J219</f>
      </c>
      <c r="K220" s="309">
        <f>K219</f>
      </c>
      <c r="L220" s="309">
        <f>L219</f>
      </c>
      <c r="M220" s="309">
        <f>M219</f>
      </c>
      <c r="N220" s="307">
        <f>N219</f>
      </c>
      <c r="O220" s="308">
        <f t="shared" si="146"/>
      </c>
      <c r="P220" s="307">
        <f>P219</f>
      </c>
      <c r="Q220" s="308">
        <f t="shared" si="148"/>
      </c>
      <c r="R220" s="307">
        <f>R219</f>
      </c>
      <c r="S220" s="309">
        <f>S219</f>
      </c>
      <c r="T220" s="309">
        <f t="shared" si="120"/>
      </c>
      <c r="U220" s="309">
        <f t="shared" si="26"/>
      </c>
      <c r="V220" s="307">
        <f t="shared" si="144"/>
      </c>
      <c r="W220" s="307">
        <f>W219</f>
      </c>
      <c r="X220" s="369">
        <f t="shared" si="11"/>
      </c>
      <c r="Y220" s="307">
        <f t="shared" si="75"/>
      </c>
      <c r="Z220" s="357">
        <f t="shared" si="118"/>
      </c>
      <c r="AA220" s="309">
        <f t="shared" si="23"/>
      </c>
      <c r="AB220" s="309">
        <f>AB219+AB216:AB215</f>
      </c>
      <c r="AC220" s="308">
        <f t="shared" si="2"/>
      </c>
      <c r="AD220" s="308">
        <f t="shared" si="25"/>
      </c>
      <c r="AE220" s="308">
        <f t="shared" si="10"/>
      </c>
      <c r="AF220" s="308">
        <f>R220/AU221</f>
      </c>
      <c r="AG220" s="308">
        <f t="shared" si="6"/>
      </c>
      <c r="AH220" s="308">
        <f t="shared" si="8"/>
      </c>
      <c r="AI220" s="308">
        <f t="shared" si="4"/>
      </c>
      <c r="AJ220" s="329">
        <f>AJ219</f>
      </c>
      <c r="AK220" s="307">
        <f>AK219</f>
      </c>
      <c r="AL220" s="307">
        <f>AL219</f>
      </c>
      <c r="AM220" s="307">
        <f>AM219</f>
      </c>
      <c r="AN220" s="307">
        <f>AN219</f>
      </c>
      <c r="AO220" s="307">
        <f>AO219</f>
      </c>
      <c r="AP220" s="307">
        <f>AP219</f>
      </c>
      <c r="AQ220" s="307">
        <f>AQ219</f>
      </c>
      <c r="AR220" s="307">
        <f>AR219</f>
      </c>
      <c r="AS220" s="307">
        <f>AS219</f>
      </c>
      <c r="AT220" s="307">
        <f>AT219</f>
      </c>
      <c r="AU220" s="307">
        <f>AU219</f>
      </c>
      <c r="AW220" s="349">
        <f>AW219</f>
      </c>
      <c r="AX220" s="307">
        <f>AX219</f>
      </c>
    </row>
    <row r="221">
      <c r="A221" s="338"/>
      <c r="B221" s="338"/>
      <c r="C221" s="338"/>
      <c r="D221" s="338"/>
      <c r="E221" s="338"/>
      <c r="F221">
        <f>F222-F220</f>
      </c>
      <c r="G221" s="338"/>
      <c r="H221" s="338"/>
      <c r="I221" s="338"/>
      <c r="J221" s="338"/>
      <c r="K221" s="338"/>
      <c r="L221" s="338"/>
      <c r="M221" s="338"/>
      <c r="N221" s="338"/>
      <c r="O221" s="338"/>
      <c r="P221" s="338"/>
      <c r="Q221" s="338"/>
      <c r="R221" s="338">
        <f>R222-R220</f>
      </c>
      <c r="S221" s="338">
        <f>S222-S220</f>
      </c>
      <c r="T221" s="338"/>
      <c r="U221" s="338"/>
      <c r="V221" s="338"/>
      <c r="W221" s="338"/>
      <c r="X221" s="338"/>
      <c r="Y221" s="338"/>
      <c r="AJ221" s="286" t="s">
        <v>298</v>
      </c>
      <c r="AK221">
        <f>AK222-AK220</f>
      </c>
      <c r="AL221">
        <f>AL222-AL220</f>
      </c>
      <c r="AM221">
        <f>AM222-AM220</f>
      </c>
      <c r="AN221">
        <f>AN222-AN220</f>
      </c>
      <c r="AO221">
        <f>AO222-AO220</f>
      </c>
      <c r="AP221">
        <f>AP222-AP220</f>
      </c>
      <c r="AQ221">
        <f>AQ222-AQ220</f>
      </c>
      <c r="AR221" s="286">
        <f>AR222-AR220</f>
      </c>
      <c r="AS221">
        <f>AS222-AS220</f>
      </c>
      <c r="AT221">
        <f>AT222-AT220</f>
      </c>
      <c r="AU221">
        <f>AU222-AU220</f>
      </c>
    </row>
    <row r="222">
      <c r="F222" s="372"/>
      <c r="R222" s="286">
        <v>2</v>
      </c>
      <c r="S222" s="373" t="s">
        <v>299</v>
      </c>
      <c r="AO222" s="286">
        <v>35</v>
      </c>
      <c r="AR222" s="286">
        <v>3</v>
      </c>
    </row>
    <row r="223">
      <c r="S223" s="374"/>
      <c r="AJ223" s="375" t="s">
        <v>300</v>
      </c>
      <c r="AK223" s="376">
        <v>3606</v>
      </c>
      <c r="AL223" s="376">
        <v>126</v>
      </c>
      <c r="AM223" s="376">
        <v>162</v>
      </c>
      <c r="AN223" s="376">
        <v>37</v>
      </c>
      <c r="AO223" s="376">
        <v>30</v>
      </c>
      <c r="AP223" s="376">
        <v>26</v>
      </c>
      <c r="AQ223" s="376">
        <v>3</v>
      </c>
      <c r="AR223" s="376">
        <v>3</v>
      </c>
      <c r="AS223" s="376">
        <v>0</v>
      </c>
    </row>
    <row r="224">
      <c r="S224" s="374"/>
      <c r="AJ224" s="377" t="s">
        <v>301</v>
      </c>
      <c r="AK224">
        <f>AK223</f>
      </c>
      <c r="AL224">
        <f>AL223</f>
      </c>
      <c r="AM224">
        <f>AM223</f>
      </c>
      <c r="AN224">
        <f>AN223</f>
      </c>
      <c r="AP224">
        <f>AO223</f>
      </c>
      <c r="AQ224">
        <f>AP223</f>
      </c>
      <c r="AS224">
        <f>AQ223</f>
      </c>
      <c r="AT224">
        <f>AR223</f>
      </c>
      <c r="AU224">
        <f>AS223</f>
      </c>
    </row>
    <row r="225">
      <c r="S225" s="374"/>
      <c r="AO225" s="286"/>
    </row>
    <row r="226">
      <c r="S226" s="374"/>
      <c r="AO226" s="286"/>
    </row>
    <row r="227">
      <c r="S227" s="374"/>
      <c r="AO227" s="286"/>
    </row>
    <row r="228">
      <c r="S228" s="374"/>
      <c r="AO228" s="286"/>
    </row>
    <row r="229">
      <c r="S229" s="374"/>
      <c r="AO229" s="286"/>
    </row>
    <row r="230">
      <c r="S230" s="374"/>
      <c r="AO230" s="286"/>
    </row>
    <row r="231">
      <c r="S231" s="374"/>
      <c r="AO231" s="286"/>
    </row>
    <row r="232">
      <c r="S232" s="374"/>
      <c r="AO232" s="286"/>
    </row>
    <row r="233">
      <c r="S233" s="374"/>
      <c r="AO233" s="286"/>
    </row>
    <row r="234">
      <c r="S234" s="374"/>
      <c r="AO234" s="286"/>
    </row>
    <row r="235">
      <c r="S235" s="374"/>
      <c r="AO235" s="286"/>
    </row>
    <row r="236">
      <c r="S236" s="374"/>
      <c r="AO236" s="286"/>
    </row>
    <row r="237">
      <c r="S237" s="374"/>
      <c r="AO237" s="286"/>
    </row>
    <row r="238">
      <c r="S238" s="374"/>
      <c r="AO238" s="286"/>
    </row>
    <row r="239">
      <c r="S239" s="374"/>
      <c r="AO239" s="286"/>
    </row>
    <row r="240">
      <c r="S240" s="374"/>
      <c r="AO240" s="286"/>
    </row>
    <row r="241">
      <c r="S241" s="374"/>
      <c r="AO241" s="286"/>
    </row>
    <row r="242">
      <c r="S242" s="374"/>
      <c r="AO242" s="286"/>
    </row>
    <row r="243">
      <c r="S243" s="374"/>
      <c r="AO243" s="286"/>
    </row>
    <row r="244">
      <c r="S244" s="374"/>
      <c r="AO244" s="286"/>
    </row>
    <row r="245">
      <c r="S245" s="374"/>
      <c r="AO245" s="286"/>
    </row>
    <row r="246">
      <c r="S246" s="374"/>
      <c r="AO246" s="286"/>
    </row>
    <row r="247">
      <c r="S247" s="374"/>
      <c r="AO247" s="286"/>
    </row>
    <row r="248">
      <c r="S248" s="374"/>
      <c r="AO248" s="286"/>
    </row>
    <row r="249">
      <c r="S249" s="374"/>
      <c r="AO249" s="286"/>
    </row>
    <row r="250">
      <c r="S250" s="374"/>
      <c r="AO250" s="286"/>
    </row>
    <row r="251">
      <c r="S251" s="374"/>
      <c r="AO251" s="286"/>
    </row>
    <row r="252">
      <c r="S252" s="374"/>
      <c r="AO252" s="286"/>
    </row>
    <row r="253">
      <c r="S253" s="374"/>
      <c r="AO253" s="286"/>
    </row>
    <row r="254">
      <c r="S254" s="374"/>
      <c r="AO254" s="286"/>
    </row>
    <row r="255">
      <c r="S255" s="374"/>
      <c r="AO255" s="286"/>
    </row>
    <row r="256">
      <c r="S256" s="374"/>
      <c r="AO256" s="286"/>
    </row>
    <row r="257">
      <c r="S257" s="374"/>
      <c r="AO257" s="286"/>
    </row>
    <row r="258">
      <c r="S258" s="374"/>
      <c r="AO258" s="286"/>
    </row>
    <row r="259">
      <c r="S259" s="374"/>
      <c r="AO259" s="286"/>
    </row>
    <row r="260">
      <c r="S260" s="374"/>
      <c r="AO260" s="286"/>
    </row>
    <row r="261">
      <c r="S261" s="374"/>
      <c r="AO261" s="286"/>
    </row>
    <row r="262">
      <c r="S262" s="374"/>
      <c r="AO262" s="286"/>
    </row>
    <row r="263">
      <c r="S263" s="374"/>
      <c r="AO263" s="286"/>
    </row>
    <row r="264">
      <c r="S264" s="374"/>
      <c r="AO264" s="286"/>
    </row>
    <row r="265">
      <c r="S265" s="374"/>
      <c r="AO265" s="286"/>
    </row>
    <row r="266">
      <c r="S266" s="374"/>
      <c r="AO266" s="286"/>
    </row>
    <row r="267">
      <c r="S267" s="374"/>
      <c r="AO267" s="286"/>
    </row>
    <row r="268">
      <c r="S268" s="374"/>
      <c r="AO268" s="286"/>
    </row>
    <row r="269">
      <c r="S269" s="374"/>
      <c r="AO269" s="286"/>
    </row>
    <row r="270">
      <c r="S270" s="374"/>
      <c r="AO270" s="286"/>
    </row>
    <row r="271">
      <c r="S271" s="374"/>
      <c r="AO271" s="286"/>
    </row>
    <row r="272">
      <c r="S272" s="374"/>
      <c r="AO272" s="286"/>
    </row>
    <row r="273">
      <c r="S273" s="374"/>
      <c r="AO273" s="286"/>
    </row>
    <row r="274">
      <c r="S274" s="374"/>
      <c r="AO274" s="286"/>
    </row>
    <row r="275">
      <c r="S275" s="374"/>
      <c r="AO275" s="286"/>
    </row>
    <row r="276">
      <c r="S276" s="374"/>
      <c r="AO276" s="286"/>
    </row>
    <row r="277">
      <c r="S277" s="374"/>
      <c r="AO277" s="286"/>
    </row>
    <row r="278">
      <c r="S278" s="374"/>
      <c r="AO278" s="286"/>
    </row>
    <row r="279">
      <c r="S279" s="374"/>
      <c r="AO279" s="286"/>
    </row>
    <row r="280">
      <c r="S280" s="374"/>
      <c r="AO280" s="286"/>
    </row>
    <row r="281">
      <c r="S281" s="374"/>
      <c r="AO281" s="286"/>
    </row>
    <row r="282">
      <c r="S282" s="374"/>
      <c r="AO282" s="286"/>
    </row>
    <row r="283">
      <c r="S283" s="374"/>
      <c r="AO283" s="286"/>
    </row>
    <row r="284">
      <c r="S284" s="374"/>
      <c r="AO284" s="286"/>
    </row>
    <row r="285">
      <c r="S285" s="374"/>
      <c r="AO285" s="286"/>
    </row>
    <row r="286">
      <c r="S286" s="374"/>
      <c r="AO286" s="286"/>
    </row>
    <row r="287">
      <c r="S287" s="374"/>
      <c r="AO287" s="286"/>
    </row>
    <row r="288">
      <c r="S288" s="374"/>
      <c r="AO288" s="286"/>
    </row>
    <row r="289">
      <c r="S289" s="374"/>
      <c r="AO289" s="286"/>
    </row>
    <row r="290">
      <c r="S290" s="374"/>
      <c r="AO290" s="286"/>
    </row>
    <row r="291">
      <c r="S291" s="374"/>
      <c r="AO291" s="286"/>
    </row>
    <row r="292">
      <c r="S292" s="374"/>
      <c r="AO292" s="286"/>
    </row>
    <row r="293">
      <c r="S293" s="374"/>
      <c r="AO293" s="286"/>
    </row>
    <row r="294">
      <c r="S294" s="374"/>
      <c r="AO294" s="286"/>
    </row>
    <row r="295">
      <c r="S295" s="374"/>
      <c r="AO295" s="286"/>
    </row>
    <row r="296">
      <c r="S296" s="374"/>
      <c r="AO296" s="286"/>
    </row>
    <row r="297">
      <c r="S297" s="374"/>
      <c r="AO297" s="286"/>
    </row>
    <row r="298">
      <c r="S298" s="374"/>
      <c r="AO298" s="286"/>
    </row>
    <row r="299">
      <c r="S299" s="374"/>
      <c r="AO299" s="286"/>
    </row>
    <row r="300">
      <c r="S300" s="374"/>
      <c r="AO300" s="286"/>
    </row>
    <row r="301">
      <c r="S301" s="374"/>
      <c r="AO301" s="286"/>
    </row>
    <row r="302">
      <c r="S302" s="374"/>
      <c r="AO302" s="286"/>
    </row>
    <row r="303">
      <c r="S303" s="374"/>
      <c r="AO303" s="286"/>
    </row>
  </sheetData>
  <autoFilter ref="A1:A225"/>
  <mergeCells>
    <mergeCell ref="B195:E195"/>
    <mergeCell ref="B194:E194"/>
    <mergeCell ref="B191:E191"/>
    <mergeCell ref="B187:E187"/>
    <mergeCell ref="B186:E186"/>
    <mergeCell ref="B182:E182"/>
    <mergeCell ref="A179:A187"/>
    <mergeCell ref="B178:E178"/>
    <mergeCell ref="B177:E177"/>
    <mergeCell ref="B173:E173"/>
    <mergeCell ref="A170:A178"/>
    <mergeCell ref="B169:E169"/>
    <mergeCell ref="B168:E168"/>
    <mergeCell ref="B164:E164"/>
    <mergeCell ref="A161:A169"/>
    <mergeCell ref="B160:E160"/>
    <mergeCell ref="B159:E159"/>
    <mergeCell ref="B155:E155"/>
    <mergeCell ref="A152:A160"/>
    <mergeCell ref="B151:E151"/>
    <mergeCell ref="B150:E150"/>
    <mergeCell ref="B146:E146"/>
    <mergeCell ref="A143:A151"/>
    <mergeCell ref="B142:E142"/>
    <mergeCell ref="B141:E141"/>
    <mergeCell ref="B137:E137"/>
    <mergeCell ref="A134:A142"/>
    <mergeCell ref="B133:E133"/>
    <mergeCell ref="B132:E132"/>
    <mergeCell ref="B128:E128"/>
    <mergeCell ref="A125:A133"/>
    <mergeCell ref="A116:A124"/>
    <mergeCell ref="B123:E123"/>
    <mergeCell ref="B124:E124"/>
    <mergeCell ref="B119:E119"/>
    <mergeCell ref="B90:E90"/>
    <mergeCell ref="B89:E89"/>
    <mergeCell ref="B85:E85"/>
    <mergeCell ref="A82:A90"/>
    <mergeCell ref="B81:E81"/>
    <mergeCell ref="B80:E80"/>
    <mergeCell ref="B76:E76"/>
    <mergeCell ref="A73:A81"/>
    <mergeCell ref="B72:E72"/>
    <mergeCell ref="B71:E71"/>
    <mergeCell ref="B67:E67"/>
    <mergeCell ref="A64:A72"/>
    <mergeCell ref="B63:E63"/>
    <mergeCell ref="B62:E62"/>
    <mergeCell ref="B58:E58"/>
    <mergeCell ref="A55:A63"/>
    <mergeCell ref="B54:E54"/>
    <mergeCell ref="B53:E53"/>
    <mergeCell ref="B49:E49"/>
    <mergeCell ref="A46:A54"/>
    <mergeCell ref="A1:A3"/>
    <mergeCell ref="B1:E2"/>
    <mergeCell ref="F2:I2"/>
    <mergeCell ref="J2:S2"/>
    <mergeCell ref="A4:A9"/>
    <mergeCell ref="B8:E8"/>
    <mergeCell ref="B9:E9"/>
    <mergeCell ref="B13:E13"/>
    <mergeCell ref="B18:E18"/>
    <mergeCell ref="A10:A18"/>
    <mergeCell ref="B17:E17"/>
    <mergeCell ref="A19:A27"/>
    <mergeCell ref="B22:E22"/>
    <mergeCell ref="B26:E26"/>
    <mergeCell ref="B27:E27"/>
    <mergeCell ref="A28:A36"/>
    <mergeCell ref="B31:E31"/>
    <mergeCell ref="B35:E35"/>
    <mergeCell ref="B36:E36"/>
    <mergeCell ref="A37:A45"/>
    <mergeCell ref="B40:E40"/>
    <mergeCell ref="B44:E44"/>
    <mergeCell ref="B45:E45"/>
    <mergeCell ref="Z2:AI2"/>
    <mergeCell ref="AJ2:AQ2"/>
    <mergeCell ref="T2:Y2"/>
    <mergeCell ref="Z1:AQ1"/>
    <mergeCell ref="AR1:AS1"/>
    <mergeCell ref="F1:Y1"/>
    <mergeCell ref="A91:A99"/>
    <mergeCell ref="B94:E94"/>
    <mergeCell ref="B98:E98"/>
    <mergeCell ref="B99:E99"/>
    <mergeCell ref="A100:A107"/>
    <mergeCell ref="B103:E103"/>
    <mergeCell ref="B106:E106"/>
    <mergeCell ref="B107:E107"/>
    <mergeCell ref="B115:E115"/>
    <mergeCell ref="B114:E114"/>
    <mergeCell ref="A108:A115"/>
    <mergeCell ref="B111:E111"/>
    <mergeCell ref="A188:A195"/>
    <mergeCell ref="B199:E199"/>
    <mergeCell ref="B204:E204"/>
    <mergeCell ref="B203:E203"/>
    <mergeCell ref="A196:A204"/>
    <mergeCell ref="A205:A213"/>
    <mergeCell ref="B208:E208"/>
    <mergeCell ref="B212:E212"/>
    <mergeCell ref="B213:E213"/>
    <mergeCell ref="B219:E219"/>
    <mergeCell ref="B220:E220"/>
    <mergeCell ref="A214:A220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